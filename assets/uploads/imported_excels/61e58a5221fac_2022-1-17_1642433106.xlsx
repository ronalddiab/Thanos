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https://fshr-my.sharepoint.com/personal/preet_sanmukhiya_fourseasons_com/Documents/Engineering/Utilities/HEP Upload/2021/Daily report/"/>
    </mc:Choice>
  </mc:AlternateContent>
  <xr:revisionPtr revIDLastSave="34" documentId="11_FBBEC406323566375703B062B1374D5CCF424849" xr6:coauthVersionLast="47" xr6:coauthVersionMax="47" xr10:uidLastSave="{2EBAB226-B0A2-493E-BC00-3ACC99C8132A}"/>
  <bookViews>
    <workbookView xWindow="-120" yWindow="-120" windowWidth="29040" windowHeight="15225" tabRatio="434" xr2:uid="{00000000-000D-0000-FFFF-FFFF00000000}"/>
  </bookViews>
  <sheets>
    <sheet name="TOTAL" sheetId="1" r:id="rId1"/>
    <sheet name="Submetering" sheetId="4" r:id="rId2"/>
    <sheet name="HOTEL" sheetId="3" r:id="rId3"/>
    <sheet name="Sheet1" sheetId="5" state="hidden" r:id="rId4"/>
  </sheets>
  <externalReferences>
    <externalReference r:id="rId5"/>
  </externalReferences>
  <calcPr calcId="18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4" l="1"/>
  <c r="G32" i="4"/>
  <c r="H32" i="4"/>
  <c r="I32" i="4"/>
  <c r="J32" i="4"/>
  <c r="K32" i="4"/>
  <c r="M32" i="4"/>
  <c r="N32" i="4"/>
  <c r="L32" i="4" s="1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DY34" i="3"/>
  <c r="DX34" i="3"/>
  <c r="DV34" i="3"/>
  <c r="DU34" i="3"/>
  <c r="DR34" i="3"/>
  <c r="DO34" i="3"/>
  <c r="DL34" i="3"/>
  <c r="DI34" i="3"/>
  <c r="DG34" i="3"/>
  <c r="DF34" i="3"/>
  <c r="DD34" i="3"/>
  <c r="DC34" i="3"/>
  <c r="CZ34" i="3"/>
  <c r="DA34" i="3" s="1"/>
  <c r="CW34" i="3"/>
  <c r="CX34" i="3" s="1"/>
  <c r="CU34" i="3"/>
  <c r="CT34" i="3"/>
  <c r="CR34" i="3"/>
  <c r="CQ34" i="3"/>
  <c r="CL34" i="3"/>
  <c r="CJ34" i="3"/>
  <c r="CH34" i="3"/>
  <c r="CM34" i="3" s="1"/>
  <c r="CE34" i="3"/>
  <c r="CF34" i="3" s="1"/>
  <c r="CA34" i="3"/>
  <c r="BV34" i="3"/>
  <c r="BT34" i="3"/>
  <c r="BW34" i="3" s="1"/>
  <c r="BR34" i="3"/>
  <c r="BP34" i="3"/>
  <c r="BX34" i="3" s="1"/>
  <c r="BL34" i="3"/>
  <c r="BJ34" i="3"/>
  <c r="BH34" i="3"/>
  <c r="BF34" i="3"/>
  <c r="BD34" i="3"/>
  <c r="BB34" i="3"/>
  <c r="BM34" i="3" s="1"/>
  <c r="AZ34" i="3"/>
  <c r="AX34" i="3"/>
  <c r="AV34" i="3"/>
  <c r="AT34" i="3"/>
  <c r="AR34" i="3"/>
  <c r="AP34" i="3"/>
  <c r="BY34" i="3" s="1"/>
  <c r="AN34" i="3"/>
  <c r="AL34" i="3"/>
  <c r="BN34" i="3" s="1"/>
  <c r="AH34" i="3"/>
  <c r="AF34" i="3"/>
  <c r="AD34" i="3"/>
  <c r="AB34" i="3"/>
  <c r="Y34" i="3"/>
  <c r="X34" i="3"/>
  <c r="V34" i="3"/>
  <c r="T34" i="3"/>
  <c r="R34" i="3"/>
  <c r="P34" i="3"/>
  <c r="J34" i="3"/>
  <c r="E34" i="3"/>
  <c r="E32" i="1" s="1"/>
  <c r="C34" i="3"/>
  <c r="DX33" i="3"/>
  <c r="DY33" i="3" s="1"/>
  <c r="DU33" i="3"/>
  <c r="DV33" i="3" s="1"/>
  <c r="DR33" i="3"/>
  <c r="DO33" i="3"/>
  <c r="DL33" i="3"/>
  <c r="DI33" i="3"/>
  <c r="DF33" i="3"/>
  <c r="DG33" i="3" s="1"/>
  <c r="DC33" i="3"/>
  <c r="DD33" i="3" s="1"/>
  <c r="DA33" i="3"/>
  <c r="CZ33" i="3"/>
  <c r="CX33" i="3"/>
  <c r="CW33" i="3"/>
  <c r="CT33" i="3"/>
  <c r="CU33" i="3" s="1"/>
  <c r="CQ33" i="3"/>
  <c r="CR33" i="3" s="1"/>
  <c r="CL33" i="3"/>
  <c r="CJ33" i="3"/>
  <c r="CM33" i="3" s="1"/>
  <c r="CN34" i="3" s="1"/>
  <c r="CH33" i="3"/>
  <c r="CF33" i="3"/>
  <c r="CE33" i="3"/>
  <c r="CC33" i="3"/>
  <c r="CA33" i="3"/>
  <c r="BX33" i="3"/>
  <c r="BW33" i="3"/>
  <c r="BV33" i="3"/>
  <c r="BT33" i="3"/>
  <c r="BR33" i="3"/>
  <c r="BP33" i="3"/>
  <c r="BL33" i="3"/>
  <c r="BJ33" i="3"/>
  <c r="BH33" i="3"/>
  <c r="BF33" i="3"/>
  <c r="BD33" i="3"/>
  <c r="BB33" i="3"/>
  <c r="BM33" i="3" s="1"/>
  <c r="AZ33" i="3"/>
  <c r="AX33" i="3"/>
  <c r="AV33" i="3"/>
  <c r="AT33" i="3"/>
  <c r="AR33" i="3"/>
  <c r="AP33" i="3"/>
  <c r="BY33" i="3" s="1"/>
  <c r="AN33" i="3"/>
  <c r="AL33" i="3"/>
  <c r="BN33" i="3" s="1"/>
  <c r="AH33" i="3"/>
  <c r="AF33" i="3"/>
  <c r="AD33" i="3"/>
  <c r="AB33" i="3"/>
  <c r="Y33" i="3"/>
  <c r="X33" i="3"/>
  <c r="V33" i="3"/>
  <c r="T33" i="3"/>
  <c r="R33" i="3"/>
  <c r="P33" i="3"/>
  <c r="J33" i="3"/>
  <c r="E33" i="3"/>
  <c r="F33" i="3" s="1"/>
  <c r="C33" i="3"/>
  <c r="DX32" i="3"/>
  <c r="DY32" i="3" s="1"/>
  <c r="DU32" i="3"/>
  <c r="DR32" i="3"/>
  <c r="DO32" i="3"/>
  <c r="DP32" i="3" s="1"/>
  <c r="DM32" i="3"/>
  <c r="DL32" i="3"/>
  <c r="DI32" i="3"/>
  <c r="DF32" i="3"/>
  <c r="DD32" i="3"/>
  <c r="DC32" i="3"/>
  <c r="DA32" i="3"/>
  <c r="CZ32" i="3"/>
  <c r="CW32" i="3"/>
  <c r="CX32" i="3" s="1"/>
  <c r="CU32" i="3"/>
  <c r="CT32" i="3"/>
  <c r="CR32" i="3"/>
  <c r="CQ32" i="3"/>
  <c r="CL32" i="3"/>
  <c r="CJ32" i="3"/>
  <c r="CM32" i="3" s="1"/>
  <c r="CN33" i="3" s="1"/>
  <c r="CH32" i="3"/>
  <c r="CE32" i="3"/>
  <c r="CF32" i="3" s="1"/>
  <c r="CC32" i="3"/>
  <c r="CA32" i="3"/>
  <c r="BV32" i="3"/>
  <c r="BT32" i="3"/>
  <c r="BR32" i="3"/>
  <c r="BP32" i="3"/>
  <c r="BX32" i="3" s="1"/>
  <c r="BL32" i="3"/>
  <c r="BJ32" i="3"/>
  <c r="BH32" i="3"/>
  <c r="BF32" i="3"/>
  <c r="BD32" i="3"/>
  <c r="BB32" i="3"/>
  <c r="AZ32" i="3"/>
  <c r="AX32" i="3"/>
  <c r="AV32" i="3"/>
  <c r="AT32" i="3"/>
  <c r="AR32" i="3"/>
  <c r="AP32" i="3"/>
  <c r="AN32" i="3"/>
  <c r="AL32" i="3"/>
  <c r="BW32" i="3" s="1"/>
  <c r="AH32" i="3"/>
  <c r="AF32" i="3"/>
  <c r="AD32" i="3"/>
  <c r="AB32" i="3"/>
  <c r="Y32" i="3"/>
  <c r="V32" i="3"/>
  <c r="T32" i="3"/>
  <c r="R32" i="3"/>
  <c r="P32" i="3"/>
  <c r="J32" i="3"/>
  <c r="E32" i="3"/>
  <c r="F32" i="3" s="1"/>
  <c r="C32" i="3"/>
  <c r="EG31" i="3"/>
  <c r="EE31" i="3"/>
  <c r="EC31" i="3"/>
  <c r="EA31" i="3"/>
  <c r="DY31" i="3"/>
  <c r="DX31" i="3"/>
  <c r="DU31" i="3"/>
  <c r="DV32" i="3" s="1"/>
  <c r="DR31" i="3"/>
  <c r="DS31" i="3" s="1"/>
  <c r="DO31" i="3"/>
  <c r="DP31" i="3" s="1"/>
  <c r="DM31" i="3"/>
  <c r="DL31" i="3"/>
  <c r="DI31" i="3"/>
  <c r="DF31" i="3"/>
  <c r="DG32" i="3" s="1"/>
  <c r="DC31" i="3"/>
  <c r="DD31" i="3" s="1"/>
  <c r="DA31" i="3"/>
  <c r="CZ31" i="3"/>
  <c r="CX31" i="3"/>
  <c r="CW31" i="3"/>
  <c r="CT31" i="3"/>
  <c r="CU31" i="3" s="1"/>
  <c r="CQ31" i="3"/>
  <c r="CR31" i="3" s="1"/>
  <c r="CL31" i="3"/>
  <c r="CJ31" i="3"/>
  <c r="CM31" i="3" s="1"/>
  <c r="CN32" i="3" s="1"/>
  <c r="CH31" i="3"/>
  <c r="CF31" i="3"/>
  <c r="CE31" i="3"/>
  <c r="CC31" i="3"/>
  <c r="CA31" i="3"/>
  <c r="BV31" i="3"/>
  <c r="BT31" i="3"/>
  <c r="BR31" i="3"/>
  <c r="BP31" i="3"/>
  <c r="BX31" i="3" s="1"/>
  <c r="BL31" i="3"/>
  <c r="BJ31" i="3"/>
  <c r="BH31" i="3"/>
  <c r="BF31" i="3"/>
  <c r="BD31" i="3"/>
  <c r="BB31" i="3"/>
  <c r="BM31" i="3" s="1"/>
  <c r="AZ31" i="3"/>
  <c r="AX31" i="3"/>
  <c r="AV31" i="3"/>
  <c r="AT31" i="3"/>
  <c r="AR31" i="3"/>
  <c r="AP31" i="3"/>
  <c r="AN31" i="3"/>
  <c r="AL31" i="3"/>
  <c r="AH31" i="3"/>
  <c r="AF31" i="3"/>
  <c r="AD31" i="3"/>
  <c r="AB31" i="3"/>
  <c r="X31" i="3"/>
  <c r="Y31" i="3" s="1"/>
  <c r="V31" i="3"/>
  <c r="T31" i="3"/>
  <c r="R31" i="3"/>
  <c r="P31" i="3"/>
  <c r="J31" i="3"/>
  <c r="E31" i="3"/>
  <c r="C31" i="3"/>
  <c r="F31" i="3" s="1"/>
  <c r="EG30" i="3"/>
  <c r="EE30" i="3"/>
  <c r="EC30" i="3"/>
  <c r="EA30" i="3"/>
  <c r="DY30" i="3"/>
  <c r="DX30" i="3"/>
  <c r="DU30" i="3"/>
  <c r="DV31" i="3" s="1"/>
  <c r="DR30" i="3"/>
  <c r="DS30" i="3" s="1"/>
  <c r="DO30" i="3"/>
  <c r="DL30" i="3"/>
  <c r="DI30" i="3"/>
  <c r="DJ31" i="3" s="1"/>
  <c r="DF30" i="3"/>
  <c r="DG30" i="3" s="1"/>
  <c r="DD30" i="3"/>
  <c r="DC30" i="3"/>
  <c r="DA30" i="3"/>
  <c r="CZ30" i="3"/>
  <c r="CW30" i="3"/>
  <c r="CX30" i="3" s="1"/>
  <c r="CT30" i="3"/>
  <c r="CU30" i="3" s="1"/>
  <c r="CR30" i="3"/>
  <c r="CQ30" i="3"/>
  <c r="CL30" i="3"/>
  <c r="CJ30" i="3"/>
  <c r="CH30" i="3"/>
  <c r="CM30" i="3" s="1"/>
  <c r="CN31" i="3" s="1"/>
  <c r="CF30" i="3"/>
  <c r="CE30" i="3"/>
  <c r="CC30" i="3"/>
  <c r="CA30" i="3"/>
  <c r="BV30" i="3"/>
  <c r="BT30" i="3"/>
  <c r="BW30" i="3" s="1"/>
  <c r="BR30" i="3"/>
  <c r="BP30" i="3"/>
  <c r="BX30" i="3" s="1"/>
  <c r="BL30" i="3"/>
  <c r="BJ30" i="3"/>
  <c r="BH30" i="3"/>
  <c r="BF30" i="3"/>
  <c r="BD30" i="3"/>
  <c r="BB30" i="3"/>
  <c r="AZ30" i="3"/>
  <c r="BM30" i="3" s="1"/>
  <c r="BN30" i="3" s="1"/>
  <c r="AX30" i="3"/>
  <c r="AV30" i="3"/>
  <c r="AT30" i="3"/>
  <c r="AR30" i="3"/>
  <c r="AP30" i="3"/>
  <c r="BY30" i="3" s="1"/>
  <c r="AN30" i="3"/>
  <c r="AL30" i="3"/>
  <c r="AH30" i="3"/>
  <c r="AF30" i="3"/>
  <c r="AD30" i="3"/>
  <c r="AB30" i="3"/>
  <c r="X30" i="3"/>
  <c r="Y30" i="3" s="1"/>
  <c r="V30" i="3"/>
  <c r="T30" i="3"/>
  <c r="R30" i="3"/>
  <c r="P30" i="3"/>
  <c r="J30" i="3"/>
  <c r="E30" i="3"/>
  <c r="C30" i="3"/>
  <c r="F30" i="3" s="1"/>
  <c r="EG29" i="3"/>
  <c r="EE29" i="3"/>
  <c r="EC29" i="3"/>
  <c r="EA29" i="3"/>
  <c r="DX29" i="3"/>
  <c r="DY29" i="3" s="1"/>
  <c r="DU29" i="3"/>
  <c r="DV29" i="3" s="1"/>
  <c r="DR29" i="3"/>
  <c r="DO29" i="3"/>
  <c r="DP30" i="3" s="1"/>
  <c r="DL29" i="3"/>
  <c r="DM30" i="3" s="1"/>
  <c r="DI29" i="3"/>
  <c r="DJ29" i="3" s="1"/>
  <c r="DF29" i="3"/>
  <c r="DC29" i="3"/>
  <c r="DD29" i="3" s="1"/>
  <c r="CZ29" i="3"/>
  <c r="DA29" i="3" s="1"/>
  <c r="CW29" i="3"/>
  <c r="CX29" i="3" s="1"/>
  <c r="CU29" i="3"/>
  <c r="CT29" i="3"/>
  <c r="CQ29" i="3"/>
  <c r="CR29" i="3" s="1"/>
  <c r="CL29" i="3"/>
  <c r="CJ29" i="3"/>
  <c r="CM29" i="3" s="1"/>
  <c r="CN30" i="3" s="1"/>
  <c r="CH29" i="3"/>
  <c r="CE29" i="3"/>
  <c r="CF29" i="3" s="1"/>
  <c r="CC29" i="3"/>
  <c r="CA29" i="3"/>
  <c r="BX29" i="3"/>
  <c r="BW29" i="3"/>
  <c r="BV29" i="3"/>
  <c r="BT29" i="3"/>
  <c r="BR29" i="3"/>
  <c r="BP29" i="3"/>
  <c r="BM29" i="3"/>
  <c r="BL29" i="3"/>
  <c r="BJ29" i="3"/>
  <c r="BH29" i="3"/>
  <c r="BF29" i="3"/>
  <c r="BD29" i="3"/>
  <c r="BB29" i="3"/>
  <c r="AZ29" i="3"/>
  <c r="AX29" i="3"/>
  <c r="AV29" i="3"/>
  <c r="AT29" i="3"/>
  <c r="BY29" i="3" s="1"/>
  <c r="AR29" i="3"/>
  <c r="AP29" i="3"/>
  <c r="AN29" i="3"/>
  <c r="AL29" i="3"/>
  <c r="BN29" i="3" s="1"/>
  <c r="AH29" i="3"/>
  <c r="AF29" i="3"/>
  <c r="AD29" i="3"/>
  <c r="AB29" i="3"/>
  <c r="Y29" i="3"/>
  <c r="X29" i="3"/>
  <c r="V29" i="3"/>
  <c r="T29" i="3"/>
  <c r="R29" i="3"/>
  <c r="P29" i="3"/>
  <c r="J29" i="3"/>
  <c r="F29" i="3"/>
  <c r="E29" i="3"/>
  <c r="C29" i="3"/>
  <c r="EG28" i="3"/>
  <c r="EE28" i="3"/>
  <c r="EC28" i="3"/>
  <c r="EA28" i="3"/>
  <c r="DX28" i="3"/>
  <c r="DY28" i="3" s="1"/>
  <c r="DU28" i="3"/>
  <c r="DR28" i="3"/>
  <c r="DS29" i="3" s="1"/>
  <c r="DO28" i="3"/>
  <c r="DP28" i="3" s="1"/>
  <c r="DL28" i="3"/>
  <c r="DM28" i="3" s="1"/>
  <c r="DI28" i="3"/>
  <c r="DF28" i="3"/>
  <c r="DG29" i="3" s="1"/>
  <c r="DD28" i="3"/>
  <c r="DC28" i="3"/>
  <c r="DA28" i="3"/>
  <c r="CZ28" i="3"/>
  <c r="CX28" i="3"/>
  <c r="CW28" i="3"/>
  <c r="CT28" i="3"/>
  <c r="CU28" i="3" s="1"/>
  <c r="CR28" i="3"/>
  <c r="CQ28" i="3"/>
  <c r="CL28" i="3"/>
  <c r="CM28" i="3" s="1"/>
  <c r="CJ28" i="3"/>
  <c r="CH28" i="3"/>
  <c r="CE28" i="3"/>
  <c r="CF28" i="3" s="1"/>
  <c r="CC28" i="3"/>
  <c r="CA28" i="3"/>
  <c r="BX28" i="3"/>
  <c r="BW28" i="3"/>
  <c r="BV28" i="3"/>
  <c r="BT28" i="3"/>
  <c r="BR28" i="3"/>
  <c r="BP28" i="3"/>
  <c r="BL28" i="3"/>
  <c r="BJ28" i="3"/>
  <c r="BH28" i="3"/>
  <c r="BF28" i="3"/>
  <c r="BD28" i="3"/>
  <c r="BB28" i="3"/>
  <c r="AZ28" i="3"/>
  <c r="AX28" i="3"/>
  <c r="AV28" i="3"/>
  <c r="BY28" i="3" s="1"/>
  <c r="AT28" i="3"/>
  <c r="AR28" i="3"/>
  <c r="AP28" i="3"/>
  <c r="AN28" i="3"/>
  <c r="AL28" i="3"/>
  <c r="AH28" i="3"/>
  <c r="AD28" i="3"/>
  <c r="AB28" i="3"/>
  <c r="Y28" i="3"/>
  <c r="X28" i="3"/>
  <c r="V28" i="3"/>
  <c r="T28" i="3"/>
  <c r="R28" i="3"/>
  <c r="P28" i="3"/>
  <c r="N28" i="3"/>
  <c r="J28" i="3"/>
  <c r="F28" i="3"/>
  <c r="E28" i="3"/>
  <c r="C28" i="3"/>
  <c r="EG27" i="3"/>
  <c r="EE27" i="3"/>
  <c r="EC27" i="3"/>
  <c r="EA27" i="3"/>
  <c r="DY27" i="3"/>
  <c r="DX27" i="3"/>
  <c r="DU27" i="3"/>
  <c r="DV28" i="3" s="1"/>
  <c r="DR27" i="3"/>
  <c r="DP27" i="3"/>
  <c r="DO27" i="3"/>
  <c r="DM27" i="3"/>
  <c r="DL27" i="3"/>
  <c r="DI27" i="3"/>
  <c r="DF27" i="3"/>
  <c r="DG27" i="3" s="1"/>
  <c r="DC27" i="3"/>
  <c r="DD27" i="3" s="1"/>
  <c r="CZ27" i="3"/>
  <c r="DA27" i="3" s="1"/>
  <c r="CX27" i="3"/>
  <c r="CW27" i="3"/>
  <c r="CT27" i="3"/>
  <c r="CU27" i="3" s="1"/>
  <c r="CQ27" i="3"/>
  <c r="CR27" i="3" s="1"/>
  <c r="CM27" i="3"/>
  <c r="CN28" i="3" s="1"/>
  <c r="CL27" i="3"/>
  <c r="CJ27" i="3"/>
  <c r="CH27" i="3"/>
  <c r="CF27" i="3"/>
  <c r="CE27" i="3"/>
  <c r="CC27" i="3"/>
  <c r="CA27" i="3"/>
  <c r="BY27" i="3"/>
  <c r="BV27" i="3"/>
  <c r="BT27" i="3"/>
  <c r="BW27" i="3" s="1"/>
  <c r="BR27" i="3"/>
  <c r="BP27" i="3"/>
  <c r="BX27" i="3" s="1"/>
  <c r="BM27" i="3"/>
  <c r="BL27" i="3"/>
  <c r="BJ27" i="3"/>
  <c r="BH27" i="3"/>
  <c r="BF27" i="3"/>
  <c r="BD27" i="3"/>
  <c r="BB27" i="3"/>
  <c r="AZ27" i="3"/>
  <c r="AX27" i="3"/>
  <c r="AV27" i="3"/>
  <c r="AT27" i="3"/>
  <c r="AR27" i="3"/>
  <c r="AP27" i="3"/>
  <c r="AN27" i="3"/>
  <c r="AL27" i="3"/>
  <c r="BN27" i="3" s="1"/>
  <c r="AH27" i="3"/>
  <c r="AF27" i="3"/>
  <c r="AD27" i="3"/>
  <c r="AB27" i="3"/>
  <c r="X27" i="3"/>
  <c r="Y27" i="3" s="1"/>
  <c r="V27" i="3"/>
  <c r="T27" i="3"/>
  <c r="R27" i="3"/>
  <c r="P27" i="3"/>
  <c r="N27" i="3"/>
  <c r="J27" i="3"/>
  <c r="E27" i="3"/>
  <c r="F27" i="3" s="1"/>
  <c r="C27" i="3"/>
  <c r="EG26" i="3"/>
  <c r="EE26" i="3"/>
  <c r="EC26" i="3"/>
  <c r="EA26" i="3"/>
  <c r="DX26" i="3"/>
  <c r="DY26" i="3" s="1"/>
  <c r="DV26" i="3"/>
  <c r="DU26" i="3"/>
  <c r="DS26" i="3"/>
  <c r="DR26" i="3"/>
  <c r="DS27" i="3" s="1"/>
  <c r="DP26" i="3"/>
  <c r="DO26" i="3"/>
  <c r="DL26" i="3"/>
  <c r="DM26" i="3" s="1"/>
  <c r="DJ26" i="3"/>
  <c r="DI26" i="3"/>
  <c r="DG26" i="3"/>
  <c r="DF26" i="3"/>
  <c r="DD26" i="3"/>
  <c r="DC26" i="3"/>
  <c r="CZ26" i="3"/>
  <c r="DA26" i="3" s="1"/>
  <c r="CX26" i="3"/>
  <c r="CW26" i="3"/>
  <c r="CU26" i="3"/>
  <c r="CT26" i="3"/>
  <c r="CR26" i="3"/>
  <c r="CQ26" i="3"/>
  <c r="CL26" i="3"/>
  <c r="CJ26" i="3"/>
  <c r="CH26" i="3"/>
  <c r="CM26" i="3" s="1"/>
  <c r="CE26" i="3"/>
  <c r="CF26" i="3" s="1"/>
  <c r="CC26" i="3"/>
  <c r="CA26" i="3"/>
  <c r="BV26" i="3"/>
  <c r="BT26" i="3"/>
  <c r="BX26" i="3" s="1"/>
  <c r="BR26" i="3"/>
  <c r="BP26" i="3"/>
  <c r="BL26" i="3"/>
  <c r="BJ26" i="3"/>
  <c r="BH26" i="3"/>
  <c r="BF26" i="3"/>
  <c r="BD26" i="3"/>
  <c r="BB26" i="3"/>
  <c r="BM26" i="3" s="1"/>
  <c r="AZ26" i="3"/>
  <c r="AX26" i="3"/>
  <c r="AV26" i="3"/>
  <c r="AT26" i="3"/>
  <c r="AR26" i="3"/>
  <c r="AP26" i="3"/>
  <c r="AN26" i="3"/>
  <c r="AL26" i="3"/>
  <c r="BN26" i="3" s="1"/>
  <c r="AH26" i="3"/>
  <c r="AF26" i="3"/>
  <c r="AD26" i="3"/>
  <c r="AB26" i="3"/>
  <c r="Y26" i="3"/>
  <c r="X26" i="3"/>
  <c r="V26" i="3"/>
  <c r="T26" i="3"/>
  <c r="R26" i="3"/>
  <c r="P26" i="3"/>
  <c r="N26" i="3"/>
  <c r="L26" i="3"/>
  <c r="J26" i="3"/>
  <c r="E26" i="3"/>
  <c r="F26" i="3" s="1"/>
  <c r="C26" i="3"/>
  <c r="EG25" i="3"/>
  <c r="EE25" i="3"/>
  <c r="EC25" i="3"/>
  <c r="EA25" i="3"/>
  <c r="DY25" i="3"/>
  <c r="DX25" i="3"/>
  <c r="DV25" i="3"/>
  <c r="DU25" i="3"/>
  <c r="DR25" i="3"/>
  <c r="DP25" i="3"/>
  <c r="DO25" i="3"/>
  <c r="DM25" i="3"/>
  <c r="DL25" i="3"/>
  <c r="DJ25" i="3"/>
  <c r="DI25" i="3"/>
  <c r="DF25" i="3"/>
  <c r="DG25" i="3" s="1"/>
  <c r="DD25" i="3"/>
  <c r="DC25" i="3"/>
  <c r="DA25" i="3"/>
  <c r="CZ25" i="3"/>
  <c r="CX25" i="3"/>
  <c r="CW25" i="3"/>
  <c r="CT25" i="3"/>
  <c r="CU25" i="3" s="1"/>
  <c r="CR25" i="3"/>
  <c r="CQ25" i="3"/>
  <c r="CO25" i="3"/>
  <c r="CM25" i="3"/>
  <c r="CN26" i="3" s="1"/>
  <c r="CL25" i="3"/>
  <c r="CJ25" i="3"/>
  <c r="CH25" i="3"/>
  <c r="CF25" i="3"/>
  <c r="CE25" i="3"/>
  <c r="CC25" i="3"/>
  <c r="CA25" i="3"/>
  <c r="BV25" i="3"/>
  <c r="BT25" i="3"/>
  <c r="BW25" i="3" s="1"/>
  <c r="BR25" i="3"/>
  <c r="BP25" i="3"/>
  <c r="BX25" i="3" s="1"/>
  <c r="BM25" i="3"/>
  <c r="BL25" i="3"/>
  <c r="BJ25" i="3"/>
  <c r="BH25" i="3"/>
  <c r="BF25" i="3"/>
  <c r="BD25" i="3"/>
  <c r="BB25" i="3"/>
  <c r="AZ25" i="3"/>
  <c r="AX25" i="3"/>
  <c r="BY25" i="3" s="1"/>
  <c r="AV25" i="3"/>
  <c r="AT25" i="3"/>
  <c r="AR25" i="3"/>
  <c r="AP25" i="3"/>
  <c r="AN25" i="3"/>
  <c r="AL25" i="3"/>
  <c r="AH25" i="3"/>
  <c r="AF25" i="3"/>
  <c r="AD25" i="3"/>
  <c r="AB25" i="3"/>
  <c r="X25" i="3"/>
  <c r="Y25" i="3" s="1"/>
  <c r="V25" i="3"/>
  <c r="T25" i="3"/>
  <c r="R25" i="3"/>
  <c r="P25" i="3"/>
  <c r="N25" i="3"/>
  <c r="L25" i="3"/>
  <c r="J25" i="3"/>
  <c r="E25" i="3"/>
  <c r="C25" i="3"/>
  <c r="F25" i="3" s="1"/>
  <c r="EG24" i="3"/>
  <c r="EE24" i="3"/>
  <c r="EC24" i="3"/>
  <c r="EA24" i="3"/>
  <c r="DX24" i="3"/>
  <c r="DY24" i="3" s="1"/>
  <c r="DU24" i="3"/>
  <c r="DV24" i="3" s="1"/>
  <c r="DR24" i="3"/>
  <c r="DS24" i="3" s="1"/>
  <c r="DO24" i="3"/>
  <c r="DL24" i="3"/>
  <c r="DI24" i="3"/>
  <c r="DJ24" i="3" s="1"/>
  <c r="DF24" i="3"/>
  <c r="DG24" i="3" s="1"/>
  <c r="DD24" i="3"/>
  <c r="DC24" i="3"/>
  <c r="CZ24" i="3"/>
  <c r="DA24" i="3" s="1"/>
  <c r="CW24" i="3"/>
  <c r="CX24" i="3" s="1"/>
  <c r="CT24" i="3"/>
  <c r="CU24" i="3" s="1"/>
  <c r="CR24" i="3"/>
  <c r="CQ24" i="3"/>
  <c r="CL24" i="3"/>
  <c r="CJ24" i="3"/>
  <c r="CH24" i="3"/>
  <c r="CM24" i="3" s="1"/>
  <c r="CN25" i="3" s="1"/>
  <c r="CF24" i="3"/>
  <c r="CE24" i="3"/>
  <c r="CC24" i="3"/>
  <c r="CA24" i="3"/>
  <c r="BV24" i="3"/>
  <c r="BT24" i="3"/>
  <c r="BW24" i="3" s="1"/>
  <c r="BR24" i="3"/>
  <c r="BP24" i="3"/>
  <c r="BX24" i="3" s="1"/>
  <c r="BM24" i="3"/>
  <c r="BN24" i="3" s="1"/>
  <c r="BL24" i="3"/>
  <c r="BJ24" i="3"/>
  <c r="BH24" i="3"/>
  <c r="BF24" i="3"/>
  <c r="BD24" i="3"/>
  <c r="BB24" i="3"/>
  <c r="AZ24" i="3"/>
  <c r="AX24" i="3"/>
  <c r="AV24" i="3"/>
  <c r="AT24" i="3"/>
  <c r="AR24" i="3"/>
  <c r="AP24" i="3"/>
  <c r="BY24" i="3" s="1"/>
  <c r="AN24" i="3"/>
  <c r="AL24" i="3"/>
  <c r="AH24" i="3"/>
  <c r="AF24" i="3"/>
  <c r="AD24" i="3"/>
  <c r="AB24" i="3"/>
  <c r="X24" i="3"/>
  <c r="Y24" i="3" s="1"/>
  <c r="V24" i="3"/>
  <c r="T24" i="3"/>
  <c r="R24" i="3"/>
  <c r="P24" i="3"/>
  <c r="N24" i="3"/>
  <c r="L24" i="3"/>
  <c r="J24" i="3"/>
  <c r="F24" i="3"/>
  <c r="E24" i="3"/>
  <c r="C24" i="3"/>
  <c r="EG23" i="3"/>
  <c r="EE23" i="3"/>
  <c r="EC23" i="3"/>
  <c r="EA23" i="3"/>
  <c r="DX23" i="3"/>
  <c r="DY23" i="3" s="1"/>
  <c r="DU23" i="3"/>
  <c r="DR23" i="3"/>
  <c r="DO23" i="3"/>
  <c r="DP24" i="3" s="1"/>
  <c r="DL23" i="3"/>
  <c r="DM23" i="3" s="1"/>
  <c r="DI23" i="3"/>
  <c r="DF23" i="3"/>
  <c r="DC23" i="3"/>
  <c r="DD23" i="3" s="1"/>
  <c r="CZ23" i="3"/>
  <c r="DA23" i="3" s="1"/>
  <c r="CX23" i="3"/>
  <c r="CW23" i="3"/>
  <c r="CT23" i="3"/>
  <c r="CU23" i="3" s="1"/>
  <c r="CQ23" i="3"/>
  <c r="CR23" i="3" s="1"/>
  <c r="CM23" i="3"/>
  <c r="CN24" i="3" s="1"/>
  <c r="CL23" i="3"/>
  <c r="CJ23" i="3"/>
  <c r="CH23" i="3"/>
  <c r="CF23" i="3"/>
  <c r="CE23" i="3"/>
  <c r="CC23" i="3"/>
  <c r="CA23" i="3"/>
  <c r="BY23" i="3"/>
  <c r="BV23" i="3"/>
  <c r="BT23" i="3"/>
  <c r="BW23" i="3" s="1"/>
  <c r="BR23" i="3"/>
  <c r="BP23" i="3"/>
  <c r="BX23" i="3" s="1"/>
  <c r="BM23" i="3"/>
  <c r="BL23" i="3"/>
  <c r="BJ23" i="3"/>
  <c r="BH23" i="3"/>
  <c r="BF23" i="3"/>
  <c r="BD23" i="3"/>
  <c r="BB23" i="3"/>
  <c r="AZ23" i="3"/>
  <c r="AX23" i="3"/>
  <c r="AV23" i="3"/>
  <c r="AT23" i="3"/>
  <c r="AR23" i="3"/>
  <c r="AP23" i="3"/>
  <c r="AN23" i="3"/>
  <c r="AL23" i="3"/>
  <c r="BN23" i="3" s="1"/>
  <c r="AH23" i="3"/>
  <c r="AF23" i="3"/>
  <c r="AD23" i="3"/>
  <c r="AB23" i="3"/>
  <c r="X23" i="3"/>
  <c r="Y23" i="3" s="1"/>
  <c r="V23" i="3"/>
  <c r="T23" i="3"/>
  <c r="R23" i="3"/>
  <c r="P23" i="3"/>
  <c r="N23" i="3"/>
  <c r="L23" i="3"/>
  <c r="J23" i="3"/>
  <c r="E23" i="3"/>
  <c r="C23" i="3"/>
  <c r="F23" i="3" s="1"/>
  <c r="EG22" i="3"/>
  <c r="EE22" i="3"/>
  <c r="EC22" i="3"/>
  <c r="EA22" i="3"/>
  <c r="DX22" i="3"/>
  <c r="DY22" i="3" s="1"/>
  <c r="DU22" i="3"/>
  <c r="DV23" i="3" s="1"/>
  <c r="DR22" i="3"/>
  <c r="DS22" i="3" s="1"/>
  <c r="DO22" i="3"/>
  <c r="DL22" i="3"/>
  <c r="DM22" i="3" s="1"/>
  <c r="DI22" i="3"/>
  <c r="DJ23" i="3" s="1"/>
  <c r="DF22" i="3"/>
  <c r="DG22" i="3" s="1"/>
  <c r="DD22" i="3"/>
  <c r="DC22" i="3"/>
  <c r="CZ22" i="3"/>
  <c r="DA22" i="3" s="1"/>
  <c r="CW22" i="3"/>
  <c r="CX22" i="3" s="1"/>
  <c r="CT22" i="3"/>
  <c r="CU22" i="3" s="1"/>
  <c r="CR22" i="3"/>
  <c r="CQ22" i="3"/>
  <c r="CL22" i="3"/>
  <c r="CJ22" i="3"/>
  <c r="CH22" i="3"/>
  <c r="CM22" i="3" s="1"/>
  <c r="CF22" i="3"/>
  <c r="CE22" i="3"/>
  <c r="CC22" i="3"/>
  <c r="CA22" i="3"/>
  <c r="BV22" i="3"/>
  <c r="BT22" i="3"/>
  <c r="BW22" i="3" s="1"/>
  <c r="BR22" i="3"/>
  <c r="BP22" i="3"/>
  <c r="BX22" i="3" s="1"/>
  <c r="BM22" i="3"/>
  <c r="BN22" i="3" s="1"/>
  <c r="BL22" i="3"/>
  <c r="BJ22" i="3"/>
  <c r="BH22" i="3"/>
  <c r="BF22" i="3"/>
  <c r="BD22" i="3"/>
  <c r="BB22" i="3"/>
  <c r="AZ22" i="3"/>
  <c r="AX22" i="3"/>
  <c r="AV22" i="3"/>
  <c r="AT22" i="3"/>
  <c r="AR22" i="3"/>
  <c r="AP22" i="3"/>
  <c r="BY22" i="3" s="1"/>
  <c r="AN22" i="3"/>
  <c r="AL22" i="3"/>
  <c r="AH22" i="3"/>
  <c r="AF22" i="3"/>
  <c r="AD22" i="3"/>
  <c r="AB22" i="3"/>
  <c r="X22" i="3"/>
  <c r="Y22" i="3" s="1"/>
  <c r="V22" i="3"/>
  <c r="T22" i="3"/>
  <c r="R22" i="3"/>
  <c r="P22" i="3"/>
  <c r="N22" i="3"/>
  <c r="L22" i="3"/>
  <c r="J22" i="3"/>
  <c r="F22" i="3"/>
  <c r="E22" i="3"/>
  <c r="C22" i="3"/>
  <c r="EG21" i="3"/>
  <c r="EE21" i="3"/>
  <c r="EC21" i="3"/>
  <c r="EA21" i="3"/>
  <c r="DX21" i="3"/>
  <c r="DY21" i="3" s="1"/>
  <c r="DU21" i="3"/>
  <c r="DR21" i="3"/>
  <c r="DO21" i="3"/>
  <c r="DP22" i="3" s="1"/>
  <c r="DL21" i="3"/>
  <c r="DM21" i="3" s="1"/>
  <c r="DI21" i="3"/>
  <c r="DF21" i="3"/>
  <c r="DG21" i="3" s="1"/>
  <c r="DC21" i="3"/>
  <c r="DD21" i="3" s="1"/>
  <c r="CZ21" i="3"/>
  <c r="DA21" i="3" s="1"/>
  <c r="CX21" i="3"/>
  <c r="CW21" i="3"/>
  <c r="CT21" i="3"/>
  <c r="CU21" i="3" s="1"/>
  <c r="CQ21" i="3"/>
  <c r="CR21" i="3" s="1"/>
  <c r="CM21" i="3"/>
  <c r="CN22" i="3" s="1"/>
  <c r="CL21" i="3"/>
  <c r="CJ21" i="3"/>
  <c r="CH21" i="3"/>
  <c r="CF21" i="3"/>
  <c r="CE21" i="3"/>
  <c r="CC21" i="3"/>
  <c r="CA21" i="3"/>
  <c r="BY21" i="3"/>
  <c r="BV21" i="3"/>
  <c r="BT21" i="3"/>
  <c r="BW21" i="3" s="1"/>
  <c r="BR21" i="3"/>
  <c r="BP21" i="3"/>
  <c r="BX21" i="3" s="1"/>
  <c r="BM21" i="3"/>
  <c r="BL21" i="3"/>
  <c r="BJ21" i="3"/>
  <c r="BH21" i="3"/>
  <c r="BF21" i="3"/>
  <c r="BD21" i="3"/>
  <c r="BB21" i="3"/>
  <c r="AZ21" i="3"/>
  <c r="AX21" i="3"/>
  <c r="AV21" i="3"/>
  <c r="AT21" i="3"/>
  <c r="AR21" i="3"/>
  <c r="AP21" i="3"/>
  <c r="AN21" i="3"/>
  <c r="AL21" i="3"/>
  <c r="AH21" i="3"/>
  <c r="AF21" i="3"/>
  <c r="AD21" i="3"/>
  <c r="AB21" i="3"/>
  <c r="X21" i="3"/>
  <c r="Y21" i="3" s="1"/>
  <c r="V21" i="3"/>
  <c r="T21" i="3"/>
  <c r="R21" i="3"/>
  <c r="P21" i="3"/>
  <c r="N21" i="3"/>
  <c r="L21" i="3"/>
  <c r="J21" i="3"/>
  <c r="E21" i="3"/>
  <c r="C21" i="3"/>
  <c r="F21" i="3" s="1"/>
  <c r="EG20" i="3"/>
  <c r="EE20" i="3"/>
  <c r="EC20" i="3"/>
  <c r="EA20" i="3"/>
  <c r="DX20" i="3"/>
  <c r="DY20" i="3" s="1"/>
  <c r="DU20" i="3"/>
  <c r="DV21" i="3" s="1"/>
  <c r="DR20" i="3"/>
  <c r="DS20" i="3" s="1"/>
  <c r="DO20" i="3"/>
  <c r="DL20" i="3"/>
  <c r="DM20" i="3" s="1"/>
  <c r="DI20" i="3"/>
  <c r="DJ21" i="3" s="1"/>
  <c r="DF20" i="3"/>
  <c r="DG20" i="3" s="1"/>
  <c r="DD20" i="3"/>
  <c r="DC20" i="3"/>
  <c r="CZ20" i="3"/>
  <c r="DA20" i="3" s="1"/>
  <c r="CW20" i="3"/>
  <c r="CX20" i="3" s="1"/>
  <c r="CT20" i="3"/>
  <c r="CU20" i="3" s="1"/>
  <c r="CR20" i="3"/>
  <c r="CQ20" i="3"/>
  <c r="CL20" i="3"/>
  <c r="CJ20" i="3"/>
  <c r="CH20" i="3"/>
  <c r="CM20" i="3" s="1"/>
  <c r="CN21" i="3" s="1"/>
  <c r="CF20" i="3"/>
  <c r="CE20" i="3"/>
  <c r="CC20" i="3"/>
  <c r="CA20" i="3"/>
  <c r="BV20" i="3"/>
  <c r="BT20" i="3"/>
  <c r="BW20" i="3" s="1"/>
  <c r="BR20" i="3"/>
  <c r="BP20" i="3"/>
  <c r="BM20" i="3"/>
  <c r="BN20" i="3" s="1"/>
  <c r="BL20" i="3"/>
  <c r="BJ20" i="3"/>
  <c r="BH20" i="3"/>
  <c r="BF20" i="3"/>
  <c r="BD20" i="3"/>
  <c r="BB20" i="3"/>
  <c r="AZ20" i="3"/>
  <c r="AX20" i="3"/>
  <c r="AV20" i="3"/>
  <c r="AT20" i="3"/>
  <c r="AR20" i="3"/>
  <c r="AP20" i="3"/>
  <c r="BY20" i="3" s="1"/>
  <c r="AN20" i="3"/>
  <c r="AL20" i="3"/>
  <c r="AH20" i="3"/>
  <c r="AF20" i="3"/>
  <c r="AD20" i="3"/>
  <c r="AB20" i="3"/>
  <c r="Y20" i="3"/>
  <c r="V20" i="3"/>
  <c r="T20" i="3"/>
  <c r="R20" i="3"/>
  <c r="P20" i="3"/>
  <c r="N20" i="3"/>
  <c r="L20" i="3"/>
  <c r="J20" i="3"/>
  <c r="E20" i="3"/>
  <c r="F20" i="3" s="1"/>
  <c r="C20" i="3"/>
  <c r="EI19" i="3"/>
  <c r="EG19" i="3"/>
  <c r="EE19" i="3"/>
  <c r="EC19" i="3"/>
  <c r="EA19" i="3"/>
  <c r="DX19" i="3"/>
  <c r="DY19" i="3" s="1"/>
  <c r="DU19" i="3"/>
  <c r="DR19" i="3"/>
  <c r="DS19" i="3" s="1"/>
  <c r="DO19" i="3"/>
  <c r="DP20" i="3" s="1"/>
  <c r="DL19" i="3"/>
  <c r="DM19" i="3" s="1"/>
  <c r="DI19" i="3"/>
  <c r="DF19" i="3"/>
  <c r="DG19" i="3" s="1"/>
  <c r="DC19" i="3"/>
  <c r="DD19" i="3" s="1"/>
  <c r="CZ19" i="3"/>
  <c r="DA19" i="3" s="1"/>
  <c r="CX19" i="3"/>
  <c r="CW19" i="3"/>
  <c r="CT19" i="3"/>
  <c r="CU19" i="3" s="1"/>
  <c r="CQ19" i="3"/>
  <c r="CR19" i="3" s="1"/>
  <c r="CM19" i="3"/>
  <c r="CN20" i="3" s="1"/>
  <c r="CL19" i="3"/>
  <c r="CJ19" i="3"/>
  <c r="CH19" i="3"/>
  <c r="CF19" i="3"/>
  <c r="CE19" i="3"/>
  <c r="CC19" i="3"/>
  <c r="CA19" i="3"/>
  <c r="BY19" i="3"/>
  <c r="BV19" i="3"/>
  <c r="BT19" i="3"/>
  <c r="BW19" i="3" s="1"/>
  <c r="BR19" i="3"/>
  <c r="BP19" i="3"/>
  <c r="BX19" i="3" s="1"/>
  <c r="BM19" i="3"/>
  <c r="BL19" i="3"/>
  <c r="BJ19" i="3"/>
  <c r="BH19" i="3"/>
  <c r="BF19" i="3"/>
  <c r="BD19" i="3"/>
  <c r="BB19" i="3"/>
  <c r="AZ19" i="3"/>
  <c r="AX19" i="3"/>
  <c r="AV19" i="3"/>
  <c r="AT19" i="3"/>
  <c r="AR19" i="3"/>
  <c r="AP19" i="3"/>
  <c r="AN19" i="3"/>
  <c r="AL19" i="3"/>
  <c r="BN19" i="3" s="1"/>
  <c r="AH19" i="3"/>
  <c r="AF19" i="3"/>
  <c r="AD19" i="3"/>
  <c r="AB19" i="3"/>
  <c r="X19" i="3"/>
  <c r="Y19" i="3" s="1"/>
  <c r="V19" i="3"/>
  <c r="T19" i="3"/>
  <c r="R19" i="3"/>
  <c r="P19" i="3"/>
  <c r="N19" i="3"/>
  <c r="L19" i="3"/>
  <c r="J19" i="3"/>
  <c r="E19" i="3"/>
  <c r="C19" i="3"/>
  <c r="F19" i="3" s="1"/>
  <c r="EI18" i="3"/>
  <c r="EG18" i="3"/>
  <c r="EE18" i="3"/>
  <c r="EC18" i="3"/>
  <c r="EA18" i="3"/>
  <c r="DY18" i="3"/>
  <c r="DX18" i="3"/>
  <c r="DV18" i="3"/>
  <c r="DU18" i="3"/>
  <c r="DV19" i="3" s="1"/>
  <c r="DS18" i="3"/>
  <c r="DR18" i="3"/>
  <c r="DO18" i="3"/>
  <c r="DP18" i="3" s="1"/>
  <c r="DL18" i="3"/>
  <c r="DJ18" i="3"/>
  <c r="DI18" i="3"/>
  <c r="DJ19" i="3" s="1"/>
  <c r="DG18" i="3"/>
  <c r="DF18" i="3"/>
  <c r="DC18" i="3"/>
  <c r="DD18" i="3" s="1"/>
  <c r="DA18" i="3"/>
  <c r="CZ18" i="3"/>
  <c r="CX18" i="3"/>
  <c r="CW18" i="3"/>
  <c r="CU18" i="3"/>
  <c r="CT18" i="3"/>
  <c r="CQ18" i="3"/>
  <c r="CR18" i="3" s="1"/>
  <c r="CL18" i="3"/>
  <c r="CJ18" i="3"/>
  <c r="CH18" i="3"/>
  <c r="CM18" i="3" s="1"/>
  <c r="CN19" i="3" s="1"/>
  <c r="CF18" i="3"/>
  <c r="CE18" i="3"/>
  <c r="CC18" i="3"/>
  <c r="CA18" i="3"/>
  <c r="BX18" i="3"/>
  <c r="BV18" i="3"/>
  <c r="BT18" i="3"/>
  <c r="BW18" i="3" s="1"/>
  <c r="BR18" i="3"/>
  <c r="BP18" i="3"/>
  <c r="BL18" i="3"/>
  <c r="BJ18" i="3"/>
  <c r="BH18" i="3"/>
  <c r="BF18" i="3"/>
  <c r="BD18" i="3"/>
  <c r="BB18" i="3"/>
  <c r="BM18" i="3" s="1"/>
  <c r="BN18" i="3" s="1"/>
  <c r="AZ18" i="3"/>
  <c r="AX18" i="3"/>
  <c r="AV18" i="3"/>
  <c r="AT18" i="3"/>
  <c r="AR18" i="3"/>
  <c r="AP18" i="3"/>
  <c r="AN18" i="3"/>
  <c r="AL18" i="3"/>
  <c r="AH18" i="3"/>
  <c r="AD18" i="3"/>
  <c r="AB18" i="3"/>
  <c r="X18" i="3"/>
  <c r="Y18" i="3" s="1"/>
  <c r="V18" i="3"/>
  <c r="T18" i="3"/>
  <c r="R18" i="3"/>
  <c r="P18" i="3"/>
  <c r="N18" i="3"/>
  <c r="L18" i="3"/>
  <c r="J18" i="3"/>
  <c r="F18" i="3"/>
  <c r="E18" i="3"/>
  <c r="C18" i="3"/>
  <c r="EI17" i="3"/>
  <c r="EG17" i="3"/>
  <c r="EE17" i="3"/>
  <c r="EC17" i="3"/>
  <c r="EA17" i="3"/>
  <c r="DY17" i="3"/>
  <c r="DX17" i="3"/>
  <c r="DU17" i="3"/>
  <c r="DS17" i="3"/>
  <c r="DR17" i="3"/>
  <c r="DP17" i="3"/>
  <c r="DO17" i="3"/>
  <c r="DM17" i="3"/>
  <c r="DL17" i="3"/>
  <c r="DM18" i="3" s="1"/>
  <c r="DI17" i="3"/>
  <c r="DG17" i="3"/>
  <c r="DF17" i="3"/>
  <c r="DD17" i="3"/>
  <c r="DC17" i="3"/>
  <c r="DA17" i="3"/>
  <c r="CZ17" i="3"/>
  <c r="CW17" i="3"/>
  <c r="CX17" i="3" s="1"/>
  <c r="CU17" i="3"/>
  <c r="CT17" i="3"/>
  <c r="CR17" i="3"/>
  <c r="CQ17" i="3"/>
  <c r="CO17" i="3"/>
  <c r="CL17" i="3"/>
  <c r="CJ17" i="3"/>
  <c r="CH17" i="3"/>
  <c r="CM17" i="3" s="1"/>
  <c r="CN18" i="3" s="1"/>
  <c r="CF17" i="3"/>
  <c r="CE17" i="3"/>
  <c r="CC17" i="3"/>
  <c r="CA17" i="3"/>
  <c r="BV17" i="3"/>
  <c r="BT17" i="3"/>
  <c r="BR17" i="3"/>
  <c r="BP17" i="3"/>
  <c r="BX17" i="3" s="1"/>
  <c r="BL17" i="3"/>
  <c r="BJ17" i="3"/>
  <c r="BH17" i="3"/>
  <c r="BF17" i="3"/>
  <c r="BD17" i="3"/>
  <c r="BB17" i="3"/>
  <c r="BM17" i="3" s="1"/>
  <c r="AZ17" i="3"/>
  <c r="AX17" i="3"/>
  <c r="AV17" i="3"/>
  <c r="AT17" i="3"/>
  <c r="AR17" i="3"/>
  <c r="AP17" i="3"/>
  <c r="BY17" i="3" s="1"/>
  <c r="AN17" i="3"/>
  <c r="AL17" i="3"/>
  <c r="BN17" i="3" s="1"/>
  <c r="AH17" i="3"/>
  <c r="AF17" i="3"/>
  <c r="AD17" i="3"/>
  <c r="AB17" i="3"/>
  <c r="X17" i="3"/>
  <c r="Y17" i="3" s="1"/>
  <c r="V17" i="3"/>
  <c r="T17" i="3"/>
  <c r="R17" i="3"/>
  <c r="P17" i="3"/>
  <c r="N17" i="3"/>
  <c r="L17" i="3"/>
  <c r="J17" i="3"/>
  <c r="E17" i="3"/>
  <c r="C17" i="3"/>
  <c r="F17" i="3" s="1"/>
  <c r="EG16" i="3"/>
  <c r="EE16" i="3"/>
  <c r="EC16" i="3"/>
  <c r="EA16" i="3"/>
  <c r="DX16" i="3"/>
  <c r="DY16" i="3" s="1"/>
  <c r="DU16" i="3"/>
  <c r="DV16" i="3" s="1"/>
  <c r="DR16" i="3"/>
  <c r="DO16" i="3"/>
  <c r="DP16" i="3" s="1"/>
  <c r="DL16" i="3"/>
  <c r="DM16" i="3" s="1"/>
  <c r="DI16" i="3"/>
  <c r="DJ16" i="3" s="1"/>
  <c r="DF16" i="3"/>
  <c r="DC16" i="3"/>
  <c r="DD16" i="3" s="1"/>
  <c r="CZ16" i="3"/>
  <c r="DA16" i="3" s="1"/>
  <c r="CW16" i="3"/>
  <c r="CX16" i="3" s="1"/>
  <c r="CU16" i="3"/>
  <c r="CT16" i="3"/>
  <c r="CQ16" i="3"/>
  <c r="CR16" i="3" s="1"/>
  <c r="CL16" i="3"/>
  <c r="CJ16" i="3"/>
  <c r="CM16" i="3" s="1"/>
  <c r="CH16" i="3"/>
  <c r="CE16" i="3"/>
  <c r="CF16" i="3" s="1"/>
  <c r="CC16" i="3"/>
  <c r="CA16" i="3"/>
  <c r="BX16" i="3"/>
  <c r="BW16" i="3"/>
  <c r="BV16" i="3"/>
  <c r="BT16" i="3"/>
  <c r="BR16" i="3"/>
  <c r="BP16" i="3"/>
  <c r="BM16" i="3"/>
  <c r="BL16" i="3"/>
  <c r="BJ16" i="3"/>
  <c r="BH16" i="3"/>
  <c r="BF16" i="3"/>
  <c r="BD16" i="3"/>
  <c r="BB16" i="3"/>
  <c r="AZ16" i="3"/>
  <c r="AX16" i="3"/>
  <c r="AV16" i="3"/>
  <c r="AT16" i="3"/>
  <c r="BY16" i="3" s="1"/>
  <c r="AR16" i="3"/>
  <c r="AP16" i="3"/>
  <c r="AN16" i="3"/>
  <c r="AL16" i="3"/>
  <c r="BN16" i="3" s="1"/>
  <c r="AH16" i="3"/>
  <c r="AF16" i="3"/>
  <c r="AD16" i="3"/>
  <c r="AB16" i="3"/>
  <c r="Z16" i="3"/>
  <c r="X16" i="3"/>
  <c r="Y16" i="3" s="1"/>
  <c r="V16" i="3"/>
  <c r="T16" i="3"/>
  <c r="R16" i="3"/>
  <c r="P16" i="3"/>
  <c r="N16" i="3"/>
  <c r="L16" i="3"/>
  <c r="J16" i="3"/>
  <c r="E16" i="3"/>
  <c r="F16" i="3" s="1"/>
  <c r="C16" i="3"/>
  <c r="EG15" i="3"/>
  <c r="EE15" i="3"/>
  <c r="EC15" i="3"/>
  <c r="EA15" i="3"/>
  <c r="DX15" i="3"/>
  <c r="DY15" i="3" s="1"/>
  <c r="DU15" i="3"/>
  <c r="DS15" i="3"/>
  <c r="DR15" i="3"/>
  <c r="DS16" i="3" s="1"/>
  <c r="DP15" i="3"/>
  <c r="DO15" i="3"/>
  <c r="DL15" i="3"/>
  <c r="DM15" i="3" s="1"/>
  <c r="DI15" i="3"/>
  <c r="DG15" i="3"/>
  <c r="DF15" i="3"/>
  <c r="DG16" i="3" s="1"/>
  <c r="DD15" i="3"/>
  <c r="DC15" i="3"/>
  <c r="CZ15" i="3"/>
  <c r="DA15" i="3" s="1"/>
  <c r="CX15" i="3"/>
  <c r="CW15" i="3"/>
  <c r="CU15" i="3"/>
  <c r="CT15" i="3"/>
  <c r="CR15" i="3"/>
  <c r="CQ15" i="3"/>
  <c r="CL15" i="3"/>
  <c r="CJ15" i="3"/>
  <c r="CH15" i="3"/>
  <c r="CM15" i="3" s="1"/>
  <c r="CN16" i="3" s="1"/>
  <c r="CE15" i="3"/>
  <c r="CF15" i="3" s="1"/>
  <c r="CC15" i="3"/>
  <c r="CA15" i="3"/>
  <c r="BV15" i="3"/>
  <c r="BT15" i="3"/>
  <c r="BW15" i="3" s="1"/>
  <c r="BR15" i="3"/>
  <c r="BP15" i="3"/>
  <c r="BX15" i="3" s="1"/>
  <c r="BL15" i="3"/>
  <c r="BJ15" i="3"/>
  <c r="BH15" i="3"/>
  <c r="BF15" i="3"/>
  <c r="BD15" i="3"/>
  <c r="BB15" i="3"/>
  <c r="BM15" i="3" s="1"/>
  <c r="AZ15" i="3"/>
  <c r="AX15" i="3"/>
  <c r="AV15" i="3"/>
  <c r="AT15" i="3"/>
  <c r="AR15" i="3"/>
  <c r="AP15" i="3"/>
  <c r="AN15" i="3"/>
  <c r="AL15" i="3"/>
  <c r="BN15" i="3" s="1"/>
  <c r="AH15" i="3"/>
  <c r="AF15" i="3"/>
  <c r="AD15" i="3"/>
  <c r="AB15" i="3"/>
  <c r="Y15" i="3"/>
  <c r="X15" i="3"/>
  <c r="V15" i="3"/>
  <c r="T15" i="3"/>
  <c r="R15" i="3"/>
  <c r="P15" i="3"/>
  <c r="N15" i="3"/>
  <c r="L15" i="3"/>
  <c r="J15" i="3"/>
  <c r="E15" i="3"/>
  <c r="F15" i="3" s="1"/>
  <c r="C15" i="3"/>
  <c r="EG14" i="3"/>
  <c r="EE14" i="3"/>
  <c r="EC14" i="3"/>
  <c r="EA14" i="3"/>
  <c r="DY14" i="3"/>
  <c r="DX14" i="3"/>
  <c r="DV14" i="3"/>
  <c r="DU14" i="3"/>
  <c r="DV15" i="3" s="1"/>
  <c r="DR14" i="3"/>
  <c r="DS14" i="3" s="1"/>
  <c r="DO14" i="3"/>
  <c r="DM14" i="3"/>
  <c r="DL14" i="3"/>
  <c r="DJ14" i="3"/>
  <c r="DI14" i="3"/>
  <c r="DJ15" i="3" s="1"/>
  <c r="DF14" i="3"/>
  <c r="DG14" i="3" s="1"/>
  <c r="DD14" i="3"/>
  <c r="DC14" i="3"/>
  <c r="DA14" i="3"/>
  <c r="CZ14" i="3"/>
  <c r="CX14" i="3"/>
  <c r="CW14" i="3"/>
  <c r="CT14" i="3"/>
  <c r="CU14" i="3" s="1"/>
  <c r="CR14" i="3"/>
  <c r="CQ14" i="3"/>
  <c r="CN14" i="3"/>
  <c r="CL14" i="3"/>
  <c r="CM14" i="3" s="1"/>
  <c r="CJ14" i="3"/>
  <c r="CH14" i="3"/>
  <c r="CE14" i="3"/>
  <c r="CF14" i="3" s="1"/>
  <c r="CC14" i="3"/>
  <c r="CA14" i="3"/>
  <c r="BX14" i="3"/>
  <c r="BW14" i="3"/>
  <c r="BV14" i="3"/>
  <c r="BT14" i="3"/>
  <c r="BR14" i="3"/>
  <c r="BP14" i="3"/>
  <c r="BL14" i="3"/>
  <c r="BJ14" i="3"/>
  <c r="BH14" i="3"/>
  <c r="BD14" i="3"/>
  <c r="BB14" i="3"/>
  <c r="AZ14" i="3"/>
  <c r="AX14" i="3"/>
  <c r="AV14" i="3"/>
  <c r="BM14" i="3" s="1"/>
  <c r="BN14" i="3" s="1"/>
  <c r="AT14" i="3"/>
  <c r="BY14" i="3" s="1"/>
  <c r="AR14" i="3"/>
  <c r="AP14" i="3"/>
  <c r="AN14" i="3"/>
  <c r="AL14" i="3"/>
  <c r="AH14" i="3"/>
  <c r="AF14" i="3"/>
  <c r="AD14" i="3"/>
  <c r="AB14" i="3"/>
  <c r="Y14" i="3"/>
  <c r="X14" i="3"/>
  <c r="V14" i="3"/>
  <c r="T14" i="3"/>
  <c r="R14" i="3"/>
  <c r="P14" i="3"/>
  <c r="N14" i="3"/>
  <c r="J14" i="3"/>
  <c r="F14" i="3"/>
  <c r="E14" i="3"/>
  <c r="C14" i="3"/>
  <c r="EG13" i="3"/>
  <c r="EE13" i="3"/>
  <c r="EC13" i="3"/>
  <c r="EA13" i="3"/>
  <c r="DY13" i="3"/>
  <c r="DX13" i="3"/>
  <c r="DU13" i="3"/>
  <c r="DV13" i="3" s="1"/>
  <c r="DR13" i="3"/>
  <c r="DP13" i="3"/>
  <c r="DO13" i="3"/>
  <c r="DP14" i="3" s="1"/>
  <c r="DM13" i="3"/>
  <c r="DL13" i="3"/>
  <c r="DI13" i="3"/>
  <c r="DJ13" i="3" s="1"/>
  <c r="DF13" i="3"/>
  <c r="DD13" i="3"/>
  <c r="DC13" i="3"/>
  <c r="DA13" i="3"/>
  <c r="CZ13" i="3"/>
  <c r="CW13" i="3"/>
  <c r="CX13" i="3" s="1"/>
  <c r="CU13" i="3"/>
  <c r="CT13" i="3"/>
  <c r="CR13" i="3"/>
  <c r="CQ13" i="3"/>
  <c r="CM13" i="3"/>
  <c r="CL13" i="3"/>
  <c r="CJ13" i="3"/>
  <c r="CH13" i="3"/>
  <c r="CE13" i="3"/>
  <c r="CF13" i="3" s="1"/>
  <c r="CC13" i="3"/>
  <c r="CA13" i="3"/>
  <c r="BV13" i="3"/>
  <c r="BT13" i="3"/>
  <c r="BR13" i="3"/>
  <c r="BP13" i="3"/>
  <c r="BX13" i="3" s="1"/>
  <c r="BL13" i="3"/>
  <c r="BJ13" i="3"/>
  <c r="BH13" i="3"/>
  <c r="BF13" i="3"/>
  <c r="BD13" i="3"/>
  <c r="BB13" i="3"/>
  <c r="AZ13" i="3"/>
  <c r="AX13" i="3"/>
  <c r="BY13" i="3" s="1"/>
  <c r="AV13" i="3"/>
  <c r="AT13" i="3"/>
  <c r="AR13" i="3"/>
  <c r="AP13" i="3"/>
  <c r="AN13" i="3"/>
  <c r="AL13" i="3"/>
  <c r="BW13" i="3" s="1"/>
  <c r="AH13" i="3"/>
  <c r="AF13" i="3"/>
  <c r="AD13" i="3"/>
  <c r="AB13" i="3"/>
  <c r="Y13" i="3"/>
  <c r="X13" i="3"/>
  <c r="V13" i="3"/>
  <c r="T13" i="3"/>
  <c r="R13" i="3"/>
  <c r="P13" i="3"/>
  <c r="N13" i="3"/>
  <c r="J13" i="3"/>
  <c r="E13" i="3"/>
  <c r="C13" i="3"/>
  <c r="F13" i="3" s="1"/>
  <c r="EG12" i="3"/>
  <c r="EE12" i="3"/>
  <c r="EC12" i="3"/>
  <c r="EA12" i="3"/>
  <c r="DX12" i="3"/>
  <c r="DY12" i="3" s="1"/>
  <c r="DU12" i="3"/>
  <c r="DR12" i="3"/>
  <c r="DP12" i="3"/>
  <c r="DO12" i="3"/>
  <c r="DL12" i="3"/>
  <c r="DI12" i="3"/>
  <c r="DF12" i="3"/>
  <c r="DD12" i="3"/>
  <c r="DC12" i="3"/>
  <c r="CZ12" i="3"/>
  <c r="DA12" i="3" s="1"/>
  <c r="CW12" i="3"/>
  <c r="CX12" i="3" s="1"/>
  <c r="CU12" i="3"/>
  <c r="CT12" i="3"/>
  <c r="CR12" i="3"/>
  <c r="CQ12" i="3"/>
  <c r="CL12" i="3"/>
  <c r="CJ12" i="3"/>
  <c r="CH12" i="3"/>
  <c r="CM12" i="3" s="1"/>
  <c r="CN13" i="3" s="1"/>
  <c r="CF12" i="3"/>
  <c r="CE12" i="3"/>
  <c r="CC12" i="3"/>
  <c r="CA12" i="3"/>
  <c r="BW12" i="3"/>
  <c r="BV12" i="3"/>
  <c r="BT12" i="3"/>
  <c r="BR12" i="3"/>
  <c r="BP12" i="3"/>
  <c r="BM12" i="3"/>
  <c r="BN12" i="3" s="1"/>
  <c r="BL12" i="3"/>
  <c r="BJ12" i="3"/>
  <c r="BH12" i="3"/>
  <c r="BF12" i="3"/>
  <c r="BD12" i="3"/>
  <c r="BB12" i="3"/>
  <c r="AZ12" i="3"/>
  <c r="AX12" i="3"/>
  <c r="AV12" i="3"/>
  <c r="AT12" i="3"/>
  <c r="AR12" i="3"/>
  <c r="AP12" i="3"/>
  <c r="AN12" i="3"/>
  <c r="AL12" i="3"/>
  <c r="AH12" i="3"/>
  <c r="AF12" i="3"/>
  <c r="AD12" i="3"/>
  <c r="AB12" i="3"/>
  <c r="Y12" i="3"/>
  <c r="X12" i="3"/>
  <c r="V12" i="3"/>
  <c r="T12" i="3"/>
  <c r="R12" i="3"/>
  <c r="P12" i="3"/>
  <c r="N12" i="3"/>
  <c r="J12" i="3"/>
  <c r="F12" i="3"/>
  <c r="E12" i="3"/>
  <c r="C12" i="3"/>
  <c r="EG11" i="3"/>
  <c r="EE11" i="3"/>
  <c r="EC11" i="3"/>
  <c r="EA11" i="3"/>
  <c r="DX11" i="3"/>
  <c r="DY11" i="3" s="1"/>
  <c r="DU11" i="3"/>
  <c r="DS11" i="3"/>
  <c r="DR11" i="3"/>
  <c r="DO11" i="3"/>
  <c r="DL11" i="3"/>
  <c r="DI11" i="3"/>
  <c r="DJ11" i="3" s="1"/>
  <c r="DG11" i="3"/>
  <c r="DF11" i="3"/>
  <c r="DC11" i="3"/>
  <c r="DD11" i="3" s="1"/>
  <c r="CZ11" i="3"/>
  <c r="DA11" i="3" s="1"/>
  <c r="CW11" i="3"/>
  <c r="CX11" i="3" s="1"/>
  <c r="CU11" i="3"/>
  <c r="CT11" i="3"/>
  <c r="CQ11" i="3"/>
  <c r="CR11" i="3" s="1"/>
  <c r="CM11" i="3"/>
  <c r="CN12" i="3" s="1"/>
  <c r="CL11" i="3"/>
  <c r="CJ11" i="3"/>
  <c r="CH11" i="3"/>
  <c r="CE11" i="3"/>
  <c r="CF11" i="3" s="1"/>
  <c r="CC11" i="3"/>
  <c r="CA11" i="3"/>
  <c r="BY11" i="3"/>
  <c r="BX11" i="3"/>
  <c r="BW11" i="3"/>
  <c r="BV11" i="3"/>
  <c r="BT11" i="3"/>
  <c r="BR11" i="3"/>
  <c r="BP11" i="3"/>
  <c r="BL11" i="3"/>
  <c r="BJ11" i="3"/>
  <c r="BH11" i="3"/>
  <c r="BF11" i="3"/>
  <c r="BD11" i="3"/>
  <c r="BB11" i="3"/>
  <c r="AZ11" i="3"/>
  <c r="AX11" i="3"/>
  <c r="AV11" i="3"/>
  <c r="BM11" i="3" s="1"/>
  <c r="AT11" i="3"/>
  <c r="AR11" i="3"/>
  <c r="AP11" i="3"/>
  <c r="AN11" i="3"/>
  <c r="AL11" i="3"/>
  <c r="AH11" i="3"/>
  <c r="AF11" i="3"/>
  <c r="AD11" i="3"/>
  <c r="AB11" i="3"/>
  <c r="Y11" i="3"/>
  <c r="X11" i="3"/>
  <c r="V11" i="3"/>
  <c r="T11" i="3"/>
  <c r="R11" i="3"/>
  <c r="P11" i="3"/>
  <c r="N11" i="3"/>
  <c r="J11" i="3"/>
  <c r="F11" i="3"/>
  <c r="E11" i="3"/>
  <c r="C11" i="3"/>
  <c r="EG10" i="3"/>
  <c r="EE10" i="3"/>
  <c r="EC10" i="3"/>
  <c r="EA10" i="3"/>
  <c r="DY10" i="3"/>
  <c r="DX10" i="3"/>
  <c r="DU10" i="3"/>
  <c r="DV10" i="3" s="1"/>
  <c r="DR10" i="3"/>
  <c r="DP10" i="3"/>
  <c r="DO10" i="3"/>
  <c r="DL10" i="3"/>
  <c r="DM10" i="3" s="1"/>
  <c r="DI10" i="3"/>
  <c r="DJ10" i="3" s="1"/>
  <c r="DF10" i="3"/>
  <c r="DD10" i="3"/>
  <c r="DC10" i="3"/>
  <c r="DA10" i="3"/>
  <c r="CZ10" i="3"/>
  <c r="CW10" i="3"/>
  <c r="CX10" i="3" s="1"/>
  <c r="CU10" i="3"/>
  <c r="CT10" i="3"/>
  <c r="CQ10" i="3"/>
  <c r="CR10" i="3" s="1"/>
  <c r="CM10" i="3"/>
  <c r="CL10" i="3"/>
  <c r="CJ10" i="3"/>
  <c r="CH10" i="3"/>
  <c r="CE10" i="3"/>
  <c r="CF10" i="3" s="1"/>
  <c r="CC10" i="3"/>
  <c r="CA10" i="3"/>
  <c r="BV10" i="3"/>
  <c r="BT10" i="3"/>
  <c r="BR10" i="3"/>
  <c r="BP10" i="3"/>
  <c r="BX10" i="3" s="1"/>
  <c r="BL10" i="3"/>
  <c r="BJ10" i="3"/>
  <c r="BH10" i="3"/>
  <c r="BF10" i="3"/>
  <c r="BD10" i="3"/>
  <c r="BB10" i="3"/>
  <c r="BM10" i="3" s="1"/>
  <c r="AZ10" i="3"/>
  <c r="AX10" i="3"/>
  <c r="BY10" i="3" s="1"/>
  <c r="AV10" i="3"/>
  <c r="AT10" i="3"/>
  <c r="AR10" i="3"/>
  <c r="AP10" i="3"/>
  <c r="AN10" i="3"/>
  <c r="AL10" i="3"/>
  <c r="BW10" i="3" s="1"/>
  <c r="AH10" i="3"/>
  <c r="AF10" i="3"/>
  <c r="AD10" i="3"/>
  <c r="AB10" i="3"/>
  <c r="Y10" i="3"/>
  <c r="X10" i="3"/>
  <c r="V10" i="3"/>
  <c r="T10" i="3"/>
  <c r="R10" i="3"/>
  <c r="P10" i="3"/>
  <c r="N10" i="3"/>
  <c r="J10" i="3"/>
  <c r="E10" i="3"/>
  <c r="C10" i="3"/>
  <c r="F10" i="3" s="1"/>
  <c r="EG9" i="3"/>
  <c r="EE9" i="3"/>
  <c r="EC9" i="3"/>
  <c r="EA9" i="3"/>
  <c r="DX9" i="3"/>
  <c r="DY9" i="3" s="1"/>
  <c r="DU9" i="3"/>
  <c r="DS9" i="3"/>
  <c r="DR9" i="3"/>
  <c r="DS10" i="3" s="1"/>
  <c r="DP9" i="3"/>
  <c r="DO9" i="3"/>
  <c r="DL9" i="3"/>
  <c r="DM9" i="3" s="1"/>
  <c r="DI9" i="3"/>
  <c r="DJ9" i="3" s="1"/>
  <c r="DG9" i="3"/>
  <c r="DF9" i="3"/>
  <c r="DG10" i="3" s="1"/>
  <c r="DD9" i="3"/>
  <c r="DC9" i="3"/>
  <c r="CZ9" i="3"/>
  <c r="DA9" i="3" s="1"/>
  <c r="CW9" i="3"/>
  <c r="CX9" i="3" s="1"/>
  <c r="CU9" i="3"/>
  <c r="CT9" i="3"/>
  <c r="CR9" i="3"/>
  <c r="CQ9" i="3"/>
  <c r="CL9" i="3"/>
  <c r="CJ9" i="3"/>
  <c r="CH9" i="3"/>
  <c r="CM9" i="3" s="1"/>
  <c r="CN10" i="3" s="1"/>
  <c r="CF9" i="3"/>
  <c r="CE9" i="3"/>
  <c r="CC9" i="3"/>
  <c r="CA9" i="3"/>
  <c r="BV9" i="3"/>
  <c r="BT9" i="3"/>
  <c r="BW9" i="3" s="1"/>
  <c r="BR9" i="3"/>
  <c r="BP9" i="3"/>
  <c r="BX9" i="3" s="1"/>
  <c r="BM9" i="3"/>
  <c r="BN9" i="3" s="1"/>
  <c r="BL9" i="3"/>
  <c r="BJ9" i="3"/>
  <c r="BH9" i="3"/>
  <c r="BF9" i="3"/>
  <c r="BD9" i="3"/>
  <c r="BB9" i="3"/>
  <c r="AZ9" i="3"/>
  <c r="AX9" i="3"/>
  <c r="AV9" i="3"/>
  <c r="AT9" i="3"/>
  <c r="AR9" i="3"/>
  <c r="AP9" i="3"/>
  <c r="AN9" i="3"/>
  <c r="AL9" i="3"/>
  <c r="AH9" i="3"/>
  <c r="AF9" i="3"/>
  <c r="AD9" i="3"/>
  <c r="AB9" i="3"/>
  <c r="X9" i="3"/>
  <c r="Y9" i="3" s="1"/>
  <c r="V9" i="3"/>
  <c r="T9" i="3"/>
  <c r="R9" i="3"/>
  <c r="P9" i="3"/>
  <c r="N9" i="3"/>
  <c r="J9" i="3"/>
  <c r="E9" i="3"/>
  <c r="F9" i="3" s="1"/>
  <c r="C9" i="3"/>
  <c r="EG8" i="3"/>
  <c r="EE8" i="3"/>
  <c r="EC8" i="3"/>
  <c r="EA8" i="3"/>
  <c r="DY8" i="3"/>
  <c r="DX8" i="3"/>
  <c r="DV8" i="3"/>
  <c r="DU8" i="3"/>
  <c r="DR8" i="3"/>
  <c r="DS8" i="3" s="1"/>
  <c r="DO8" i="3"/>
  <c r="DM8" i="3"/>
  <c r="DL8" i="3"/>
  <c r="DJ8" i="3"/>
  <c r="DI8" i="3"/>
  <c r="DF8" i="3"/>
  <c r="DG8" i="3" s="1"/>
  <c r="DD8" i="3"/>
  <c r="DC8" i="3"/>
  <c r="DA8" i="3"/>
  <c r="CZ8" i="3"/>
  <c r="CX8" i="3"/>
  <c r="CU8" i="3"/>
  <c r="CT8" i="3"/>
  <c r="CQ8" i="3"/>
  <c r="CR8" i="3" s="1"/>
  <c r="CL8" i="3"/>
  <c r="CJ8" i="3"/>
  <c r="CH8" i="3"/>
  <c r="CM8" i="3" s="1"/>
  <c r="CN9" i="3" s="1"/>
  <c r="CE8" i="3"/>
  <c r="CF8" i="3" s="1"/>
  <c r="CC8" i="3"/>
  <c r="CA8" i="3"/>
  <c r="BX8" i="3"/>
  <c r="BW8" i="3"/>
  <c r="BV8" i="3"/>
  <c r="BT8" i="3"/>
  <c r="BR8" i="3"/>
  <c r="BP8" i="3"/>
  <c r="BL8" i="3"/>
  <c r="BJ8" i="3"/>
  <c r="BH8" i="3"/>
  <c r="BF8" i="3"/>
  <c r="BD8" i="3"/>
  <c r="BB8" i="3"/>
  <c r="AZ8" i="3"/>
  <c r="AX8" i="3"/>
  <c r="AV8" i="3"/>
  <c r="BM8" i="3" s="1"/>
  <c r="AT8" i="3"/>
  <c r="AR8" i="3"/>
  <c r="BY8" i="3" s="1"/>
  <c r="AP8" i="3"/>
  <c r="AN8" i="3"/>
  <c r="AL8" i="3"/>
  <c r="AH8" i="3"/>
  <c r="AF8" i="3"/>
  <c r="AD8" i="3"/>
  <c r="AB8" i="3"/>
  <c r="Y8" i="3"/>
  <c r="X8" i="3"/>
  <c r="V8" i="3"/>
  <c r="T8" i="3"/>
  <c r="R8" i="3"/>
  <c r="P8" i="3"/>
  <c r="N8" i="3"/>
  <c r="J8" i="3"/>
  <c r="F8" i="3"/>
  <c r="E8" i="3"/>
  <c r="C8" i="3"/>
  <c r="EG7" i="3"/>
  <c r="EE7" i="3"/>
  <c r="EC7" i="3"/>
  <c r="EA7" i="3"/>
  <c r="DX7" i="3"/>
  <c r="DY7" i="3" s="1"/>
  <c r="DU7" i="3"/>
  <c r="DV7" i="3" s="1"/>
  <c r="DR7" i="3"/>
  <c r="DO7" i="3"/>
  <c r="DP8" i="3" s="1"/>
  <c r="DL7" i="3"/>
  <c r="DM7" i="3" s="1"/>
  <c r="DI7" i="3"/>
  <c r="DJ7" i="3" s="1"/>
  <c r="DF7" i="3"/>
  <c r="DD7" i="3"/>
  <c r="DC7" i="3"/>
  <c r="CZ7" i="3"/>
  <c r="DA7" i="3" s="1"/>
  <c r="CX7" i="3"/>
  <c r="CT7" i="3"/>
  <c r="CU7" i="3" s="1"/>
  <c r="CQ7" i="3"/>
  <c r="CR7" i="3" s="1"/>
  <c r="CM7" i="3"/>
  <c r="CL7" i="3"/>
  <c r="CJ7" i="3"/>
  <c r="CH7" i="3"/>
  <c r="CF7" i="3"/>
  <c r="CE7" i="3"/>
  <c r="CC7" i="3"/>
  <c r="CA7" i="3"/>
  <c r="BX7" i="3"/>
  <c r="BV7" i="3"/>
  <c r="BT7" i="3"/>
  <c r="BW7" i="3" s="1"/>
  <c r="BR7" i="3"/>
  <c r="BP7" i="3"/>
  <c r="BL7" i="3"/>
  <c r="BJ7" i="3"/>
  <c r="BH7" i="3"/>
  <c r="BF7" i="3"/>
  <c r="BD7" i="3"/>
  <c r="BB7" i="3"/>
  <c r="BM7" i="3" s="1"/>
  <c r="AZ7" i="3"/>
  <c r="AX7" i="3"/>
  <c r="AV7" i="3"/>
  <c r="BY7" i="3" s="1"/>
  <c r="AT7" i="3"/>
  <c r="AR7" i="3"/>
  <c r="AP7" i="3"/>
  <c r="AN7" i="3"/>
  <c r="AL7" i="3"/>
  <c r="BN7" i="3" s="1"/>
  <c r="AH7" i="3"/>
  <c r="AF7" i="3"/>
  <c r="AD7" i="3"/>
  <c r="AB7" i="3"/>
  <c r="X7" i="3"/>
  <c r="Y7" i="3" s="1"/>
  <c r="V7" i="3"/>
  <c r="T7" i="3"/>
  <c r="R7" i="3"/>
  <c r="P7" i="3"/>
  <c r="N7" i="3"/>
  <c r="J7" i="3"/>
  <c r="E7" i="3"/>
  <c r="F7" i="3" s="1"/>
  <c r="C7" i="3"/>
  <c r="EG6" i="3"/>
  <c r="EE6" i="3"/>
  <c r="EC6" i="3"/>
  <c r="EA6" i="3"/>
  <c r="DX6" i="3"/>
  <c r="DY6" i="3" s="1"/>
  <c r="DU6" i="3"/>
  <c r="DS6" i="3"/>
  <c r="DR6" i="3"/>
  <c r="DS7" i="3" s="1"/>
  <c r="DP6" i="3"/>
  <c r="DO6" i="3"/>
  <c r="DL6" i="3"/>
  <c r="DM6" i="3" s="1"/>
  <c r="DI6" i="3"/>
  <c r="DF6" i="3"/>
  <c r="DG7" i="3" s="1"/>
  <c r="DD6" i="3"/>
  <c r="DC6" i="3"/>
  <c r="CZ6" i="3"/>
  <c r="DA6" i="3" s="1"/>
  <c r="CX6" i="3"/>
  <c r="CT6" i="3"/>
  <c r="CU6" i="3" s="1"/>
  <c r="CQ6" i="3"/>
  <c r="CR6" i="3" s="1"/>
  <c r="CL6" i="3"/>
  <c r="CJ6" i="3"/>
  <c r="CH6" i="3"/>
  <c r="CM6" i="3" s="1"/>
  <c r="CN7" i="3" s="1"/>
  <c r="CE6" i="3"/>
  <c r="CF6" i="3" s="1"/>
  <c r="CC6" i="3"/>
  <c r="CA6" i="3"/>
  <c r="BV6" i="3"/>
  <c r="BT6" i="3"/>
  <c r="BW6" i="3" s="1"/>
  <c r="BR6" i="3"/>
  <c r="BP6" i="3"/>
  <c r="BL6" i="3"/>
  <c r="BJ6" i="3"/>
  <c r="BH6" i="3"/>
  <c r="BF6" i="3"/>
  <c r="BD6" i="3"/>
  <c r="BB6" i="3"/>
  <c r="AZ6" i="3"/>
  <c r="AX6" i="3"/>
  <c r="AV6" i="3"/>
  <c r="AT6" i="3"/>
  <c r="AR6" i="3"/>
  <c r="AP6" i="3"/>
  <c r="BY6" i="3" s="1"/>
  <c r="AN6" i="3"/>
  <c r="AL6" i="3"/>
  <c r="AH6" i="3"/>
  <c r="AF6" i="3"/>
  <c r="AD6" i="3"/>
  <c r="AB6" i="3"/>
  <c r="X6" i="3"/>
  <c r="Y6" i="3" s="1"/>
  <c r="V6" i="3"/>
  <c r="T6" i="3"/>
  <c r="R6" i="3"/>
  <c r="P6" i="3"/>
  <c r="N6" i="3"/>
  <c r="L6" i="3"/>
  <c r="J6" i="3"/>
  <c r="E6" i="3"/>
  <c r="F6" i="3" s="1"/>
  <c r="C6" i="3"/>
  <c r="EG5" i="3"/>
  <c r="EE5" i="3"/>
  <c r="EC5" i="3"/>
  <c r="EA5" i="3"/>
  <c r="DX5" i="3"/>
  <c r="DY5" i="3" s="1"/>
  <c r="DU5" i="3"/>
  <c r="DV6" i="3" s="1"/>
  <c r="DR5" i="3"/>
  <c r="DO5" i="3"/>
  <c r="DL5" i="3"/>
  <c r="DM5" i="3" s="1"/>
  <c r="DI5" i="3"/>
  <c r="DJ6" i="3" s="1"/>
  <c r="DF5" i="3"/>
  <c r="DC5" i="3"/>
  <c r="DD5" i="3" s="1"/>
  <c r="CZ5" i="3"/>
  <c r="DA5" i="3" s="1"/>
  <c r="CX5" i="3"/>
  <c r="CT5" i="3"/>
  <c r="CU5" i="3" s="1"/>
  <c r="CQ5" i="3"/>
  <c r="CR5" i="3" s="1"/>
  <c r="CL5" i="3"/>
  <c r="CJ5" i="3"/>
  <c r="CH5" i="3"/>
  <c r="CF5" i="3"/>
  <c r="CE5" i="3"/>
  <c r="CC5" i="3"/>
  <c r="CA5" i="3"/>
  <c r="BV5" i="3"/>
  <c r="BT5" i="3"/>
  <c r="BX5" i="3" s="1"/>
  <c r="BR5" i="3"/>
  <c r="BP5" i="3"/>
  <c r="BL5" i="3"/>
  <c r="BJ5" i="3"/>
  <c r="BH5" i="3"/>
  <c r="BF5" i="3"/>
  <c r="BD5" i="3"/>
  <c r="BB5" i="3"/>
  <c r="BM5" i="3" s="1"/>
  <c r="BN5" i="3" s="1"/>
  <c r="AZ5" i="3"/>
  <c r="AX5" i="3"/>
  <c r="AV5" i="3"/>
  <c r="AT5" i="3"/>
  <c r="AR5" i="3"/>
  <c r="AP5" i="3"/>
  <c r="BY5" i="3" s="1"/>
  <c r="AN5" i="3"/>
  <c r="AL5" i="3"/>
  <c r="AH5" i="3"/>
  <c r="AF5" i="3"/>
  <c r="AD5" i="3"/>
  <c r="AB5" i="3"/>
  <c r="Z5" i="3"/>
  <c r="Y5" i="3"/>
  <c r="X5" i="3"/>
  <c r="V5" i="3"/>
  <c r="T5" i="3"/>
  <c r="R5" i="3"/>
  <c r="P5" i="3"/>
  <c r="N5" i="3"/>
  <c r="L5" i="3"/>
  <c r="J5" i="3"/>
  <c r="E5" i="3"/>
  <c r="F5" i="3" s="1"/>
  <c r="C5" i="3"/>
  <c r="EG4" i="3"/>
  <c r="EE4" i="3"/>
  <c r="EC4" i="3"/>
  <c r="EA4" i="3"/>
  <c r="DY4" i="3"/>
  <c r="DX4" i="3"/>
  <c r="DU4" i="3"/>
  <c r="DV4" i="3" s="1"/>
  <c r="DR4" i="3"/>
  <c r="DS4" i="3" s="1"/>
  <c r="DO4" i="3"/>
  <c r="DP4" i="3" s="1"/>
  <c r="DM4" i="3"/>
  <c r="DL4" i="3"/>
  <c r="DI4" i="3"/>
  <c r="DJ4" i="3" s="1"/>
  <c r="DF4" i="3"/>
  <c r="DG4" i="3" s="1"/>
  <c r="DD4" i="3"/>
  <c r="DC4" i="3"/>
  <c r="DA4" i="3"/>
  <c r="CZ4" i="3"/>
  <c r="CX4" i="3"/>
  <c r="CU4" i="3"/>
  <c r="CT4" i="3"/>
  <c r="CQ4" i="3"/>
  <c r="CR4" i="3" s="1"/>
  <c r="CN4" i="3"/>
  <c r="CM4" i="3"/>
  <c r="CL4" i="3"/>
  <c r="CJ4" i="3"/>
  <c r="CH4" i="3"/>
  <c r="CE4" i="3"/>
  <c r="CF4" i="3" s="1"/>
  <c r="CC4" i="3"/>
  <c r="CA4" i="3"/>
  <c r="BY4" i="3"/>
  <c r="BV4" i="3"/>
  <c r="BT4" i="3"/>
  <c r="BR4" i="3"/>
  <c r="BP4" i="3"/>
  <c r="BX4" i="3" s="1"/>
  <c r="BJ4" i="3"/>
  <c r="BH4" i="3"/>
  <c r="BF4" i="3"/>
  <c r="BD4" i="3"/>
  <c r="BB4" i="3"/>
  <c r="AZ4" i="3"/>
  <c r="AX4" i="3"/>
  <c r="AV4" i="3"/>
  <c r="BM4" i="3" s="1"/>
  <c r="BN4" i="3" s="1"/>
  <c r="AT4" i="3"/>
  <c r="AR4" i="3"/>
  <c r="AP4" i="3"/>
  <c r="AN4" i="3"/>
  <c r="AL4" i="3"/>
  <c r="BW4" i="3" s="1"/>
  <c r="AH4" i="3"/>
  <c r="AD4" i="3"/>
  <c r="AB4" i="3"/>
  <c r="Z4" i="3"/>
  <c r="X4" i="3"/>
  <c r="Y4" i="3" s="1"/>
  <c r="V4" i="3"/>
  <c r="T4" i="3"/>
  <c r="R4" i="3"/>
  <c r="P4" i="3"/>
  <c r="N4" i="3"/>
  <c r="L4" i="3"/>
  <c r="J4" i="3"/>
  <c r="E4" i="3"/>
  <c r="C4" i="3"/>
  <c r="F4" i="3" s="1"/>
  <c r="Y3" i="3"/>
  <c r="X3" i="3"/>
  <c r="B32" i="1"/>
  <c r="G32" i="1"/>
  <c r="T32" i="1" s="1"/>
  <c r="I32" i="1"/>
  <c r="K32" i="1"/>
  <c r="N32" i="1"/>
  <c r="O32" i="1"/>
  <c r="P32" i="1"/>
  <c r="U32" i="1" s="1"/>
  <c r="R32" i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2" i="4"/>
  <c r="BN6" i="3" l="1"/>
  <c r="DG12" i="3"/>
  <c r="DG13" i="3"/>
  <c r="BW5" i="3"/>
  <c r="DG5" i="3"/>
  <c r="DV5" i="3"/>
  <c r="DG6" i="3"/>
  <c r="DJ12" i="3"/>
  <c r="DV17" i="3"/>
  <c r="BY18" i="3"/>
  <c r="CN23" i="3"/>
  <c r="BY26" i="3"/>
  <c r="BM32" i="3"/>
  <c r="BN32" i="3" s="1"/>
  <c r="CN8" i="3"/>
  <c r="DM12" i="3"/>
  <c r="BM13" i="3"/>
  <c r="BN13" i="3" s="1"/>
  <c r="DJ17" i="3"/>
  <c r="DS23" i="3"/>
  <c r="BN25" i="3"/>
  <c r="BM28" i="3"/>
  <c r="BN28" i="3" s="1"/>
  <c r="BY31" i="3"/>
  <c r="BW31" i="3"/>
  <c r="DJ5" i="3"/>
  <c r="BY9" i="3"/>
  <c r="CN11" i="3"/>
  <c r="BN11" i="3"/>
  <c r="DM11" i="3"/>
  <c r="BX20" i="3"/>
  <c r="DM24" i="3"/>
  <c r="BN31" i="3"/>
  <c r="DV9" i="3"/>
  <c r="DP11" i="3"/>
  <c r="BX12" i="3"/>
  <c r="CN15" i="3"/>
  <c r="CN17" i="3"/>
  <c r="DS21" i="3"/>
  <c r="CN27" i="3"/>
  <c r="CN29" i="3"/>
  <c r="DP5" i="3"/>
  <c r="BX6" i="3"/>
  <c r="DS12" i="3"/>
  <c r="DS13" i="3"/>
  <c r="BW17" i="3"/>
  <c r="BY32" i="3"/>
  <c r="BM6" i="3"/>
  <c r="DP7" i="3"/>
  <c r="BN8" i="3"/>
  <c r="DV12" i="3"/>
  <c r="BN21" i="3"/>
  <c r="DG23" i="3"/>
  <c r="CM5" i="3"/>
  <c r="CN6" i="3" s="1"/>
  <c r="DS5" i="3"/>
  <c r="BN10" i="3"/>
  <c r="BY12" i="3"/>
  <c r="BY15" i="3"/>
  <c r="DS25" i="3"/>
  <c r="DP19" i="3"/>
  <c r="DJ20" i="3"/>
  <c r="DV20" i="3"/>
  <c r="DP21" i="3"/>
  <c r="DJ22" i="3"/>
  <c r="DV22" i="3"/>
  <c r="DP23" i="3"/>
  <c r="BW26" i="3"/>
  <c r="DM29" i="3"/>
  <c r="DJ30" i="3"/>
  <c r="DV30" i="3"/>
  <c r="DG31" i="3"/>
  <c r="F34" i="3"/>
  <c r="DS28" i="3"/>
  <c r="DP29" i="3"/>
  <c r="DV27" i="3"/>
  <c r="DG28" i="3"/>
  <c r="J3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" i="1"/>
  <c r="CN5" i="3" l="1"/>
  <c r="N26" i="1"/>
  <c r="N27" i="1"/>
  <c r="N28" i="1"/>
  <c r="N29" i="1"/>
  <c r="N30" i="1"/>
  <c r="N31" i="1"/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E32" i="4" l="1"/>
  <c r="M15" i="4" l="1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1"/>
  <c r="E30" i="4" s="1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1"/>
  <c r="E31" i="4" s="1"/>
  <c r="F31" i="4"/>
  <c r="G31" i="4"/>
  <c r="N31" i="4"/>
  <c r="O31" i="4"/>
  <c r="P31" i="4"/>
  <c r="Q31" i="4"/>
  <c r="R31" i="4"/>
  <c r="S31" i="4"/>
  <c r="T31" i="4"/>
  <c r="U31" i="4"/>
  <c r="V31" i="4"/>
  <c r="Y31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K30" i="1"/>
  <c r="AK30" i="4" s="1"/>
  <c r="K31" i="1"/>
  <c r="AK31" i="4" s="1"/>
  <c r="Y20" i="4"/>
  <c r="X11" i="4"/>
  <c r="Z2" i="4"/>
  <c r="U24" i="4"/>
  <c r="C23" i="5" l="1"/>
  <c r="P4" i="1"/>
  <c r="J4" i="1" s="1"/>
  <c r="P15" i="1"/>
  <c r="J15" i="1" s="1"/>
  <c r="P11" i="1"/>
  <c r="J11" i="1" s="1"/>
  <c r="O28" i="1"/>
  <c r="O9" i="1"/>
  <c r="O5" i="1"/>
  <c r="O23" i="1"/>
  <c r="O12" i="1"/>
  <c r="O27" i="1"/>
  <c r="O19" i="1"/>
  <c r="O8" i="1"/>
  <c r="O4" i="1"/>
  <c r="O24" i="1"/>
  <c r="O2" i="1"/>
  <c r="O26" i="1"/>
  <c r="O22" i="1"/>
  <c r="O11" i="1"/>
  <c r="O30" i="1"/>
  <c r="O15" i="1"/>
  <c r="O18" i="1"/>
  <c r="O7" i="1"/>
  <c r="O25" i="1"/>
  <c r="O13" i="1"/>
  <c r="O29" i="1"/>
  <c r="O14" i="1"/>
  <c r="O17" i="1"/>
  <c r="O6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31" i="1"/>
  <c r="P31" i="1" s="1"/>
  <c r="I28" i="1"/>
  <c r="P28" i="1" s="1"/>
  <c r="I18" i="1"/>
  <c r="P18" i="1" s="1"/>
  <c r="I2" i="1"/>
  <c r="P2" i="1" s="1"/>
  <c r="E7" i="1"/>
  <c r="E7" i="4" s="1"/>
  <c r="E6" i="1"/>
  <c r="E6" i="4" s="1"/>
  <c r="E8" i="1"/>
  <c r="E8" i="4" s="1"/>
  <c r="R17" i="4"/>
  <c r="I17" i="1"/>
  <c r="P17" i="1" s="1"/>
  <c r="E9" i="1"/>
  <c r="E9" i="4" s="1"/>
  <c r="L11" i="4"/>
  <c r="I30" i="1"/>
  <c r="P30" i="1" s="1"/>
  <c r="I25" i="1"/>
  <c r="P25" i="1" s="1"/>
  <c r="I14" i="1"/>
  <c r="P14" i="1" s="1"/>
  <c r="X30" i="4"/>
  <c r="X29" i="4"/>
  <c r="L29" i="4" s="1"/>
  <c r="X23" i="4"/>
  <c r="N30" i="4"/>
  <c r="I24" i="1"/>
  <c r="P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L21" i="4" s="1"/>
  <c r="U22" i="4"/>
  <c r="R14" i="4"/>
  <c r="O15" i="4"/>
  <c r="N23" i="4"/>
  <c r="N14" i="4"/>
  <c r="N20" i="4"/>
  <c r="X20" i="4"/>
  <c r="I22" i="1"/>
  <c r="P22" i="1" s="1"/>
  <c r="F14" i="4"/>
  <c r="O31" i="1"/>
  <c r="O3" i="1"/>
  <c r="O21" i="1"/>
  <c r="O20" i="1"/>
  <c r="O16" i="1"/>
  <c r="O10" i="1"/>
  <c r="L30" i="4" l="1"/>
  <c r="L18" i="4"/>
  <c r="J5" i="1"/>
  <c r="J2" i="1"/>
  <c r="J27" i="1"/>
  <c r="U7" i="1"/>
  <c r="J22" i="1"/>
  <c r="J25" i="1"/>
  <c r="J18" i="1"/>
  <c r="J31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G8" i="1"/>
  <c r="T8" i="1" s="1"/>
  <c r="G30" i="1"/>
  <c r="T30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G31" i="1"/>
  <c r="T31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23" i="4"/>
  <c r="U8" i="1"/>
  <c r="U31" i="1"/>
  <c r="U13" i="1"/>
  <c r="J14" i="1"/>
  <c r="U14" i="1"/>
  <c r="U15" i="1"/>
  <c r="G28" i="1"/>
  <c r="T28" i="1" s="1"/>
  <c r="G26" i="1"/>
  <c r="T26" i="1" s="1"/>
  <c r="J30" i="1"/>
  <c r="U30" i="1"/>
  <c r="U5" i="1"/>
  <c r="U6" i="1"/>
  <c r="U4" i="1"/>
  <c r="U10" i="1"/>
  <c r="U26" i="1"/>
  <c r="J24" i="1"/>
  <c r="U24" i="1"/>
  <c r="G11" i="1"/>
  <c r="T11" i="1" s="1"/>
  <c r="G23" i="1"/>
  <c r="T23" i="1" s="1"/>
  <c r="L20" i="4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 l="1"/>
  <c r="U2" i="1"/>
  <c r="J7" i="1"/>
  <c r="J12" i="1"/>
  <c r="U9" i="1"/>
</calcChain>
</file>

<file path=xl/sharedStrings.xml><?xml version="1.0" encoding="utf-8"?>
<sst xmlns="http://schemas.openxmlformats.org/spreadsheetml/2006/main" count="264" uniqueCount="128">
  <si>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</si>
  <si>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</si>
  <si>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</si>
  <si>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</si>
  <si>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</si>
  <si>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</si>
  <si>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</si>
  <si>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</si>
  <si>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</si>
  <si>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</si>
  <si>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</si>
  <si>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</si>
  <si>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</si>
  <si>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</si>
  <si>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</si>
  <si>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</si>
  <si>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</si>
  <si>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</si>
  <si>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</si>
  <si>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</si>
  <si>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</si>
  <si>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</si>
  <si>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</si>
  <si>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</si>
  <si>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</si>
  <si>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</si>
  <si>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</si>
  <si>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</si>
  <si>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</si>
  <si>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</si>
  <si>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</si>
  <si>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</si>
  <si>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</si>
  <si>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</si>
  <si>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</si>
  <si>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</si>
  <si>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</si>
  <si>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</si>
  <si>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</si>
  <si>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</si>
  <si>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</si>
  <si>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</si>
  <si>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</si>
  <si>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</si>
  <si>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</si>
  <si>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</si>
  <si>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</si>
  <si>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</si>
  <si>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</si>
  <si>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</si>
  <si>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</si>
  <si>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</si>
  <si>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</si>
  <si>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</si>
  <si>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</si>
  <si>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>Vacoas KW</t>
  </si>
  <si>
    <t>CONS</t>
  </si>
  <si>
    <t>Hotel</t>
  </si>
  <si>
    <t>% Water Available</t>
  </si>
  <si>
    <t>Water Softener</t>
  </si>
  <si>
    <t>bamboo pool</t>
  </si>
  <si>
    <t>laundry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</si>
  <si>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</si>
  <si>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</si>
  <si>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</si>
  <si>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</si>
  <si>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</si>
  <si>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</si>
  <si>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</si>
  <si>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</si>
  <si>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</si>
  <si>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</si>
  <si>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</si>
  <si>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</si>
  <si>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</si>
  <si>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</si>
  <si>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</si>
  <si>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</si>
  <si>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</t>
  </si>
  <si>
    <t>Pool Temperature</t>
  </si>
  <si>
    <t>Date</t>
  </si>
  <si>
    <t>KVAH</t>
  </si>
  <si>
    <t>KWH</t>
  </si>
  <si>
    <t>PF</t>
  </si>
  <si>
    <t>KVA</t>
  </si>
  <si>
    <t>KVA max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</si>
  <si>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</si>
  <si>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</si>
  <si>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</si>
  <si>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</si>
  <si>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</si>
  <si>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</si>
  <si>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</si>
  <si>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</si>
  <si>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</si>
  <si>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H</t>
  </si>
  <si>
    <t>Bamboo C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</si>
  <si>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</si>
  <si>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</si>
  <si>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</si>
  <si>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</si>
  <si>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</si>
  <si>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</si>
  <si>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</si>
  <si>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</t>
  </si>
  <si>
    <t>stock</t>
  </si>
  <si>
    <t>Del</t>
  </si>
  <si>
    <t>Meter</t>
  </si>
  <si>
    <t>Kg</t>
  </si>
  <si>
    <t>LPG 1</t>
  </si>
  <si>
    <t>LPG 2</t>
  </si>
  <si>
    <t>LPG 3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</si>
  <si>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</si>
  <si>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</si>
  <si>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</si>
  <si>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</si>
  <si>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</si>
  <si>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</si>
  <si>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</si>
  <si>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</si>
  <si>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</si>
  <si>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</si>
  <si>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</si>
  <si>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</si>
  <si>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</si>
  <si>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</si>
  <si>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</si>
  <si>
    <t>Fill pool 185 190, bambou pool start filling. Elec consumption: coldrooms on test, pools on, spa and villa ACs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</si>
</sst>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0.0%"/>
  </numFmts>
  <fonts count="13" x14ac:knownFonts="1">
    <font>
      <sz val="10"/>
      <name val="Arial"/>
      <family val="2"/>
    </font>
    <font>
      <b/>
      <sz val="10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61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0" fontId="9" fillId="8" borderId="0" applyNumberFormat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5" fillId="0" borderId="0" xfId="0" applyFont="1" applyProtection="1"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6" fillId="0" borderId="3" xfId="2" applyFont="1" applyBorder="1" applyAlignment="1" applyProtection="1">
      <alignment horizontal="center"/>
      <protection locked="0"/>
    </xf>
    <xf numFmtId="0" fontId="6" fillId="0" borderId="8" xfId="2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2" xfId="2" applyFont="1" applyBorder="1" applyProtection="1">
      <protection locked="0"/>
    </xf>
    <xf numFmtId="0" fontId="5" fillId="0" borderId="0" xfId="2" applyFont="1" applyProtection="1">
      <protection locked="0"/>
    </xf>
    <xf numFmtId="0" fontId="6" fillId="0" borderId="3" xfId="0" applyFont="1" applyBorder="1" applyProtection="1">
      <protection locked="0"/>
    </xf>
    <xf numFmtId="0" fontId="6" fillId="0" borderId="8" xfId="0" applyFont="1" applyBorder="1" applyProtection="1">
      <protection locked="0"/>
    </xf>
    <xf numFmtId="0" fontId="6" fillId="0" borderId="4" xfId="2" applyFont="1" applyBorder="1" applyAlignment="1" applyProtection="1">
      <alignment horizontal="center"/>
      <protection locked="0"/>
    </xf>
    <xf numFmtId="0" fontId="0" fillId="0" borderId="10" xfId="0" applyBorder="1"/>
    <xf numFmtId="0" fontId="0" fillId="0" borderId="18" xfId="0" applyBorder="1"/>
    <xf numFmtId="1" fontId="0" fillId="0" borderId="6" xfId="0" applyNumberFormat="1" applyBorder="1"/>
    <xf numFmtId="0" fontId="0" fillId="0" borderId="6" xfId="0" applyBorder="1"/>
    <xf numFmtId="1" fontId="0" fillId="2" borderId="6" xfId="0" applyNumberFormat="1" applyFill="1" applyBorder="1"/>
    <xf numFmtId="0" fontId="0" fillId="0" borderId="17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6" xfId="0" applyBorder="1" applyProtection="1">
      <protection locked="0"/>
    </xf>
    <xf numFmtId="0" fontId="0" fillId="0" borderId="13" xfId="0" applyBorder="1" applyAlignment="1">
      <alignment wrapText="1"/>
    </xf>
    <xf numFmtId="0" fontId="0" fillId="0" borderId="9" xfId="2" applyFont="1" applyBorder="1" applyAlignment="1">
      <alignment wrapText="1"/>
    </xf>
    <xf numFmtId="0" fontId="0" fillId="2" borderId="6" xfId="0" applyFill="1" applyBorder="1"/>
    <xf numFmtId="0" fontId="0" fillId="0" borderId="14" xfId="0" applyBorder="1"/>
    <xf numFmtId="0" fontId="0" fillId="0" borderId="15" xfId="0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ill="1" applyBorder="1"/>
    <xf numFmtId="0" fontId="0" fillId="0" borderId="15" xfId="0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6" borderId="3" xfId="0" applyFill="1" applyBorder="1" applyAlignment="1">
      <alignment horizontal="center" vertical="center" wrapText="1"/>
    </xf>
    <xf numFmtId="164" fontId="0" fillId="0" borderId="19" xfId="0" applyNumberForma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7" borderId="2" xfId="0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7" borderId="8" xfId="0" applyFill="1" applyBorder="1" applyAlignment="1">
      <alignment horizont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" fontId="0" fillId="0" borderId="21" xfId="0" applyNumberFormat="1" applyBorder="1" applyAlignment="1" applyProtection="1">
      <alignment horizont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7" borderId="9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3" borderId="20" xfId="0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7" borderId="23" xfId="0" applyFill="1" applyBorder="1" applyAlignment="1">
      <alignment horizontal="center"/>
    </xf>
    <xf numFmtId="0" fontId="4" fillId="0" borderId="3" xfId="2" applyBorder="1" applyAlignment="1" applyProtection="1">
      <alignment horizontal="center" vertical="center"/>
      <protection locked="0"/>
    </xf>
    <xf numFmtId="0" fontId="4" fillId="0" borderId="2" xfId="2" applyBorder="1" applyAlignment="1" applyProtection="1">
      <alignment horizontal="center" vertical="center"/>
      <protection locked="0"/>
    </xf>
    <xf numFmtId="1" fontId="0" fillId="3" borderId="22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/>
    </xf>
    <xf numFmtId="1" fontId="0" fillId="3" borderId="24" xfId="0" applyNumberFormat="1" applyFill="1" applyBorder="1" applyAlignment="1">
      <alignment horizontal="center" vertical="center"/>
    </xf>
    <xf numFmtId="1" fontId="0" fillId="3" borderId="22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vertical="center"/>
    </xf>
    <xf numFmtId="0" fontId="8" fillId="0" borderId="2" xfId="0" applyFont="1" applyBorder="1" applyAlignment="1" applyProtection="1">
      <alignment horizontal="center" vertical="center"/>
      <protection locked="0"/>
    </xf>
    <xf numFmtId="165" fontId="0" fillId="0" borderId="2" xfId="0" applyNumberFormat="1" applyBorder="1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9" fillId="8" borderId="0" xfId="3" applyAlignment="1">
      <alignment horizontal="center"/>
    </xf>
    <xf numFmtId="0" fontId="0" fillId="0" borderId="22" xfId="0" applyBorder="1" applyAlignment="1">
      <alignment horizontal="center" vertical="center"/>
    </xf>
    <xf numFmtId="0" fontId="4" fillId="0" borderId="8" xfId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5" borderId="3" xfId="0" applyFont="1" applyFill="1" applyBorder="1" applyAlignment="1" applyProtection="1">
      <alignment horizontal="center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2" fontId="0" fillId="0" borderId="2" xfId="0" applyNumberFormat="1" applyBorder="1" applyAlignment="1">
      <alignment horizontal="center"/>
    </xf>
    <xf numFmtId="0" fontId="0" fillId="7" borderId="5" xfId="0" applyFill="1" applyBorder="1" applyAlignment="1">
      <alignment horizontal="center"/>
    </xf>
    <xf numFmtId="9" fontId="0" fillId="0" borderId="3" xfId="4" applyFont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4" fillId="0" borderId="0" xfId="2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3" borderId="7" xfId="0" applyFill="1" applyBorder="1" applyAlignment="1">
      <alignment horizontal="center"/>
    </xf>
    <xf numFmtId="0" fontId="0" fillId="0" borderId="25" xfId="0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22" xfId="0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9" borderId="2" xfId="0" applyFill="1" applyBorder="1" applyAlignment="1" applyProtection="1">
      <alignment horizontal="center"/>
      <protection locked="0"/>
    </xf>
    <xf numFmtId="0" fontId="0" fillId="7" borderId="5" xfId="0" applyFill="1" applyBorder="1" applyAlignment="1">
      <alignment horizontal="center" vertical="center"/>
    </xf>
    <xf numFmtId="0" fontId="0" fillId="2" borderId="25" xfId="0" applyFill="1" applyBorder="1" applyAlignment="1" applyProtection="1">
      <alignment horizontal="center" vertical="center"/>
      <protection locked="0"/>
    </xf>
    <xf numFmtId="0" fontId="0" fillId="2" borderId="15" xfId="0" applyFill="1" applyBorder="1" applyAlignment="1" applyProtection="1">
      <alignment horizontal="center" vertical="center"/>
      <protection locked="0"/>
    </xf>
    <xf numFmtId="0" fontId="0" fillId="2" borderId="10" xfId="0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>
      <alignment horizontal="center" vertical="center"/>
    </xf>
    <xf numFmtId="0" fontId="12" fillId="0" borderId="22" xfId="5" applyNumberFormat="1" applyFont="1" applyFill="1" applyBorder="1" applyAlignment="1" applyProtection="1">
      <alignment horizontal="left" vertical="top" wrapText="1"/>
      <protection locked="0"/>
    </xf>
    <xf numFmtId="0" fontId="0" fillId="7" borderId="0" xfId="0" applyFill="1" applyAlignment="1">
      <alignment horizontal="center"/>
    </xf>
    <xf numFmtId="0" fontId="0" fillId="0" borderId="9" xfId="0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7" xfId="0" applyFill="1" applyBorder="1" applyAlignment="1" applyProtection="1">
      <alignment horizontal="center" vertical="center"/>
      <protection locked="0"/>
    </xf>
    <xf numFmtId="165" fontId="0" fillId="0" borderId="7" xfId="0" applyNumberFormat="1" applyBorder="1" applyAlignment="1" applyProtection="1">
      <alignment horizontal="center" vertical="center" wrapText="1"/>
      <protection locked="0"/>
    </xf>
  </cellXfs>
  <cellStyles count="6">
    <cellStyle name="Good" xfId="3" builtinId="26"/>
    <cellStyle name="Normal" xfId="0" builtinId="0"/>
    <cellStyle name="Normal 11" xfId="1" xr:uid="{00000000-0005-0000-0000-000002000000}"/>
    <cellStyle name="Normal 2" xfId="2" xr:uid="{00000000-0005-0000-0000-000003000000}"/>
    <cellStyle name="Percent" xfId="4" builtinId="5"/>
    <cellStyle name="Percent 3" xfId="5" xr:uid="{14B83E92-4A9A-4F6B-9A93-1C1BF8C34B55}"/>
  </cellStyles>
  <dxfs count="1440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Utilities/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tabSelected="1" zoomScaleNormal="100" workbookViewId="0">
      <pane xSplit="4" ySplit="13" topLeftCell="E14" activePane="bottomRight" state="frozen"/>
      <selection pane="topRight" activeCell="E1" sqref="E1"/>
      <selection pane="bottomLeft" activeCell="A14" sqref="A14"/>
      <selection pane="bottomRight" activeCell="A32" sqref="A32"/>
    </sheetView>
  </sheetViews>
  <sheetFormatPr defaultColWidth="11.5703125" defaultRowHeight="12.75" x14ac:dyDescent="0.2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 x14ac:dyDescent="0.2">
      <c r="A1" s="3" t="s">
        <v>0</v>
      </c>
      <c r="B1" s="10" t="s">
        <v>1</v>
      </c>
      <c r="C1" s="10" t="s">
        <v>2</v>
      </c>
      <c r="D1" s="10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7"/>
      <c r="M1" s="15"/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6" t="s">
        <v>16</v>
      </c>
      <c r="T1" s="6" t="s">
        <v>17</v>
      </c>
      <c r="U1" s="6" t="s">
        <v>18</v>
      </c>
    </row>
    <row r="2" spans="1:21" x14ac:dyDescent="0.2">
      <c r="A2" s="2" t="s">
        <v>19</v>
      </c>
      <c r="B2" s="7">
        <v>1</v>
      </c>
      <c r="C2" s="7">
        <v>10</v>
      </c>
      <c r="D2" s="7">
        <v>2021</v>
      </c>
      <c r="E2" s="8">
        <f>HOTEL!E4</f>
        <v>11001</v>
      </c>
      <c r="F2" s="16">
        <v>6.21</v>
      </c>
      <c r="G2" s="8">
        <f>HOTEL!CK4</f>
        <v>30</v>
      </c>
      <c r="H2" s="16">
        <v>57.45</v>
      </c>
      <c r="I2" s="8">
        <f>HOTEL!V4+HOTEL!Y4</f>
        <v>111.11111111111111</v>
      </c>
      <c r="J2" s="16">
        <f>P2</f>
        <v>50</v>
      </c>
      <c r="K2" s="7">
        <f>HOTEL!EE4</f>
        <v>0</v>
      </c>
      <c r="L2" s="18"/>
      <c r="N2" s="7">
        <f>HOTEL!Y4/25</f>
        <v>4.4444444444444446</v>
      </c>
      <c r="O2" s="7">
        <f t="shared" ref="O2:O19" si="0">N2*2500</f>
        <v>11111.111111111111</v>
      </c>
      <c r="P2" s="8">
        <f>IFERROR(((((HOTEL!V4*34))+(N2*2500))/(I2+N2*25)),0)</f>
        <v>50</v>
      </c>
      <c r="Q2" s="7">
        <v>6.21</v>
      </c>
      <c r="R2" s="16">
        <f>H2</f>
        <v>57.45</v>
      </c>
      <c r="S2" s="7">
        <v>33.880000000000003</v>
      </c>
      <c r="T2" s="8">
        <f>G2*H2</f>
        <v>1723.5</v>
      </c>
      <c r="U2" s="8">
        <f>I2*P2</f>
        <v>5555.5555555555557</v>
      </c>
    </row>
    <row r="3" spans="1:21" x14ac:dyDescent="0.2">
      <c r="A3" s="2" t="s">
        <v>19</v>
      </c>
      <c r="B3" s="7">
        <f>B2+1</f>
        <v>2</v>
      </c>
      <c r="C3" s="7">
        <v>10</v>
      </c>
      <c r="D3" s="7">
        <v>2021</v>
      </c>
      <c r="E3" s="8">
        <f>HOTEL!E5</f>
        <v>12896</v>
      </c>
      <c r="F3" s="16">
        <v>6.21</v>
      </c>
      <c r="G3" s="8">
        <f>HOTEL!CK5</f>
        <v>29</v>
      </c>
      <c r="H3" s="16">
        <v>57.45</v>
      </c>
      <c r="I3" s="8">
        <f>HOTEL!V5+HOTEL!Y5</f>
        <v>422.33333333333331</v>
      </c>
      <c r="J3" s="16">
        <f t="shared" ref="J3:J31" si="1">P3</f>
        <v>41.678464307138569</v>
      </c>
      <c r="K3" s="7">
        <f>HOTEL!EE5</f>
        <v>0</v>
      </c>
      <c r="L3" s="18"/>
      <c r="N3" s="7">
        <f>HOTEL!Y5/25</f>
        <v>5.3333333333333321</v>
      </c>
      <c r="O3" s="7">
        <f t="shared" si="0"/>
        <v>13333.33333333333</v>
      </c>
      <c r="P3" s="8">
        <f>IFERROR(((((HOTEL!V5*34))+(N3*2500))/(I3+N3*25)),0)</f>
        <v>41.678464307138569</v>
      </c>
      <c r="Q3" s="7">
        <v>6.21</v>
      </c>
      <c r="R3" s="16">
        <f t="shared" ref="R3:R31" si="2">H3</f>
        <v>57.45</v>
      </c>
      <c r="S3" s="7">
        <v>33.880000000000003</v>
      </c>
      <c r="T3" s="8">
        <f t="shared" ref="T3:T19" si="3">G3*H3</f>
        <v>1666.0500000000002</v>
      </c>
      <c r="U3" s="8">
        <f t="shared" ref="U3:U31" si="4">I3*P3</f>
        <v>17602.204759048189</v>
      </c>
    </row>
    <row r="4" spans="1:21" x14ac:dyDescent="0.2">
      <c r="A4" s="2" t="s">
        <v>19</v>
      </c>
      <c r="B4" s="7">
        <f t="shared" ref="B4:B30" si="5">B3+1</f>
        <v>3</v>
      </c>
      <c r="C4" s="7">
        <v>10</v>
      </c>
      <c r="D4" s="7">
        <v>2021</v>
      </c>
      <c r="E4" s="8">
        <f>HOTEL!E6</f>
        <v>11196</v>
      </c>
      <c r="F4" s="16">
        <v>6.21</v>
      </c>
      <c r="G4" s="8">
        <f>HOTEL!CK6</f>
        <v>27</v>
      </c>
      <c r="H4" s="16">
        <v>57.45</v>
      </c>
      <c r="I4" s="8">
        <f>HOTEL!V6+HOTEL!Y6</f>
        <v>630.44444444444446</v>
      </c>
      <c r="J4" s="16">
        <f t="shared" si="1"/>
        <v>42.940817881635766</v>
      </c>
      <c r="K4" s="7">
        <f>HOTEL!EE6</f>
        <v>0</v>
      </c>
      <c r="L4" s="18"/>
      <c r="N4" s="7">
        <f>HOTEL!Y6/25</f>
        <v>9.7777777777777786</v>
      </c>
      <c r="O4" s="7">
        <f t="shared" si="0"/>
        <v>24444.444444444445</v>
      </c>
      <c r="P4" s="8">
        <f>IFERROR(((((HOTEL!V6*34))+(N4*2500))/(I4+N4*25)),0)</f>
        <v>42.940817881635766</v>
      </c>
      <c r="Q4" s="7">
        <v>6.21</v>
      </c>
      <c r="R4" s="16">
        <f t="shared" si="2"/>
        <v>57.45</v>
      </c>
      <c r="S4" s="7">
        <v>33.880000000000003</v>
      </c>
      <c r="T4" s="8">
        <f t="shared" si="3"/>
        <v>1551.15</v>
      </c>
      <c r="U4" s="8">
        <f t="shared" si="4"/>
        <v>27071.800073377926</v>
      </c>
    </row>
    <row r="5" spans="1:21" x14ac:dyDescent="0.2">
      <c r="A5" s="2" t="s">
        <v>19</v>
      </c>
      <c r="B5" s="7">
        <f t="shared" si="5"/>
        <v>4</v>
      </c>
      <c r="C5" s="7">
        <v>10</v>
      </c>
      <c r="D5" s="7">
        <v>2021</v>
      </c>
      <c r="E5" s="8">
        <f>HOTEL!E7</f>
        <v>16820</v>
      </c>
      <c r="F5" s="16">
        <v>6.21</v>
      </c>
      <c r="G5" s="8">
        <f>HOTEL!CK7</f>
        <v>24</v>
      </c>
      <c r="H5" s="16">
        <v>57.45</v>
      </c>
      <c r="I5" s="8">
        <f>HOTEL!V7+HOTEL!Y7</f>
        <v>535.55555555555554</v>
      </c>
      <c r="J5" s="16">
        <f t="shared" si="1"/>
        <v>46.768079800498754</v>
      </c>
      <c r="K5" s="7">
        <f>HOTEL!EE7</f>
        <v>0</v>
      </c>
      <c r="L5" s="18"/>
      <c r="N5" s="7">
        <f>HOTEL!Y7/25</f>
        <v>14.222222222222221</v>
      </c>
      <c r="O5" s="7">
        <f t="shared" si="0"/>
        <v>35555.555555555555</v>
      </c>
      <c r="P5" s="8">
        <f>IFERROR(((((HOTEL!V7*34))+(N5*2500))/(I5+N5*25)),0)</f>
        <v>46.768079800498754</v>
      </c>
      <c r="Q5" s="7">
        <v>6.21</v>
      </c>
      <c r="R5" s="16">
        <f t="shared" si="2"/>
        <v>57.45</v>
      </c>
      <c r="S5" s="7">
        <v>33.880000000000003</v>
      </c>
      <c r="T5" s="8">
        <f t="shared" si="3"/>
        <v>1378.8000000000002</v>
      </c>
      <c r="U5" s="8">
        <f t="shared" si="4"/>
        <v>25046.904959822667</v>
      </c>
    </row>
    <row r="6" spans="1:21" x14ac:dyDescent="0.2">
      <c r="A6" s="2" t="s">
        <v>19</v>
      </c>
      <c r="B6" s="7">
        <f t="shared" si="5"/>
        <v>5</v>
      </c>
      <c r="C6" s="7">
        <v>10</v>
      </c>
      <c r="D6" s="7">
        <v>2021</v>
      </c>
      <c r="E6" s="8">
        <f>HOTEL!E8</f>
        <v>14375</v>
      </c>
      <c r="F6" s="16">
        <v>6.21</v>
      </c>
      <c r="G6" s="8">
        <f>HOTEL!CK8</f>
        <v>61</v>
      </c>
      <c r="H6" s="16">
        <v>57.45</v>
      </c>
      <c r="I6" s="8">
        <f>HOTEL!V8+HOTEL!Y8</f>
        <v>632.77777777777783</v>
      </c>
      <c r="J6" s="16">
        <f t="shared" si="1"/>
        <v>45.962616822429901</v>
      </c>
      <c r="K6" s="7">
        <f>HOTEL!EE8</f>
        <v>0</v>
      </c>
      <c r="L6" s="18"/>
      <c r="N6" s="7">
        <f>HOTEL!Y8/25</f>
        <v>15.111111111111111</v>
      </c>
      <c r="O6" s="7">
        <f t="shared" si="0"/>
        <v>37777.777777777774</v>
      </c>
      <c r="P6" s="8">
        <f>IFERROR(((((HOTEL!V8*34))+(N6*2500))/(I6+N6*25)),0)</f>
        <v>45.962616822429901</v>
      </c>
      <c r="Q6" s="7">
        <v>6.21</v>
      </c>
      <c r="R6" s="16">
        <f t="shared" si="2"/>
        <v>57.45</v>
      </c>
      <c r="S6" s="7">
        <v>33.880000000000003</v>
      </c>
      <c r="T6" s="8">
        <f t="shared" si="3"/>
        <v>3504.4500000000003</v>
      </c>
      <c r="U6" s="8">
        <f t="shared" si="4"/>
        <v>29084.122533748701</v>
      </c>
    </row>
    <row r="7" spans="1:21" x14ac:dyDescent="0.2">
      <c r="A7" s="2" t="s">
        <v>19</v>
      </c>
      <c r="B7" s="7">
        <f t="shared" si="5"/>
        <v>6</v>
      </c>
      <c r="C7" s="7">
        <v>10</v>
      </c>
      <c r="D7" s="7">
        <v>2021</v>
      </c>
      <c r="E7" s="8">
        <f>HOTEL!E9</f>
        <v>14694</v>
      </c>
      <c r="F7" s="16">
        <v>6.21</v>
      </c>
      <c r="G7" s="8">
        <f>HOTEL!CK9</f>
        <v>59</v>
      </c>
      <c r="H7" s="16">
        <v>57.45</v>
      </c>
      <c r="I7" s="8">
        <f>HOTEL!V9+HOTEL!Y9</f>
        <v>452.66666666666663</v>
      </c>
      <c r="J7" s="16">
        <f t="shared" si="1"/>
        <v>45.862835959221492</v>
      </c>
      <c r="K7" s="7">
        <f>HOTEL!EE9</f>
        <v>0</v>
      </c>
      <c r="L7" s="18"/>
      <c r="N7" s="7">
        <f>HOTEL!Y9/25</f>
        <v>10.666666666666664</v>
      </c>
      <c r="O7" s="7">
        <f t="shared" si="0"/>
        <v>26666.666666666661</v>
      </c>
      <c r="P7" s="8">
        <f>IFERROR(((((HOTEL!V9*34))+(N7*2500))/(I7+N7*25)),0)</f>
        <v>45.862835959221492</v>
      </c>
      <c r="Q7" s="7">
        <v>6.21</v>
      </c>
      <c r="R7" s="16">
        <f t="shared" si="2"/>
        <v>57.45</v>
      </c>
      <c r="S7" s="7">
        <v>33.880000000000003</v>
      </c>
      <c r="T7" s="8">
        <f t="shared" si="3"/>
        <v>3389.55</v>
      </c>
      <c r="U7" s="8">
        <f t="shared" si="4"/>
        <v>20760.577077540926</v>
      </c>
    </row>
    <row r="8" spans="1:21" x14ac:dyDescent="0.2">
      <c r="A8" s="2" t="s">
        <v>19</v>
      </c>
      <c r="B8" s="7">
        <f t="shared" si="5"/>
        <v>7</v>
      </c>
      <c r="C8" s="7">
        <v>10</v>
      </c>
      <c r="D8" s="7">
        <v>2021</v>
      </c>
      <c r="E8" s="8">
        <f>HOTEL!E10</f>
        <v>13799</v>
      </c>
      <c r="F8" s="16">
        <v>6.21</v>
      </c>
      <c r="G8" s="8">
        <f>HOTEL!CK10</f>
        <v>56</v>
      </c>
      <c r="H8" s="16">
        <v>57.45</v>
      </c>
      <c r="I8" s="8">
        <f>HOTEL!V10+HOTEL!Y10</f>
        <v>514</v>
      </c>
      <c r="J8" s="16">
        <f t="shared" si="1"/>
        <v>42.963585434173666</v>
      </c>
      <c r="K8" s="7">
        <f>HOTEL!EE10</f>
        <v>0</v>
      </c>
      <c r="L8" s="18"/>
      <c r="N8" s="7">
        <f>HOTEL!Y10/25</f>
        <v>8</v>
      </c>
      <c r="O8" s="7">
        <f t="shared" si="0"/>
        <v>20000</v>
      </c>
      <c r="P8" s="8">
        <f>IFERROR(((((HOTEL!V10*34))+(N8*2500))/(I8+N8*25)),0)</f>
        <v>42.963585434173666</v>
      </c>
      <c r="Q8" s="7">
        <v>6.21</v>
      </c>
      <c r="R8" s="16">
        <f t="shared" si="2"/>
        <v>57.45</v>
      </c>
      <c r="S8" s="7">
        <v>33.880000000000003</v>
      </c>
      <c r="T8" s="8">
        <f t="shared" si="3"/>
        <v>3217.2000000000003</v>
      </c>
      <c r="U8" s="8">
        <f t="shared" si="4"/>
        <v>22083.282913165265</v>
      </c>
    </row>
    <row r="9" spans="1:21" x14ac:dyDescent="0.2">
      <c r="A9" s="2" t="s">
        <v>19</v>
      </c>
      <c r="B9" s="7">
        <f t="shared" si="5"/>
        <v>8</v>
      </c>
      <c r="C9" s="7">
        <v>10</v>
      </c>
      <c r="D9" s="7">
        <v>2021</v>
      </c>
      <c r="E9" s="8">
        <f>HOTEL!E11</f>
        <v>15510</v>
      </c>
      <c r="F9" s="16">
        <v>6.21</v>
      </c>
      <c r="G9" s="8">
        <f>HOTEL!CK11</f>
        <v>55</v>
      </c>
      <c r="H9" s="16">
        <v>57.45</v>
      </c>
      <c r="I9" s="8">
        <f>HOTEL!V11+HOTEL!Y11</f>
        <v>553.11111111111109</v>
      </c>
      <c r="J9" s="16">
        <f t="shared" si="1"/>
        <v>45.519670866546676</v>
      </c>
      <c r="K9" s="7">
        <f>HOTEL!EE11</f>
        <v>0</v>
      </c>
      <c r="L9" s="18"/>
      <c r="N9" s="7">
        <f>HOTEL!Y11/25</f>
        <v>12.444444444444446</v>
      </c>
      <c r="O9" s="7">
        <f>N9*2500</f>
        <v>31111.111111111117</v>
      </c>
      <c r="P9" s="8">
        <f>IFERROR(((((HOTEL!V11*34))+(N9*2500))/(I9+N9*25)),0)</f>
        <v>45.519670866546676</v>
      </c>
      <c r="Q9" s="7">
        <v>6.21</v>
      </c>
      <c r="R9" s="16">
        <f t="shared" si="2"/>
        <v>57.45</v>
      </c>
      <c r="S9" s="7">
        <v>33.880000000000003</v>
      </c>
      <c r="T9" s="8">
        <f>G9*H9</f>
        <v>3159.75</v>
      </c>
      <c r="U9" s="8">
        <f t="shared" si="4"/>
        <v>25177.435730407706</v>
      </c>
    </row>
    <row r="10" spans="1:21" x14ac:dyDescent="0.2">
      <c r="A10" s="2" t="s">
        <v>19</v>
      </c>
      <c r="B10" s="7">
        <f t="shared" si="5"/>
        <v>9</v>
      </c>
      <c r="C10" s="7">
        <v>10</v>
      </c>
      <c r="D10" s="7">
        <v>2021</v>
      </c>
      <c r="E10" s="8">
        <f>HOTEL!E12</f>
        <v>14635</v>
      </c>
      <c r="F10" s="16">
        <v>6.21</v>
      </c>
      <c r="G10" s="8">
        <f>HOTEL!CK12</f>
        <v>52</v>
      </c>
      <c r="H10" s="16">
        <v>57.45</v>
      </c>
      <c r="I10" s="8">
        <f>HOTEL!V12+HOTEL!Y12</f>
        <v>604</v>
      </c>
      <c r="J10" s="16">
        <f t="shared" si="1"/>
        <v>46.749003984063748</v>
      </c>
      <c r="K10" s="7">
        <f>HOTEL!EE12</f>
        <v>0</v>
      </c>
      <c r="L10" s="18"/>
      <c r="N10" s="7">
        <f>HOTEL!Y12/25</f>
        <v>16</v>
      </c>
      <c r="O10" s="7">
        <f t="shared" si="0"/>
        <v>40000</v>
      </c>
      <c r="P10" s="8">
        <f>IFERROR(((((HOTEL!V12*34))+(N10*2500))/(I10+N10*25)),0)</f>
        <v>46.749003984063748</v>
      </c>
      <c r="Q10" s="7">
        <v>6.21</v>
      </c>
      <c r="R10" s="16">
        <f t="shared" si="2"/>
        <v>57.45</v>
      </c>
      <c r="S10" s="7">
        <v>33.93</v>
      </c>
      <c r="T10" s="8">
        <f t="shared" si="3"/>
        <v>2987.4</v>
      </c>
      <c r="U10" s="8">
        <f t="shared" si="4"/>
        <v>28236.398406374505</v>
      </c>
    </row>
    <row r="11" spans="1:21" x14ac:dyDescent="0.2">
      <c r="A11" s="2" t="s">
        <v>19</v>
      </c>
      <c r="B11" s="7">
        <f t="shared" si="5"/>
        <v>10</v>
      </c>
      <c r="C11" s="7">
        <v>10</v>
      </c>
      <c r="D11" s="7">
        <v>2021</v>
      </c>
      <c r="E11" s="8">
        <f>HOTEL!E13</f>
        <v>16546</v>
      </c>
      <c r="F11" s="16">
        <v>6.21</v>
      </c>
      <c r="G11" s="8">
        <f>HOTEL!CK13</f>
        <v>49</v>
      </c>
      <c r="H11" s="16">
        <v>57.45</v>
      </c>
      <c r="I11" s="8">
        <f>HOTEL!V13+HOTEL!Y13</f>
        <v>604</v>
      </c>
      <c r="J11" s="16">
        <f t="shared" si="1"/>
        <v>46.749003984063748</v>
      </c>
      <c r="K11" s="7">
        <f>HOTEL!EE13</f>
        <v>0</v>
      </c>
      <c r="L11" s="18"/>
      <c r="N11" s="7">
        <f>HOTEL!Y13/25</f>
        <v>16</v>
      </c>
      <c r="O11" s="7">
        <f>N11*2500</f>
        <v>40000</v>
      </c>
      <c r="P11" s="8">
        <f>IFERROR(((((HOTEL!V13*34))+(N11*2500))/(I11+N11*25)),0)</f>
        <v>46.749003984063748</v>
      </c>
      <c r="Q11" s="7">
        <v>6.21</v>
      </c>
      <c r="R11" s="16">
        <f t="shared" si="2"/>
        <v>57.45</v>
      </c>
      <c r="S11" s="7">
        <v>33.93</v>
      </c>
      <c r="T11" s="8">
        <f>G11*H11</f>
        <v>2815.05</v>
      </c>
      <c r="U11" s="8">
        <f t="shared" si="4"/>
        <v>28236.398406374505</v>
      </c>
    </row>
    <row r="12" spans="1:21" x14ac:dyDescent="0.2">
      <c r="A12" s="2" t="s">
        <v>19</v>
      </c>
      <c r="B12" s="7">
        <f t="shared" si="5"/>
        <v>11</v>
      </c>
      <c r="C12" s="7">
        <v>10</v>
      </c>
      <c r="D12" s="7">
        <v>2021</v>
      </c>
      <c r="E12" s="8">
        <f>HOTEL!E14</f>
        <v>16062</v>
      </c>
      <c r="F12" s="16">
        <v>6.21</v>
      </c>
      <c r="G12" s="8">
        <f>HOTEL!CK14</f>
        <v>45</v>
      </c>
      <c r="H12" s="16">
        <v>57.45</v>
      </c>
      <c r="I12" s="8">
        <f>HOTEL!V14+HOTEL!Y14</f>
        <v>604</v>
      </c>
      <c r="J12" s="16">
        <f t="shared" si="1"/>
        <v>46.749003984063748</v>
      </c>
      <c r="K12" s="7">
        <f>HOTEL!EE14</f>
        <v>0</v>
      </c>
      <c r="L12" s="18"/>
      <c r="N12" s="7">
        <f>HOTEL!Y14/25</f>
        <v>16</v>
      </c>
      <c r="O12" s="7">
        <f>N12*2500</f>
        <v>40000</v>
      </c>
      <c r="P12" s="8">
        <f>IFERROR(((((HOTEL!V14*34))+(N12*2500))/(I12+N12*25)),0)</f>
        <v>46.749003984063748</v>
      </c>
      <c r="Q12" s="7">
        <v>6.21</v>
      </c>
      <c r="R12" s="16">
        <f t="shared" si="2"/>
        <v>57.45</v>
      </c>
      <c r="S12" s="7">
        <v>33.93</v>
      </c>
      <c r="T12" s="8">
        <f>G12*H12</f>
        <v>2585.25</v>
      </c>
      <c r="U12" s="8">
        <f t="shared" si="4"/>
        <v>28236.398406374505</v>
      </c>
    </row>
    <row r="13" spans="1:21" x14ac:dyDescent="0.2">
      <c r="A13" s="2" t="s">
        <v>19</v>
      </c>
      <c r="B13" s="7">
        <f t="shared" si="5"/>
        <v>12</v>
      </c>
      <c r="C13" s="7">
        <v>10</v>
      </c>
      <c r="D13" s="7">
        <v>2021</v>
      </c>
      <c r="E13" s="8">
        <f>HOTEL!E15</f>
        <v>17122</v>
      </c>
      <c r="F13" s="16">
        <v>6.21</v>
      </c>
      <c r="G13" s="8">
        <f>HOTEL!CK15</f>
        <v>42</v>
      </c>
      <c r="H13" s="16">
        <v>57.45</v>
      </c>
      <c r="I13" s="8">
        <f>HOTEL!V15+HOTEL!Y15</f>
        <v>537.33333333333337</v>
      </c>
      <c r="J13" s="16">
        <f t="shared" si="1"/>
        <v>46.251148545176108</v>
      </c>
      <c r="K13" s="7">
        <f>HOTEL!EE15</f>
        <v>0</v>
      </c>
      <c r="L13" s="18"/>
      <c r="N13" s="7">
        <f>HOTEL!Y15/25</f>
        <v>13.333333333333336</v>
      </c>
      <c r="O13" s="7">
        <f t="shared" si="0"/>
        <v>33333.333333333336</v>
      </c>
      <c r="P13" s="8">
        <f>IFERROR(((((HOTEL!V15*34))+(N13*2500))/(I13+N13*25)),0)</f>
        <v>46.251148545176108</v>
      </c>
      <c r="Q13" s="7">
        <v>6.21</v>
      </c>
      <c r="R13" s="16">
        <f t="shared" si="2"/>
        <v>57.45</v>
      </c>
      <c r="S13" s="7">
        <v>33.93</v>
      </c>
      <c r="T13" s="8">
        <f t="shared" si="3"/>
        <v>2412.9</v>
      </c>
      <c r="U13" s="8">
        <f t="shared" si="4"/>
        <v>24852.283818274631</v>
      </c>
    </row>
    <row r="14" spans="1:21" x14ac:dyDescent="0.2">
      <c r="A14" s="2" t="s">
        <v>19</v>
      </c>
      <c r="B14" s="7">
        <f t="shared" si="5"/>
        <v>13</v>
      </c>
      <c r="C14" s="7">
        <v>10</v>
      </c>
      <c r="D14" s="7">
        <v>2021</v>
      </c>
      <c r="E14" s="8">
        <f>HOTEL!E16</f>
        <v>18458</v>
      </c>
      <c r="F14" s="16">
        <v>6.21</v>
      </c>
      <c r="G14" s="8">
        <f>HOTEL!CK16</f>
        <v>40</v>
      </c>
      <c r="H14" s="16">
        <v>57.45</v>
      </c>
      <c r="I14" s="8">
        <f>HOTEL!V16+HOTEL!Y16</f>
        <v>564.22222222222217</v>
      </c>
      <c r="J14" s="16">
        <f t="shared" si="1"/>
        <v>43.042102288782147</v>
      </c>
      <c r="K14" s="7">
        <f>HOTEL!EE16</f>
        <v>0</v>
      </c>
      <c r="L14" s="18"/>
      <c r="N14" s="7">
        <f>HOTEL!Y16/25</f>
        <v>8.8888888888888893</v>
      </c>
      <c r="O14" s="7">
        <f t="shared" si="0"/>
        <v>22222.222222222223</v>
      </c>
      <c r="P14" s="8">
        <f>IFERROR(((((HOTEL!V16*34))+(N14*2500))/(I14+N14*25)),0)</f>
        <v>43.042102288782147</v>
      </c>
      <c r="Q14" s="7">
        <v>6.21</v>
      </c>
      <c r="R14" s="16">
        <f t="shared" si="2"/>
        <v>57.45</v>
      </c>
      <c r="S14" s="7">
        <v>33.93</v>
      </c>
      <c r="T14" s="8">
        <f t="shared" si="3"/>
        <v>2298</v>
      </c>
      <c r="U14" s="8">
        <f t="shared" si="4"/>
        <v>24285.310602492857</v>
      </c>
    </row>
    <row r="15" spans="1:21" x14ac:dyDescent="0.2">
      <c r="A15" s="2" t="s">
        <v>19</v>
      </c>
      <c r="B15" s="7">
        <f t="shared" si="5"/>
        <v>14</v>
      </c>
      <c r="C15" s="7">
        <v>10</v>
      </c>
      <c r="D15" s="7">
        <v>2021</v>
      </c>
      <c r="E15" s="8">
        <f>HOTEL!E17</f>
        <v>16265</v>
      </c>
      <c r="F15" s="16">
        <v>6.21</v>
      </c>
      <c r="G15" s="8">
        <f>HOTEL!CK17</f>
        <v>36</v>
      </c>
      <c r="H15" s="16">
        <v>57.45</v>
      </c>
      <c r="I15" s="8">
        <f>HOTEL!V17+HOTEL!Y17</f>
        <v>556.22222222222217</v>
      </c>
      <c r="J15" s="16">
        <f t="shared" si="1"/>
        <v>43.135027119611763</v>
      </c>
      <c r="K15" s="7">
        <f>HOTEL!EE17</f>
        <v>0</v>
      </c>
      <c r="L15" s="18"/>
      <c r="N15" s="7">
        <f>HOTEL!Y17/25</f>
        <v>8.8888888888888893</v>
      </c>
      <c r="O15" s="7">
        <f t="shared" si="0"/>
        <v>22222.222222222223</v>
      </c>
      <c r="P15" s="8">
        <f>IFERROR(((((HOTEL!V17*34))+(N15*2500))/(I15+N15*25)),0)</f>
        <v>43.135027119611763</v>
      </c>
      <c r="Q15" s="7">
        <v>6.21</v>
      </c>
      <c r="R15" s="16">
        <f t="shared" si="2"/>
        <v>57.45</v>
      </c>
      <c r="S15" s="7">
        <v>33.93</v>
      </c>
      <c r="T15" s="8">
        <f t="shared" si="3"/>
        <v>2068.2000000000003</v>
      </c>
      <c r="U15" s="8">
        <f t="shared" si="4"/>
        <v>23992.660640086273</v>
      </c>
    </row>
    <row r="16" spans="1:21" x14ac:dyDescent="0.2">
      <c r="A16" s="2" t="s">
        <v>19</v>
      </c>
      <c r="B16" s="7">
        <f t="shared" si="5"/>
        <v>15</v>
      </c>
      <c r="C16" s="7">
        <v>10</v>
      </c>
      <c r="D16" s="7">
        <v>2021</v>
      </c>
      <c r="E16" s="8">
        <f>HOTEL!E18</f>
        <v>19548</v>
      </c>
      <c r="F16" s="16">
        <v>6.21</v>
      </c>
      <c r="G16" s="8">
        <f>HOTEL!CK18</f>
        <v>75</v>
      </c>
      <c r="H16" s="16">
        <v>57.45</v>
      </c>
      <c r="I16" s="8">
        <f>HOTEL!V18+HOTEL!Y18</f>
        <v>490.66666666666663</v>
      </c>
      <c r="J16" s="16">
        <f t="shared" si="1"/>
        <v>45.267605633802809</v>
      </c>
      <c r="K16" s="7">
        <f>HOTEL!EE18</f>
        <v>0</v>
      </c>
      <c r="L16" s="18"/>
      <c r="N16" s="7">
        <f>HOTEL!Y18/25</f>
        <v>10.666666666666664</v>
      </c>
      <c r="O16" s="7">
        <f t="shared" si="0"/>
        <v>26666.666666666661</v>
      </c>
      <c r="P16" s="8">
        <f>IFERROR(((((HOTEL!V18*34))+(N16*2500))/(I16+N16*25)),0)</f>
        <v>45.267605633802809</v>
      </c>
      <c r="Q16" s="7">
        <v>6.21</v>
      </c>
      <c r="R16" s="16">
        <f t="shared" si="2"/>
        <v>57.45</v>
      </c>
      <c r="S16" s="7">
        <v>33.93</v>
      </c>
      <c r="T16" s="8">
        <f t="shared" si="3"/>
        <v>4308.75</v>
      </c>
      <c r="U16" s="8">
        <f t="shared" si="4"/>
        <v>22211.305164319245</v>
      </c>
    </row>
    <row r="17" spans="1:21" x14ac:dyDescent="0.2">
      <c r="A17" s="2" t="s">
        <v>19</v>
      </c>
      <c r="B17" s="7">
        <f t="shared" si="5"/>
        <v>16</v>
      </c>
      <c r="C17" s="7">
        <v>10</v>
      </c>
      <c r="D17" s="7">
        <v>2021</v>
      </c>
      <c r="E17" s="8">
        <f>HOTEL!E19</f>
        <v>18884</v>
      </c>
      <c r="F17" s="16">
        <v>6.21</v>
      </c>
      <c r="G17" s="8">
        <f>HOTEL!CK19</f>
        <v>64</v>
      </c>
      <c r="H17" s="16">
        <v>57.45</v>
      </c>
      <c r="I17" s="8">
        <f>HOTEL!V19+HOTEL!Y19</f>
        <v>559.88888888888891</v>
      </c>
      <c r="J17" s="16">
        <f t="shared" si="1"/>
        <v>44.891477942139012</v>
      </c>
      <c r="K17" s="7">
        <f>HOTEL!EE19</f>
        <v>0</v>
      </c>
      <c r="L17" s="18"/>
      <c r="N17" s="7">
        <f>HOTEL!Y19/25</f>
        <v>11.555555555555554</v>
      </c>
      <c r="O17" s="7">
        <f t="shared" si="0"/>
        <v>28888.888888888883</v>
      </c>
      <c r="P17" s="8">
        <f>IFERROR(((((HOTEL!V19*34))+(N17*2500))/(I17+N17*25)),0)</f>
        <v>44.891477942139012</v>
      </c>
      <c r="Q17" s="7">
        <v>6.21</v>
      </c>
      <c r="R17" s="16">
        <f t="shared" si="2"/>
        <v>57.45</v>
      </c>
      <c r="S17" s="7">
        <v>33.93</v>
      </c>
      <c r="T17" s="8">
        <f t="shared" si="3"/>
        <v>3676.8</v>
      </c>
      <c r="U17" s="8">
        <f t="shared" si="4"/>
        <v>25134.239705604276</v>
      </c>
    </row>
    <row r="18" spans="1:21" x14ac:dyDescent="0.2">
      <c r="A18" s="2" t="s">
        <v>19</v>
      </c>
      <c r="B18" s="7">
        <f t="shared" si="5"/>
        <v>17</v>
      </c>
      <c r="C18" s="7">
        <v>10</v>
      </c>
      <c r="D18" s="7">
        <v>2021</v>
      </c>
      <c r="E18" s="8">
        <f>HOTEL!E20</f>
        <v>18376</v>
      </c>
      <c r="F18" s="16">
        <v>6.21</v>
      </c>
      <c r="G18" s="8">
        <f>HOTEL!CK20</f>
        <v>61</v>
      </c>
      <c r="H18" s="16">
        <v>57.45</v>
      </c>
      <c r="I18" s="8">
        <f>HOTEL!V20+HOTEL!Y20</f>
        <v>541</v>
      </c>
      <c r="J18" s="16">
        <f t="shared" si="1"/>
        <v>46.785793562708101</v>
      </c>
      <c r="K18" s="7">
        <f>HOTEL!EE20</f>
        <v>0</v>
      </c>
      <c r="L18" s="18"/>
      <c r="N18" s="7">
        <f>HOTEL!Y20/25</f>
        <v>14.4</v>
      </c>
      <c r="O18" s="7">
        <f t="shared" si="0"/>
        <v>36000</v>
      </c>
      <c r="P18" s="8">
        <f>IFERROR(((((HOTEL!V20*34))+(N18*2500))/(I18+N18*25)),0)</f>
        <v>46.785793562708101</v>
      </c>
      <c r="Q18" s="7">
        <v>6.21</v>
      </c>
      <c r="R18" s="16">
        <f t="shared" si="2"/>
        <v>57.45</v>
      </c>
      <c r="S18" s="7">
        <v>33.93</v>
      </c>
      <c r="T18" s="8">
        <f t="shared" si="3"/>
        <v>3504.4500000000003</v>
      </c>
      <c r="U18" s="8">
        <f t="shared" si="4"/>
        <v>25311.114317425083</v>
      </c>
    </row>
    <row r="19" spans="1:21" x14ac:dyDescent="0.2">
      <c r="A19" s="2" t="s">
        <v>19</v>
      </c>
      <c r="B19" s="7">
        <f t="shared" si="5"/>
        <v>18</v>
      </c>
      <c r="C19" s="7">
        <v>10</v>
      </c>
      <c r="D19" s="7">
        <v>2021</v>
      </c>
      <c r="E19" s="8">
        <f>HOTEL!E21</f>
        <v>19370</v>
      </c>
      <c r="F19" s="16">
        <v>6.21</v>
      </c>
      <c r="G19" s="8">
        <f>HOTEL!CK21</f>
        <v>57</v>
      </c>
      <c r="H19" s="16">
        <v>57.45</v>
      </c>
      <c r="I19" s="8">
        <f>HOTEL!V21+HOTEL!Y21</f>
        <v>436.66666666666663</v>
      </c>
      <c r="J19" s="16">
        <f t="shared" si="1"/>
        <v>46.132701421800945</v>
      </c>
      <c r="K19" s="7">
        <f>HOTEL!EE21</f>
        <v>0</v>
      </c>
      <c r="L19" s="18"/>
      <c r="N19" s="7">
        <f>HOTEL!Y21/25</f>
        <v>10.666666666666664</v>
      </c>
      <c r="O19" s="7">
        <f t="shared" si="0"/>
        <v>26666.666666666661</v>
      </c>
      <c r="P19" s="8">
        <f>IFERROR(((((HOTEL!V21*34))+(N19*2500))/(I19+N19*25)),0)</f>
        <v>46.132701421800945</v>
      </c>
      <c r="Q19" s="7">
        <v>6.21</v>
      </c>
      <c r="R19" s="16">
        <f t="shared" si="2"/>
        <v>57.45</v>
      </c>
      <c r="S19" s="7">
        <v>33.93</v>
      </c>
      <c r="T19" s="8">
        <f t="shared" si="3"/>
        <v>3274.65</v>
      </c>
      <c r="U19" s="8">
        <f t="shared" si="4"/>
        <v>20144.61295418641</v>
      </c>
    </row>
    <row r="20" spans="1:21" x14ac:dyDescent="0.2">
      <c r="A20" s="2" t="s">
        <v>19</v>
      </c>
      <c r="B20" s="7">
        <f t="shared" si="5"/>
        <v>19</v>
      </c>
      <c r="C20" s="7">
        <v>10</v>
      </c>
      <c r="D20" s="7">
        <v>2021</v>
      </c>
      <c r="E20" s="8">
        <f>HOTEL!E22</f>
        <v>17684</v>
      </c>
      <c r="F20" s="16">
        <v>6.21</v>
      </c>
      <c r="G20" s="8">
        <f>HOTEL!CK22</f>
        <v>55</v>
      </c>
      <c r="H20" s="16">
        <v>57.45</v>
      </c>
      <c r="I20" s="8">
        <f>HOTEL!V22+HOTEL!Y22</f>
        <v>745.55555555555554</v>
      </c>
      <c r="J20" s="16">
        <f t="shared" si="1"/>
        <v>44.332996972754792</v>
      </c>
      <c r="K20" s="7">
        <f>HOTEL!EE22</f>
        <v>0</v>
      </c>
      <c r="L20" s="18"/>
      <c r="N20" s="7">
        <f>HOTEL!Y22/25</f>
        <v>14.222222222222221</v>
      </c>
      <c r="O20" s="7">
        <f>N20*2500</f>
        <v>35555.555555555555</v>
      </c>
      <c r="P20" s="8">
        <f>IFERROR(((((HOTEL!V22*34))+(N20*2500))/(I20+N20*25)),0)</f>
        <v>44.332996972754792</v>
      </c>
      <c r="Q20" s="7">
        <v>6.21</v>
      </c>
      <c r="R20" s="16">
        <f t="shared" si="2"/>
        <v>57.45</v>
      </c>
      <c r="S20" s="7">
        <v>33.93</v>
      </c>
      <c r="T20" s="8">
        <f>G20*H20</f>
        <v>3159.75</v>
      </c>
      <c r="U20" s="8">
        <f t="shared" si="4"/>
        <v>33052.71218746496</v>
      </c>
    </row>
    <row r="21" spans="1:21" x14ac:dyDescent="0.2">
      <c r="A21" s="2" t="s">
        <v>19</v>
      </c>
      <c r="B21" s="7">
        <f t="shared" si="5"/>
        <v>20</v>
      </c>
      <c r="C21" s="7">
        <v>10</v>
      </c>
      <c r="D21" s="7">
        <v>2021</v>
      </c>
      <c r="E21" s="8">
        <f>HOTEL!E23</f>
        <v>21159</v>
      </c>
      <c r="F21" s="16">
        <v>6.21</v>
      </c>
      <c r="G21" s="8">
        <f>HOTEL!CK23</f>
        <v>51</v>
      </c>
      <c r="H21" s="16">
        <v>57.45</v>
      </c>
      <c r="I21" s="8">
        <f>HOTEL!V23+HOTEL!Y23</f>
        <v>422.22222222222223</v>
      </c>
      <c r="J21" s="16">
        <f t="shared" si="1"/>
        <v>45.03448275862069</v>
      </c>
      <c r="K21" s="7">
        <f>HOTEL!EE23</f>
        <v>0</v>
      </c>
      <c r="L21" s="18"/>
      <c r="N21" s="7">
        <f>HOTEL!Y23/25</f>
        <v>8.8888888888888893</v>
      </c>
      <c r="O21" s="7">
        <f>N21*2500</f>
        <v>22222.222222222223</v>
      </c>
      <c r="P21" s="8">
        <f>IFERROR(((((HOTEL!V23*34))+(N21*2500))/(I21+N21*25)),0)</f>
        <v>45.03448275862069</v>
      </c>
      <c r="Q21" s="7">
        <v>6.21</v>
      </c>
      <c r="R21" s="16">
        <f t="shared" si="2"/>
        <v>57.45</v>
      </c>
      <c r="S21" s="7">
        <v>33.93</v>
      </c>
      <c r="T21" s="8">
        <f>G21*H21</f>
        <v>2929.9500000000003</v>
      </c>
      <c r="U21" s="8">
        <f t="shared" si="4"/>
        <v>19014.559386973182</v>
      </c>
    </row>
    <row r="22" spans="1:21" x14ac:dyDescent="0.2">
      <c r="A22" s="2" t="s">
        <v>19</v>
      </c>
      <c r="B22" s="7">
        <f t="shared" si="5"/>
        <v>21</v>
      </c>
      <c r="C22" s="7">
        <v>10</v>
      </c>
      <c r="D22" s="7">
        <v>2021</v>
      </c>
      <c r="E22" s="8">
        <f>HOTEL!E24</f>
        <v>16917</v>
      </c>
      <c r="F22" s="16">
        <v>6.21</v>
      </c>
      <c r="G22" s="8">
        <f>HOTEL!CK24</f>
        <v>49</v>
      </c>
      <c r="H22" s="16">
        <v>57.45</v>
      </c>
      <c r="I22" s="8">
        <f>HOTEL!V24+HOTEL!Y24</f>
        <v>465.22222222222223</v>
      </c>
      <c r="J22" s="16">
        <f t="shared" si="1"/>
        <v>44.344270244060127</v>
      </c>
      <c r="K22" s="7">
        <f>HOTEL!EE24</f>
        <v>0</v>
      </c>
      <c r="L22" s="18"/>
      <c r="N22" s="7">
        <f>HOTEL!Y24/25</f>
        <v>8.8888888888888893</v>
      </c>
      <c r="O22" s="7">
        <f t="shared" ref="O22:O31" si="6">N22*2500</f>
        <v>22222.222222222223</v>
      </c>
      <c r="P22" s="8">
        <f>IFERROR(((((HOTEL!V24*34))+(N22*2500))/(I22+N22*25)),0)</f>
        <v>44.344270244060127</v>
      </c>
      <c r="Q22" s="7">
        <v>6.21</v>
      </c>
      <c r="R22" s="16">
        <f t="shared" si="2"/>
        <v>57.45</v>
      </c>
      <c r="S22" s="7">
        <v>33.93</v>
      </c>
      <c r="T22" s="8">
        <f t="shared" ref="T22:T31" si="7">G22*H22</f>
        <v>2815.05</v>
      </c>
      <c r="U22" s="8">
        <f t="shared" si="4"/>
        <v>20629.939945764418</v>
      </c>
    </row>
    <row r="23" spans="1:21" x14ac:dyDescent="0.2">
      <c r="A23" s="2" t="s">
        <v>19</v>
      </c>
      <c r="B23" s="7">
        <f t="shared" si="5"/>
        <v>22</v>
      </c>
      <c r="C23" s="7">
        <v>10</v>
      </c>
      <c r="D23" s="7">
        <v>2021</v>
      </c>
      <c r="E23" s="8">
        <f>HOTEL!E25</f>
        <v>23794</v>
      </c>
      <c r="F23" s="16">
        <v>6.21</v>
      </c>
      <c r="G23" s="8">
        <f>HOTEL!CK25</f>
        <v>49</v>
      </c>
      <c r="H23" s="16">
        <v>57.45</v>
      </c>
      <c r="I23" s="8">
        <f>HOTEL!V25+HOTEL!Y25</f>
        <v>360.66666666666663</v>
      </c>
      <c r="J23" s="16">
        <f t="shared" si="1"/>
        <v>47.60255047821466</v>
      </c>
      <c r="K23" s="7">
        <f>HOTEL!EE25</f>
        <v>0</v>
      </c>
      <c r="L23" s="18"/>
      <c r="N23" s="7">
        <f>HOTEL!Y25/25</f>
        <v>10.666666666666664</v>
      </c>
      <c r="O23" s="7">
        <f t="shared" si="6"/>
        <v>26666.666666666661</v>
      </c>
      <c r="P23" s="8">
        <f>IFERROR(((((HOTEL!V25*34))+(N23*2500))/(I23+N23*25)),0)</f>
        <v>47.60255047821466</v>
      </c>
      <c r="Q23" s="7">
        <v>6.21</v>
      </c>
      <c r="R23" s="16">
        <f t="shared" si="2"/>
        <v>57.45</v>
      </c>
      <c r="S23" s="7">
        <v>33.93</v>
      </c>
      <c r="T23" s="8">
        <f t="shared" si="7"/>
        <v>2815.05</v>
      </c>
      <c r="U23" s="8">
        <f t="shared" si="4"/>
        <v>17168.65320580942</v>
      </c>
    </row>
    <row r="24" spans="1:21" x14ac:dyDescent="0.2">
      <c r="A24" s="2" t="s">
        <v>19</v>
      </c>
      <c r="B24" s="7">
        <f t="shared" si="5"/>
        <v>23</v>
      </c>
      <c r="C24" s="7">
        <v>10</v>
      </c>
      <c r="D24" s="7">
        <v>2021</v>
      </c>
      <c r="E24" s="8">
        <f>HOTEL!E26</f>
        <v>18972</v>
      </c>
      <c r="F24" s="16">
        <v>6.21</v>
      </c>
      <c r="G24" s="8">
        <f>HOTEL!CK26</f>
        <v>75</v>
      </c>
      <c r="H24" s="16">
        <v>57.45</v>
      </c>
      <c r="I24" s="8">
        <f>HOTEL!V26+HOTEL!Y26</f>
        <v>610.77777777777783</v>
      </c>
      <c r="J24" s="16">
        <f t="shared" si="1"/>
        <v>46.228841182421029</v>
      </c>
      <c r="K24" s="7">
        <f>HOTEL!EE26</f>
        <v>0</v>
      </c>
      <c r="L24" s="18"/>
      <c r="N24" s="7">
        <f>HOTEL!Y26/25</f>
        <v>15.111111111111111</v>
      </c>
      <c r="O24" s="7">
        <f t="shared" si="6"/>
        <v>37777.777777777774</v>
      </c>
      <c r="P24" s="8">
        <f>IFERROR(((((HOTEL!V26*34))+(N24*2500))/(I24+N24*25)),0)</f>
        <v>46.228841182421029</v>
      </c>
      <c r="Q24" s="7">
        <v>6.21</v>
      </c>
      <c r="R24" s="16">
        <f t="shared" si="2"/>
        <v>57.45</v>
      </c>
      <c r="S24" s="7">
        <v>33.93</v>
      </c>
      <c r="T24" s="8">
        <f t="shared" si="7"/>
        <v>4308.75</v>
      </c>
      <c r="U24" s="8">
        <f t="shared" si="4"/>
        <v>28235.548886640936</v>
      </c>
    </row>
    <row r="25" spans="1:21" x14ac:dyDescent="0.2">
      <c r="A25" s="2" t="s">
        <v>19</v>
      </c>
      <c r="B25" s="7">
        <f t="shared" si="5"/>
        <v>24</v>
      </c>
      <c r="C25" s="7">
        <v>10</v>
      </c>
      <c r="D25" s="7">
        <v>2021</v>
      </c>
      <c r="E25" s="8">
        <f>HOTEL!E27</f>
        <v>21672</v>
      </c>
      <c r="F25" s="16">
        <v>6.21</v>
      </c>
      <c r="G25" s="8">
        <f>HOTEL!CK27</f>
        <v>72</v>
      </c>
      <c r="H25" s="16">
        <v>57.45</v>
      </c>
      <c r="I25" s="8">
        <f>HOTEL!V27+HOTEL!Y27</f>
        <v>554.88888888888891</v>
      </c>
      <c r="J25" s="16">
        <f t="shared" si="1"/>
        <v>44.956017908875417</v>
      </c>
      <c r="K25" s="7">
        <f>HOTEL!EE27</f>
        <v>0</v>
      </c>
      <c r="L25" s="18"/>
      <c r="N25" s="7">
        <f>HOTEL!Y27/25</f>
        <v>11.555555555555554</v>
      </c>
      <c r="O25" s="7">
        <f t="shared" si="6"/>
        <v>28888.888888888883</v>
      </c>
      <c r="P25" s="8">
        <f>IFERROR(((((HOTEL!V27*34))+(N25*2500))/(I25+N25*25)),0)</f>
        <v>44.956017908875417</v>
      </c>
      <c r="Q25" s="7">
        <v>6.21</v>
      </c>
      <c r="R25" s="16">
        <f t="shared" si="2"/>
        <v>57.45</v>
      </c>
      <c r="S25" s="7">
        <v>33.93</v>
      </c>
      <c r="T25" s="8">
        <f t="shared" si="7"/>
        <v>4136.4000000000005</v>
      </c>
      <c r="U25" s="8">
        <f t="shared" si="4"/>
        <v>24945.594826324872</v>
      </c>
    </row>
    <row r="26" spans="1:21" x14ac:dyDescent="0.2">
      <c r="A26" s="2" t="s">
        <v>19</v>
      </c>
      <c r="B26" s="7">
        <f>B25+1</f>
        <v>25</v>
      </c>
      <c r="C26" s="7">
        <v>10</v>
      </c>
      <c r="D26" s="7">
        <v>2021</v>
      </c>
      <c r="E26" s="8">
        <f>HOTEL!E28</f>
        <v>21776</v>
      </c>
      <c r="F26" s="16">
        <v>6.21</v>
      </c>
      <c r="G26" s="8">
        <f>HOTEL!CK28</f>
        <v>70</v>
      </c>
      <c r="H26" s="16">
        <v>57.45</v>
      </c>
      <c r="I26" s="8">
        <f>HOTEL!V28+HOTEL!Y28</f>
        <v>402.22222222222223</v>
      </c>
      <c r="J26" s="16">
        <f t="shared" si="1"/>
        <v>15.215469613259668</v>
      </c>
      <c r="K26" s="7">
        <f>HOTEL!EE28</f>
        <v>0</v>
      </c>
      <c r="L26" s="18"/>
      <c r="N26" s="7">
        <f>HOTEL!X35</f>
        <v>0</v>
      </c>
      <c r="O26" s="7">
        <f t="shared" si="6"/>
        <v>0</v>
      </c>
      <c r="P26" s="8">
        <f>IFERROR(((((HOTEL!V28*34))+(N26*2500))/(I26+N26*25)),0)</f>
        <v>15.215469613259668</v>
      </c>
      <c r="Q26" s="7">
        <v>6.21</v>
      </c>
      <c r="R26" s="16">
        <f t="shared" si="2"/>
        <v>57.45</v>
      </c>
      <c r="S26" s="7">
        <v>33.93</v>
      </c>
      <c r="T26" s="8">
        <f t="shared" si="7"/>
        <v>4021.5</v>
      </c>
      <c r="U26" s="8">
        <f t="shared" si="4"/>
        <v>6120</v>
      </c>
    </row>
    <row r="27" spans="1:21" x14ac:dyDescent="0.2">
      <c r="A27" s="2" t="s">
        <v>19</v>
      </c>
      <c r="B27" s="7">
        <f t="shared" si="5"/>
        <v>26</v>
      </c>
      <c r="C27" s="7">
        <v>10</v>
      </c>
      <c r="D27" s="7">
        <v>2021</v>
      </c>
      <c r="E27" s="8">
        <f>HOTEL!E29</f>
        <v>19675</v>
      </c>
      <c r="F27" s="16">
        <v>6.21</v>
      </c>
      <c r="G27" s="8">
        <f>HOTEL!CK29</f>
        <v>65</v>
      </c>
      <c r="H27" s="16">
        <v>57.45</v>
      </c>
      <c r="I27" s="8">
        <f>HOTEL!V29+HOTEL!Y29</f>
        <v>485.66666666666663</v>
      </c>
      <c r="J27" s="16">
        <f t="shared" si="1"/>
        <v>15.331503088538094</v>
      </c>
      <c r="K27" s="7">
        <f>HOTEL!EE29</f>
        <v>0</v>
      </c>
      <c r="L27" s="18"/>
      <c r="N27" s="7">
        <f>HOTEL!X36</f>
        <v>0</v>
      </c>
      <c r="O27" s="7">
        <f t="shared" si="6"/>
        <v>0</v>
      </c>
      <c r="P27" s="8">
        <f>IFERROR(((((HOTEL!V29*34))+(N27*2500))/(I27+N27*25)),0)</f>
        <v>15.331503088538094</v>
      </c>
      <c r="Q27" s="7">
        <v>6.21</v>
      </c>
      <c r="R27" s="16">
        <f t="shared" si="2"/>
        <v>57.45</v>
      </c>
      <c r="S27" s="7">
        <v>33.93</v>
      </c>
      <c r="T27" s="8">
        <f t="shared" si="7"/>
        <v>3734.25</v>
      </c>
      <c r="U27" s="8">
        <f t="shared" si="4"/>
        <v>7446</v>
      </c>
    </row>
    <row r="28" spans="1:21" x14ac:dyDescent="0.2">
      <c r="A28" s="2" t="s">
        <v>19</v>
      </c>
      <c r="B28" s="7">
        <f t="shared" si="5"/>
        <v>27</v>
      </c>
      <c r="C28" s="7">
        <v>10</v>
      </c>
      <c r="D28" s="7">
        <v>2021</v>
      </c>
      <c r="E28" s="8">
        <f>HOTEL!E30</f>
        <v>19624</v>
      </c>
      <c r="F28" s="16">
        <v>6.21</v>
      </c>
      <c r="G28" s="8">
        <f>HOTEL!CK30</f>
        <v>65</v>
      </c>
      <c r="H28" s="16">
        <v>57.45</v>
      </c>
      <c r="I28" s="8">
        <f>HOTEL!V30+HOTEL!Y30</f>
        <v>674</v>
      </c>
      <c r="J28" s="16">
        <f t="shared" si="1"/>
        <v>13.821958456973293</v>
      </c>
      <c r="K28" s="7">
        <f>HOTEL!EE30</f>
        <v>0</v>
      </c>
      <c r="L28" s="18"/>
      <c r="N28" s="7">
        <f>HOTEL!X37</f>
        <v>0</v>
      </c>
      <c r="O28" s="7">
        <f t="shared" si="6"/>
        <v>0</v>
      </c>
      <c r="P28" s="8">
        <f>IFERROR(((((HOTEL!V30*34))+(N28*2500))/(I28+N28*25)),0)</f>
        <v>13.821958456973293</v>
      </c>
      <c r="Q28" s="7">
        <v>6.21</v>
      </c>
      <c r="R28" s="16">
        <f t="shared" si="2"/>
        <v>57.45</v>
      </c>
      <c r="S28" s="7">
        <v>33.93</v>
      </c>
      <c r="T28" s="8">
        <f t="shared" si="7"/>
        <v>3734.25</v>
      </c>
      <c r="U28" s="8">
        <f t="shared" si="4"/>
        <v>9316</v>
      </c>
    </row>
    <row r="29" spans="1:21" x14ac:dyDescent="0.2">
      <c r="A29" s="2" t="s">
        <v>19</v>
      </c>
      <c r="B29" s="7">
        <f t="shared" si="5"/>
        <v>28</v>
      </c>
      <c r="C29" s="7">
        <v>10</v>
      </c>
      <c r="D29" s="7">
        <v>2021</v>
      </c>
      <c r="E29" s="8">
        <f>HOTEL!E31</f>
        <v>20349</v>
      </c>
      <c r="F29" s="16">
        <v>6.21</v>
      </c>
      <c r="G29" s="8">
        <f>HOTEL!CK31</f>
        <v>60</v>
      </c>
      <c r="H29" s="16">
        <v>57.45</v>
      </c>
      <c r="I29" s="8">
        <f>HOTEL!V31+HOTEL!Y31</f>
        <v>423.33333333333331</v>
      </c>
      <c r="J29" s="16">
        <f t="shared" si="1"/>
        <v>23.291338582677167</v>
      </c>
      <c r="K29" s="7">
        <f>HOTEL!EE31</f>
        <v>0</v>
      </c>
      <c r="L29" s="18"/>
      <c r="N29" s="7">
        <f>HOTEL!X38</f>
        <v>0</v>
      </c>
      <c r="O29" s="7">
        <f t="shared" si="6"/>
        <v>0</v>
      </c>
      <c r="P29" s="8">
        <f>IFERROR(((((HOTEL!V31*34))+(N29*2500))/(I29+N29*25)),0)</f>
        <v>23.291338582677167</v>
      </c>
      <c r="Q29" s="7">
        <v>6.21</v>
      </c>
      <c r="R29" s="16">
        <f t="shared" si="2"/>
        <v>57.45</v>
      </c>
      <c r="S29" s="7">
        <v>33.93</v>
      </c>
      <c r="T29" s="8">
        <f t="shared" si="7"/>
        <v>3447</v>
      </c>
      <c r="U29" s="8">
        <f t="shared" si="4"/>
        <v>9860</v>
      </c>
    </row>
    <row r="30" spans="1:21" x14ac:dyDescent="0.2">
      <c r="A30" s="2" t="s">
        <v>19</v>
      </c>
      <c r="B30" s="7">
        <f t="shared" si="5"/>
        <v>29</v>
      </c>
      <c r="C30" s="7">
        <v>10</v>
      </c>
      <c r="D30" s="7">
        <v>2021</v>
      </c>
      <c r="E30" s="8">
        <f>HOTEL!E32</f>
        <v>19888</v>
      </c>
      <c r="F30" s="16">
        <v>6.21</v>
      </c>
      <c r="G30" s="8">
        <f>HOTEL!CK32</f>
        <v>55</v>
      </c>
      <c r="H30" s="16">
        <v>57.45</v>
      </c>
      <c r="I30" s="8">
        <f>HOTEL!V32+HOTEL!Y32</f>
        <v>386</v>
      </c>
      <c r="J30" s="16">
        <f t="shared" si="1"/>
        <v>10.393782383419689</v>
      </c>
      <c r="K30" s="7">
        <f>HOTEL!EE32</f>
        <v>0</v>
      </c>
      <c r="L30" s="18"/>
      <c r="N30" s="7">
        <f>HOTEL!X39</f>
        <v>0</v>
      </c>
      <c r="O30" s="7">
        <f t="shared" si="6"/>
        <v>0</v>
      </c>
      <c r="P30" s="8">
        <f>IFERROR(((((HOTEL!V32*34))+(N30*2500))/(I30+N30*25)),0)</f>
        <v>10.393782383419689</v>
      </c>
      <c r="Q30" s="7">
        <v>6.21</v>
      </c>
      <c r="R30" s="16">
        <f t="shared" si="2"/>
        <v>57.45</v>
      </c>
      <c r="T30" s="8">
        <f t="shared" si="7"/>
        <v>3159.75</v>
      </c>
      <c r="U30" s="8">
        <f t="shared" si="4"/>
        <v>4012</v>
      </c>
    </row>
    <row r="31" spans="1:21" x14ac:dyDescent="0.2">
      <c r="A31" s="2" t="s">
        <v>19</v>
      </c>
      <c r="B31" s="7">
        <f>B30+1</f>
        <v>30</v>
      </c>
      <c r="C31" s="7">
        <v>10</v>
      </c>
      <c r="D31" s="7">
        <v>2021</v>
      </c>
      <c r="E31" s="8">
        <f>HOTEL!E33</f>
        <v>19024</v>
      </c>
      <c r="F31" s="16">
        <v>6.21</v>
      </c>
      <c r="G31" s="8">
        <f>HOTEL!CK33</f>
        <v>83</v>
      </c>
      <c r="H31" s="16">
        <v>57.45</v>
      </c>
      <c r="I31" s="8">
        <f>HOTEL!V33+HOTEL!Y33</f>
        <v>231.33333333333331</v>
      </c>
      <c r="J31" s="16">
        <f t="shared" si="1"/>
        <v>14.403458213256485</v>
      </c>
      <c r="K31" s="7">
        <f>HOTEL!EE33</f>
        <v>0</v>
      </c>
      <c r="L31" s="18"/>
      <c r="N31" s="7">
        <f>HOTEL!X40</f>
        <v>0</v>
      </c>
      <c r="O31" s="7">
        <f t="shared" si="6"/>
        <v>0</v>
      </c>
      <c r="P31" s="8">
        <f>IFERROR(((((HOTEL!V33*34))+(N31*2500))/(I31+N31*25)),0)</f>
        <v>14.403458213256485</v>
      </c>
      <c r="Q31" s="7">
        <v>6.21</v>
      </c>
      <c r="R31" s="16">
        <f t="shared" si="2"/>
        <v>57.45</v>
      </c>
      <c r="T31" s="8">
        <f t="shared" si="7"/>
        <v>4768.3500000000004</v>
      </c>
      <c r="U31" s="8">
        <f t="shared" si="4"/>
        <v>3332</v>
      </c>
    </row>
    <row r="32" spans="1:21" x14ac:dyDescent="0.2">
      <c r="A32" s="2" t="s">
        <v>19</v>
      </c>
      <c r="B32" s="7">
        <f>B31+1</f>
        <v>31</v>
      </c>
      <c r="C32" s="7">
        <v>10</v>
      </c>
      <c r="D32" s="7">
        <v>2021</v>
      </c>
      <c r="E32" s="8">
        <f>HOTEL!E34</f>
        <v>18394</v>
      </c>
      <c r="F32" s="16">
        <v>7.21</v>
      </c>
      <c r="G32" s="8">
        <f>HOTEL!CK34</f>
        <v>80</v>
      </c>
      <c r="H32" s="16">
        <v>58.45</v>
      </c>
      <c r="I32" s="8">
        <f>HOTEL!V34+HOTEL!Y34</f>
        <v>606.22222222222217</v>
      </c>
      <c r="J32" s="16">
        <f t="shared" ref="J32" si="8">P32</f>
        <v>21.536656891495603</v>
      </c>
      <c r="K32" s="7">
        <f>HOTEL!EE34</f>
        <v>0</v>
      </c>
      <c r="L32" s="18"/>
      <c r="N32" s="7">
        <f>HOTEL!X41</f>
        <v>0</v>
      </c>
      <c r="O32" s="7">
        <f t="shared" ref="O32" si="9">N32*2500</f>
        <v>0</v>
      </c>
      <c r="P32" s="8">
        <f>IFERROR(((((HOTEL!V34*34))+(N32*2500))/(I32+N32*25)),0)</f>
        <v>21.536656891495603</v>
      </c>
      <c r="Q32" s="7">
        <v>7.21</v>
      </c>
      <c r="R32" s="16">
        <f t="shared" ref="R32" si="10">H32</f>
        <v>58.45</v>
      </c>
      <c r="T32" s="8">
        <f t="shared" ref="T32" si="11">G32*H32</f>
        <v>4676</v>
      </c>
      <c r="U32" s="8">
        <f t="shared" ref="U32" si="12">I32*P32</f>
        <v>13056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2"/>
  <sheetViews>
    <sheetView topLeftCell="A4" workbookViewId="0">
      <selection activeCell="F31" sqref="F31:AK32"/>
    </sheetView>
  </sheetViews>
  <sheetFormatPr defaultRowHeight="12.75" x14ac:dyDescent="0.2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 x14ac:dyDescent="0.2">
      <c r="A1" s="4" t="s">
        <v>0</v>
      </c>
      <c r="B1" s="5" t="s">
        <v>1</v>
      </c>
      <c r="C1" s="10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 ht="15" x14ac:dyDescent="0.25">
      <c r="A2" s="2" t="s">
        <v>19</v>
      </c>
      <c r="B2" s="7">
        <f>TOTAL!B2</f>
        <v>1</v>
      </c>
      <c r="C2" s="95">
        <f>TOTAL!C2</f>
        <v>10</v>
      </c>
      <c r="D2" s="7">
        <v>2021</v>
      </c>
      <c r="E2" s="7">
        <f>TOTAL!E2</f>
        <v>11001</v>
      </c>
      <c r="F2" s="7">
        <f>HOTEL!R4</f>
        <v>767</v>
      </c>
      <c r="G2" s="7">
        <f>HOTEL!T4</f>
        <v>282</v>
      </c>
      <c r="H2" s="8">
        <f>HOTEL!DX4</f>
        <v>4</v>
      </c>
      <c r="I2" s="8">
        <f>HOTEL!DZ4</f>
        <v>0</v>
      </c>
      <c r="J2" s="8">
        <f>HOTEL!EB4</f>
        <v>0</v>
      </c>
      <c r="K2" s="8">
        <f>HOTEL!ED4</f>
        <v>0</v>
      </c>
      <c r="L2" s="7">
        <f t="shared" ref="L2:L7" si="0">N2+W2+X2</f>
        <v>208</v>
      </c>
      <c r="M2" s="7">
        <f>HOTEL!AE4</f>
        <v>1149</v>
      </c>
      <c r="N2" s="7">
        <f>HOTEL!AI4</f>
        <v>0</v>
      </c>
      <c r="O2" s="7">
        <f>HOTEL!AM4</f>
        <v>1280</v>
      </c>
      <c r="P2" s="7">
        <f>HOTEL!AO4</f>
        <v>52763</v>
      </c>
      <c r="Q2" s="7">
        <f>HOTEL!AQ4</f>
        <v>8953</v>
      </c>
      <c r="R2" s="7">
        <f>HOTEL!AS4</f>
        <v>10609</v>
      </c>
      <c r="S2" s="7">
        <f>HOTEL!AU4</f>
        <v>14758</v>
      </c>
      <c r="T2" s="7">
        <f>HOTEL!AW4</f>
        <v>19382</v>
      </c>
      <c r="U2" s="7">
        <f>HOTEL!AY4</f>
        <v>20692</v>
      </c>
      <c r="V2" s="7">
        <f>HOTEL!BA4</f>
        <v>13892</v>
      </c>
      <c r="W2" s="7">
        <f>HOTEL!BM4</f>
        <v>8</v>
      </c>
      <c r="X2" s="7">
        <f>HOTEL!BT4</f>
        <v>200</v>
      </c>
      <c r="Y2" s="7">
        <f>HOTEL!CO4</f>
        <v>0</v>
      </c>
      <c r="Z2" s="7">
        <f>HOTEL!CR3</f>
        <v>9.76</v>
      </c>
      <c r="AA2" s="7">
        <f>HOTEL!CU4</f>
        <v>17.079999999999998</v>
      </c>
      <c r="AB2" s="8">
        <f>HOTEL!CX4</f>
        <v>73.2</v>
      </c>
      <c r="AC2" s="7">
        <f>HOTEL!DA4</f>
        <v>104.92</v>
      </c>
      <c r="AD2" s="8">
        <f>HOTEL!DD4</f>
        <v>16.73</v>
      </c>
      <c r="AE2" s="7">
        <f>HOTEL!DG4</f>
        <v>9</v>
      </c>
      <c r="AF2" s="7" t="str">
        <f>HOTEL!DJ4</f>
        <v>0</v>
      </c>
      <c r="AG2" s="7">
        <f>HOTEL!DM4</f>
        <v>1</v>
      </c>
      <c r="AH2" s="7">
        <f>HOTEL!DP4</f>
        <v>3</v>
      </c>
      <c r="AI2" s="7">
        <f>HOTEL!DS4</f>
        <v>6</v>
      </c>
      <c r="AJ2" s="7">
        <f>HOTEL!DV4</f>
        <v>0.8000000000001819</v>
      </c>
      <c r="AK2" s="7">
        <f>TOTAL!K2</f>
        <v>0</v>
      </c>
    </row>
    <row r="3" spans="1:38" ht="15" x14ac:dyDescent="0.25">
      <c r="A3" s="2" t="s">
        <v>19</v>
      </c>
      <c r="B3" s="7">
        <f>TOTAL!B3</f>
        <v>2</v>
      </c>
      <c r="C3" s="95">
        <f>TOTAL!C3</f>
        <v>10</v>
      </c>
      <c r="D3" s="7">
        <v>2021</v>
      </c>
      <c r="E3" s="7">
        <f>TOTAL!E3</f>
        <v>12896</v>
      </c>
      <c r="F3" s="7">
        <f>HOTEL!R5</f>
        <v>829</v>
      </c>
      <c r="G3" s="7">
        <f>HOTEL!T5</f>
        <v>335</v>
      </c>
      <c r="H3" s="8">
        <f>HOTEL!DX5</f>
        <v>14</v>
      </c>
      <c r="I3" s="8">
        <f>HOTEL!DZ5</f>
        <v>0</v>
      </c>
      <c r="J3" s="8">
        <f>HOTEL!EB5</f>
        <v>0</v>
      </c>
      <c r="K3" s="8">
        <f>HOTEL!ED5</f>
        <v>0</v>
      </c>
      <c r="L3" s="7">
        <f t="shared" si="0"/>
        <v>256</v>
      </c>
      <c r="M3" s="7">
        <f>HOTEL!AE5</f>
        <v>1149</v>
      </c>
      <c r="N3" s="7">
        <f>HOTEL!AI5</f>
        <v>0</v>
      </c>
      <c r="O3" s="7">
        <f>HOTEL!AM5</f>
        <v>1280</v>
      </c>
      <c r="P3" s="7">
        <f>HOTEL!AO5</f>
        <v>52775</v>
      </c>
      <c r="Q3" s="7">
        <f>HOTEL!AQ5</f>
        <v>8953</v>
      </c>
      <c r="R3" s="7">
        <f>HOTEL!AS5</f>
        <v>10609</v>
      </c>
      <c r="S3" s="7">
        <f>HOTEL!AU5</f>
        <v>14771</v>
      </c>
      <c r="T3" s="7">
        <f>HOTEL!AW5</f>
        <v>19384</v>
      </c>
      <c r="U3" s="7">
        <f>HOTEL!AY5</f>
        <v>20694</v>
      </c>
      <c r="V3" s="7">
        <f>HOTEL!BA5</f>
        <v>13893</v>
      </c>
      <c r="W3" s="7">
        <f>HOTEL!BM5</f>
        <v>16</v>
      </c>
      <c r="X3" s="7">
        <f>HOTEL!BT5</f>
        <v>240</v>
      </c>
      <c r="Y3" s="7">
        <f>HOTEL!CO5</f>
        <v>2210</v>
      </c>
      <c r="Z3" s="7">
        <f>HOTEL!CR4</f>
        <v>48.8</v>
      </c>
      <c r="AA3" s="7">
        <f>HOTEL!CU5</f>
        <v>17.079999999999998</v>
      </c>
      <c r="AB3" s="8">
        <f>HOTEL!CX5</f>
        <v>0</v>
      </c>
      <c r="AC3" s="7">
        <f>HOTEL!DA5</f>
        <v>0</v>
      </c>
      <c r="AD3" s="8">
        <f>HOTEL!DD5</f>
        <v>21.51</v>
      </c>
      <c r="AE3" s="7" t="str">
        <f>HOTEL!DG5</f>
        <v>0</v>
      </c>
      <c r="AF3" s="7" t="str">
        <f>HOTEL!DJ5</f>
        <v>0</v>
      </c>
      <c r="AG3" s="7">
        <f>HOTEL!DM5</f>
        <v>1</v>
      </c>
      <c r="AH3" s="7">
        <f>HOTEL!DP5</f>
        <v>3</v>
      </c>
      <c r="AI3" s="7">
        <f>HOTEL!DS5</f>
        <v>3</v>
      </c>
      <c r="AJ3" s="7">
        <f>HOTEL!DV5</f>
        <v>1</v>
      </c>
      <c r="AK3" s="7">
        <f>TOTAL!K3</f>
        <v>0</v>
      </c>
    </row>
    <row r="4" spans="1:38" ht="15" x14ac:dyDescent="0.25">
      <c r="A4" s="2" t="s">
        <v>19</v>
      </c>
      <c r="B4" s="7">
        <f>TOTAL!B4</f>
        <v>3</v>
      </c>
      <c r="C4" s="95">
        <f>TOTAL!C4</f>
        <v>10</v>
      </c>
      <c r="D4" s="7">
        <v>2021</v>
      </c>
      <c r="E4" s="7">
        <f>TOTAL!E4</f>
        <v>11196</v>
      </c>
      <c r="F4" s="7">
        <f>HOTEL!R6</f>
        <v>530</v>
      </c>
      <c r="G4" s="7">
        <f>HOTEL!T6</f>
        <v>290</v>
      </c>
      <c r="H4" s="8">
        <f>HOTEL!DX6</f>
        <v>3</v>
      </c>
      <c r="I4" s="8">
        <f>HOTEL!DZ6</f>
        <v>0</v>
      </c>
      <c r="J4" s="8">
        <f>HOTEL!EB6</f>
        <v>0</v>
      </c>
      <c r="K4" s="8">
        <f>HOTEL!ED6</f>
        <v>0</v>
      </c>
      <c r="L4" s="7">
        <f t="shared" si="0"/>
        <v>192</v>
      </c>
      <c r="M4" s="7">
        <f>HOTEL!AE6</f>
        <v>1149</v>
      </c>
      <c r="N4" s="7">
        <f>HOTEL!AI6</f>
        <v>0</v>
      </c>
      <c r="O4" s="7">
        <f>HOTEL!AM6</f>
        <v>1283</v>
      </c>
      <c r="P4" s="7">
        <f>HOTEL!AO6</f>
        <v>52785</v>
      </c>
      <c r="Q4" s="7">
        <f>HOTEL!AQ6</f>
        <v>8954</v>
      </c>
      <c r="R4" s="7">
        <f>HOTEL!AS6</f>
        <v>10609</v>
      </c>
      <c r="S4" s="7">
        <f>HOTEL!AU6</f>
        <v>14781</v>
      </c>
      <c r="T4" s="7">
        <f>HOTEL!AW6</f>
        <v>19388</v>
      </c>
      <c r="U4" s="7">
        <f>HOTEL!AY6</f>
        <v>20696</v>
      </c>
      <c r="V4" s="7">
        <f>HOTEL!BA6</f>
        <v>13893</v>
      </c>
      <c r="W4" s="7">
        <f>HOTEL!BM6</f>
        <v>12</v>
      </c>
      <c r="X4" s="7">
        <f>HOTEL!BT6</f>
        <v>180</v>
      </c>
      <c r="Y4" s="7">
        <f>HOTEL!CO6</f>
        <v>0</v>
      </c>
      <c r="Z4" s="7">
        <f>HOTEL!CR5</f>
        <v>56.12</v>
      </c>
      <c r="AA4" s="7">
        <f>HOTEL!CU6</f>
        <v>19.52</v>
      </c>
      <c r="AB4" s="8">
        <f>HOTEL!CX6</f>
        <v>0</v>
      </c>
      <c r="AC4" s="7">
        <f>HOTEL!DA6</f>
        <v>195.2</v>
      </c>
      <c r="AD4" s="8">
        <f>HOTEL!DD6</f>
        <v>9.56</v>
      </c>
      <c r="AE4" s="7" t="str">
        <f>HOTEL!DG6</f>
        <v>0</v>
      </c>
      <c r="AF4" s="7">
        <f>HOTEL!DJ6</f>
        <v>0</v>
      </c>
      <c r="AG4" s="7" t="str">
        <f>HOTEL!DM6</f>
        <v>0</v>
      </c>
      <c r="AH4" s="7">
        <f>HOTEL!DP6</f>
        <v>0</v>
      </c>
      <c r="AI4" s="7" t="str">
        <f>HOTEL!DS6</f>
        <v>0</v>
      </c>
      <c r="AJ4" s="7" t="str">
        <f>HOTEL!DV6</f>
        <v>0</v>
      </c>
      <c r="AK4" s="7">
        <f>TOTAL!K4</f>
        <v>0</v>
      </c>
    </row>
    <row r="5" spans="1:38" ht="15" x14ac:dyDescent="0.25">
      <c r="A5" s="2" t="s">
        <v>19</v>
      </c>
      <c r="B5" s="7">
        <f>TOTAL!B5</f>
        <v>4</v>
      </c>
      <c r="C5" s="95">
        <f>TOTAL!C5</f>
        <v>10</v>
      </c>
      <c r="D5" s="7">
        <v>2021</v>
      </c>
      <c r="E5" s="7">
        <f>TOTAL!E5</f>
        <v>16820</v>
      </c>
      <c r="F5" s="7">
        <f>HOTEL!R7</f>
        <v>685</v>
      </c>
      <c r="G5" s="7">
        <f>HOTEL!T7</f>
        <v>416</v>
      </c>
      <c r="H5" s="8">
        <f>HOTEL!DX7</f>
        <v>6</v>
      </c>
      <c r="I5" s="8">
        <f>HOTEL!DZ7</f>
        <v>0</v>
      </c>
      <c r="J5" s="8">
        <f>HOTEL!EB7</f>
        <v>0</v>
      </c>
      <c r="K5" s="8">
        <f>HOTEL!ED7</f>
        <v>0</v>
      </c>
      <c r="L5" s="7">
        <f t="shared" si="0"/>
        <v>168</v>
      </c>
      <c r="M5" s="7">
        <f>HOTEL!AE7</f>
        <v>1149</v>
      </c>
      <c r="N5" s="7">
        <f>HOTEL!AI7</f>
        <v>0</v>
      </c>
      <c r="O5" s="7">
        <f>HOTEL!AM7</f>
        <v>1283</v>
      </c>
      <c r="P5" s="7">
        <f>HOTEL!AO7</f>
        <v>52807</v>
      </c>
      <c r="Q5" s="7">
        <f>HOTEL!AQ7</f>
        <v>8954</v>
      </c>
      <c r="R5" s="7">
        <f>HOTEL!AS7</f>
        <v>10610</v>
      </c>
      <c r="S5" s="7">
        <f>HOTEL!AU7</f>
        <v>14796</v>
      </c>
      <c r="T5" s="7">
        <f>HOTEL!AW7</f>
        <v>19394</v>
      </c>
      <c r="U5" s="7">
        <f>HOTEL!AY7</f>
        <v>20698</v>
      </c>
      <c r="V5" s="7">
        <f>HOTEL!BA7</f>
        <v>13894</v>
      </c>
      <c r="W5" s="7">
        <f>HOTEL!BM7</f>
        <v>18</v>
      </c>
      <c r="X5" s="7">
        <f>HOTEL!BT7</f>
        <v>150</v>
      </c>
      <c r="Y5" s="7">
        <f>HOTEL!CO7</f>
        <v>11553</v>
      </c>
      <c r="Z5" s="7">
        <f>HOTEL!CR6</f>
        <v>41.48</v>
      </c>
      <c r="AA5" s="7">
        <f>HOTEL!CU7</f>
        <v>19.52</v>
      </c>
      <c r="AB5" s="8">
        <f>HOTEL!CX7</f>
        <v>0</v>
      </c>
      <c r="AC5" s="7">
        <f>HOTEL!DA7</f>
        <v>219.6</v>
      </c>
      <c r="AD5" s="8">
        <f>HOTEL!DD7</f>
        <v>31.07</v>
      </c>
      <c r="AE5" s="7">
        <f>HOTEL!DG7</f>
        <v>4</v>
      </c>
      <c r="AF5" s="7">
        <f>HOTEL!DJ7</f>
        <v>2</v>
      </c>
      <c r="AG5" s="7">
        <f>HOTEL!DM7</f>
        <v>1</v>
      </c>
      <c r="AH5" s="7">
        <f>HOTEL!DP7</f>
        <v>3</v>
      </c>
      <c r="AI5" s="7">
        <f>HOTEL!DS7</f>
        <v>6</v>
      </c>
      <c r="AJ5" s="7">
        <f>HOTEL!DV7</f>
        <v>5</v>
      </c>
      <c r="AK5" s="7">
        <f>TOTAL!K5</f>
        <v>0</v>
      </c>
    </row>
    <row r="6" spans="1:38" ht="15" x14ac:dyDescent="0.25">
      <c r="A6" s="2" t="s">
        <v>19</v>
      </c>
      <c r="B6" s="7">
        <f>TOTAL!B6</f>
        <v>5</v>
      </c>
      <c r="C6" s="95">
        <f>TOTAL!C6</f>
        <v>10</v>
      </c>
      <c r="D6" s="7">
        <v>2021</v>
      </c>
      <c r="E6" s="7">
        <f>TOTAL!E6</f>
        <v>14375</v>
      </c>
      <c r="F6" s="7">
        <f>HOTEL!R8</f>
        <v>768</v>
      </c>
      <c r="G6" s="7">
        <f>HOTEL!T8</f>
        <v>363</v>
      </c>
      <c r="H6" s="8">
        <f>HOTEL!DX8</f>
        <v>5</v>
      </c>
      <c r="I6" s="8">
        <f>HOTEL!DZ8</f>
        <v>0</v>
      </c>
      <c r="J6" s="8">
        <f>HOTEL!EB8</f>
        <v>0</v>
      </c>
      <c r="K6" s="8">
        <f>HOTEL!ED8</f>
        <v>0</v>
      </c>
      <c r="L6" s="7">
        <f t="shared" si="0"/>
        <v>256</v>
      </c>
      <c r="M6" s="7">
        <f>HOTEL!AE8</f>
        <v>1149</v>
      </c>
      <c r="N6" s="7">
        <f>HOTEL!AI8</f>
        <v>0</v>
      </c>
      <c r="O6" s="7">
        <f>HOTEL!AM8</f>
        <v>1283</v>
      </c>
      <c r="P6" s="7">
        <f>HOTEL!AO8</f>
        <v>52819</v>
      </c>
      <c r="Q6" s="7">
        <f>HOTEL!AQ8</f>
        <v>8955</v>
      </c>
      <c r="R6" s="7">
        <f>HOTEL!AS8</f>
        <v>10611</v>
      </c>
      <c r="S6" s="7">
        <f>HOTEL!AU8</f>
        <v>14808</v>
      </c>
      <c r="T6" s="7">
        <f>HOTEL!AW8</f>
        <v>19399</v>
      </c>
      <c r="U6" s="7">
        <f>HOTEL!AY8</f>
        <v>20701</v>
      </c>
      <c r="V6" s="7">
        <f>HOTEL!BA8</f>
        <v>13895</v>
      </c>
      <c r="W6" s="7">
        <f>HOTEL!BM8</f>
        <v>16</v>
      </c>
      <c r="X6" s="7">
        <f>HOTEL!BT8</f>
        <v>240</v>
      </c>
      <c r="Y6" s="7">
        <f>HOTEL!CO8</f>
        <v>0</v>
      </c>
      <c r="Z6" s="7">
        <f>HOTEL!CR7</f>
        <v>63.44</v>
      </c>
      <c r="AA6" s="7">
        <f>HOTEL!CU8</f>
        <v>14.64</v>
      </c>
      <c r="AB6" s="8">
        <f>HOTEL!CX8</f>
        <v>0</v>
      </c>
      <c r="AC6" s="7">
        <f>HOTEL!DA8</f>
        <v>195.2</v>
      </c>
      <c r="AD6" s="8">
        <f>HOTEL!DD8</f>
        <v>19.12</v>
      </c>
      <c r="AE6" s="7" t="str">
        <f>HOTEL!DG8</f>
        <v>0</v>
      </c>
      <c r="AF6" s="7" t="str">
        <f>HOTEL!DJ8</f>
        <v>0</v>
      </c>
      <c r="AG6" s="7" t="str">
        <f>HOTEL!DM8</f>
        <v>0</v>
      </c>
      <c r="AH6" s="7" t="str">
        <f>HOTEL!DP8</f>
        <v>0</v>
      </c>
      <c r="AI6" s="7" t="str">
        <f>HOTEL!DS8</f>
        <v>0</v>
      </c>
      <c r="AJ6" s="7" t="str">
        <f>HOTEL!DV8</f>
        <v>0</v>
      </c>
      <c r="AK6" s="7">
        <f>TOTAL!K6</f>
        <v>0</v>
      </c>
    </row>
    <row r="7" spans="1:38" ht="15" x14ac:dyDescent="0.25">
      <c r="A7" s="2" t="s">
        <v>19</v>
      </c>
      <c r="B7" s="7">
        <f>TOTAL!B7</f>
        <v>6</v>
      </c>
      <c r="C7" s="95">
        <f>TOTAL!C7</f>
        <v>10</v>
      </c>
      <c r="D7" s="7">
        <v>2021</v>
      </c>
      <c r="E7" s="7">
        <f>TOTAL!E7</f>
        <v>14694</v>
      </c>
      <c r="F7" s="7">
        <f>HOTEL!R9</f>
        <v>823</v>
      </c>
      <c r="G7" s="7">
        <f>HOTEL!T9</f>
        <v>378</v>
      </c>
      <c r="H7" s="8">
        <f>HOTEL!DX9</f>
        <v>5</v>
      </c>
      <c r="I7" s="8">
        <f>HOTEL!DZ9</f>
        <v>0</v>
      </c>
      <c r="J7" s="8">
        <f>HOTEL!EB9</f>
        <v>0</v>
      </c>
      <c r="K7" s="8">
        <f>HOTEL!ED9</f>
        <v>0</v>
      </c>
      <c r="L7" s="7">
        <f t="shared" si="0"/>
        <v>247</v>
      </c>
      <c r="M7" s="7">
        <f>HOTEL!AE9</f>
        <v>1149</v>
      </c>
      <c r="N7" s="7">
        <f>HOTEL!AI9</f>
        <v>0</v>
      </c>
      <c r="O7" s="7">
        <f>HOTEL!AM9</f>
        <v>1283</v>
      </c>
      <c r="P7" s="7">
        <f>HOTEL!AO9</f>
        <v>52834</v>
      </c>
      <c r="Q7" s="7">
        <f>HOTEL!AQ9</f>
        <v>8956</v>
      </c>
      <c r="R7" s="7">
        <f>HOTEL!AS9</f>
        <v>10612</v>
      </c>
      <c r="S7" s="7">
        <f>HOTEL!AU9</f>
        <v>14822</v>
      </c>
      <c r="T7" s="7">
        <f>HOTEL!AW9</f>
        <v>19405</v>
      </c>
      <c r="U7" s="7">
        <f>HOTEL!AY9</f>
        <v>20702</v>
      </c>
      <c r="V7" s="7">
        <f>HOTEL!BA9</f>
        <v>13897</v>
      </c>
      <c r="W7" s="7">
        <f>HOTEL!BM9</f>
        <v>17</v>
      </c>
      <c r="X7" s="7">
        <f>HOTEL!BT9</f>
        <v>230</v>
      </c>
      <c r="Y7" s="7">
        <f>HOTEL!CO9</f>
        <v>0</v>
      </c>
      <c r="Z7" s="7">
        <f>HOTEL!CR8</f>
        <v>90.28</v>
      </c>
      <c r="AA7" s="7">
        <f>HOTEL!CU9</f>
        <v>17.079999999999998</v>
      </c>
      <c r="AB7" s="8">
        <f>HOTEL!CX9</f>
        <v>31.72</v>
      </c>
      <c r="AC7" s="7">
        <f>HOTEL!DA9</f>
        <v>195.2</v>
      </c>
      <c r="AD7" s="8">
        <f>HOTEL!DD9</f>
        <v>19.12</v>
      </c>
      <c r="AE7" s="7" t="str">
        <f>HOTEL!DG9</f>
        <v>0</v>
      </c>
      <c r="AF7" s="7" t="str">
        <f>HOTEL!DJ9</f>
        <v>0</v>
      </c>
      <c r="AG7" s="7">
        <f>HOTEL!DM9</f>
        <v>0</v>
      </c>
      <c r="AH7" s="7" t="str">
        <f>HOTEL!DP9</f>
        <v>0</v>
      </c>
      <c r="AI7" s="7">
        <f>HOTEL!DS9</f>
        <v>0</v>
      </c>
      <c r="AJ7" s="7">
        <f>HOTEL!DV9</f>
        <v>0</v>
      </c>
      <c r="AK7" s="7">
        <f>TOTAL!K7</f>
        <v>0</v>
      </c>
    </row>
    <row r="8" spans="1:38" ht="15" x14ac:dyDescent="0.25">
      <c r="A8" s="2" t="s">
        <v>19</v>
      </c>
      <c r="B8" s="7">
        <f>TOTAL!B8</f>
        <v>7</v>
      </c>
      <c r="C8" s="95">
        <f>TOTAL!C8</f>
        <v>10</v>
      </c>
      <c r="D8" s="7">
        <v>2021</v>
      </c>
      <c r="E8" s="7">
        <f>TOTAL!E8</f>
        <v>13799</v>
      </c>
      <c r="F8" s="7">
        <f>HOTEL!R10</f>
        <v>971</v>
      </c>
      <c r="G8" s="7">
        <f>HOTEL!T10</f>
        <v>394</v>
      </c>
      <c r="H8" s="8">
        <f>HOTEL!DX10</f>
        <v>5</v>
      </c>
      <c r="I8" s="8">
        <f>HOTEL!DZ10</f>
        <v>0</v>
      </c>
      <c r="J8" s="8">
        <f>HOTEL!EB10</f>
        <v>0</v>
      </c>
      <c r="K8" s="8">
        <f>HOTEL!ED10</f>
        <v>0</v>
      </c>
      <c r="L8" s="7">
        <f>N8+W8+X8</f>
        <v>338</v>
      </c>
      <c r="M8" s="7">
        <f>HOTEL!AE10</f>
        <v>1149</v>
      </c>
      <c r="N8" s="7">
        <f>HOTEL!AI10</f>
        <v>0</v>
      </c>
      <c r="O8" s="7">
        <f>HOTEL!AM10</f>
        <v>1284</v>
      </c>
      <c r="P8" s="7">
        <f>HOTEL!AO10</f>
        <v>52852</v>
      </c>
      <c r="Q8" s="7">
        <f>HOTEL!AQ10</f>
        <v>8958</v>
      </c>
      <c r="R8" s="7">
        <f>HOTEL!AS10</f>
        <v>10612</v>
      </c>
      <c r="S8" s="7">
        <f>HOTEL!AU10</f>
        <v>14836</v>
      </c>
      <c r="T8" s="7">
        <f>HOTEL!AW10</f>
        <v>19410</v>
      </c>
      <c r="U8" s="7">
        <f>HOTEL!AY10</f>
        <v>20704</v>
      </c>
      <c r="V8" s="7">
        <f>HOTEL!BA10</f>
        <v>13899</v>
      </c>
      <c r="W8" s="7">
        <f>HOTEL!BM10</f>
        <v>18</v>
      </c>
      <c r="X8" s="7">
        <f>HOTEL!BT10</f>
        <v>320</v>
      </c>
      <c r="Y8" s="7">
        <f>HOTEL!CO10</f>
        <v>0</v>
      </c>
      <c r="Z8" s="7">
        <f>HOTEL!CR9</f>
        <v>85.399999999999991</v>
      </c>
      <c r="AA8" s="7">
        <f>HOTEL!CU10</f>
        <v>14.64</v>
      </c>
      <c r="AB8" s="8">
        <f>HOTEL!CX10</f>
        <v>29.28</v>
      </c>
      <c r="AC8" s="7">
        <f>HOTEL!DA10</f>
        <v>390.4</v>
      </c>
      <c r="AD8" s="8">
        <f>HOTEL!DD10</f>
        <v>19.12</v>
      </c>
      <c r="AE8" s="7">
        <f>HOTEL!DG10</f>
        <v>0</v>
      </c>
      <c r="AF8" s="7">
        <f>HOTEL!DJ10</f>
        <v>1</v>
      </c>
      <c r="AG8" s="7">
        <f>HOTEL!DM10</f>
        <v>1</v>
      </c>
      <c r="AH8" s="7">
        <f>HOTEL!DP10</f>
        <v>1</v>
      </c>
      <c r="AI8" s="7">
        <f>HOTEL!DS10</f>
        <v>1</v>
      </c>
      <c r="AJ8" s="7" t="str">
        <f>HOTEL!DV10</f>
        <v>0</v>
      </c>
      <c r="AK8" s="7">
        <f>TOTAL!K8</f>
        <v>0</v>
      </c>
    </row>
    <row r="9" spans="1:38" ht="15" x14ac:dyDescent="0.25">
      <c r="A9" s="2" t="s">
        <v>19</v>
      </c>
      <c r="B9" s="7">
        <f>TOTAL!B9</f>
        <v>8</v>
      </c>
      <c r="C9" s="95">
        <f>TOTAL!C9</f>
        <v>10</v>
      </c>
      <c r="D9" s="7">
        <v>2021</v>
      </c>
      <c r="E9" s="7">
        <f>TOTAL!E9</f>
        <v>15510</v>
      </c>
      <c r="F9" s="7">
        <f>HOTEL!R11</f>
        <v>971</v>
      </c>
      <c r="G9" s="7">
        <f>HOTEL!T11</f>
        <v>440</v>
      </c>
      <c r="H9" s="8">
        <f>HOTEL!DX11</f>
        <v>4</v>
      </c>
      <c r="I9" s="8">
        <f>HOTEL!DZ11</f>
        <v>0</v>
      </c>
      <c r="J9" s="8">
        <f>HOTEL!EB11</f>
        <v>0</v>
      </c>
      <c r="K9" s="8">
        <f>HOTEL!ED11</f>
        <v>0</v>
      </c>
      <c r="L9" s="7">
        <f>N9+W9+X9</f>
        <v>404</v>
      </c>
      <c r="M9" s="7">
        <f>HOTEL!AE11</f>
        <v>1150</v>
      </c>
      <c r="N9" s="7">
        <f>HOTEL!AI11</f>
        <v>0</v>
      </c>
      <c r="O9" s="7">
        <f>HOTEL!AM11</f>
        <v>1285</v>
      </c>
      <c r="P9" s="7">
        <f>HOTEL!AO11</f>
        <v>52869</v>
      </c>
      <c r="Q9" s="7">
        <f>HOTEL!AQ11</f>
        <v>8960</v>
      </c>
      <c r="R9" s="7">
        <f>HOTEL!AS11</f>
        <v>10613</v>
      </c>
      <c r="S9" s="7">
        <f>HOTEL!AU11</f>
        <v>14847</v>
      </c>
      <c r="T9" s="7">
        <f>HOTEL!AW11</f>
        <v>19416</v>
      </c>
      <c r="U9" s="7">
        <f>HOTEL!AY11</f>
        <v>20706</v>
      </c>
      <c r="V9" s="7">
        <f>HOTEL!BA11</f>
        <v>13900</v>
      </c>
      <c r="W9" s="7">
        <f>HOTEL!BM11</f>
        <v>14</v>
      </c>
      <c r="X9" s="7">
        <f>HOTEL!BT11</f>
        <v>390</v>
      </c>
      <c r="Y9" s="7">
        <f>HOTEL!CO11</f>
        <v>0</v>
      </c>
      <c r="Z9" s="7">
        <f>HOTEL!CR10</f>
        <v>68.319999999999993</v>
      </c>
      <c r="AA9" s="7">
        <f>HOTEL!CU11</f>
        <v>14.64</v>
      </c>
      <c r="AB9" s="8">
        <f>HOTEL!CX11</f>
        <v>41.48</v>
      </c>
      <c r="AC9" s="7">
        <f>HOTEL!DA11</f>
        <v>122</v>
      </c>
      <c r="AD9" s="8">
        <f>HOTEL!DD11</f>
        <v>21.51</v>
      </c>
      <c r="AE9" s="7">
        <f>HOTEL!DG11</f>
        <v>0</v>
      </c>
      <c r="AF9" s="7">
        <f>HOTEL!DJ11</f>
        <v>0</v>
      </c>
      <c r="AG9" s="7" t="str">
        <f>HOTEL!DM11</f>
        <v>0</v>
      </c>
      <c r="AH9" s="7">
        <f>HOTEL!DP11</f>
        <v>0</v>
      </c>
      <c r="AI9" s="7" t="str">
        <f>HOTEL!DS11</f>
        <v>0</v>
      </c>
      <c r="AJ9" s="7">
        <f>HOTEL!DV11</f>
        <v>0</v>
      </c>
      <c r="AK9" s="7">
        <f>TOTAL!K9</f>
        <v>0</v>
      </c>
    </row>
    <row r="10" spans="1:38" ht="15" x14ac:dyDescent="0.25">
      <c r="A10" s="2" t="s">
        <v>19</v>
      </c>
      <c r="B10" s="7">
        <f>TOTAL!B10</f>
        <v>9</v>
      </c>
      <c r="C10" s="95">
        <f>TOTAL!C10</f>
        <v>10</v>
      </c>
      <c r="D10" s="7">
        <v>2021</v>
      </c>
      <c r="E10" s="7">
        <f>TOTAL!E10</f>
        <v>14635</v>
      </c>
      <c r="F10" s="7">
        <f>HOTEL!R12</f>
        <v>971</v>
      </c>
      <c r="G10" s="7">
        <f>HOTEL!T12</f>
        <v>384</v>
      </c>
      <c r="H10" s="8">
        <f>HOTEL!DX12</f>
        <v>5</v>
      </c>
      <c r="I10" s="8">
        <f>HOTEL!DZ12</f>
        <v>0</v>
      </c>
      <c r="J10" s="8">
        <f>HOTEL!EB12</f>
        <v>0</v>
      </c>
      <c r="K10" s="8">
        <f>HOTEL!ED12</f>
        <v>0</v>
      </c>
      <c r="L10" s="7">
        <f>N10+W10+X10</f>
        <v>222</v>
      </c>
      <c r="M10" s="7">
        <f>HOTEL!AE12</f>
        <v>1150</v>
      </c>
      <c r="N10" s="7">
        <f>HOTEL!AI12</f>
        <v>0</v>
      </c>
      <c r="O10" s="7">
        <f>HOTEL!AM12</f>
        <v>1289</v>
      </c>
      <c r="P10" s="7">
        <f>HOTEL!AO12</f>
        <v>52886</v>
      </c>
      <c r="Q10" s="7">
        <f>HOTEL!AQ12</f>
        <v>8962</v>
      </c>
      <c r="R10" s="7">
        <f>HOTEL!AS12</f>
        <v>10614</v>
      </c>
      <c r="S10" s="7">
        <f>HOTEL!AU12</f>
        <v>14864</v>
      </c>
      <c r="T10" s="7">
        <f>HOTEL!AW12</f>
        <v>19423</v>
      </c>
      <c r="U10" s="7">
        <f>HOTEL!AY12</f>
        <v>20708</v>
      </c>
      <c r="V10" s="7">
        <f>HOTEL!BA12</f>
        <v>13903</v>
      </c>
      <c r="W10" s="7">
        <f>HOTEL!BM12</f>
        <v>22</v>
      </c>
      <c r="X10" s="7">
        <f>HOTEL!BT12</f>
        <v>200</v>
      </c>
      <c r="Y10" s="7">
        <f>HOTEL!CO12</f>
        <v>0</v>
      </c>
      <c r="Z10" s="7">
        <f>HOTEL!CR11</f>
        <v>53.68</v>
      </c>
      <c r="AA10" s="7">
        <f>HOTEL!CU12</f>
        <v>12.2</v>
      </c>
      <c r="AB10" s="8">
        <f>HOTEL!CX12</f>
        <v>43.92</v>
      </c>
      <c r="AC10" s="7">
        <f>HOTEL!DA12</f>
        <v>122</v>
      </c>
      <c r="AD10" s="8">
        <f>HOTEL!DD12</f>
        <v>19.12</v>
      </c>
      <c r="AE10" s="7">
        <f>HOTEL!DG12</f>
        <v>0</v>
      </c>
      <c r="AF10" s="7" t="str">
        <f>HOTEL!DJ12</f>
        <v>0</v>
      </c>
      <c r="AG10" s="7">
        <f>HOTEL!DM12</f>
        <v>0</v>
      </c>
      <c r="AH10" s="7">
        <f>HOTEL!DP12</f>
        <v>0</v>
      </c>
      <c r="AI10" s="7">
        <f>HOTEL!DS12</f>
        <v>2</v>
      </c>
      <c r="AJ10" s="7">
        <f>HOTEL!DV12</f>
        <v>0</v>
      </c>
      <c r="AK10" s="7">
        <f>TOTAL!K10</f>
        <v>0</v>
      </c>
    </row>
    <row r="11" spans="1:38" ht="15" x14ac:dyDescent="0.25">
      <c r="A11" s="2" t="s">
        <v>19</v>
      </c>
      <c r="B11" s="7">
        <f>TOTAL!B11</f>
        <v>10</v>
      </c>
      <c r="C11" s="95">
        <f>TOTAL!C11</f>
        <v>10</v>
      </c>
      <c r="D11" s="7">
        <v>2021</v>
      </c>
      <c r="E11" s="7">
        <f>TOTAL!E11</f>
        <v>16546</v>
      </c>
      <c r="F11" s="7">
        <f>HOTEL!R13</f>
        <v>287</v>
      </c>
      <c r="G11" s="7">
        <f>HOTEL!T13</f>
        <v>392</v>
      </c>
      <c r="H11" s="8">
        <f>HOTEL!DX13</f>
        <v>5</v>
      </c>
      <c r="I11" s="8">
        <f>HOTEL!DZ13</f>
        <v>0</v>
      </c>
      <c r="J11" s="8">
        <f>HOTEL!EB13</f>
        <v>0</v>
      </c>
      <c r="K11" s="8">
        <f>HOTEL!ED13</f>
        <v>0</v>
      </c>
      <c r="L11" s="7">
        <f t="shared" ref="L11:L31" si="1">N11+W11+X11</f>
        <v>305</v>
      </c>
      <c r="M11" s="7">
        <f>HOTEL!AE13</f>
        <v>1150</v>
      </c>
      <c r="N11" s="7">
        <f>HOTEL!AI13</f>
        <v>0</v>
      </c>
      <c r="O11" s="7">
        <f>HOTEL!AM13</f>
        <v>1289</v>
      </c>
      <c r="P11" s="7">
        <f>HOTEL!AO13</f>
        <v>52905</v>
      </c>
      <c r="Q11" s="7">
        <f>HOTEL!AQ13</f>
        <v>8964</v>
      </c>
      <c r="R11" s="7">
        <f>HOTEL!AS13</f>
        <v>10615</v>
      </c>
      <c r="S11" s="7">
        <f>HOTEL!AU13</f>
        <v>14874</v>
      </c>
      <c r="T11" s="7">
        <f>HOTEL!AW13</f>
        <v>19432</v>
      </c>
      <c r="U11" s="7">
        <f>HOTEL!AY13</f>
        <v>20711</v>
      </c>
      <c r="V11" s="7">
        <f>HOTEL!BA13</f>
        <v>13905</v>
      </c>
      <c r="W11" s="7">
        <f>HOTEL!BM13</f>
        <v>15</v>
      </c>
      <c r="X11" s="7">
        <f>HOTEL!BT13</f>
        <v>290</v>
      </c>
      <c r="Y11" s="7">
        <f>HOTEL!CO13</f>
        <v>0</v>
      </c>
      <c r="Z11" s="7">
        <f>HOTEL!CR12</f>
        <v>85.399999999999991</v>
      </c>
      <c r="AA11" s="7">
        <f>HOTEL!CU13</f>
        <v>14.64</v>
      </c>
      <c r="AB11" s="8">
        <f>HOTEL!CX13</f>
        <v>46.36</v>
      </c>
      <c r="AC11" s="7">
        <f>HOTEL!DA13</f>
        <v>0</v>
      </c>
      <c r="AD11" s="8">
        <f>HOTEL!DD13</f>
        <v>23.900000000000002</v>
      </c>
      <c r="AE11" s="7">
        <f>HOTEL!DG13</f>
        <v>0</v>
      </c>
      <c r="AF11" s="7">
        <f>HOTEL!DJ13</f>
        <v>1</v>
      </c>
      <c r="AG11" s="7">
        <f>HOTEL!DM13</f>
        <v>0</v>
      </c>
      <c r="AH11" s="7">
        <f>HOTEL!DP13</f>
        <v>0</v>
      </c>
      <c r="AI11" s="7">
        <f>HOTEL!DS13</f>
        <v>0</v>
      </c>
      <c r="AJ11" s="7">
        <f>HOTEL!DV13</f>
        <v>0</v>
      </c>
      <c r="AK11" s="7">
        <f>TOTAL!K11</f>
        <v>0</v>
      </c>
    </row>
    <row r="12" spans="1:38" ht="15" x14ac:dyDescent="0.25">
      <c r="A12" s="2" t="s">
        <v>19</v>
      </c>
      <c r="B12" s="7">
        <f>TOTAL!B12</f>
        <v>11</v>
      </c>
      <c r="C12" s="95">
        <f>TOTAL!C12</f>
        <v>10</v>
      </c>
      <c r="D12" s="7">
        <v>2021</v>
      </c>
      <c r="E12" s="7">
        <f>TOTAL!E12</f>
        <v>16062</v>
      </c>
      <c r="F12" s="7">
        <f>HOTEL!R14</f>
        <v>2383</v>
      </c>
      <c r="G12" s="7">
        <f>HOTEL!T14</f>
        <v>445</v>
      </c>
      <c r="H12" s="8">
        <f>HOTEL!DX14</f>
        <v>6</v>
      </c>
      <c r="I12" s="8">
        <f>HOTEL!DZ14</f>
        <v>0</v>
      </c>
      <c r="J12" s="8">
        <f>HOTEL!EB14</f>
        <v>0</v>
      </c>
      <c r="K12" s="8">
        <f>HOTEL!ED14</f>
        <v>0</v>
      </c>
      <c r="L12" s="7">
        <f t="shared" si="1"/>
        <v>302</v>
      </c>
      <c r="M12" s="7">
        <f>HOTEL!AE14</f>
        <v>1150</v>
      </c>
      <c r="N12" s="7">
        <f>HOTEL!AI14</f>
        <v>0</v>
      </c>
      <c r="O12" s="7">
        <f>HOTEL!AM14</f>
        <v>1311</v>
      </c>
      <c r="P12" s="7">
        <f>HOTEL!AO14</f>
        <v>52923</v>
      </c>
      <c r="Q12" s="7">
        <f>HOTEL!AQ14</f>
        <v>8966</v>
      </c>
      <c r="R12" s="7">
        <f>HOTEL!AS14</f>
        <v>10617</v>
      </c>
      <c r="S12" s="7">
        <f>HOTEL!AU14</f>
        <v>14890</v>
      </c>
      <c r="T12" s="7">
        <f>HOTEL!AW14</f>
        <v>19440</v>
      </c>
      <c r="U12" s="7">
        <f>HOTEL!AY14</f>
        <v>20715</v>
      </c>
      <c r="V12" s="7">
        <f>HOTEL!BA14</f>
        <v>13907</v>
      </c>
      <c r="W12" s="7">
        <f>HOTEL!BM14</f>
        <v>22</v>
      </c>
      <c r="X12" s="7">
        <f>HOTEL!BT14</f>
        <v>280</v>
      </c>
      <c r="Y12" s="7">
        <f>HOTEL!CO14</f>
        <v>0</v>
      </c>
      <c r="Z12" s="7">
        <f>HOTEL!CR13</f>
        <v>73.2</v>
      </c>
      <c r="AA12" s="7">
        <f>HOTEL!CU14</f>
        <v>14.64</v>
      </c>
      <c r="AB12" s="8">
        <f>HOTEL!CX14</f>
        <v>46.36</v>
      </c>
      <c r="AC12" s="7">
        <f>HOTEL!DA14</f>
        <v>390.4</v>
      </c>
      <c r="AD12" s="8">
        <f>HOTEL!DD14</f>
        <v>19.12</v>
      </c>
      <c r="AE12" s="7">
        <f>HOTEL!DG14</f>
        <v>4</v>
      </c>
      <c r="AF12" s="7">
        <f>HOTEL!DJ14</f>
        <v>1</v>
      </c>
      <c r="AG12" s="7">
        <f>HOTEL!DM14</f>
        <v>1</v>
      </c>
      <c r="AH12" s="7">
        <f>HOTEL!DP14</f>
        <v>1</v>
      </c>
      <c r="AI12" s="7">
        <f>HOTEL!DS14</f>
        <v>1</v>
      </c>
      <c r="AJ12" s="7">
        <f>HOTEL!DV14</f>
        <v>1</v>
      </c>
      <c r="AK12" s="7">
        <f>TOTAL!K12</f>
        <v>0</v>
      </c>
    </row>
    <row r="13" spans="1:38" ht="15" x14ac:dyDescent="0.25">
      <c r="A13" s="2" t="s">
        <v>19</v>
      </c>
      <c r="B13" s="7">
        <f>TOTAL!B13</f>
        <v>12</v>
      </c>
      <c r="C13" s="95">
        <f>TOTAL!C13</f>
        <v>10</v>
      </c>
      <c r="D13" s="7">
        <v>2021</v>
      </c>
      <c r="E13" s="7">
        <f>TOTAL!E13</f>
        <v>17122</v>
      </c>
      <c r="F13" s="7">
        <f>HOTEL!R15</f>
        <v>851</v>
      </c>
      <c r="G13" s="7">
        <f>HOTEL!T15</f>
        <v>429</v>
      </c>
      <c r="H13" s="8">
        <f>HOTEL!DX15</f>
        <v>3</v>
      </c>
      <c r="I13" s="8">
        <f>HOTEL!DZ15</f>
        <v>0</v>
      </c>
      <c r="J13" s="8">
        <f>HOTEL!EB15</f>
        <v>0</v>
      </c>
      <c r="K13" s="8">
        <f>HOTEL!ED15</f>
        <v>0</v>
      </c>
      <c r="L13" s="7">
        <f t="shared" si="1"/>
        <v>304</v>
      </c>
      <c r="M13" s="7">
        <f>HOTEL!AE15</f>
        <v>1150</v>
      </c>
      <c r="N13" s="7">
        <f>HOTEL!AI15</f>
        <v>0</v>
      </c>
      <c r="O13" s="7">
        <f>HOTEL!AM15</f>
        <v>1312</v>
      </c>
      <c r="P13" s="7">
        <f>HOTEL!AO15</f>
        <v>52943</v>
      </c>
      <c r="Q13" s="7">
        <f>HOTEL!AQ15</f>
        <v>8969</v>
      </c>
      <c r="R13" s="7">
        <f>HOTEL!AS15</f>
        <v>10620</v>
      </c>
      <c r="S13" s="7">
        <f>HOTEL!AU15</f>
        <v>14907</v>
      </c>
      <c r="T13" s="7">
        <f>HOTEL!AW15</f>
        <v>19449</v>
      </c>
      <c r="U13" s="7">
        <f>HOTEL!AY15</f>
        <v>20718</v>
      </c>
      <c r="V13" s="7">
        <f>HOTEL!BA15</f>
        <v>13911</v>
      </c>
      <c r="W13" s="7">
        <f>HOTEL!BM15</f>
        <v>24</v>
      </c>
      <c r="X13" s="7">
        <f>HOTEL!BT15</f>
        <v>280</v>
      </c>
      <c r="Y13" s="7">
        <f>HOTEL!CO15</f>
        <v>0</v>
      </c>
      <c r="Z13" s="7">
        <f>HOTEL!CR14</f>
        <v>97.6</v>
      </c>
      <c r="AA13" s="7">
        <f>HOTEL!CU15</f>
        <v>14.64</v>
      </c>
      <c r="AB13" s="8">
        <f>HOTEL!CX15</f>
        <v>51.24</v>
      </c>
      <c r="AC13" s="7">
        <f>HOTEL!DA15</f>
        <v>122</v>
      </c>
      <c r="AD13" s="8">
        <f>HOTEL!DD15</f>
        <v>19.12</v>
      </c>
      <c r="AE13" s="7" t="str">
        <f>HOTEL!DG15</f>
        <v>0</v>
      </c>
      <c r="AF13" s="7" t="str">
        <f>HOTEL!DJ15</f>
        <v>0</v>
      </c>
      <c r="AG13" s="7">
        <f>HOTEL!DM15</f>
        <v>0</v>
      </c>
      <c r="AH13" s="7" t="str">
        <f>HOTEL!DP15</f>
        <v>0</v>
      </c>
      <c r="AI13" s="7">
        <f>HOTEL!DS15</f>
        <v>0</v>
      </c>
      <c r="AJ13" s="7" t="str">
        <f>HOTEL!DV15</f>
        <v>0</v>
      </c>
      <c r="AK13" s="7">
        <f>TOTAL!K13</f>
        <v>0</v>
      </c>
    </row>
    <row r="14" spans="1:38" ht="15" x14ac:dyDescent="0.25">
      <c r="A14" s="2" t="s">
        <v>19</v>
      </c>
      <c r="B14" s="7">
        <f>TOTAL!B14</f>
        <v>13</v>
      </c>
      <c r="C14" s="95">
        <f>TOTAL!C14</f>
        <v>10</v>
      </c>
      <c r="D14" s="7">
        <v>2021</v>
      </c>
      <c r="E14" s="7">
        <f>TOTAL!E14</f>
        <v>18458</v>
      </c>
      <c r="F14" s="7">
        <f>HOTEL!R16</f>
        <v>1040</v>
      </c>
      <c r="G14" s="7">
        <f>HOTEL!T16</f>
        <v>405</v>
      </c>
      <c r="H14" s="8">
        <f>HOTEL!DX16</f>
        <v>5</v>
      </c>
      <c r="I14" s="8">
        <f>HOTEL!DZ16</f>
        <v>0</v>
      </c>
      <c r="J14" s="8">
        <f>HOTEL!EB16</f>
        <v>0</v>
      </c>
      <c r="K14" s="8">
        <f>HOTEL!ED16</f>
        <v>0</v>
      </c>
      <c r="L14" s="7">
        <f t="shared" si="1"/>
        <v>332</v>
      </c>
      <c r="M14" s="7">
        <f>HOTEL!AE16</f>
        <v>1150</v>
      </c>
      <c r="N14" s="7">
        <f>HOTEL!AI16</f>
        <v>0</v>
      </c>
      <c r="O14" s="7">
        <f>HOTEL!AM16</f>
        <v>1313</v>
      </c>
      <c r="P14" s="7">
        <f>HOTEL!AO16</f>
        <v>52963</v>
      </c>
      <c r="Q14" s="7">
        <f>HOTEL!AQ16</f>
        <v>8971</v>
      </c>
      <c r="R14" s="7">
        <f>HOTEL!AS16</f>
        <v>10623</v>
      </c>
      <c r="S14" s="7">
        <f>HOTEL!AU16</f>
        <v>14922</v>
      </c>
      <c r="T14" s="7">
        <f>HOTEL!AW16</f>
        <v>19456</v>
      </c>
      <c r="U14" s="7">
        <f>HOTEL!AY16</f>
        <v>20721</v>
      </c>
      <c r="V14" s="7">
        <f>HOTEL!BA16</f>
        <v>13915</v>
      </c>
      <c r="W14" s="7">
        <f>HOTEL!BM16</f>
        <v>22</v>
      </c>
      <c r="X14" s="7">
        <f>HOTEL!BT16</f>
        <v>310</v>
      </c>
      <c r="Y14" s="7">
        <f>HOTEL!CO16</f>
        <v>0</v>
      </c>
      <c r="Z14" s="7">
        <f>HOTEL!CR15</f>
        <v>73.2</v>
      </c>
      <c r="AA14" s="7">
        <f>HOTEL!CU16</f>
        <v>17.079999999999998</v>
      </c>
      <c r="AB14" s="8">
        <f>HOTEL!CX16</f>
        <v>46.36</v>
      </c>
      <c r="AC14" s="7">
        <f>HOTEL!DA16</f>
        <v>146.4</v>
      </c>
      <c r="AD14" s="8">
        <f>HOTEL!DD16</f>
        <v>21.51</v>
      </c>
      <c r="AE14" s="7">
        <f>HOTEL!DG16</f>
        <v>3</v>
      </c>
      <c r="AF14" s="7">
        <f>HOTEL!DJ16</f>
        <v>2</v>
      </c>
      <c r="AG14" s="7" t="str">
        <f>HOTEL!DM16</f>
        <v>0</v>
      </c>
      <c r="AH14" s="7">
        <f>HOTEL!DP16</f>
        <v>2</v>
      </c>
      <c r="AI14" s="7">
        <f>HOTEL!DS16</f>
        <v>1</v>
      </c>
      <c r="AJ14" s="7">
        <f>HOTEL!DV16</f>
        <v>2</v>
      </c>
      <c r="AK14" s="7">
        <f>TOTAL!K14</f>
        <v>0</v>
      </c>
    </row>
    <row r="15" spans="1:38" ht="15" x14ac:dyDescent="0.25">
      <c r="A15" s="2" t="s">
        <v>19</v>
      </c>
      <c r="B15" s="7">
        <f>TOTAL!B15</f>
        <v>14</v>
      </c>
      <c r="C15" s="95">
        <f>TOTAL!C15</f>
        <v>10</v>
      </c>
      <c r="D15" s="7">
        <v>2021</v>
      </c>
      <c r="E15" s="8">
        <f>TOTAL!E15</f>
        <v>16265</v>
      </c>
      <c r="F15" s="7">
        <f>HOTEL!R17</f>
        <v>818</v>
      </c>
      <c r="G15" s="7">
        <f>HOTEL!T17</f>
        <v>550</v>
      </c>
      <c r="H15" s="8">
        <f>HOTEL!DX17</f>
        <v>6</v>
      </c>
      <c r="I15" s="8">
        <f>HOTEL!DZ17</f>
        <v>0</v>
      </c>
      <c r="J15" s="8">
        <f>HOTEL!EB17</f>
        <v>0</v>
      </c>
      <c r="K15" s="8">
        <f>HOTEL!ED17</f>
        <v>0</v>
      </c>
      <c r="L15" s="7">
        <f t="shared" si="1"/>
        <v>271</v>
      </c>
      <c r="M15" s="7">
        <f>HOTEL!AE17</f>
        <v>1151</v>
      </c>
      <c r="N15" s="7">
        <f>HOTEL!AI17</f>
        <v>0</v>
      </c>
      <c r="O15" s="7">
        <f>HOTEL!AM17</f>
        <v>1314</v>
      </c>
      <c r="P15" s="7">
        <f>HOTEL!AO17</f>
        <v>52981</v>
      </c>
      <c r="Q15" s="7">
        <f>HOTEL!AQ17</f>
        <v>8972</v>
      </c>
      <c r="R15" s="7">
        <f>HOTEL!AS17</f>
        <v>10627</v>
      </c>
      <c r="S15" s="7">
        <f>HOTEL!AU17</f>
        <v>14936</v>
      </c>
      <c r="T15" s="7">
        <f>HOTEL!AW17</f>
        <v>19463</v>
      </c>
      <c r="U15" s="7">
        <f>HOTEL!AY17</f>
        <v>20724</v>
      </c>
      <c r="V15" s="7">
        <f>HOTEL!BA17</f>
        <v>13919</v>
      </c>
      <c r="W15" s="7">
        <f>HOTEL!BM17</f>
        <v>21</v>
      </c>
      <c r="X15" s="7">
        <f>HOTEL!BT17</f>
        <v>250</v>
      </c>
      <c r="Y15" s="7">
        <f>HOTEL!CO17</f>
        <v>11552</v>
      </c>
      <c r="Z15" s="7">
        <f>HOTEL!CR16</f>
        <v>80.52</v>
      </c>
      <c r="AA15" s="7">
        <f>HOTEL!CU17</f>
        <v>14.64</v>
      </c>
      <c r="AB15" s="8">
        <f>HOTEL!CX17</f>
        <v>53.68</v>
      </c>
      <c r="AC15" s="7">
        <f>HOTEL!DA17</f>
        <v>219.6</v>
      </c>
      <c r="AD15" s="8">
        <f>HOTEL!DD17</f>
        <v>21.51</v>
      </c>
      <c r="AE15" s="7" t="str">
        <f>HOTEL!DG17</f>
        <v>0</v>
      </c>
      <c r="AF15" s="7" t="str">
        <f>HOTEL!DJ17</f>
        <v>0</v>
      </c>
      <c r="AG15" s="7">
        <f>HOTEL!DM17</f>
        <v>0</v>
      </c>
      <c r="AH15" s="7" t="str">
        <f>HOTEL!DP17</f>
        <v>0</v>
      </c>
      <c r="AI15" s="7" t="str">
        <f>HOTEL!DS17</f>
        <v>0</v>
      </c>
      <c r="AJ15" s="7" t="str">
        <f>HOTEL!DV17</f>
        <v>0</v>
      </c>
      <c r="AK15" s="7">
        <f>TOTAL!K15</f>
        <v>0</v>
      </c>
    </row>
    <row r="16" spans="1:38" ht="15" x14ac:dyDescent="0.25">
      <c r="A16" s="2" t="s">
        <v>19</v>
      </c>
      <c r="B16" s="7">
        <f>TOTAL!B16</f>
        <v>15</v>
      </c>
      <c r="C16" s="95">
        <f>TOTAL!C16</f>
        <v>10</v>
      </c>
      <c r="D16" s="7">
        <v>2021</v>
      </c>
      <c r="E16" s="7">
        <f>TOTAL!E16</f>
        <v>19548</v>
      </c>
      <c r="F16" s="7">
        <f>HOTEL!R18</f>
        <v>733</v>
      </c>
      <c r="G16" s="7">
        <f>HOTEL!T18</f>
        <v>416</v>
      </c>
      <c r="H16" s="8">
        <f>HOTEL!DX18</f>
        <v>11</v>
      </c>
      <c r="I16" s="8">
        <f>HOTEL!DZ18</f>
        <v>0</v>
      </c>
      <c r="J16" s="8">
        <f>HOTEL!EB18</f>
        <v>0</v>
      </c>
      <c r="K16" s="8">
        <f>HOTEL!ED18</f>
        <v>0</v>
      </c>
      <c r="L16" s="7">
        <f t="shared" si="1"/>
        <v>299</v>
      </c>
      <c r="M16" s="7">
        <f>HOTEL!AE18</f>
        <v>1151</v>
      </c>
      <c r="N16" s="7">
        <f>HOTEL!AI18</f>
        <v>0</v>
      </c>
      <c r="O16" s="7">
        <f>HOTEL!AM18</f>
        <v>1316</v>
      </c>
      <c r="P16" s="7">
        <f>HOTEL!AO18</f>
        <v>53001</v>
      </c>
      <c r="Q16" s="7">
        <f>HOTEL!AQ18</f>
        <v>8975</v>
      </c>
      <c r="R16" s="7">
        <f>HOTEL!AS18</f>
        <v>10630</v>
      </c>
      <c r="S16" s="7">
        <f>HOTEL!AU18</f>
        <v>14949</v>
      </c>
      <c r="T16" s="7">
        <f>HOTEL!AW18</f>
        <v>19469</v>
      </c>
      <c r="U16" s="7">
        <f>HOTEL!AY18</f>
        <v>20727</v>
      </c>
      <c r="V16" s="7">
        <f>HOTEL!BA18</f>
        <v>13922</v>
      </c>
      <c r="W16" s="7">
        <f>HOTEL!BM18</f>
        <v>19</v>
      </c>
      <c r="X16" s="7">
        <f>HOTEL!BT18</f>
        <v>280</v>
      </c>
      <c r="Y16" s="7">
        <f>HOTEL!CO18</f>
        <v>0</v>
      </c>
      <c r="Z16" s="7">
        <f>HOTEL!CR17</f>
        <v>68.319999999999993</v>
      </c>
      <c r="AA16" s="7">
        <f>HOTEL!CU18</f>
        <v>19.52</v>
      </c>
      <c r="AB16" s="8">
        <f>HOTEL!CX18</f>
        <v>46.36</v>
      </c>
      <c r="AC16" s="7">
        <f>HOTEL!DA18</f>
        <v>68.319999999999993</v>
      </c>
      <c r="AD16" s="8">
        <f>HOTEL!DD18</f>
        <v>19.12</v>
      </c>
      <c r="AE16" s="7" t="str">
        <f>HOTEL!DG18</f>
        <v>0</v>
      </c>
      <c r="AF16" s="7" t="str">
        <f>HOTEL!DJ18</f>
        <v>0</v>
      </c>
      <c r="AG16" s="7">
        <f>HOTEL!DM18</f>
        <v>1</v>
      </c>
      <c r="AH16" s="7" t="str">
        <f>HOTEL!DP18</f>
        <v>0</v>
      </c>
      <c r="AI16" s="7">
        <f>HOTEL!DS18</f>
        <v>0</v>
      </c>
      <c r="AJ16" s="7">
        <f>HOTEL!DV18</f>
        <v>1</v>
      </c>
      <c r="AK16" s="7">
        <f>TOTAL!K16</f>
        <v>0</v>
      </c>
    </row>
    <row r="17" spans="1:37" ht="15" x14ac:dyDescent="0.25">
      <c r="A17" s="2" t="s">
        <v>19</v>
      </c>
      <c r="B17" s="7">
        <f>TOTAL!B17</f>
        <v>16</v>
      </c>
      <c r="C17" s="95">
        <f>TOTAL!C17</f>
        <v>10</v>
      </c>
      <c r="D17" s="7">
        <v>2021</v>
      </c>
      <c r="E17" s="7">
        <f>TOTAL!E17</f>
        <v>18884</v>
      </c>
      <c r="F17" s="7">
        <f>HOTEL!R19</f>
        <v>797</v>
      </c>
      <c r="G17" s="7">
        <f>HOTEL!T19</f>
        <v>516</v>
      </c>
      <c r="H17" s="8">
        <f>HOTEL!DX19</f>
        <v>0</v>
      </c>
      <c r="I17" s="8">
        <f>HOTEL!DZ19</f>
        <v>0</v>
      </c>
      <c r="J17" s="8">
        <f>HOTEL!EB19</f>
        <v>0</v>
      </c>
      <c r="K17" s="8">
        <f>HOTEL!ED19</f>
        <v>0</v>
      </c>
      <c r="L17" s="7">
        <f t="shared" si="1"/>
        <v>299</v>
      </c>
      <c r="M17" s="7">
        <f>HOTEL!AE19</f>
        <v>1151</v>
      </c>
      <c r="N17" s="7">
        <f>HOTEL!AI19</f>
        <v>0</v>
      </c>
      <c r="O17" s="7">
        <f>HOTEL!AM19</f>
        <v>1316</v>
      </c>
      <c r="P17" s="7">
        <f>HOTEL!AO19</f>
        <v>53019</v>
      </c>
      <c r="Q17" s="7">
        <f>HOTEL!AQ19</f>
        <v>8977</v>
      </c>
      <c r="R17" s="7">
        <f>HOTEL!AS19</f>
        <v>10634</v>
      </c>
      <c r="S17" s="7">
        <f>HOTEL!AU19</f>
        <v>14962</v>
      </c>
      <c r="T17" s="7">
        <f>HOTEL!AW19</f>
        <v>19476</v>
      </c>
      <c r="U17" s="7">
        <f>HOTEL!AY19</f>
        <v>20730</v>
      </c>
      <c r="V17" s="7">
        <f>HOTEL!BA19</f>
        <v>13925</v>
      </c>
      <c r="W17" s="7">
        <f>HOTEL!BM19</f>
        <v>19</v>
      </c>
      <c r="X17" s="7">
        <f>HOTEL!BT19</f>
        <v>280</v>
      </c>
      <c r="Y17" s="7">
        <f>HOTEL!CO19</f>
        <v>0</v>
      </c>
      <c r="Z17" s="7">
        <f>HOTEL!CR18</f>
        <v>80.52</v>
      </c>
      <c r="AA17" s="7">
        <f>HOTEL!CU19</f>
        <v>17.079999999999998</v>
      </c>
      <c r="AB17" s="8">
        <f>HOTEL!CX19</f>
        <v>63.44</v>
      </c>
      <c r="AC17" s="7">
        <f>HOTEL!DA19</f>
        <v>146.4</v>
      </c>
      <c r="AD17" s="8">
        <f>HOTEL!DD19</f>
        <v>21.51</v>
      </c>
      <c r="AE17" s="7">
        <f>HOTEL!DG19</f>
        <v>1</v>
      </c>
      <c r="AF17" s="7">
        <f>HOTEL!DJ19</f>
        <v>1</v>
      </c>
      <c r="AG17" s="7" t="str">
        <f>HOTEL!DM19</f>
        <v>0</v>
      </c>
      <c r="AH17" s="7">
        <f>HOTEL!DP19</f>
        <v>2</v>
      </c>
      <c r="AI17" s="7">
        <f>HOTEL!DS19</f>
        <v>0</v>
      </c>
      <c r="AJ17" s="7" t="str">
        <f>HOTEL!DV19</f>
        <v>0</v>
      </c>
      <c r="AK17" s="7">
        <f>TOTAL!K17</f>
        <v>0</v>
      </c>
    </row>
    <row r="18" spans="1:37" ht="15" x14ac:dyDescent="0.25">
      <c r="A18" s="2" t="s">
        <v>19</v>
      </c>
      <c r="B18" s="7">
        <f>TOTAL!B18</f>
        <v>17</v>
      </c>
      <c r="C18" s="95">
        <f>TOTAL!C18</f>
        <v>10</v>
      </c>
      <c r="D18" s="7">
        <v>2021</v>
      </c>
      <c r="E18" s="7">
        <f>TOTAL!E18</f>
        <v>18376</v>
      </c>
      <c r="F18" s="7">
        <f>HOTEL!R20</f>
        <v>0</v>
      </c>
      <c r="G18" s="7">
        <f>HOTEL!T20</f>
        <v>498</v>
      </c>
      <c r="H18" s="8">
        <f>HOTEL!DX20</f>
        <v>6</v>
      </c>
      <c r="I18" s="8">
        <f>HOTEL!DZ20</f>
        <v>0</v>
      </c>
      <c r="J18" s="8">
        <f>HOTEL!EB20</f>
        <v>0</v>
      </c>
      <c r="K18" s="8">
        <f>HOTEL!ED20</f>
        <v>0</v>
      </c>
      <c r="L18" s="7">
        <f t="shared" si="1"/>
        <v>280</v>
      </c>
      <c r="M18" s="7">
        <f>HOTEL!AE20</f>
        <v>1151</v>
      </c>
      <c r="N18" s="7">
        <f>HOTEL!AI20</f>
        <v>0</v>
      </c>
      <c r="O18" s="7">
        <f>HOTEL!AM20</f>
        <v>1316</v>
      </c>
      <c r="P18" s="7">
        <f>HOTEL!AO20</f>
        <v>53036</v>
      </c>
      <c r="Q18" s="7">
        <f>HOTEL!AQ20</f>
        <v>8978</v>
      </c>
      <c r="R18" s="7">
        <f>HOTEL!AS20</f>
        <v>10641</v>
      </c>
      <c r="S18" s="7">
        <f>HOTEL!AU20</f>
        <v>14977</v>
      </c>
      <c r="T18" s="7">
        <f>HOTEL!AW20</f>
        <v>19483</v>
      </c>
      <c r="U18" s="7">
        <f>HOTEL!AY20</f>
        <v>20732</v>
      </c>
      <c r="V18" s="7">
        <f>HOTEL!BA20</f>
        <v>13928</v>
      </c>
      <c r="W18" s="7">
        <f>HOTEL!BM20</f>
        <v>20</v>
      </c>
      <c r="X18" s="7">
        <f>HOTEL!BT20</f>
        <v>260</v>
      </c>
      <c r="Y18" s="7">
        <f>HOTEL!CO20</f>
        <v>0</v>
      </c>
      <c r="Z18" s="7">
        <f>HOTEL!CR19</f>
        <v>90.28</v>
      </c>
      <c r="AA18" s="7">
        <f>HOTEL!CU20</f>
        <v>17.079999999999998</v>
      </c>
      <c r="AB18" s="8">
        <f>HOTEL!CX20</f>
        <v>58.56</v>
      </c>
      <c r="AC18" s="7">
        <f>HOTEL!DA20</f>
        <v>0</v>
      </c>
      <c r="AD18" s="8">
        <f>HOTEL!DD20</f>
        <v>21.51</v>
      </c>
      <c r="AE18" s="7">
        <f>HOTEL!DG20</f>
        <v>0</v>
      </c>
      <c r="AF18" s="7">
        <f>HOTEL!DJ20</f>
        <v>1</v>
      </c>
      <c r="AG18" s="7">
        <f>HOTEL!DM20</f>
        <v>0</v>
      </c>
      <c r="AH18" s="7">
        <f>HOTEL!DP20</f>
        <v>0</v>
      </c>
      <c r="AI18" s="7">
        <f>HOTEL!DS20</f>
        <v>3</v>
      </c>
      <c r="AJ18" s="7">
        <f>HOTEL!DV20</f>
        <v>0</v>
      </c>
      <c r="AK18" s="7">
        <f>TOTAL!K18</f>
        <v>0</v>
      </c>
    </row>
    <row r="19" spans="1:37" ht="15" x14ac:dyDescent="0.25">
      <c r="A19" s="2" t="s">
        <v>19</v>
      </c>
      <c r="B19" s="7">
        <f>TOTAL!B19</f>
        <v>18</v>
      </c>
      <c r="C19" s="95">
        <f>TOTAL!C19</f>
        <v>10</v>
      </c>
      <c r="D19" s="7">
        <v>2021</v>
      </c>
      <c r="E19" s="7">
        <f>TOTAL!E19</f>
        <v>19370</v>
      </c>
      <c r="F19" s="7">
        <f>HOTEL!R21</f>
        <v>2279</v>
      </c>
      <c r="G19" s="7">
        <f>HOTEL!T21</f>
        <v>434</v>
      </c>
      <c r="H19" s="8">
        <f>HOTEL!DX21</f>
        <v>8</v>
      </c>
      <c r="I19" s="8">
        <f>HOTEL!DZ21</f>
        <v>0</v>
      </c>
      <c r="J19" s="8">
        <f>HOTEL!EB21</f>
        <v>0</v>
      </c>
      <c r="K19" s="8">
        <f>HOTEL!ED21</f>
        <v>0</v>
      </c>
      <c r="L19" s="7">
        <f t="shared" si="1"/>
        <v>294</v>
      </c>
      <c r="M19" s="7">
        <f>HOTEL!AE21</f>
        <v>1151</v>
      </c>
      <c r="N19" s="7">
        <f>HOTEL!AI21</f>
        <v>0</v>
      </c>
      <c r="O19" s="7">
        <f>HOTEL!AM21</f>
        <v>1317</v>
      </c>
      <c r="P19" s="7">
        <f>HOTEL!AO21</f>
        <v>53057</v>
      </c>
      <c r="Q19" s="7">
        <f>HOTEL!AQ21</f>
        <v>8979</v>
      </c>
      <c r="R19" s="7">
        <f>HOTEL!AS21</f>
        <v>10646</v>
      </c>
      <c r="S19" s="7">
        <f>HOTEL!AU21</f>
        <v>14994</v>
      </c>
      <c r="T19" s="7">
        <f>HOTEL!AW21</f>
        <v>19491</v>
      </c>
      <c r="U19" s="7">
        <f>HOTEL!AY21</f>
        <v>20736</v>
      </c>
      <c r="V19" s="7">
        <f>HOTEL!BA21</f>
        <v>13931</v>
      </c>
      <c r="W19" s="7">
        <f>HOTEL!BM21</f>
        <v>24</v>
      </c>
      <c r="X19" s="7">
        <f>HOTEL!BT21</f>
        <v>270</v>
      </c>
      <c r="Y19" s="7">
        <f>HOTEL!CO21</f>
        <v>0</v>
      </c>
      <c r="Z19" s="7">
        <f>HOTEL!CR20</f>
        <v>82.96</v>
      </c>
      <c r="AA19" s="7">
        <f>HOTEL!CU21</f>
        <v>19.52</v>
      </c>
      <c r="AB19" s="8">
        <f>HOTEL!CX21</f>
        <v>58.56</v>
      </c>
      <c r="AC19" s="7">
        <f>HOTEL!DA21</f>
        <v>134.19999999999999</v>
      </c>
      <c r="AD19" s="8">
        <f>HOTEL!DD21</f>
        <v>19.12</v>
      </c>
      <c r="AE19" s="7">
        <f>HOTEL!DG21</f>
        <v>0</v>
      </c>
      <c r="AF19" s="7">
        <f>HOTEL!DJ21</f>
        <v>0</v>
      </c>
      <c r="AG19" s="7">
        <f>HOTEL!DM21</f>
        <v>0</v>
      </c>
      <c r="AH19" s="7" t="str">
        <f>HOTEL!DP21</f>
        <v>0</v>
      </c>
      <c r="AI19" s="7" t="str">
        <f>HOTEL!DS21</f>
        <v>0</v>
      </c>
      <c r="AJ19" s="7">
        <f>HOTEL!DV21</f>
        <v>1</v>
      </c>
      <c r="AK19" s="7">
        <f>TOTAL!K19</f>
        <v>0</v>
      </c>
    </row>
    <row r="20" spans="1:37" ht="15" x14ac:dyDescent="0.25">
      <c r="A20" s="2" t="s">
        <v>19</v>
      </c>
      <c r="B20" s="7">
        <f>TOTAL!B20</f>
        <v>19</v>
      </c>
      <c r="C20" s="95">
        <f>TOTAL!C20</f>
        <v>10</v>
      </c>
      <c r="D20" s="7">
        <v>2021</v>
      </c>
      <c r="E20" s="7">
        <f>TOTAL!E20</f>
        <v>17684</v>
      </c>
      <c r="F20" s="7">
        <f>HOTEL!R22</f>
        <v>1157</v>
      </c>
      <c r="G20" s="7">
        <f>HOTEL!T22</f>
        <v>483</v>
      </c>
      <c r="H20" s="8">
        <f>HOTEL!DX22</f>
        <v>7</v>
      </c>
      <c r="I20" s="8">
        <f>HOTEL!DZ22</f>
        <v>0</v>
      </c>
      <c r="J20" s="8">
        <f>HOTEL!EB22</f>
        <v>0</v>
      </c>
      <c r="K20" s="8">
        <f>HOTEL!ED22</f>
        <v>0</v>
      </c>
      <c r="L20" s="7">
        <f t="shared" si="1"/>
        <v>290</v>
      </c>
      <c r="M20" s="7">
        <f>HOTEL!AE22</f>
        <v>1151</v>
      </c>
      <c r="N20" s="7">
        <f>HOTEL!AI22</f>
        <v>0</v>
      </c>
      <c r="O20" s="7">
        <f>HOTEL!AM22</f>
        <v>1318</v>
      </c>
      <c r="P20" s="7">
        <f>HOTEL!AO22</f>
        <v>53078</v>
      </c>
      <c r="Q20" s="7">
        <f>HOTEL!AQ22</f>
        <v>8980</v>
      </c>
      <c r="R20" s="7">
        <f>HOTEL!AS22</f>
        <v>10652</v>
      </c>
      <c r="S20" s="7">
        <f>HOTEL!AU22</f>
        <v>15009</v>
      </c>
      <c r="T20" s="7">
        <f>HOTEL!AW22</f>
        <v>19498</v>
      </c>
      <c r="U20" s="7">
        <f>HOTEL!AY22</f>
        <v>20738</v>
      </c>
      <c r="V20" s="7">
        <f>HOTEL!BA22</f>
        <v>13934</v>
      </c>
      <c r="W20" s="7">
        <f>HOTEL!BM22</f>
        <v>20</v>
      </c>
      <c r="X20" s="7">
        <f>HOTEL!BT22</f>
        <v>270</v>
      </c>
      <c r="Y20" s="7">
        <f>HOTEL!CO22</f>
        <v>0</v>
      </c>
      <c r="Z20" s="7">
        <f>HOTEL!CR21</f>
        <v>107.36</v>
      </c>
      <c r="AA20" s="7">
        <f>HOTEL!CU22</f>
        <v>12.2</v>
      </c>
      <c r="AB20" s="8">
        <f>HOTEL!CX22</f>
        <v>58.56</v>
      </c>
      <c r="AC20" s="7">
        <f>HOTEL!DA22</f>
        <v>383.08</v>
      </c>
      <c r="AD20" s="8">
        <f>HOTEL!DD22</f>
        <v>21.51</v>
      </c>
      <c r="AE20" s="7">
        <f>HOTEL!DG22</f>
        <v>1</v>
      </c>
      <c r="AF20" s="7">
        <f>HOTEL!DJ22</f>
        <v>1</v>
      </c>
      <c r="AG20" s="7">
        <f>HOTEL!DM22</f>
        <v>1</v>
      </c>
      <c r="AH20" s="7">
        <f>HOTEL!DP22</f>
        <v>1</v>
      </c>
      <c r="AI20" s="7">
        <f>HOTEL!DS22</f>
        <v>1</v>
      </c>
      <c r="AJ20" s="7" t="str">
        <f>HOTEL!DV22</f>
        <v>0</v>
      </c>
      <c r="AK20" s="7">
        <f>TOTAL!K20</f>
        <v>0</v>
      </c>
    </row>
    <row r="21" spans="1:37" ht="15" x14ac:dyDescent="0.25">
      <c r="A21" s="2" t="s">
        <v>19</v>
      </c>
      <c r="B21" s="7">
        <f>TOTAL!B21</f>
        <v>20</v>
      </c>
      <c r="C21" s="95">
        <f>TOTAL!C21</f>
        <v>10</v>
      </c>
      <c r="D21" s="7">
        <v>2021</v>
      </c>
      <c r="E21" s="7">
        <f>TOTAL!E21</f>
        <v>21159</v>
      </c>
      <c r="F21" s="7">
        <f>HOTEL!R23</f>
        <v>1073</v>
      </c>
      <c r="G21" s="7">
        <f>HOTEL!T23</f>
        <v>520</v>
      </c>
      <c r="H21" s="8">
        <f>HOTEL!DX23</f>
        <v>7</v>
      </c>
      <c r="I21" s="8">
        <f>HOTEL!DZ23</f>
        <v>0</v>
      </c>
      <c r="J21" s="8">
        <f>HOTEL!EB23</f>
        <v>0</v>
      </c>
      <c r="K21" s="8">
        <f>HOTEL!ED23</f>
        <v>0</v>
      </c>
      <c r="L21" s="7">
        <f t="shared" si="1"/>
        <v>421</v>
      </c>
      <c r="M21" s="7">
        <f>HOTEL!AE23</f>
        <v>1151</v>
      </c>
      <c r="N21" s="7">
        <f>HOTEL!AI23</f>
        <v>0</v>
      </c>
      <c r="O21" s="7">
        <f>HOTEL!AM23</f>
        <v>1322</v>
      </c>
      <c r="P21" s="7">
        <f>HOTEL!AO23</f>
        <v>53100</v>
      </c>
      <c r="Q21" s="7">
        <f>HOTEL!AQ23</f>
        <v>8982</v>
      </c>
      <c r="R21" s="7">
        <f>HOTEL!AS23</f>
        <v>10657</v>
      </c>
      <c r="S21" s="7">
        <f>HOTEL!AU23</f>
        <v>15025</v>
      </c>
      <c r="T21" s="7">
        <f>HOTEL!AW23</f>
        <v>19505</v>
      </c>
      <c r="U21" s="7">
        <f>HOTEL!AY23</f>
        <v>20740</v>
      </c>
      <c r="V21" s="7">
        <f>HOTEL!BA23</f>
        <v>13937</v>
      </c>
      <c r="W21" s="7">
        <f>HOTEL!BM23</f>
        <v>21</v>
      </c>
      <c r="X21" s="7">
        <f>HOTEL!BT23</f>
        <v>400</v>
      </c>
      <c r="Y21" s="7">
        <f>HOTEL!CO23</f>
        <v>0</v>
      </c>
      <c r="Z21" s="7">
        <f>HOTEL!CR22</f>
        <v>100.03999999999999</v>
      </c>
      <c r="AA21" s="7">
        <f>HOTEL!CU23</f>
        <v>21.96</v>
      </c>
      <c r="AB21" s="8">
        <f>HOTEL!CX23</f>
        <v>58.56</v>
      </c>
      <c r="AC21" s="7">
        <f>HOTEL!DA23</f>
        <v>148.84</v>
      </c>
      <c r="AD21" s="8">
        <f>HOTEL!DD23</f>
        <v>21.51</v>
      </c>
      <c r="AE21" s="7" t="str">
        <f>HOTEL!DG23</f>
        <v>0</v>
      </c>
      <c r="AF21" s="7">
        <f>HOTEL!DJ23</f>
        <v>2</v>
      </c>
      <c r="AG21" s="7" t="str">
        <f>HOTEL!DM23</f>
        <v>0</v>
      </c>
      <c r="AH21" s="7">
        <f>HOTEL!DP23</f>
        <v>0</v>
      </c>
      <c r="AI21" s="7" t="str">
        <f>HOTEL!DS23</f>
        <v>0</v>
      </c>
      <c r="AJ21" s="7">
        <f>HOTEL!DV23</f>
        <v>0</v>
      </c>
      <c r="AK21" s="7">
        <f>TOTAL!K21</f>
        <v>0</v>
      </c>
    </row>
    <row r="22" spans="1:37" ht="15" x14ac:dyDescent="0.25">
      <c r="A22" s="2" t="s">
        <v>19</v>
      </c>
      <c r="B22" s="7">
        <f>TOTAL!B22</f>
        <v>21</v>
      </c>
      <c r="C22" s="95">
        <f>TOTAL!C22</f>
        <v>10</v>
      </c>
      <c r="D22" s="7">
        <v>2021</v>
      </c>
      <c r="E22" s="7">
        <f>TOTAL!E22</f>
        <v>16917</v>
      </c>
      <c r="F22" s="7">
        <f>HOTEL!R24</f>
        <v>1017</v>
      </c>
      <c r="G22" s="7">
        <f>HOTEL!T24</f>
        <v>429</v>
      </c>
      <c r="H22" s="8">
        <f>HOTEL!DX24</f>
        <v>8</v>
      </c>
      <c r="I22" s="8">
        <f>HOTEL!DZ24</f>
        <v>0</v>
      </c>
      <c r="J22" s="8">
        <f>HOTEL!EB24</f>
        <v>0</v>
      </c>
      <c r="K22" s="8">
        <f>HOTEL!ED24</f>
        <v>0</v>
      </c>
      <c r="L22" s="7">
        <f t="shared" si="1"/>
        <v>348</v>
      </c>
      <c r="M22" s="7">
        <f>HOTEL!AE24</f>
        <v>1151</v>
      </c>
      <c r="N22" s="7">
        <f>HOTEL!AI24</f>
        <v>0</v>
      </c>
      <c r="O22" s="7">
        <f>HOTEL!AM24</f>
        <v>1323</v>
      </c>
      <c r="P22" s="7">
        <f>HOTEL!AO24</f>
        <v>53118</v>
      </c>
      <c r="Q22" s="7">
        <f>HOTEL!AQ24</f>
        <v>8984</v>
      </c>
      <c r="R22" s="7">
        <f>HOTEL!AS24</f>
        <v>10661</v>
      </c>
      <c r="S22" s="7">
        <f>HOTEL!AU24</f>
        <v>15037</v>
      </c>
      <c r="T22" s="7">
        <f>HOTEL!AW24</f>
        <v>19511</v>
      </c>
      <c r="U22" s="7">
        <f>HOTEL!AY24</f>
        <v>20743</v>
      </c>
      <c r="V22" s="7">
        <f>HOTEL!BA24</f>
        <v>13940</v>
      </c>
      <c r="W22" s="7">
        <f>HOTEL!BM24</f>
        <v>18</v>
      </c>
      <c r="X22" s="7">
        <f>HOTEL!BT24</f>
        <v>330</v>
      </c>
      <c r="Y22" s="7">
        <f>HOTEL!CO24</f>
        <v>0</v>
      </c>
      <c r="Z22" s="7">
        <f>HOTEL!CR23</f>
        <v>92.72</v>
      </c>
      <c r="AA22" s="7">
        <f>HOTEL!CU24</f>
        <v>17.079999999999998</v>
      </c>
      <c r="AB22" s="8">
        <f>HOTEL!CX24</f>
        <v>56.12</v>
      </c>
      <c r="AC22" s="7">
        <f>HOTEL!DA24</f>
        <v>178.12</v>
      </c>
      <c r="AD22" s="8">
        <f>HOTEL!DD24</f>
        <v>19.12</v>
      </c>
      <c r="AE22" s="7" t="str">
        <f>HOTEL!DG24</f>
        <v>0</v>
      </c>
      <c r="AF22" s="7" t="str">
        <f>HOTEL!DJ24</f>
        <v>0</v>
      </c>
      <c r="AG22" s="7">
        <f>HOTEL!DM24</f>
        <v>0</v>
      </c>
      <c r="AH22" s="7" t="str">
        <f>HOTEL!DP24</f>
        <v>0</v>
      </c>
      <c r="AI22" s="7">
        <f>HOTEL!DS24</f>
        <v>1</v>
      </c>
      <c r="AJ22" s="7">
        <f>HOTEL!DV24</f>
        <v>0</v>
      </c>
      <c r="AK22" s="7">
        <f>TOTAL!K22</f>
        <v>0</v>
      </c>
    </row>
    <row r="23" spans="1:37" ht="15" x14ac:dyDescent="0.25">
      <c r="A23" s="2" t="s">
        <v>19</v>
      </c>
      <c r="B23" s="7">
        <f>TOTAL!B23</f>
        <v>22</v>
      </c>
      <c r="C23" s="95">
        <f>TOTAL!C23</f>
        <v>10</v>
      </c>
      <c r="D23" s="7">
        <v>2021</v>
      </c>
      <c r="E23" s="7">
        <f>TOTAL!E23</f>
        <v>23794</v>
      </c>
      <c r="F23" s="7">
        <f>HOTEL!R25</f>
        <v>1017</v>
      </c>
      <c r="G23" s="7">
        <f>HOTEL!T25</f>
        <v>429</v>
      </c>
      <c r="H23" s="8">
        <f>HOTEL!DX25</f>
        <v>9</v>
      </c>
      <c r="I23" s="8">
        <f>HOTEL!DZ25</f>
        <v>0</v>
      </c>
      <c r="J23" s="8">
        <f>HOTEL!EB25</f>
        <v>0</v>
      </c>
      <c r="K23" s="8">
        <f>HOTEL!ED25</f>
        <v>0</v>
      </c>
      <c r="L23" s="7">
        <f t="shared" si="1"/>
        <v>223</v>
      </c>
      <c r="M23" s="7">
        <f>HOTEL!AE25</f>
        <v>1151</v>
      </c>
      <c r="N23" s="7">
        <f>HOTEL!AI25</f>
        <v>0</v>
      </c>
      <c r="O23" s="7">
        <f>HOTEL!AM25</f>
        <v>1325</v>
      </c>
      <c r="P23" s="7">
        <f>HOTEL!AO25</f>
        <v>53136</v>
      </c>
      <c r="Q23" s="7">
        <f>HOTEL!AQ25</f>
        <v>8985</v>
      </c>
      <c r="R23" s="7">
        <f>HOTEL!AS25</f>
        <v>10665</v>
      </c>
      <c r="S23" s="7">
        <f>HOTEL!AU25</f>
        <v>15054</v>
      </c>
      <c r="T23" s="7">
        <f>HOTEL!AW25</f>
        <v>19517</v>
      </c>
      <c r="U23" s="7">
        <f>HOTEL!AY25</f>
        <v>20746</v>
      </c>
      <c r="V23" s="7">
        <f>HOTEL!BA25</f>
        <v>13943</v>
      </c>
      <c r="W23" s="7">
        <f>HOTEL!BM25</f>
        <v>23</v>
      </c>
      <c r="X23" s="7">
        <f>HOTEL!BT25</f>
        <v>200</v>
      </c>
      <c r="Y23" s="7">
        <f>HOTEL!CO25</f>
        <v>11553</v>
      </c>
      <c r="Z23" s="7">
        <f>HOTEL!CR24</f>
        <v>97.6</v>
      </c>
      <c r="AA23" s="7">
        <f>HOTEL!CU25</f>
        <v>19.52</v>
      </c>
      <c r="AB23" s="8">
        <f>HOTEL!CX25</f>
        <v>58.56</v>
      </c>
      <c r="AC23" s="7">
        <f>HOTEL!DA25</f>
        <v>178.12</v>
      </c>
      <c r="AD23" s="8">
        <f>HOTEL!DD25</f>
        <v>19.12</v>
      </c>
      <c r="AE23" s="7">
        <f>HOTEL!DG25</f>
        <v>4</v>
      </c>
      <c r="AF23" s="7">
        <f>HOTEL!DJ25</f>
        <v>4</v>
      </c>
      <c r="AG23" s="7">
        <f>HOTEL!DM25</f>
        <v>1</v>
      </c>
      <c r="AH23" s="7">
        <f>HOTEL!DP25</f>
        <v>3</v>
      </c>
      <c r="AI23" s="7" t="str">
        <f>HOTEL!DS25</f>
        <v>0</v>
      </c>
      <c r="AJ23" s="7">
        <f>HOTEL!DV25</f>
        <v>1</v>
      </c>
      <c r="AK23" s="7">
        <f>TOTAL!K23</f>
        <v>0</v>
      </c>
    </row>
    <row r="24" spans="1:37" ht="15" x14ac:dyDescent="0.25">
      <c r="A24" s="2" t="s">
        <v>19</v>
      </c>
      <c r="B24" s="7">
        <f>TOTAL!B24</f>
        <v>23</v>
      </c>
      <c r="C24" s="95">
        <f>TOTAL!C24</f>
        <v>10</v>
      </c>
      <c r="D24" s="7">
        <v>2021</v>
      </c>
      <c r="E24" s="7">
        <f>TOTAL!E24</f>
        <v>18972</v>
      </c>
      <c r="F24" s="7">
        <f>HOTEL!R26</f>
        <v>1263</v>
      </c>
      <c r="G24" s="7">
        <f>HOTEL!T26</f>
        <v>676</v>
      </c>
      <c r="H24" s="8">
        <f>HOTEL!DX26</f>
        <v>8</v>
      </c>
      <c r="I24" s="8">
        <f>HOTEL!DZ26</f>
        <v>0</v>
      </c>
      <c r="J24" s="8">
        <f>HOTEL!EB26</f>
        <v>0</v>
      </c>
      <c r="K24" s="8">
        <f>HOTEL!ED26</f>
        <v>0</v>
      </c>
      <c r="L24" s="7">
        <f t="shared" si="1"/>
        <v>209</v>
      </c>
      <c r="M24" s="7">
        <f>HOTEL!AE26</f>
        <v>1151</v>
      </c>
      <c r="N24" s="7">
        <f>HOTEL!AI26</f>
        <v>0</v>
      </c>
      <c r="O24" s="7">
        <f>HOTEL!AM26</f>
        <v>1325</v>
      </c>
      <c r="P24" s="7">
        <f>HOTEL!AO26</f>
        <v>53167</v>
      </c>
      <c r="Q24" s="7">
        <f>HOTEL!AQ26</f>
        <v>8987</v>
      </c>
      <c r="R24" s="7">
        <f>HOTEL!AS26</f>
        <v>10668</v>
      </c>
      <c r="S24" s="7">
        <f>HOTEL!AU26</f>
        <v>15068</v>
      </c>
      <c r="T24" s="7">
        <f>HOTEL!AW26</f>
        <v>19524</v>
      </c>
      <c r="U24" s="7">
        <f>HOTEL!AY26</f>
        <v>20748</v>
      </c>
      <c r="V24" s="7">
        <f>HOTEL!BA26</f>
        <v>13946</v>
      </c>
      <c r="W24" s="7">
        <f>HOTEL!BM26</f>
        <v>19</v>
      </c>
      <c r="X24" s="7">
        <f>HOTEL!BT26</f>
        <v>190</v>
      </c>
      <c r="Y24" s="7">
        <f>HOTEL!CO26</f>
        <v>0</v>
      </c>
      <c r="Z24" s="7">
        <f>HOTEL!CR25</f>
        <v>109.8</v>
      </c>
      <c r="AA24" s="7">
        <f>HOTEL!CU26</f>
        <v>17.079999999999998</v>
      </c>
      <c r="AB24" s="8">
        <f>HOTEL!CX26</f>
        <v>51.24</v>
      </c>
      <c r="AC24" s="7">
        <f>HOTEL!DA26</f>
        <v>136.63999999999999</v>
      </c>
      <c r="AD24" s="8">
        <f>HOTEL!DD26</f>
        <v>31.07</v>
      </c>
      <c r="AE24" s="7" t="str">
        <f>HOTEL!DG26</f>
        <v>0</v>
      </c>
      <c r="AF24" s="7" t="str">
        <f>HOTEL!DJ26</f>
        <v>0</v>
      </c>
      <c r="AG24" s="7" t="str">
        <f>HOTEL!DM26</f>
        <v>0</v>
      </c>
      <c r="AH24" s="7" t="str">
        <f>HOTEL!DP26</f>
        <v>0</v>
      </c>
      <c r="AI24" s="7">
        <f>HOTEL!DS26</f>
        <v>4826</v>
      </c>
      <c r="AJ24" s="7">
        <f>HOTEL!DV26</f>
        <v>0</v>
      </c>
      <c r="AK24" s="7">
        <f>TOTAL!K24</f>
        <v>0</v>
      </c>
    </row>
    <row r="25" spans="1:37" ht="15" x14ac:dyDescent="0.25">
      <c r="A25" s="2" t="s">
        <v>19</v>
      </c>
      <c r="B25" s="7">
        <f>TOTAL!B25</f>
        <v>24</v>
      </c>
      <c r="C25" s="95">
        <f>TOTAL!C25</f>
        <v>10</v>
      </c>
      <c r="D25" s="7">
        <v>2021</v>
      </c>
      <c r="E25" s="7">
        <f>TOTAL!E25</f>
        <v>21672</v>
      </c>
      <c r="F25" s="7">
        <f>HOTEL!R27</f>
        <v>1212</v>
      </c>
      <c r="G25" s="7">
        <f>HOTEL!T27</f>
        <v>506</v>
      </c>
      <c r="H25" s="8">
        <f>HOTEL!DX27</f>
        <v>8</v>
      </c>
      <c r="I25" s="8">
        <f>HOTEL!DZ27</f>
        <v>0</v>
      </c>
      <c r="J25" s="8">
        <f>HOTEL!EB27</f>
        <v>0</v>
      </c>
      <c r="K25" s="8">
        <f>HOTEL!ED27</f>
        <v>0</v>
      </c>
      <c r="L25" s="7">
        <f t="shared" si="1"/>
        <v>311</v>
      </c>
      <c r="M25" s="7">
        <f>HOTEL!AE27</f>
        <v>1151</v>
      </c>
      <c r="N25" s="7">
        <f>HOTEL!AI27</f>
        <v>0</v>
      </c>
      <c r="O25" s="7">
        <f>HOTEL!AM27</f>
        <v>1325</v>
      </c>
      <c r="P25" s="7">
        <f>HOTEL!AO27</f>
        <v>53185</v>
      </c>
      <c r="Q25" s="7">
        <f>HOTEL!AQ27</f>
        <v>8990</v>
      </c>
      <c r="R25" s="7">
        <f>HOTEL!AS27</f>
        <v>10671</v>
      </c>
      <c r="S25" s="7">
        <f>HOTEL!AU27</f>
        <v>15083</v>
      </c>
      <c r="T25" s="7">
        <f>HOTEL!AW27</f>
        <v>19529</v>
      </c>
      <c r="U25" s="7">
        <f>HOTEL!AY27</f>
        <v>20761</v>
      </c>
      <c r="V25" s="7">
        <f>HOTEL!BA27</f>
        <v>13949</v>
      </c>
      <c r="W25" s="7">
        <f>HOTEL!BM27</f>
        <v>31</v>
      </c>
      <c r="X25" s="7">
        <f>HOTEL!BT27</f>
        <v>280</v>
      </c>
      <c r="Y25" s="7">
        <f>HOTEL!CO27</f>
        <v>0</v>
      </c>
      <c r="Z25" s="7">
        <f>HOTEL!CR26</f>
        <v>114.67999999999999</v>
      </c>
      <c r="AA25" s="7">
        <f>HOTEL!CU27</f>
        <v>17.079999999999998</v>
      </c>
      <c r="AB25" s="8">
        <f>HOTEL!CX27</f>
        <v>56.12</v>
      </c>
      <c r="AC25" s="7">
        <f>HOTEL!DA27</f>
        <v>148.84</v>
      </c>
      <c r="AD25" s="8">
        <f>HOTEL!DD27</f>
        <v>19.12</v>
      </c>
      <c r="AE25" s="7">
        <f>HOTEL!DG27</f>
        <v>6</v>
      </c>
      <c r="AF25" s="7">
        <f>HOTEL!DJ27</f>
        <v>40</v>
      </c>
      <c r="AG25" s="7">
        <f>HOTEL!DM27</f>
        <v>0</v>
      </c>
      <c r="AH25" s="7" t="str">
        <f>HOTEL!DP27</f>
        <v>0</v>
      </c>
      <c r="AI25" s="7" t="str">
        <f>HOTEL!DS27</f>
        <v>0</v>
      </c>
      <c r="AJ25" s="7" t="str">
        <f>HOTEL!DV27</f>
        <v>0</v>
      </c>
      <c r="AK25" s="7">
        <f>TOTAL!K25</f>
        <v>0</v>
      </c>
    </row>
    <row r="26" spans="1:37" ht="15" x14ac:dyDescent="0.25">
      <c r="A26" s="2" t="s">
        <v>19</v>
      </c>
      <c r="B26" s="7">
        <f>TOTAL!B26</f>
        <v>25</v>
      </c>
      <c r="C26" s="95">
        <f>TOTAL!C26</f>
        <v>10</v>
      </c>
      <c r="D26" s="7">
        <v>2021</v>
      </c>
      <c r="E26" s="7">
        <f>TOTAL!E26</f>
        <v>21776</v>
      </c>
      <c r="F26" s="7">
        <f>HOTEL!R28</f>
        <v>2121</v>
      </c>
      <c r="G26" s="7">
        <f>HOTEL!T28</f>
        <v>528</v>
      </c>
      <c r="H26" s="8">
        <f>HOTEL!DX28</f>
        <v>5</v>
      </c>
      <c r="I26" s="8">
        <f>HOTEL!DZ28</f>
        <v>0</v>
      </c>
      <c r="J26" s="8">
        <f>HOTEL!EB28</f>
        <v>0</v>
      </c>
      <c r="K26" s="8">
        <f>HOTEL!ED28</f>
        <v>0</v>
      </c>
      <c r="L26" s="7">
        <f t="shared" si="1"/>
        <v>276</v>
      </c>
      <c r="M26" s="7">
        <f>HOTEL!AE28</f>
        <v>1151</v>
      </c>
      <c r="N26" s="7">
        <f>HOTEL!AI28</f>
        <v>0</v>
      </c>
      <c r="O26" s="7">
        <f>HOTEL!AM28</f>
        <v>1326</v>
      </c>
      <c r="P26" s="7">
        <f>HOTEL!AO28</f>
        <v>53206</v>
      </c>
      <c r="Q26" s="7">
        <f>HOTEL!AQ28</f>
        <v>8992</v>
      </c>
      <c r="R26" s="7">
        <f>HOTEL!AS28</f>
        <v>10673</v>
      </c>
      <c r="S26" s="7">
        <f>HOTEL!AU28</f>
        <v>15096</v>
      </c>
      <c r="T26" s="7">
        <f>HOTEL!AW28</f>
        <v>19532</v>
      </c>
      <c r="U26" s="7">
        <f>HOTEL!AY28</f>
        <v>20752</v>
      </c>
      <c r="V26" s="7">
        <f>HOTEL!BA28</f>
        <v>13952</v>
      </c>
      <c r="W26" s="7">
        <f>HOTEL!BM28</f>
        <v>16</v>
      </c>
      <c r="X26" s="7">
        <f>HOTEL!BT28</f>
        <v>260</v>
      </c>
      <c r="Y26" s="7">
        <f>HOTEL!CO28</f>
        <v>0</v>
      </c>
      <c r="Z26" s="7">
        <f>HOTEL!CR27</f>
        <v>109.8</v>
      </c>
      <c r="AA26" s="7">
        <f>HOTEL!CU28</f>
        <v>14.64</v>
      </c>
      <c r="AB26" s="8">
        <f>HOTEL!CX28</f>
        <v>51.24</v>
      </c>
      <c r="AC26" s="7">
        <f>HOTEL!DA28</f>
        <v>170.79999999999998</v>
      </c>
      <c r="AD26" s="8">
        <f>HOTEL!DD28</f>
        <v>21.51</v>
      </c>
      <c r="AE26" s="7" t="str">
        <f>HOTEL!DG28</f>
        <v>0</v>
      </c>
      <c r="AF26" s="7">
        <f>HOTEL!DJ28</f>
        <v>40</v>
      </c>
      <c r="AG26" s="7">
        <f>HOTEL!DM28</f>
        <v>1</v>
      </c>
      <c r="AH26" s="7">
        <f>HOTEL!DP28</f>
        <v>0</v>
      </c>
      <c r="AI26" s="7" t="str">
        <f>HOTEL!DS28</f>
        <v>0</v>
      </c>
      <c r="AJ26" s="7">
        <f>HOTEL!DV28</f>
        <v>0</v>
      </c>
      <c r="AK26" s="7">
        <f>TOTAL!K26</f>
        <v>0</v>
      </c>
    </row>
    <row r="27" spans="1:37" ht="15" x14ac:dyDescent="0.25">
      <c r="A27" s="2" t="s">
        <v>19</v>
      </c>
      <c r="B27" s="7">
        <f>TOTAL!B27</f>
        <v>26</v>
      </c>
      <c r="C27" s="95">
        <f>TOTAL!C27</f>
        <v>10</v>
      </c>
      <c r="D27" s="7">
        <v>2021</v>
      </c>
      <c r="E27" s="7">
        <f>TOTAL!E27</f>
        <v>19675</v>
      </c>
      <c r="F27" s="7">
        <f>HOTEL!R29</f>
        <v>2359</v>
      </c>
      <c r="G27" s="7">
        <f>HOTEL!T29</f>
        <v>474</v>
      </c>
      <c r="H27" s="8">
        <f>HOTEL!DX29</f>
        <v>8</v>
      </c>
      <c r="I27" s="8">
        <f>HOTEL!DZ29</f>
        <v>0</v>
      </c>
      <c r="J27" s="8">
        <f>HOTEL!EB29</f>
        <v>0</v>
      </c>
      <c r="K27" s="8">
        <f>HOTEL!ED29</f>
        <v>0</v>
      </c>
      <c r="L27" s="7">
        <f>N27+W27+X27</f>
        <v>259</v>
      </c>
      <c r="M27" s="7">
        <f>HOTEL!AE29</f>
        <v>1151</v>
      </c>
      <c r="N27" s="7">
        <f>HOTEL!AI29</f>
        <v>0</v>
      </c>
      <c r="O27" s="7">
        <f>HOTEL!AM29</f>
        <v>1326</v>
      </c>
      <c r="P27" s="7">
        <f>HOTEL!AO29</f>
        <v>53227</v>
      </c>
      <c r="Q27" s="7">
        <f>HOTEL!AQ29</f>
        <v>8995</v>
      </c>
      <c r="R27" s="7">
        <f>HOTEL!AS29</f>
        <v>10675</v>
      </c>
      <c r="S27" s="7">
        <f>HOTEL!AU29</f>
        <v>15109</v>
      </c>
      <c r="T27" s="7">
        <f>HOTEL!AW29</f>
        <v>19537</v>
      </c>
      <c r="U27" s="7">
        <f>HOTEL!AY29</f>
        <v>20754</v>
      </c>
      <c r="V27" s="7">
        <f>HOTEL!BA29</f>
        <v>13956</v>
      </c>
      <c r="W27" s="7">
        <f>HOTEL!BM29</f>
        <v>19</v>
      </c>
      <c r="X27" s="7">
        <f>HOTEL!BT29</f>
        <v>240</v>
      </c>
      <c r="Y27" s="7">
        <f>HOTEL!CO29</f>
        <v>0</v>
      </c>
      <c r="Z27" s="7">
        <f>HOTEL!CR28</f>
        <v>124.44</v>
      </c>
      <c r="AA27" s="7">
        <f>HOTEL!CU29</f>
        <v>17.079999999999998</v>
      </c>
      <c r="AB27" s="8">
        <f>HOTEL!CX29</f>
        <v>48.8</v>
      </c>
      <c r="AC27" s="7">
        <f>HOTEL!DA29</f>
        <v>136.63999999999999</v>
      </c>
      <c r="AD27" s="8">
        <f>HOTEL!DD29</f>
        <v>19.12</v>
      </c>
      <c r="AE27" s="7">
        <f>HOTEL!DG29</f>
        <v>5</v>
      </c>
      <c r="AF27" s="7">
        <f>HOTEL!DJ29</f>
        <v>0</v>
      </c>
      <c r="AG27" s="7" t="str">
        <f>HOTEL!DM29</f>
        <v>0</v>
      </c>
      <c r="AH27" s="7">
        <f>HOTEL!DP29</f>
        <v>0</v>
      </c>
      <c r="AI27" s="7">
        <f>HOTEL!DS29</f>
        <v>1</v>
      </c>
      <c r="AJ27" s="7">
        <f>HOTEL!DV29</f>
        <v>1</v>
      </c>
      <c r="AK27" s="7">
        <f>TOTAL!K27</f>
        <v>0</v>
      </c>
    </row>
    <row r="28" spans="1:37" ht="15" x14ac:dyDescent="0.25">
      <c r="A28" s="2" t="s">
        <v>19</v>
      </c>
      <c r="B28" s="7">
        <f>TOTAL!B28</f>
        <v>27</v>
      </c>
      <c r="C28" s="95">
        <f>TOTAL!C28</f>
        <v>10</v>
      </c>
      <c r="D28" s="7">
        <v>2021</v>
      </c>
      <c r="E28" s="7">
        <f>TOTAL!E28</f>
        <v>19624</v>
      </c>
      <c r="F28" s="7">
        <f>HOTEL!R30</f>
        <v>1101</v>
      </c>
      <c r="G28" s="7">
        <f>HOTEL!T30</f>
        <v>445</v>
      </c>
      <c r="H28" s="8">
        <f>HOTEL!DX30</f>
        <v>7</v>
      </c>
      <c r="I28" s="8">
        <f>HOTEL!DZ30</f>
        <v>0</v>
      </c>
      <c r="J28" s="8">
        <f>HOTEL!EB30</f>
        <v>0</v>
      </c>
      <c r="K28" s="8">
        <f>HOTEL!ED30</f>
        <v>0</v>
      </c>
      <c r="L28" s="7">
        <f t="shared" si="1"/>
        <v>217</v>
      </c>
      <c r="M28" s="7">
        <f>HOTEL!AE30</f>
        <v>1151</v>
      </c>
      <c r="N28" s="7">
        <f>HOTEL!AI30</f>
        <v>0</v>
      </c>
      <c r="O28" s="7">
        <f>HOTEL!AM30</f>
        <v>1327</v>
      </c>
      <c r="P28" s="7">
        <f>HOTEL!AO30</f>
        <v>53247</v>
      </c>
      <c r="Q28" s="7">
        <f>HOTEL!AQ30</f>
        <v>8997</v>
      </c>
      <c r="R28" s="7">
        <f>HOTEL!AS30</f>
        <v>10676</v>
      </c>
      <c r="S28" s="7">
        <f>HOTEL!AU30</f>
        <v>15120</v>
      </c>
      <c r="T28" s="7">
        <f>HOTEL!AW30</f>
        <v>19542</v>
      </c>
      <c r="U28" s="7">
        <f>HOTEL!AY30</f>
        <v>20756</v>
      </c>
      <c r="V28" s="7">
        <f>HOTEL!BA30</f>
        <v>13960</v>
      </c>
      <c r="W28" s="7">
        <f>HOTEL!BM30</f>
        <v>17</v>
      </c>
      <c r="X28" s="7">
        <f>HOTEL!BT30</f>
        <v>200</v>
      </c>
      <c r="Y28" s="7">
        <f>HOTEL!CO30</f>
        <v>0</v>
      </c>
      <c r="Z28" s="7">
        <f>HOTEL!CR29</f>
        <v>112.24</v>
      </c>
      <c r="AA28" s="7">
        <f>HOTEL!CU30</f>
        <v>14.64</v>
      </c>
      <c r="AB28" s="8">
        <f>HOTEL!CX30</f>
        <v>56.12</v>
      </c>
      <c r="AC28" s="7">
        <f>HOTEL!DA30</f>
        <v>168.35999999999999</v>
      </c>
      <c r="AD28" s="8">
        <f>HOTEL!DD30</f>
        <v>23.900000000000002</v>
      </c>
      <c r="AE28" s="7" t="str">
        <f>HOTEL!DG30</f>
        <v>0</v>
      </c>
      <c r="AF28" s="7" t="str">
        <f>HOTEL!DJ30</f>
        <v>0</v>
      </c>
      <c r="AG28" s="7">
        <f>HOTEL!DM30</f>
        <v>0</v>
      </c>
      <c r="AH28" s="7" t="str">
        <f>HOTEL!DP30</f>
        <v>0</v>
      </c>
      <c r="AI28" s="7" t="str">
        <f>HOTEL!DS30</f>
        <v>0</v>
      </c>
      <c r="AJ28" s="7" t="str">
        <f>HOTEL!DV30</f>
        <v>0</v>
      </c>
      <c r="AK28" s="7">
        <f>TOTAL!K28</f>
        <v>0</v>
      </c>
    </row>
    <row r="29" spans="1:37" ht="15" x14ac:dyDescent="0.25">
      <c r="A29" s="2" t="s">
        <v>19</v>
      </c>
      <c r="B29" s="7">
        <f>TOTAL!B29</f>
        <v>28</v>
      </c>
      <c r="C29" s="95">
        <f>TOTAL!C29</f>
        <v>10</v>
      </c>
      <c r="D29" s="7">
        <v>2021</v>
      </c>
      <c r="E29" s="7">
        <f>TOTAL!E29</f>
        <v>20349</v>
      </c>
      <c r="F29" s="7">
        <f>HOTEL!R31</f>
        <v>1254</v>
      </c>
      <c r="G29" s="7">
        <f>HOTEL!T31</f>
        <v>455</v>
      </c>
      <c r="H29" s="8">
        <f>HOTEL!DX31</f>
        <v>6</v>
      </c>
      <c r="I29" s="8">
        <f>HOTEL!DZ31</f>
        <v>0</v>
      </c>
      <c r="J29" s="8">
        <f>HOTEL!EB31</f>
        <v>0</v>
      </c>
      <c r="K29" s="8">
        <f>HOTEL!ED31</f>
        <v>0</v>
      </c>
      <c r="L29" s="7">
        <f t="shared" si="1"/>
        <v>270</v>
      </c>
      <c r="M29" s="7">
        <f>HOTEL!AE31</f>
        <v>1151</v>
      </c>
      <c r="N29" s="7">
        <f>HOTEL!AI31</f>
        <v>0</v>
      </c>
      <c r="O29" s="7">
        <f>HOTEL!AM31</f>
        <v>1327</v>
      </c>
      <c r="P29" s="7">
        <f>HOTEL!AO31</f>
        <v>53264</v>
      </c>
      <c r="Q29" s="7">
        <f>HOTEL!AQ31</f>
        <v>8998</v>
      </c>
      <c r="R29" s="7">
        <f>HOTEL!AS31</f>
        <v>10678</v>
      </c>
      <c r="S29" s="7">
        <f>HOTEL!AU31</f>
        <v>15135</v>
      </c>
      <c r="T29" s="7">
        <f>HOTEL!AW31</f>
        <v>19549</v>
      </c>
      <c r="U29" s="7">
        <f>HOTEL!AY31</f>
        <v>20758</v>
      </c>
      <c r="V29" s="7">
        <f>HOTEL!BA31</f>
        <v>13963</v>
      </c>
      <c r="W29" s="7">
        <f>HOTEL!BM31</f>
        <v>20</v>
      </c>
      <c r="X29" s="7">
        <f>HOTEL!BT31</f>
        <v>250</v>
      </c>
      <c r="Y29" s="7">
        <f>HOTEL!CO31</f>
        <v>0</v>
      </c>
      <c r="Z29" s="7">
        <f>HOTEL!CR30</f>
        <v>119.56</v>
      </c>
      <c r="AA29" s="7">
        <f>HOTEL!CU31</f>
        <v>17.079999999999998</v>
      </c>
      <c r="AB29" s="8">
        <f>HOTEL!CX31</f>
        <v>56.12</v>
      </c>
      <c r="AC29" s="7">
        <f>HOTEL!DA31</f>
        <v>175.68</v>
      </c>
      <c r="AD29" s="8">
        <f>HOTEL!DD31</f>
        <v>16.73</v>
      </c>
      <c r="AE29" s="7">
        <f>HOTEL!DG31</f>
        <v>2</v>
      </c>
      <c r="AF29" s="7">
        <f>HOTEL!DJ31</f>
        <v>1</v>
      </c>
      <c r="AG29" s="7">
        <f>HOTEL!DM31</f>
        <v>1</v>
      </c>
      <c r="AH29" s="7">
        <f>HOTEL!DP31</f>
        <v>3</v>
      </c>
      <c r="AI29" s="7">
        <f>HOTEL!DS31</f>
        <v>3</v>
      </c>
      <c r="AJ29" s="7">
        <f>HOTEL!DV31</f>
        <v>1</v>
      </c>
      <c r="AK29" s="7">
        <f>TOTAL!K29</f>
        <v>0</v>
      </c>
    </row>
    <row r="30" spans="1:37" ht="15" x14ac:dyDescent="0.25">
      <c r="A30" s="2" t="s">
        <v>19</v>
      </c>
      <c r="B30" s="7">
        <f>TOTAL!B30</f>
        <v>29</v>
      </c>
      <c r="C30" s="95">
        <f>TOTAL!C30</f>
        <v>10</v>
      </c>
      <c r="D30" s="7">
        <v>2021</v>
      </c>
      <c r="E30" s="7">
        <f>TOTAL!E30</f>
        <v>19888</v>
      </c>
      <c r="F30" s="7">
        <f>HOTEL!R32</f>
        <v>1194</v>
      </c>
      <c r="G30" s="7">
        <f>HOTEL!T32</f>
        <v>463</v>
      </c>
      <c r="H30" s="8">
        <f>HOTEL!DX32</f>
        <v>6</v>
      </c>
      <c r="I30" s="8">
        <f>HOTEL!DZ32</f>
        <v>0</v>
      </c>
      <c r="J30" s="8">
        <f>HOTEL!EB32</f>
        <v>0</v>
      </c>
      <c r="K30" s="8">
        <f>HOTEL!ED32</f>
        <v>0</v>
      </c>
      <c r="L30" s="7">
        <f>N30+W30+X30</f>
        <v>290</v>
      </c>
      <c r="M30" s="7">
        <f>HOTEL!AE32</f>
        <v>1151</v>
      </c>
      <c r="N30" s="7">
        <f>HOTEL!AI32</f>
        <v>0</v>
      </c>
      <c r="O30" s="7">
        <f>HOTEL!AM32</f>
        <v>1327</v>
      </c>
      <c r="P30" s="7">
        <f>HOTEL!AO32</f>
        <v>53283</v>
      </c>
      <c r="Q30" s="7">
        <f>HOTEL!AQ32</f>
        <v>9000</v>
      </c>
      <c r="R30" s="7">
        <f>HOTEL!AS32</f>
        <v>10680</v>
      </c>
      <c r="S30" s="7">
        <f>HOTEL!AU32</f>
        <v>15150</v>
      </c>
      <c r="T30" s="7">
        <f>HOTEL!AW32</f>
        <v>19556</v>
      </c>
      <c r="U30" s="7">
        <f>HOTEL!AY32</f>
        <v>20760</v>
      </c>
      <c r="V30" s="7">
        <f>HOTEL!BA32</f>
        <v>13966</v>
      </c>
      <c r="W30" s="7">
        <f>HOTEL!BM32</f>
        <v>20</v>
      </c>
      <c r="X30" s="7">
        <f>HOTEL!BT32</f>
        <v>270</v>
      </c>
      <c r="Y30" s="7">
        <f>HOTEL!CO32</f>
        <v>9793</v>
      </c>
      <c r="Z30" s="7">
        <f>HOTEL!CR31</f>
        <v>107.36</v>
      </c>
      <c r="AA30" s="7">
        <f>HOTEL!CU32</f>
        <v>17.079999999999998</v>
      </c>
      <c r="AB30" s="8">
        <f>HOTEL!CX32</f>
        <v>46.36</v>
      </c>
      <c r="AC30" s="7">
        <f>HOTEL!DA32</f>
        <v>173.24</v>
      </c>
      <c r="AD30" s="8">
        <f>HOTEL!DD32</f>
        <v>23.900000000000002</v>
      </c>
      <c r="AE30" s="7">
        <f>HOTEL!DG32</f>
        <v>0</v>
      </c>
      <c r="AF30" s="7">
        <f>HOTEL!DJ32</f>
        <v>1</v>
      </c>
      <c r="AG30" s="7" t="str">
        <f>HOTEL!DM32</f>
        <v>0</v>
      </c>
      <c r="AH30" s="7" t="str">
        <f>HOTEL!DP32</f>
        <v>0</v>
      </c>
      <c r="AI30" s="7">
        <f>HOTEL!DS32</f>
        <v>0</v>
      </c>
      <c r="AJ30" s="7" t="str">
        <f>HOTEL!DV32</f>
        <v>0</v>
      </c>
      <c r="AK30" s="7">
        <f>TOTAL!K30</f>
        <v>0</v>
      </c>
    </row>
    <row r="31" spans="1:37" ht="15" x14ac:dyDescent="0.25">
      <c r="A31" s="2" t="s">
        <v>19</v>
      </c>
      <c r="B31" s="7">
        <f>TOTAL!B31</f>
        <v>30</v>
      </c>
      <c r="C31" s="95">
        <f>TOTAL!C31</f>
        <v>10</v>
      </c>
      <c r="D31" s="7">
        <v>2021</v>
      </c>
      <c r="E31" s="7">
        <f>TOTAL!E31</f>
        <v>19024</v>
      </c>
      <c r="F31" s="7">
        <f>HOTEL!R33</f>
        <v>1092</v>
      </c>
      <c r="G31" s="7">
        <f>HOTEL!T33</f>
        <v>469</v>
      </c>
      <c r="H31" s="8">
        <f>HOTEL!DX33</f>
        <v>7</v>
      </c>
      <c r="I31" s="8">
        <f>HOTEL!DZ33</f>
        <v>0</v>
      </c>
      <c r="J31" s="8">
        <f>HOTEL!EB33</f>
        <v>0</v>
      </c>
      <c r="K31" s="8">
        <f>HOTEL!ED33</f>
        <v>0</v>
      </c>
      <c r="L31" s="7">
        <f t="shared" si="1"/>
        <v>374</v>
      </c>
      <c r="M31" s="7">
        <f>HOTEL!AE33</f>
        <v>1153</v>
      </c>
      <c r="N31" s="7">
        <f>HOTEL!AI33</f>
        <v>0</v>
      </c>
      <c r="O31" s="7">
        <f>HOTEL!AM33</f>
        <v>1327</v>
      </c>
      <c r="P31" s="7">
        <f>HOTEL!AO33</f>
        <v>53304</v>
      </c>
      <c r="Q31" s="7">
        <f>HOTEL!AQ33</f>
        <v>9002</v>
      </c>
      <c r="R31" s="7">
        <f>HOTEL!AS33</f>
        <v>10681</v>
      </c>
      <c r="S31" s="7">
        <f>HOTEL!AU33</f>
        <v>15169</v>
      </c>
      <c r="T31" s="7">
        <f>HOTEL!AW33</f>
        <v>19562</v>
      </c>
      <c r="U31" s="7">
        <f>HOTEL!AY33</f>
        <v>20761</v>
      </c>
      <c r="V31" s="7">
        <f>HOTEL!BA33</f>
        <v>13970</v>
      </c>
      <c r="W31" s="7">
        <f>HOTEL!BM33</f>
        <v>24</v>
      </c>
      <c r="X31" s="7">
        <f>HOTEL!BT33</f>
        <v>350</v>
      </c>
      <c r="Y31" s="7">
        <f>HOTEL!CO33</f>
        <v>0</v>
      </c>
      <c r="Z31" s="7">
        <f>HOTEL!CR32</f>
        <v>112.24</v>
      </c>
      <c r="AA31" s="7">
        <f>HOTEL!CU33</f>
        <v>19.52</v>
      </c>
      <c r="AB31" s="8">
        <f>HOTEL!CX33</f>
        <v>53.68</v>
      </c>
      <c r="AC31" s="7">
        <f>HOTEL!DA33</f>
        <v>0</v>
      </c>
      <c r="AD31" s="8">
        <f>HOTEL!DD33</f>
        <v>21.51</v>
      </c>
      <c r="AE31" s="7" t="str">
        <f>HOTEL!DG33</f>
        <v>0</v>
      </c>
      <c r="AF31" s="7">
        <f>HOTEL!DJ33</f>
        <v>1</v>
      </c>
      <c r="AG31" s="7">
        <f>HOTEL!DM33</f>
        <v>0</v>
      </c>
      <c r="AH31" s="7">
        <f>HOTEL!DP33</f>
        <v>0</v>
      </c>
      <c r="AI31" s="7">
        <f>HOTEL!DS33</f>
        <v>0</v>
      </c>
      <c r="AJ31" s="7">
        <f>HOTEL!DV33</f>
        <v>1</v>
      </c>
      <c r="AK31" s="7">
        <f>TOTAL!K31</f>
        <v>0</v>
      </c>
    </row>
    <row r="32" spans="1:37" ht="15" x14ac:dyDescent="0.25">
      <c r="A32" s="2" t="s">
        <v>19</v>
      </c>
      <c r="B32" s="7">
        <f>TOTAL!B32</f>
        <v>31</v>
      </c>
      <c r="C32" s="95">
        <f>TOTAL!C32</f>
        <v>10</v>
      </c>
      <c r="D32" s="7">
        <v>2021</v>
      </c>
      <c r="E32" s="7">
        <f>TOTAL!E32</f>
        <v>18394</v>
      </c>
      <c r="F32" s="7">
        <f>HOTEL!R34</f>
        <v>927</v>
      </c>
      <c r="G32" s="7">
        <f>HOTEL!T34</f>
        <v>448</v>
      </c>
      <c r="H32" s="8">
        <f>HOTEL!DX34</f>
        <v>7</v>
      </c>
      <c r="I32" s="8">
        <f>HOTEL!DZ34</f>
        <v>0</v>
      </c>
      <c r="J32" s="8">
        <f>HOTEL!EB34</f>
        <v>0</v>
      </c>
      <c r="K32" s="8">
        <f>HOTEL!ED34</f>
        <v>0</v>
      </c>
      <c r="L32" s="7">
        <f t="shared" ref="L32" si="2">N32+W32+X32</f>
        <v>356</v>
      </c>
      <c r="M32" s="7">
        <f>HOTEL!AE34</f>
        <v>1153</v>
      </c>
      <c r="N32" s="7">
        <f>HOTEL!AI34</f>
        <v>0</v>
      </c>
      <c r="O32" s="7">
        <f>HOTEL!AM34</f>
        <v>1332</v>
      </c>
      <c r="P32" s="7">
        <f>HOTEL!AO34</f>
        <v>53323</v>
      </c>
      <c r="Q32" s="7">
        <f>HOTEL!AQ34</f>
        <v>9004</v>
      </c>
      <c r="R32" s="7">
        <f>HOTEL!AS34</f>
        <v>10683</v>
      </c>
      <c r="S32" s="7">
        <f>HOTEL!AU34</f>
        <v>15180</v>
      </c>
      <c r="T32" s="7">
        <f>HOTEL!AW34</f>
        <v>19562</v>
      </c>
      <c r="U32" s="7">
        <f>HOTEL!AY34</f>
        <v>20763</v>
      </c>
      <c r="V32" s="7">
        <f>HOTEL!BA34</f>
        <v>13973</v>
      </c>
      <c r="W32" s="7">
        <f>HOTEL!BM34</f>
        <v>16</v>
      </c>
      <c r="X32" s="7">
        <f>HOTEL!BT34</f>
        <v>340</v>
      </c>
      <c r="Y32" s="7">
        <f>HOTEL!CO34</f>
        <v>0</v>
      </c>
      <c r="Z32" s="7">
        <f>HOTEL!CR33</f>
        <v>122</v>
      </c>
      <c r="AA32" s="7">
        <f>HOTEL!CU34</f>
        <v>21.96</v>
      </c>
      <c r="AB32" s="8">
        <f>HOTEL!CX34</f>
        <v>56.12</v>
      </c>
      <c r="AC32" s="7">
        <f>HOTEL!DA34</f>
        <v>139.07999999999998</v>
      </c>
      <c r="AD32" s="8">
        <f>HOTEL!DD34</f>
        <v>19.12</v>
      </c>
      <c r="AE32" s="7">
        <f>HOTEL!DG34</f>
        <v>1</v>
      </c>
      <c r="AF32" s="7">
        <f>HOTEL!DJ34</f>
        <v>2</v>
      </c>
      <c r="AG32" s="7">
        <f>HOTEL!DM34</f>
        <v>1</v>
      </c>
      <c r="AH32" s="7">
        <f>HOTEL!DP34</f>
        <v>1</v>
      </c>
      <c r="AI32" s="7">
        <f>HOTEL!DS34</f>
        <v>1</v>
      </c>
      <c r="AJ32" s="7" t="str">
        <f>HOTEL!DV34</f>
        <v>0</v>
      </c>
      <c r="AK32" s="7">
        <f>TOTAL!K32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R54"/>
  <sheetViews>
    <sheetView zoomScale="85" zoomScaleNormal="85" workbookViewId="0">
      <pane xSplit="1" ySplit="2" topLeftCell="BU3" activePane="bottomRight" state="frozen"/>
      <selection pane="topRight" activeCell="B1" sqref="B1"/>
      <selection pane="bottomLeft" activeCell="A3" sqref="A3"/>
      <selection pane="bottomRight" activeCell="CJ23" sqref="CJ23"/>
    </sheetView>
  </sheetViews>
  <sheetFormatPr defaultRowHeight="12.75" x14ac:dyDescent="0.2"/>
  <cols>
    <col min="1" max="1" width="8.85546875" style="7" customWidth="1"/>
    <col min="2" max="2" width="11" style="20" customWidth="1"/>
    <col min="3" max="3" width="10.5703125" style="11" bestFit="1" customWidth="1"/>
    <col min="4" max="4" width="11.140625" style="7" bestFit="1" customWidth="1"/>
    <col min="5" max="5" width="11" style="11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2" customWidth="1"/>
    <col min="11" max="11" width="8.85546875" style="7" customWidth="1"/>
    <col min="12" max="12" width="8.85546875" style="12" customWidth="1"/>
    <col min="13" max="13" width="8.85546875" style="7" customWidth="1"/>
    <col min="14" max="14" width="8.85546875" style="12" customWidth="1"/>
    <col min="15" max="15" width="8.85546875" style="7" customWidth="1"/>
    <col min="16" max="16" width="8.85546875" style="12" customWidth="1"/>
    <col min="17" max="17" width="11.7109375" style="7" customWidth="1"/>
    <col min="18" max="18" width="9.85546875" style="12" bestFit="1" customWidth="1"/>
    <col min="19" max="19" width="15" style="7" customWidth="1"/>
    <col min="20" max="20" width="13.28515625" style="12" customWidth="1"/>
    <col min="21" max="21" width="8.85546875" style="7" customWidth="1"/>
    <col min="22" max="22" width="8.85546875" style="12" customWidth="1"/>
    <col min="23" max="23" width="8.85546875" style="7" customWidth="1"/>
    <col min="24" max="24" width="12" style="7" bestFit="1" customWidth="1"/>
    <col min="25" max="25" width="8.85546875" style="12" customWidth="1"/>
    <col min="26" max="26" width="8.85546875" style="7" customWidth="1"/>
    <col min="27" max="27" width="8.85546875" style="12" bestFit="1" customWidth="1"/>
    <col min="28" max="28" width="8.85546875" style="7" customWidth="1"/>
    <col min="29" max="29" width="8.85546875" style="12" bestFit="1" customWidth="1"/>
    <col min="30" max="30" width="13.7109375" style="7" bestFit="1" customWidth="1"/>
    <col min="31" max="31" width="8.85546875" style="12" customWidth="1"/>
    <col min="32" max="33" width="9.140625" style="7" customWidth="1"/>
    <col min="34" max="34" width="8.85546875" style="7" customWidth="1"/>
    <col min="35" max="35" width="9.7109375" style="12" bestFit="1" customWidth="1"/>
    <col min="36" max="36" width="8.85546875" style="7" customWidth="1"/>
    <col min="37" max="37" width="9.7109375" style="12" bestFit="1" customWidth="1"/>
    <col min="38" max="38" width="8.85546875" style="7" customWidth="1"/>
    <col min="39" max="39" width="8.85546875" style="12" customWidth="1"/>
    <col min="40" max="40" width="8.85546875" style="7" customWidth="1"/>
    <col min="41" max="41" width="8.85546875" style="12" customWidth="1"/>
    <col min="42" max="42" width="8.85546875" style="7" customWidth="1"/>
    <col min="43" max="43" width="8.85546875" style="12" customWidth="1"/>
    <col min="44" max="44" width="8.85546875" style="7" customWidth="1"/>
    <col min="45" max="45" width="8.85546875" style="12" customWidth="1"/>
    <col min="46" max="46" width="8.85546875" style="7" customWidth="1"/>
    <col min="47" max="47" width="8.85546875" style="12" customWidth="1"/>
    <col min="48" max="48" width="8.85546875" style="7" customWidth="1"/>
    <col min="49" max="49" width="8.85546875" style="12" customWidth="1"/>
    <col min="50" max="50" width="8.85546875" style="7" customWidth="1"/>
    <col min="51" max="51" width="8.85546875" style="12" customWidth="1"/>
    <col min="52" max="52" width="8.85546875" style="7" customWidth="1"/>
    <col min="53" max="53" width="8.85546875" style="12" customWidth="1"/>
    <col min="54" max="54" width="12.85546875" style="7" bestFit="1" customWidth="1"/>
    <col min="55" max="55" width="8.5703125" style="12" bestFit="1" customWidth="1"/>
    <col min="56" max="56" width="13.140625" style="7" bestFit="1" customWidth="1"/>
    <col min="57" max="57" width="8.42578125" style="12" bestFit="1" customWidth="1"/>
    <col min="58" max="58" width="15.42578125" style="7" customWidth="1"/>
    <col min="59" max="59" width="8.85546875" style="12" customWidth="1"/>
    <col min="60" max="60" width="17.28515625" style="7" bestFit="1" customWidth="1"/>
    <col min="61" max="61" width="8.85546875" style="12" customWidth="1"/>
    <col min="62" max="62" width="14.85546875" style="7" bestFit="1" customWidth="1"/>
    <col min="63" max="63" width="10.7109375" style="7" bestFit="1" customWidth="1"/>
    <col min="64" max="64" width="9.28515625" style="7" bestFit="1" customWidth="1"/>
    <col min="65" max="65" width="9.7109375" style="7" bestFit="1" customWidth="1"/>
    <col min="66" max="66" width="9.28515625" style="7" bestFit="1" customWidth="1"/>
    <col min="67" max="67" width="9.7109375" style="7" bestFit="1" customWidth="1"/>
    <col min="68" max="68" width="8.85546875" style="7" customWidth="1"/>
    <col min="69" max="69" width="9.7109375" style="7" bestFit="1" customWidth="1"/>
    <col min="70" max="70" width="8.85546875" style="7" customWidth="1"/>
    <col min="71" max="72" width="9.7109375" style="7" bestFit="1" customWidth="1"/>
    <col min="73" max="73" width="8.85546875" style="7" customWidth="1"/>
    <col min="74" max="74" width="9.7109375" style="7" bestFit="1" customWidth="1"/>
    <col min="75" max="75" width="10.28515625" style="7" customWidth="1"/>
    <col min="76" max="76" width="10.5703125" style="7" bestFit="1" customWidth="1"/>
    <col min="77" max="77" width="6" style="7" customWidth="1"/>
    <col min="78" max="78" width="9.42578125" style="7" customWidth="1"/>
    <col min="79" max="79" width="10" style="7" bestFit="1" customWidth="1"/>
    <col min="80" max="80" width="9.28515625" style="7" bestFit="1" customWidth="1"/>
    <col min="81" max="81" width="10.5703125" style="7" bestFit="1" customWidth="1"/>
    <col min="82" max="87" width="8.85546875" style="7" customWidth="1"/>
    <col min="88" max="88" width="10.5703125" style="7" bestFit="1" customWidth="1"/>
    <col min="89" max="89" width="10.140625" style="7" bestFit="1" customWidth="1"/>
    <col min="90" max="90" width="10.5703125" style="7" bestFit="1" customWidth="1"/>
    <col min="91" max="91" width="12.140625" style="7" bestFit="1" customWidth="1"/>
    <col min="92" max="92" width="8.85546875" style="7" customWidth="1"/>
    <col min="93" max="93" width="10.7109375" style="7" bestFit="1" customWidth="1"/>
    <col min="94" max="94" width="11.5703125" style="7" bestFit="1" customWidth="1"/>
    <col min="95" max="95" width="8.7109375" style="7" customWidth="1"/>
    <col min="96" max="96" width="14.5703125" style="7" bestFit="1" customWidth="1"/>
    <col min="97" max="97" width="8.7109375" style="7" bestFit="1" customWidth="1"/>
    <col min="98" max="98" width="8.85546875" style="7" customWidth="1"/>
    <col min="99" max="99" width="11.7109375" style="7" bestFit="1" customWidth="1"/>
    <col min="100" max="101" width="8.85546875" style="7" customWidth="1"/>
    <col min="102" max="102" width="9.7109375" style="7" bestFit="1" customWidth="1"/>
    <col min="103" max="126" width="8.85546875" style="7" customWidth="1"/>
    <col min="127" max="130" width="8.7109375" style="7" customWidth="1"/>
    <col min="131" max="134" width="8.85546875" style="7" customWidth="1"/>
    <col min="135" max="135" width="12" style="7" customWidth="1"/>
    <col min="136" max="137" width="9.140625" style="7"/>
    <col min="138" max="138" width="12" style="7" customWidth="1"/>
    <col min="139" max="16384" width="9.140625" style="7"/>
  </cols>
  <sheetData>
    <row r="1" spans="1:146" s="25" customFormat="1" ht="39.75" customHeight="1" x14ac:dyDescent="0.25">
      <c r="B1" s="105" t="s">
        <v>52</v>
      </c>
      <c r="C1" s="107"/>
      <c r="D1" s="107"/>
      <c r="E1" s="107"/>
      <c r="F1" s="107"/>
      <c r="G1" s="107"/>
      <c r="H1" s="107"/>
      <c r="I1" s="108" t="s">
        <v>53</v>
      </c>
      <c r="J1" s="108"/>
      <c r="K1" s="108"/>
      <c r="L1" s="108"/>
      <c r="M1" s="108" t="s">
        <v>54</v>
      </c>
      <c r="N1" s="108"/>
      <c r="O1" s="108"/>
      <c r="P1" s="108"/>
      <c r="Q1" s="26" t="s">
        <v>55</v>
      </c>
      <c r="R1" s="98" t="s">
        <v>56</v>
      </c>
      <c r="S1" s="27" t="s">
        <v>22</v>
      </c>
      <c r="T1" s="28" t="s">
        <v>56</v>
      </c>
      <c r="U1" s="105" t="s">
        <v>57</v>
      </c>
      <c r="V1" s="106"/>
      <c r="W1" s="29" t="s">
        <v>58</v>
      </c>
      <c r="X1" s="29"/>
      <c r="Y1" s="29"/>
      <c r="Z1" s="30"/>
      <c r="AA1" s="30"/>
      <c r="AB1" s="109" t="s">
        <v>59</v>
      </c>
      <c r="AC1" s="109"/>
      <c r="AD1" s="99" t="s">
        <v>60</v>
      </c>
      <c r="AE1" s="99"/>
      <c r="AF1" s="29" t="s">
        <v>61</v>
      </c>
      <c r="AG1" s="99" t="s">
        <v>56</v>
      </c>
      <c r="AH1" s="103" t="s">
        <v>62</v>
      </c>
      <c r="AI1" s="104"/>
      <c r="AJ1" s="103" t="s">
        <v>63</v>
      </c>
      <c r="AK1" s="104"/>
      <c r="AL1" s="105" t="s">
        <v>64</v>
      </c>
      <c r="AM1" s="106"/>
      <c r="AN1" s="105" t="s">
        <v>65</v>
      </c>
      <c r="AO1" s="106"/>
      <c r="AP1" s="105" t="s">
        <v>66</v>
      </c>
      <c r="AQ1" s="106"/>
      <c r="AR1" s="105" t="s">
        <v>67</v>
      </c>
      <c r="AS1" s="106"/>
      <c r="AT1" s="105" t="s">
        <v>68</v>
      </c>
      <c r="AU1" s="106"/>
      <c r="AV1" s="105" t="s">
        <v>69</v>
      </c>
      <c r="AW1" s="106"/>
      <c r="AX1" s="105" t="s">
        <v>70</v>
      </c>
      <c r="AY1" s="106"/>
      <c r="AZ1" s="105" t="s">
        <v>71</v>
      </c>
      <c r="BA1" s="106"/>
      <c r="BB1" s="31"/>
      <c r="BC1" s="31"/>
      <c r="BD1" s="31"/>
      <c r="BE1" s="31"/>
      <c r="BF1" s="31"/>
      <c r="BG1" s="31"/>
      <c r="BH1" s="99"/>
      <c r="BI1" s="99"/>
      <c r="BJ1" s="99"/>
      <c r="BK1" s="99"/>
      <c r="BL1" s="103" t="s">
        <v>72</v>
      </c>
      <c r="BM1" s="104"/>
      <c r="BN1" s="103" t="s">
        <v>73</v>
      </c>
      <c r="BO1" s="104"/>
      <c r="BP1" s="105" t="s">
        <v>74</v>
      </c>
      <c r="BQ1" s="106"/>
      <c r="BR1" s="103" t="s">
        <v>75</v>
      </c>
      <c r="BS1" s="104"/>
      <c r="BT1" s="30"/>
      <c r="BU1" s="30"/>
      <c r="BV1" s="30"/>
      <c r="BW1" s="32" t="s">
        <v>76</v>
      </c>
      <c r="BX1" s="33"/>
      <c r="BY1" s="33"/>
      <c r="BZ1" s="33"/>
      <c r="CA1" s="34" t="s">
        <v>77</v>
      </c>
      <c r="CB1" s="35"/>
      <c r="CV1" s="100" t="s">
        <v>78</v>
      </c>
      <c r="CW1" s="101"/>
      <c r="CX1" s="102"/>
      <c r="CY1" s="105" t="s">
        <v>64</v>
      </c>
      <c r="CZ1" s="107"/>
      <c r="DA1" s="106"/>
      <c r="DB1" s="100" t="s">
        <v>65</v>
      </c>
      <c r="DC1" s="101"/>
      <c r="DD1" s="102"/>
      <c r="DE1" s="100" t="s">
        <v>66</v>
      </c>
      <c r="DF1" s="101"/>
      <c r="DG1" s="102"/>
      <c r="DH1" s="100" t="s">
        <v>67</v>
      </c>
      <c r="DI1" s="101"/>
      <c r="DJ1" s="102"/>
      <c r="DK1" s="100" t="s">
        <v>68</v>
      </c>
      <c r="DL1" s="101"/>
      <c r="DM1" s="102"/>
      <c r="DN1" s="100" t="s">
        <v>69</v>
      </c>
      <c r="DO1" s="101"/>
      <c r="DP1" s="102"/>
      <c r="DQ1" s="100" t="s">
        <v>70</v>
      </c>
      <c r="DR1" s="101"/>
      <c r="DS1" s="102"/>
      <c r="DT1" s="100" t="s">
        <v>71</v>
      </c>
      <c r="DU1" s="101"/>
      <c r="DV1" s="102"/>
      <c r="DW1" s="36"/>
      <c r="DX1" s="36"/>
      <c r="DY1" s="36"/>
      <c r="DZ1" s="36"/>
      <c r="EH1" s="110" t="s">
        <v>79</v>
      </c>
      <c r="EI1" s="110"/>
      <c r="EJ1" s="110"/>
    </row>
    <row r="2" spans="1:146" customFormat="1" ht="39" thickBot="1" x14ac:dyDescent="0.25">
      <c r="A2" s="37" t="s">
        <v>80</v>
      </c>
      <c r="B2" s="38" t="s">
        <v>81</v>
      </c>
      <c r="C2" s="39" t="s">
        <v>56</v>
      </c>
      <c r="D2" s="40" t="s">
        <v>82</v>
      </c>
      <c r="E2" s="41" t="s">
        <v>56</v>
      </c>
      <c r="F2" s="40" t="s">
        <v>83</v>
      </c>
      <c r="G2" s="42" t="s">
        <v>84</v>
      </c>
      <c r="H2" s="43" t="s">
        <v>85</v>
      </c>
      <c r="K2" s="44"/>
      <c r="L2" s="40"/>
      <c r="M2" s="45"/>
      <c r="N2" s="40"/>
      <c r="O2" s="40"/>
      <c r="P2" s="40"/>
      <c r="Q2" s="40"/>
      <c r="R2" s="40"/>
      <c r="S2" s="46"/>
      <c r="T2" s="47"/>
      <c r="U2" s="40" t="s">
        <v>86</v>
      </c>
      <c r="V2" s="48" t="s">
        <v>56</v>
      </c>
      <c r="W2" s="49"/>
      <c r="X2" s="49" t="s">
        <v>87</v>
      </c>
      <c r="Y2" s="49" t="s">
        <v>88</v>
      </c>
      <c r="Z2" s="50" t="s">
        <v>89</v>
      </c>
      <c r="AA2" s="50"/>
      <c r="AB2" s="49" t="s">
        <v>90</v>
      </c>
      <c r="AC2" s="49" t="s">
        <v>56</v>
      </c>
      <c r="AD2" s="49"/>
      <c r="AE2" s="49" t="s">
        <v>56</v>
      </c>
      <c r="AF2" s="49"/>
      <c r="AG2" s="49"/>
      <c r="AH2" s="40" t="s">
        <v>91</v>
      </c>
      <c r="AI2" s="40" t="s">
        <v>92</v>
      </c>
      <c r="AJ2" s="40"/>
      <c r="AK2" s="40"/>
      <c r="AL2" s="40" t="s">
        <v>93</v>
      </c>
      <c r="AM2" s="40" t="s">
        <v>88</v>
      </c>
      <c r="AN2" s="40" t="s">
        <v>65</v>
      </c>
      <c r="AO2" s="40" t="s">
        <v>88</v>
      </c>
      <c r="AP2" s="40" t="s">
        <v>66</v>
      </c>
      <c r="AQ2" s="40" t="s">
        <v>88</v>
      </c>
      <c r="AR2" s="40" t="s">
        <v>67</v>
      </c>
      <c r="AS2" s="40" t="s">
        <v>92</v>
      </c>
      <c r="AT2" s="40" t="s">
        <v>68</v>
      </c>
      <c r="AU2" s="40" t="s">
        <v>92</v>
      </c>
      <c r="AV2" s="40" t="s">
        <v>69</v>
      </c>
      <c r="AW2" s="40" t="s">
        <v>92</v>
      </c>
      <c r="AX2" s="40" t="s">
        <v>70</v>
      </c>
      <c r="AY2" s="40" t="s">
        <v>88</v>
      </c>
      <c r="AZ2" s="40" t="s">
        <v>71</v>
      </c>
      <c r="BA2" s="40" t="s">
        <v>88</v>
      </c>
      <c r="BB2" s="40" t="s">
        <v>94</v>
      </c>
      <c r="BC2" s="40" t="s">
        <v>88</v>
      </c>
      <c r="BD2" s="40" t="s">
        <v>95</v>
      </c>
      <c r="BE2" s="40" t="s">
        <v>88</v>
      </c>
      <c r="BF2" s="40" t="s">
        <v>96</v>
      </c>
      <c r="BG2" s="40" t="s">
        <v>88</v>
      </c>
      <c r="BH2" s="49" t="s">
        <v>97</v>
      </c>
      <c r="BI2" s="49" t="s">
        <v>92</v>
      </c>
      <c r="BJ2" s="49" t="s">
        <v>98</v>
      </c>
      <c r="BK2" s="49" t="s">
        <v>99</v>
      </c>
      <c r="BL2" s="40" t="s">
        <v>100</v>
      </c>
      <c r="BM2" s="40" t="s">
        <v>92</v>
      </c>
      <c r="BN2" s="40"/>
      <c r="BO2" s="40"/>
      <c r="BP2" s="40" t="s">
        <v>101</v>
      </c>
      <c r="BQ2" s="40" t="s">
        <v>92</v>
      </c>
      <c r="BR2" s="40"/>
      <c r="BS2" s="40"/>
      <c r="BT2" s="49" t="s">
        <v>101</v>
      </c>
      <c r="BU2" s="50" t="s">
        <v>102</v>
      </c>
      <c r="BV2" s="50" t="s">
        <v>103</v>
      </c>
      <c r="BW2" s="51" t="s">
        <v>104</v>
      </c>
      <c r="BX2" s="52" t="s">
        <v>105</v>
      </c>
      <c r="BY2" s="52" t="s">
        <v>106</v>
      </c>
      <c r="BZ2" s="52" t="s">
        <v>56</v>
      </c>
      <c r="CA2" s="40" t="s">
        <v>107</v>
      </c>
      <c r="CB2" s="40" t="s">
        <v>92</v>
      </c>
      <c r="CC2" s="49" t="s">
        <v>108</v>
      </c>
      <c r="CD2" s="49" t="s">
        <v>109</v>
      </c>
      <c r="CE2" s="49" t="s">
        <v>105</v>
      </c>
      <c r="CF2" s="49" t="s">
        <v>110</v>
      </c>
      <c r="CG2" s="53" t="s">
        <v>105</v>
      </c>
      <c r="CH2" s="49" t="s">
        <v>111</v>
      </c>
      <c r="CI2" s="49" t="s">
        <v>105</v>
      </c>
      <c r="CJ2" s="49" t="s">
        <v>112</v>
      </c>
      <c r="CK2" s="54" t="s">
        <v>92</v>
      </c>
      <c r="CL2" s="54" t="s">
        <v>113</v>
      </c>
      <c r="CM2" s="54" t="s">
        <v>114</v>
      </c>
      <c r="CN2" s="54" t="s">
        <v>115</v>
      </c>
      <c r="CO2" s="54" t="s">
        <v>116</v>
      </c>
      <c r="CP2" s="54" t="s">
        <v>117</v>
      </c>
      <c r="CQ2" s="54" t="s">
        <v>115</v>
      </c>
      <c r="CR2" s="54" t="s">
        <v>116</v>
      </c>
      <c r="CS2" s="54" t="s">
        <v>118</v>
      </c>
      <c r="CT2" s="54" t="s">
        <v>115</v>
      </c>
      <c r="CU2" s="54" t="s">
        <v>116</v>
      </c>
      <c r="CV2" s="40"/>
      <c r="CW2" s="54" t="s">
        <v>115</v>
      </c>
      <c r="CX2" s="54" t="s">
        <v>116</v>
      </c>
      <c r="CY2" s="40"/>
      <c r="CZ2" s="54" t="s">
        <v>115</v>
      </c>
      <c r="DA2" s="54" t="s">
        <v>116</v>
      </c>
      <c r="DB2" s="40"/>
      <c r="DC2" s="54" t="s">
        <v>115</v>
      </c>
      <c r="DD2" s="54" t="s">
        <v>116</v>
      </c>
      <c r="DE2" s="40"/>
      <c r="DF2" s="54" t="s">
        <v>115</v>
      </c>
      <c r="DG2" s="54" t="s">
        <v>116</v>
      </c>
      <c r="DH2" s="40"/>
      <c r="DI2" s="54" t="s">
        <v>115</v>
      </c>
      <c r="DJ2" s="54" t="s">
        <v>116</v>
      </c>
      <c r="DK2" s="40"/>
      <c r="DL2" s="54" t="s">
        <v>115</v>
      </c>
      <c r="DM2" s="54" t="s">
        <v>116</v>
      </c>
      <c r="DN2" s="40"/>
      <c r="DO2" s="54" t="s">
        <v>115</v>
      </c>
      <c r="DP2" s="54" t="s">
        <v>116</v>
      </c>
      <c r="DQ2" s="40"/>
      <c r="DR2" s="54" t="s">
        <v>115</v>
      </c>
      <c r="DS2" s="54" t="s">
        <v>116</v>
      </c>
      <c r="DT2" s="40"/>
      <c r="DU2" s="54" t="s">
        <v>115</v>
      </c>
      <c r="DV2" s="54" t="s">
        <v>116</v>
      </c>
      <c r="DW2" s="55">
        <v>145</v>
      </c>
      <c r="DX2" s="22" t="s">
        <v>56</v>
      </c>
      <c r="DY2" s="55">
        <v>146</v>
      </c>
      <c r="DZ2" s="56" t="s">
        <v>56</v>
      </c>
      <c r="EA2" s="56" t="s">
        <v>119</v>
      </c>
      <c r="EB2" s="56" t="s">
        <v>56</v>
      </c>
      <c r="EC2" s="56" t="s">
        <v>120</v>
      </c>
      <c r="ED2" s="56" t="s">
        <v>56</v>
      </c>
      <c r="EE2" s="9" t="s">
        <v>121</v>
      </c>
      <c r="EF2" s="9" t="s">
        <v>122</v>
      </c>
      <c r="EG2" s="57" t="s">
        <v>123</v>
      </c>
      <c r="EH2" s="56" t="s">
        <v>124</v>
      </c>
      <c r="EI2" s="56" t="s">
        <v>125</v>
      </c>
      <c r="EJ2" s="22" t="s">
        <v>126</v>
      </c>
    </row>
    <row r="3" spans="1:146" customFormat="1" ht="15.75" thickBot="1" x14ac:dyDescent="0.25">
      <c r="A3" s="58">
        <v>44469</v>
      </c>
      <c r="B3" s="65">
        <v>7820766</v>
      </c>
      <c r="C3" s="60">
        <v>7159</v>
      </c>
      <c r="D3" s="65">
        <v>6992787</v>
      </c>
      <c r="E3" s="60">
        <v>6590</v>
      </c>
      <c r="F3" s="111">
        <v>0.92051962564603995</v>
      </c>
      <c r="G3" s="61">
        <v>436</v>
      </c>
      <c r="H3" s="61">
        <v>552</v>
      </c>
      <c r="I3" s="62">
        <v>289262</v>
      </c>
      <c r="J3" s="63">
        <v>0</v>
      </c>
      <c r="K3" s="64">
        <v>794</v>
      </c>
      <c r="L3" s="60">
        <v>0</v>
      </c>
      <c r="M3" s="59">
        <v>636988</v>
      </c>
      <c r="N3" s="60">
        <v>0</v>
      </c>
      <c r="O3" s="65">
        <v>1015</v>
      </c>
      <c r="P3" s="63">
        <v>0</v>
      </c>
      <c r="Q3" s="59">
        <v>2570192</v>
      </c>
      <c r="R3" s="63">
        <v>202</v>
      </c>
      <c r="S3" s="59">
        <v>2197164</v>
      </c>
      <c r="T3" s="63">
        <v>0</v>
      </c>
      <c r="U3" s="59">
        <v>123761</v>
      </c>
      <c r="V3" s="63"/>
      <c r="W3" s="112"/>
      <c r="X3" s="113">
        <f>3/9</f>
        <v>0.33333333333333331</v>
      </c>
      <c r="Y3" s="67">
        <f t="shared" ref="Y3:Y8" si="0">X3*400</f>
        <v>133.33333333333331</v>
      </c>
      <c r="Z3" s="64">
        <v>0</v>
      </c>
      <c r="AA3" s="65">
        <v>153389</v>
      </c>
      <c r="AB3" s="63">
        <v>0</v>
      </c>
      <c r="AC3" s="65">
        <v>41607</v>
      </c>
      <c r="AD3" s="68">
        <v>14</v>
      </c>
      <c r="AE3" s="65">
        <v>1149</v>
      </c>
      <c r="AF3" s="69">
        <v>0</v>
      </c>
      <c r="AG3" s="65">
        <v>4647</v>
      </c>
      <c r="AH3" s="70">
        <v>0</v>
      </c>
      <c r="AI3" s="20"/>
      <c r="AJ3" s="20"/>
      <c r="AK3" s="59">
        <v>588130</v>
      </c>
      <c r="AL3" s="63"/>
      <c r="AM3" s="114">
        <v>1278</v>
      </c>
      <c r="AN3" s="60">
        <v>1</v>
      </c>
      <c r="AO3" s="59">
        <v>52752</v>
      </c>
      <c r="AP3" s="74">
        <v>2</v>
      </c>
      <c r="AQ3" s="59">
        <v>8953</v>
      </c>
      <c r="AR3" s="60">
        <v>0</v>
      </c>
      <c r="AS3" s="59">
        <v>10608</v>
      </c>
      <c r="AT3" s="60">
        <v>0</v>
      </c>
      <c r="AU3" s="59">
        <v>14750</v>
      </c>
      <c r="AV3" s="63">
        <v>0</v>
      </c>
      <c r="AW3" s="59">
        <v>19377</v>
      </c>
      <c r="AX3" s="74">
        <v>0</v>
      </c>
      <c r="AY3" s="59">
        <v>20692</v>
      </c>
      <c r="AZ3" s="68">
        <v>0</v>
      </c>
      <c r="BA3" s="65">
        <v>13892</v>
      </c>
      <c r="BB3" s="60"/>
      <c r="BC3" s="59">
        <v>6249</v>
      </c>
      <c r="BD3" s="60"/>
      <c r="BE3" s="59">
        <v>26724</v>
      </c>
      <c r="BF3" s="70">
        <v>0</v>
      </c>
      <c r="BG3" s="61">
        <v>11098</v>
      </c>
      <c r="BH3" s="70"/>
      <c r="BI3">
        <v>4378</v>
      </c>
      <c r="BJ3" s="70"/>
      <c r="BK3" s="59">
        <v>3636</v>
      </c>
      <c r="BL3" s="60"/>
      <c r="BM3" s="68"/>
      <c r="BN3" s="68"/>
      <c r="BO3" s="65">
        <v>608120</v>
      </c>
      <c r="BP3" s="68"/>
      <c r="BQ3" s="79">
        <v>946</v>
      </c>
      <c r="BR3" s="78">
        <v>0</v>
      </c>
      <c r="BS3" s="65">
        <v>790510</v>
      </c>
      <c r="BT3" s="68">
        <v>50</v>
      </c>
      <c r="BU3" s="79">
        <v>9178</v>
      </c>
      <c r="BV3" s="68">
        <v>18</v>
      </c>
      <c r="BW3" s="78">
        <v>20</v>
      </c>
      <c r="BX3" s="68">
        <v>150</v>
      </c>
      <c r="BY3" s="80">
        <v>2</v>
      </c>
      <c r="BZ3" s="59"/>
      <c r="CA3" s="81">
        <v>15128.057958131996</v>
      </c>
      <c r="CB3" s="115"/>
      <c r="CC3" s="82">
        <v>0</v>
      </c>
      <c r="CD3" s="116">
        <v>209754</v>
      </c>
      <c r="CE3" s="68">
        <v>38</v>
      </c>
      <c r="CF3" s="78">
        <v>216.98</v>
      </c>
      <c r="CG3" s="116">
        <v>32</v>
      </c>
      <c r="CH3" s="85"/>
      <c r="CI3" s="116">
        <v>35</v>
      </c>
      <c r="CJ3" s="86"/>
      <c r="CK3" s="116">
        <v>34</v>
      </c>
      <c r="CL3" s="87">
        <v>4525.5</v>
      </c>
      <c r="CM3" s="88">
        <v>13037.75</v>
      </c>
      <c r="CN3" s="89">
        <v>215.5</v>
      </c>
      <c r="CO3" s="117"/>
      <c r="CP3" s="59">
        <v>35156</v>
      </c>
      <c r="CQ3" s="68">
        <v>4</v>
      </c>
      <c r="CR3" s="78">
        <v>9.76</v>
      </c>
      <c r="CS3" s="59">
        <v>34336</v>
      </c>
      <c r="CT3" s="68">
        <v>0</v>
      </c>
      <c r="CU3" s="78">
        <v>0</v>
      </c>
      <c r="CV3" s="65">
        <v>10207</v>
      </c>
      <c r="CW3" s="68">
        <v>0</v>
      </c>
      <c r="CX3" s="78">
        <v>0</v>
      </c>
      <c r="CY3" s="65">
        <v>832967</v>
      </c>
      <c r="CZ3" s="68">
        <v>0</v>
      </c>
      <c r="DA3" s="78">
        <v>0</v>
      </c>
      <c r="DB3" s="59">
        <v>6363</v>
      </c>
      <c r="DC3" s="68">
        <v>3</v>
      </c>
      <c r="DD3" s="78">
        <v>7.17</v>
      </c>
      <c r="DE3" s="59">
        <v>7692</v>
      </c>
      <c r="DF3" s="68">
        <v>0</v>
      </c>
      <c r="DG3" s="68">
        <v>0</v>
      </c>
      <c r="DH3" s="65">
        <v>4526</v>
      </c>
      <c r="DI3" s="68">
        <v>5</v>
      </c>
      <c r="DJ3" s="68">
        <v>0</v>
      </c>
      <c r="DK3" s="59">
        <v>1875</v>
      </c>
      <c r="DL3" s="68">
        <v>0</v>
      </c>
      <c r="DM3" s="68">
        <v>0</v>
      </c>
      <c r="DN3" s="59">
        <v>5087</v>
      </c>
      <c r="DO3" s="68">
        <v>0</v>
      </c>
      <c r="DP3" s="68">
        <v>0</v>
      </c>
      <c r="DQ3" s="59">
        <v>4608</v>
      </c>
      <c r="DR3" s="68">
        <v>0</v>
      </c>
      <c r="DS3" s="68">
        <v>0</v>
      </c>
      <c r="DT3" s="59">
        <v>5393</v>
      </c>
      <c r="DU3" s="68">
        <v>7.1999999999998181</v>
      </c>
      <c r="DV3" s="68">
        <v>3.8999999999996362</v>
      </c>
      <c r="DW3" s="65">
        <v>5430</v>
      </c>
      <c r="DX3" s="68">
        <v>8</v>
      </c>
      <c r="DY3" s="78">
        <v>19.12</v>
      </c>
      <c r="DZ3" s="115"/>
      <c r="EA3" s="78">
        <v>0</v>
      </c>
      <c r="EB3" s="115"/>
      <c r="EC3" s="118">
        <v>0</v>
      </c>
      <c r="ED3" s="59"/>
      <c r="EE3" s="78">
        <v>0</v>
      </c>
      <c r="EF3" s="59"/>
      <c r="EG3" s="118">
        <v>0</v>
      </c>
      <c r="EH3" s="59"/>
      <c r="EI3" s="59"/>
      <c r="EJ3" s="91"/>
      <c r="EK3" s="59"/>
      <c r="EL3" s="59"/>
      <c r="EM3" s="59"/>
      <c r="EN3" s="96">
        <v>13.2</v>
      </c>
      <c r="EO3" s="96">
        <v>12.8</v>
      </c>
      <c r="EP3" s="96">
        <v>13.1</v>
      </c>
    </row>
    <row r="4" spans="1:146" ht="15.75" thickBot="1" x14ac:dyDescent="0.25">
      <c r="A4" s="58">
        <v>44470</v>
      </c>
      <c r="B4" s="66">
        <v>7831904</v>
      </c>
      <c r="C4" s="60">
        <f t="shared" ref="C4:C34" si="1">IF((B4-B3)&lt;0,"0",(B4-B3))</f>
        <v>11138</v>
      </c>
      <c r="D4" s="61">
        <v>7003788</v>
      </c>
      <c r="E4" s="60">
        <f t="shared" ref="E4:E34" si="2">IF((D4-D3)&lt;0,"0",(D4-D3))</f>
        <v>11001</v>
      </c>
      <c r="F4" s="111">
        <f t="shared" ref="F4:F34" si="3">E4/C4</f>
        <v>0.98769976656491287</v>
      </c>
      <c r="G4" s="61">
        <v>576</v>
      </c>
      <c r="H4" s="61">
        <v>552</v>
      </c>
      <c r="I4" s="62">
        <v>289262</v>
      </c>
      <c r="J4" s="63">
        <f t="shared" ref="J4:N34" si="4">IF((I4-I3)&lt;0,"0",(I4-I3))</f>
        <v>0</v>
      </c>
      <c r="K4" s="64">
        <v>794</v>
      </c>
      <c r="L4" s="63">
        <f t="shared" ref="L4:L6" si="5">IF((K4-K3)&lt;0,"0",(K4-K3))</f>
        <v>0</v>
      </c>
      <c r="M4" s="65">
        <v>636988</v>
      </c>
      <c r="N4" s="63">
        <f t="shared" ref="N4:N23" si="6">IF((M4-M3)&lt;0,"0",(M4-M3))</f>
        <v>0</v>
      </c>
      <c r="O4" s="65">
        <v>1015</v>
      </c>
      <c r="P4" s="63">
        <f t="shared" ref="P4:R34" si="7">IF((O4-O3)&lt;0,"0",(O4-O3))</f>
        <v>0</v>
      </c>
      <c r="Q4" s="65">
        <v>2570959</v>
      </c>
      <c r="R4" s="63">
        <f t="shared" si="7"/>
        <v>767</v>
      </c>
      <c r="S4" s="65">
        <v>2197446</v>
      </c>
      <c r="T4" s="63">
        <f t="shared" ref="T4:V19" si="8">(S4-S3)</f>
        <v>282</v>
      </c>
      <c r="U4" s="61">
        <v>123761</v>
      </c>
      <c r="V4" s="63">
        <f t="shared" si="8"/>
        <v>0</v>
      </c>
      <c r="W4" s="112"/>
      <c r="X4" s="113">
        <f>2.5/9</f>
        <v>0.27777777777777779</v>
      </c>
      <c r="Y4" s="67">
        <f t="shared" si="0"/>
        <v>111.11111111111111</v>
      </c>
      <c r="Z4" s="64">
        <f>3+5</f>
        <v>8</v>
      </c>
      <c r="AA4" s="65">
        <v>153389</v>
      </c>
      <c r="AB4" s="60">
        <f t="shared" ref="AB4:AB34" si="9">(AA4-AA3)</f>
        <v>0</v>
      </c>
      <c r="AC4" s="65">
        <v>41641</v>
      </c>
      <c r="AD4" s="68">
        <f t="shared" ref="AD4:AF19" si="10">IF((AC4-AC3)&lt;0,"0",(AC4-AC3))</f>
        <v>34</v>
      </c>
      <c r="AE4" s="71">
        <v>1149</v>
      </c>
      <c r="AF4" s="69">
        <v>0</v>
      </c>
      <c r="AG4" s="64">
        <v>4647</v>
      </c>
      <c r="AH4" s="70">
        <f>(AG4-AG3)</f>
        <v>0</v>
      </c>
      <c r="AI4" s="22"/>
      <c r="AJ4" s="22"/>
      <c r="AK4" s="65">
        <v>588260</v>
      </c>
      <c r="AL4" s="63">
        <f t="shared" ref="AL4:AL34" si="11">IF((AK4-AK3)&lt;0,"0",(AK4-AK3))</f>
        <v>130</v>
      </c>
      <c r="AM4" s="75">
        <v>1280</v>
      </c>
      <c r="AN4" s="60">
        <f t="shared" ref="AN4:AN34" si="12">(AM4-AM3)</f>
        <v>2</v>
      </c>
      <c r="AO4" s="73">
        <v>52763</v>
      </c>
      <c r="AP4" s="74">
        <f t="shared" ref="AP4:AP19" si="13">(AO4-AO3)</f>
        <v>11</v>
      </c>
      <c r="AQ4" s="64">
        <v>8953</v>
      </c>
      <c r="AR4" s="60">
        <f t="shared" ref="AR4:AX19" si="14">(AQ4-AQ3)</f>
        <v>0</v>
      </c>
      <c r="AS4" s="65">
        <v>10609</v>
      </c>
      <c r="AT4" s="60">
        <f t="shared" si="14"/>
        <v>1</v>
      </c>
      <c r="AU4" s="65">
        <v>14758</v>
      </c>
      <c r="AV4" s="60">
        <f t="shared" si="14"/>
        <v>8</v>
      </c>
      <c r="AW4" s="65">
        <v>19382</v>
      </c>
      <c r="AX4" s="60">
        <f t="shared" si="14"/>
        <v>5</v>
      </c>
      <c r="AY4" s="59">
        <v>20692</v>
      </c>
      <c r="AZ4" s="68">
        <f t="shared" ref="AZ4:AZ34" si="15">IF((AY4-AY3)&lt;0,"0",(AY4-AY3))</f>
        <v>0</v>
      </c>
      <c r="BA4" s="65">
        <v>13892</v>
      </c>
      <c r="BB4" s="60">
        <f t="shared" ref="BB4:BB34" si="16">(BA4-BA3)</f>
        <v>0</v>
      </c>
      <c r="BC4" s="59">
        <v>6250</v>
      </c>
      <c r="BD4" s="60">
        <f t="shared" ref="BD4:BD34" si="17">(BC4-BC3)</f>
        <v>1</v>
      </c>
      <c r="BE4" s="65">
        <v>26727</v>
      </c>
      <c r="BF4" s="60">
        <f t="shared" ref="BF4:BF34" si="18">(BE4-BE3)</f>
        <v>3</v>
      </c>
      <c r="BG4" s="65">
        <v>11179</v>
      </c>
      <c r="BH4" s="60">
        <f t="shared" ref="BH4:BH34" si="19">(BG4-BG3)</f>
        <v>81</v>
      </c>
      <c r="BI4">
        <v>4380</v>
      </c>
      <c r="BJ4" s="60">
        <f t="shared" ref="BJ4:BJ34" si="20">(BI4-BI3)</f>
        <v>2</v>
      </c>
      <c r="BK4" s="65">
        <v>3636</v>
      </c>
      <c r="BL4" s="60">
        <v>0</v>
      </c>
      <c r="BM4" s="68">
        <f t="shared" ref="BM4:BM34" si="21">BB4+AZ4+AV4</f>
        <v>8</v>
      </c>
      <c r="BN4" s="68">
        <f t="shared" ref="BN4:BN34" si="22">AL4-BM4</f>
        <v>122</v>
      </c>
      <c r="BO4" s="65">
        <v>608320</v>
      </c>
      <c r="BP4" s="68">
        <f t="shared" ref="BP4:BP12" si="23">IF((BO4-BO3)&lt;0,"0",(BO4-BO3))</f>
        <v>200</v>
      </c>
      <c r="BQ4" s="79">
        <v>948</v>
      </c>
      <c r="BR4" s="60">
        <f t="shared" ref="BR4:BR34" si="24">(BQ4-BQ3)</f>
        <v>2</v>
      </c>
      <c r="BS4" s="65">
        <v>790710</v>
      </c>
      <c r="BT4" s="68">
        <f t="shared" ref="BT4:BT34" si="25">IF((BS4-BS3)&lt;0,"0",(BS4-BS3))</f>
        <v>200</v>
      </c>
      <c r="BU4" s="79">
        <v>9197</v>
      </c>
      <c r="BV4" s="68">
        <f t="shared" ref="BV4:BV34" si="26">IF((BU4-BU3)&lt;0,"0",(BU4-BU3))</f>
        <v>19</v>
      </c>
      <c r="BW4" s="78">
        <f t="shared" ref="BW4:BW9" si="27">BT4-AL4</f>
        <v>70</v>
      </c>
      <c r="BX4" s="68">
        <f t="shared" ref="BX4:BX34" si="28">SUM(BP4, BT4)</f>
        <v>400</v>
      </c>
      <c r="BY4" s="80">
        <f xml:space="preserve"> SUM(AP4,AR4,AT4,AV4,AX4,AZ4,BB4,BD4,BH4)</f>
        <v>107</v>
      </c>
      <c r="BZ4" s="59">
        <v>109</v>
      </c>
      <c r="CA4" s="81">
        <f t="shared" ref="CA4:CA34" si="29">(IF(BZ4&lt;=116.4,((116.4*116.4*ACOS((116.4-BZ4)/116.4))-((116.4-BZ4)*SQRT(2*116.4*BZ4-BZ4*BZ4)))*669.8,((3.1416*116.4*116.4)-((116.4*116.4*ACOS((116.4-(2*116.4-BZ4))/116.4))-((116.4-(2*116.4-BZ4))*SQRT(2*116.4*(2*116.4-BZ4)-((2*116.4-BZ4)*(2*116.4-BZ4))))))*669.8))/1000</f>
        <v>13102.02326604979</v>
      </c>
      <c r="CB4" s="83"/>
      <c r="CC4" s="82">
        <f t="shared" ref="CC4:CC33" si="30">(CB4-CB3)</f>
        <v>0</v>
      </c>
      <c r="CD4" s="62">
        <v>209889</v>
      </c>
      <c r="CE4" s="68">
        <f t="shared" ref="CE4:CE34" si="31">IF((CD4-CD3)&lt;0,"0",(CD4-CD3))</f>
        <v>135</v>
      </c>
      <c r="CF4" s="78">
        <f t="shared" ref="CF4:CF34" si="32">CE4*5.71</f>
        <v>770.85</v>
      </c>
      <c r="CG4" s="71">
        <v>30</v>
      </c>
      <c r="CH4" s="85">
        <f t="shared" ref="CH4:CH34" si="33">(CG4*10775)/100</f>
        <v>3232.5</v>
      </c>
      <c r="CI4" s="62">
        <v>33</v>
      </c>
      <c r="CJ4" s="86">
        <f t="shared" ref="CJ4:CJ34" si="34">(CI4*10775)/100</f>
        <v>3555.75</v>
      </c>
      <c r="CK4" s="71">
        <v>30</v>
      </c>
      <c r="CL4" s="87">
        <f t="shared" ref="CL4:CL34" si="35">(CK4*10775)/100</f>
        <v>3232.5</v>
      </c>
      <c r="CM4" s="88">
        <f t="shared" ref="CM4:CM34" si="36">CH4+CJ4+CL4</f>
        <v>10020.75</v>
      </c>
      <c r="CN4" s="89">
        <f t="shared" ref="CN4:CN34" si="37">IF((CM3-CM4+CO3)=CM3,"0",(CM3-CM4+CO3))</f>
        <v>3017</v>
      </c>
      <c r="CO4" s="65"/>
      <c r="CP4" s="65">
        <v>35176</v>
      </c>
      <c r="CQ4" s="68">
        <f t="shared" ref="CQ4:CQ34" si="38">IF((CP4-CP3)&lt;0,"0",(CP4-CP3))</f>
        <v>20</v>
      </c>
      <c r="CR4" s="78">
        <f t="shared" ref="CR4:CR34" si="39">CQ4*2.44</f>
        <v>48.8</v>
      </c>
      <c r="CS4" s="59">
        <v>34343</v>
      </c>
      <c r="CT4" s="68">
        <f t="shared" ref="CT4:CT34" si="40">IF((CS4-CS3)&lt;0,"0",(CS4-CS3))</f>
        <v>7</v>
      </c>
      <c r="CU4" s="78">
        <f t="shared" ref="CU4:CU34" si="41">CT4*2.44</f>
        <v>17.079999999999998</v>
      </c>
      <c r="CV4" s="65">
        <v>10237</v>
      </c>
      <c r="CW4" s="68">
        <v>30</v>
      </c>
      <c r="CX4" s="78">
        <f t="shared" ref="CX4:CX34" si="42">CW4*2.44</f>
        <v>73.2</v>
      </c>
      <c r="CY4" s="65">
        <v>833010</v>
      </c>
      <c r="CZ4" s="68">
        <f t="shared" ref="CZ4:CZ31" si="43">IF((CY4-CY3)&lt;0,"0",(CY4-CY3))</f>
        <v>43</v>
      </c>
      <c r="DA4" s="78">
        <f t="shared" ref="DA4:DA34" si="44">CZ4*2.44</f>
        <v>104.92</v>
      </c>
      <c r="DB4" s="64">
        <v>6370</v>
      </c>
      <c r="DC4" s="68">
        <f t="shared" ref="DC4:DC34" si="45">IF((DB4-DB3)&lt;0,"0",(DB4-DB3))</f>
        <v>7</v>
      </c>
      <c r="DD4" s="78">
        <f t="shared" ref="DD4:DD34" si="46">DC4*2.39</f>
        <v>16.73</v>
      </c>
      <c r="DE4" s="65">
        <v>7701</v>
      </c>
      <c r="DF4" s="68">
        <f t="shared" ref="DF4:DG19" si="47">IF((DE4-DE3)&lt;0,"0",(DE4-DE3))</f>
        <v>9</v>
      </c>
      <c r="DG4" s="68">
        <f t="shared" si="47"/>
        <v>9</v>
      </c>
      <c r="DH4" s="65">
        <v>4529</v>
      </c>
      <c r="DI4" s="68">
        <f t="shared" ref="DI4:DV19" si="48">IF((DH4-DH3)&lt;0,"0",(DH4-DH3))</f>
        <v>3</v>
      </c>
      <c r="DJ4" s="68" t="str">
        <f t="shared" si="48"/>
        <v>0</v>
      </c>
      <c r="DK4" s="65">
        <v>1876</v>
      </c>
      <c r="DL4" s="68">
        <f t="shared" si="48"/>
        <v>1</v>
      </c>
      <c r="DM4" s="68">
        <f t="shared" si="48"/>
        <v>1</v>
      </c>
      <c r="DN4" s="65">
        <v>5090</v>
      </c>
      <c r="DO4" s="68">
        <f t="shared" si="48"/>
        <v>3</v>
      </c>
      <c r="DP4" s="68">
        <f t="shared" si="48"/>
        <v>3</v>
      </c>
      <c r="DQ4" s="65">
        <v>4614</v>
      </c>
      <c r="DR4" s="68">
        <f t="shared" si="48"/>
        <v>6</v>
      </c>
      <c r="DS4" s="68">
        <f t="shared" si="48"/>
        <v>6</v>
      </c>
      <c r="DT4" s="65">
        <v>5401</v>
      </c>
      <c r="DU4" s="68">
        <f t="shared" si="48"/>
        <v>8</v>
      </c>
      <c r="DV4" s="68">
        <f t="shared" si="48"/>
        <v>0.8000000000001819</v>
      </c>
      <c r="DW4" s="65">
        <v>5434</v>
      </c>
      <c r="DX4" s="68">
        <f t="shared" ref="DX4:DX34" si="49">IF((DW4-DW3)&lt;0,"0",(DW4-DW3))</f>
        <v>4</v>
      </c>
      <c r="DY4" s="78">
        <f t="shared" ref="DY4:DY34" si="50">DX4*2.39</f>
        <v>9.56</v>
      </c>
      <c r="DZ4" s="83"/>
      <c r="EA4" s="78">
        <f>(DZ4-DZ3)</f>
        <v>0</v>
      </c>
      <c r="EB4" s="83"/>
      <c r="EC4" s="78">
        <f t="shared" ref="EC4:EE19" si="51">(EB4-EB3)</f>
        <v>0</v>
      </c>
      <c r="ED4" s="92"/>
      <c r="EE4" s="78">
        <f t="shared" si="51"/>
        <v>0</v>
      </c>
      <c r="EF4" s="59"/>
      <c r="EG4" s="78">
        <f t="shared" ref="EG4:EG31" si="52">(EF4-EF3)</f>
        <v>0</v>
      </c>
      <c r="EH4" s="92">
        <v>18</v>
      </c>
      <c r="EI4" s="93">
        <v>35</v>
      </c>
      <c r="EJ4" s="91">
        <v>0.14000000000000001</v>
      </c>
      <c r="EK4" s="119"/>
      <c r="EL4" s="120"/>
      <c r="EM4" s="121"/>
      <c r="EN4" s="122">
        <v>13</v>
      </c>
      <c r="EO4" s="122">
        <v>13.2</v>
      </c>
      <c r="EP4" s="122">
        <v>13.2</v>
      </c>
    </row>
    <row r="5" spans="1:146" ht="15.75" thickBot="1" x14ac:dyDescent="0.25">
      <c r="A5" s="58">
        <v>44471</v>
      </c>
      <c r="B5" s="61">
        <v>7844899</v>
      </c>
      <c r="C5" s="60">
        <f t="shared" si="1"/>
        <v>12995</v>
      </c>
      <c r="D5" s="61">
        <v>7016684</v>
      </c>
      <c r="E5" s="60">
        <f t="shared" si="2"/>
        <v>12896</v>
      </c>
      <c r="F5" s="111">
        <f t="shared" si="3"/>
        <v>0.99238168526356296</v>
      </c>
      <c r="G5" s="61">
        <v>650</v>
      </c>
      <c r="H5" s="61">
        <v>552</v>
      </c>
      <c r="I5" s="62">
        <v>289262</v>
      </c>
      <c r="J5" s="63">
        <f t="shared" si="4"/>
        <v>0</v>
      </c>
      <c r="K5" s="64">
        <v>794</v>
      </c>
      <c r="L5" s="63">
        <f t="shared" si="5"/>
        <v>0</v>
      </c>
      <c r="M5" s="65">
        <v>636988</v>
      </c>
      <c r="N5" s="63">
        <f t="shared" si="6"/>
        <v>0</v>
      </c>
      <c r="O5" s="65">
        <v>1015</v>
      </c>
      <c r="P5" s="63">
        <f t="shared" si="7"/>
        <v>0</v>
      </c>
      <c r="Q5" s="65">
        <v>2571788</v>
      </c>
      <c r="R5" s="63">
        <f t="shared" si="7"/>
        <v>829</v>
      </c>
      <c r="S5" s="65">
        <v>2197781</v>
      </c>
      <c r="T5" s="63">
        <f t="shared" si="8"/>
        <v>335</v>
      </c>
      <c r="U5" s="65">
        <v>124050</v>
      </c>
      <c r="V5" s="63">
        <f t="shared" si="8"/>
        <v>289</v>
      </c>
      <c r="W5" s="123"/>
      <c r="X5" s="113">
        <f>3/9</f>
        <v>0.33333333333333331</v>
      </c>
      <c r="Y5" s="67">
        <f t="shared" si="0"/>
        <v>133.33333333333331</v>
      </c>
      <c r="Z5" s="64">
        <f>5+13</f>
        <v>18</v>
      </c>
      <c r="AA5" s="65">
        <v>153389</v>
      </c>
      <c r="AB5" s="60">
        <f t="shared" si="9"/>
        <v>0</v>
      </c>
      <c r="AC5" s="72">
        <v>41665</v>
      </c>
      <c r="AD5" s="68">
        <f t="shared" si="10"/>
        <v>24</v>
      </c>
      <c r="AE5" s="73">
        <v>1149</v>
      </c>
      <c r="AF5" s="69">
        <f t="shared" si="10"/>
        <v>0</v>
      </c>
      <c r="AG5" s="62">
        <v>4647</v>
      </c>
      <c r="AH5" s="70">
        <f>(AG5-AG4)</f>
        <v>0</v>
      </c>
      <c r="AI5" s="22"/>
      <c r="AJ5" s="22"/>
      <c r="AK5" s="61">
        <v>588480</v>
      </c>
      <c r="AL5" s="63">
        <f t="shared" si="11"/>
        <v>220</v>
      </c>
      <c r="AM5" s="75">
        <v>1280</v>
      </c>
      <c r="AN5" s="60">
        <f t="shared" si="12"/>
        <v>0</v>
      </c>
      <c r="AO5" s="71">
        <v>52775</v>
      </c>
      <c r="AP5" s="74">
        <f t="shared" si="13"/>
        <v>12</v>
      </c>
      <c r="AQ5" s="62">
        <v>8953</v>
      </c>
      <c r="AR5" s="60">
        <f t="shared" si="14"/>
        <v>0</v>
      </c>
      <c r="AS5" s="61">
        <v>10609</v>
      </c>
      <c r="AT5" s="60">
        <f t="shared" si="14"/>
        <v>0</v>
      </c>
      <c r="AU5" s="61">
        <v>14771</v>
      </c>
      <c r="AV5" s="60">
        <f t="shared" si="14"/>
        <v>13</v>
      </c>
      <c r="AW5" s="65">
        <v>19384</v>
      </c>
      <c r="AX5" s="60">
        <f t="shared" si="14"/>
        <v>2</v>
      </c>
      <c r="AY5" s="59">
        <v>20694</v>
      </c>
      <c r="AZ5" s="68">
        <f t="shared" si="15"/>
        <v>2</v>
      </c>
      <c r="BA5" s="65">
        <v>13893</v>
      </c>
      <c r="BB5" s="60">
        <f t="shared" si="16"/>
        <v>1</v>
      </c>
      <c r="BC5" s="59">
        <v>6251</v>
      </c>
      <c r="BD5" s="60">
        <f t="shared" si="17"/>
        <v>1</v>
      </c>
      <c r="BE5" s="61">
        <v>26731</v>
      </c>
      <c r="BF5" s="60">
        <f t="shared" si="18"/>
        <v>4</v>
      </c>
      <c r="BG5" s="61">
        <v>11260</v>
      </c>
      <c r="BH5" s="60">
        <f t="shared" si="19"/>
        <v>81</v>
      </c>
      <c r="BI5">
        <v>4382</v>
      </c>
      <c r="BJ5" s="60">
        <f t="shared" si="20"/>
        <v>2</v>
      </c>
      <c r="BK5" s="65">
        <v>3636</v>
      </c>
      <c r="BL5" s="60">
        <f t="shared" ref="BL5:BL34" si="53">(BK5-BK4)</f>
        <v>0</v>
      </c>
      <c r="BM5" s="68">
        <f t="shared" si="21"/>
        <v>16</v>
      </c>
      <c r="BN5" s="68">
        <f t="shared" si="22"/>
        <v>204</v>
      </c>
      <c r="BO5" s="61">
        <v>608480</v>
      </c>
      <c r="BP5" s="68">
        <f t="shared" si="23"/>
        <v>160</v>
      </c>
      <c r="BQ5" s="75">
        <v>952</v>
      </c>
      <c r="BR5" s="60">
        <f t="shared" si="24"/>
        <v>4</v>
      </c>
      <c r="BS5" s="65">
        <v>790950</v>
      </c>
      <c r="BT5" s="68">
        <f t="shared" si="25"/>
        <v>240</v>
      </c>
      <c r="BU5" s="75">
        <v>9222</v>
      </c>
      <c r="BV5" s="68">
        <f t="shared" si="26"/>
        <v>25</v>
      </c>
      <c r="BW5" s="78">
        <f t="shared" si="27"/>
        <v>20</v>
      </c>
      <c r="BX5" s="68">
        <f t="shared" si="28"/>
        <v>400</v>
      </c>
      <c r="BY5" s="80">
        <f t="shared" ref="BY5:BY34" si="54" xml:space="preserve"> SUM(AP5,AR5,AT5,AV5,AX5,AZ5,BB5,BD5,BH5)</f>
        <v>112</v>
      </c>
      <c r="BZ5" s="59">
        <v>109</v>
      </c>
      <c r="CA5" s="81">
        <f t="shared" si="29"/>
        <v>13102.02326604979</v>
      </c>
      <c r="CB5" s="84"/>
      <c r="CC5" s="82">
        <f t="shared" si="30"/>
        <v>0</v>
      </c>
      <c r="CD5" s="61">
        <v>210043</v>
      </c>
      <c r="CE5" s="68">
        <f t="shared" si="31"/>
        <v>154</v>
      </c>
      <c r="CF5" s="78">
        <f t="shared" si="32"/>
        <v>879.34</v>
      </c>
      <c r="CG5" s="71">
        <v>30</v>
      </c>
      <c r="CH5" s="85">
        <f t="shared" si="33"/>
        <v>3232.5</v>
      </c>
      <c r="CI5" s="62">
        <v>32</v>
      </c>
      <c r="CJ5" s="86">
        <f t="shared" si="34"/>
        <v>3448</v>
      </c>
      <c r="CK5" s="71">
        <v>29</v>
      </c>
      <c r="CL5" s="87">
        <f t="shared" si="35"/>
        <v>3124.75</v>
      </c>
      <c r="CM5" s="88">
        <f t="shared" si="36"/>
        <v>9805.25</v>
      </c>
      <c r="CN5" s="89">
        <f t="shared" si="37"/>
        <v>215.5</v>
      </c>
      <c r="CO5" s="65">
        <v>2210</v>
      </c>
      <c r="CP5" s="61">
        <v>35199</v>
      </c>
      <c r="CQ5" s="68">
        <f t="shared" si="38"/>
        <v>23</v>
      </c>
      <c r="CR5" s="78">
        <f t="shared" si="39"/>
        <v>56.12</v>
      </c>
      <c r="CS5" s="65">
        <v>34350</v>
      </c>
      <c r="CT5" s="68">
        <f t="shared" si="40"/>
        <v>7</v>
      </c>
      <c r="CU5" s="78">
        <f t="shared" si="41"/>
        <v>17.079999999999998</v>
      </c>
      <c r="CV5" s="65">
        <v>10238</v>
      </c>
      <c r="CW5" s="68">
        <v>0</v>
      </c>
      <c r="CX5" s="78">
        <f t="shared" si="42"/>
        <v>0</v>
      </c>
      <c r="CY5" s="65">
        <v>833000</v>
      </c>
      <c r="CZ5" s="68" t="str">
        <f t="shared" si="43"/>
        <v>0</v>
      </c>
      <c r="DA5" s="78">
        <f t="shared" si="44"/>
        <v>0</v>
      </c>
      <c r="DB5" s="65">
        <v>6379</v>
      </c>
      <c r="DC5" s="68">
        <f t="shared" si="45"/>
        <v>9</v>
      </c>
      <c r="DD5" s="78">
        <f t="shared" si="46"/>
        <v>21.51</v>
      </c>
      <c r="DE5" s="124">
        <v>7709</v>
      </c>
      <c r="DF5" s="68">
        <f t="shared" si="47"/>
        <v>8</v>
      </c>
      <c r="DG5" s="68" t="str">
        <f t="shared" si="47"/>
        <v>0</v>
      </c>
      <c r="DH5" s="124">
        <v>4531</v>
      </c>
      <c r="DI5" s="68">
        <f t="shared" si="48"/>
        <v>2</v>
      </c>
      <c r="DJ5" s="68" t="str">
        <f t="shared" si="48"/>
        <v>0</v>
      </c>
      <c r="DK5" s="65">
        <v>1878</v>
      </c>
      <c r="DL5" s="68">
        <f t="shared" si="48"/>
        <v>2</v>
      </c>
      <c r="DM5" s="68">
        <f t="shared" si="48"/>
        <v>1</v>
      </c>
      <c r="DN5" s="65">
        <v>5096</v>
      </c>
      <c r="DO5" s="68">
        <f t="shared" si="48"/>
        <v>6</v>
      </c>
      <c r="DP5" s="68">
        <f t="shared" si="48"/>
        <v>3</v>
      </c>
      <c r="DQ5" s="65">
        <v>4623</v>
      </c>
      <c r="DR5" s="68">
        <f t="shared" si="48"/>
        <v>9</v>
      </c>
      <c r="DS5" s="68">
        <f t="shared" si="48"/>
        <v>3</v>
      </c>
      <c r="DT5" s="65">
        <v>5410</v>
      </c>
      <c r="DU5" s="68">
        <f t="shared" si="48"/>
        <v>9</v>
      </c>
      <c r="DV5" s="68">
        <f t="shared" si="48"/>
        <v>1</v>
      </c>
      <c r="DW5" s="65">
        <v>5448</v>
      </c>
      <c r="DX5" s="68">
        <f t="shared" si="49"/>
        <v>14</v>
      </c>
      <c r="DY5" s="78">
        <f t="shared" si="50"/>
        <v>33.46</v>
      </c>
      <c r="DZ5" s="83"/>
      <c r="EA5" s="78">
        <f t="shared" ref="EA5:EA31" si="55">(DZ5-DZ4)</f>
        <v>0</v>
      </c>
      <c r="EB5" s="83"/>
      <c r="EC5" s="78">
        <f t="shared" si="51"/>
        <v>0</v>
      </c>
      <c r="ED5" s="92"/>
      <c r="EE5" s="78">
        <f t="shared" si="51"/>
        <v>0</v>
      </c>
      <c r="EF5" s="59"/>
      <c r="EG5" s="78">
        <f t="shared" si="52"/>
        <v>0</v>
      </c>
      <c r="EH5" s="92"/>
      <c r="EI5" s="93"/>
      <c r="EJ5" s="91"/>
      <c r="EK5" s="119"/>
      <c r="EL5" s="120"/>
      <c r="EM5" s="121"/>
      <c r="EN5" s="122">
        <v>13.2</v>
      </c>
      <c r="EO5" s="122">
        <v>12.2</v>
      </c>
      <c r="EP5" s="122">
        <v>11.2</v>
      </c>
    </row>
    <row r="6" spans="1:146" s="20" customFormat="1" ht="15.75" thickBot="1" x14ac:dyDescent="0.25">
      <c r="A6" s="58">
        <v>44472</v>
      </c>
      <c r="B6" s="61">
        <v>7856206</v>
      </c>
      <c r="C6" s="60">
        <f t="shared" si="1"/>
        <v>11307</v>
      </c>
      <c r="D6" s="61">
        <v>7027880</v>
      </c>
      <c r="E6" s="60">
        <f t="shared" si="2"/>
        <v>11196</v>
      </c>
      <c r="F6" s="111">
        <f t="shared" si="3"/>
        <v>0.99018307243300607</v>
      </c>
      <c r="G6" s="61">
        <v>658</v>
      </c>
      <c r="H6" s="64">
        <v>552</v>
      </c>
      <c r="I6" s="64">
        <v>289262</v>
      </c>
      <c r="J6" s="63">
        <f t="shared" si="4"/>
        <v>0</v>
      </c>
      <c r="K6" s="64">
        <v>794</v>
      </c>
      <c r="L6" s="63">
        <f t="shared" si="5"/>
        <v>0</v>
      </c>
      <c r="M6" s="65">
        <v>636988</v>
      </c>
      <c r="N6" s="63">
        <f t="shared" si="6"/>
        <v>0</v>
      </c>
      <c r="O6" s="65">
        <v>1015</v>
      </c>
      <c r="P6" s="63">
        <f t="shared" si="7"/>
        <v>0</v>
      </c>
      <c r="Q6" s="65">
        <v>2572318</v>
      </c>
      <c r="R6" s="63">
        <f t="shared" si="7"/>
        <v>530</v>
      </c>
      <c r="S6" s="65">
        <v>2198071</v>
      </c>
      <c r="T6" s="63">
        <f t="shared" si="8"/>
        <v>290</v>
      </c>
      <c r="U6" s="65">
        <v>124436</v>
      </c>
      <c r="V6" s="63">
        <f t="shared" si="8"/>
        <v>386</v>
      </c>
      <c r="W6" s="123"/>
      <c r="X6" s="113">
        <f>5.5/9</f>
        <v>0.61111111111111116</v>
      </c>
      <c r="Y6" s="67">
        <f t="shared" si="0"/>
        <v>244.44444444444446</v>
      </c>
      <c r="Z6" s="64">
        <v>10</v>
      </c>
      <c r="AA6" s="65">
        <v>153389</v>
      </c>
      <c r="AB6" s="60">
        <f t="shared" si="9"/>
        <v>0</v>
      </c>
      <c r="AC6" s="72">
        <v>41689</v>
      </c>
      <c r="AD6" s="68">
        <f t="shared" si="10"/>
        <v>24</v>
      </c>
      <c r="AE6" s="73">
        <v>1149</v>
      </c>
      <c r="AF6" s="69">
        <f t="shared" si="10"/>
        <v>0</v>
      </c>
      <c r="AG6" s="62">
        <v>4647</v>
      </c>
      <c r="AH6" s="70">
        <f t="shared" ref="AH6:AH34" si="56">(AG6-AG5)</f>
        <v>0</v>
      </c>
      <c r="AI6" s="22"/>
      <c r="AJ6" s="22"/>
      <c r="AK6" s="61">
        <v>588620</v>
      </c>
      <c r="AL6" s="63">
        <f t="shared" si="11"/>
        <v>140</v>
      </c>
      <c r="AM6" s="75">
        <v>1283</v>
      </c>
      <c r="AN6" s="60">
        <f t="shared" si="12"/>
        <v>3</v>
      </c>
      <c r="AO6" s="61">
        <v>52785</v>
      </c>
      <c r="AP6" s="74">
        <f t="shared" si="13"/>
        <v>10</v>
      </c>
      <c r="AQ6" s="61">
        <v>8954</v>
      </c>
      <c r="AR6" s="60">
        <f t="shared" si="14"/>
        <v>1</v>
      </c>
      <c r="AS6" s="61">
        <v>10609</v>
      </c>
      <c r="AT6" s="60">
        <f t="shared" si="14"/>
        <v>0</v>
      </c>
      <c r="AU6" s="61">
        <v>14781</v>
      </c>
      <c r="AV6" s="60">
        <f t="shared" si="14"/>
        <v>10</v>
      </c>
      <c r="AW6" s="65">
        <v>19388</v>
      </c>
      <c r="AX6" s="60">
        <f t="shared" si="14"/>
        <v>4</v>
      </c>
      <c r="AY6" s="59">
        <v>20696</v>
      </c>
      <c r="AZ6" s="68">
        <f t="shared" si="15"/>
        <v>2</v>
      </c>
      <c r="BA6" s="65">
        <v>13893</v>
      </c>
      <c r="BB6" s="60">
        <f t="shared" si="16"/>
        <v>0</v>
      </c>
      <c r="BC6" s="59">
        <v>6251</v>
      </c>
      <c r="BD6" s="60">
        <f t="shared" si="17"/>
        <v>0</v>
      </c>
      <c r="BE6" s="61">
        <v>26734</v>
      </c>
      <c r="BF6" s="60">
        <f t="shared" si="18"/>
        <v>3</v>
      </c>
      <c r="BG6" s="61">
        <v>11352</v>
      </c>
      <c r="BH6" s="60">
        <f t="shared" si="19"/>
        <v>92</v>
      </c>
      <c r="BI6">
        <v>4385</v>
      </c>
      <c r="BJ6" s="60">
        <f t="shared" si="20"/>
        <v>3</v>
      </c>
      <c r="BK6" s="65">
        <v>3636</v>
      </c>
      <c r="BL6" s="60">
        <f t="shared" si="53"/>
        <v>0</v>
      </c>
      <c r="BM6" s="68">
        <f t="shared" si="21"/>
        <v>12</v>
      </c>
      <c r="BN6" s="68">
        <f t="shared" si="22"/>
        <v>128</v>
      </c>
      <c r="BO6" s="61">
        <v>608640</v>
      </c>
      <c r="BP6" s="68">
        <f t="shared" si="23"/>
        <v>160</v>
      </c>
      <c r="BQ6" s="75">
        <v>954</v>
      </c>
      <c r="BR6" s="60">
        <f t="shared" si="24"/>
        <v>2</v>
      </c>
      <c r="BS6" s="65">
        <v>791130</v>
      </c>
      <c r="BT6" s="68">
        <f t="shared" si="25"/>
        <v>180</v>
      </c>
      <c r="BU6" s="75">
        <v>9254</v>
      </c>
      <c r="BV6" s="68">
        <f t="shared" si="26"/>
        <v>32</v>
      </c>
      <c r="BW6" s="78">
        <f>BT6-AL6</f>
        <v>40</v>
      </c>
      <c r="BX6" s="68">
        <f t="shared" si="28"/>
        <v>340</v>
      </c>
      <c r="BY6" s="80">
        <f t="shared" si="54"/>
        <v>119</v>
      </c>
      <c r="BZ6" s="59">
        <v>109</v>
      </c>
      <c r="CA6" s="81">
        <f t="shared" si="29"/>
        <v>13102.02326604979</v>
      </c>
      <c r="CB6" s="84"/>
      <c r="CC6" s="82">
        <f t="shared" si="30"/>
        <v>0</v>
      </c>
      <c r="CD6" s="61">
        <v>210210</v>
      </c>
      <c r="CE6" s="68">
        <f t="shared" si="31"/>
        <v>167</v>
      </c>
      <c r="CF6" s="78">
        <f t="shared" si="32"/>
        <v>953.57</v>
      </c>
      <c r="CG6" s="71">
        <v>40</v>
      </c>
      <c r="CH6" s="85">
        <f t="shared" si="33"/>
        <v>4310</v>
      </c>
      <c r="CI6" s="62">
        <v>30</v>
      </c>
      <c r="CJ6" s="86">
        <f t="shared" si="34"/>
        <v>3232.5</v>
      </c>
      <c r="CK6" s="71">
        <v>27</v>
      </c>
      <c r="CL6" s="87">
        <f t="shared" si="35"/>
        <v>2909.25</v>
      </c>
      <c r="CM6" s="88">
        <f t="shared" si="36"/>
        <v>10451.75</v>
      </c>
      <c r="CN6" s="89">
        <f t="shared" si="37"/>
        <v>1563.5</v>
      </c>
      <c r="CP6" s="61">
        <v>35216</v>
      </c>
      <c r="CQ6" s="68">
        <f t="shared" si="38"/>
        <v>17</v>
      </c>
      <c r="CR6" s="78">
        <f t="shared" si="39"/>
        <v>41.48</v>
      </c>
      <c r="CS6" s="65">
        <v>34358</v>
      </c>
      <c r="CT6" s="68">
        <f t="shared" si="40"/>
        <v>8</v>
      </c>
      <c r="CU6" s="78">
        <f t="shared" si="41"/>
        <v>19.52</v>
      </c>
      <c r="CV6" s="65">
        <v>10254</v>
      </c>
      <c r="CW6" s="68">
        <v>0</v>
      </c>
      <c r="CX6" s="78">
        <f t="shared" si="42"/>
        <v>0</v>
      </c>
      <c r="CY6" s="65">
        <v>833080</v>
      </c>
      <c r="CZ6" s="68">
        <f t="shared" si="43"/>
        <v>80</v>
      </c>
      <c r="DA6" s="78">
        <f t="shared" si="44"/>
        <v>195.2</v>
      </c>
      <c r="DB6" s="65">
        <v>6383</v>
      </c>
      <c r="DC6" s="68">
        <f t="shared" si="45"/>
        <v>4</v>
      </c>
      <c r="DD6" s="78">
        <f t="shared" si="46"/>
        <v>9.56</v>
      </c>
      <c r="DE6" s="61">
        <v>7716</v>
      </c>
      <c r="DF6" s="68">
        <f t="shared" si="47"/>
        <v>7</v>
      </c>
      <c r="DG6" s="68" t="str">
        <f t="shared" si="47"/>
        <v>0</v>
      </c>
      <c r="DH6" s="61">
        <v>4533</v>
      </c>
      <c r="DI6" s="68">
        <f t="shared" si="48"/>
        <v>2</v>
      </c>
      <c r="DJ6" s="68">
        <f t="shared" si="48"/>
        <v>0</v>
      </c>
      <c r="DK6" s="65">
        <v>1879</v>
      </c>
      <c r="DL6" s="68">
        <f t="shared" si="48"/>
        <v>1</v>
      </c>
      <c r="DM6" s="68" t="str">
        <f t="shared" si="48"/>
        <v>0</v>
      </c>
      <c r="DN6" s="65">
        <v>5102</v>
      </c>
      <c r="DO6" s="68">
        <f t="shared" si="48"/>
        <v>6</v>
      </c>
      <c r="DP6" s="68">
        <f t="shared" si="48"/>
        <v>0</v>
      </c>
      <c r="DQ6" s="65">
        <v>4628</v>
      </c>
      <c r="DR6" s="68">
        <f t="shared" si="48"/>
        <v>5</v>
      </c>
      <c r="DS6" s="68" t="str">
        <f t="shared" si="48"/>
        <v>0</v>
      </c>
      <c r="DT6" s="65">
        <v>5417</v>
      </c>
      <c r="DU6" s="68">
        <f t="shared" si="48"/>
        <v>7</v>
      </c>
      <c r="DV6" s="68" t="str">
        <f t="shared" si="48"/>
        <v>0</v>
      </c>
      <c r="DW6" s="65">
        <v>5451</v>
      </c>
      <c r="DX6" s="68">
        <f t="shared" si="49"/>
        <v>3</v>
      </c>
      <c r="DY6" s="78">
        <f t="shared" si="50"/>
        <v>7.17</v>
      </c>
      <c r="DZ6" s="83"/>
      <c r="EA6" s="78">
        <f t="shared" si="55"/>
        <v>0</v>
      </c>
      <c r="EB6" s="83"/>
      <c r="EC6" s="78">
        <f t="shared" si="51"/>
        <v>0</v>
      </c>
      <c r="ED6" s="92"/>
      <c r="EE6" s="78">
        <f t="shared" si="51"/>
        <v>0</v>
      </c>
      <c r="EF6" s="92"/>
      <c r="EG6" s="78">
        <f t="shared" si="52"/>
        <v>0</v>
      </c>
      <c r="EH6" s="92">
        <v>51</v>
      </c>
      <c r="EI6" s="93">
        <v>137</v>
      </c>
      <c r="EJ6" s="91">
        <v>0.38</v>
      </c>
      <c r="EK6" s="94"/>
      <c r="EL6" s="92"/>
      <c r="EM6" s="93"/>
      <c r="EN6" s="96">
        <v>12.9</v>
      </c>
      <c r="EO6" s="96">
        <v>13.1</v>
      </c>
      <c r="EP6" s="96">
        <v>13</v>
      </c>
    </row>
    <row r="7" spans="1:146" s="20" customFormat="1" ht="15.75" thickBot="1" x14ac:dyDescent="0.25">
      <c r="A7" s="58">
        <v>44473</v>
      </c>
      <c r="B7" s="65">
        <v>7873206</v>
      </c>
      <c r="C7" s="60">
        <f t="shared" si="1"/>
        <v>17000</v>
      </c>
      <c r="D7" s="65">
        <v>7044700</v>
      </c>
      <c r="E7" s="60">
        <f t="shared" si="2"/>
        <v>16820</v>
      </c>
      <c r="F7" s="111">
        <f t="shared" si="3"/>
        <v>0.98941176470588232</v>
      </c>
      <c r="G7" s="61">
        <v>694</v>
      </c>
      <c r="H7" s="61">
        <v>552</v>
      </c>
      <c r="I7" s="64">
        <v>289262</v>
      </c>
      <c r="J7" s="63">
        <f t="shared" si="4"/>
        <v>0</v>
      </c>
      <c r="K7" s="64">
        <v>794</v>
      </c>
      <c r="L7" s="60">
        <v>0</v>
      </c>
      <c r="M7" s="65">
        <v>636988</v>
      </c>
      <c r="N7" s="63">
        <f t="shared" si="6"/>
        <v>0</v>
      </c>
      <c r="O7" s="65">
        <v>1015</v>
      </c>
      <c r="P7" s="63">
        <f t="shared" si="7"/>
        <v>0</v>
      </c>
      <c r="Q7" s="65">
        <v>2573003</v>
      </c>
      <c r="R7" s="63">
        <f t="shared" si="7"/>
        <v>685</v>
      </c>
      <c r="S7" s="65">
        <v>2198487</v>
      </c>
      <c r="T7" s="63">
        <f t="shared" si="8"/>
        <v>416</v>
      </c>
      <c r="U7" s="65">
        <v>124616</v>
      </c>
      <c r="V7" s="63">
        <f t="shared" si="8"/>
        <v>180</v>
      </c>
      <c r="W7" s="123"/>
      <c r="X7" s="113">
        <f>8/9</f>
        <v>0.88888888888888884</v>
      </c>
      <c r="Y7" s="67">
        <f t="shared" si="0"/>
        <v>355.55555555555554</v>
      </c>
      <c r="Z7" s="64">
        <v>0</v>
      </c>
      <c r="AA7" s="65">
        <v>153389</v>
      </c>
      <c r="AB7" s="60">
        <f t="shared" si="9"/>
        <v>0</v>
      </c>
      <c r="AC7" s="72">
        <v>41755</v>
      </c>
      <c r="AD7" s="68">
        <f t="shared" si="10"/>
        <v>66</v>
      </c>
      <c r="AE7" s="65">
        <v>1149</v>
      </c>
      <c r="AF7" s="69">
        <f t="shared" si="10"/>
        <v>0</v>
      </c>
      <c r="AG7" s="61">
        <v>4647</v>
      </c>
      <c r="AH7" s="70">
        <f t="shared" si="56"/>
        <v>0</v>
      </c>
      <c r="AI7" s="19"/>
      <c r="AJ7" s="19"/>
      <c r="AK7" s="61">
        <v>588740</v>
      </c>
      <c r="AL7" s="63">
        <f t="shared" si="11"/>
        <v>120</v>
      </c>
      <c r="AM7" s="75">
        <v>1283</v>
      </c>
      <c r="AN7" s="60">
        <f t="shared" si="12"/>
        <v>0</v>
      </c>
      <c r="AO7" s="61">
        <v>52807</v>
      </c>
      <c r="AP7" s="74">
        <f t="shared" si="13"/>
        <v>22</v>
      </c>
      <c r="AQ7" s="61">
        <v>8954</v>
      </c>
      <c r="AR7" s="60">
        <f t="shared" si="14"/>
        <v>0</v>
      </c>
      <c r="AS7" s="65">
        <v>10610</v>
      </c>
      <c r="AT7" s="60">
        <f t="shared" si="14"/>
        <v>1</v>
      </c>
      <c r="AU7" s="61">
        <v>14796</v>
      </c>
      <c r="AV7" s="60">
        <f t="shared" si="14"/>
        <v>15</v>
      </c>
      <c r="AW7" s="65">
        <v>19394</v>
      </c>
      <c r="AX7" s="60">
        <f t="shared" si="14"/>
        <v>6</v>
      </c>
      <c r="AY7" s="59">
        <v>20698</v>
      </c>
      <c r="AZ7" s="68">
        <f t="shared" si="15"/>
        <v>2</v>
      </c>
      <c r="BA7" s="65">
        <v>13894</v>
      </c>
      <c r="BB7" s="60">
        <f t="shared" si="16"/>
        <v>1</v>
      </c>
      <c r="BC7" s="59">
        <v>6253</v>
      </c>
      <c r="BD7" s="60">
        <f t="shared" si="17"/>
        <v>2</v>
      </c>
      <c r="BE7" s="61">
        <v>26741</v>
      </c>
      <c r="BF7" s="60">
        <f t="shared" si="18"/>
        <v>7</v>
      </c>
      <c r="BG7" s="61">
        <v>11439</v>
      </c>
      <c r="BH7" s="60">
        <f t="shared" si="19"/>
        <v>87</v>
      </c>
      <c r="BI7">
        <v>4390</v>
      </c>
      <c r="BJ7" s="60">
        <f t="shared" si="20"/>
        <v>5</v>
      </c>
      <c r="BK7" s="65">
        <v>3636</v>
      </c>
      <c r="BL7" s="60">
        <f t="shared" si="53"/>
        <v>0</v>
      </c>
      <c r="BM7" s="68">
        <f t="shared" si="21"/>
        <v>18</v>
      </c>
      <c r="BN7" s="68">
        <f t="shared" si="22"/>
        <v>102</v>
      </c>
      <c r="BO7" s="61">
        <v>608760</v>
      </c>
      <c r="BP7" s="68">
        <f t="shared" si="23"/>
        <v>120</v>
      </c>
      <c r="BQ7" s="75">
        <v>967</v>
      </c>
      <c r="BR7" s="60">
        <f t="shared" si="24"/>
        <v>13</v>
      </c>
      <c r="BS7" s="65">
        <v>791280</v>
      </c>
      <c r="BT7" s="68">
        <f t="shared" si="25"/>
        <v>150</v>
      </c>
      <c r="BU7" s="75">
        <v>9284</v>
      </c>
      <c r="BV7" s="68">
        <f t="shared" si="26"/>
        <v>30</v>
      </c>
      <c r="BW7" s="78">
        <f t="shared" si="27"/>
        <v>30</v>
      </c>
      <c r="BX7" s="68">
        <f t="shared" si="28"/>
        <v>270</v>
      </c>
      <c r="BY7" s="80">
        <f t="shared" si="54"/>
        <v>136</v>
      </c>
      <c r="BZ7" s="59">
        <v>109</v>
      </c>
      <c r="CA7" s="81">
        <f t="shared" si="29"/>
        <v>13102.02326604979</v>
      </c>
      <c r="CB7" s="65"/>
      <c r="CC7" s="82">
        <f t="shared" si="30"/>
        <v>0</v>
      </c>
      <c r="CD7" s="61">
        <v>210389</v>
      </c>
      <c r="CE7" s="68">
        <f t="shared" si="31"/>
        <v>179</v>
      </c>
      <c r="CF7" s="78">
        <f t="shared" si="32"/>
        <v>1022.09</v>
      </c>
      <c r="CG7" s="61">
        <v>36</v>
      </c>
      <c r="CH7" s="85">
        <f t="shared" si="33"/>
        <v>3879</v>
      </c>
      <c r="CI7" s="61">
        <v>27</v>
      </c>
      <c r="CJ7" s="86">
        <f t="shared" si="34"/>
        <v>2909.25</v>
      </c>
      <c r="CK7" s="65">
        <v>24</v>
      </c>
      <c r="CL7" s="87">
        <f t="shared" si="35"/>
        <v>2586</v>
      </c>
      <c r="CM7" s="88">
        <f t="shared" si="36"/>
        <v>9374.25</v>
      </c>
      <c r="CN7" s="89">
        <f t="shared" si="37"/>
        <v>1077.5</v>
      </c>
      <c r="CO7" s="65">
        <v>11553</v>
      </c>
      <c r="CP7" s="65">
        <v>35242</v>
      </c>
      <c r="CQ7" s="68">
        <f t="shared" si="38"/>
        <v>26</v>
      </c>
      <c r="CR7" s="78">
        <f t="shared" si="39"/>
        <v>63.44</v>
      </c>
      <c r="CS7" s="65">
        <v>34366</v>
      </c>
      <c r="CT7" s="68">
        <f t="shared" si="40"/>
        <v>8</v>
      </c>
      <c r="CU7" s="78">
        <f t="shared" si="41"/>
        <v>19.52</v>
      </c>
      <c r="CV7" s="65">
        <v>10272</v>
      </c>
      <c r="CW7" s="68">
        <v>0</v>
      </c>
      <c r="CX7" s="78">
        <f t="shared" si="42"/>
        <v>0</v>
      </c>
      <c r="CY7" s="65">
        <v>833170</v>
      </c>
      <c r="CZ7" s="68">
        <f t="shared" si="43"/>
        <v>90</v>
      </c>
      <c r="DA7" s="78">
        <f t="shared" si="44"/>
        <v>219.6</v>
      </c>
      <c r="DB7" s="65">
        <v>6396</v>
      </c>
      <c r="DC7" s="68">
        <f t="shared" si="45"/>
        <v>13</v>
      </c>
      <c r="DD7" s="78">
        <f t="shared" si="46"/>
        <v>31.07</v>
      </c>
      <c r="DE7" s="65">
        <v>7727</v>
      </c>
      <c r="DF7" s="68">
        <f t="shared" si="47"/>
        <v>11</v>
      </c>
      <c r="DG7" s="68">
        <f t="shared" si="47"/>
        <v>4</v>
      </c>
      <c r="DH7" s="61">
        <v>4537</v>
      </c>
      <c r="DI7" s="68">
        <f t="shared" si="48"/>
        <v>4</v>
      </c>
      <c r="DJ7" s="68">
        <f t="shared" si="48"/>
        <v>2</v>
      </c>
      <c r="DK7" s="65">
        <v>1881</v>
      </c>
      <c r="DL7" s="68">
        <f t="shared" si="48"/>
        <v>2</v>
      </c>
      <c r="DM7" s="68">
        <f t="shared" si="48"/>
        <v>1</v>
      </c>
      <c r="DN7" s="65">
        <v>5111</v>
      </c>
      <c r="DO7" s="68">
        <f t="shared" si="48"/>
        <v>9</v>
      </c>
      <c r="DP7" s="68">
        <f t="shared" si="48"/>
        <v>3</v>
      </c>
      <c r="DQ7" s="65">
        <v>4639</v>
      </c>
      <c r="DR7" s="68">
        <f t="shared" si="48"/>
        <v>11</v>
      </c>
      <c r="DS7" s="68">
        <f t="shared" si="48"/>
        <v>6</v>
      </c>
      <c r="DT7" s="65">
        <v>5429</v>
      </c>
      <c r="DU7" s="68">
        <f t="shared" si="48"/>
        <v>12</v>
      </c>
      <c r="DV7" s="68">
        <f t="shared" si="48"/>
        <v>5</v>
      </c>
      <c r="DW7" s="65">
        <v>5457</v>
      </c>
      <c r="DX7" s="68">
        <f t="shared" si="49"/>
        <v>6</v>
      </c>
      <c r="DY7" s="78">
        <f t="shared" si="50"/>
        <v>14.34</v>
      </c>
      <c r="DZ7" s="83"/>
      <c r="EA7" s="78">
        <f t="shared" si="55"/>
        <v>0</v>
      </c>
      <c r="EB7" s="83"/>
      <c r="EC7" s="78">
        <f t="shared" si="51"/>
        <v>0</v>
      </c>
      <c r="ED7" s="92"/>
      <c r="EE7" s="78">
        <f t="shared" si="51"/>
        <v>0</v>
      </c>
      <c r="EF7" s="92"/>
      <c r="EG7" s="78">
        <f t="shared" si="52"/>
        <v>0</v>
      </c>
      <c r="EH7" s="92"/>
      <c r="EI7" s="93"/>
      <c r="EJ7" s="91"/>
      <c r="EK7" s="94"/>
      <c r="EL7" s="92"/>
      <c r="EM7" s="93"/>
      <c r="EN7" s="96">
        <v>13.1</v>
      </c>
      <c r="EO7" s="96">
        <v>13</v>
      </c>
      <c r="EP7" s="96">
        <v>13.2</v>
      </c>
    </row>
    <row r="8" spans="1:146" s="20" customFormat="1" ht="15.75" thickBot="1" x14ac:dyDescent="0.25">
      <c r="A8" s="58">
        <v>44474</v>
      </c>
      <c r="B8" s="65">
        <v>7887718</v>
      </c>
      <c r="C8" s="60">
        <f t="shared" si="1"/>
        <v>14512</v>
      </c>
      <c r="D8" s="65">
        <v>7059075</v>
      </c>
      <c r="E8" s="60">
        <f t="shared" si="2"/>
        <v>14375</v>
      </c>
      <c r="F8" s="111">
        <f t="shared" si="3"/>
        <v>0.99055953693495036</v>
      </c>
      <c r="G8" s="61">
        <v>694</v>
      </c>
      <c r="H8" s="61">
        <v>552</v>
      </c>
      <c r="I8" s="62">
        <v>289262</v>
      </c>
      <c r="J8" s="63">
        <f t="shared" si="4"/>
        <v>0</v>
      </c>
      <c r="K8" s="64">
        <v>794</v>
      </c>
      <c r="L8" s="60">
        <v>0</v>
      </c>
      <c r="M8" s="65">
        <v>636988</v>
      </c>
      <c r="N8" s="63">
        <f t="shared" si="6"/>
        <v>0</v>
      </c>
      <c r="O8" s="65">
        <v>1015</v>
      </c>
      <c r="P8" s="63">
        <f t="shared" si="7"/>
        <v>0</v>
      </c>
      <c r="Q8" s="65">
        <v>2573771</v>
      </c>
      <c r="R8" s="63">
        <f t="shared" si="7"/>
        <v>768</v>
      </c>
      <c r="S8" s="65">
        <v>2198850</v>
      </c>
      <c r="T8" s="63">
        <f t="shared" si="8"/>
        <v>363</v>
      </c>
      <c r="U8" s="65">
        <v>124871</v>
      </c>
      <c r="V8" s="63">
        <f t="shared" si="8"/>
        <v>255</v>
      </c>
      <c r="W8" s="123"/>
      <c r="X8" s="113">
        <f>8.5/9</f>
        <v>0.94444444444444442</v>
      </c>
      <c r="Y8" s="67">
        <f t="shared" si="0"/>
        <v>377.77777777777777</v>
      </c>
      <c r="Z8" s="64">
        <v>0</v>
      </c>
      <c r="AA8" s="65">
        <v>153389</v>
      </c>
      <c r="AB8" s="60">
        <f t="shared" si="9"/>
        <v>0</v>
      </c>
      <c r="AC8" s="72">
        <v>41789</v>
      </c>
      <c r="AD8" s="68">
        <f t="shared" si="10"/>
        <v>34</v>
      </c>
      <c r="AE8" s="65">
        <v>1149</v>
      </c>
      <c r="AF8" s="69">
        <f t="shared" si="10"/>
        <v>0</v>
      </c>
      <c r="AG8" s="61">
        <v>4647</v>
      </c>
      <c r="AH8" s="70">
        <f t="shared" si="56"/>
        <v>0</v>
      </c>
      <c r="AI8" s="19"/>
      <c r="AJ8" s="19"/>
      <c r="AK8" s="61">
        <v>588880</v>
      </c>
      <c r="AL8" s="63">
        <f t="shared" si="11"/>
        <v>140</v>
      </c>
      <c r="AM8" s="75">
        <v>1283</v>
      </c>
      <c r="AN8" s="60">
        <f t="shared" si="12"/>
        <v>0</v>
      </c>
      <c r="AO8" s="65">
        <v>52819</v>
      </c>
      <c r="AP8" s="74">
        <f t="shared" si="13"/>
        <v>12</v>
      </c>
      <c r="AQ8" s="61">
        <v>8955</v>
      </c>
      <c r="AR8" s="60">
        <f t="shared" si="14"/>
        <v>1</v>
      </c>
      <c r="AS8" s="65">
        <v>10611</v>
      </c>
      <c r="AT8" s="60">
        <f t="shared" si="14"/>
        <v>1</v>
      </c>
      <c r="AU8" s="61">
        <v>14808</v>
      </c>
      <c r="AV8" s="60">
        <f t="shared" si="14"/>
        <v>12</v>
      </c>
      <c r="AW8" s="65">
        <v>19399</v>
      </c>
      <c r="AX8" s="60">
        <f t="shared" si="14"/>
        <v>5</v>
      </c>
      <c r="AY8" s="59">
        <v>20701</v>
      </c>
      <c r="AZ8" s="68">
        <f t="shared" si="15"/>
        <v>3</v>
      </c>
      <c r="BA8" s="65">
        <v>13895</v>
      </c>
      <c r="BB8" s="60">
        <f t="shared" si="16"/>
        <v>1</v>
      </c>
      <c r="BC8" s="59">
        <v>6255</v>
      </c>
      <c r="BD8" s="60">
        <f t="shared" si="17"/>
        <v>2</v>
      </c>
      <c r="BE8" s="65">
        <v>26746</v>
      </c>
      <c r="BF8" s="60">
        <f t="shared" si="18"/>
        <v>5</v>
      </c>
      <c r="BG8" s="61">
        <v>11530</v>
      </c>
      <c r="BH8" s="60">
        <f t="shared" si="19"/>
        <v>91</v>
      </c>
      <c r="BI8">
        <v>4395</v>
      </c>
      <c r="BJ8" s="60">
        <f t="shared" si="20"/>
        <v>5</v>
      </c>
      <c r="BK8" s="65">
        <v>3636</v>
      </c>
      <c r="BL8" s="60">
        <f t="shared" si="53"/>
        <v>0</v>
      </c>
      <c r="BM8" s="68">
        <f t="shared" si="21"/>
        <v>16</v>
      </c>
      <c r="BN8" s="68">
        <f t="shared" si="22"/>
        <v>124</v>
      </c>
      <c r="BO8" s="61">
        <v>608850</v>
      </c>
      <c r="BP8" s="68">
        <f t="shared" si="23"/>
        <v>90</v>
      </c>
      <c r="BQ8" s="75">
        <v>973</v>
      </c>
      <c r="BR8" s="60">
        <f t="shared" si="24"/>
        <v>6</v>
      </c>
      <c r="BS8" s="65">
        <v>791520</v>
      </c>
      <c r="BT8" s="68">
        <f t="shared" si="25"/>
        <v>240</v>
      </c>
      <c r="BU8" s="75">
        <v>9314</v>
      </c>
      <c r="BV8" s="68">
        <f t="shared" si="26"/>
        <v>30</v>
      </c>
      <c r="BW8" s="78">
        <f t="shared" si="27"/>
        <v>100</v>
      </c>
      <c r="BX8" s="68">
        <f t="shared" si="28"/>
        <v>330</v>
      </c>
      <c r="BY8" s="80">
        <f t="shared" si="54"/>
        <v>128</v>
      </c>
      <c r="BZ8" s="59">
        <v>109</v>
      </c>
      <c r="CA8" s="81">
        <f t="shared" si="29"/>
        <v>13102.02326604979</v>
      </c>
      <c r="CB8" s="65"/>
      <c r="CC8" s="82">
        <f t="shared" si="30"/>
        <v>0</v>
      </c>
      <c r="CD8" s="65">
        <v>210560</v>
      </c>
      <c r="CE8" s="68">
        <f t="shared" si="31"/>
        <v>171</v>
      </c>
      <c r="CF8" s="78">
        <f t="shared" si="32"/>
        <v>976.41</v>
      </c>
      <c r="CG8" s="61">
        <v>66</v>
      </c>
      <c r="CH8" s="85">
        <f t="shared" si="33"/>
        <v>7111.5</v>
      </c>
      <c r="CI8" s="65">
        <v>64</v>
      </c>
      <c r="CJ8" s="86">
        <f t="shared" si="34"/>
        <v>6896</v>
      </c>
      <c r="CK8" s="65">
        <v>61</v>
      </c>
      <c r="CL8" s="87">
        <f t="shared" si="35"/>
        <v>6572.75</v>
      </c>
      <c r="CM8" s="88">
        <f t="shared" si="36"/>
        <v>20580.25</v>
      </c>
      <c r="CN8" s="89">
        <f t="shared" si="37"/>
        <v>347</v>
      </c>
      <c r="CO8" s="65"/>
      <c r="CP8" s="65">
        <v>35279</v>
      </c>
      <c r="CQ8" s="68">
        <f t="shared" si="38"/>
        <v>37</v>
      </c>
      <c r="CR8" s="78">
        <f t="shared" si="39"/>
        <v>90.28</v>
      </c>
      <c r="CS8" s="65">
        <v>34372</v>
      </c>
      <c r="CT8" s="68">
        <f t="shared" si="40"/>
        <v>6</v>
      </c>
      <c r="CU8" s="78">
        <f t="shared" si="41"/>
        <v>14.64</v>
      </c>
      <c r="CV8" s="65">
        <v>10285</v>
      </c>
      <c r="CW8" s="68">
        <v>0</v>
      </c>
      <c r="CX8" s="78">
        <f t="shared" si="42"/>
        <v>0</v>
      </c>
      <c r="CY8" s="65">
        <v>833250</v>
      </c>
      <c r="CZ8" s="68">
        <f t="shared" si="43"/>
        <v>80</v>
      </c>
      <c r="DA8" s="78">
        <f t="shared" si="44"/>
        <v>195.2</v>
      </c>
      <c r="DB8" s="65">
        <v>6404</v>
      </c>
      <c r="DC8" s="68">
        <f t="shared" si="45"/>
        <v>8</v>
      </c>
      <c r="DD8" s="78">
        <f t="shared" si="46"/>
        <v>19.12</v>
      </c>
      <c r="DE8" s="65">
        <v>7736</v>
      </c>
      <c r="DF8" s="68">
        <f t="shared" si="47"/>
        <v>9</v>
      </c>
      <c r="DG8" s="68" t="str">
        <f t="shared" si="47"/>
        <v>0</v>
      </c>
      <c r="DH8" s="65">
        <v>4540</v>
      </c>
      <c r="DI8" s="68">
        <f t="shared" si="48"/>
        <v>3</v>
      </c>
      <c r="DJ8" s="68" t="str">
        <f t="shared" si="48"/>
        <v>0</v>
      </c>
      <c r="DK8" s="65">
        <v>1882</v>
      </c>
      <c r="DL8" s="68">
        <f t="shared" si="48"/>
        <v>1</v>
      </c>
      <c r="DM8" s="68" t="str">
        <f t="shared" si="48"/>
        <v>0</v>
      </c>
      <c r="DN8" s="65">
        <v>5119</v>
      </c>
      <c r="DO8" s="68">
        <f t="shared" si="48"/>
        <v>8</v>
      </c>
      <c r="DP8" s="68" t="str">
        <f t="shared" si="48"/>
        <v>0</v>
      </c>
      <c r="DQ8" s="65">
        <v>4647</v>
      </c>
      <c r="DR8" s="68">
        <f t="shared" si="48"/>
        <v>8</v>
      </c>
      <c r="DS8" s="68" t="str">
        <f t="shared" si="48"/>
        <v>0</v>
      </c>
      <c r="DT8" s="65">
        <v>5438</v>
      </c>
      <c r="DU8" s="68">
        <f t="shared" si="48"/>
        <v>9</v>
      </c>
      <c r="DV8" s="68" t="str">
        <f t="shared" si="48"/>
        <v>0</v>
      </c>
      <c r="DW8" s="65">
        <v>5462</v>
      </c>
      <c r="DX8" s="68">
        <f t="shared" si="49"/>
        <v>5</v>
      </c>
      <c r="DY8" s="78">
        <f t="shared" si="50"/>
        <v>11.950000000000001</v>
      </c>
      <c r="DZ8" s="83"/>
      <c r="EA8" s="78">
        <f t="shared" si="55"/>
        <v>0</v>
      </c>
      <c r="EB8" s="83"/>
      <c r="EC8" s="78">
        <f t="shared" si="51"/>
        <v>0</v>
      </c>
      <c r="ED8" s="92"/>
      <c r="EE8" s="78">
        <f t="shared" si="51"/>
        <v>0</v>
      </c>
      <c r="EF8" s="92"/>
      <c r="EG8" s="78">
        <f t="shared" si="52"/>
        <v>0</v>
      </c>
      <c r="EH8" s="92">
        <v>54</v>
      </c>
      <c r="EI8" s="93">
        <v>143</v>
      </c>
      <c r="EJ8" s="91">
        <v>0.41</v>
      </c>
      <c r="EK8" s="94"/>
      <c r="EL8" s="92"/>
      <c r="EM8" s="93"/>
      <c r="EN8" s="96">
        <v>13</v>
      </c>
      <c r="EO8" s="96">
        <v>13.1</v>
      </c>
      <c r="EP8" s="96">
        <v>13.1</v>
      </c>
    </row>
    <row r="9" spans="1:146" s="20" customFormat="1" ht="15.75" thickBot="1" x14ac:dyDescent="0.25">
      <c r="A9" s="58">
        <v>44475</v>
      </c>
      <c r="B9" s="65">
        <v>7902537</v>
      </c>
      <c r="C9" s="60">
        <f t="shared" si="1"/>
        <v>14819</v>
      </c>
      <c r="D9" s="65">
        <v>7073769</v>
      </c>
      <c r="E9" s="60">
        <f t="shared" si="2"/>
        <v>14694</v>
      </c>
      <c r="F9" s="111">
        <f t="shared" si="3"/>
        <v>0.99156488292057499</v>
      </c>
      <c r="G9" s="61">
        <v>694</v>
      </c>
      <c r="H9" s="61">
        <v>552</v>
      </c>
      <c r="I9" s="62">
        <v>289262</v>
      </c>
      <c r="J9" s="63">
        <f t="shared" si="4"/>
        <v>0</v>
      </c>
      <c r="K9" s="64">
        <v>794</v>
      </c>
      <c r="L9" s="60">
        <v>0</v>
      </c>
      <c r="M9" s="65">
        <v>636988</v>
      </c>
      <c r="N9" s="63">
        <f t="shared" si="6"/>
        <v>0</v>
      </c>
      <c r="O9" s="65">
        <v>1015</v>
      </c>
      <c r="P9" s="63">
        <f t="shared" si="7"/>
        <v>0</v>
      </c>
      <c r="Q9" s="65">
        <v>2574594</v>
      </c>
      <c r="R9" s="63">
        <f t="shared" si="7"/>
        <v>823</v>
      </c>
      <c r="S9" s="65">
        <v>2199228</v>
      </c>
      <c r="T9" s="63">
        <f t="shared" si="8"/>
        <v>378</v>
      </c>
      <c r="U9" s="65">
        <v>125057</v>
      </c>
      <c r="V9" s="63">
        <f t="shared" si="8"/>
        <v>186</v>
      </c>
      <c r="W9" s="123"/>
      <c r="X9" s="113">
        <f>6/9</f>
        <v>0.66666666666666663</v>
      </c>
      <c r="Y9" s="67">
        <f>X9*400</f>
        <v>266.66666666666663</v>
      </c>
      <c r="Z9" s="64">
        <v>0</v>
      </c>
      <c r="AA9" s="65">
        <v>153389</v>
      </c>
      <c r="AB9" s="60">
        <f t="shared" si="9"/>
        <v>0</v>
      </c>
      <c r="AC9" s="72">
        <v>41829</v>
      </c>
      <c r="AD9" s="68">
        <f t="shared" si="10"/>
        <v>40</v>
      </c>
      <c r="AE9" s="65">
        <v>1149</v>
      </c>
      <c r="AF9" s="69">
        <f t="shared" si="10"/>
        <v>0</v>
      </c>
      <c r="AG9" s="61">
        <v>4647</v>
      </c>
      <c r="AH9" s="70">
        <f t="shared" si="56"/>
        <v>0</v>
      </c>
      <c r="AI9" s="19"/>
      <c r="AJ9" s="19"/>
      <c r="AK9" s="61">
        <v>589020</v>
      </c>
      <c r="AL9" s="63">
        <f t="shared" si="11"/>
        <v>140</v>
      </c>
      <c r="AM9" s="75">
        <v>1283</v>
      </c>
      <c r="AN9" s="60">
        <f t="shared" si="12"/>
        <v>0</v>
      </c>
      <c r="AO9" s="61">
        <v>52834</v>
      </c>
      <c r="AP9" s="74">
        <f t="shared" si="13"/>
        <v>15</v>
      </c>
      <c r="AQ9" s="61">
        <v>8956</v>
      </c>
      <c r="AR9" s="60">
        <f t="shared" si="14"/>
        <v>1</v>
      </c>
      <c r="AS9" s="65">
        <v>10612</v>
      </c>
      <c r="AT9" s="60">
        <f t="shared" si="14"/>
        <v>1</v>
      </c>
      <c r="AU9" s="61">
        <v>14822</v>
      </c>
      <c r="AV9" s="60">
        <f t="shared" si="14"/>
        <v>14</v>
      </c>
      <c r="AW9" s="65">
        <v>19405</v>
      </c>
      <c r="AX9" s="60">
        <f t="shared" si="14"/>
        <v>6</v>
      </c>
      <c r="AY9" s="59">
        <v>20702</v>
      </c>
      <c r="AZ9" s="68">
        <f t="shared" si="15"/>
        <v>1</v>
      </c>
      <c r="BA9" s="65">
        <v>13897</v>
      </c>
      <c r="BB9" s="60">
        <f t="shared" si="16"/>
        <v>2</v>
      </c>
      <c r="BC9" s="59">
        <v>6259</v>
      </c>
      <c r="BD9" s="60">
        <f t="shared" si="17"/>
        <v>4</v>
      </c>
      <c r="BE9" s="61">
        <v>26750</v>
      </c>
      <c r="BF9" s="60">
        <f t="shared" si="18"/>
        <v>4</v>
      </c>
      <c r="BG9" s="61">
        <v>11616</v>
      </c>
      <c r="BH9" s="60">
        <f t="shared" si="19"/>
        <v>86</v>
      </c>
      <c r="BI9">
        <v>4399</v>
      </c>
      <c r="BJ9" s="60">
        <f t="shared" si="20"/>
        <v>4</v>
      </c>
      <c r="BK9" s="65">
        <v>3636</v>
      </c>
      <c r="BL9" s="60">
        <f t="shared" si="53"/>
        <v>0</v>
      </c>
      <c r="BM9" s="68">
        <f t="shared" si="21"/>
        <v>17</v>
      </c>
      <c r="BN9" s="68">
        <f t="shared" si="22"/>
        <v>123</v>
      </c>
      <c r="BO9" s="61">
        <v>609000</v>
      </c>
      <c r="BP9" s="68">
        <f t="shared" si="23"/>
        <v>150</v>
      </c>
      <c r="BQ9" s="75">
        <v>983</v>
      </c>
      <c r="BR9" s="60">
        <f t="shared" si="24"/>
        <v>10</v>
      </c>
      <c r="BS9" s="65">
        <v>791750</v>
      </c>
      <c r="BT9" s="68">
        <f t="shared" si="25"/>
        <v>230</v>
      </c>
      <c r="BU9" s="75">
        <v>9357</v>
      </c>
      <c r="BV9" s="68">
        <f t="shared" si="26"/>
        <v>43</v>
      </c>
      <c r="BW9" s="78">
        <f t="shared" si="27"/>
        <v>90</v>
      </c>
      <c r="BX9" s="68">
        <f t="shared" si="28"/>
        <v>380</v>
      </c>
      <c r="BY9" s="80">
        <f t="shared" si="54"/>
        <v>130</v>
      </c>
      <c r="BZ9" s="59">
        <v>109</v>
      </c>
      <c r="CA9" s="81">
        <f t="shared" si="29"/>
        <v>13102.02326604979</v>
      </c>
      <c r="CB9" s="65"/>
      <c r="CC9" s="82">
        <f t="shared" si="30"/>
        <v>0</v>
      </c>
      <c r="CD9" s="65">
        <v>210733</v>
      </c>
      <c r="CE9" s="68">
        <f t="shared" si="31"/>
        <v>173</v>
      </c>
      <c r="CF9" s="78">
        <f t="shared" si="32"/>
        <v>987.83</v>
      </c>
      <c r="CG9" s="65">
        <v>62</v>
      </c>
      <c r="CH9" s="85">
        <f t="shared" si="33"/>
        <v>6680.5</v>
      </c>
      <c r="CI9" s="65">
        <v>60</v>
      </c>
      <c r="CJ9" s="86">
        <f t="shared" si="34"/>
        <v>6465</v>
      </c>
      <c r="CK9" s="65">
        <v>59</v>
      </c>
      <c r="CL9" s="87">
        <f t="shared" si="35"/>
        <v>6357.25</v>
      </c>
      <c r="CM9" s="88">
        <f t="shared" si="36"/>
        <v>19502.75</v>
      </c>
      <c r="CN9" s="89">
        <f t="shared" si="37"/>
        <v>1077.5</v>
      </c>
      <c r="CO9" s="65"/>
      <c r="CP9" s="65">
        <v>35314</v>
      </c>
      <c r="CQ9" s="68">
        <f t="shared" si="38"/>
        <v>35</v>
      </c>
      <c r="CR9" s="78">
        <f t="shared" si="39"/>
        <v>85.399999999999991</v>
      </c>
      <c r="CS9" s="65">
        <v>34379</v>
      </c>
      <c r="CT9" s="68">
        <f t="shared" si="40"/>
        <v>7</v>
      </c>
      <c r="CU9" s="78">
        <f t="shared" si="41"/>
        <v>17.079999999999998</v>
      </c>
      <c r="CV9" s="61">
        <v>10298</v>
      </c>
      <c r="CW9" s="68">
        <f t="shared" ref="CW9:CW34" si="57">IF((CV9-CV8)&lt;0,"0",(CV9-CV8))</f>
        <v>13</v>
      </c>
      <c r="CX9" s="78">
        <f t="shared" si="42"/>
        <v>31.72</v>
      </c>
      <c r="CY9" s="65">
        <v>833330</v>
      </c>
      <c r="CZ9" s="68">
        <f t="shared" si="43"/>
        <v>80</v>
      </c>
      <c r="DA9" s="78">
        <f t="shared" si="44"/>
        <v>195.2</v>
      </c>
      <c r="DB9" s="65">
        <v>6412</v>
      </c>
      <c r="DC9" s="68">
        <f t="shared" si="45"/>
        <v>8</v>
      </c>
      <c r="DD9" s="78">
        <f t="shared" si="46"/>
        <v>19.12</v>
      </c>
      <c r="DE9" s="65">
        <v>7744</v>
      </c>
      <c r="DF9" s="68">
        <f t="shared" si="47"/>
        <v>8</v>
      </c>
      <c r="DG9" s="68" t="str">
        <f t="shared" si="47"/>
        <v>0</v>
      </c>
      <c r="DH9" s="65">
        <v>4542</v>
      </c>
      <c r="DI9" s="68">
        <f t="shared" si="48"/>
        <v>2</v>
      </c>
      <c r="DJ9" s="68" t="str">
        <f t="shared" si="48"/>
        <v>0</v>
      </c>
      <c r="DK9" s="65">
        <v>1883</v>
      </c>
      <c r="DL9" s="68">
        <f t="shared" si="48"/>
        <v>1</v>
      </c>
      <c r="DM9" s="68">
        <f t="shared" si="48"/>
        <v>0</v>
      </c>
      <c r="DN9" s="65">
        <v>5126</v>
      </c>
      <c r="DO9" s="68">
        <f t="shared" si="48"/>
        <v>7</v>
      </c>
      <c r="DP9" s="68" t="str">
        <f t="shared" si="48"/>
        <v>0</v>
      </c>
      <c r="DQ9" s="65">
        <v>4655</v>
      </c>
      <c r="DR9" s="68">
        <f t="shared" si="48"/>
        <v>8</v>
      </c>
      <c r="DS9" s="68">
        <f t="shared" si="48"/>
        <v>0</v>
      </c>
      <c r="DT9" s="65">
        <v>5447</v>
      </c>
      <c r="DU9" s="68">
        <f t="shared" si="48"/>
        <v>9</v>
      </c>
      <c r="DV9" s="68">
        <f t="shared" si="48"/>
        <v>0</v>
      </c>
      <c r="DW9" s="65">
        <v>5467</v>
      </c>
      <c r="DX9" s="68">
        <f t="shared" si="49"/>
        <v>5</v>
      </c>
      <c r="DY9" s="78">
        <f t="shared" si="50"/>
        <v>11.950000000000001</v>
      </c>
      <c r="DZ9" s="83"/>
      <c r="EA9" s="78">
        <f t="shared" si="55"/>
        <v>0</v>
      </c>
      <c r="EB9" s="83"/>
      <c r="EC9" s="78">
        <f t="shared" si="51"/>
        <v>0</v>
      </c>
      <c r="ED9" s="92"/>
      <c r="EE9" s="78">
        <f t="shared" si="51"/>
        <v>0</v>
      </c>
      <c r="EF9" s="92"/>
      <c r="EG9" s="78">
        <f t="shared" si="52"/>
        <v>0</v>
      </c>
      <c r="EH9" s="92">
        <v>55</v>
      </c>
      <c r="EI9" s="93">
        <v>144</v>
      </c>
      <c r="EJ9" s="91">
        <v>0.41</v>
      </c>
      <c r="EK9" s="94"/>
      <c r="EL9" s="92"/>
      <c r="EM9" s="93"/>
      <c r="EN9" s="96">
        <v>13.1</v>
      </c>
      <c r="EO9" s="96">
        <v>13.2</v>
      </c>
      <c r="EP9" s="96">
        <v>13</v>
      </c>
    </row>
    <row r="10" spans="1:146" s="20" customFormat="1" ht="15.75" thickBot="1" x14ac:dyDescent="0.25">
      <c r="A10" s="58">
        <v>44476</v>
      </c>
      <c r="B10" s="65">
        <v>7916449</v>
      </c>
      <c r="C10" s="60">
        <f t="shared" si="1"/>
        <v>13912</v>
      </c>
      <c r="D10" s="65">
        <v>7087568</v>
      </c>
      <c r="E10" s="60">
        <f t="shared" si="2"/>
        <v>13799</v>
      </c>
      <c r="F10" s="111">
        <f t="shared" si="3"/>
        <v>0.99187751581368599</v>
      </c>
      <c r="G10" s="61">
        <v>728</v>
      </c>
      <c r="H10" s="61">
        <v>552</v>
      </c>
      <c r="I10" s="62">
        <v>289262</v>
      </c>
      <c r="J10" s="63">
        <f t="shared" si="4"/>
        <v>0</v>
      </c>
      <c r="K10" s="64">
        <v>794</v>
      </c>
      <c r="L10" s="60">
        <v>0</v>
      </c>
      <c r="M10" s="65">
        <v>636988</v>
      </c>
      <c r="N10" s="63">
        <f t="shared" si="6"/>
        <v>0</v>
      </c>
      <c r="O10" s="65">
        <v>1015</v>
      </c>
      <c r="P10" s="63">
        <f t="shared" si="7"/>
        <v>0</v>
      </c>
      <c r="Q10" s="65">
        <v>2575565</v>
      </c>
      <c r="R10" s="63">
        <f t="shared" si="7"/>
        <v>971</v>
      </c>
      <c r="S10" s="65">
        <v>2199622</v>
      </c>
      <c r="T10" s="63">
        <f t="shared" si="8"/>
        <v>394</v>
      </c>
      <c r="U10" s="65">
        <v>125371</v>
      </c>
      <c r="V10" s="63">
        <f t="shared" si="8"/>
        <v>314</v>
      </c>
      <c r="W10" s="123"/>
      <c r="X10" s="113">
        <f>4.5/9</f>
        <v>0.5</v>
      </c>
      <c r="Y10" s="67">
        <f t="shared" ref="Y10:Y34" si="58">X10*400</f>
        <v>200</v>
      </c>
      <c r="Z10" s="64">
        <v>0</v>
      </c>
      <c r="AA10" s="65">
        <v>154128</v>
      </c>
      <c r="AB10" s="60">
        <f t="shared" si="9"/>
        <v>739</v>
      </c>
      <c r="AC10" s="72">
        <v>41873</v>
      </c>
      <c r="AD10" s="68">
        <f t="shared" si="10"/>
        <v>44</v>
      </c>
      <c r="AE10" s="65">
        <v>1149</v>
      </c>
      <c r="AF10" s="69">
        <f t="shared" si="10"/>
        <v>0</v>
      </c>
      <c r="AG10" s="61">
        <v>4647</v>
      </c>
      <c r="AH10" s="70">
        <f t="shared" si="56"/>
        <v>0</v>
      </c>
      <c r="AI10" s="19"/>
      <c r="AJ10" s="19"/>
      <c r="AK10" s="61">
        <v>589320</v>
      </c>
      <c r="AL10" s="63">
        <f t="shared" si="11"/>
        <v>300</v>
      </c>
      <c r="AM10" s="75">
        <v>1284</v>
      </c>
      <c r="AN10" s="60">
        <f t="shared" si="12"/>
        <v>1</v>
      </c>
      <c r="AO10" s="61">
        <v>52852</v>
      </c>
      <c r="AP10" s="74">
        <f t="shared" si="13"/>
        <v>18</v>
      </c>
      <c r="AQ10" s="61">
        <v>8958</v>
      </c>
      <c r="AR10" s="60">
        <f t="shared" si="14"/>
        <v>2</v>
      </c>
      <c r="AS10" s="65">
        <v>10612</v>
      </c>
      <c r="AT10" s="60">
        <f t="shared" si="14"/>
        <v>0</v>
      </c>
      <c r="AU10" s="61">
        <v>14836</v>
      </c>
      <c r="AV10" s="60">
        <f t="shared" si="14"/>
        <v>14</v>
      </c>
      <c r="AW10" s="65">
        <v>19410</v>
      </c>
      <c r="AX10" s="60">
        <f t="shared" si="14"/>
        <v>5</v>
      </c>
      <c r="AY10" s="59">
        <v>20704</v>
      </c>
      <c r="AZ10" s="68">
        <f t="shared" si="15"/>
        <v>2</v>
      </c>
      <c r="BA10" s="65">
        <v>13899</v>
      </c>
      <c r="BB10" s="60">
        <f t="shared" si="16"/>
        <v>2</v>
      </c>
      <c r="BC10" s="59">
        <v>6263</v>
      </c>
      <c r="BD10" s="60">
        <f t="shared" si="17"/>
        <v>4</v>
      </c>
      <c r="BE10" s="61">
        <v>26753</v>
      </c>
      <c r="BF10" s="60">
        <f t="shared" si="18"/>
        <v>3</v>
      </c>
      <c r="BG10" s="61">
        <v>11705</v>
      </c>
      <c r="BH10" s="60">
        <f t="shared" si="19"/>
        <v>89</v>
      </c>
      <c r="BI10">
        <v>4403</v>
      </c>
      <c r="BJ10" s="60">
        <f t="shared" si="20"/>
        <v>4</v>
      </c>
      <c r="BK10" s="65">
        <v>3636</v>
      </c>
      <c r="BL10" s="60">
        <f t="shared" si="53"/>
        <v>0</v>
      </c>
      <c r="BM10" s="68">
        <f t="shared" si="21"/>
        <v>18</v>
      </c>
      <c r="BN10" s="68">
        <f t="shared" si="22"/>
        <v>282</v>
      </c>
      <c r="BO10" s="61">
        <v>609110</v>
      </c>
      <c r="BP10" s="68">
        <f t="shared" si="23"/>
        <v>110</v>
      </c>
      <c r="BQ10" s="75">
        <v>983</v>
      </c>
      <c r="BR10" s="60">
        <f t="shared" si="24"/>
        <v>0</v>
      </c>
      <c r="BS10" s="61">
        <v>792070</v>
      </c>
      <c r="BT10" s="68">
        <f t="shared" si="25"/>
        <v>320</v>
      </c>
      <c r="BU10" s="75">
        <v>9391</v>
      </c>
      <c r="BV10" s="68">
        <f t="shared" si="26"/>
        <v>34</v>
      </c>
      <c r="BW10" s="78">
        <f>BT10-AL10</f>
        <v>20</v>
      </c>
      <c r="BX10" s="68">
        <f t="shared" si="28"/>
        <v>430</v>
      </c>
      <c r="BY10" s="80">
        <f t="shared" si="54"/>
        <v>136</v>
      </c>
      <c r="BZ10" s="59">
        <v>109</v>
      </c>
      <c r="CA10" s="81">
        <f t="shared" si="29"/>
        <v>13102.02326604979</v>
      </c>
      <c r="CB10" s="65"/>
      <c r="CC10" s="82">
        <f t="shared" si="30"/>
        <v>0</v>
      </c>
      <c r="CD10" s="65">
        <v>210870</v>
      </c>
      <c r="CE10" s="68">
        <f t="shared" si="31"/>
        <v>137</v>
      </c>
      <c r="CF10" s="78">
        <f t="shared" si="32"/>
        <v>782.27</v>
      </c>
      <c r="CG10" s="65">
        <v>61</v>
      </c>
      <c r="CH10" s="85">
        <f t="shared" si="33"/>
        <v>6572.75</v>
      </c>
      <c r="CI10" s="65">
        <v>58</v>
      </c>
      <c r="CJ10" s="86">
        <f t="shared" si="34"/>
        <v>6249.5</v>
      </c>
      <c r="CK10" s="65">
        <v>56</v>
      </c>
      <c r="CL10" s="87">
        <f t="shared" si="35"/>
        <v>6034</v>
      </c>
      <c r="CM10" s="88">
        <f t="shared" si="36"/>
        <v>18856.25</v>
      </c>
      <c r="CN10" s="89">
        <f t="shared" si="37"/>
        <v>646.5</v>
      </c>
      <c r="CO10" s="65"/>
      <c r="CP10" s="65">
        <v>35342</v>
      </c>
      <c r="CQ10" s="68">
        <f t="shared" si="38"/>
        <v>28</v>
      </c>
      <c r="CR10" s="78">
        <f t="shared" si="39"/>
        <v>68.319999999999993</v>
      </c>
      <c r="CS10" s="65">
        <v>34385</v>
      </c>
      <c r="CT10" s="68">
        <f t="shared" si="40"/>
        <v>6</v>
      </c>
      <c r="CU10" s="78">
        <f t="shared" si="41"/>
        <v>14.64</v>
      </c>
      <c r="CV10" s="65">
        <v>10310</v>
      </c>
      <c r="CW10" s="68">
        <f t="shared" si="57"/>
        <v>12</v>
      </c>
      <c r="CX10" s="78">
        <f t="shared" si="42"/>
        <v>29.28</v>
      </c>
      <c r="CY10" s="65">
        <v>833490</v>
      </c>
      <c r="CZ10" s="68">
        <f t="shared" si="43"/>
        <v>160</v>
      </c>
      <c r="DA10" s="78">
        <f t="shared" si="44"/>
        <v>390.4</v>
      </c>
      <c r="DB10" s="65">
        <v>6420</v>
      </c>
      <c r="DC10" s="68">
        <f t="shared" si="45"/>
        <v>8</v>
      </c>
      <c r="DD10" s="78">
        <f t="shared" si="46"/>
        <v>19.12</v>
      </c>
      <c r="DE10" s="65">
        <v>7752</v>
      </c>
      <c r="DF10" s="68">
        <f t="shared" si="47"/>
        <v>8</v>
      </c>
      <c r="DG10" s="68">
        <f t="shared" si="47"/>
        <v>0</v>
      </c>
      <c r="DH10" s="65">
        <v>4545</v>
      </c>
      <c r="DI10" s="68">
        <f t="shared" si="48"/>
        <v>3</v>
      </c>
      <c r="DJ10" s="68">
        <f t="shared" si="48"/>
        <v>1</v>
      </c>
      <c r="DK10" s="65">
        <v>1885</v>
      </c>
      <c r="DL10" s="68">
        <f t="shared" si="48"/>
        <v>2</v>
      </c>
      <c r="DM10" s="68">
        <f t="shared" si="48"/>
        <v>1</v>
      </c>
      <c r="DN10" s="65">
        <v>5134</v>
      </c>
      <c r="DO10" s="68">
        <f t="shared" si="48"/>
        <v>8</v>
      </c>
      <c r="DP10" s="68">
        <f t="shared" si="48"/>
        <v>1</v>
      </c>
      <c r="DQ10" s="65">
        <v>4664</v>
      </c>
      <c r="DR10" s="68">
        <f t="shared" si="48"/>
        <v>9</v>
      </c>
      <c r="DS10" s="68">
        <f t="shared" si="48"/>
        <v>1</v>
      </c>
      <c r="DT10" s="65">
        <v>5455</v>
      </c>
      <c r="DU10" s="68">
        <f t="shared" si="48"/>
        <v>8</v>
      </c>
      <c r="DV10" s="68" t="str">
        <f t="shared" si="48"/>
        <v>0</v>
      </c>
      <c r="DW10" s="65">
        <v>5472</v>
      </c>
      <c r="DX10" s="68">
        <f t="shared" si="49"/>
        <v>5</v>
      </c>
      <c r="DY10" s="78">
        <f t="shared" si="50"/>
        <v>11.950000000000001</v>
      </c>
      <c r="DZ10" s="83"/>
      <c r="EA10" s="78">
        <f t="shared" si="55"/>
        <v>0</v>
      </c>
      <c r="EB10" s="83"/>
      <c r="EC10" s="78">
        <f t="shared" si="51"/>
        <v>0</v>
      </c>
      <c r="ED10" s="92"/>
      <c r="EE10" s="78">
        <f t="shared" si="51"/>
        <v>0</v>
      </c>
      <c r="EF10" s="92"/>
      <c r="EG10" s="78">
        <f t="shared" si="52"/>
        <v>0</v>
      </c>
      <c r="EH10" s="92">
        <v>57</v>
      </c>
      <c r="EI10" s="93">
        <v>147</v>
      </c>
      <c r="EJ10" s="91">
        <v>0.43</v>
      </c>
      <c r="EK10" s="94"/>
      <c r="EL10" s="92"/>
      <c r="EM10" s="93"/>
      <c r="EN10" s="96">
        <v>11.1</v>
      </c>
      <c r="EO10" s="96">
        <v>12.9</v>
      </c>
      <c r="EP10" s="96">
        <v>12.2</v>
      </c>
    </row>
    <row r="11" spans="1:146" s="20" customFormat="1" ht="15.75" thickBot="1" x14ac:dyDescent="0.25">
      <c r="A11" s="58">
        <v>44477</v>
      </c>
      <c r="B11" s="65">
        <v>7932073</v>
      </c>
      <c r="C11" s="60">
        <f t="shared" si="1"/>
        <v>15624</v>
      </c>
      <c r="D11" s="65">
        <v>7103078</v>
      </c>
      <c r="E11" s="60">
        <f t="shared" si="2"/>
        <v>15510</v>
      </c>
      <c r="F11" s="111">
        <f t="shared" si="3"/>
        <v>0.99270353302611369</v>
      </c>
      <c r="G11" s="61">
        <v>728</v>
      </c>
      <c r="H11" s="61">
        <v>552</v>
      </c>
      <c r="I11" s="62">
        <v>289262</v>
      </c>
      <c r="J11" s="63">
        <f t="shared" si="4"/>
        <v>0</v>
      </c>
      <c r="K11" s="64">
        <v>794</v>
      </c>
      <c r="L11" s="60">
        <v>0</v>
      </c>
      <c r="M11" s="65">
        <v>636988</v>
      </c>
      <c r="N11" s="63">
        <f t="shared" si="6"/>
        <v>0</v>
      </c>
      <c r="O11" s="65">
        <v>1015</v>
      </c>
      <c r="P11" s="63">
        <f t="shared" si="7"/>
        <v>0</v>
      </c>
      <c r="Q11" s="65">
        <v>2576536</v>
      </c>
      <c r="R11" s="63">
        <f t="shared" si="7"/>
        <v>971</v>
      </c>
      <c r="S11" s="65">
        <v>2200062</v>
      </c>
      <c r="T11" s="63">
        <f t="shared" si="8"/>
        <v>440</v>
      </c>
      <c r="U11" s="65">
        <v>125613</v>
      </c>
      <c r="V11" s="63">
        <f t="shared" si="8"/>
        <v>242</v>
      </c>
      <c r="W11" s="123"/>
      <c r="X11" s="113">
        <f>7/9</f>
        <v>0.77777777777777779</v>
      </c>
      <c r="Y11" s="67">
        <f t="shared" si="58"/>
        <v>311.11111111111114</v>
      </c>
      <c r="Z11" s="64">
        <v>1</v>
      </c>
      <c r="AA11" s="65">
        <v>154128</v>
      </c>
      <c r="AB11" s="60">
        <f t="shared" si="9"/>
        <v>0</v>
      </c>
      <c r="AC11" s="72">
        <v>41931</v>
      </c>
      <c r="AD11" s="68">
        <f t="shared" si="10"/>
        <v>58</v>
      </c>
      <c r="AE11" s="65">
        <v>1150</v>
      </c>
      <c r="AF11" s="69">
        <f t="shared" si="10"/>
        <v>1</v>
      </c>
      <c r="AG11" s="61">
        <v>4647</v>
      </c>
      <c r="AH11" s="70">
        <f t="shared" si="56"/>
        <v>0</v>
      </c>
      <c r="AI11" s="19"/>
      <c r="AJ11" s="19"/>
      <c r="AK11" s="61">
        <v>589630</v>
      </c>
      <c r="AL11" s="63">
        <f t="shared" si="11"/>
        <v>310</v>
      </c>
      <c r="AM11" s="75">
        <v>1285</v>
      </c>
      <c r="AN11" s="60">
        <f t="shared" si="12"/>
        <v>1</v>
      </c>
      <c r="AO11" s="61">
        <v>52869</v>
      </c>
      <c r="AP11" s="74">
        <f t="shared" si="13"/>
        <v>17</v>
      </c>
      <c r="AQ11" s="61">
        <v>8960</v>
      </c>
      <c r="AR11" s="60">
        <f t="shared" si="14"/>
        <v>2</v>
      </c>
      <c r="AS11" s="65">
        <v>10613</v>
      </c>
      <c r="AT11" s="60">
        <f t="shared" si="14"/>
        <v>1</v>
      </c>
      <c r="AU11" s="61">
        <v>14847</v>
      </c>
      <c r="AV11" s="60">
        <f t="shared" si="14"/>
        <v>11</v>
      </c>
      <c r="AW11" s="65">
        <v>19416</v>
      </c>
      <c r="AX11" s="60">
        <f t="shared" si="14"/>
        <v>6</v>
      </c>
      <c r="AY11" s="59">
        <v>20706</v>
      </c>
      <c r="AZ11" s="68">
        <f t="shared" si="15"/>
        <v>2</v>
      </c>
      <c r="BA11" s="65">
        <v>13900</v>
      </c>
      <c r="BB11" s="60">
        <f t="shared" si="16"/>
        <v>1</v>
      </c>
      <c r="BC11" s="59">
        <v>6265</v>
      </c>
      <c r="BD11" s="60">
        <f t="shared" si="17"/>
        <v>2</v>
      </c>
      <c r="BE11" s="61">
        <v>26758</v>
      </c>
      <c r="BF11" s="60">
        <f t="shared" si="18"/>
        <v>5</v>
      </c>
      <c r="BG11" s="61">
        <v>11803</v>
      </c>
      <c r="BH11" s="60">
        <f t="shared" si="19"/>
        <v>98</v>
      </c>
      <c r="BI11">
        <v>4408</v>
      </c>
      <c r="BJ11" s="60">
        <f t="shared" si="20"/>
        <v>5</v>
      </c>
      <c r="BK11" s="65">
        <v>3636</v>
      </c>
      <c r="BL11" s="60">
        <f t="shared" si="53"/>
        <v>0</v>
      </c>
      <c r="BM11" s="68">
        <f t="shared" si="21"/>
        <v>14</v>
      </c>
      <c r="BN11" s="68">
        <f t="shared" si="22"/>
        <v>296</v>
      </c>
      <c r="BO11" s="61">
        <v>609280</v>
      </c>
      <c r="BP11" s="68">
        <f t="shared" si="23"/>
        <v>170</v>
      </c>
      <c r="BQ11" s="75">
        <v>983</v>
      </c>
      <c r="BR11" s="60">
        <f t="shared" si="24"/>
        <v>0</v>
      </c>
      <c r="BS11" s="61">
        <v>792460</v>
      </c>
      <c r="BT11" s="68">
        <f t="shared" si="25"/>
        <v>390</v>
      </c>
      <c r="BU11" s="75">
        <v>9425</v>
      </c>
      <c r="BV11" s="68">
        <f t="shared" si="26"/>
        <v>34</v>
      </c>
      <c r="BW11" s="78">
        <f t="shared" ref="BW11:BW34" si="59">BT11-AL11</f>
        <v>80</v>
      </c>
      <c r="BX11" s="68">
        <f t="shared" si="28"/>
        <v>560</v>
      </c>
      <c r="BY11" s="80">
        <f t="shared" si="54"/>
        <v>140</v>
      </c>
      <c r="BZ11" s="59">
        <v>109</v>
      </c>
      <c r="CA11" s="81">
        <f t="shared" si="29"/>
        <v>13102.02326604979</v>
      </c>
      <c r="CB11" s="65"/>
      <c r="CC11" s="82">
        <f t="shared" si="30"/>
        <v>0</v>
      </c>
      <c r="CD11" s="65">
        <v>211012</v>
      </c>
      <c r="CE11" s="68">
        <f t="shared" si="31"/>
        <v>142</v>
      </c>
      <c r="CF11" s="78">
        <f t="shared" si="32"/>
        <v>810.82</v>
      </c>
      <c r="CG11" s="65">
        <v>58</v>
      </c>
      <c r="CH11" s="85">
        <f t="shared" si="33"/>
        <v>6249.5</v>
      </c>
      <c r="CI11" s="65">
        <v>54</v>
      </c>
      <c r="CJ11" s="86">
        <f t="shared" si="34"/>
        <v>5818.5</v>
      </c>
      <c r="CK11" s="65">
        <v>55</v>
      </c>
      <c r="CL11" s="87">
        <f t="shared" si="35"/>
        <v>5926.25</v>
      </c>
      <c r="CM11" s="88">
        <f t="shared" si="36"/>
        <v>17994.25</v>
      </c>
      <c r="CN11" s="89">
        <f t="shared" si="37"/>
        <v>862</v>
      </c>
      <c r="CO11" s="65"/>
      <c r="CP11" s="65">
        <v>35364</v>
      </c>
      <c r="CQ11" s="68">
        <f t="shared" si="38"/>
        <v>22</v>
      </c>
      <c r="CR11" s="78">
        <f t="shared" si="39"/>
        <v>53.68</v>
      </c>
      <c r="CS11" s="65">
        <v>34391</v>
      </c>
      <c r="CT11" s="68">
        <f t="shared" si="40"/>
        <v>6</v>
      </c>
      <c r="CU11" s="78">
        <f t="shared" si="41"/>
        <v>14.64</v>
      </c>
      <c r="CV11" s="65">
        <v>10327</v>
      </c>
      <c r="CW11" s="68">
        <f t="shared" si="57"/>
        <v>17</v>
      </c>
      <c r="CX11" s="78">
        <f t="shared" si="42"/>
        <v>41.48</v>
      </c>
      <c r="CY11" s="65">
        <v>833540</v>
      </c>
      <c r="CZ11" s="68">
        <f t="shared" si="43"/>
        <v>50</v>
      </c>
      <c r="DA11" s="78">
        <f t="shared" si="44"/>
        <v>122</v>
      </c>
      <c r="DB11" s="65">
        <v>6429</v>
      </c>
      <c r="DC11" s="68">
        <f t="shared" si="45"/>
        <v>9</v>
      </c>
      <c r="DD11" s="78">
        <f t="shared" si="46"/>
        <v>21.51</v>
      </c>
      <c r="DE11" s="65">
        <v>7760</v>
      </c>
      <c r="DF11" s="68">
        <f t="shared" si="47"/>
        <v>8</v>
      </c>
      <c r="DG11" s="68">
        <f t="shared" si="47"/>
        <v>0</v>
      </c>
      <c r="DH11" s="65">
        <v>4548</v>
      </c>
      <c r="DI11" s="68">
        <f t="shared" si="48"/>
        <v>3</v>
      </c>
      <c r="DJ11" s="68">
        <f t="shared" si="48"/>
        <v>0</v>
      </c>
      <c r="DK11" s="65">
        <v>1886</v>
      </c>
      <c r="DL11" s="68">
        <f t="shared" si="48"/>
        <v>1</v>
      </c>
      <c r="DM11" s="68" t="str">
        <f t="shared" si="48"/>
        <v>0</v>
      </c>
      <c r="DN11" s="65">
        <v>5142</v>
      </c>
      <c r="DO11" s="68">
        <f t="shared" si="48"/>
        <v>8</v>
      </c>
      <c r="DP11" s="68">
        <f t="shared" si="48"/>
        <v>0</v>
      </c>
      <c r="DQ11" s="65">
        <v>4671</v>
      </c>
      <c r="DR11" s="68">
        <f t="shared" si="48"/>
        <v>7</v>
      </c>
      <c r="DS11" s="68" t="str">
        <f t="shared" si="48"/>
        <v>0</v>
      </c>
      <c r="DT11" s="65">
        <v>5464</v>
      </c>
      <c r="DU11" s="68">
        <f t="shared" si="48"/>
        <v>9</v>
      </c>
      <c r="DV11" s="68">
        <v>0</v>
      </c>
      <c r="DW11" s="65">
        <v>5476</v>
      </c>
      <c r="DX11" s="68">
        <f t="shared" si="49"/>
        <v>4</v>
      </c>
      <c r="DY11" s="78">
        <f t="shared" si="50"/>
        <v>9.56</v>
      </c>
      <c r="DZ11" s="83"/>
      <c r="EA11" s="78">
        <f t="shared" si="55"/>
        <v>0</v>
      </c>
      <c r="EB11" s="83"/>
      <c r="EC11" s="78">
        <f t="shared" si="51"/>
        <v>0</v>
      </c>
      <c r="ED11" s="92"/>
      <c r="EE11" s="78">
        <f t="shared" si="51"/>
        <v>0</v>
      </c>
      <c r="EF11" s="92"/>
      <c r="EG11" s="78">
        <f t="shared" si="52"/>
        <v>0</v>
      </c>
      <c r="EH11" s="92">
        <v>58</v>
      </c>
      <c r="EI11" s="93">
        <v>146</v>
      </c>
      <c r="EJ11" s="91">
        <v>0.44</v>
      </c>
      <c r="EK11" s="94"/>
      <c r="EL11" s="92"/>
      <c r="EM11" s="93"/>
      <c r="EN11" s="96">
        <v>12.3</v>
      </c>
      <c r="EO11" s="96">
        <v>12.7</v>
      </c>
      <c r="EP11" s="96">
        <v>12.4</v>
      </c>
    </row>
    <row r="12" spans="1:146" s="20" customFormat="1" ht="15.75" thickBot="1" x14ac:dyDescent="0.25">
      <c r="A12" s="58">
        <v>44478</v>
      </c>
      <c r="B12" s="65">
        <v>7946849</v>
      </c>
      <c r="C12" s="60">
        <f t="shared" si="1"/>
        <v>14776</v>
      </c>
      <c r="D12" s="65">
        <v>7117713</v>
      </c>
      <c r="E12" s="60">
        <f t="shared" si="2"/>
        <v>14635</v>
      </c>
      <c r="F12" s="111">
        <f t="shared" si="3"/>
        <v>0.99045749864645372</v>
      </c>
      <c r="G12" s="61">
        <v>760</v>
      </c>
      <c r="H12" s="61">
        <v>552</v>
      </c>
      <c r="I12" s="62">
        <v>289262</v>
      </c>
      <c r="J12" s="63">
        <f t="shared" si="4"/>
        <v>0</v>
      </c>
      <c r="K12" s="64">
        <v>794</v>
      </c>
      <c r="L12" s="60">
        <v>0</v>
      </c>
      <c r="M12" s="65">
        <v>636988</v>
      </c>
      <c r="N12" s="63">
        <f t="shared" si="6"/>
        <v>0</v>
      </c>
      <c r="O12" s="65">
        <v>1015</v>
      </c>
      <c r="P12" s="63">
        <f t="shared" si="7"/>
        <v>0</v>
      </c>
      <c r="Q12" s="65">
        <v>2577507</v>
      </c>
      <c r="R12" s="63">
        <f t="shared" si="7"/>
        <v>971</v>
      </c>
      <c r="S12" s="65">
        <v>2200446</v>
      </c>
      <c r="T12" s="63">
        <f t="shared" si="8"/>
        <v>384</v>
      </c>
      <c r="U12" s="65">
        <v>125817</v>
      </c>
      <c r="V12" s="63">
        <f t="shared" si="8"/>
        <v>204</v>
      </c>
      <c r="W12" s="123"/>
      <c r="X12" s="113">
        <f>9/9</f>
        <v>1</v>
      </c>
      <c r="Y12" s="67">
        <f t="shared" si="58"/>
        <v>400</v>
      </c>
      <c r="Z12" s="64">
        <v>4</v>
      </c>
      <c r="AA12" s="65">
        <v>154128</v>
      </c>
      <c r="AB12" s="60">
        <f t="shared" si="9"/>
        <v>0</v>
      </c>
      <c r="AC12" s="72">
        <v>41966</v>
      </c>
      <c r="AD12" s="68">
        <f t="shared" si="10"/>
        <v>35</v>
      </c>
      <c r="AE12" s="65">
        <v>1150</v>
      </c>
      <c r="AF12" s="69">
        <f t="shared" si="10"/>
        <v>0</v>
      </c>
      <c r="AG12" s="61">
        <v>4647</v>
      </c>
      <c r="AH12" s="70">
        <f t="shared" si="56"/>
        <v>0</v>
      </c>
      <c r="AI12" s="19"/>
      <c r="AJ12" s="19"/>
      <c r="AK12" s="61">
        <v>589740</v>
      </c>
      <c r="AL12" s="63">
        <f t="shared" si="11"/>
        <v>110</v>
      </c>
      <c r="AM12" s="75">
        <v>1289</v>
      </c>
      <c r="AN12" s="60">
        <f t="shared" si="12"/>
        <v>4</v>
      </c>
      <c r="AO12" s="61">
        <v>52886</v>
      </c>
      <c r="AP12" s="74">
        <f t="shared" si="13"/>
        <v>17</v>
      </c>
      <c r="AQ12" s="61">
        <v>8962</v>
      </c>
      <c r="AR12" s="60">
        <f t="shared" si="14"/>
        <v>2</v>
      </c>
      <c r="AS12" s="65">
        <v>10614</v>
      </c>
      <c r="AT12" s="60">
        <f t="shared" si="14"/>
        <v>1</v>
      </c>
      <c r="AU12" s="61">
        <v>14864</v>
      </c>
      <c r="AV12" s="60">
        <f t="shared" si="14"/>
        <v>17</v>
      </c>
      <c r="AW12" s="65">
        <v>19423</v>
      </c>
      <c r="AX12" s="60">
        <f t="shared" si="14"/>
        <v>7</v>
      </c>
      <c r="AY12" s="59">
        <v>20708</v>
      </c>
      <c r="AZ12" s="68">
        <f t="shared" si="15"/>
        <v>2</v>
      </c>
      <c r="BA12" s="65">
        <v>13903</v>
      </c>
      <c r="BB12" s="60">
        <f t="shared" si="16"/>
        <v>3</v>
      </c>
      <c r="BC12" s="59">
        <v>6268</v>
      </c>
      <c r="BD12" s="60">
        <f t="shared" si="17"/>
        <v>3</v>
      </c>
      <c r="BE12" s="61">
        <v>26761</v>
      </c>
      <c r="BF12" s="60">
        <f t="shared" si="18"/>
        <v>3</v>
      </c>
      <c r="BG12" s="61">
        <v>11890</v>
      </c>
      <c r="BH12" s="60">
        <f t="shared" si="19"/>
        <v>87</v>
      </c>
      <c r="BI12">
        <v>4413</v>
      </c>
      <c r="BJ12" s="60">
        <f t="shared" si="20"/>
        <v>5</v>
      </c>
      <c r="BK12" s="65">
        <v>3636</v>
      </c>
      <c r="BL12" s="60">
        <f t="shared" si="53"/>
        <v>0</v>
      </c>
      <c r="BM12" s="68">
        <f t="shared" si="21"/>
        <v>22</v>
      </c>
      <c r="BN12" s="68">
        <f t="shared" si="22"/>
        <v>88</v>
      </c>
      <c r="BO12" s="65">
        <v>609420</v>
      </c>
      <c r="BP12" s="68">
        <f t="shared" si="23"/>
        <v>140</v>
      </c>
      <c r="BQ12" s="75">
        <v>984</v>
      </c>
      <c r="BR12" s="60">
        <f t="shared" si="24"/>
        <v>1</v>
      </c>
      <c r="BS12" s="61">
        <v>792660</v>
      </c>
      <c r="BT12" s="68">
        <f t="shared" si="25"/>
        <v>200</v>
      </c>
      <c r="BU12" s="75">
        <v>9457</v>
      </c>
      <c r="BV12" s="68">
        <f t="shared" si="26"/>
        <v>32</v>
      </c>
      <c r="BW12" s="78">
        <f t="shared" si="59"/>
        <v>90</v>
      </c>
      <c r="BX12" s="68">
        <f t="shared" si="28"/>
        <v>340</v>
      </c>
      <c r="BY12" s="80">
        <f t="shared" si="54"/>
        <v>139</v>
      </c>
      <c r="BZ12" s="59">
        <v>109</v>
      </c>
      <c r="CA12" s="81">
        <f t="shared" si="29"/>
        <v>13102.02326604979</v>
      </c>
      <c r="CB12" s="65"/>
      <c r="CC12" s="82">
        <f t="shared" si="30"/>
        <v>0</v>
      </c>
      <c r="CD12" s="65">
        <v>211156</v>
      </c>
      <c r="CE12" s="68">
        <f t="shared" si="31"/>
        <v>144</v>
      </c>
      <c r="CF12" s="78">
        <f t="shared" si="32"/>
        <v>822.24</v>
      </c>
      <c r="CG12" s="65">
        <v>55</v>
      </c>
      <c r="CH12" s="85">
        <f t="shared" si="33"/>
        <v>5926.25</v>
      </c>
      <c r="CI12" s="65">
        <v>51</v>
      </c>
      <c r="CJ12" s="86">
        <f t="shared" si="34"/>
        <v>5495.25</v>
      </c>
      <c r="CK12" s="65">
        <v>52</v>
      </c>
      <c r="CL12" s="87">
        <f t="shared" si="35"/>
        <v>5603</v>
      </c>
      <c r="CM12" s="88">
        <f t="shared" si="36"/>
        <v>17024.5</v>
      </c>
      <c r="CN12" s="89">
        <f t="shared" si="37"/>
        <v>969.75</v>
      </c>
      <c r="CO12" s="65"/>
      <c r="CP12" s="65">
        <v>35399</v>
      </c>
      <c r="CQ12" s="68">
        <f t="shared" si="38"/>
        <v>35</v>
      </c>
      <c r="CR12" s="78">
        <f t="shared" si="39"/>
        <v>85.399999999999991</v>
      </c>
      <c r="CS12" s="65">
        <v>34396</v>
      </c>
      <c r="CT12" s="68">
        <f t="shared" si="40"/>
        <v>5</v>
      </c>
      <c r="CU12" s="78">
        <f t="shared" si="41"/>
        <v>12.2</v>
      </c>
      <c r="CV12" s="65">
        <v>10345</v>
      </c>
      <c r="CW12" s="68">
        <f t="shared" si="57"/>
        <v>18</v>
      </c>
      <c r="CX12" s="78">
        <f t="shared" si="42"/>
        <v>43.92</v>
      </c>
      <c r="CY12" s="65">
        <v>833590</v>
      </c>
      <c r="CZ12" s="68">
        <f t="shared" si="43"/>
        <v>50</v>
      </c>
      <c r="DA12" s="78">
        <f t="shared" si="44"/>
        <v>122</v>
      </c>
      <c r="DB12" s="65">
        <v>6437</v>
      </c>
      <c r="DC12" s="68">
        <f t="shared" si="45"/>
        <v>8</v>
      </c>
      <c r="DD12" s="78">
        <f t="shared" si="46"/>
        <v>19.12</v>
      </c>
      <c r="DE12" s="65">
        <v>7768</v>
      </c>
      <c r="DF12" s="68">
        <f t="shared" si="47"/>
        <v>8</v>
      </c>
      <c r="DG12" s="68">
        <f t="shared" si="47"/>
        <v>0</v>
      </c>
      <c r="DH12" s="65">
        <v>4550</v>
      </c>
      <c r="DI12" s="68">
        <f t="shared" si="48"/>
        <v>2</v>
      </c>
      <c r="DJ12" s="68" t="str">
        <f t="shared" si="48"/>
        <v>0</v>
      </c>
      <c r="DK12" s="65">
        <v>1887</v>
      </c>
      <c r="DL12" s="68">
        <f t="shared" si="48"/>
        <v>1</v>
      </c>
      <c r="DM12" s="68">
        <f t="shared" si="48"/>
        <v>0</v>
      </c>
      <c r="DN12" s="65">
        <v>5150</v>
      </c>
      <c r="DO12" s="68">
        <f t="shared" si="48"/>
        <v>8</v>
      </c>
      <c r="DP12" s="68">
        <f t="shared" si="48"/>
        <v>0</v>
      </c>
      <c r="DQ12" s="65">
        <v>4680</v>
      </c>
      <c r="DR12" s="68">
        <f t="shared" si="48"/>
        <v>9</v>
      </c>
      <c r="DS12" s="68">
        <f t="shared" si="48"/>
        <v>2</v>
      </c>
      <c r="DT12" s="65">
        <v>5473</v>
      </c>
      <c r="DU12" s="68">
        <f t="shared" si="48"/>
        <v>9</v>
      </c>
      <c r="DV12" s="68">
        <f t="shared" si="48"/>
        <v>0</v>
      </c>
      <c r="DW12" s="65">
        <v>5481</v>
      </c>
      <c r="DX12" s="68">
        <f t="shared" si="49"/>
        <v>5</v>
      </c>
      <c r="DY12" s="78">
        <f t="shared" si="50"/>
        <v>11.950000000000001</v>
      </c>
      <c r="DZ12" s="83"/>
      <c r="EA12" s="78">
        <f t="shared" si="55"/>
        <v>0</v>
      </c>
      <c r="EB12" s="83"/>
      <c r="EC12" s="78">
        <f t="shared" si="51"/>
        <v>0</v>
      </c>
      <c r="ED12" s="92"/>
      <c r="EE12" s="78">
        <f t="shared" si="51"/>
        <v>0</v>
      </c>
      <c r="EF12" s="92"/>
      <c r="EG12" s="78">
        <f t="shared" si="52"/>
        <v>0</v>
      </c>
      <c r="EH12" s="92">
        <v>62</v>
      </c>
      <c r="EI12" s="93">
        <v>154</v>
      </c>
      <c r="EJ12" s="91">
        <v>0.47</v>
      </c>
      <c r="EK12" s="94"/>
      <c r="EL12" s="92"/>
      <c r="EM12" s="93"/>
      <c r="EN12" s="96">
        <v>12.9</v>
      </c>
      <c r="EO12" s="96">
        <v>11.3</v>
      </c>
      <c r="EP12" s="96">
        <v>12.9</v>
      </c>
    </row>
    <row r="13" spans="1:146" s="20" customFormat="1" ht="15.75" thickBot="1" x14ac:dyDescent="0.25">
      <c r="A13" s="58">
        <v>44479</v>
      </c>
      <c r="B13" s="65">
        <v>7963539</v>
      </c>
      <c r="C13" s="60">
        <f t="shared" si="1"/>
        <v>16690</v>
      </c>
      <c r="D13" s="65">
        <v>7134259</v>
      </c>
      <c r="E13" s="60">
        <f t="shared" si="2"/>
        <v>16546</v>
      </c>
      <c r="F13" s="111">
        <f t="shared" si="3"/>
        <v>0.99137207908927505</v>
      </c>
      <c r="G13" s="61">
        <v>760</v>
      </c>
      <c r="H13" s="61">
        <v>552</v>
      </c>
      <c r="I13" s="62">
        <v>289262</v>
      </c>
      <c r="J13" s="63">
        <f t="shared" si="4"/>
        <v>0</v>
      </c>
      <c r="K13" s="64">
        <v>794</v>
      </c>
      <c r="L13" s="60">
        <v>0</v>
      </c>
      <c r="M13" s="65">
        <v>636988</v>
      </c>
      <c r="N13" s="63">
        <f t="shared" si="6"/>
        <v>0</v>
      </c>
      <c r="O13" s="65">
        <v>1015</v>
      </c>
      <c r="P13" s="63">
        <f t="shared" si="7"/>
        <v>0</v>
      </c>
      <c r="Q13" s="65">
        <v>2577794</v>
      </c>
      <c r="R13" s="63">
        <f t="shared" si="7"/>
        <v>287</v>
      </c>
      <c r="S13" s="65">
        <v>2200838</v>
      </c>
      <c r="T13" s="63">
        <f t="shared" si="8"/>
        <v>392</v>
      </c>
      <c r="U13" s="65">
        <v>126021</v>
      </c>
      <c r="V13" s="63">
        <f t="shared" si="8"/>
        <v>204</v>
      </c>
      <c r="W13" s="123"/>
      <c r="X13" s="113">
        <f>9/9</f>
        <v>1</v>
      </c>
      <c r="Y13" s="67">
        <f t="shared" si="58"/>
        <v>400</v>
      </c>
      <c r="Z13" s="64">
        <v>0</v>
      </c>
      <c r="AA13" s="65">
        <v>154128</v>
      </c>
      <c r="AB13" s="60">
        <f t="shared" si="9"/>
        <v>0</v>
      </c>
      <c r="AC13" s="61">
        <v>42008</v>
      </c>
      <c r="AD13" s="68">
        <f t="shared" si="10"/>
        <v>42</v>
      </c>
      <c r="AE13" s="65">
        <v>1150</v>
      </c>
      <c r="AF13" s="69">
        <f t="shared" si="10"/>
        <v>0</v>
      </c>
      <c r="AG13" s="61">
        <v>4647</v>
      </c>
      <c r="AH13" s="70">
        <f t="shared" si="56"/>
        <v>0</v>
      </c>
      <c r="AI13" s="19"/>
      <c r="AJ13" s="19"/>
      <c r="AK13" s="61">
        <v>589870</v>
      </c>
      <c r="AL13" s="63">
        <f t="shared" si="11"/>
        <v>130</v>
      </c>
      <c r="AM13" s="75">
        <v>1289</v>
      </c>
      <c r="AN13" s="60">
        <f t="shared" si="12"/>
        <v>0</v>
      </c>
      <c r="AO13" s="61">
        <v>52905</v>
      </c>
      <c r="AP13" s="74">
        <f t="shared" si="13"/>
        <v>19</v>
      </c>
      <c r="AQ13" s="61">
        <v>8964</v>
      </c>
      <c r="AR13" s="60">
        <f t="shared" si="14"/>
        <v>2</v>
      </c>
      <c r="AS13" s="65">
        <v>10615</v>
      </c>
      <c r="AT13" s="60">
        <f t="shared" si="14"/>
        <v>1</v>
      </c>
      <c r="AU13" s="61">
        <v>14874</v>
      </c>
      <c r="AV13" s="60">
        <f t="shared" si="14"/>
        <v>10</v>
      </c>
      <c r="AW13" s="65">
        <v>19432</v>
      </c>
      <c r="AX13" s="60">
        <f t="shared" si="14"/>
        <v>9</v>
      </c>
      <c r="AY13" s="59">
        <v>20711</v>
      </c>
      <c r="AZ13" s="68">
        <f t="shared" si="15"/>
        <v>3</v>
      </c>
      <c r="BA13" s="65">
        <v>13905</v>
      </c>
      <c r="BB13" s="60">
        <f t="shared" si="16"/>
        <v>2</v>
      </c>
      <c r="BC13" s="59">
        <v>6271</v>
      </c>
      <c r="BD13" s="60">
        <f t="shared" si="17"/>
        <v>3</v>
      </c>
      <c r="BE13" s="65">
        <v>26765</v>
      </c>
      <c r="BF13" s="60">
        <f t="shared" si="18"/>
        <v>4</v>
      </c>
      <c r="BG13" s="61">
        <v>11988</v>
      </c>
      <c r="BH13" s="60">
        <f t="shared" si="19"/>
        <v>98</v>
      </c>
      <c r="BI13">
        <v>4418</v>
      </c>
      <c r="BJ13" s="60">
        <f t="shared" si="20"/>
        <v>5</v>
      </c>
      <c r="BK13" s="65">
        <v>3636</v>
      </c>
      <c r="BL13" s="60">
        <f t="shared" si="53"/>
        <v>0</v>
      </c>
      <c r="BM13" s="68">
        <f t="shared" si="21"/>
        <v>15</v>
      </c>
      <c r="BN13" s="68">
        <f t="shared" si="22"/>
        <v>115</v>
      </c>
      <c r="BO13" s="65">
        <v>609530</v>
      </c>
      <c r="BP13" s="68">
        <f>IF((BO13-BO12)&lt;0,"0",(BO13-BO12))</f>
        <v>110</v>
      </c>
      <c r="BQ13" s="75">
        <v>985</v>
      </c>
      <c r="BR13" s="60">
        <f t="shared" si="24"/>
        <v>1</v>
      </c>
      <c r="BS13" s="61">
        <v>792950</v>
      </c>
      <c r="BT13" s="68">
        <f t="shared" si="25"/>
        <v>290</v>
      </c>
      <c r="BU13" s="75">
        <v>9498</v>
      </c>
      <c r="BV13" s="68">
        <f t="shared" si="26"/>
        <v>41</v>
      </c>
      <c r="BW13" s="78">
        <f t="shared" si="59"/>
        <v>160</v>
      </c>
      <c r="BX13" s="68">
        <f t="shared" si="28"/>
        <v>400</v>
      </c>
      <c r="BY13" s="80">
        <f t="shared" si="54"/>
        <v>147</v>
      </c>
      <c r="BZ13" s="59">
        <v>109</v>
      </c>
      <c r="CA13" s="81">
        <f t="shared" si="29"/>
        <v>13102.02326604979</v>
      </c>
      <c r="CB13" s="84"/>
      <c r="CC13" s="82">
        <f t="shared" si="30"/>
        <v>0</v>
      </c>
      <c r="CD13" s="65">
        <v>211298</v>
      </c>
      <c r="CE13" s="68">
        <f t="shared" si="31"/>
        <v>142</v>
      </c>
      <c r="CF13" s="78">
        <f t="shared" si="32"/>
        <v>810.82</v>
      </c>
      <c r="CG13" s="65">
        <v>52</v>
      </c>
      <c r="CH13" s="85">
        <f t="shared" si="33"/>
        <v>5603</v>
      </c>
      <c r="CI13" s="65">
        <v>50</v>
      </c>
      <c r="CJ13" s="86">
        <f t="shared" si="34"/>
        <v>5387.5</v>
      </c>
      <c r="CK13" s="65">
        <v>49</v>
      </c>
      <c r="CL13" s="87">
        <f t="shared" si="35"/>
        <v>5279.75</v>
      </c>
      <c r="CM13" s="88">
        <f t="shared" si="36"/>
        <v>16270.25</v>
      </c>
      <c r="CN13" s="89">
        <f t="shared" si="37"/>
        <v>754.25</v>
      </c>
      <c r="CO13" s="65"/>
      <c r="CP13" s="65">
        <v>35429</v>
      </c>
      <c r="CQ13" s="68">
        <f t="shared" si="38"/>
        <v>30</v>
      </c>
      <c r="CR13" s="78">
        <f t="shared" si="39"/>
        <v>73.2</v>
      </c>
      <c r="CS13" s="65">
        <v>34402</v>
      </c>
      <c r="CT13" s="68">
        <f t="shared" si="40"/>
        <v>6</v>
      </c>
      <c r="CU13" s="78">
        <f t="shared" si="41"/>
        <v>14.64</v>
      </c>
      <c r="CV13" s="65">
        <v>10364</v>
      </c>
      <c r="CW13" s="68">
        <f t="shared" si="57"/>
        <v>19</v>
      </c>
      <c r="CX13" s="78">
        <f t="shared" si="42"/>
        <v>46.36</v>
      </c>
      <c r="CY13" s="65">
        <v>833540</v>
      </c>
      <c r="CZ13" s="68" t="str">
        <f t="shared" si="43"/>
        <v>0</v>
      </c>
      <c r="DA13" s="78">
        <f t="shared" si="44"/>
        <v>0</v>
      </c>
      <c r="DB13" s="65">
        <v>6447</v>
      </c>
      <c r="DC13" s="68">
        <f t="shared" si="45"/>
        <v>10</v>
      </c>
      <c r="DD13" s="78">
        <f t="shared" si="46"/>
        <v>23.900000000000002</v>
      </c>
      <c r="DE13" s="65">
        <v>7776</v>
      </c>
      <c r="DF13" s="68">
        <f t="shared" si="47"/>
        <v>8</v>
      </c>
      <c r="DG13" s="68">
        <f t="shared" si="47"/>
        <v>0</v>
      </c>
      <c r="DH13" s="65">
        <v>4553</v>
      </c>
      <c r="DI13" s="68">
        <f t="shared" si="48"/>
        <v>3</v>
      </c>
      <c r="DJ13" s="68">
        <f t="shared" si="48"/>
        <v>1</v>
      </c>
      <c r="DK13" s="65">
        <v>1888</v>
      </c>
      <c r="DL13" s="68">
        <f t="shared" si="48"/>
        <v>1</v>
      </c>
      <c r="DM13" s="68">
        <f t="shared" si="48"/>
        <v>0</v>
      </c>
      <c r="DN13" s="65">
        <v>5158</v>
      </c>
      <c r="DO13" s="68">
        <f t="shared" si="48"/>
        <v>8</v>
      </c>
      <c r="DP13" s="68">
        <f t="shared" si="48"/>
        <v>0</v>
      </c>
      <c r="DQ13" s="65">
        <v>4689</v>
      </c>
      <c r="DR13" s="68">
        <f t="shared" si="48"/>
        <v>9</v>
      </c>
      <c r="DS13" s="68">
        <f t="shared" si="48"/>
        <v>0</v>
      </c>
      <c r="DT13" s="65">
        <v>5482</v>
      </c>
      <c r="DU13" s="68">
        <f t="shared" si="48"/>
        <v>9</v>
      </c>
      <c r="DV13" s="68">
        <f t="shared" si="48"/>
        <v>0</v>
      </c>
      <c r="DW13" s="65">
        <v>5486</v>
      </c>
      <c r="DX13" s="68">
        <f t="shared" si="49"/>
        <v>5</v>
      </c>
      <c r="DY13" s="78">
        <f t="shared" si="50"/>
        <v>11.950000000000001</v>
      </c>
      <c r="DZ13" s="83"/>
      <c r="EA13" s="78">
        <f t="shared" si="55"/>
        <v>0</v>
      </c>
      <c r="EB13" s="83"/>
      <c r="EC13" s="78">
        <f t="shared" si="51"/>
        <v>0</v>
      </c>
      <c r="ED13" s="92"/>
      <c r="EE13" s="78">
        <f t="shared" si="51"/>
        <v>0</v>
      </c>
      <c r="EF13" s="92"/>
      <c r="EG13" s="78">
        <f t="shared" si="52"/>
        <v>0</v>
      </c>
      <c r="EH13" s="92">
        <v>66</v>
      </c>
      <c r="EI13" s="93">
        <v>171</v>
      </c>
      <c r="EJ13" s="91">
        <v>0.5</v>
      </c>
      <c r="EK13" s="94"/>
      <c r="EL13" s="92"/>
      <c r="EM13" s="93"/>
      <c r="EN13" s="96">
        <v>12.8</v>
      </c>
      <c r="EO13" s="96">
        <v>13</v>
      </c>
      <c r="EP13" s="96">
        <v>12.9</v>
      </c>
    </row>
    <row r="14" spans="1:146" s="20" customFormat="1" ht="15.75" thickBot="1" x14ac:dyDescent="0.25">
      <c r="A14" s="58">
        <v>44480</v>
      </c>
      <c r="B14" s="65">
        <v>7979745</v>
      </c>
      <c r="C14" s="60">
        <f t="shared" si="1"/>
        <v>16206</v>
      </c>
      <c r="D14" s="65">
        <v>7150321</v>
      </c>
      <c r="E14" s="60">
        <f t="shared" si="2"/>
        <v>16062</v>
      </c>
      <c r="F14" s="111">
        <f t="shared" si="3"/>
        <v>0.99111440207330614</v>
      </c>
      <c r="G14" s="61">
        <v>888</v>
      </c>
      <c r="H14" s="61">
        <v>552</v>
      </c>
      <c r="I14" s="62">
        <v>289262</v>
      </c>
      <c r="J14" s="63">
        <f t="shared" si="4"/>
        <v>0</v>
      </c>
      <c r="K14" s="64">
        <v>794</v>
      </c>
      <c r="L14" s="60">
        <v>0</v>
      </c>
      <c r="M14" s="65">
        <v>636988</v>
      </c>
      <c r="N14" s="63">
        <f t="shared" si="6"/>
        <v>0</v>
      </c>
      <c r="O14" s="65">
        <v>1015</v>
      </c>
      <c r="P14" s="63">
        <f t="shared" si="7"/>
        <v>0</v>
      </c>
      <c r="Q14" s="65">
        <v>2580177</v>
      </c>
      <c r="R14" s="63">
        <f t="shared" si="7"/>
        <v>2383</v>
      </c>
      <c r="S14" s="65">
        <v>2201283</v>
      </c>
      <c r="T14" s="63">
        <f t="shared" si="8"/>
        <v>445</v>
      </c>
      <c r="U14" s="65">
        <v>126225</v>
      </c>
      <c r="V14" s="63">
        <f t="shared" si="8"/>
        <v>204</v>
      </c>
      <c r="W14" s="123"/>
      <c r="X14" s="113">
        <f>9/9</f>
        <v>1</v>
      </c>
      <c r="Y14" s="67">
        <f t="shared" si="58"/>
        <v>400</v>
      </c>
      <c r="Z14" s="64">
        <v>0</v>
      </c>
      <c r="AA14" s="65">
        <v>154128</v>
      </c>
      <c r="AB14" s="60">
        <f t="shared" si="9"/>
        <v>0</v>
      </c>
      <c r="AC14" s="61">
        <v>42055</v>
      </c>
      <c r="AD14" s="68">
        <f t="shared" si="10"/>
        <v>47</v>
      </c>
      <c r="AE14" s="65">
        <v>1150</v>
      </c>
      <c r="AF14" s="69">
        <f t="shared" si="10"/>
        <v>0</v>
      </c>
      <c r="AG14" s="61">
        <v>4647</v>
      </c>
      <c r="AH14" s="70">
        <f t="shared" si="56"/>
        <v>0</v>
      </c>
      <c r="AI14" s="19"/>
      <c r="AJ14" s="19"/>
      <c r="AK14" s="61">
        <v>590040</v>
      </c>
      <c r="AL14" s="63">
        <f t="shared" si="11"/>
        <v>170</v>
      </c>
      <c r="AM14" s="75">
        <v>1311</v>
      </c>
      <c r="AN14" s="60">
        <f t="shared" si="12"/>
        <v>22</v>
      </c>
      <c r="AO14" s="61">
        <v>52923</v>
      </c>
      <c r="AP14" s="74">
        <f t="shared" si="13"/>
        <v>18</v>
      </c>
      <c r="AQ14" s="61">
        <v>8966</v>
      </c>
      <c r="AR14" s="60">
        <f t="shared" si="14"/>
        <v>2</v>
      </c>
      <c r="AS14" s="65">
        <v>10617</v>
      </c>
      <c r="AT14" s="60">
        <f t="shared" si="14"/>
        <v>2</v>
      </c>
      <c r="AU14" s="61">
        <v>14890</v>
      </c>
      <c r="AV14" s="60">
        <f t="shared" si="14"/>
        <v>16</v>
      </c>
      <c r="AW14" s="65">
        <v>19440</v>
      </c>
      <c r="AX14" s="60">
        <f t="shared" si="14"/>
        <v>8</v>
      </c>
      <c r="AY14" s="59">
        <v>20715</v>
      </c>
      <c r="AZ14" s="68">
        <f t="shared" si="15"/>
        <v>4</v>
      </c>
      <c r="BA14" s="65">
        <v>13907</v>
      </c>
      <c r="BB14" s="60">
        <f t="shared" si="16"/>
        <v>2</v>
      </c>
      <c r="BC14" s="59">
        <v>6273</v>
      </c>
      <c r="BD14" s="60">
        <f t="shared" si="17"/>
        <v>2</v>
      </c>
      <c r="BE14" s="65">
        <v>26769</v>
      </c>
      <c r="BF14" s="60"/>
      <c r="BG14" s="61">
        <v>12080</v>
      </c>
      <c r="BH14" s="60">
        <f t="shared" si="19"/>
        <v>92</v>
      </c>
      <c r="BI14">
        <v>4423</v>
      </c>
      <c r="BJ14" s="60">
        <f t="shared" si="20"/>
        <v>5</v>
      </c>
      <c r="BK14" s="65">
        <v>3636</v>
      </c>
      <c r="BL14" s="60">
        <f t="shared" si="53"/>
        <v>0</v>
      </c>
      <c r="BM14" s="68">
        <f t="shared" si="21"/>
        <v>22</v>
      </c>
      <c r="BN14" s="68">
        <f t="shared" si="22"/>
        <v>148</v>
      </c>
      <c r="BO14" s="65">
        <v>609710</v>
      </c>
      <c r="BP14" s="68">
        <f t="shared" ref="BP14:BP34" si="60">IF((BO14-BO13)&lt;0,"0",(BO14-BO13))</f>
        <v>180</v>
      </c>
      <c r="BQ14" s="75">
        <v>986</v>
      </c>
      <c r="BR14" s="60">
        <f t="shared" si="24"/>
        <v>1</v>
      </c>
      <c r="BS14" s="61">
        <v>793230</v>
      </c>
      <c r="BT14" s="68">
        <f t="shared" si="25"/>
        <v>280</v>
      </c>
      <c r="BU14" s="75">
        <v>9549</v>
      </c>
      <c r="BV14" s="68">
        <f t="shared" si="26"/>
        <v>51</v>
      </c>
      <c r="BW14" s="78">
        <f t="shared" si="59"/>
        <v>110</v>
      </c>
      <c r="BX14" s="68">
        <f t="shared" si="28"/>
        <v>460</v>
      </c>
      <c r="BY14" s="80">
        <f t="shared" si="54"/>
        <v>146</v>
      </c>
      <c r="BZ14" s="59">
        <v>109</v>
      </c>
      <c r="CA14" s="81">
        <f t="shared" si="29"/>
        <v>13102.02326604979</v>
      </c>
      <c r="CB14" s="65"/>
      <c r="CC14" s="82">
        <f t="shared" si="30"/>
        <v>0</v>
      </c>
      <c r="CD14" s="65">
        <v>211467</v>
      </c>
      <c r="CE14" s="68">
        <f t="shared" si="31"/>
        <v>169</v>
      </c>
      <c r="CF14" s="78">
        <f t="shared" si="32"/>
        <v>964.99</v>
      </c>
      <c r="CG14" s="65">
        <v>49</v>
      </c>
      <c r="CH14" s="85">
        <f t="shared" si="33"/>
        <v>5279.75</v>
      </c>
      <c r="CI14" s="65">
        <v>46</v>
      </c>
      <c r="CJ14" s="86">
        <f t="shared" si="34"/>
        <v>4956.5</v>
      </c>
      <c r="CK14" s="65">
        <v>45</v>
      </c>
      <c r="CL14" s="87">
        <f t="shared" si="35"/>
        <v>4848.75</v>
      </c>
      <c r="CM14" s="88">
        <f t="shared" si="36"/>
        <v>15085</v>
      </c>
      <c r="CN14" s="89">
        <f t="shared" si="37"/>
        <v>1185.25</v>
      </c>
      <c r="CO14" s="65"/>
      <c r="CP14" s="65">
        <v>35469</v>
      </c>
      <c r="CQ14" s="68">
        <f t="shared" si="38"/>
        <v>40</v>
      </c>
      <c r="CR14" s="78">
        <f t="shared" si="39"/>
        <v>97.6</v>
      </c>
      <c r="CS14" s="65">
        <v>34408</v>
      </c>
      <c r="CT14" s="68">
        <f t="shared" si="40"/>
        <v>6</v>
      </c>
      <c r="CU14" s="78">
        <f t="shared" si="41"/>
        <v>14.64</v>
      </c>
      <c r="CV14" s="65">
        <v>10383</v>
      </c>
      <c r="CW14" s="68">
        <f t="shared" si="57"/>
        <v>19</v>
      </c>
      <c r="CX14" s="78">
        <f t="shared" si="42"/>
        <v>46.36</v>
      </c>
      <c r="CY14" s="65">
        <v>833700</v>
      </c>
      <c r="CZ14" s="68">
        <f t="shared" si="43"/>
        <v>160</v>
      </c>
      <c r="DA14" s="78">
        <f t="shared" si="44"/>
        <v>390.4</v>
      </c>
      <c r="DB14" s="65">
        <v>6455</v>
      </c>
      <c r="DC14" s="68">
        <f t="shared" si="45"/>
        <v>8</v>
      </c>
      <c r="DD14" s="78">
        <f t="shared" si="46"/>
        <v>19.12</v>
      </c>
      <c r="DE14" s="65">
        <v>7788</v>
      </c>
      <c r="DF14" s="68">
        <f t="shared" si="47"/>
        <v>12</v>
      </c>
      <c r="DG14" s="68">
        <f t="shared" si="47"/>
        <v>4</v>
      </c>
      <c r="DH14" s="65">
        <v>4557</v>
      </c>
      <c r="DI14" s="68">
        <f t="shared" si="48"/>
        <v>4</v>
      </c>
      <c r="DJ14" s="68">
        <f t="shared" si="48"/>
        <v>1</v>
      </c>
      <c r="DK14" s="65">
        <v>1890</v>
      </c>
      <c r="DL14" s="68">
        <f t="shared" si="48"/>
        <v>2</v>
      </c>
      <c r="DM14" s="68">
        <f t="shared" si="48"/>
        <v>1</v>
      </c>
      <c r="DN14" s="65">
        <v>5167</v>
      </c>
      <c r="DO14" s="68">
        <f t="shared" si="48"/>
        <v>9</v>
      </c>
      <c r="DP14" s="68">
        <f t="shared" si="48"/>
        <v>1</v>
      </c>
      <c r="DQ14" s="65">
        <v>4699</v>
      </c>
      <c r="DR14" s="68">
        <f t="shared" si="48"/>
        <v>10</v>
      </c>
      <c r="DS14" s="68">
        <f t="shared" si="48"/>
        <v>1</v>
      </c>
      <c r="DT14" s="65">
        <v>5492</v>
      </c>
      <c r="DU14" s="68">
        <f t="shared" si="48"/>
        <v>10</v>
      </c>
      <c r="DV14" s="68">
        <f t="shared" si="48"/>
        <v>1</v>
      </c>
      <c r="DW14" s="65">
        <v>5492</v>
      </c>
      <c r="DX14" s="68">
        <f t="shared" si="49"/>
        <v>6</v>
      </c>
      <c r="DY14" s="78">
        <f t="shared" si="50"/>
        <v>14.34</v>
      </c>
      <c r="DZ14" s="83"/>
      <c r="EA14" s="78">
        <f t="shared" si="55"/>
        <v>0</v>
      </c>
      <c r="EB14" s="83"/>
      <c r="EC14" s="78">
        <f t="shared" si="51"/>
        <v>0</v>
      </c>
      <c r="ED14" s="92"/>
      <c r="EE14" s="78">
        <f t="shared" si="51"/>
        <v>0</v>
      </c>
      <c r="EF14" s="92"/>
      <c r="EG14" s="78">
        <f t="shared" si="52"/>
        <v>0</v>
      </c>
      <c r="EH14" s="92">
        <v>90</v>
      </c>
      <c r="EI14" s="93">
        <v>199</v>
      </c>
      <c r="EJ14" s="91">
        <v>0.68</v>
      </c>
      <c r="EK14" s="94"/>
      <c r="EL14" s="92"/>
      <c r="EM14" s="93"/>
      <c r="EN14" s="96">
        <v>11.8</v>
      </c>
      <c r="EO14" s="96">
        <v>11.8</v>
      </c>
      <c r="EP14" s="96">
        <v>11.7</v>
      </c>
    </row>
    <row r="15" spans="1:146" s="20" customFormat="1" ht="15.75" thickBot="1" x14ac:dyDescent="0.25">
      <c r="A15" s="58">
        <v>44481</v>
      </c>
      <c r="B15" s="65">
        <v>7997014</v>
      </c>
      <c r="C15" s="60">
        <f t="shared" si="1"/>
        <v>17269</v>
      </c>
      <c r="D15" s="65">
        <v>7167443</v>
      </c>
      <c r="E15" s="60">
        <f t="shared" si="2"/>
        <v>17122</v>
      </c>
      <c r="F15" s="111">
        <f t="shared" si="3"/>
        <v>0.99148763680583707</v>
      </c>
      <c r="G15" s="61">
        <v>888</v>
      </c>
      <c r="H15" s="61">
        <v>552</v>
      </c>
      <c r="I15" s="62">
        <v>289262</v>
      </c>
      <c r="J15" s="63">
        <f t="shared" si="4"/>
        <v>0</v>
      </c>
      <c r="K15" s="64">
        <v>794</v>
      </c>
      <c r="L15" s="60">
        <f t="shared" ref="L15:L26" si="61">IF((K15-K14)&lt;0,"0",(K15-K14))</f>
        <v>0</v>
      </c>
      <c r="M15" s="65">
        <v>636988</v>
      </c>
      <c r="N15" s="63">
        <f t="shared" si="6"/>
        <v>0</v>
      </c>
      <c r="O15" s="65">
        <v>1015</v>
      </c>
      <c r="P15" s="63">
        <f t="shared" si="7"/>
        <v>0</v>
      </c>
      <c r="Q15" s="65">
        <v>2581028</v>
      </c>
      <c r="R15" s="63">
        <f t="shared" si="7"/>
        <v>851</v>
      </c>
      <c r="S15" s="65">
        <v>2201712</v>
      </c>
      <c r="T15" s="63">
        <f t="shared" si="8"/>
        <v>429</v>
      </c>
      <c r="U15" s="65">
        <v>126429</v>
      </c>
      <c r="V15" s="63">
        <f t="shared" si="8"/>
        <v>204</v>
      </c>
      <c r="W15" s="123"/>
      <c r="X15" s="113">
        <f>7.5/9</f>
        <v>0.83333333333333337</v>
      </c>
      <c r="Y15" s="67">
        <f t="shared" si="58"/>
        <v>333.33333333333337</v>
      </c>
      <c r="Z15" s="64">
        <v>1</v>
      </c>
      <c r="AA15" s="65">
        <v>154128</v>
      </c>
      <c r="AB15" s="60">
        <f t="shared" si="9"/>
        <v>0</v>
      </c>
      <c r="AC15" s="61">
        <v>42105</v>
      </c>
      <c r="AD15" s="68">
        <f t="shared" si="10"/>
        <v>50</v>
      </c>
      <c r="AE15" s="65">
        <v>1150</v>
      </c>
      <c r="AF15" s="69">
        <f t="shared" si="10"/>
        <v>0</v>
      </c>
      <c r="AG15" s="65">
        <v>4647</v>
      </c>
      <c r="AH15" s="70">
        <f t="shared" si="56"/>
        <v>0</v>
      </c>
      <c r="AI15" s="19"/>
      <c r="AJ15" s="19"/>
      <c r="AK15" s="65">
        <v>590220</v>
      </c>
      <c r="AL15" s="63">
        <f t="shared" si="11"/>
        <v>180</v>
      </c>
      <c r="AM15" s="75">
        <v>1312</v>
      </c>
      <c r="AN15" s="60">
        <f t="shared" si="12"/>
        <v>1</v>
      </c>
      <c r="AO15" s="61">
        <v>52943</v>
      </c>
      <c r="AP15" s="74">
        <f t="shared" si="13"/>
        <v>20</v>
      </c>
      <c r="AQ15" s="61">
        <v>8969</v>
      </c>
      <c r="AR15" s="60">
        <f t="shared" si="14"/>
        <v>3</v>
      </c>
      <c r="AS15" s="65">
        <v>10620</v>
      </c>
      <c r="AT15" s="60">
        <f t="shared" si="14"/>
        <v>3</v>
      </c>
      <c r="AU15" s="61">
        <v>14907</v>
      </c>
      <c r="AV15" s="60">
        <f t="shared" si="14"/>
        <v>17</v>
      </c>
      <c r="AW15" s="65">
        <v>19449</v>
      </c>
      <c r="AX15" s="60">
        <f t="shared" si="14"/>
        <v>9</v>
      </c>
      <c r="AY15" s="59">
        <v>20718</v>
      </c>
      <c r="AZ15" s="68">
        <f t="shared" si="15"/>
        <v>3</v>
      </c>
      <c r="BA15" s="65">
        <v>13911</v>
      </c>
      <c r="BB15" s="60">
        <f t="shared" si="16"/>
        <v>4</v>
      </c>
      <c r="BC15" s="59">
        <v>6275</v>
      </c>
      <c r="BD15" s="60">
        <f t="shared" si="17"/>
        <v>2</v>
      </c>
      <c r="BE15" s="65">
        <v>26775</v>
      </c>
      <c r="BF15" s="60">
        <f t="shared" si="18"/>
        <v>6</v>
      </c>
      <c r="BG15" s="61">
        <v>12170</v>
      </c>
      <c r="BH15" s="60">
        <f t="shared" si="19"/>
        <v>90</v>
      </c>
      <c r="BI15">
        <v>4428</v>
      </c>
      <c r="BJ15" s="60">
        <f t="shared" si="20"/>
        <v>5</v>
      </c>
      <c r="BK15" s="65">
        <v>3636</v>
      </c>
      <c r="BL15" s="60">
        <f t="shared" si="53"/>
        <v>0</v>
      </c>
      <c r="BM15" s="68">
        <f t="shared" si="21"/>
        <v>24</v>
      </c>
      <c r="BN15" s="68">
        <f t="shared" si="22"/>
        <v>156</v>
      </c>
      <c r="BO15" s="65">
        <v>609860</v>
      </c>
      <c r="BP15" s="68">
        <f t="shared" si="60"/>
        <v>150</v>
      </c>
      <c r="BQ15" s="75">
        <v>987</v>
      </c>
      <c r="BR15" s="60">
        <f t="shared" si="24"/>
        <v>1</v>
      </c>
      <c r="BS15" s="61">
        <v>793510</v>
      </c>
      <c r="BT15" s="68">
        <f t="shared" si="25"/>
        <v>280</v>
      </c>
      <c r="BU15" s="75">
        <v>9640</v>
      </c>
      <c r="BV15" s="68">
        <f t="shared" si="26"/>
        <v>91</v>
      </c>
      <c r="BW15" s="78">
        <f t="shared" si="59"/>
        <v>100</v>
      </c>
      <c r="BX15" s="68">
        <f t="shared" si="28"/>
        <v>430</v>
      </c>
      <c r="BY15" s="80">
        <f t="shared" si="54"/>
        <v>151</v>
      </c>
      <c r="BZ15" s="59">
        <v>109</v>
      </c>
      <c r="CA15" s="81">
        <f t="shared" si="29"/>
        <v>13102.02326604979</v>
      </c>
      <c r="CB15" s="65"/>
      <c r="CC15" s="82">
        <f t="shared" si="30"/>
        <v>0</v>
      </c>
      <c r="CD15" s="65">
        <v>211615</v>
      </c>
      <c r="CE15" s="68">
        <f t="shared" si="31"/>
        <v>148</v>
      </c>
      <c r="CF15" s="78">
        <f t="shared" si="32"/>
        <v>845.08</v>
      </c>
      <c r="CG15" s="65">
        <v>45</v>
      </c>
      <c r="CH15" s="85">
        <f t="shared" si="33"/>
        <v>4848.75</v>
      </c>
      <c r="CI15" s="65">
        <v>43</v>
      </c>
      <c r="CJ15" s="86">
        <f t="shared" si="34"/>
        <v>4633.25</v>
      </c>
      <c r="CK15" s="65">
        <v>42</v>
      </c>
      <c r="CL15" s="87">
        <f t="shared" si="35"/>
        <v>4525.5</v>
      </c>
      <c r="CM15" s="88">
        <f t="shared" si="36"/>
        <v>14007.5</v>
      </c>
      <c r="CN15" s="89">
        <f t="shared" si="37"/>
        <v>1077.5</v>
      </c>
      <c r="CO15" s="90"/>
      <c r="CP15" s="65">
        <v>35499</v>
      </c>
      <c r="CQ15" s="68">
        <f t="shared" si="38"/>
        <v>30</v>
      </c>
      <c r="CR15" s="78">
        <f t="shared" si="39"/>
        <v>73.2</v>
      </c>
      <c r="CS15" s="65">
        <v>34414</v>
      </c>
      <c r="CT15" s="68">
        <f t="shared" si="40"/>
        <v>6</v>
      </c>
      <c r="CU15" s="78">
        <f t="shared" si="41"/>
        <v>14.64</v>
      </c>
      <c r="CV15" s="65">
        <v>10404</v>
      </c>
      <c r="CW15" s="68">
        <f t="shared" si="57"/>
        <v>21</v>
      </c>
      <c r="CX15" s="78">
        <f t="shared" si="42"/>
        <v>51.24</v>
      </c>
      <c r="CY15" s="65">
        <v>833750</v>
      </c>
      <c r="CZ15" s="68">
        <f t="shared" si="43"/>
        <v>50</v>
      </c>
      <c r="DA15" s="78">
        <f t="shared" si="44"/>
        <v>122</v>
      </c>
      <c r="DB15" s="65">
        <v>6463</v>
      </c>
      <c r="DC15" s="68">
        <f t="shared" si="45"/>
        <v>8</v>
      </c>
      <c r="DD15" s="78">
        <f t="shared" si="46"/>
        <v>19.12</v>
      </c>
      <c r="DE15" s="65">
        <v>7796</v>
      </c>
      <c r="DF15" s="68">
        <f t="shared" si="47"/>
        <v>8</v>
      </c>
      <c r="DG15" s="68" t="str">
        <f t="shared" si="47"/>
        <v>0</v>
      </c>
      <c r="DH15" s="65">
        <v>4560</v>
      </c>
      <c r="DI15" s="68">
        <f t="shared" si="48"/>
        <v>3</v>
      </c>
      <c r="DJ15" s="68" t="str">
        <f t="shared" si="48"/>
        <v>0</v>
      </c>
      <c r="DK15" s="65">
        <v>1892</v>
      </c>
      <c r="DL15" s="68">
        <f t="shared" si="48"/>
        <v>2</v>
      </c>
      <c r="DM15" s="68">
        <f t="shared" si="48"/>
        <v>0</v>
      </c>
      <c r="DN15" s="65">
        <v>5175</v>
      </c>
      <c r="DO15" s="68">
        <f t="shared" si="48"/>
        <v>8</v>
      </c>
      <c r="DP15" s="68" t="str">
        <f t="shared" si="48"/>
        <v>0</v>
      </c>
      <c r="DQ15" s="65">
        <v>4709</v>
      </c>
      <c r="DR15" s="68">
        <f t="shared" si="48"/>
        <v>10</v>
      </c>
      <c r="DS15" s="68">
        <f t="shared" si="48"/>
        <v>0</v>
      </c>
      <c r="DT15" s="65">
        <v>5501</v>
      </c>
      <c r="DU15" s="68">
        <f t="shared" si="48"/>
        <v>9</v>
      </c>
      <c r="DV15" s="68" t="str">
        <f t="shared" si="48"/>
        <v>0</v>
      </c>
      <c r="DW15" s="65">
        <v>5495</v>
      </c>
      <c r="DX15" s="68">
        <f t="shared" si="49"/>
        <v>3</v>
      </c>
      <c r="DY15" s="78">
        <f t="shared" si="50"/>
        <v>7.17</v>
      </c>
      <c r="DZ15" s="83"/>
      <c r="EA15" s="78">
        <f t="shared" si="55"/>
        <v>0</v>
      </c>
      <c r="EB15" s="83"/>
      <c r="EC15" s="78">
        <f t="shared" si="51"/>
        <v>0</v>
      </c>
      <c r="ED15" s="92"/>
      <c r="EE15" s="78">
        <f t="shared" si="51"/>
        <v>0</v>
      </c>
      <c r="EF15" s="92"/>
      <c r="EG15" s="78">
        <f t="shared" si="52"/>
        <v>0</v>
      </c>
      <c r="EH15" s="92">
        <v>93</v>
      </c>
      <c r="EI15" s="93">
        <v>197</v>
      </c>
      <c r="EJ15" s="91">
        <v>0.7</v>
      </c>
      <c r="EK15" s="94"/>
      <c r="EL15" s="92"/>
      <c r="EM15" s="93"/>
      <c r="EN15" s="96">
        <v>13.2</v>
      </c>
      <c r="EO15" s="96">
        <v>12.9</v>
      </c>
      <c r="EP15" s="96">
        <v>13.2</v>
      </c>
    </row>
    <row r="16" spans="1:146" s="20" customFormat="1" ht="15.75" thickBot="1" x14ac:dyDescent="0.25">
      <c r="A16" s="58">
        <v>44482</v>
      </c>
      <c r="B16" s="65">
        <v>8015622</v>
      </c>
      <c r="C16" s="60">
        <f t="shared" si="1"/>
        <v>18608</v>
      </c>
      <c r="D16" s="65">
        <v>7185901</v>
      </c>
      <c r="E16" s="60">
        <f t="shared" si="2"/>
        <v>18458</v>
      </c>
      <c r="F16" s="111">
        <f t="shared" si="3"/>
        <v>0.99193895098882201</v>
      </c>
      <c r="G16" s="61">
        <v>888</v>
      </c>
      <c r="H16" s="61">
        <v>552</v>
      </c>
      <c r="I16" s="62">
        <v>289262</v>
      </c>
      <c r="J16" s="63">
        <f t="shared" si="4"/>
        <v>0</v>
      </c>
      <c r="K16" s="64">
        <v>794</v>
      </c>
      <c r="L16" s="60">
        <f t="shared" si="61"/>
        <v>0</v>
      </c>
      <c r="M16" s="65">
        <v>636988</v>
      </c>
      <c r="N16" s="63">
        <f t="shared" si="6"/>
        <v>0</v>
      </c>
      <c r="O16" s="65">
        <v>1015</v>
      </c>
      <c r="P16" s="63">
        <f t="shared" si="7"/>
        <v>0</v>
      </c>
      <c r="Q16" s="65">
        <v>2582068</v>
      </c>
      <c r="R16" s="63">
        <f t="shared" si="7"/>
        <v>1040</v>
      </c>
      <c r="S16" s="65">
        <v>2202117</v>
      </c>
      <c r="T16" s="63">
        <f t="shared" si="8"/>
        <v>405</v>
      </c>
      <c r="U16" s="65">
        <v>126771</v>
      </c>
      <c r="V16" s="63">
        <f t="shared" si="8"/>
        <v>342</v>
      </c>
      <c r="W16" s="125"/>
      <c r="X16" s="113">
        <f>5/9</f>
        <v>0.55555555555555558</v>
      </c>
      <c r="Y16" s="67">
        <f t="shared" si="58"/>
        <v>222.22222222222223</v>
      </c>
      <c r="Z16" s="64">
        <f>1+2</f>
        <v>3</v>
      </c>
      <c r="AA16" s="65">
        <v>154128</v>
      </c>
      <c r="AB16" s="60">
        <f t="shared" si="9"/>
        <v>0</v>
      </c>
      <c r="AC16" s="61">
        <v>42151</v>
      </c>
      <c r="AD16" s="68">
        <f t="shared" si="10"/>
        <v>46</v>
      </c>
      <c r="AE16" s="65">
        <v>1150</v>
      </c>
      <c r="AF16" s="69">
        <f t="shared" si="10"/>
        <v>0</v>
      </c>
      <c r="AG16" s="65">
        <v>4647</v>
      </c>
      <c r="AH16" s="70">
        <f t="shared" si="56"/>
        <v>0</v>
      </c>
      <c r="AI16" s="19"/>
      <c r="AJ16" s="19"/>
      <c r="AK16" s="65">
        <v>590410</v>
      </c>
      <c r="AL16" s="63">
        <f t="shared" si="11"/>
        <v>190</v>
      </c>
      <c r="AM16" s="76">
        <v>1313</v>
      </c>
      <c r="AN16" s="60">
        <f t="shared" si="12"/>
        <v>1</v>
      </c>
      <c r="AO16" s="61">
        <v>52963</v>
      </c>
      <c r="AP16" s="74">
        <f t="shared" si="13"/>
        <v>20</v>
      </c>
      <c r="AQ16" s="61">
        <v>8971</v>
      </c>
      <c r="AR16" s="60">
        <f t="shared" si="14"/>
        <v>2</v>
      </c>
      <c r="AS16" s="65">
        <v>10623</v>
      </c>
      <c r="AT16" s="60">
        <f t="shared" si="14"/>
        <v>3</v>
      </c>
      <c r="AU16" s="61">
        <v>14922</v>
      </c>
      <c r="AV16" s="60">
        <f t="shared" si="14"/>
        <v>15</v>
      </c>
      <c r="AW16" s="65">
        <v>19456</v>
      </c>
      <c r="AX16" s="60">
        <f t="shared" si="14"/>
        <v>7</v>
      </c>
      <c r="AY16" s="59">
        <v>20721</v>
      </c>
      <c r="AZ16" s="68">
        <f t="shared" si="15"/>
        <v>3</v>
      </c>
      <c r="BA16" s="65">
        <v>13915</v>
      </c>
      <c r="BB16" s="60">
        <f t="shared" si="16"/>
        <v>4</v>
      </c>
      <c r="BC16" s="59">
        <v>6275</v>
      </c>
      <c r="BD16" s="60">
        <f t="shared" si="17"/>
        <v>0</v>
      </c>
      <c r="BE16" s="65">
        <v>26780</v>
      </c>
      <c r="BF16" s="60">
        <f t="shared" si="18"/>
        <v>5</v>
      </c>
      <c r="BG16" s="61">
        <v>12272</v>
      </c>
      <c r="BH16" s="60">
        <f t="shared" si="19"/>
        <v>102</v>
      </c>
      <c r="BI16">
        <v>4433</v>
      </c>
      <c r="BJ16" s="60">
        <f t="shared" si="20"/>
        <v>5</v>
      </c>
      <c r="BK16" s="65">
        <v>3636</v>
      </c>
      <c r="BL16" s="60">
        <f t="shared" si="53"/>
        <v>0</v>
      </c>
      <c r="BM16" s="68">
        <f t="shared" si="21"/>
        <v>22</v>
      </c>
      <c r="BN16" s="68">
        <f t="shared" si="22"/>
        <v>168</v>
      </c>
      <c r="BO16" s="65">
        <v>610060</v>
      </c>
      <c r="BP16" s="68">
        <f t="shared" si="60"/>
        <v>200</v>
      </c>
      <c r="BQ16" s="75">
        <v>987</v>
      </c>
      <c r="BR16" s="60">
        <f t="shared" si="24"/>
        <v>0</v>
      </c>
      <c r="BS16" s="65">
        <v>793820</v>
      </c>
      <c r="BT16" s="68">
        <f t="shared" si="25"/>
        <v>310</v>
      </c>
      <c r="BU16" s="75">
        <v>9752</v>
      </c>
      <c r="BV16" s="68">
        <f t="shared" si="26"/>
        <v>112</v>
      </c>
      <c r="BW16" s="78">
        <f t="shared" si="59"/>
        <v>120</v>
      </c>
      <c r="BX16" s="68">
        <f t="shared" si="28"/>
        <v>510</v>
      </c>
      <c r="BY16" s="80">
        <f t="shared" si="54"/>
        <v>156</v>
      </c>
      <c r="BZ16" s="59">
        <v>109</v>
      </c>
      <c r="CA16" s="81">
        <f t="shared" si="29"/>
        <v>13102.02326604979</v>
      </c>
      <c r="CB16" s="65"/>
      <c r="CC16" s="82">
        <f t="shared" si="30"/>
        <v>0</v>
      </c>
      <c r="CD16" s="65">
        <v>211773</v>
      </c>
      <c r="CE16" s="68">
        <f t="shared" si="31"/>
        <v>158</v>
      </c>
      <c r="CF16" s="78">
        <f t="shared" si="32"/>
        <v>902.18</v>
      </c>
      <c r="CG16" s="65">
        <v>44</v>
      </c>
      <c r="CH16" s="85">
        <f t="shared" si="33"/>
        <v>4741</v>
      </c>
      <c r="CI16" s="65">
        <v>41</v>
      </c>
      <c r="CJ16" s="86">
        <f t="shared" si="34"/>
        <v>4417.75</v>
      </c>
      <c r="CK16" s="65">
        <v>40</v>
      </c>
      <c r="CL16" s="87">
        <f t="shared" si="35"/>
        <v>4310</v>
      </c>
      <c r="CM16" s="88">
        <f t="shared" si="36"/>
        <v>13468.75</v>
      </c>
      <c r="CN16" s="89">
        <f t="shared" si="37"/>
        <v>538.75</v>
      </c>
      <c r="CO16" s="65"/>
      <c r="CP16" s="65">
        <v>35532</v>
      </c>
      <c r="CQ16" s="68">
        <f t="shared" si="38"/>
        <v>33</v>
      </c>
      <c r="CR16" s="78">
        <f t="shared" si="39"/>
        <v>80.52</v>
      </c>
      <c r="CS16" s="65">
        <v>34421</v>
      </c>
      <c r="CT16" s="68">
        <f t="shared" si="40"/>
        <v>7</v>
      </c>
      <c r="CU16" s="78">
        <f t="shared" si="41"/>
        <v>17.079999999999998</v>
      </c>
      <c r="CV16" s="65">
        <v>10423</v>
      </c>
      <c r="CW16" s="68">
        <f t="shared" si="57"/>
        <v>19</v>
      </c>
      <c r="CX16" s="78">
        <f t="shared" si="42"/>
        <v>46.36</v>
      </c>
      <c r="CY16" s="65">
        <v>833810</v>
      </c>
      <c r="CZ16" s="68">
        <f t="shared" si="43"/>
        <v>60</v>
      </c>
      <c r="DA16" s="78">
        <f t="shared" si="44"/>
        <v>146.4</v>
      </c>
      <c r="DB16" s="65">
        <v>6472</v>
      </c>
      <c r="DC16" s="68">
        <f t="shared" si="45"/>
        <v>9</v>
      </c>
      <c r="DD16" s="78">
        <f t="shared" si="46"/>
        <v>21.51</v>
      </c>
      <c r="DE16" s="65">
        <v>7807</v>
      </c>
      <c r="DF16" s="68">
        <f t="shared" si="47"/>
        <v>11</v>
      </c>
      <c r="DG16" s="68">
        <f t="shared" si="47"/>
        <v>3</v>
      </c>
      <c r="DH16" s="65">
        <v>4565</v>
      </c>
      <c r="DI16" s="68">
        <f t="shared" si="48"/>
        <v>5</v>
      </c>
      <c r="DJ16" s="68">
        <f t="shared" si="48"/>
        <v>2</v>
      </c>
      <c r="DK16" s="65">
        <v>1893</v>
      </c>
      <c r="DL16" s="68">
        <f t="shared" si="48"/>
        <v>1</v>
      </c>
      <c r="DM16" s="68" t="str">
        <f t="shared" si="48"/>
        <v>0</v>
      </c>
      <c r="DN16" s="65">
        <v>5185</v>
      </c>
      <c r="DO16" s="68">
        <f t="shared" si="48"/>
        <v>10</v>
      </c>
      <c r="DP16" s="68">
        <f t="shared" si="48"/>
        <v>2</v>
      </c>
      <c r="DQ16" s="65">
        <v>4720</v>
      </c>
      <c r="DR16" s="68">
        <f t="shared" si="48"/>
        <v>11</v>
      </c>
      <c r="DS16" s="68">
        <f t="shared" si="48"/>
        <v>1</v>
      </c>
      <c r="DT16" s="65">
        <v>5512</v>
      </c>
      <c r="DU16" s="68">
        <f t="shared" si="48"/>
        <v>11</v>
      </c>
      <c r="DV16" s="68">
        <f t="shared" si="48"/>
        <v>2</v>
      </c>
      <c r="DW16" s="65">
        <v>5500</v>
      </c>
      <c r="DX16" s="68">
        <f t="shared" si="49"/>
        <v>5</v>
      </c>
      <c r="DY16" s="78">
        <f t="shared" si="50"/>
        <v>11.950000000000001</v>
      </c>
      <c r="DZ16" s="83"/>
      <c r="EA16" s="78">
        <f t="shared" si="55"/>
        <v>0</v>
      </c>
      <c r="EB16" s="83"/>
      <c r="EC16" s="78">
        <f t="shared" si="51"/>
        <v>0</v>
      </c>
      <c r="ED16" s="92"/>
      <c r="EE16" s="78">
        <f t="shared" si="51"/>
        <v>0</v>
      </c>
      <c r="EF16" s="92"/>
      <c r="EG16" s="78">
        <f t="shared" si="52"/>
        <v>0</v>
      </c>
      <c r="EH16" s="92">
        <v>95</v>
      </c>
      <c r="EI16" s="93">
        <v>206</v>
      </c>
      <c r="EJ16" s="91">
        <v>0.71</v>
      </c>
      <c r="EK16" s="94"/>
      <c r="EL16" s="92"/>
      <c r="EM16" s="93"/>
      <c r="EN16" s="96">
        <v>11.8</v>
      </c>
      <c r="EO16" s="96">
        <v>13</v>
      </c>
      <c r="EP16" s="96">
        <v>12.2</v>
      </c>
    </row>
    <row r="17" spans="1:148" s="24" customFormat="1" ht="15.75" thickBot="1" x14ac:dyDescent="0.25">
      <c r="A17" s="58">
        <v>44483</v>
      </c>
      <c r="B17" s="65">
        <v>8032049</v>
      </c>
      <c r="C17" s="60">
        <f t="shared" si="1"/>
        <v>16427</v>
      </c>
      <c r="D17" s="65">
        <v>7202166</v>
      </c>
      <c r="E17" s="60">
        <f t="shared" si="2"/>
        <v>16265</v>
      </c>
      <c r="F17" s="111">
        <f t="shared" si="3"/>
        <v>0.99013818713094293</v>
      </c>
      <c r="G17" s="61">
        <v>888</v>
      </c>
      <c r="H17" s="61">
        <v>552</v>
      </c>
      <c r="I17" s="62">
        <v>289262</v>
      </c>
      <c r="J17" s="63">
        <f t="shared" si="4"/>
        <v>0</v>
      </c>
      <c r="K17" s="64">
        <v>794</v>
      </c>
      <c r="L17" s="60">
        <f t="shared" si="61"/>
        <v>0</v>
      </c>
      <c r="M17" s="65">
        <v>636988</v>
      </c>
      <c r="N17" s="63">
        <f t="shared" si="6"/>
        <v>0</v>
      </c>
      <c r="O17" s="65">
        <v>1015</v>
      </c>
      <c r="P17" s="63">
        <f t="shared" si="7"/>
        <v>0</v>
      </c>
      <c r="Q17" s="65">
        <v>2582886</v>
      </c>
      <c r="R17" s="63">
        <f t="shared" si="7"/>
        <v>818</v>
      </c>
      <c r="S17" s="65">
        <v>2202667</v>
      </c>
      <c r="T17" s="63">
        <f t="shared" si="8"/>
        <v>550</v>
      </c>
      <c r="U17" s="65">
        <v>127105</v>
      </c>
      <c r="V17" s="63">
        <f t="shared" si="8"/>
        <v>334</v>
      </c>
      <c r="W17" s="125"/>
      <c r="X17" s="113">
        <f>5/9</f>
        <v>0.55555555555555558</v>
      </c>
      <c r="Y17" s="67">
        <f t="shared" si="58"/>
        <v>222.22222222222223</v>
      </c>
      <c r="Z17" s="64">
        <v>9</v>
      </c>
      <c r="AA17" s="65">
        <v>154128</v>
      </c>
      <c r="AB17" s="60">
        <f t="shared" si="9"/>
        <v>0</v>
      </c>
      <c r="AC17" s="61">
        <v>42195</v>
      </c>
      <c r="AD17" s="68">
        <f t="shared" si="10"/>
        <v>44</v>
      </c>
      <c r="AE17" s="65">
        <v>1151</v>
      </c>
      <c r="AF17" s="69">
        <f t="shared" si="10"/>
        <v>1</v>
      </c>
      <c r="AG17" s="65">
        <v>4650</v>
      </c>
      <c r="AH17" s="70">
        <f t="shared" si="56"/>
        <v>3</v>
      </c>
      <c r="AI17" s="19"/>
      <c r="AJ17" s="19"/>
      <c r="AK17" s="65">
        <v>590540</v>
      </c>
      <c r="AL17" s="63">
        <f t="shared" si="11"/>
        <v>130</v>
      </c>
      <c r="AM17" s="76">
        <v>1314</v>
      </c>
      <c r="AN17" s="60">
        <f t="shared" si="12"/>
        <v>1</v>
      </c>
      <c r="AO17" s="61">
        <v>52981</v>
      </c>
      <c r="AP17" s="74">
        <f t="shared" si="13"/>
        <v>18</v>
      </c>
      <c r="AQ17" s="61">
        <v>8972</v>
      </c>
      <c r="AR17" s="60">
        <f t="shared" si="14"/>
        <v>1</v>
      </c>
      <c r="AS17" s="65">
        <v>10627</v>
      </c>
      <c r="AT17" s="60">
        <f t="shared" si="14"/>
        <v>4</v>
      </c>
      <c r="AU17" s="61">
        <v>14936</v>
      </c>
      <c r="AV17" s="60">
        <f t="shared" si="14"/>
        <v>14</v>
      </c>
      <c r="AW17" s="65">
        <v>19463</v>
      </c>
      <c r="AX17" s="60">
        <f t="shared" si="14"/>
        <v>7</v>
      </c>
      <c r="AY17" s="59">
        <v>20724</v>
      </c>
      <c r="AZ17" s="68">
        <f t="shared" si="15"/>
        <v>3</v>
      </c>
      <c r="BA17" s="65">
        <v>13919</v>
      </c>
      <c r="BB17" s="60">
        <f t="shared" si="16"/>
        <v>4</v>
      </c>
      <c r="BC17" s="59">
        <v>6278</v>
      </c>
      <c r="BD17" s="60">
        <f t="shared" si="17"/>
        <v>3</v>
      </c>
      <c r="BE17" s="65">
        <v>26783</v>
      </c>
      <c r="BF17" s="60">
        <f t="shared" si="18"/>
        <v>3</v>
      </c>
      <c r="BG17" s="61">
        <v>12362</v>
      </c>
      <c r="BH17" s="60">
        <f t="shared" si="19"/>
        <v>90</v>
      </c>
      <c r="BI17">
        <v>4437</v>
      </c>
      <c r="BJ17" s="60">
        <f t="shared" si="20"/>
        <v>4</v>
      </c>
      <c r="BK17" s="65">
        <v>3636</v>
      </c>
      <c r="BL17" s="60">
        <f t="shared" si="53"/>
        <v>0</v>
      </c>
      <c r="BM17" s="68">
        <f t="shared" si="21"/>
        <v>21</v>
      </c>
      <c r="BN17" s="68">
        <f t="shared" si="22"/>
        <v>109</v>
      </c>
      <c r="BO17" s="65">
        <v>610240</v>
      </c>
      <c r="BP17" s="68">
        <f t="shared" si="60"/>
        <v>180</v>
      </c>
      <c r="BQ17" s="75">
        <v>1001</v>
      </c>
      <c r="BR17" s="60">
        <f t="shared" si="24"/>
        <v>14</v>
      </c>
      <c r="BS17" s="65">
        <v>794070</v>
      </c>
      <c r="BT17" s="68">
        <f t="shared" si="25"/>
        <v>250</v>
      </c>
      <c r="BU17" s="75">
        <v>9847</v>
      </c>
      <c r="BV17" s="68">
        <f>IF((BU17-BU16)&lt;0,"0",(BU17-BU16))</f>
        <v>95</v>
      </c>
      <c r="BW17" s="78">
        <f t="shared" si="59"/>
        <v>120</v>
      </c>
      <c r="BX17" s="68">
        <f t="shared" si="28"/>
        <v>430</v>
      </c>
      <c r="BY17" s="80">
        <f t="shared" si="54"/>
        <v>144</v>
      </c>
      <c r="BZ17" s="59">
        <v>109</v>
      </c>
      <c r="CA17" s="81">
        <f t="shared" si="29"/>
        <v>13102.02326604979</v>
      </c>
      <c r="CB17" s="65"/>
      <c r="CC17" s="82">
        <f t="shared" si="30"/>
        <v>0</v>
      </c>
      <c r="CD17" s="65">
        <v>211932</v>
      </c>
      <c r="CE17" s="68">
        <f t="shared" si="31"/>
        <v>159</v>
      </c>
      <c r="CF17" s="78">
        <f t="shared" si="32"/>
        <v>907.89</v>
      </c>
      <c r="CG17" s="65">
        <v>40</v>
      </c>
      <c r="CH17" s="85">
        <f t="shared" si="33"/>
        <v>4310</v>
      </c>
      <c r="CI17" s="65">
        <v>38</v>
      </c>
      <c r="CJ17" s="86">
        <f t="shared" si="34"/>
        <v>4094.5</v>
      </c>
      <c r="CK17" s="65">
        <v>36</v>
      </c>
      <c r="CL17" s="87">
        <f t="shared" si="35"/>
        <v>3879</v>
      </c>
      <c r="CM17" s="88">
        <f t="shared" si="36"/>
        <v>12283.5</v>
      </c>
      <c r="CN17" s="89">
        <f t="shared" si="37"/>
        <v>1185.25</v>
      </c>
      <c r="CO17" s="65">
        <f>3976+4115+3461</f>
        <v>11552</v>
      </c>
      <c r="CP17" s="65">
        <v>35560</v>
      </c>
      <c r="CQ17" s="68">
        <f t="shared" si="38"/>
        <v>28</v>
      </c>
      <c r="CR17" s="78">
        <f t="shared" si="39"/>
        <v>68.319999999999993</v>
      </c>
      <c r="CS17" s="65">
        <v>34427</v>
      </c>
      <c r="CT17" s="68">
        <f t="shared" si="40"/>
        <v>6</v>
      </c>
      <c r="CU17" s="78">
        <f t="shared" si="41"/>
        <v>14.64</v>
      </c>
      <c r="CV17" s="65">
        <v>10445</v>
      </c>
      <c r="CW17" s="68">
        <f t="shared" si="57"/>
        <v>22</v>
      </c>
      <c r="CX17" s="78">
        <f t="shared" si="42"/>
        <v>53.68</v>
      </c>
      <c r="CY17" s="65">
        <v>833900</v>
      </c>
      <c r="CZ17" s="68">
        <f t="shared" si="43"/>
        <v>90</v>
      </c>
      <c r="DA17" s="78">
        <f t="shared" si="44"/>
        <v>219.6</v>
      </c>
      <c r="DB17" s="65">
        <v>6481</v>
      </c>
      <c r="DC17" s="68">
        <f t="shared" si="45"/>
        <v>9</v>
      </c>
      <c r="DD17" s="78">
        <f t="shared" si="46"/>
        <v>21.51</v>
      </c>
      <c r="DE17" s="65">
        <v>7817</v>
      </c>
      <c r="DF17" s="68">
        <f t="shared" si="47"/>
        <v>10</v>
      </c>
      <c r="DG17" s="68" t="str">
        <f t="shared" si="47"/>
        <v>0</v>
      </c>
      <c r="DH17" s="65">
        <v>4569</v>
      </c>
      <c r="DI17" s="68">
        <f t="shared" si="48"/>
        <v>4</v>
      </c>
      <c r="DJ17" s="68" t="str">
        <f t="shared" si="48"/>
        <v>0</v>
      </c>
      <c r="DK17" s="65">
        <v>1894</v>
      </c>
      <c r="DL17" s="68">
        <f t="shared" si="48"/>
        <v>1</v>
      </c>
      <c r="DM17" s="68">
        <f t="shared" si="48"/>
        <v>0</v>
      </c>
      <c r="DN17" s="65">
        <v>5194</v>
      </c>
      <c r="DO17" s="68">
        <f t="shared" si="48"/>
        <v>9</v>
      </c>
      <c r="DP17" s="68" t="str">
        <f t="shared" si="48"/>
        <v>0</v>
      </c>
      <c r="DQ17" s="65">
        <v>4729</v>
      </c>
      <c r="DR17" s="68">
        <f t="shared" si="48"/>
        <v>9</v>
      </c>
      <c r="DS17" s="68" t="str">
        <f t="shared" si="48"/>
        <v>0</v>
      </c>
      <c r="DT17" s="65">
        <v>5521</v>
      </c>
      <c r="DU17" s="68">
        <f t="shared" si="48"/>
        <v>9</v>
      </c>
      <c r="DV17" s="68" t="str">
        <f t="shared" si="48"/>
        <v>0</v>
      </c>
      <c r="DW17" s="65">
        <v>5506</v>
      </c>
      <c r="DX17" s="68">
        <f t="shared" si="49"/>
        <v>6</v>
      </c>
      <c r="DY17" s="78">
        <f t="shared" si="50"/>
        <v>14.34</v>
      </c>
      <c r="DZ17" s="83"/>
      <c r="EA17" s="78">
        <f t="shared" si="55"/>
        <v>0</v>
      </c>
      <c r="EB17" s="83"/>
      <c r="EC17" s="78">
        <f t="shared" si="51"/>
        <v>0</v>
      </c>
      <c r="ED17" s="92"/>
      <c r="EE17" s="78">
        <f t="shared" si="51"/>
        <v>0</v>
      </c>
      <c r="EF17" s="92"/>
      <c r="EG17" s="78">
        <f t="shared" si="52"/>
        <v>0</v>
      </c>
      <c r="EH17" s="92">
        <v>92</v>
      </c>
      <c r="EI17" s="93">
        <f>189+18</f>
        <v>207</v>
      </c>
      <c r="EJ17" s="91">
        <v>0.69</v>
      </c>
      <c r="EK17" s="126"/>
      <c r="EL17" s="127"/>
      <c r="EM17" s="128"/>
      <c r="EN17" s="129">
        <v>129</v>
      </c>
      <c r="EO17" s="129">
        <v>12.7</v>
      </c>
      <c r="EP17" s="129">
        <v>13.2</v>
      </c>
    </row>
    <row r="18" spans="1:148" s="20" customFormat="1" ht="15.75" thickBot="1" x14ac:dyDescent="0.25">
      <c r="A18" s="58">
        <v>44484</v>
      </c>
      <c r="B18" s="65">
        <v>8051896</v>
      </c>
      <c r="C18" s="60">
        <f t="shared" si="1"/>
        <v>19847</v>
      </c>
      <c r="D18" s="65">
        <v>7221714</v>
      </c>
      <c r="E18" s="60">
        <f t="shared" si="2"/>
        <v>19548</v>
      </c>
      <c r="F18" s="111">
        <f t="shared" si="3"/>
        <v>0.98493475084395632</v>
      </c>
      <c r="G18" s="61">
        <v>950</v>
      </c>
      <c r="H18" s="61">
        <v>552</v>
      </c>
      <c r="I18" s="62">
        <v>289262</v>
      </c>
      <c r="J18" s="63">
        <f t="shared" si="4"/>
        <v>0</v>
      </c>
      <c r="K18" s="64">
        <v>794</v>
      </c>
      <c r="L18" s="60">
        <f t="shared" si="61"/>
        <v>0</v>
      </c>
      <c r="M18" s="65">
        <v>636988</v>
      </c>
      <c r="N18" s="63">
        <f t="shared" si="6"/>
        <v>0</v>
      </c>
      <c r="O18" s="65">
        <v>1015</v>
      </c>
      <c r="P18" s="63">
        <f t="shared" si="7"/>
        <v>0</v>
      </c>
      <c r="Q18" s="65">
        <v>2583619</v>
      </c>
      <c r="R18" s="63">
        <f t="shared" si="7"/>
        <v>733</v>
      </c>
      <c r="S18" s="65">
        <v>2203083</v>
      </c>
      <c r="T18" s="63">
        <f t="shared" si="8"/>
        <v>416</v>
      </c>
      <c r="U18" s="65">
        <v>127329</v>
      </c>
      <c r="V18" s="63">
        <f t="shared" si="8"/>
        <v>224</v>
      </c>
      <c r="W18" s="125"/>
      <c r="X18" s="113">
        <f>6/9</f>
        <v>0.66666666666666663</v>
      </c>
      <c r="Y18" s="67">
        <f t="shared" si="58"/>
        <v>266.66666666666663</v>
      </c>
      <c r="Z18" s="64">
        <v>9</v>
      </c>
      <c r="AA18" s="65">
        <v>154128</v>
      </c>
      <c r="AB18" s="60">
        <f t="shared" si="9"/>
        <v>0</v>
      </c>
      <c r="AC18" s="61">
        <v>42241</v>
      </c>
      <c r="AD18" s="68">
        <f t="shared" si="10"/>
        <v>46</v>
      </c>
      <c r="AE18" s="65">
        <v>1151</v>
      </c>
      <c r="AF18" s="69">
        <v>0</v>
      </c>
      <c r="AG18" s="65">
        <v>4650</v>
      </c>
      <c r="AH18" s="70">
        <f t="shared" si="56"/>
        <v>0</v>
      </c>
      <c r="AI18" s="19"/>
      <c r="AJ18" s="19"/>
      <c r="AK18" s="65">
        <v>590700</v>
      </c>
      <c r="AL18" s="63">
        <f t="shared" si="11"/>
        <v>160</v>
      </c>
      <c r="AM18" s="76">
        <v>1316</v>
      </c>
      <c r="AN18" s="60">
        <f t="shared" si="12"/>
        <v>2</v>
      </c>
      <c r="AO18" s="61">
        <v>53001</v>
      </c>
      <c r="AP18" s="74">
        <f t="shared" si="13"/>
        <v>20</v>
      </c>
      <c r="AQ18" s="61">
        <v>8975</v>
      </c>
      <c r="AR18" s="60">
        <f t="shared" si="14"/>
        <v>3</v>
      </c>
      <c r="AS18" s="65">
        <v>10630</v>
      </c>
      <c r="AT18" s="60">
        <f t="shared" si="14"/>
        <v>3</v>
      </c>
      <c r="AU18" s="61">
        <v>14949</v>
      </c>
      <c r="AV18" s="60">
        <f t="shared" si="14"/>
        <v>13</v>
      </c>
      <c r="AW18" s="65">
        <v>19469</v>
      </c>
      <c r="AX18" s="60">
        <f t="shared" si="14"/>
        <v>6</v>
      </c>
      <c r="AY18" s="59">
        <v>20727</v>
      </c>
      <c r="AZ18" s="68">
        <f t="shared" si="15"/>
        <v>3</v>
      </c>
      <c r="BA18" s="65">
        <v>13922</v>
      </c>
      <c r="BB18" s="60">
        <f t="shared" si="16"/>
        <v>3</v>
      </c>
      <c r="BC18" s="59">
        <v>6279</v>
      </c>
      <c r="BD18" s="60">
        <f t="shared" si="17"/>
        <v>1</v>
      </c>
      <c r="BE18" s="65">
        <v>26789</v>
      </c>
      <c r="BF18" s="60">
        <f t="shared" si="18"/>
        <v>6</v>
      </c>
      <c r="BG18" s="61">
        <v>12449</v>
      </c>
      <c r="BH18" s="60">
        <f t="shared" si="19"/>
        <v>87</v>
      </c>
      <c r="BI18">
        <v>4441</v>
      </c>
      <c r="BJ18" s="60">
        <f t="shared" si="20"/>
        <v>4</v>
      </c>
      <c r="BK18" s="65">
        <v>3636</v>
      </c>
      <c r="BL18" s="60">
        <f t="shared" si="53"/>
        <v>0</v>
      </c>
      <c r="BM18" s="68">
        <f t="shared" si="21"/>
        <v>19</v>
      </c>
      <c r="BN18" s="68">
        <f t="shared" si="22"/>
        <v>141</v>
      </c>
      <c r="BO18" s="65">
        <v>610400</v>
      </c>
      <c r="BP18" s="68">
        <f t="shared" si="60"/>
        <v>160</v>
      </c>
      <c r="BQ18" s="75">
        <v>1019</v>
      </c>
      <c r="BR18" s="60">
        <f t="shared" si="24"/>
        <v>18</v>
      </c>
      <c r="BS18" s="65">
        <v>794350</v>
      </c>
      <c r="BT18" s="68">
        <f t="shared" si="25"/>
        <v>280</v>
      </c>
      <c r="BU18" s="75">
        <v>9970</v>
      </c>
      <c r="BV18" s="68">
        <f t="shared" si="26"/>
        <v>123</v>
      </c>
      <c r="BW18" s="78">
        <f t="shared" si="59"/>
        <v>120</v>
      </c>
      <c r="BX18" s="68">
        <f t="shared" si="28"/>
        <v>440</v>
      </c>
      <c r="BY18" s="80">
        <f t="shared" si="54"/>
        <v>139</v>
      </c>
      <c r="BZ18" s="59">
        <v>109</v>
      </c>
      <c r="CA18" s="81">
        <f t="shared" si="29"/>
        <v>13102.02326604979</v>
      </c>
      <c r="CB18" s="65"/>
      <c r="CC18" s="82">
        <f t="shared" si="30"/>
        <v>0</v>
      </c>
      <c r="CD18" s="65">
        <v>212096</v>
      </c>
      <c r="CE18" s="68">
        <f t="shared" si="31"/>
        <v>164</v>
      </c>
      <c r="CF18" s="78">
        <f t="shared" si="32"/>
        <v>936.43999999999994</v>
      </c>
      <c r="CG18" s="65">
        <v>75</v>
      </c>
      <c r="CH18" s="85">
        <f t="shared" si="33"/>
        <v>8081.25</v>
      </c>
      <c r="CI18" s="65">
        <v>74</v>
      </c>
      <c r="CJ18" s="86">
        <f t="shared" si="34"/>
        <v>7973.5</v>
      </c>
      <c r="CK18" s="65">
        <v>75</v>
      </c>
      <c r="CL18" s="87">
        <f t="shared" si="35"/>
        <v>8081.25</v>
      </c>
      <c r="CM18" s="88">
        <f t="shared" si="36"/>
        <v>24136</v>
      </c>
      <c r="CN18" s="89">
        <f t="shared" si="37"/>
        <v>-300.5</v>
      </c>
      <c r="CO18" s="65"/>
      <c r="CP18" s="65">
        <v>35593</v>
      </c>
      <c r="CQ18" s="68">
        <f t="shared" si="38"/>
        <v>33</v>
      </c>
      <c r="CR18" s="78">
        <f t="shared" si="39"/>
        <v>80.52</v>
      </c>
      <c r="CS18" s="65">
        <v>34435</v>
      </c>
      <c r="CT18" s="68">
        <f t="shared" si="40"/>
        <v>8</v>
      </c>
      <c r="CU18" s="78">
        <f t="shared" si="41"/>
        <v>19.52</v>
      </c>
      <c r="CV18" s="65">
        <v>10464</v>
      </c>
      <c r="CW18" s="68">
        <f t="shared" si="57"/>
        <v>19</v>
      </c>
      <c r="CX18" s="78">
        <f t="shared" si="42"/>
        <v>46.36</v>
      </c>
      <c r="CY18" s="65">
        <v>833928</v>
      </c>
      <c r="CZ18" s="68">
        <f t="shared" si="43"/>
        <v>28</v>
      </c>
      <c r="DA18" s="78">
        <f t="shared" si="44"/>
        <v>68.319999999999993</v>
      </c>
      <c r="DB18" s="65">
        <v>6489</v>
      </c>
      <c r="DC18" s="68">
        <f t="shared" si="45"/>
        <v>8</v>
      </c>
      <c r="DD18" s="78">
        <f t="shared" si="46"/>
        <v>19.12</v>
      </c>
      <c r="DE18" s="65">
        <v>7825</v>
      </c>
      <c r="DF18" s="68">
        <f t="shared" si="47"/>
        <v>8</v>
      </c>
      <c r="DG18" s="68" t="str">
        <f t="shared" si="47"/>
        <v>0</v>
      </c>
      <c r="DH18" s="65">
        <v>4572</v>
      </c>
      <c r="DI18" s="68">
        <f t="shared" si="48"/>
        <v>3</v>
      </c>
      <c r="DJ18" s="68" t="str">
        <f t="shared" si="48"/>
        <v>0</v>
      </c>
      <c r="DK18" s="65">
        <v>1896</v>
      </c>
      <c r="DL18" s="68">
        <f t="shared" si="48"/>
        <v>2</v>
      </c>
      <c r="DM18" s="68">
        <f t="shared" si="48"/>
        <v>1</v>
      </c>
      <c r="DN18" s="65">
        <v>5201</v>
      </c>
      <c r="DO18" s="68">
        <f t="shared" si="48"/>
        <v>7</v>
      </c>
      <c r="DP18" s="68" t="str">
        <f t="shared" si="48"/>
        <v>0</v>
      </c>
      <c r="DQ18" s="65">
        <v>4738</v>
      </c>
      <c r="DR18" s="68">
        <f t="shared" si="48"/>
        <v>9</v>
      </c>
      <c r="DS18" s="68">
        <f t="shared" si="48"/>
        <v>0</v>
      </c>
      <c r="DT18" s="65">
        <v>5531</v>
      </c>
      <c r="DU18" s="68">
        <f t="shared" si="48"/>
        <v>10</v>
      </c>
      <c r="DV18" s="68">
        <f t="shared" si="48"/>
        <v>1</v>
      </c>
      <c r="DW18" s="65">
        <v>5517</v>
      </c>
      <c r="DX18" s="68">
        <f t="shared" si="49"/>
        <v>11</v>
      </c>
      <c r="DY18" s="78">
        <f t="shared" si="50"/>
        <v>26.290000000000003</v>
      </c>
      <c r="DZ18" s="83"/>
      <c r="EA18" s="78">
        <f t="shared" si="55"/>
        <v>0</v>
      </c>
      <c r="EB18" s="83"/>
      <c r="EC18" s="78">
        <f t="shared" si="51"/>
        <v>0</v>
      </c>
      <c r="ED18" s="92"/>
      <c r="EE18" s="78">
        <f t="shared" si="51"/>
        <v>0</v>
      </c>
      <c r="EF18" s="92"/>
      <c r="EG18" s="78">
        <f t="shared" si="52"/>
        <v>0</v>
      </c>
      <c r="EH18" s="92">
        <v>95</v>
      </c>
      <c r="EI18" s="93">
        <f>192+31</f>
        <v>223</v>
      </c>
      <c r="EJ18" s="91">
        <v>0.71</v>
      </c>
      <c r="EK18" s="94"/>
      <c r="EL18" s="92"/>
      <c r="EM18" s="93"/>
      <c r="EN18" s="96">
        <v>13.3</v>
      </c>
      <c r="EO18" s="96">
        <v>12.8</v>
      </c>
      <c r="EP18" s="96">
        <v>13</v>
      </c>
    </row>
    <row r="19" spans="1:148" s="20" customFormat="1" ht="15.75" thickBot="1" x14ac:dyDescent="0.25">
      <c r="A19" s="58">
        <v>44485</v>
      </c>
      <c r="B19" s="65">
        <v>8070920</v>
      </c>
      <c r="C19" s="60">
        <f t="shared" si="1"/>
        <v>19024</v>
      </c>
      <c r="D19" s="65">
        <v>7240598</v>
      </c>
      <c r="E19" s="60">
        <f t="shared" si="2"/>
        <v>18884</v>
      </c>
      <c r="F19" s="111">
        <f t="shared" si="3"/>
        <v>0.99264087468460893</v>
      </c>
      <c r="G19" s="61">
        <v>950</v>
      </c>
      <c r="H19" s="61">
        <v>552</v>
      </c>
      <c r="I19" s="62">
        <v>289262</v>
      </c>
      <c r="J19" s="63">
        <f t="shared" si="4"/>
        <v>0</v>
      </c>
      <c r="K19" s="64">
        <v>794</v>
      </c>
      <c r="L19" s="60">
        <f t="shared" si="61"/>
        <v>0</v>
      </c>
      <c r="M19" s="65">
        <v>636988</v>
      </c>
      <c r="N19" s="63">
        <f t="shared" si="6"/>
        <v>0</v>
      </c>
      <c r="O19" s="65">
        <v>1015</v>
      </c>
      <c r="P19" s="63">
        <f t="shared" si="7"/>
        <v>0</v>
      </c>
      <c r="Q19" s="65">
        <v>2584416</v>
      </c>
      <c r="R19" s="63">
        <f t="shared" si="7"/>
        <v>797</v>
      </c>
      <c r="S19" s="65">
        <v>2203599</v>
      </c>
      <c r="T19" s="63">
        <f t="shared" si="8"/>
        <v>516</v>
      </c>
      <c r="U19" s="65">
        <v>127600</v>
      </c>
      <c r="V19" s="63">
        <f t="shared" si="8"/>
        <v>271</v>
      </c>
      <c r="W19" s="112"/>
      <c r="X19" s="113">
        <f>6.5/9</f>
        <v>0.72222222222222221</v>
      </c>
      <c r="Y19" s="67">
        <f t="shared" si="58"/>
        <v>288.88888888888886</v>
      </c>
      <c r="Z19" s="64">
        <v>13</v>
      </c>
      <c r="AA19" s="65">
        <v>154128</v>
      </c>
      <c r="AB19" s="60">
        <f t="shared" si="9"/>
        <v>0</v>
      </c>
      <c r="AC19" s="61">
        <v>42284</v>
      </c>
      <c r="AD19" s="68">
        <f t="shared" si="10"/>
        <v>43</v>
      </c>
      <c r="AE19" s="65">
        <v>1151</v>
      </c>
      <c r="AF19" s="69">
        <f t="shared" ref="AF19:AF34" si="62">IF((AE19-AE18)&lt;0,"0",(AE19-AE18))</f>
        <v>0</v>
      </c>
      <c r="AG19" s="65">
        <v>4650</v>
      </c>
      <c r="AH19" s="70">
        <f t="shared" si="56"/>
        <v>0</v>
      </c>
      <c r="AI19" s="19"/>
      <c r="AJ19" s="19"/>
      <c r="AK19" s="65">
        <v>590860</v>
      </c>
      <c r="AL19" s="63">
        <f t="shared" si="11"/>
        <v>160</v>
      </c>
      <c r="AM19" s="77">
        <v>1316</v>
      </c>
      <c r="AN19" s="60">
        <f t="shared" si="12"/>
        <v>0</v>
      </c>
      <c r="AO19" s="65">
        <v>53019</v>
      </c>
      <c r="AP19" s="74">
        <f t="shared" si="13"/>
        <v>18</v>
      </c>
      <c r="AQ19" s="61">
        <v>8977</v>
      </c>
      <c r="AR19" s="60">
        <f t="shared" si="14"/>
        <v>2</v>
      </c>
      <c r="AS19" s="65">
        <v>10634</v>
      </c>
      <c r="AT19" s="60">
        <f t="shared" si="14"/>
        <v>4</v>
      </c>
      <c r="AU19" s="61">
        <v>14962</v>
      </c>
      <c r="AV19" s="60">
        <f t="shared" si="14"/>
        <v>13</v>
      </c>
      <c r="AW19" s="65">
        <v>19476</v>
      </c>
      <c r="AX19" s="60">
        <f t="shared" si="14"/>
        <v>7</v>
      </c>
      <c r="AY19" s="59">
        <v>20730</v>
      </c>
      <c r="AZ19" s="68">
        <f t="shared" si="15"/>
        <v>3</v>
      </c>
      <c r="BA19" s="65">
        <v>13925</v>
      </c>
      <c r="BB19" s="60">
        <f t="shared" si="16"/>
        <v>3</v>
      </c>
      <c r="BC19" s="59">
        <v>6282</v>
      </c>
      <c r="BD19" s="60">
        <f t="shared" si="17"/>
        <v>3</v>
      </c>
      <c r="BE19" s="65">
        <v>26793</v>
      </c>
      <c r="BF19" s="60">
        <f t="shared" si="18"/>
        <v>4</v>
      </c>
      <c r="BG19" s="61">
        <v>12537</v>
      </c>
      <c r="BH19" s="60">
        <f t="shared" si="19"/>
        <v>88</v>
      </c>
      <c r="BI19">
        <v>4447</v>
      </c>
      <c r="BJ19" s="60">
        <f t="shared" si="20"/>
        <v>6</v>
      </c>
      <c r="BK19" s="65">
        <v>3636</v>
      </c>
      <c r="BL19" s="60">
        <f t="shared" si="53"/>
        <v>0</v>
      </c>
      <c r="BM19" s="68">
        <f t="shared" si="21"/>
        <v>19</v>
      </c>
      <c r="BN19" s="68">
        <f t="shared" si="22"/>
        <v>141</v>
      </c>
      <c r="BO19" s="65">
        <v>610540</v>
      </c>
      <c r="BP19" s="68">
        <f t="shared" si="60"/>
        <v>140</v>
      </c>
      <c r="BQ19" s="75">
        <v>1026</v>
      </c>
      <c r="BR19" s="60">
        <f t="shared" si="24"/>
        <v>7</v>
      </c>
      <c r="BS19" s="65">
        <v>794630</v>
      </c>
      <c r="BT19" s="68">
        <f t="shared" si="25"/>
        <v>280</v>
      </c>
      <c r="BU19" s="75">
        <v>10086</v>
      </c>
      <c r="BV19" s="68">
        <f t="shared" si="26"/>
        <v>116</v>
      </c>
      <c r="BW19" s="78">
        <f t="shared" si="59"/>
        <v>120</v>
      </c>
      <c r="BX19" s="68">
        <f t="shared" si="28"/>
        <v>420</v>
      </c>
      <c r="BY19" s="80">
        <f t="shared" si="54"/>
        <v>141</v>
      </c>
      <c r="BZ19" s="59">
        <v>109</v>
      </c>
      <c r="CA19" s="81">
        <f t="shared" si="29"/>
        <v>13102.02326604979</v>
      </c>
      <c r="CB19" s="65"/>
      <c r="CC19" s="82">
        <f t="shared" si="30"/>
        <v>0</v>
      </c>
      <c r="CD19" s="65">
        <v>212267</v>
      </c>
      <c r="CE19" s="68">
        <f t="shared" si="31"/>
        <v>171</v>
      </c>
      <c r="CF19" s="78">
        <f t="shared" si="32"/>
        <v>976.41</v>
      </c>
      <c r="CG19" s="65">
        <v>66</v>
      </c>
      <c r="CH19" s="85">
        <f t="shared" si="33"/>
        <v>7111.5</v>
      </c>
      <c r="CI19" s="65">
        <v>70</v>
      </c>
      <c r="CJ19" s="86">
        <f t="shared" si="34"/>
        <v>7542.5</v>
      </c>
      <c r="CK19" s="65">
        <v>64</v>
      </c>
      <c r="CL19" s="87">
        <f t="shared" si="35"/>
        <v>6896</v>
      </c>
      <c r="CM19" s="88">
        <f t="shared" si="36"/>
        <v>21550</v>
      </c>
      <c r="CN19" s="89">
        <f t="shared" si="37"/>
        <v>2586</v>
      </c>
      <c r="CO19" s="65"/>
      <c r="CP19" s="65">
        <v>35630</v>
      </c>
      <c r="CQ19" s="68">
        <f t="shared" si="38"/>
        <v>37</v>
      </c>
      <c r="CR19" s="78">
        <f t="shared" si="39"/>
        <v>90.28</v>
      </c>
      <c r="CS19" s="65">
        <v>34442</v>
      </c>
      <c r="CT19" s="68">
        <f t="shared" si="40"/>
        <v>7</v>
      </c>
      <c r="CU19" s="78">
        <f t="shared" si="41"/>
        <v>17.079999999999998</v>
      </c>
      <c r="CV19" s="65">
        <v>10490</v>
      </c>
      <c r="CW19" s="68">
        <f t="shared" si="57"/>
        <v>26</v>
      </c>
      <c r="CX19" s="78">
        <f t="shared" si="42"/>
        <v>63.44</v>
      </c>
      <c r="CY19" s="65">
        <v>833988</v>
      </c>
      <c r="CZ19" s="68">
        <f t="shared" si="43"/>
        <v>60</v>
      </c>
      <c r="DA19" s="78">
        <f t="shared" si="44"/>
        <v>146.4</v>
      </c>
      <c r="DB19" s="65">
        <v>6498</v>
      </c>
      <c r="DC19" s="68">
        <f t="shared" si="45"/>
        <v>9</v>
      </c>
      <c r="DD19" s="78">
        <f t="shared" si="46"/>
        <v>21.51</v>
      </c>
      <c r="DE19" s="65">
        <v>7834</v>
      </c>
      <c r="DF19" s="68">
        <f t="shared" si="47"/>
        <v>9</v>
      </c>
      <c r="DG19" s="68">
        <f t="shared" si="47"/>
        <v>1</v>
      </c>
      <c r="DH19" s="65">
        <v>4576</v>
      </c>
      <c r="DI19" s="68">
        <f t="shared" si="48"/>
        <v>4</v>
      </c>
      <c r="DJ19" s="68">
        <f t="shared" si="48"/>
        <v>1</v>
      </c>
      <c r="DK19" s="65">
        <v>1897</v>
      </c>
      <c r="DL19" s="68">
        <f t="shared" si="48"/>
        <v>1</v>
      </c>
      <c r="DM19" s="68" t="str">
        <f t="shared" si="48"/>
        <v>0</v>
      </c>
      <c r="DN19" s="65">
        <v>5210</v>
      </c>
      <c r="DO19" s="68">
        <f t="shared" si="48"/>
        <v>9</v>
      </c>
      <c r="DP19" s="68">
        <f t="shared" si="48"/>
        <v>2</v>
      </c>
      <c r="DQ19" s="65">
        <v>4747</v>
      </c>
      <c r="DR19" s="68">
        <f t="shared" si="48"/>
        <v>9</v>
      </c>
      <c r="DS19" s="68">
        <f t="shared" si="48"/>
        <v>0</v>
      </c>
      <c r="DT19" s="65">
        <v>5540</v>
      </c>
      <c r="DU19" s="68">
        <f t="shared" si="48"/>
        <v>9</v>
      </c>
      <c r="DV19" s="68" t="str">
        <f t="shared" si="48"/>
        <v>0</v>
      </c>
      <c r="DW19" s="65">
        <v>5517</v>
      </c>
      <c r="DX19" s="68">
        <f t="shared" si="49"/>
        <v>0</v>
      </c>
      <c r="DY19" s="78">
        <f t="shared" si="50"/>
        <v>0</v>
      </c>
      <c r="DZ19" s="83"/>
      <c r="EA19" s="78">
        <f t="shared" si="55"/>
        <v>0</v>
      </c>
      <c r="EB19" s="83"/>
      <c r="EC19" s="78">
        <f t="shared" si="51"/>
        <v>0</v>
      </c>
      <c r="ED19" s="92"/>
      <c r="EE19" s="78">
        <f t="shared" si="51"/>
        <v>0</v>
      </c>
      <c r="EF19" s="92"/>
      <c r="EG19" s="78">
        <f t="shared" si="52"/>
        <v>0</v>
      </c>
      <c r="EH19" s="92">
        <v>67</v>
      </c>
      <c r="EI19" s="93">
        <f>184+47</f>
        <v>231</v>
      </c>
      <c r="EJ19" s="91">
        <v>0.67</v>
      </c>
      <c r="EK19" s="94"/>
      <c r="EL19" s="92"/>
      <c r="EM19" s="93"/>
      <c r="EN19" s="96">
        <v>12.8</v>
      </c>
      <c r="EO19" s="96">
        <v>12.9</v>
      </c>
      <c r="EP19" s="96">
        <v>12.8</v>
      </c>
    </row>
    <row r="20" spans="1:148" s="20" customFormat="1" ht="12" customHeight="1" thickBot="1" x14ac:dyDescent="0.25">
      <c r="A20" s="58">
        <v>44486</v>
      </c>
      <c r="B20" s="65">
        <v>8089488</v>
      </c>
      <c r="C20" s="60">
        <f t="shared" si="1"/>
        <v>18568</v>
      </c>
      <c r="D20" s="65">
        <v>7258974</v>
      </c>
      <c r="E20" s="60">
        <f t="shared" si="2"/>
        <v>18376</v>
      </c>
      <c r="F20" s="111">
        <f t="shared" si="3"/>
        <v>0.98965962947005603</v>
      </c>
      <c r="G20" s="61">
        <v>950</v>
      </c>
      <c r="H20" s="61">
        <v>552</v>
      </c>
      <c r="I20" s="62">
        <v>289262</v>
      </c>
      <c r="J20" s="63">
        <f t="shared" si="4"/>
        <v>0</v>
      </c>
      <c r="K20" s="64">
        <v>794</v>
      </c>
      <c r="L20" s="60">
        <f t="shared" si="61"/>
        <v>0</v>
      </c>
      <c r="M20" s="65">
        <v>636988</v>
      </c>
      <c r="N20" s="63">
        <f t="shared" si="6"/>
        <v>0</v>
      </c>
      <c r="O20" s="65">
        <v>1015</v>
      </c>
      <c r="P20" s="63">
        <f t="shared" si="7"/>
        <v>0</v>
      </c>
      <c r="Q20" s="65">
        <v>2584416</v>
      </c>
      <c r="R20" s="63">
        <f t="shared" si="7"/>
        <v>0</v>
      </c>
      <c r="S20" s="65">
        <v>2204097</v>
      </c>
      <c r="T20" s="63">
        <f t="shared" ref="T20:T32" si="63">(S20-S19)</f>
        <v>498</v>
      </c>
      <c r="U20" s="65">
        <v>127781</v>
      </c>
      <c r="V20" s="63">
        <f t="shared" ref="V20:V32" si="64">(U20-U19)</f>
        <v>181</v>
      </c>
      <c r="W20" s="112"/>
      <c r="X20" s="113">
        <v>0.9</v>
      </c>
      <c r="Y20" s="67">
        <f t="shared" si="58"/>
        <v>360</v>
      </c>
      <c r="Z20" s="64">
        <v>10</v>
      </c>
      <c r="AA20" s="65">
        <v>154128</v>
      </c>
      <c r="AB20" s="60">
        <f t="shared" si="9"/>
        <v>0</v>
      </c>
      <c r="AC20" s="61">
        <v>42323</v>
      </c>
      <c r="AD20" s="68">
        <f t="shared" ref="AD20:AD34" si="65">IF((AC20-AC19)&lt;0,"0",(AC20-AC19))</f>
        <v>39</v>
      </c>
      <c r="AE20" s="65">
        <v>1151</v>
      </c>
      <c r="AF20" s="69">
        <f t="shared" si="62"/>
        <v>0</v>
      </c>
      <c r="AG20" s="65">
        <v>4650</v>
      </c>
      <c r="AH20" s="70">
        <f t="shared" si="56"/>
        <v>0</v>
      </c>
      <c r="AI20" s="19"/>
      <c r="AJ20" s="19"/>
      <c r="AK20" s="65">
        <v>591010</v>
      </c>
      <c r="AL20" s="63">
        <f t="shared" si="11"/>
        <v>150</v>
      </c>
      <c r="AM20" s="77">
        <v>1316</v>
      </c>
      <c r="AN20" s="60">
        <f t="shared" si="12"/>
        <v>0</v>
      </c>
      <c r="AO20" s="65">
        <v>53036</v>
      </c>
      <c r="AP20" s="74">
        <f>(AO20-AO19)</f>
        <v>17</v>
      </c>
      <c r="AQ20" s="61">
        <v>8978</v>
      </c>
      <c r="AR20" s="60">
        <f t="shared" ref="AR20:AT34" si="66">(AQ20-AQ19)</f>
        <v>1</v>
      </c>
      <c r="AS20" s="65">
        <v>10641</v>
      </c>
      <c r="AT20" s="60">
        <f t="shared" si="66"/>
        <v>7</v>
      </c>
      <c r="AU20" s="61">
        <v>14977</v>
      </c>
      <c r="AV20" s="60">
        <f t="shared" ref="AV20:AV34" si="67">(AU20-AU19)</f>
        <v>15</v>
      </c>
      <c r="AW20" s="65">
        <v>19483</v>
      </c>
      <c r="AX20" s="60">
        <f t="shared" ref="AX20:AX34" si="68">(AW20-AW19)</f>
        <v>7</v>
      </c>
      <c r="AY20" s="59">
        <v>20732</v>
      </c>
      <c r="AZ20" s="68">
        <f t="shared" si="15"/>
        <v>2</v>
      </c>
      <c r="BA20" s="65">
        <v>13928</v>
      </c>
      <c r="BB20" s="60">
        <f t="shared" si="16"/>
        <v>3</v>
      </c>
      <c r="BC20" s="59">
        <v>6284</v>
      </c>
      <c r="BD20" s="60">
        <f t="shared" si="17"/>
        <v>2</v>
      </c>
      <c r="BE20" s="65">
        <v>26798</v>
      </c>
      <c r="BF20" s="60">
        <f t="shared" si="18"/>
        <v>5</v>
      </c>
      <c r="BG20" s="61">
        <v>12636</v>
      </c>
      <c r="BH20" s="60">
        <f t="shared" si="19"/>
        <v>99</v>
      </c>
      <c r="BI20">
        <v>4452</v>
      </c>
      <c r="BJ20" s="60">
        <f t="shared" si="20"/>
        <v>5</v>
      </c>
      <c r="BK20" s="65">
        <v>3636</v>
      </c>
      <c r="BL20" s="60">
        <f t="shared" si="53"/>
        <v>0</v>
      </c>
      <c r="BM20" s="68">
        <f t="shared" si="21"/>
        <v>20</v>
      </c>
      <c r="BN20" s="68">
        <f t="shared" si="22"/>
        <v>130</v>
      </c>
      <c r="BO20" s="65">
        <v>610670</v>
      </c>
      <c r="BP20" s="68">
        <f t="shared" si="60"/>
        <v>130</v>
      </c>
      <c r="BQ20" s="75">
        <v>1039</v>
      </c>
      <c r="BR20" s="60">
        <f t="shared" si="24"/>
        <v>13</v>
      </c>
      <c r="BS20" s="65">
        <v>794890</v>
      </c>
      <c r="BT20" s="68">
        <f t="shared" si="25"/>
        <v>260</v>
      </c>
      <c r="BU20" s="79">
        <v>10158</v>
      </c>
      <c r="BV20" s="68">
        <f t="shared" si="26"/>
        <v>72</v>
      </c>
      <c r="BW20" s="78">
        <f t="shared" si="59"/>
        <v>110</v>
      </c>
      <c r="BX20" s="68">
        <f t="shared" si="28"/>
        <v>390</v>
      </c>
      <c r="BY20" s="80">
        <f t="shared" si="54"/>
        <v>153</v>
      </c>
      <c r="BZ20" s="59">
        <v>109</v>
      </c>
      <c r="CA20" s="81">
        <f t="shared" si="29"/>
        <v>13102.02326604979</v>
      </c>
      <c r="CB20" s="84"/>
      <c r="CC20" s="82">
        <f t="shared" si="30"/>
        <v>0</v>
      </c>
      <c r="CD20" s="65">
        <v>212434</v>
      </c>
      <c r="CE20" s="68">
        <f t="shared" si="31"/>
        <v>167</v>
      </c>
      <c r="CF20" s="78">
        <f t="shared" si="32"/>
        <v>953.57</v>
      </c>
      <c r="CG20" s="65">
        <v>69</v>
      </c>
      <c r="CH20" s="85">
        <f t="shared" si="33"/>
        <v>7434.75</v>
      </c>
      <c r="CI20" s="65">
        <v>66</v>
      </c>
      <c r="CJ20" s="86">
        <f t="shared" si="34"/>
        <v>7111.5</v>
      </c>
      <c r="CK20" s="65">
        <v>61</v>
      </c>
      <c r="CL20" s="87">
        <f t="shared" si="35"/>
        <v>6572.75</v>
      </c>
      <c r="CM20" s="88">
        <f t="shared" si="36"/>
        <v>21119</v>
      </c>
      <c r="CN20" s="89">
        <f t="shared" si="37"/>
        <v>431</v>
      </c>
      <c r="CO20" s="65"/>
      <c r="CP20" s="65">
        <v>35664</v>
      </c>
      <c r="CQ20" s="68">
        <f t="shared" si="38"/>
        <v>34</v>
      </c>
      <c r="CR20" s="78">
        <f t="shared" si="39"/>
        <v>82.96</v>
      </c>
      <c r="CS20" s="65">
        <v>34449</v>
      </c>
      <c r="CT20" s="68">
        <f t="shared" si="40"/>
        <v>7</v>
      </c>
      <c r="CU20" s="78">
        <f t="shared" si="41"/>
        <v>17.079999999999998</v>
      </c>
      <c r="CV20" s="65">
        <v>10514</v>
      </c>
      <c r="CW20" s="68">
        <f t="shared" si="57"/>
        <v>24</v>
      </c>
      <c r="CX20" s="78">
        <f t="shared" si="42"/>
        <v>58.56</v>
      </c>
      <c r="CY20" s="65">
        <v>833942</v>
      </c>
      <c r="CZ20" s="68" t="str">
        <f t="shared" si="43"/>
        <v>0</v>
      </c>
      <c r="DA20" s="78">
        <f t="shared" si="44"/>
        <v>0</v>
      </c>
      <c r="DB20" s="65">
        <v>6507</v>
      </c>
      <c r="DC20" s="68">
        <f t="shared" si="45"/>
        <v>9</v>
      </c>
      <c r="DD20" s="78">
        <f t="shared" si="46"/>
        <v>21.51</v>
      </c>
      <c r="DE20" s="65">
        <v>7843</v>
      </c>
      <c r="DF20" s="68">
        <f t="shared" ref="DF20:DG34" si="69">IF((DE20-DE19)&lt;0,"0",(DE20-DE19))</f>
        <v>9</v>
      </c>
      <c r="DG20" s="68">
        <f t="shared" si="69"/>
        <v>0</v>
      </c>
      <c r="DH20" s="65">
        <v>4581</v>
      </c>
      <c r="DI20" s="68">
        <f t="shared" ref="DI20:DJ34" si="70">IF((DH20-DH19)&lt;0,"0",(DH20-DH19))</f>
        <v>5</v>
      </c>
      <c r="DJ20" s="68">
        <f t="shared" si="70"/>
        <v>1</v>
      </c>
      <c r="DK20" s="65">
        <v>1898</v>
      </c>
      <c r="DL20" s="68">
        <f t="shared" ref="DL20:DM34" si="71">IF((DK20-DK19)&lt;0,"0",(DK20-DK19))</f>
        <v>1</v>
      </c>
      <c r="DM20" s="68">
        <f t="shared" si="71"/>
        <v>0</v>
      </c>
      <c r="DN20" s="65">
        <v>5219</v>
      </c>
      <c r="DO20" s="68">
        <f t="shared" ref="DO20:DP34" si="72">IF((DN20-DN19)&lt;0,"0",(DN20-DN19))</f>
        <v>9</v>
      </c>
      <c r="DP20" s="68">
        <f t="shared" si="72"/>
        <v>0</v>
      </c>
      <c r="DQ20" s="65">
        <v>4759</v>
      </c>
      <c r="DR20" s="68">
        <f t="shared" ref="DR20:DS34" si="73">IF((DQ20-DQ19)&lt;0,"0",(DQ20-DQ19))</f>
        <v>12</v>
      </c>
      <c r="DS20" s="68">
        <f t="shared" si="73"/>
        <v>3</v>
      </c>
      <c r="DT20" s="65">
        <v>5549</v>
      </c>
      <c r="DU20" s="68">
        <f t="shared" ref="DU20:DV34" si="74">IF((DT20-DT19)&lt;0,"0",(DT20-DT19))</f>
        <v>9</v>
      </c>
      <c r="DV20" s="68">
        <f t="shared" si="74"/>
        <v>0</v>
      </c>
      <c r="DW20" s="65">
        <v>5523</v>
      </c>
      <c r="DX20" s="68">
        <f t="shared" si="49"/>
        <v>6</v>
      </c>
      <c r="DY20" s="78">
        <f t="shared" si="50"/>
        <v>14.34</v>
      </c>
      <c r="DZ20" s="83"/>
      <c r="EA20" s="78">
        <f t="shared" si="55"/>
        <v>0</v>
      </c>
      <c r="EB20" s="83"/>
      <c r="EC20" s="78">
        <f t="shared" ref="EC20:EC31" si="75">(EB20-EB19)</f>
        <v>0</v>
      </c>
      <c r="ED20" s="92"/>
      <c r="EE20" s="78">
        <f t="shared" ref="EE20:EE34" si="76">(ED20-ED19)</f>
        <v>0</v>
      </c>
      <c r="EF20" s="92"/>
      <c r="EG20" s="78">
        <f t="shared" si="52"/>
        <v>0</v>
      </c>
      <c r="EH20" s="92">
        <v>103</v>
      </c>
      <c r="EI20" s="93">
        <v>300</v>
      </c>
      <c r="EJ20" s="91">
        <v>0.77</v>
      </c>
      <c r="EK20" s="94"/>
      <c r="EL20" s="92"/>
      <c r="EM20" s="93"/>
      <c r="EN20" s="96">
        <v>13.2</v>
      </c>
      <c r="EO20" s="96">
        <v>12.9</v>
      </c>
      <c r="EP20" s="96">
        <v>13.3</v>
      </c>
      <c r="ER20" s="130" t="s">
        <v>127</v>
      </c>
    </row>
    <row r="21" spans="1:148" s="20" customFormat="1" ht="15.75" thickBot="1" x14ac:dyDescent="0.25">
      <c r="A21" s="58">
        <v>44487</v>
      </c>
      <c r="B21" s="65">
        <v>8109065</v>
      </c>
      <c r="C21" s="60">
        <f t="shared" si="1"/>
        <v>19577</v>
      </c>
      <c r="D21" s="65">
        <v>7278344</v>
      </c>
      <c r="E21" s="60">
        <f t="shared" si="2"/>
        <v>19370</v>
      </c>
      <c r="F21" s="111">
        <f t="shared" si="3"/>
        <v>0.98942636767635495</v>
      </c>
      <c r="G21" s="61">
        <v>950</v>
      </c>
      <c r="H21" s="61">
        <v>552</v>
      </c>
      <c r="I21" s="62">
        <v>289262</v>
      </c>
      <c r="J21" s="63">
        <f t="shared" si="4"/>
        <v>0</v>
      </c>
      <c r="K21" s="64">
        <v>794</v>
      </c>
      <c r="L21" s="60">
        <f t="shared" si="61"/>
        <v>0</v>
      </c>
      <c r="M21" s="65">
        <v>636988</v>
      </c>
      <c r="N21" s="63">
        <f t="shared" si="6"/>
        <v>0</v>
      </c>
      <c r="O21" s="65">
        <v>1015</v>
      </c>
      <c r="P21" s="63">
        <f t="shared" si="7"/>
        <v>0</v>
      </c>
      <c r="Q21" s="65">
        <v>2586695</v>
      </c>
      <c r="R21" s="63">
        <f t="shared" si="7"/>
        <v>2279</v>
      </c>
      <c r="S21" s="65">
        <v>2204531</v>
      </c>
      <c r="T21" s="63">
        <f t="shared" si="63"/>
        <v>434</v>
      </c>
      <c r="U21" s="65">
        <v>127951</v>
      </c>
      <c r="V21" s="63">
        <f t="shared" si="64"/>
        <v>170</v>
      </c>
      <c r="W21" s="112"/>
      <c r="X21" s="113">
        <f>6/9</f>
        <v>0.66666666666666663</v>
      </c>
      <c r="Y21" s="67">
        <f t="shared" si="58"/>
        <v>266.66666666666663</v>
      </c>
      <c r="Z21" s="64">
        <v>0</v>
      </c>
      <c r="AA21" s="65">
        <v>154128</v>
      </c>
      <c r="AB21" s="60">
        <f t="shared" si="9"/>
        <v>0</v>
      </c>
      <c r="AC21" s="61">
        <v>42365</v>
      </c>
      <c r="AD21" s="68">
        <f t="shared" si="65"/>
        <v>42</v>
      </c>
      <c r="AE21" s="65">
        <v>1151</v>
      </c>
      <c r="AF21" s="69">
        <f t="shared" si="62"/>
        <v>0</v>
      </c>
      <c r="AG21" s="65">
        <v>4655</v>
      </c>
      <c r="AH21" s="70">
        <f t="shared" si="56"/>
        <v>5</v>
      </c>
      <c r="AI21" s="19"/>
      <c r="AJ21" s="19"/>
      <c r="AK21" s="65">
        <v>591190</v>
      </c>
      <c r="AL21" s="63">
        <f t="shared" si="11"/>
        <v>180</v>
      </c>
      <c r="AM21" s="77">
        <v>1317</v>
      </c>
      <c r="AN21" s="60">
        <f t="shared" si="12"/>
        <v>1</v>
      </c>
      <c r="AO21" s="65">
        <v>53057</v>
      </c>
      <c r="AP21" s="74">
        <f t="shared" ref="AP21:AP34" si="77">(AO21-AO20)</f>
        <v>21</v>
      </c>
      <c r="AQ21" s="61">
        <v>8979</v>
      </c>
      <c r="AR21" s="60">
        <f t="shared" si="66"/>
        <v>1</v>
      </c>
      <c r="AS21" s="65">
        <v>10646</v>
      </c>
      <c r="AT21" s="60">
        <f t="shared" si="66"/>
        <v>5</v>
      </c>
      <c r="AU21" s="61">
        <v>14994</v>
      </c>
      <c r="AV21" s="60">
        <f t="shared" si="67"/>
        <v>17</v>
      </c>
      <c r="AW21" s="65">
        <v>19491</v>
      </c>
      <c r="AX21" s="60">
        <f t="shared" si="68"/>
        <v>8</v>
      </c>
      <c r="AY21" s="59">
        <v>20736</v>
      </c>
      <c r="AZ21" s="68">
        <f t="shared" si="15"/>
        <v>4</v>
      </c>
      <c r="BA21" s="65">
        <v>13931</v>
      </c>
      <c r="BB21" s="60">
        <f t="shared" si="16"/>
        <v>3</v>
      </c>
      <c r="BC21" s="59">
        <v>6286</v>
      </c>
      <c r="BD21" s="60">
        <f t="shared" si="17"/>
        <v>2</v>
      </c>
      <c r="BE21" s="65">
        <v>26805</v>
      </c>
      <c r="BF21" s="60">
        <f t="shared" si="18"/>
        <v>7</v>
      </c>
      <c r="BG21" s="61">
        <v>12728</v>
      </c>
      <c r="BH21" s="60">
        <f t="shared" si="19"/>
        <v>92</v>
      </c>
      <c r="BI21">
        <v>4458</v>
      </c>
      <c r="BJ21" s="60">
        <f t="shared" si="20"/>
        <v>6</v>
      </c>
      <c r="BK21" s="65">
        <v>3636</v>
      </c>
      <c r="BL21" s="60">
        <f t="shared" si="53"/>
        <v>0</v>
      </c>
      <c r="BM21" s="68">
        <f t="shared" si="21"/>
        <v>24</v>
      </c>
      <c r="BN21" s="68">
        <f t="shared" si="22"/>
        <v>156</v>
      </c>
      <c r="BO21" s="65">
        <v>610810</v>
      </c>
      <c r="BP21" s="68">
        <f t="shared" si="60"/>
        <v>140</v>
      </c>
      <c r="BQ21" s="75">
        <v>1039</v>
      </c>
      <c r="BR21" s="60">
        <f t="shared" si="24"/>
        <v>0</v>
      </c>
      <c r="BS21" s="65">
        <v>795160</v>
      </c>
      <c r="BT21" s="68">
        <f t="shared" si="25"/>
        <v>270</v>
      </c>
      <c r="BU21" s="79">
        <v>10228</v>
      </c>
      <c r="BV21" s="68">
        <f t="shared" si="26"/>
        <v>70</v>
      </c>
      <c r="BW21" s="78">
        <f t="shared" si="59"/>
        <v>90</v>
      </c>
      <c r="BX21" s="68">
        <f t="shared" si="28"/>
        <v>410</v>
      </c>
      <c r="BY21" s="80">
        <f t="shared" si="54"/>
        <v>153</v>
      </c>
      <c r="BZ21" s="59">
        <v>109</v>
      </c>
      <c r="CA21" s="81">
        <f t="shared" si="29"/>
        <v>13102.02326604979</v>
      </c>
      <c r="CB21" s="84"/>
      <c r="CC21" s="82">
        <f t="shared" si="30"/>
        <v>0</v>
      </c>
      <c r="CD21" s="65">
        <v>212608</v>
      </c>
      <c r="CE21" s="68">
        <f t="shared" si="31"/>
        <v>174</v>
      </c>
      <c r="CF21" s="78">
        <f t="shared" si="32"/>
        <v>993.54</v>
      </c>
      <c r="CG21" s="65">
        <v>65</v>
      </c>
      <c r="CH21" s="85">
        <f t="shared" si="33"/>
        <v>7003.75</v>
      </c>
      <c r="CI21" s="65">
        <v>64</v>
      </c>
      <c r="CJ21" s="86">
        <f t="shared" si="34"/>
        <v>6896</v>
      </c>
      <c r="CK21" s="65">
        <v>57</v>
      </c>
      <c r="CL21" s="87">
        <f t="shared" si="35"/>
        <v>6141.75</v>
      </c>
      <c r="CM21" s="88">
        <f t="shared" si="36"/>
        <v>20041.5</v>
      </c>
      <c r="CN21" s="89">
        <f t="shared" si="37"/>
        <v>1077.5</v>
      </c>
      <c r="CO21" s="65"/>
      <c r="CP21" s="65">
        <v>35708</v>
      </c>
      <c r="CQ21" s="68">
        <f t="shared" si="38"/>
        <v>44</v>
      </c>
      <c r="CR21" s="78">
        <f t="shared" si="39"/>
        <v>107.36</v>
      </c>
      <c r="CS21" s="65">
        <v>34457</v>
      </c>
      <c r="CT21" s="68">
        <f t="shared" si="40"/>
        <v>8</v>
      </c>
      <c r="CU21" s="78">
        <f t="shared" si="41"/>
        <v>19.52</v>
      </c>
      <c r="CV21" s="65">
        <v>10538</v>
      </c>
      <c r="CW21" s="68">
        <f t="shared" si="57"/>
        <v>24</v>
      </c>
      <c r="CX21" s="78">
        <f t="shared" si="42"/>
        <v>58.56</v>
      </c>
      <c r="CY21" s="65">
        <v>833997</v>
      </c>
      <c r="CZ21" s="68">
        <f t="shared" si="43"/>
        <v>55</v>
      </c>
      <c r="DA21" s="78">
        <f t="shared" si="44"/>
        <v>134.19999999999999</v>
      </c>
      <c r="DB21" s="65">
        <v>6515</v>
      </c>
      <c r="DC21" s="68">
        <f t="shared" si="45"/>
        <v>8</v>
      </c>
      <c r="DD21" s="78">
        <f t="shared" si="46"/>
        <v>19.12</v>
      </c>
      <c r="DE21" s="65">
        <v>7852</v>
      </c>
      <c r="DF21" s="68">
        <f t="shared" si="69"/>
        <v>9</v>
      </c>
      <c r="DG21" s="68">
        <f t="shared" si="69"/>
        <v>0</v>
      </c>
      <c r="DH21" s="65">
        <v>4586</v>
      </c>
      <c r="DI21" s="68">
        <f t="shared" si="70"/>
        <v>5</v>
      </c>
      <c r="DJ21" s="68">
        <f t="shared" si="70"/>
        <v>0</v>
      </c>
      <c r="DK21" s="65">
        <v>1899</v>
      </c>
      <c r="DL21" s="68">
        <f t="shared" si="71"/>
        <v>1</v>
      </c>
      <c r="DM21" s="68">
        <f t="shared" si="71"/>
        <v>0</v>
      </c>
      <c r="DN21" s="65">
        <v>5227</v>
      </c>
      <c r="DO21" s="68">
        <f t="shared" si="72"/>
        <v>8</v>
      </c>
      <c r="DP21" s="68" t="str">
        <f t="shared" si="72"/>
        <v>0</v>
      </c>
      <c r="DQ21" s="65">
        <v>4770</v>
      </c>
      <c r="DR21" s="68">
        <f t="shared" si="73"/>
        <v>11</v>
      </c>
      <c r="DS21" s="68" t="str">
        <f t="shared" si="73"/>
        <v>0</v>
      </c>
      <c r="DT21" s="65">
        <v>5559</v>
      </c>
      <c r="DU21" s="68">
        <f t="shared" si="74"/>
        <v>10</v>
      </c>
      <c r="DV21" s="68">
        <f t="shared" si="74"/>
        <v>1</v>
      </c>
      <c r="DW21" s="65">
        <v>5531</v>
      </c>
      <c r="DX21" s="68">
        <f t="shared" si="49"/>
        <v>8</v>
      </c>
      <c r="DY21" s="78">
        <f t="shared" si="50"/>
        <v>19.12</v>
      </c>
      <c r="DZ21" s="83"/>
      <c r="EA21" s="78">
        <f t="shared" si="55"/>
        <v>0</v>
      </c>
      <c r="EB21" s="83"/>
      <c r="EC21" s="78">
        <f t="shared" si="75"/>
        <v>0</v>
      </c>
      <c r="ED21" s="92"/>
      <c r="EE21" s="78">
        <f t="shared" si="76"/>
        <v>0</v>
      </c>
      <c r="EF21" s="92"/>
      <c r="EG21" s="78">
        <f t="shared" si="52"/>
        <v>0</v>
      </c>
      <c r="EH21" s="92">
        <v>99</v>
      </c>
      <c r="EI21" s="93">
        <v>297</v>
      </c>
      <c r="EJ21" s="91">
        <v>0.74</v>
      </c>
      <c r="EK21" s="94"/>
      <c r="EL21" s="92"/>
      <c r="EM21" s="93"/>
      <c r="EN21" s="96">
        <v>13</v>
      </c>
      <c r="EO21" s="96">
        <v>13</v>
      </c>
      <c r="EP21" s="96">
        <v>12.9</v>
      </c>
    </row>
    <row r="22" spans="1:148" s="20" customFormat="1" ht="15.75" thickBot="1" x14ac:dyDescent="0.25">
      <c r="A22" s="58">
        <v>44488</v>
      </c>
      <c r="B22" s="65">
        <v>8126931</v>
      </c>
      <c r="C22" s="60">
        <f t="shared" si="1"/>
        <v>17866</v>
      </c>
      <c r="D22" s="65">
        <v>7296028</v>
      </c>
      <c r="E22" s="60">
        <f t="shared" si="2"/>
        <v>17684</v>
      </c>
      <c r="F22" s="111">
        <f t="shared" si="3"/>
        <v>0.98981305272584796</v>
      </c>
      <c r="G22" s="61">
        <v>950</v>
      </c>
      <c r="H22" s="61">
        <v>552</v>
      </c>
      <c r="I22" s="62">
        <v>289262</v>
      </c>
      <c r="J22" s="63">
        <f t="shared" si="4"/>
        <v>0</v>
      </c>
      <c r="K22" s="64">
        <v>794</v>
      </c>
      <c r="L22" s="60">
        <f t="shared" si="61"/>
        <v>0</v>
      </c>
      <c r="M22" s="65">
        <v>636988</v>
      </c>
      <c r="N22" s="63">
        <f t="shared" si="6"/>
        <v>0</v>
      </c>
      <c r="O22" s="65">
        <v>1015</v>
      </c>
      <c r="P22" s="63">
        <f t="shared" si="7"/>
        <v>0</v>
      </c>
      <c r="Q22" s="65">
        <v>2587852</v>
      </c>
      <c r="R22" s="63">
        <f t="shared" si="7"/>
        <v>1157</v>
      </c>
      <c r="S22" s="65">
        <v>2205014</v>
      </c>
      <c r="T22" s="63">
        <f t="shared" si="63"/>
        <v>483</v>
      </c>
      <c r="U22" s="65">
        <v>128341</v>
      </c>
      <c r="V22" s="63">
        <f t="shared" si="64"/>
        <v>390</v>
      </c>
      <c r="W22" s="112"/>
      <c r="X22" s="113">
        <f>8/9</f>
        <v>0.88888888888888884</v>
      </c>
      <c r="Y22" s="67">
        <f t="shared" si="58"/>
        <v>355.55555555555554</v>
      </c>
      <c r="Z22" s="64">
        <v>4</v>
      </c>
      <c r="AA22" s="65">
        <v>154128</v>
      </c>
      <c r="AB22" s="60">
        <f t="shared" si="9"/>
        <v>0</v>
      </c>
      <c r="AC22" s="61">
        <v>42407</v>
      </c>
      <c r="AD22" s="68">
        <f t="shared" si="65"/>
        <v>42</v>
      </c>
      <c r="AE22" s="65">
        <v>1151</v>
      </c>
      <c r="AF22" s="69">
        <f t="shared" si="62"/>
        <v>0</v>
      </c>
      <c r="AG22" s="65">
        <v>4660</v>
      </c>
      <c r="AH22" s="70">
        <f t="shared" si="56"/>
        <v>5</v>
      </c>
      <c r="AI22" s="19"/>
      <c r="AJ22" s="19"/>
      <c r="AK22" s="65">
        <v>591370</v>
      </c>
      <c r="AL22" s="63">
        <f t="shared" si="11"/>
        <v>180</v>
      </c>
      <c r="AM22" s="77">
        <v>1318</v>
      </c>
      <c r="AN22" s="60">
        <f t="shared" si="12"/>
        <v>1</v>
      </c>
      <c r="AO22" s="65">
        <v>53078</v>
      </c>
      <c r="AP22" s="74">
        <f t="shared" si="77"/>
        <v>21</v>
      </c>
      <c r="AQ22" s="61">
        <v>8980</v>
      </c>
      <c r="AR22" s="60">
        <f t="shared" si="66"/>
        <v>1</v>
      </c>
      <c r="AS22" s="65">
        <v>10652</v>
      </c>
      <c r="AT22" s="60">
        <f t="shared" si="66"/>
        <v>6</v>
      </c>
      <c r="AU22" s="61">
        <v>15009</v>
      </c>
      <c r="AV22" s="60">
        <f t="shared" si="67"/>
        <v>15</v>
      </c>
      <c r="AW22" s="65">
        <v>19498</v>
      </c>
      <c r="AX22" s="60">
        <f t="shared" si="68"/>
        <v>7</v>
      </c>
      <c r="AY22" s="59">
        <v>20738</v>
      </c>
      <c r="AZ22" s="68">
        <f t="shared" si="15"/>
        <v>2</v>
      </c>
      <c r="BA22" s="65">
        <v>13934</v>
      </c>
      <c r="BB22" s="60">
        <f t="shared" si="16"/>
        <v>3</v>
      </c>
      <c r="BC22" s="59">
        <v>6288</v>
      </c>
      <c r="BD22" s="60">
        <f t="shared" si="17"/>
        <v>2</v>
      </c>
      <c r="BE22" s="65">
        <v>26809</v>
      </c>
      <c r="BF22" s="60">
        <f t="shared" si="18"/>
        <v>4</v>
      </c>
      <c r="BG22" s="61">
        <v>12821</v>
      </c>
      <c r="BH22" s="60">
        <f t="shared" si="19"/>
        <v>93</v>
      </c>
      <c r="BI22">
        <v>4463</v>
      </c>
      <c r="BJ22" s="60">
        <f t="shared" si="20"/>
        <v>5</v>
      </c>
      <c r="BK22" s="65">
        <v>3636</v>
      </c>
      <c r="BL22" s="60">
        <f t="shared" si="53"/>
        <v>0</v>
      </c>
      <c r="BM22" s="68">
        <f t="shared" si="21"/>
        <v>20</v>
      </c>
      <c r="BN22" s="68">
        <f t="shared" si="22"/>
        <v>160</v>
      </c>
      <c r="BO22" s="65">
        <v>610950</v>
      </c>
      <c r="BP22" s="68">
        <f t="shared" si="60"/>
        <v>140</v>
      </c>
      <c r="BQ22" s="75">
        <v>1042</v>
      </c>
      <c r="BR22" s="60">
        <f t="shared" si="24"/>
        <v>3</v>
      </c>
      <c r="BS22" s="65">
        <v>795430</v>
      </c>
      <c r="BT22" s="68">
        <f t="shared" si="25"/>
        <v>270</v>
      </c>
      <c r="BU22" s="79">
        <v>10310</v>
      </c>
      <c r="BV22" s="68">
        <f t="shared" si="26"/>
        <v>82</v>
      </c>
      <c r="BW22" s="78">
        <f t="shared" si="59"/>
        <v>90</v>
      </c>
      <c r="BX22" s="68">
        <f t="shared" si="28"/>
        <v>410</v>
      </c>
      <c r="BY22" s="80">
        <f t="shared" si="54"/>
        <v>150</v>
      </c>
      <c r="BZ22" s="59">
        <v>109</v>
      </c>
      <c r="CA22" s="81">
        <f t="shared" si="29"/>
        <v>13102.02326604979</v>
      </c>
      <c r="CB22" s="84"/>
      <c r="CC22" s="82">
        <f t="shared" si="30"/>
        <v>0</v>
      </c>
      <c r="CD22" s="65">
        <v>212777</v>
      </c>
      <c r="CE22" s="68">
        <f t="shared" si="31"/>
        <v>169</v>
      </c>
      <c r="CF22" s="78">
        <f t="shared" si="32"/>
        <v>964.99</v>
      </c>
      <c r="CG22" s="65">
        <v>61</v>
      </c>
      <c r="CH22" s="85">
        <f t="shared" si="33"/>
        <v>6572.75</v>
      </c>
      <c r="CI22" s="65">
        <v>61</v>
      </c>
      <c r="CJ22" s="86">
        <f t="shared" si="34"/>
        <v>6572.75</v>
      </c>
      <c r="CK22" s="65">
        <v>55</v>
      </c>
      <c r="CL22" s="87">
        <f t="shared" si="35"/>
        <v>5926.25</v>
      </c>
      <c r="CM22" s="88">
        <f t="shared" si="36"/>
        <v>19071.75</v>
      </c>
      <c r="CN22" s="89">
        <f t="shared" si="37"/>
        <v>969.75</v>
      </c>
      <c r="CO22" s="65"/>
      <c r="CP22" s="65">
        <v>35749</v>
      </c>
      <c r="CQ22" s="68">
        <f t="shared" si="38"/>
        <v>41</v>
      </c>
      <c r="CR22" s="78">
        <f t="shared" si="39"/>
        <v>100.03999999999999</v>
      </c>
      <c r="CS22" s="65">
        <v>34462</v>
      </c>
      <c r="CT22" s="68">
        <f t="shared" si="40"/>
        <v>5</v>
      </c>
      <c r="CU22" s="78">
        <f t="shared" si="41"/>
        <v>12.2</v>
      </c>
      <c r="CV22" s="65">
        <v>10562</v>
      </c>
      <c r="CW22" s="68">
        <f t="shared" si="57"/>
        <v>24</v>
      </c>
      <c r="CX22" s="78">
        <f t="shared" si="42"/>
        <v>58.56</v>
      </c>
      <c r="CY22" s="65">
        <v>834154</v>
      </c>
      <c r="CZ22" s="68">
        <f t="shared" si="43"/>
        <v>157</v>
      </c>
      <c r="DA22" s="78">
        <f t="shared" si="44"/>
        <v>383.08</v>
      </c>
      <c r="DB22" s="65">
        <v>6524</v>
      </c>
      <c r="DC22" s="68">
        <f t="shared" si="45"/>
        <v>9</v>
      </c>
      <c r="DD22" s="78">
        <f t="shared" si="46"/>
        <v>21.51</v>
      </c>
      <c r="DE22" s="65">
        <v>7862</v>
      </c>
      <c r="DF22" s="68">
        <f t="shared" si="69"/>
        <v>10</v>
      </c>
      <c r="DG22" s="68">
        <f t="shared" si="69"/>
        <v>1</v>
      </c>
      <c r="DH22" s="65">
        <v>4592</v>
      </c>
      <c r="DI22" s="68">
        <f t="shared" si="70"/>
        <v>6</v>
      </c>
      <c r="DJ22" s="68">
        <f t="shared" si="70"/>
        <v>1</v>
      </c>
      <c r="DK22" s="65">
        <v>1901</v>
      </c>
      <c r="DL22" s="68">
        <f t="shared" si="71"/>
        <v>2</v>
      </c>
      <c r="DM22" s="68">
        <f t="shared" si="71"/>
        <v>1</v>
      </c>
      <c r="DN22" s="65">
        <v>5236</v>
      </c>
      <c r="DO22" s="68">
        <f t="shared" si="72"/>
        <v>9</v>
      </c>
      <c r="DP22" s="68">
        <f t="shared" si="72"/>
        <v>1</v>
      </c>
      <c r="DQ22" s="65">
        <v>4782</v>
      </c>
      <c r="DR22" s="68">
        <f t="shared" si="73"/>
        <v>12</v>
      </c>
      <c r="DS22" s="68">
        <f t="shared" si="73"/>
        <v>1</v>
      </c>
      <c r="DT22" s="65">
        <v>5568</v>
      </c>
      <c r="DU22" s="68">
        <f t="shared" si="74"/>
        <v>9</v>
      </c>
      <c r="DV22" s="68" t="str">
        <f t="shared" si="74"/>
        <v>0</v>
      </c>
      <c r="DW22" s="65">
        <v>5538</v>
      </c>
      <c r="DX22" s="68">
        <f t="shared" si="49"/>
        <v>7</v>
      </c>
      <c r="DY22" s="78">
        <f t="shared" si="50"/>
        <v>16.73</v>
      </c>
      <c r="DZ22" s="83"/>
      <c r="EA22" s="78">
        <f t="shared" si="55"/>
        <v>0</v>
      </c>
      <c r="EB22" s="83"/>
      <c r="EC22" s="78">
        <f t="shared" si="75"/>
        <v>0</v>
      </c>
      <c r="ED22" s="92"/>
      <c r="EE22" s="78">
        <f t="shared" si="76"/>
        <v>0</v>
      </c>
      <c r="EF22" s="92"/>
      <c r="EG22" s="78">
        <f t="shared" si="52"/>
        <v>0</v>
      </c>
      <c r="EH22" s="92">
        <v>94</v>
      </c>
      <c r="EI22" s="93">
        <v>277</v>
      </c>
      <c r="EJ22" s="91">
        <v>0.71</v>
      </c>
      <c r="EK22" s="94"/>
      <c r="EL22" s="92"/>
      <c r="EM22" s="93"/>
      <c r="EN22" s="96">
        <v>13</v>
      </c>
      <c r="EO22" s="96">
        <v>12.8</v>
      </c>
      <c r="EP22" s="96">
        <v>13.2</v>
      </c>
    </row>
    <row r="23" spans="1:148" s="20" customFormat="1" ht="15.75" thickBot="1" x14ac:dyDescent="0.25">
      <c r="A23" s="58">
        <v>44489</v>
      </c>
      <c r="B23" s="65">
        <v>8148273</v>
      </c>
      <c r="C23" s="60">
        <f t="shared" si="1"/>
        <v>21342</v>
      </c>
      <c r="D23" s="65">
        <v>7317187</v>
      </c>
      <c r="E23" s="60">
        <f t="shared" si="2"/>
        <v>21159</v>
      </c>
      <c r="F23" s="111">
        <f t="shared" si="3"/>
        <v>0.9914253584481304</v>
      </c>
      <c r="G23" s="61">
        <v>950</v>
      </c>
      <c r="H23" s="61">
        <v>552</v>
      </c>
      <c r="I23" s="62">
        <v>289262</v>
      </c>
      <c r="J23" s="63">
        <f t="shared" si="4"/>
        <v>0</v>
      </c>
      <c r="K23" s="64">
        <v>794</v>
      </c>
      <c r="L23" s="60">
        <f t="shared" si="61"/>
        <v>0</v>
      </c>
      <c r="M23" s="65">
        <v>636988</v>
      </c>
      <c r="N23" s="63">
        <f t="shared" si="6"/>
        <v>0</v>
      </c>
      <c r="O23" s="65">
        <v>1015</v>
      </c>
      <c r="P23" s="63">
        <f t="shared" si="7"/>
        <v>0</v>
      </c>
      <c r="Q23" s="65">
        <v>2588925</v>
      </c>
      <c r="R23" s="63">
        <f t="shared" si="7"/>
        <v>1073</v>
      </c>
      <c r="S23" s="65">
        <v>2205534</v>
      </c>
      <c r="T23" s="63">
        <f t="shared" si="63"/>
        <v>520</v>
      </c>
      <c r="U23" s="65">
        <v>128541</v>
      </c>
      <c r="V23" s="63">
        <f t="shared" si="64"/>
        <v>200</v>
      </c>
      <c r="W23" s="112"/>
      <c r="X23" s="113">
        <f>5/9</f>
        <v>0.55555555555555558</v>
      </c>
      <c r="Y23" s="67">
        <f t="shared" si="58"/>
        <v>222.22222222222223</v>
      </c>
      <c r="Z23" s="64">
        <v>2</v>
      </c>
      <c r="AA23" s="65">
        <v>154128</v>
      </c>
      <c r="AB23" s="60">
        <f t="shared" si="9"/>
        <v>0</v>
      </c>
      <c r="AC23" s="61">
        <v>42462</v>
      </c>
      <c r="AD23" s="68">
        <f t="shared" si="65"/>
        <v>55</v>
      </c>
      <c r="AE23" s="65">
        <v>1151</v>
      </c>
      <c r="AF23" s="69">
        <f t="shared" si="62"/>
        <v>0</v>
      </c>
      <c r="AG23" s="65">
        <v>4687</v>
      </c>
      <c r="AH23" s="70">
        <f t="shared" si="56"/>
        <v>27</v>
      </c>
      <c r="AI23" s="19"/>
      <c r="AJ23" s="19"/>
      <c r="AK23" s="65">
        <v>591700</v>
      </c>
      <c r="AL23" s="63">
        <f t="shared" si="11"/>
        <v>330</v>
      </c>
      <c r="AM23" s="77">
        <v>1322</v>
      </c>
      <c r="AN23" s="60">
        <f t="shared" si="12"/>
        <v>4</v>
      </c>
      <c r="AO23" s="65">
        <v>53100</v>
      </c>
      <c r="AP23" s="74">
        <f t="shared" si="77"/>
        <v>22</v>
      </c>
      <c r="AQ23" s="61">
        <v>8982</v>
      </c>
      <c r="AR23" s="60">
        <f t="shared" si="66"/>
        <v>2</v>
      </c>
      <c r="AS23" s="65">
        <v>10657</v>
      </c>
      <c r="AT23" s="60">
        <f t="shared" si="66"/>
        <v>5</v>
      </c>
      <c r="AU23" s="61">
        <v>15025</v>
      </c>
      <c r="AV23" s="60">
        <f t="shared" si="67"/>
        <v>16</v>
      </c>
      <c r="AW23" s="65">
        <v>19505</v>
      </c>
      <c r="AX23" s="60">
        <f t="shared" si="68"/>
        <v>7</v>
      </c>
      <c r="AY23" s="59">
        <v>20740</v>
      </c>
      <c r="AZ23" s="68">
        <f t="shared" si="15"/>
        <v>2</v>
      </c>
      <c r="BA23" s="65">
        <v>13937</v>
      </c>
      <c r="BB23" s="60">
        <f t="shared" si="16"/>
        <v>3</v>
      </c>
      <c r="BC23" s="59">
        <v>6291</v>
      </c>
      <c r="BD23" s="60">
        <f t="shared" si="17"/>
        <v>3</v>
      </c>
      <c r="BE23" s="65">
        <v>26814</v>
      </c>
      <c r="BF23" s="60">
        <f t="shared" si="18"/>
        <v>5</v>
      </c>
      <c r="BG23" s="61">
        <v>12916</v>
      </c>
      <c r="BH23" s="60">
        <f t="shared" si="19"/>
        <v>95</v>
      </c>
      <c r="BI23">
        <v>4470</v>
      </c>
      <c r="BJ23" s="60">
        <f t="shared" si="20"/>
        <v>7</v>
      </c>
      <c r="BK23" s="65">
        <v>3636</v>
      </c>
      <c r="BL23" s="60">
        <f t="shared" si="53"/>
        <v>0</v>
      </c>
      <c r="BM23" s="68">
        <f t="shared" si="21"/>
        <v>21</v>
      </c>
      <c r="BN23" s="68">
        <f t="shared" si="22"/>
        <v>309</v>
      </c>
      <c r="BO23" s="65">
        <v>611090</v>
      </c>
      <c r="BP23" s="68">
        <f t="shared" si="60"/>
        <v>140</v>
      </c>
      <c r="BQ23" s="75">
        <v>1051</v>
      </c>
      <c r="BR23" s="60">
        <f t="shared" si="24"/>
        <v>9</v>
      </c>
      <c r="BS23" s="65">
        <v>795830</v>
      </c>
      <c r="BT23" s="68">
        <f t="shared" si="25"/>
        <v>400</v>
      </c>
      <c r="BU23" s="79">
        <v>10366</v>
      </c>
      <c r="BV23" s="68">
        <f t="shared" si="26"/>
        <v>56</v>
      </c>
      <c r="BW23" s="78">
        <f t="shared" si="59"/>
        <v>70</v>
      </c>
      <c r="BX23" s="68">
        <f t="shared" si="28"/>
        <v>540</v>
      </c>
      <c r="BY23" s="80">
        <f t="shared" si="54"/>
        <v>155</v>
      </c>
      <c r="BZ23" s="59">
        <v>109</v>
      </c>
      <c r="CA23" s="81">
        <f t="shared" si="29"/>
        <v>13102.02326604979</v>
      </c>
      <c r="CB23" s="84"/>
      <c r="CC23" s="82">
        <f t="shared" si="30"/>
        <v>0</v>
      </c>
      <c r="CD23" s="65">
        <v>212961</v>
      </c>
      <c r="CE23" s="68">
        <f t="shared" si="31"/>
        <v>184</v>
      </c>
      <c r="CF23" s="78">
        <f t="shared" si="32"/>
        <v>1050.6400000000001</v>
      </c>
      <c r="CG23" s="65">
        <v>58</v>
      </c>
      <c r="CH23" s="85">
        <f t="shared" si="33"/>
        <v>6249.5</v>
      </c>
      <c r="CI23" s="65">
        <v>56</v>
      </c>
      <c r="CJ23" s="86">
        <f t="shared" si="34"/>
        <v>6034</v>
      </c>
      <c r="CK23" s="65">
        <v>51</v>
      </c>
      <c r="CL23" s="87">
        <f t="shared" si="35"/>
        <v>5495.25</v>
      </c>
      <c r="CM23" s="88">
        <f t="shared" si="36"/>
        <v>17778.75</v>
      </c>
      <c r="CN23" s="89">
        <f t="shared" si="37"/>
        <v>1293</v>
      </c>
      <c r="CO23" s="65"/>
      <c r="CP23" s="65">
        <v>35787</v>
      </c>
      <c r="CQ23" s="68">
        <f t="shared" si="38"/>
        <v>38</v>
      </c>
      <c r="CR23" s="78">
        <f t="shared" si="39"/>
        <v>92.72</v>
      </c>
      <c r="CS23" s="65">
        <v>34471</v>
      </c>
      <c r="CT23" s="68">
        <f t="shared" si="40"/>
        <v>9</v>
      </c>
      <c r="CU23" s="78">
        <f t="shared" si="41"/>
        <v>21.96</v>
      </c>
      <c r="CV23" s="65">
        <v>10586</v>
      </c>
      <c r="CW23" s="68">
        <f t="shared" si="57"/>
        <v>24</v>
      </c>
      <c r="CX23" s="78">
        <f t="shared" si="42"/>
        <v>58.56</v>
      </c>
      <c r="CY23" s="65">
        <v>834215</v>
      </c>
      <c r="CZ23" s="68">
        <f t="shared" si="43"/>
        <v>61</v>
      </c>
      <c r="DA23" s="78">
        <f t="shared" si="44"/>
        <v>148.84</v>
      </c>
      <c r="DB23" s="65">
        <v>6533</v>
      </c>
      <c r="DC23" s="68">
        <f t="shared" si="45"/>
        <v>9</v>
      </c>
      <c r="DD23" s="78">
        <f t="shared" si="46"/>
        <v>21.51</v>
      </c>
      <c r="DE23" s="65">
        <v>7871</v>
      </c>
      <c r="DF23" s="68">
        <f t="shared" si="69"/>
        <v>9</v>
      </c>
      <c r="DG23" s="68" t="str">
        <f t="shared" si="69"/>
        <v>0</v>
      </c>
      <c r="DH23" s="65">
        <v>4600</v>
      </c>
      <c r="DI23" s="68">
        <f t="shared" si="70"/>
        <v>8</v>
      </c>
      <c r="DJ23" s="68">
        <f t="shared" si="70"/>
        <v>2</v>
      </c>
      <c r="DK23" s="65">
        <v>1902</v>
      </c>
      <c r="DL23" s="68">
        <f t="shared" si="71"/>
        <v>1</v>
      </c>
      <c r="DM23" s="68" t="str">
        <f t="shared" si="71"/>
        <v>0</v>
      </c>
      <c r="DN23" s="65">
        <v>5245</v>
      </c>
      <c r="DO23" s="68">
        <f t="shared" si="72"/>
        <v>9</v>
      </c>
      <c r="DP23" s="68">
        <f t="shared" si="72"/>
        <v>0</v>
      </c>
      <c r="DQ23" s="65">
        <v>4792</v>
      </c>
      <c r="DR23" s="68">
        <f t="shared" si="73"/>
        <v>10</v>
      </c>
      <c r="DS23" s="68" t="str">
        <f t="shared" si="73"/>
        <v>0</v>
      </c>
      <c r="DT23" s="65">
        <v>5577</v>
      </c>
      <c r="DU23" s="68">
        <f t="shared" si="74"/>
        <v>9</v>
      </c>
      <c r="DV23" s="68">
        <f t="shared" si="74"/>
        <v>0</v>
      </c>
      <c r="DW23" s="65">
        <v>5545</v>
      </c>
      <c r="DX23" s="68">
        <f t="shared" si="49"/>
        <v>7</v>
      </c>
      <c r="DY23" s="78">
        <f t="shared" si="50"/>
        <v>16.73</v>
      </c>
      <c r="DZ23" s="83"/>
      <c r="EA23" s="78">
        <f t="shared" si="55"/>
        <v>0</v>
      </c>
      <c r="EB23" s="83"/>
      <c r="EC23" s="78">
        <f t="shared" si="75"/>
        <v>0</v>
      </c>
      <c r="ED23" s="92"/>
      <c r="EE23" s="78">
        <f t="shared" si="76"/>
        <v>0</v>
      </c>
      <c r="EF23" s="92"/>
      <c r="EG23" s="78">
        <f t="shared" si="52"/>
        <v>0</v>
      </c>
      <c r="EH23" s="92">
        <v>102</v>
      </c>
      <c r="EI23" s="93">
        <v>292</v>
      </c>
      <c r="EJ23" s="91">
        <v>0.77</v>
      </c>
      <c r="EK23" s="94"/>
      <c r="EL23" s="92"/>
      <c r="EM23" s="93"/>
      <c r="EN23" s="96">
        <v>13.3</v>
      </c>
      <c r="EO23" s="96">
        <v>13</v>
      </c>
      <c r="EP23" s="96">
        <v>12.9</v>
      </c>
    </row>
    <row r="24" spans="1:148" s="20" customFormat="1" ht="15.75" thickBot="1" x14ac:dyDescent="0.25">
      <c r="A24" s="58">
        <v>44490</v>
      </c>
      <c r="B24" s="67">
        <v>8165336</v>
      </c>
      <c r="C24" s="60">
        <f t="shared" si="1"/>
        <v>17063</v>
      </c>
      <c r="D24" s="65">
        <v>7334104</v>
      </c>
      <c r="E24" s="60">
        <f t="shared" si="2"/>
        <v>16917</v>
      </c>
      <c r="F24" s="111">
        <f t="shared" si="3"/>
        <v>0.99144347418390666</v>
      </c>
      <c r="G24" s="61">
        <v>954</v>
      </c>
      <c r="H24" s="61">
        <v>552</v>
      </c>
      <c r="I24" s="62">
        <v>289262</v>
      </c>
      <c r="J24" s="63">
        <f t="shared" si="4"/>
        <v>0</v>
      </c>
      <c r="K24" s="64">
        <v>794</v>
      </c>
      <c r="L24" s="60">
        <f t="shared" si="61"/>
        <v>0</v>
      </c>
      <c r="M24" s="65">
        <v>636988</v>
      </c>
      <c r="N24" s="60">
        <f t="shared" si="4"/>
        <v>0</v>
      </c>
      <c r="O24" s="65">
        <v>1015</v>
      </c>
      <c r="P24" s="63">
        <f t="shared" si="7"/>
        <v>0</v>
      </c>
      <c r="Q24" s="65">
        <v>2589942</v>
      </c>
      <c r="R24" s="63">
        <f t="shared" si="7"/>
        <v>1017</v>
      </c>
      <c r="S24" s="65">
        <v>2205963</v>
      </c>
      <c r="T24" s="63">
        <f t="shared" si="63"/>
        <v>429</v>
      </c>
      <c r="U24" s="65">
        <v>128784</v>
      </c>
      <c r="V24" s="63">
        <f t="shared" si="64"/>
        <v>243</v>
      </c>
      <c r="W24" s="112"/>
      <c r="X24" s="113">
        <f>5/9</f>
        <v>0.55555555555555558</v>
      </c>
      <c r="Y24" s="67">
        <f t="shared" si="58"/>
        <v>222.22222222222223</v>
      </c>
      <c r="Z24" s="64">
        <v>12</v>
      </c>
      <c r="AA24" s="65">
        <v>154128</v>
      </c>
      <c r="AB24" s="60">
        <f t="shared" si="9"/>
        <v>0</v>
      </c>
      <c r="AC24" s="61">
        <v>42506</v>
      </c>
      <c r="AD24" s="68">
        <f t="shared" si="65"/>
        <v>44</v>
      </c>
      <c r="AE24" s="65">
        <v>1151</v>
      </c>
      <c r="AF24" s="69">
        <f t="shared" si="62"/>
        <v>0</v>
      </c>
      <c r="AG24" s="65">
        <v>4689</v>
      </c>
      <c r="AH24" s="70">
        <f t="shared" si="56"/>
        <v>2</v>
      </c>
      <c r="AI24" s="19"/>
      <c r="AJ24" s="19"/>
      <c r="AK24" s="65">
        <v>591900</v>
      </c>
      <c r="AL24" s="63">
        <f t="shared" si="11"/>
        <v>200</v>
      </c>
      <c r="AM24" s="77">
        <v>1323</v>
      </c>
      <c r="AN24" s="60">
        <f t="shared" si="12"/>
        <v>1</v>
      </c>
      <c r="AO24" s="65">
        <v>53118</v>
      </c>
      <c r="AP24" s="74">
        <f t="shared" si="77"/>
        <v>18</v>
      </c>
      <c r="AQ24" s="61">
        <v>8984</v>
      </c>
      <c r="AR24" s="60">
        <f t="shared" si="66"/>
        <v>2</v>
      </c>
      <c r="AS24" s="65">
        <v>10661</v>
      </c>
      <c r="AT24" s="60">
        <f t="shared" si="66"/>
        <v>4</v>
      </c>
      <c r="AU24" s="61">
        <v>15037</v>
      </c>
      <c r="AV24" s="60">
        <f t="shared" si="67"/>
        <v>12</v>
      </c>
      <c r="AW24" s="65">
        <v>19511</v>
      </c>
      <c r="AX24" s="63">
        <f t="shared" si="68"/>
        <v>6</v>
      </c>
      <c r="AY24" s="59">
        <v>20743</v>
      </c>
      <c r="AZ24" s="68">
        <f t="shared" si="15"/>
        <v>3</v>
      </c>
      <c r="BA24" s="65">
        <v>13940</v>
      </c>
      <c r="BB24" s="60">
        <f t="shared" si="16"/>
        <v>3</v>
      </c>
      <c r="BC24" s="59">
        <v>6293</v>
      </c>
      <c r="BD24" s="60">
        <f t="shared" si="17"/>
        <v>2</v>
      </c>
      <c r="BE24" s="65">
        <v>26818</v>
      </c>
      <c r="BF24" s="60">
        <f t="shared" si="18"/>
        <v>4</v>
      </c>
      <c r="BG24" s="61">
        <v>12993</v>
      </c>
      <c r="BH24" s="60">
        <f t="shared" si="19"/>
        <v>77</v>
      </c>
      <c r="BI24">
        <v>4474</v>
      </c>
      <c r="BJ24" s="60">
        <f t="shared" si="20"/>
        <v>4</v>
      </c>
      <c r="BK24" s="65">
        <v>3636</v>
      </c>
      <c r="BL24" s="60">
        <f t="shared" si="53"/>
        <v>0</v>
      </c>
      <c r="BM24" s="68">
        <f t="shared" si="21"/>
        <v>18</v>
      </c>
      <c r="BN24" s="68">
        <f t="shared" si="22"/>
        <v>182</v>
      </c>
      <c r="BO24" s="65">
        <v>611250</v>
      </c>
      <c r="BP24" s="68">
        <f t="shared" si="60"/>
        <v>160</v>
      </c>
      <c r="BQ24" s="75">
        <v>1056</v>
      </c>
      <c r="BR24" s="60">
        <f t="shared" si="24"/>
        <v>5</v>
      </c>
      <c r="BS24" s="65">
        <v>796160</v>
      </c>
      <c r="BT24" s="68">
        <f t="shared" si="25"/>
        <v>330</v>
      </c>
      <c r="BU24" s="79">
        <v>10421</v>
      </c>
      <c r="BV24" s="68">
        <f t="shared" si="26"/>
        <v>55</v>
      </c>
      <c r="BW24" s="78">
        <f>BT24-AL24</f>
        <v>130</v>
      </c>
      <c r="BX24" s="68">
        <f t="shared" si="28"/>
        <v>490</v>
      </c>
      <c r="BY24" s="80">
        <f t="shared" si="54"/>
        <v>127</v>
      </c>
      <c r="BZ24" s="59">
        <v>109</v>
      </c>
      <c r="CA24" s="81">
        <f t="shared" si="29"/>
        <v>13102.02326604979</v>
      </c>
      <c r="CB24" s="84"/>
      <c r="CC24" s="82">
        <f t="shared" si="30"/>
        <v>0</v>
      </c>
      <c r="CD24" s="65">
        <v>213129</v>
      </c>
      <c r="CE24" s="68">
        <f t="shared" si="31"/>
        <v>168</v>
      </c>
      <c r="CF24" s="78">
        <f t="shared" si="32"/>
        <v>959.28</v>
      </c>
      <c r="CG24" s="65">
        <v>55</v>
      </c>
      <c r="CH24" s="85">
        <f t="shared" si="33"/>
        <v>5926.25</v>
      </c>
      <c r="CI24" s="65">
        <v>54</v>
      </c>
      <c r="CJ24" s="86">
        <f t="shared" si="34"/>
        <v>5818.5</v>
      </c>
      <c r="CK24" s="65">
        <v>49</v>
      </c>
      <c r="CL24" s="87">
        <f t="shared" si="35"/>
        <v>5279.75</v>
      </c>
      <c r="CM24" s="88">
        <f t="shared" si="36"/>
        <v>17024.5</v>
      </c>
      <c r="CN24" s="89">
        <f t="shared" si="37"/>
        <v>754.25</v>
      </c>
      <c r="CO24" s="65"/>
      <c r="CP24" s="65">
        <v>35827</v>
      </c>
      <c r="CQ24" s="68">
        <f t="shared" si="38"/>
        <v>40</v>
      </c>
      <c r="CR24" s="78">
        <f t="shared" si="39"/>
        <v>97.6</v>
      </c>
      <c r="CS24" s="65">
        <v>34478</v>
      </c>
      <c r="CT24" s="68">
        <f t="shared" si="40"/>
        <v>7</v>
      </c>
      <c r="CU24" s="78">
        <f t="shared" si="41"/>
        <v>17.079999999999998</v>
      </c>
      <c r="CV24" s="65">
        <v>10609</v>
      </c>
      <c r="CW24" s="68">
        <f t="shared" si="57"/>
        <v>23</v>
      </c>
      <c r="CX24" s="78">
        <f t="shared" si="42"/>
        <v>56.12</v>
      </c>
      <c r="CY24" s="65">
        <v>834288</v>
      </c>
      <c r="CZ24" s="68">
        <f t="shared" si="43"/>
        <v>73</v>
      </c>
      <c r="DA24" s="78">
        <f t="shared" si="44"/>
        <v>178.12</v>
      </c>
      <c r="DB24" s="65">
        <v>6541</v>
      </c>
      <c r="DC24" s="68">
        <f t="shared" si="45"/>
        <v>8</v>
      </c>
      <c r="DD24" s="78">
        <f t="shared" si="46"/>
        <v>19.12</v>
      </c>
      <c r="DE24" s="65">
        <v>7879</v>
      </c>
      <c r="DF24" s="68">
        <f t="shared" si="69"/>
        <v>8</v>
      </c>
      <c r="DG24" s="68" t="str">
        <f t="shared" si="69"/>
        <v>0</v>
      </c>
      <c r="DH24" s="65">
        <v>4604</v>
      </c>
      <c r="DI24" s="68">
        <f t="shared" si="70"/>
        <v>4</v>
      </c>
      <c r="DJ24" s="68" t="str">
        <f t="shared" si="70"/>
        <v>0</v>
      </c>
      <c r="DK24" s="65">
        <v>1903</v>
      </c>
      <c r="DL24" s="68">
        <f t="shared" si="71"/>
        <v>1</v>
      </c>
      <c r="DM24" s="68">
        <f t="shared" si="71"/>
        <v>0</v>
      </c>
      <c r="DN24" s="65">
        <v>5253</v>
      </c>
      <c r="DO24" s="68">
        <f t="shared" si="72"/>
        <v>8</v>
      </c>
      <c r="DP24" s="68" t="str">
        <f t="shared" si="72"/>
        <v>0</v>
      </c>
      <c r="DQ24" s="65">
        <v>4803</v>
      </c>
      <c r="DR24" s="68">
        <f t="shared" si="73"/>
        <v>11</v>
      </c>
      <c r="DS24" s="68">
        <f t="shared" si="73"/>
        <v>1</v>
      </c>
      <c r="DT24" s="65">
        <v>5586</v>
      </c>
      <c r="DU24" s="68">
        <f t="shared" si="74"/>
        <v>9</v>
      </c>
      <c r="DV24" s="68">
        <f t="shared" si="74"/>
        <v>0</v>
      </c>
      <c r="DW24" s="65">
        <v>5553</v>
      </c>
      <c r="DX24" s="68">
        <f t="shared" si="49"/>
        <v>8</v>
      </c>
      <c r="DY24" s="78">
        <f t="shared" si="50"/>
        <v>19.12</v>
      </c>
      <c r="DZ24" s="83"/>
      <c r="EA24" s="78">
        <f t="shared" si="55"/>
        <v>0</v>
      </c>
      <c r="EB24" s="83"/>
      <c r="EC24" s="78">
        <f t="shared" si="75"/>
        <v>0</v>
      </c>
      <c r="ED24" s="92"/>
      <c r="EE24" s="78">
        <f t="shared" si="76"/>
        <v>0</v>
      </c>
      <c r="EF24" s="92"/>
      <c r="EG24" s="78">
        <f t="shared" si="52"/>
        <v>0</v>
      </c>
      <c r="EH24" s="92">
        <v>99</v>
      </c>
      <c r="EI24" s="93">
        <v>298</v>
      </c>
      <c r="EJ24" s="91">
        <v>0.74</v>
      </c>
      <c r="EK24" s="94"/>
      <c r="EL24" s="92"/>
      <c r="EM24" s="93"/>
      <c r="EN24" s="96">
        <v>13.2</v>
      </c>
      <c r="EO24" s="96">
        <v>12.4</v>
      </c>
      <c r="EP24" s="96">
        <v>11.6</v>
      </c>
    </row>
    <row r="25" spans="1:148" s="20" customFormat="1" ht="15.75" thickBot="1" x14ac:dyDescent="0.25">
      <c r="A25" s="58">
        <v>44491</v>
      </c>
      <c r="B25" s="65">
        <v>8189260</v>
      </c>
      <c r="C25" s="60">
        <f t="shared" si="1"/>
        <v>23924</v>
      </c>
      <c r="D25" s="65">
        <v>7357898</v>
      </c>
      <c r="E25" s="60">
        <f t="shared" si="2"/>
        <v>23794</v>
      </c>
      <c r="F25" s="111">
        <f t="shared" si="3"/>
        <v>0.99456612606587524</v>
      </c>
      <c r="G25" s="61">
        <v>1022</v>
      </c>
      <c r="H25" s="61">
        <v>552</v>
      </c>
      <c r="I25" s="62">
        <v>289263</v>
      </c>
      <c r="J25" s="63">
        <f t="shared" si="4"/>
        <v>1</v>
      </c>
      <c r="K25" s="64">
        <v>794</v>
      </c>
      <c r="L25" s="60">
        <f t="shared" si="61"/>
        <v>0</v>
      </c>
      <c r="M25" s="65">
        <v>636988</v>
      </c>
      <c r="N25" s="60">
        <f t="shared" si="4"/>
        <v>0</v>
      </c>
      <c r="O25" s="65">
        <v>1015</v>
      </c>
      <c r="P25" s="63">
        <f t="shared" si="7"/>
        <v>0</v>
      </c>
      <c r="Q25" s="65">
        <v>2590959</v>
      </c>
      <c r="R25" s="63">
        <f t="shared" si="7"/>
        <v>1017</v>
      </c>
      <c r="S25" s="65">
        <v>2206392</v>
      </c>
      <c r="T25" s="63">
        <f t="shared" si="63"/>
        <v>429</v>
      </c>
      <c r="U25" s="65">
        <v>128878</v>
      </c>
      <c r="V25" s="63">
        <f t="shared" si="64"/>
        <v>94</v>
      </c>
      <c r="W25" s="112"/>
      <c r="X25" s="113">
        <f>6/9</f>
        <v>0.66666666666666663</v>
      </c>
      <c r="Y25" s="67">
        <f t="shared" si="58"/>
        <v>266.66666666666663</v>
      </c>
      <c r="Z25" s="64">
        <v>11</v>
      </c>
      <c r="AA25" s="65">
        <v>154128</v>
      </c>
      <c r="AB25" s="60">
        <f t="shared" si="9"/>
        <v>0</v>
      </c>
      <c r="AC25" s="61">
        <v>42555</v>
      </c>
      <c r="AD25" s="68">
        <f t="shared" si="65"/>
        <v>49</v>
      </c>
      <c r="AE25" s="65">
        <v>1151</v>
      </c>
      <c r="AF25" s="69">
        <f t="shared" si="62"/>
        <v>0</v>
      </c>
      <c r="AG25" s="65">
        <v>4691</v>
      </c>
      <c r="AH25" s="70">
        <f t="shared" si="56"/>
        <v>2</v>
      </c>
      <c r="AI25" s="19"/>
      <c r="AJ25" s="19"/>
      <c r="AK25" s="65">
        <v>592070</v>
      </c>
      <c r="AL25" s="63">
        <f t="shared" si="11"/>
        <v>170</v>
      </c>
      <c r="AM25" s="77">
        <v>1325</v>
      </c>
      <c r="AN25" s="60">
        <f t="shared" si="12"/>
        <v>2</v>
      </c>
      <c r="AO25" s="65">
        <v>53136</v>
      </c>
      <c r="AP25" s="74">
        <f t="shared" si="77"/>
        <v>18</v>
      </c>
      <c r="AQ25" s="61">
        <v>8985</v>
      </c>
      <c r="AR25" s="60">
        <f t="shared" si="66"/>
        <v>1</v>
      </c>
      <c r="AS25" s="65">
        <v>10665</v>
      </c>
      <c r="AT25" s="60">
        <f t="shared" si="66"/>
        <v>4</v>
      </c>
      <c r="AU25" s="61">
        <v>15054</v>
      </c>
      <c r="AV25" s="60">
        <f t="shared" si="67"/>
        <v>17</v>
      </c>
      <c r="AW25" s="65">
        <v>19517</v>
      </c>
      <c r="AX25" s="63">
        <f t="shared" si="68"/>
        <v>6</v>
      </c>
      <c r="AY25" s="59">
        <v>20746</v>
      </c>
      <c r="AZ25" s="68">
        <f t="shared" si="15"/>
        <v>3</v>
      </c>
      <c r="BA25" s="65">
        <v>13943</v>
      </c>
      <c r="BB25" s="60">
        <f t="shared" si="16"/>
        <v>3</v>
      </c>
      <c r="BC25" s="59">
        <v>6295</v>
      </c>
      <c r="BD25" s="60">
        <f t="shared" si="17"/>
        <v>2</v>
      </c>
      <c r="BE25" s="65">
        <v>26823</v>
      </c>
      <c r="BF25" s="60">
        <f t="shared" si="18"/>
        <v>5</v>
      </c>
      <c r="BG25" s="61">
        <v>13070</v>
      </c>
      <c r="BH25" s="60">
        <f t="shared" si="19"/>
        <v>77</v>
      </c>
      <c r="BI25">
        <v>4478</v>
      </c>
      <c r="BJ25" s="60">
        <f t="shared" si="20"/>
        <v>4</v>
      </c>
      <c r="BK25" s="65">
        <v>3636</v>
      </c>
      <c r="BL25" s="60">
        <f t="shared" si="53"/>
        <v>0</v>
      </c>
      <c r="BM25" s="68">
        <f t="shared" si="21"/>
        <v>23</v>
      </c>
      <c r="BN25" s="68">
        <f t="shared" si="22"/>
        <v>147</v>
      </c>
      <c r="BO25" s="65">
        <v>611510</v>
      </c>
      <c r="BP25" s="68">
        <f t="shared" si="60"/>
        <v>260</v>
      </c>
      <c r="BQ25" s="75">
        <v>1056</v>
      </c>
      <c r="BR25" s="60">
        <f t="shared" si="24"/>
        <v>0</v>
      </c>
      <c r="BS25" s="65">
        <v>796360</v>
      </c>
      <c r="BT25" s="68">
        <f t="shared" si="25"/>
        <v>200</v>
      </c>
      <c r="BU25" s="79">
        <v>10565</v>
      </c>
      <c r="BV25" s="68">
        <f t="shared" si="26"/>
        <v>144</v>
      </c>
      <c r="BW25" s="78">
        <f t="shared" si="59"/>
        <v>30</v>
      </c>
      <c r="BX25" s="68">
        <f t="shared" si="28"/>
        <v>460</v>
      </c>
      <c r="BY25" s="80">
        <f t="shared" si="54"/>
        <v>131</v>
      </c>
      <c r="BZ25" s="59">
        <v>109</v>
      </c>
      <c r="CA25" s="81">
        <f t="shared" si="29"/>
        <v>13102.02326604979</v>
      </c>
      <c r="CB25" s="84"/>
      <c r="CC25" s="82">
        <f t="shared" si="30"/>
        <v>0</v>
      </c>
      <c r="CD25" s="65">
        <v>213396</v>
      </c>
      <c r="CE25" s="68">
        <f t="shared" si="31"/>
        <v>267</v>
      </c>
      <c r="CF25" s="78">
        <f t="shared" si="32"/>
        <v>1524.57</v>
      </c>
      <c r="CG25" s="65">
        <v>50</v>
      </c>
      <c r="CH25" s="85">
        <f t="shared" si="33"/>
        <v>5387.5</v>
      </c>
      <c r="CI25" s="65">
        <v>50</v>
      </c>
      <c r="CJ25" s="86">
        <f t="shared" si="34"/>
        <v>5387.5</v>
      </c>
      <c r="CK25" s="65">
        <v>49</v>
      </c>
      <c r="CL25" s="87">
        <f t="shared" si="35"/>
        <v>5279.75</v>
      </c>
      <c r="CM25" s="88">
        <f t="shared" si="36"/>
        <v>16054.75</v>
      </c>
      <c r="CN25" s="89">
        <f t="shared" si="37"/>
        <v>969.75</v>
      </c>
      <c r="CO25" s="65">
        <f>3945+3889+3719</f>
        <v>11553</v>
      </c>
      <c r="CP25" s="65">
        <v>35872</v>
      </c>
      <c r="CQ25" s="68">
        <f t="shared" si="38"/>
        <v>45</v>
      </c>
      <c r="CR25" s="78">
        <f t="shared" si="39"/>
        <v>109.8</v>
      </c>
      <c r="CS25" s="65">
        <v>34486</v>
      </c>
      <c r="CT25" s="68">
        <f t="shared" si="40"/>
        <v>8</v>
      </c>
      <c r="CU25" s="78">
        <f t="shared" si="41"/>
        <v>19.52</v>
      </c>
      <c r="CV25" s="65">
        <v>10633</v>
      </c>
      <c r="CW25" s="68">
        <f t="shared" si="57"/>
        <v>24</v>
      </c>
      <c r="CX25" s="78">
        <f t="shared" si="42"/>
        <v>58.56</v>
      </c>
      <c r="CY25" s="65">
        <v>834361</v>
      </c>
      <c r="CZ25" s="68">
        <f t="shared" si="43"/>
        <v>73</v>
      </c>
      <c r="DA25" s="78">
        <f t="shared" si="44"/>
        <v>178.12</v>
      </c>
      <c r="DB25" s="65">
        <v>6549</v>
      </c>
      <c r="DC25" s="68">
        <f t="shared" si="45"/>
        <v>8</v>
      </c>
      <c r="DD25" s="78">
        <f t="shared" si="46"/>
        <v>19.12</v>
      </c>
      <c r="DE25" s="65">
        <v>7891</v>
      </c>
      <c r="DF25" s="68">
        <f t="shared" si="69"/>
        <v>12</v>
      </c>
      <c r="DG25" s="68">
        <f t="shared" si="69"/>
        <v>4</v>
      </c>
      <c r="DH25" s="65">
        <v>4612</v>
      </c>
      <c r="DI25" s="68">
        <f t="shared" si="70"/>
        <v>8</v>
      </c>
      <c r="DJ25" s="68">
        <f t="shared" si="70"/>
        <v>4</v>
      </c>
      <c r="DK25" s="65">
        <v>1905</v>
      </c>
      <c r="DL25" s="68">
        <f t="shared" si="71"/>
        <v>2</v>
      </c>
      <c r="DM25" s="68">
        <f t="shared" si="71"/>
        <v>1</v>
      </c>
      <c r="DN25" s="65">
        <v>5264</v>
      </c>
      <c r="DO25" s="68">
        <f t="shared" si="72"/>
        <v>11</v>
      </c>
      <c r="DP25" s="68">
        <f t="shared" si="72"/>
        <v>3</v>
      </c>
      <c r="DQ25" s="65"/>
      <c r="DR25" s="68" t="str">
        <f t="shared" si="73"/>
        <v>0</v>
      </c>
      <c r="DS25" s="68" t="str">
        <f t="shared" si="73"/>
        <v>0</v>
      </c>
      <c r="DT25" s="65">
        <v>5596</v>
      </c>
      <c r="DU25" s="68">
        <f t="shared" si="74"/>
        <v>10</v>
      </c>
      <c r="DV25" s="68">
        <f t="shared" si="74"/>
        <v>1</v>
      </c>
      <c r="DW25" s="65">
        <v>5562</v>
      </c>
      <c r="DX25" s="68">
        <f t="shared" si="49"/>
        <v>9</v>
      </c>
      <c r="DY25" s="78">
        <f t="shared" si="50"/>
        <v>21.51</v>
      </c>
      <c r="DZ25" s="83"/>
      <c r="EA25" s="78">
        <f t="shared" si="55"/>
        <v>0</v>
      </c>
      <c r="EB25" s="83"/>
      <c r="EC25" s="78">
        <f t="shared" si="75"/>
        <v>0</v>
      </c>
      <c r="ED25" s="92"/>
      <c r="EE25" s="78">
        <f t="shared" si="76"/>
        <v>0</v>
      </c>
      <c r="EF25" s="92"/>
      <c r="EG25" s="78">
        <f t="shared" si="52"/>
        <v>0</v>
      </c>
      <c r="EH25" s="92">
        <v>95</v>
      </c>
      <c r="EI25" s="93">
        <v>291</v>
      </c>
      <c r="EJ25" s="91">
        <v>0.71</v>
      </c>
      <c r="EK25" s="94"/>
      <c r="EL25" s="92"/>
      <c r="EM25" s="93"/>
      <c r="EN25" s="96">
        <v>13.3</v>
      </c>
      <c r="EO25" s="96">
        <v>13.3</v>
      </c>
      <c r="EP25" s="96">
        <v>11.6</v>
      </c>
    </row>
    <row r="26" spans="1:148" s="20" customFormat="1" ht="15.75" thickBot="1" x14ac:dyDescent="0.25">
      <c r="A26" s="58">
        <v>44492</v>
      </c>
      <c r="B26" s="65">
        <v>8208499</v>
      </c>
      <c r="C26" s="60">
        <f t="shared" si="1"/>
        <v>19239</v>
      </c>
      <c r="D26" s="65">
        <v>7376870</v>
      </c>
      <c r="E26" s="60">
        <f t="shared" si="2"/>
        <v>18972</v>
      </c>
      <c r="F26" s="111">
        <f t="shared" si="3"/>
        <v>0.98612193980976137</v>
      </c>
      <c r="G26" s="61">
        <v>1022</v>
      </c>
      <c r="H26" s="61">
        <v>552</v>
      </c>
      <c r="I26" s="62">
        <v>289262</v>
      </c>
      <c r="J26" s="63" t="str">
        <f t="shared" si="4"/>
        <v>0</v>
      </c>
      <c r="K26" s="64">
        <v>794</v>
      </c>
      <c r="L26" s="60">
        <f t="shared" si="61"/>
        <v>0</v>
      </c>
      <c r="M26" s="65">
        <v>636988</v>
      </c>
      <c r="N26" s="60">
        <f t="shared" si="4"/>
        <v>0</v>
      </c>
      <c r="O26" s="65">
        <v>1015</v>
      </c>
      <c r="P26" s="63">
        <f t="shared" si="7"/>
        <v>0</v>
      </c>
      <c r="Q26" s="65">
        <v>2592222</v>
      </c>
      <c r="R26" s="63">
        <f t="shared" si="7"/>
        <v>1263</v>
      </c>
      <c r="S26" s="65">
        <v>2207068</v>
      </c>
      <c r="T26" s="63">
        <f t="shared" si="63"/>
        <v>676</v>
      </c>
      <c r="U26" s="65">
        <v>129111</v>
      </c>
      <c r="V26" s="63">
        <f t="shared" si="64"/>
        <v>233</v>
      </c>
      <c r="W26" s="112"/>
      <c r="X26" s="113">
        <f>8.5/9</f>
        <v>0.94444444444444442</v>
      </c>
      <c r="Y26" s="67">
        <f t="shared" si="58"/>
        <v>377.77777777777777</v>
      </c>
      <c r="Z26" s="64">
        <v>6</v>
      </c>
      <c r="AA26" s="65">
        <v>154128</v>
      </c>
      <c r="AB26" s="60">
        <f t="shared" si="9"/>
        <v>0</v>
      </c>
      <c r="AC26" s="61">
        <v>42596</v>
      </c>
      <c r="AD26" s="68">
        <f t="shared" si="65"/>
        <v>41</v>
      </c>
      <c r="AE26" s="65">
        <v>1151</v>
      </c>
      <c r="AF26" s="69">
        <f t="shared" si="62"/>
        <v>0</v>
      </c>
      <c r="AG26" s="65">
        <v>4727</v>
      </c>
      <c r="AH26" s="70">
        <f t="shared" si="56"/>
        <v>36</v>
      </c>
      <c r="AI26" s="19"/>
      <c r="AJ26" s="19"/>
      <c r="AK26" s="65">
        <v>592210</v>
      </c>
      <c r="AL26" s="63">
        <f t="shared" si="11"/>
        <v>140</v>
      </c>
      <c r="AM26" s="77">
        <v>1325</v>
      </c>
      <c r="AN26" s="60">
        <f t="shared" si="12"/>
        <v>0</v>
      </c>
      <c r="AO26" s="65">
        <v>53167</v>
      </c>
      <c r="AP26" s="74">
        <f t="shared" si="77"/>
        <v>31</v>
      </c>
      <c r="AQ26" s="61">
        <v>8987</v>
      </c>
      <c r="AR26" s="60">
        <f t="shared" si="66"/>
        <v>2</v>
      </c>
      <c r="AS26" s="65">
        <v>10668</v>
      </c>
      <c r="AT26" s="60">
        <f t="shared" si="66"/>
        <v>3</v>
      </c>
      <c r="AU26" s="61">
        <v>15068</v>
      </c>
      <c r="AV26" s="60">
        <f t="shared" si="67"/>
        <v>14</v>
      </c>
      <c r="AW26" s="65">
        <v>19524</v>
      </c>
      <c r="AX26" s="63">
        <f t="shared" si="68"/>
        <v>7</v>
      </c>
      <c r="AY26" s="59">
        <v>20748</v>
      </c>
      <c r="AZ26" s="68">
        <f t="shared" si="15"/>
        <v>2</v>
      </c>
      <c r="BA26" s="65">
        <v>13946</v>
      </c>
      <c r="BB26" s="60">
        <f t="shared" si="16"/>
        <v>3</v>
      </c>
      <c r="BC26" s="59">
        <v>6298</v>
      </c>
      <c r="BD26" s="60">
        <f t="shared" si="17"/>
        <v>3</v>
      </c>
      <c r="BE26" s="65">
        <v>26828</v>
      </c>
      <c r="BF26" s="60">
        <f t="shared" si="18"/>
        <v>5</v>
      </c>
      <c r="BG26" s="61">
        <v>13188</v>
      </c>
      <c r="BH26" s="60">
        <f t="shared" si="19"/>
        <v>118</v>
      </c>
      <c r="BI26">
        <v>4487</v>
      </c>
      <c r="BJ26" s="60">
        <f t="shared" si="20"/>
        <v>9</v>
      </c>
      <c r="BK26" s="65">
        <v>3636</v>
      </c>
      <c r="BL26" s="60">
        <f t="shared" si="53"/>
        <v>0</v>
      </c>
      <c r="BM26" s="68">
        <f t="shared" si="21"/>
        <v>19</v>
      </c>
      <c r="BN26" s="68">
        <f t="shared" si="22"/>
        <v>121</v>
      </c>
      <c r="BO26" s="65">
        <v>611690</v>
      </c>
      <c r="BP26" s="68">
        <f>IF((BO26-BO25)&lt;0,"0",(BO26-BO25))</f>
        <v>180</v>
      </c>
      <c r="BQ26" s="75">
        <v>1073</v>
      </c>
      <c r="BR26" s="60">
        <f t="shared" si="24"/>
        <v>17</v>
      </c>
      <c r="BS26" s="65">
        <v>796550</v>
      </c>
      <c r="BT26" s="68">
        <f t="shared" si="25"/>
        <v>190</v>
      </c>
      <c r="BU26" s="79">
        <v>10628</v>
      </c>
      <c r="BV26" s="68">
        <f t="shared" si="26"/>
        <v>63</v>
      </c>
      <c r="BW26" s="78">
        <f t="shared" si="59"/>
        <v>50</v>
      </c>
      <c r="BX26" s="68">
        <f t="shared" si="28"/>
        <v>370</v>
      </c>
      <c r="BY26" s="80">
        <f t="shared" si="54"/>
        <v>183</v>
      </c>
      <c r="BZ26" s="59">
        <v>109</v>
      </c>
      <c r="CA26" s="81">
        <f t="shared" si="29"/>
        <v>13102.02326604979</v>
      </c>
      <c r="CB26" s="84"/>
      <c r="CC26" s="82">
        <f t="shared" si="30"/>
        <v>0</v>
      </c>
      <c r="CD26" s="65">
        <v>213503</v>
      </c>
      <c r="CE26" s="68">
        <f t="shared" si="31"/>
        <v>107</v>
      </c>
      <c r="CF26" s="78">
        <f t="shared" si="32"/>
        <v>610.97</v>
      </c>
      <c r="CG26" s="65">
        <v>85</v>
      </c>
      <c r="CH26" s="85">
        <f t="shared" si="33"/>
        <v>9158.75</v>
      </c>
      <c r="CI26" s="65">
        <v>84</v>
      </c>
      <c r="CJ26" s="86">
        <f t="shared" si="34"/>
        <v>9051</v>
      </c>
      <c r="CK26" s="65">
        <v>75</v>
      </c>
      <c r="CL26" s="87">
        <f t="shared" si="35"/>
        <v>8081.25</v>
      </c>
      <c r="CM26" s="88">
        <f t="shared" si="36"/>
        <v>26291</v>
      </c>
      <c r="CN26" s="89">
        <f t="shared" si="37"/>
        <v>1316.75</v>
      </c>
      <c r="CO26" s="65"/>
      <c r="CP26" s="65">
        <v>35919</v>
      </c>
      <c r="CQ26" s="68">
        <f t="shared" si="38"/>
        <v>47</v>
      </c>
      <c r="CR26" s="78">
        <f t="shared" si="39"/>
        <v>114.67999999999999</v>
      </c>
      <c r="CS26" s="65">
        <v>34493</v>
      </c>
      <c r="CT26" s="68">
        <f t="shared" si="40"/>
        <v>7</v>
      </c>
      <c r="CU26" s="78">
        <f t="shared" si="41"/>
        <v>17.079999999999998</v>
      </c>
      <c r="CV26" s="65">
        <v>10654</v>
      </c>
      <c r="CW26" s="68">
        <f t="shared" si="57"/>
        <v>21</v>
      </c>
      <c r="CX26" s="78">
        <f t="shared" si="42"/>
        <v>51.24</v>
      </c>
      <c r="CY26" s="65">
        <v>834417</v>
      </c>
      <c r="CZ26" s="68">
        <f t="shared" si="43"/>
        <v>56</v>
      </c>
      <c r="DA26" s="78">
        <f t="shared" si="44"/>
        <v>136.63999999999999</v>
      </c>
      <c r="DB26" s="65">
        <v>6562</v>
      </c>
      <c r="DC26" s="68">
        <f t="shared" si="45"/>
        <v>13</v>
      </c>
      <c r="DD26" s="78">
        <f t="shared" si="46"/>
        <v>31.07</v>
      </c>
      <c r="DE26" s="65">
        <v>7901</v>
      </c>
      <c r="DF26" s="68">
        <f t="shared" si="69"/>
        <v>10</v>
      </c>
      <c r="DG26" s="68" t="str">
        <f t="shared" si="69"/>
        <v>0</v>
      </c>
      <c r="DH26" s="65">
        <v>4613</v>
      </c>
      <c r="DI26" s="68">
        <f t="shared" si="70"/>
        <v>1</v>
      </c>
      <c r="DJ26" s="68" t="str">
        <f t="shared" si="70"/>
        <v>0</v>
      </c>
      <c r="DK26" s="65">
        <v>1906</v>
      </c>
      <c r="DL26" s="68">
        <f t="shared" si="71"/>
        <v>1</v>
      </c>
      <c r="DM26" s="68" t="str">
        <f t="shared" si="71"/>
        <v>0</v>
      </c>
      <c r="DN26" s="65">
        <v>5274</v>
      </c>
      <c r="DO26" s="68">
        <f t="shared" si="72"/>
        <v>10</v>
      </c>
      <c r="DP26" s="68" t="str">
        <f t="shared" si="72"/>
        <v>0</v>
      </c>
      <c r="DQ26" s="65">
        <v>4826</v>
      </c>
      <c r="DR26" s="68">
        <f t="shared" si="73"/>
        <v>4826</v>
      </c>
      <c r="DS26" s="68">
        <f t="shared" si="73"/>
        <v>4826</v>
      </c>
      <c r="DT26" s="65">
        <v>5606</v>
      </c>
      <c r="DU26" s="68">
        <f t="shared" si="74"/>
        <v>10</v>
      </c>
      <c r="DV26" s="68">
        <f t="shared" si="74"/>
        <v>0</v>
      </c>
      <c r="DW26" s="65">
        <v>5570</v>
      </c>
      <c r="DX26" s="68">
        <f t="shared" si="49"/>
        <v>8</v>
      </c>
      <c r="DY26" s="78">
        <f t="shared" si="50"/>
        <v>19.12</v>
      </c>
      <c r="DZ26" s="83"/>
      <c r="EA26" s="78">
        <f t="shared" si="55"/>
        <v>0</v>
      </c>
      <c r="EB26" s="83"/>
      <c r="EC26" s="78">
        <f t="shared" si="75"/>
        <v>0</v>
      </c>
      <c r="ED26" s="92"/>
      <c r="EE26" s="78">
        <f t="shared" si="76"/>
        <v>0</v>
      </c>
      <c r="EF26" s="92"/>
      <c r="EG26" s="78">
        <f t="shared" si="52"/>
        <v>0</v>
      </c>
      <c r="EH26" s="92">
        <v>98</v>
      </c>
      <c r="EI26" s="93">
        <v>319</v>
      </c>
      <c r="EJ26" s="91">
        <v>0.74</v>
      </c>
      <c r="EK26" s="94"/>
      <c r="EL26" s="92"/>
      <c r="EM26" s="93"/>
      <c r="EN26" s="96">
        <v>13.2</v>
      </c>
      <c r="EO26" s="96">
        <v>13.1</v>
      </c>
      <c r="EP26" s="96">
        <v>12.9</v>
      </c>
    </row>
    <row r="27" spans="1:148" s="20" customFormat="1" ht="15.75" thickBot="1" x14ac:dyDescent="0.25">
      <c r="A27" s="58">
        <v>44493</v>
      </c>
      <c r="B27" s="65">
        <v>8230398</v>
      </c>
      <c r="C27" s="60">
        <f t="shared" si="1"/>
        <v>21899</v>
      </c>
      <c r="D27" s="65">
        <v>7398542</v>
      </c>
      <c r="E27" s="60">
        <f t="shared" si="2"/>
        <v>21672</v>
      </c>
      <c r="F27" s="111">
        <f t="shared" si="3"/>
        <v>0.98963422987351024</v>
      </c>
      <c r="G27" s="61">
        <v>1022</v>
      </c>
      <c r="H27" s="61">
        <v>552</v>
      </c>
      <c r="I27" s="62">
        <v>289262</v>
      </c>
      <c r="J27" s="63">
        <f t="shared" si="4"/>
        <v>0</v>
      </c>
      <c r="K27" s="64">
        <v>794</v>
      </c>
      <c r="L27" s="60">
        <v>0</v>
      </c>
      <c r="M27" s="65">
        <v>636988</v>
      </c>
      <c r="N27" s="60">
        <f t="shared" si="4"/>
        <v>0</v>
      </c>
      <c r="O27" s="65">
        <v>1015</v>
      </c>
      <c r="P27" s="63">
        <f t="shared" si="7"/>
        <v>0</v>
      </c>
      <c r="Q27" s="65">
        <v>2593434</v>
      </c>
      <c r="R27" s="63">
        <f t="shared" si="7"/>
        <v>1212</v>
      </c>
      <c r="S27" s="65">
        <v>2207574</v>
      </c>
      <c r="T27" s="63">
        <f t="shared" si="63"/>
        <v>506</v>
      </c>
      <c r="U27" s="65">
        <v>129377</v>
      </c>
      <c r="V27" s="63">
        <f t="shared" si="64"/>
        <v>266</v>
      </c>
      <c r="W27" s="112"/>
      <c r="X27" s="113">
        <f>6.5/9</f>
        <v>0.72222222222222221</v>
      </c>
      <c r="Y27" s="67">
        <f t="shared" si="58"/>
        <v>288.88888888888886</v>
      </c>
      <c r="Z27" s="97">
        <v>0</v>
      </c>
      <c r="AA27" s="65">
        <v>154128</v>
      </c>
      <c r="AB27" s="60">
        <f t="shared" si="9"/>
        <v>0</v>
      </c>
      <c r="AC27" s="61">
        <v>42648</v>
      </c>
      <c r="AD27" s="68">
        <f t="shared" si="65"/>
        <v>52</v>
      </c>
      <c r="AE27" s="65">
        <v>1151</v>
      </c>
      <c r="AF27" s="69">
        <f t="shared" si="62"/>
        <v>0</v>
      </c>
      <c r="AG27" s="65">
        <v>4727</v>
      </c>
      <c r="AH27" s="70">
        <f t="shared" si="56"/>
        <v>0</v>
      </c>
      <c r="AI27" s="19"/>
      <c r="AJ27" s="19"/>
      <c r="AK27" s="65">
        <v>592350</v>
      </c>
      <c r="AL27" s="63">
        <f t="shared" si="11"/>
        <v>140</v>
      </c>
      <c r="AM27" s="77">
        <v>1325</v>
      </c>
      <c r="AN27" s="60">
        <f t="shared" si="12"/>
        <v>0</v>
      </c>
      <c r="AO27" s="65">
        <v>53185</v>
      </c>
      <c r="AP27" s="74">
        <f t="shared" si="77"/>
        <v>18</v>
      </c>
      <c r="AQ27" s="61">
        <v>8990</v>
      </c>
      <c r="AR27" s="60">
        <f t="shared" si="66"/>
        <v>3</v>
      </c>
      <c r="AS27" s="65">
        <v>10671</v>
      </c>
      <c r="AT27" s="60">
        <f t="shared" si="66"/>
        <v>3</v>
      </c>
      <c r="AU27" s="61">
        <v>15083</v>
      </c>
      <c r="AV27" s="60">
        <f t="shared" si="67"/>
        <v>15</v>
      </c>
      <c r="AW27" s="65">
        <v>19529</v>
      </c>
      <c r="AX27" s="63">
        <f t="shared" si="68"/>
        <v>5</v>
      </c>
      <c r="AY27" s="59">
        <v>20761</v>
      </c>
      <c r="AZ27" s="68">
        <f t="shared" si="15"/>
        <v>13</v>
      </c>
      <c r="BA27" s="65">
        <v>13949</v>
      </c>
      <c r="BB27" s="60">
        <f t="shared" si="16"/>
        <v>3</v>
      </c>
      <c r="BC27" s="59">
        <v>6300</v>
      </c>
      <c r="BD27" s="60">
        <f t="shared" si="17"/>
        <v>2</v>
      </c>
      <c r="BE27" s="65">
        <v>26833</v>
      </c>
      <c r="BF27" s="60">
        <f t="shared" si="18"/>
        <v>5</v>
      </c>
      <c r="BG27" s="61">
        <v>13281</v>
      </c>
      <c r="BH27" s="60">
        <f t="shared" si="19"/>
        <v>93</v>
      </c>
      <c r="BI27">
        <v>4493</v>
      </c>
      <c r="BJ27" s="60">
        <f t="shared" si="20"/>
        <v>6</v>
      </c>
      <c r="BK27" s="65">
        <v>3636</v>
      </c>
      <c r="BL27" s="60">
        <f t="shared" si="53"/>
        <v>0</v>
      </c>
      <c r="BM27" s="68">
        <f t="shared" si="21"/>
        <v>31</v>
      </c>
      <c r="BN27" s="68">
        <f t="shared" si="22"/>
        <v>109</v>
      </c>
      <c r="BO27" s="65">
        <v>611910</v>
      </c>
      <c r="BP27" s="68">
        <f t="shared" si="60"/>
        <v>220</v>
      </c>
      <c r="BQ27" s="75">
        <v>1077</v>
      </c>
      <c r="BR27" s="60">
        <f t="shared" si="24"/>
        <v>4</v>
      </c>
      <c r="BS27" s="65">
        <v>796830</v>
      </c>
      <c r="BT27" s="68">
        <f t="shared" si="25"/>
        <v>280</v>
      </c>
      <c r="BU27" s="79">
        <v>10636</v>
      </c>
      <c r="BV27" s="68">
        <f t="shared" si="26"/>
        <v>8</v>
      </c>
      <c r="BW27" s="78">
        <f t="shared" si="59"/>
        <v>140</v>
      </c>
      <c r="BX27" s="68">
        <f t="shared" si="28"/>
        <v>500</v>
      </c>
      <c r="BY27" s="80">
        <f t="shared" si="54"/>
        <v>155</v>
      </c>
      <c r="BZ27" s="59">
        <v>109</v>
      </c>
      <c r="CA27" s="81">
        <f t="shared" si="29"/>
        <v>13102.02326604979</v>
      </c>
      <c r="CB27" s="84"/>
      <c r="CC27" s="82">
        <f t="shared" si="30"/>
        <v>0</v>
      </c>
      <c r="CD27" s="65">
        <v>213683</v>
      </c>
      <c r="CE27" s="68">
        <f t="shared" si="31"/>
        <v>180</v>
      </c>
      <c r="CF27" s="78">
        <f t="shared" si="32"/>
        <v>1027.8</v>
      </c>
      <c r="CG27" s="65">
        <v>82</v>
      </c>
      <c r="CH27" s="85">
        <f t="shared" si="33"/>
        <v>8835.5</v>
      </c>
      <c r="CI27" s="65">
        <v>80</v>
      </c>
      <c r="CJ27" s="86">
        <f t="shared" si="34"/>
        <v>8620</v>
      </c>
      <c r="CK27" s="65">
        <v>72</v>
      </c>
      <c r="CL27" s="87">
        <f t="shared" si="35"/>
        <v>7758</v>
      </c>
      <c r="CM27" s="88">
        <f t="shared" si="36"/>
        <v>25213.5</v>
      </c>
      <c r="CN27" s="89">
        <f t="shared" si="37"/>
        <v>1077.5</v>
      </c>
      <c r="CO27" s="65"/>
      <c r="CP27" s="65">
        <v>35964</v>
      </c>
      <c r="CQ27" s="68">
        <f t="shared" si="38"/>
        <v>45</v>
      </c>
      <c r="CR27" s="78">
        <f t="shared" si="39"/>
        <v>109.8</v>
      </c>
      <c r="CS27" s="65">
        <v>34500</v>
      </c>
      <c r="CT27" s="68">
        <f t="shared" si="40"/>
        <v>7</v>
      </c>
      <c r="CU27" s="78">
        <f t="shared" si="41"/>
        <v>17.079999999999998</v>
      </c>
      <c r="CV27" s="65">
        <v>10677</v>
      </c>
      <c r="CW27" s="68">
        <f t="shared" si="57"/>
        <v>23</v>
      </c>
      <c r="CX27" s="78">
        <f t="shared" si="42"/>
        <v>56.12</v>
      </c>
      <c r="CY27" s="65">
        <v>834478</v>
      </c>
      <c r="CZ27" s="68">
        <f t="shared" si="43"/>
        <v>61</v>
      </c>
      <c r="DA27" s="78">
        <f t="shared" si="44"/>
        <v>148.84</v>
      </c>
      <c r="DB27" s="65">
        <v>6570</v>
      </c>
      <c r="DC27" s="68">
        <f t="shared" si="45"/>
        <v>8</v>
      </c>
      <c r="DD27" s="78">
        <f t="shared" si="46"/>
        <v>19.12</v>
      </c>
      <c r="DE27" s="65">
        <v>7917</v>
      </c>
      <c r="DF27" s="68">
        <f t="shared" si="69"/>
        <v>16</v>
      </c>
      <c r="DG27" s="68">
        <f t="shared" si="69"/>
        <v>6</v>
      </c>
      <c r="DH27" s="65">
        <v>4622</v>
      </c>
      <c r="DI27" s="68">
        <f t="shared" si="70"/>
        <v>9</v>
      </c>
      <c r="DJ27" s="68">
        <v>40</v>
      </c>
      <c r="DK27" s="65">
        <v>1907</v>
      </c>
      <c r="DL27" s="68">
        <f t="shared" si="71"/>
        <v>1</v>
      </c>
      <c r="DM27" s="68">
        <f t="shared" si="71"/>
        <v>0</v>
      </c>
      <c r="DN27" s="65">
        <v>5283</v>
      </c>
      <c r="DO27" s="68">
        <f t="shared" si="72"/>
        <v>9</v>
      </c>
      <c r="DP27" s="68" t="str">
        <f t="shared" si="72"/>
        <v>0</v>
      </c>
      <c r="DQ27" s="65">
        <v>4837</v>
      </c>
      <c r="DR27" s="68">
        <f t="shared" si="73"/>
        <v>11</v>
      </c>
      <c r="DS27" s="68" t="str">
        <f t="shared" si="73"/>
        <v>0</v>
      </c>
      <c r="DT27" s="65">
        <v>5615</v>
      </c>
      <c r="DU27" s="68">
        <f t="shared" si="74"/>
        <v>9</v>
      </c>
      <c r="DV27" s="68" t="str">
        <f t="shared" si="74"/>
        <v>0</v>
      </c>
      <c r="DW27" s="65">
        <v>5578</v>
      </c>
      <c r="DX27" s="68">
        <f t="shared" si="49"/>
        <v>8</v>
      </c>
      <c r="DY27" s="78">
        <f t="shared" si="50"/>
        <v>19.12</v>
      </c>
      <c r="DZ27" s="83"/>
      <c r="EA27" s="78">
        <f t="shared" si="55"/>
        <v>0</v>
      </c>
      <c r="EB27" s="83"/>
      <c r="EC27" s="78">
        <f t="shared" si="75"/>
        <v>0</v>
      </c>
      <c r="ED27" s="92"/>
      <c r="EE27" s="78">
        <f t="shared" si="76"/>
        <v>0</v>
      </c>
      <c r="EF27" s="92"/>
      <c r="EG27" s="78">
        <f t="shared" si="52"/>
        <v>0</v>
      </c>
      <c r="EH27" s="92">
        <v>101</v>
      </c>
      <c r="EI27" s="93">
        <v>328</v>
      </c>
      <c r="EJ27" s="91">
        <v>0.76</v>
      </c>
      <c r="EK27" s="94"/>
      <c r="EL27" s="92"/>
      <c r="EM27" s="93"/>
      <c r="EN27" s="96">
        <v>12</v>
      </c>
      <c r="EO27" s="96">
        <v>13.1</v>
      </c>
      <c r="EP27" s="96">
        <v>12</v>
      </c>
    </row>
    <row r="28" spans="1:148" s="20" customFormat="1" ht="15.75" thickBot="1" x14ac:dyDescent="0.25">
      <c r="A28" s="58">
        <v>44494</v>
      </c>
      <c r="B28" s="65">
        <v>8254336</v>
      </c>
      <c r="C28" s="60">
        <f t="shared" si="1"/>
        <v>23938</v>
      </c>
      <c r="D28" s="65">
        <v>7420318</v>
      </c>
      <c r="E28" s="60">
        <f t="shared" si="2"/>
        <v>21776</v>
      </c>
      <c r="F28" s="111">
        <f t="shared" si="3"/>
        <v>0.9096833486506809</v>
      </c>
      <c r="G28" s="61">
        <v>1022</v>
      </c>
      <c r="H28" s="61">
        <v>552</v>
      </c>
      <c r="I28" s="62">
        <v>289262</v>
      </c>
      <c r="J28" s="63">
        <f t="shared" si="4"/>
        <v>0</v>
      </c>
      <c r="K28" s="64">
        <v>794</v>
      </c>
      <c r="L28" s="60">
        <v>0</v>
      </c>
      <c r="M28" s="65">
        <v>636988</v>
      </c>
      <c r="N28" s="60">
        <f t="shared" si="4"/>
        <v>0</v>
      </c>
      <c r="O28" s="65">
        <v>1015</v>
      </c>
      <c r="P28" s="63">
        <f t="shared" si="7"/>
        <v>0</v>
      </c>
      <c r="Q28" s="65">
        <v>2595555</v>
      </c>
      <c r="R28" s="63">
        <f t="shared" si="7"/>
        <v>2121</v>
      </c>
      <c r="S28" s="65">
        <v>2208102</v>
      </c>
      <c r="T28" s="63">
        <f t="shared" si="63"/>
        <v>528</v>
      </c>
      <c r="U28" s="65">
        <v>129557</v>
      </c>
      <c r="V28" s="63">
        <f t="shared" si="64"/>
        <v>180</v>
      </c>
      <c r="W28" s="112"/>
      <c r="X28" s="113">
        <f>5/9</f>
        <v>0.55555555555555558</v>
      </c>
      <c r="Y28" s="67">
        <f t="shared" si="58"/>
        <v>222.22222222222223</v>
      </c>
      <c r="Z28" s="64">
        <v>8</v>
      </c>
      <c r="AA28" s="65">
        <v>154128</v>
      </c>
      <c r="AB28" s="60">
        <f t="shared" si="9"/>
        <v>0</v>
      </c>
      <c r="AC28" s="61">
        <v>42697</v>
      </c>
      <c r="AD28" s="68">
        <f t="shared" si="65"/>
        <v>49</v>
      </c>
      <c r="AE28" s="65">
        <v>1151</v>
      </c>
      <c r="AF28" s="69">
        <v>0</v>
      </c>
      <c r="AG28" s="65">
        <v>4756</v>
      </c>
      <c r="AH28" s="70">
        <f t="shared" si="56"/>
        <v>29</v>
      </c>
      <c r="AI28" s="19"/>
      <c r="AJ28" s="19"/>
      <c r="AK28" s="65">
        <v>592550</v>
      </c>
      <c r="AL28" s="63">
        <f t="shared" si="11"/>
        <v>200</v>
      </c>
      <c r="AM28" s="77">
        <v>1326</v>
      </c>
      <c r="AN28" s="60">
        <f t="shared" si="12"/>
        <v>1</v>
      </c>
      <c r="AO28" s="65">
        <v>53206</v>
      </c>
      <c r="AP28" s="74">
        <f t="shared" si="77"/>
        <v>21</v>
      </c>
      <c r="AQ28" s="61">
        <v>8992</v>
      </c>
      <c r="AR28" s="60">
        <f t="shared" si="66"/>
        <v>2</v>
      </c>
      <c r="AS28" s="65">
        <v>10673</v>
      </c>
      <c r="AT28" s="60">
        <f t="shared" si="66"/>
        <v>2</v>
      </c>
      <c r="AU28" s="61">
        <v>15096</v>
      </c>
      <c r="AV28" s="60">
        <f t="shared" si="67"/>
        <v>13</v>
      </c>
      <c r="AW28" s="65">
        <v>19532</v>
      </c>
      <c r="AX28" s="63">
        <f t="shared" si="68"/>
        <v>3</v>
      </c>
      <c r="AY28" s="59">
        <v>20752</v>
      </c>
      <c r="AZ28" s="68" t="str">
        <f t="shared" si="15"/>
        <v>0</v>
      </c>
      <c r="BA28" s="65">
        <v>13952</v>
      </c>
      <c r="BB28" s="60">
        <f t="shared" si="16"/>
        <v>3</v>
      </c>
      <c r="BC28" s="59">
        <v>6303</v>
      </c>
      <c r="BD28" s="60">
        <f t="shared" si="17"/>
        <v>3</v>
      </c>
      <c r="BE28" s="65">
        <v>26839</v>
      </c>
      <c r="BF28" s="60">
        <f t="shared" si="18"/>
        <v>6</v>
      </c>
      <c r="BG28" s="61">
        <v>13375</v>
      </c>
      <c r="BH28" s="60">
        <f t="shared" si="19"/>
        <v>94</v>
      </c>
      <c r="BI28">
        <v>4497</v>
      </c>
      <c r="BJ28" s="60">
        <f t="shared" si="20"/>
        <v>4</v>
      </c>
      <c r="BK28" s="65">
        <v>3636</v>
      </c>
      <c r="BL28" s="60">
        <f t="shared" si="53"/>
        <v>0</v>
      </c>
      <c r="BM28" s="68">
        <f t="shared" si="21"/>
        <v>16</v>
      </c>
      <c r="BN28" s="68">
        <f t="shared" si="22"/>
        <v>184</v>
      </c>
      <c r="BO28" s="65">
        <v>612100</v>
      </c>
      <c r="BP28" s="68">
        <f t="shared" si="60"/>
        <v>190</v>
      </c>
      <c r="BQ28" s="75">
        <v>1078</v>
      </c>
      <c r="BR28" s="60">
        <f t="shared" si="24"/>
        <v>1</v>
      </c>
      <c r="BS28" s="65">
        <v>797090</v>
      </c>
      <c r="BT28" s="68">
        <f t="shared" si="25"/>
        <v>260</v>
      </c>
      <c r="BU28" s="79">
        <v>10708</v>
      </c>
      <c r="BV28" s="68">
        <f t="shared" si="26"/>
        <v>72</v>
      </c>
      <c r="BW28" s="78">
        <f t="shared" si="59"/>
        <v>60</v>
      </c>
      <c r="BX28" s="68">
        <f t="shared" si="28"/>
        <v>450</v>
      </c>
      <c r="BY28" s="80">
        <f t="shared" si="54"/>
        <v>141</v>
      </c>
      <c r="BZ28" s="59">
        <v>109</v>
      </c>
      <c r="CA28" s="81">
        <f t="shared" si="29"/>
        <v>13102.02326604979</v>
      </c>
      <c r="CB28" s="84"/>
      <c r="CC28" s="82">
        <f t="shared" si="30"/>
        <v>0</v>
      </c>
      <c r="CD28" s="65">
        <v>213871</v>
      </c>
      <c r="CE28" s="68">
        <f t="shared" si="31"/>
        <v>188</v>
      </c>
      <c r="CF28" s="78">
        <f t="shared" si="32"/>
        <v>1073.48</v>
      </c>
      <c r="CG28" s="65">
        <v>80</v>
      </c>
      <c r="CH28" s="85">
        <f t="shared" si="33"/>
        <v>8620</v>
      </c>
      <c r="CI28" s="65">
        <v>75</v>
      </c>
      <c r="CJ28" s="86">
        <f t="shared" si="34"/>
        <v>8081.25</v>
      </c>
      <c r="CK28" s="65">
        <v>70</v>
      </c>
      <c r="CL28" s="87">
        <f t="shared" si="35"/>
        <v>7542.5</v>
      </c>
      <c r="CM28" s="88">
        <f t="shared" si="36"/>
        <v>24243.75</v>
      </c>
      <c r="CN28" s="89">
        <f t="shared" si="37"/>
        <v>969.75</v>
      </c>
      <c r="CO28" s="65"/>
      <c r="CP28" s="65">
        <v>36015</v>
      </c>
      <c r="CQ28" s="68">
        <f t="shared" si="38"/>
        <v>51</v>
      </c>
      <c r="CR28" s="78">
        <f t="shared" si="39"/>
        <v>124.44</v>
      </c>
      <c r="CS28" s="65">
        <v>34506</v>
      </c>
      <c r="CT28" s="68">
        <f t="shared" si="40"/>
        <v>6</v>
      </c>
      <c r="CU28" s="78">
        <f t="shared" si="41"/>
        <v>14.64</v>
      </c>
      <c r="CV28" s="65">
        <v>10698</v>
      </c>
      <c r="CW28" s="68">
        <f t="shared" si="57"/>
        <v>21</v>
      </c>
      <c r="CX28" s="78">
        <f t="shared" si="42"/>
        <v>51.24</v>
      </c>
      <c r="CY28" s="65">
        <v>834548</v>
      </c>
      <c r="CZ28" s="68">
        <f t="shared" si="43"/>
        <v>70</v>
      </c>
      <c r="DA28" s="78">
        <f t="shared" si="44"/>
        <v>170.79999999999998</v>
      </c>
      <c r="DB28" s="65">
        <v>6579</v>
      </c>
      <c r="DC28" s="68">
        <f t="shared" si="45"/>
        <v>9</v>
      </c>
      <c r="DD28" s="78">
        <f t="shared" si="46"/>
        <v>21.51</v>
      </c>
      <c r="DE28" s="65">
        <v>7922</v>
      </c>
      <c r="DF28" s="68">
        <f t="shared" si="69"/>
        <v>5</v>
      </c>
      <c r="DG28" s="68" t="str">
        <f t="shared" si="69"/>
        <v>0</v>
      </c>
      <c r="DH28" s="65">
        <v>4629</v>
      </c>
      <c r="DI28" s="68">
        <f t="shared" si="70"/>
        <v>7</v>
      </c>
      <c r="DJ28" s="68">
        <v>40</v>
      </c>
      <c r="DK28" s="65">
        <v>1909</v>
      </c>
      <c r="DL28" s="68">
        <f t="shared" si="71"/>
        <v>2</v>
      </c>
      <c r="DM28" s="68">
        <f t="shared" si="71"/>
        <v>1</v>
      </c>
      <c r="DN28" s="65">
        <v>5292</v>
      </c>
      <c r="DO28" s="68">
        <f t="shared" si="72"/>
        <v>9</v>
      </c>
      <c r="DP28" s="68">
        <f t="shared" si="72"/>
        <v>0</v>
      </c>
      <c r="DQ28" s="65">
        <v>4847</v>
      </c>
      <c r="DR28" s="68">
        <f t="shared" si="73"/>
        <v>10</v>
      </c>
      <c r="DS28" s="68" t="str">
        <f t="shared" si="73"/>
        <v>0</v>
      </c>
      <c r="DT28" s="65">
        <v>5624</v>
      </c>
      <c r="DU28" s="68">
        <f t="shared" si="74"/>
        <v>9</v>
      </c>
      <c r="DV28" s="68">
        <f t="shared" si="74"/>
        <v>0</v>
      </c>
      <c r="DW28" s="65">
        <v>5583</v>
      </c>
      <c r="DX28" s="68">
        <f t="shared" si="49"/>
        <v>5</v>
      </c>
      <c r="DY28" s="78">
        <f t="shared" si="50"/>
        <v>11.950000000000001</v>
      </c>
      <c r="DZ28" s="83"/>
      <c r="EA28" s="78">
        <f t="shared" si="55"/>
        <v>0</v>
      </c>
      <c r="EB28" s="83"/>
      <c r="EC28" s="78">
        <f t="shared" si="75"/>
        <v>0</v>
      </c>
      <c r="ED28" s="92"/>
      <c r="EE28" s="78">
        <f t="shared" si="76"/>
        <v>0</v>
      </c>
      <c r="EF28" s="92"/>
      <c r="EG28" s="78">
        <f t="shared" si="52"/>
        <v>0</v>
      </c>
      <c r="EH28" s="92">
        <v>96</v>
      </c>
      <c r="EI28" s="93">
        <v>312</v>
      </c>
      <c r="EJ28" s="91">
        <v>0.72</v>
      </c>
      <c r="EK28" s="91"/>
      <c r="EL28" s="92"/>
      <c r="EM28" s="93"/>
      <c r="EN28" s="96">
        <v>12.7</v>
      </c>
      <c r="EO28" s="96">
        <v>13.1</v>
      </c>
      <c r="EP28" s="96">
        <v>13.1</v>
      </c>
    </row>
    <row r="29" spans="1:148" s="20" customFormat="1" ht="15.75" thickBot="1" x14ac:dyDescent="0.25">
      <c r="A29" s="58">
        <v>44495</v>
      </c>
      <c r="B29" s="65">
        <v>8272337</v>
      </c>
      <c r="C29" s="60">
        <f t="shared" si="1"/>
        <v>18001</v>
      </c>
      <c r="D29" s="65">
        <v>7439993</v>
      </c>
      <c r="E29" s="60">
        <f t="shared" si="2"/>
        <v>19675</v>
      </c>
      <c r="F29" s="111">
        <f t="shared" si="3"/>
        <v>1.0929948336203543</v>
      </c>
      <c r="G29" s="61">
        <v>1022</v>
      </c>
      <c r="H29" s="61">
        <v>552</v>
      </c>
      <c r="I29" s="62">
        <v>289262</v>
      </c>
      <c r="J29" s="63">
        <f t="shared" si="4"/>
        <v>0</v>
      </c>
      <c r="K29" s="64">
        <v>794</v>
      </c>
      <c r="L29" s="60">
        <v>0</v>
      </c>
      <c r="M29" s="65">
        <v>636988</v>
      </c>
      <c r="N29" s="60">
        <v>0</v>
      </c>
      <c r="O29" s="65">
        <v>1015</v>
      </c>
      <c r="P29" s="63">
        <f t="shared" si="7"/>
        <v>0</v>
      </c>
      <c r="Q29" s="65">
        <v>2597914</v>
      </c>
      <c r="R29" s="63">
        <f t="shared" si="7"/>
        <v>2359</v>
      </c>
      <c r="S29" s="65">
        <v>2208576</v>
      </c>
      <c r="T29" s="63">
        <f t="shared" si="63"/>
        <v>474</v>
      </c>
      <c r="U29" s="65">
        <v>129776</v>
      </c>
      <c r="V29" s="63">
        <f t="shared" si="64"/>
        <v>219</v>
      </c>
      <c r="W29" s="112"/>
      <c r="X29" s="113">
        <f>6/9</f>
        <v>0.66666666666666663</v>
      </c>
      <c r="Y29" s="67">
        <f t="shared" si="58"/>
        <v>266.66666666666663</v>
      </c>
      <c r="Z29" s="64">
        <v>14</v>
      </c>
      <c r="AA29" s="65">
        <v>154128</v>
      </c>
      <c r="AB29" s="60">
        <f t="shared" si="9"/>
        <v>0</v>
      </c>
      <c r="AC29" s="61">
        <v>42737</v>
      </c>
      <c r="AD29" s="68">
        <f t="shared" si="65"/>
        <v>40</v>
      </c>
      <c r="AE29" s="65">
        <v>1151</v>
      </c>
      <c r="AF29" s="69">
        <f t="shared" si="62"/>
        <v>0</v>
      </c>
      <c r="AG29" s="65">
        <v>4756</v>
      </c>
      <c r="AH29" s="70">
        <f t="shared" si="56"/>
        <v>0</v>
      </c>
      <c r="AI29" s="19"/>
      <c r="AJ29" s="19"/>
      <c r="AK29" s="65">
        <v>592700</v>
      </c>
      <c r="AL29" s="63">
        <f t="shared" si="11"/>
        <v>150</v>
      </c>
      <c r="AM29" s="77">
        <v>1326</v>
      </c>
      <c r="AN29" s="60">
        <f t="shared" si="12"/>
        <v>0</v>
      </c>
      <c r="AO29" s="65">
        <v>53227</v>
      </c>
      <c r="AP29" s="74">
        <f t="shared" si="77"/>
        <v>21</v>
      </c>
      <c r="AQ29" s="61">
        <v>8995</v>
      </c>
      <c r="AR29" s="60">
        <f t="shared" si="66"/>
        <v>3</v>
      </c>
      <c r="AS29" s="65">
        <v>10675</v>
      </c>
      <c r="AT29" s="60">
        <f t="shared" si="66"/>
        <v>2</v>
      </c>
      <c r="AU29" s="61">
        <v>15109</v>
      </c>
      <c r="AV29" s="60">
        <f t="shared" si="67"/>
        <v>13</v>
      </c>
      <c r="AW29" s="65">
        <v>19537</v>
      </c>
      <c r="AX29" s="63">
        <f t="shared" si="68"/>
        <v>5</v>
      </c>
      <c r="AY29" s="59">
        <v>20754</v>
      </c>
      <c r="AZ29" s="68">
        <f t="shared" si="15"/>
        <v>2</v>
      </c>
      <c r="BA29" s="65">
        <v>13956</v>
      </c>
      <c r="BB29" s="60">
        <f t="shared" si="16"/>
        <v>4</v>
      </c>
      <c r="BC29" s="59">
        <v>6304</v>
      </c>
      <c r="BD29" s="60">
        <f t="shared" si="17"/>
        <v>1</v>
      </c>
      <c r="BE29" s="65">
        <v>26844</v>
      </c>
      <c r="BF29" s="60">
        <f t="shared" si="18"/>
        <v>5</v>
      </c>
      <c r="BG29" s="61">
        <v>13468</v>
      </c>
      <c r="BH29" s="60">
        <f t="shared" si="19"/>
        <v>93</v>
      </c>
      <c r="BI29">
        <v>4502</v>
      </c>
      <c r="BJ29" s="60">
        <f t="shared" si="20"/>
        <v>5</v>
      </c>
      <c r="BK29" s="65">
        <v>3636</v>
      </c>
      <c r="BL29" s="60">
        <f t="shared" si="53"/>
        <v>0</v>
      </c>
      <c r="BM29" s="68">
        <f t="shared" si="21"/>
        <v>19</v>
      </c>
      <c r="BN29" s="68">
        <f t="shared" si="22"/>
        <v>131</v>
      </c>
      <c r="BO29" s="65">
        <v>612250</v>
      </c>
      <c r="BP29" s="68">
        <f t="shared" si="60"/>
        <v>150</v>
      </c>
      <c r="BQ29" s="79">
        <v>1115</v>
      </c>
      <c r="BR29" s="60">
        <f t="shared" si="24"/>
        <v>37</v>
      </c>
      <c r="BS29" s="65">
        <v>797330</v>
      </c>
      <c r="BT29" s="68">
        <f t="shared" si="25"/>
        <v>240</v>
      </c>
      <c r="BU29" s="79">
        <v>10777</v>
      </c>
      <c r="BV29" s="68">
        <f t="shared" si="26"/>
        <v>69</v>
      </c>
      <c r="BW29" s="78">
        <f t="shared" si="59"/>
        <v>90</v>
      </c>
      <c r="BX29" s="68">
        <f t="shared" si="28"/>
        <v>390</v>
      </c>
      <c r="BY29" s="80">
        <f t="shared" si="54"/>
        <v>144</v>
      </c>
      <c r="BZ29" s="59">
        <v>110</v>
      </c>
      <c r="CA29" s="81">
        <f t="shared" si="29"/>
        <v>13257.678020880703</v>
      </c>
      <c r="CB29" s="84"/>
      <c r="CC29" s="82">
        <f t="shared" si="30"/>
        <v>0</v>
      </c>
      <c r="CD29" s="65">
        <v>214049</v>
      </c>
      <c r="CE29" s="68">
        <f t="shared" si="31"/>
        <v>178</v>
      </c>
      <c r="CF29" s="78">
        <f t="shared" si="32"/>
        <v>1016.38</v>
      </c>
      <c r="CG29" s="65">
        <v>75</v>
      </c>
      <c r="CH29" s="85">
        <f t="shared" si="33"/>
        <v>8081.25</v>
      </c>
      <c r="CI29" s="65">
        <v>75</v>
      </c>
      <c r="CJ29" s="86">
        <f t="shared" si="34"/>
        <v>8081.25</v>
      </c>
      <c r="CK29" s="65">
        <v>65</v>
      </c>
      <c r="CL29" s="87">
        <f t="shared" si="35"/>
        <v>7003.75</v>
      </c>
      <c r="CM29" s="88">
        <f t="shared" si="36"/>
        <v>23166.25</v>
      </c>
      <c r="CN29" s="89">
        <f t="shared" si="37"/>
        <v>1077.5</v>
      </c>
      <c r="CO29" s="65"/>
      <c r="CP29" s="65">
        <v>36061</v>
      </c>
      <c r="CQ29" s="68">
        <f t="shared" si="38"/>
        <v>46</v>
      </c>
      <c r="CR29" s="78">
        <f t="shared" si="39"/>
        <v>112.24</v>
      </c>
      <c r="CS29" s="65">
        <v>34513</v>
      </c>
      <c r="CT29" s="68">
        <f t="shared" si="40"/>
        <v>7</v>
      </c>
      <c r="CU29" s="78">
        <f t="shared" si="41"/>
        <v>17.079999999999998</v>
      </c>
      <c r="CV29" s="65">
        <v>10718</v>
      </c>
      <c r="CW29" s="68">
        <f t="shared" si="57"/>
        <v>20</v>
      </c>
      <c r="CX29" s="78">
        <f t="shared" si="42"/>
        <v>48.8</v>
      </c>
      <c r="CY29" s="65">
        <v>834604</v>
      </c>
      <c r="CZ29" s="68">
        <f t="shared" si="43"/>
        <v>56</v>
      </c>
      <c r="DA29" s="78">
        <f t="shared" si="44"/>
        <v>136.63999999999999</v>
      </c>
      <c r="DB29" s="65">
        <v>6587</v>
      </c>
      <c r="DC29" s="68">
        <f t="shared" si="45"/>
        <v>8</v>
      </c>
      <c r="DD29" s="78">
        <f t="shared" si="46"/>
        <v>19.12</v>
      </c>
      <c r="DE29" s="65">
        <v>7932</v>
      </c>
      <c r="DF29" s="68">
        <f t="shared" si="69"/>
        <v>10</v>
      </c>
      <c r="DG29" s="68">
        <f t="shared" si="69"/>
        <v>5</v>
      </c>
      <c r="DH29" s="65">
        <v>4636</v>
      </c>
      <c r="DI29" s="68">
        <f t="shared" si="70"/>
        <v>7</v>
      </c>
      <c r="DJ29" s="68">
        <f t="shared" si="70"/>
        <v>0</v>
      </c>
      <c r="DK29" s="65">
        <v>1910</v>
      </c>
      <c r="DL29" s="68">
        <f t="shared" si="71"/>
        <v>1</v>
      </c>
      <c r="DM29" s="68" t="str">
        <f t="shared" si="71"/>
        <v>0</v>
      </c>
      <c r="DN29" s="65">
        <v>5301</v>
      </c>
      <c r="DO29" s="68">
        <f t="shared" si="72"/>
        <v>9</v>
      </c>
      <c r="DP29" s="68">
        <f t="shared" si="72"/>
        <v>0</v>
      </c>
      <c r="DQ29" s="65">
        <v>4858</v>
      </c>
      <c r="DR29" s="68">
        <f t="shared" si="73"/>
        <v>11</v>
      </c>
      <c r="DS29" s="68">
        <f t="shared" si="73"/>
        <v>1</v>
      </c>
      <c r="DT29" s="65">
        <v>5634</v>
      </c>
      <c r="DU29" s="68">
        <f t="shared" si="74"/>
        <v>10</v>
      </c>
      <c r="DV29" s="68">
        <f t="shared" si="74"/>
        <v>1</v>
      </c>
      <c r="DW29" s="65">
        <v>5591</v>
      </c>
      <c r="DX29" s="68">
        <f t="shared" si="49"/>
        <v>8</v>
      </c>
      <c r="DY29" s="78">
        <f t="shared" si="50"/>
        <v>19.12</v>
      </c>
      <c r="DZ29" s="83"/>
      <c r="EA29" s="78">
        <f t="shared" si="55"/>
        <v>0</v>
      </c>
      <c r="EB29" s="83"/>
      <c r="EC29" s="78">
        <f t="shared" si="75"/>
        <v>0</v>
      </c>
      <c r="ED29" s="92"/>
      <c r="EE29" s="78">
        <f t="shared" si="76"/>
        <v>0</v>
      </c>
      <c r="EF29" s="92"/>
      <c r="EG29" s="78">
        <f t="shared" si="52"/>
        <v>0</v>
      </c>
      <c r="EH29" s="92">
        <v>98</v>
      </c>
      <c r="EI29" s="93">
        <v>314</v>
      </c>
      <c r="EJ29" s="91">
        <v>0.74</v>
      </c>
      <c r="EK29" s="94"/>
      <c r="EL29" s="92"/>
      <c r="EM29" s="93"/>
      <c r="EN29" s="96">
        <v>12.9</v>
      </c>
      <c r="EO29" s="96">
        <v>13</v>
      </c>
      <c r="EP29" s="96">
        <v>13.2</v>
      </c>
    </row>
    <row r="30" spans="1:148" s="20" customFormat="1" ht="15.75" thickBot="1" x14ac:dyDescent="0.25">
      <c r="A30" s="58">
        <v>44496</v>
      </c>
      <c r="B30" s="65">
        <v>8292064</v>
      </c>
      <c r="C30" s="60">
        <f t="shared" si="1"/>
        <v>19727</v>
      </c>
      <c r="D30" s="65">
        <v>7459617</v>
      </c>
      <c r="E30" s="60">
        <f>IF((D30-D29)&lt;0,"0",(D30-D29))</f>
        <v>19624</v>
      </c>
      <c r="F30" s="111">
        <f t="shared" si="3"/>
        <v>0.99477872965985703</v>
      </c>
      <c r="G30" s="61">
        <v>1022</v>
      </c>
      <c r="H30" s="61">
        <v>552</v>
      </c>
      <c r="I30" s="62">
        <v>289262</v>
      </c>
      <c r="J30" s="63">
        <f t="shared" si="4"/>
        <v>0</v>
      </c>
      <c r="K30" s="64">
        <v>794</v>
      </c>
      <c r="L30" s="60">
        <v>0</v>
      </c>
      <c r="M30" s="65">
        <v>636988</v>
      </c>
      <c r="N30" s="60">
        <v>0</v>
      </c>
      <c r="O30" s="65">
        <v>1015</v>
      </c>
      <c r="P30" s="63">
        <f t="shared" si="7"/>
        <v>0</v>
      </c>
      <c r="Q30" s="65">
        <v>2599015</v>
      </c>
      <c r="R30" s="63">
        <f t="shared" si="7"/>
        <v>1101</v>
      </c>
      <c r="S30" s="65">
        <v>2209021</v>
      </c>
      <c r="T30" s="63">
        <f t="shared" si="63"/>
        <v>445</v>
      </c>
      <c r="U30" s="65">
        <v>130050</v>
      </c>
      <c r="V30" s="63">
        <f t="shared" si="64"/>
        <v>274</v>
      </c>
      <c r="W30" s="112"/>
      <c r="X30" s="113">
        <f>9/9</f>
        <v>1</v>
      </c>
      <c r="Y30" s="67">
        <f t="shared" si="58"/>
        <v>400</v>
      </c>
      <c r="Z30" s="64">
        <v>27</v>
      </c>
      <c r="AA30" s="65">
        <v>154128</v>
      </c>
      <c r="AB30" s="60">
        <f t="shared" si="9"/>
        <v>0</v>
      </c>
      <c r="AC30" s="65">
        <v>42773</v>
      </c>
      <c r="AD30" s="68">
        <f t="shared" si="65"/>
        <v>36</v>
      </c>
      <c r="AE30" s="65">
        <v>1151</v>
      </c>
      <c r="AF30" s="69">
        <f t="shared" si="62"/>
        <v>0</v>
      </c>
      <c r="AG30" s="65">
        <v>4756</v>
      </c>
      <c r="AH30" s="70">
        <f t="shared" si="56"/>
        <v>0</v>
      </c>
      <c r="AI30" s="19"/>
      <c r="AJ30" s="19"/>
      <c r="AK30" s="65">
        <v>592840</v>
      </c>
      <c r="AL30" s="63">
        <f t="shared" si="11"/>
        <v>140</v>
      </c>
      <c r="AM30" s="77">
        <v>1327</v>
      </c>
      <c r="AN30" s="60">
        <f t="shared" si="12"/>
        <v>1</v>
      </c>
      <c r="AO30" s="65">
        <v>53247</v>
      </c>
      <c r="AP30" s="74">
        <f t="shared" si="77"/>
        <v>20</v>
      </c>
      <c r="AQ30" s="59">
        <v>8997</v>
      </c>
      <c r="AR30" s="60">
        <f t="shared" si="66"/>
        <v>2</v>
      </c>
      <c r="AS30" s="65">
        <v>10676</v>
      </c>
      <c r="AT30" s="60">
        <f t="shared" si="66"/>
        <v>1</v>
      </c>
      <c r="AU30" s="61">
        <v>15120</v>
      </c>
      <c r="AV30" s="60">
        <f t="shared" si="67"/>
        <v>11</v>
      </c>
      <c r="AW30" s="65">
        <v>19542</v>
      </c>
      <c r="AX30" s="63">
        <f t="shared" si="68"/>
        <v>5</v>
      </c>
      <c r="AY30" s="59">
        <v>20756</v>
      </c>
      <c r="AZ30" s="68">
        <f t="shared" si="15"/>
        <v>2</v>
      </c>
      <c r="BA30" s="65">
        <v>13960</v>
      </c>
      <c r="BB30" s="60">
        <f t="shared" si="16"/>
        <v>4</v>
      </c>
      <c r="BC30" s="59">
        <v>6306</v>
      </c>
      <c r="BD30" s="60">
        <f t="shared" si="17"/>
        <v>2</v>
      </c>
      <c r="BE30" s="65">
        <v>26848</v>
      </c>
      <c r="BF30" s="60">
        <f t="shared" si="18"/>
        <v>4</v>
      </c>
      <c r="BG30" s="61">
        <v>13545</v>
      </c>
      <c r="BH30" s="60">
        <f t="shared" si="19"/>
        <v>77</v>
      </c>
      <c r="BI30">
        <v>4507</v>
      </c>
      <c r="BJ30" s="60">
        <f t="shared" si="20"/>
        <v>5</v>
      </c>
      <c r="BK30" s="65">
        <v>3636</v>
      </c>
      <c r="BL30" s="60">
        <f t="shared" si="53"/>
        <v>0</v>
      </c>
      <c r="BM30" s="68">
        <f t="shared" si="21"/>
        <v>17</v>
      </c>
      <c r="BN30" s="68">
        <f t="shared" si="22"/>
        <v>123</v>
      </c>
      <c r="BO30" s="65">
        <v>612400</v>
      </c>
      <c r="BP30" s="68">
        <f t="shared" si="60"/>
        <v>150</v>
      </c>
      <c r="BQ30" s="79">
        <v>1127</v>
      </c>
      <c r="BR30" s="60">
        <f t="shared" si="24"/>
        <v>12</v>
      </c>
      <c r="BS30" s="65">
        <v>797530</v>
      </c>
      <c r="BT30" s="68">
        <f t="shared" si="25"/>
        <v>200</v>
      </c>
      <c r="BU30" s="79">
        <v>10822</v>
      </c>
      <c r="BV30" s="68">
        <f t="shared" si="26"/>
        <v>45</v>
      </c>
      <c r="BW30" s="78">
        <f t="shared" si="59"/>
        <v>60</v>
      </c>
      <c r="BX30" s="68">
        <f t="shared" si="28"/>
        <v>350</v>
      </c>
      <c r="BY30" s="80">
        <f t="shared" si="54"/>
        <v>124</v>
      </c>
      <c r="BZ30" s="59">
        <v>110</v>
      </c>
      <c r="CA30" s="81">
        <f t="shared" si="29"/>
        <v>13257.678020880703</v>
      </c>
      <c r="CB30" s="84"/>
      <c r="CC30" s="82">
        <f t="shared" si="30"/>
        <v>0</v>
      </c>
      <c r="CD30" s="67">
        <v>214248</v>
      </c>
      <c r="CE30" s="68">
        <f t="shared" si="31"/>
        <v>199</v>
      </c>
      <c r="CF30" s="78">
        <f t="shared" si="32"/>
        <v>1136.29</v>
      </c>
      <c r="CG30" s="61">
        <v>70</v>
      </c>
      <c r="CH30" s="85">
        <f t="shared" si="33"/>
        <v>7542.5</v>
      </c>
      <c r="CI30" s="61">
        <v>70</v>
      </c>
      <c r="CJ30" s="86">
        <f t="shared" si="34"/>
        <v>7542.5</v>
      </c>
      <c r="CK30" s="61">
        <v>65</v>
      </c>
      <c r="CL30" s="87">
        <f t="shared" si="35"/>
        <v>7003.75</v>
      </c>
      <c r="CM30" s="88">
        <f t="shared" si="36"/>
        <v>22088.75</v>
      </c>
      <c r="CN30" s="89">
        <f t="shared" si="37"/>
        <v>1077.5</v>
      </c>
      <c r="CO30" s="65"/>
      <c r="CP30" s="65">
        <v>36110</v>
      </c>
      <c r="CQ30" s="68">
        <f t="shared" si="38"/>
        <v>49</v>
      </c>
      <c r="CR30" s="78">
        <f t="shared" si="39"/>
        <v>119.56</v>
      </c>
      <c r="CS30" s="65">
        <v>34519</v>
      </c>
      <c r="CT30" s="68">
        <f t="shared" si="40"/>
        <v>6</v>
      </c>
      <c r="CU30" s="78">
        <f t="shared" si="41"/>
        <v>14.64</v>
      </c>
      <c r="CV30" s="65">
        <v>10741</v>
      </c>
      <c r="CW30" s="68">
        <f t="shared" si="57"/>
        <v>23</v>
      </c>
      <c r="CX30" s="78">
        <f t="shared" si="42"/>
        <v>56.12</v>
      </c>
      <c r="CY30" s="65">
        <v>834673</v>
      </c>
      <c r="CZ30" s="68">
        <f t="shared" si="43"/>
        <v>69</v>
      </c>
      <c r="DA30" s="78">
        <f t="shared" si="44"/>
        <v>168.35999999999999</v>
      </c>
      <c r="DB30" s="65">
        <v>6597</v>
      </c>
      <c r="DC30" s="68">
        <f t="shared" si="45"/>
        <v>10</v>
      </c>
      <c r="DD30" s="78">
        <f t="shared" si="46"/>
        <v>23.900000000000002</v>
      </c>
      <c r="DE30" s="65">
        <v>7941</v>
      </c>
      <c r="DF30" s="68">
        <f t="shared" si="69"/>
        <v>9</v>
      </c>
      <c r="DG30" s="68" t="str">
        <f t="shared" si="69"/>
        <v>0</v>
      </c>
      <c r="DH30" s="65">
        <v>4642</v>
      </c>
      <c r="DI30" s="68">
        <f t="shared" si="70"/>
        <v>6</v>
      </c>
      <c r="DJ30" s="68" t="str">
        <f t="shared" si="70"/>
        <v>0</v>
      </c>
      <c r="DK30" s="65">
        <v>1911</v>
      </c>
      <c r="DL30" s="68">
        <f t="shared" si="71"/>
        <v>1</v>
      </c>
      <c r="DM30" s="68">
        <f t="shared" si="71"/>
        <v>0</v>
      </c>
      <c r="DN30" s="65">
        <v>5309</v>
      </c>
      <c r="DO30" s="68">
        <f t="shared" si="72"/>
        <v>8</v>
      </c>
      <c r="DP30" s="68" t="str">
        <f t="shared" si="72"/>
        <v>0</v>
      </c>
      <c r="DQ30" s="65">
        <v>4866</v>
      </c>
      <c r="DR30" s="68">
        <f t="shared" si="73"/>
        <v>8</v>
      </c>
      <c r="DS30" s="68" t="str">
        <f t="shared" si="73"/>
        <v>0</v>
      </c>
      <c r="DT30" s="65">
        <v>5643</v>
      </c>
      <c r="DU30" s="68">
        <f t="shared" si="74"/>
        <v>9</v>
      </c>
      <c r="DV30" s="68" t="str">
        <f t="shared" si="74"/>
        <v>0</v>
      </c>
      <c r="DW30" s="65">
        <v>5598</v>
      </c>
      <c r="DX30" s="68">
        <f t="shared" si="49"/>
        <v>7</v>
      </c>
      <c r="DY30" s="78">
        <f t="shared" si="50"/>
        <v>16.73</v>
      </c>
      <c r="DZ30" s="83"/>
      <c r="EA30" s="78">
        <f t="shared" si="55"/>
        <v>0</v>
      </c>
      <c r="EB30" s="83"/>
      <c r="EC30" s="78">
        <f t="shared" si="75"/>
        <v>0</v>
      </c>
      <c r="ED30" s="92"/>
      <c r="EE30" s="78">
        <f t="shared" si="76"/>
        <v>0</v>
      </c>
      <c r="EF30" s="92"/>
      <c r="EG30" s="78">
        <f t="shared" si="52"/>
        <v>0</v>
      </c>
      <c r="EH30" s="92">
        <v>96</v>
      </c>
      <c r="EI30" s="93">
        <v>297</v>
      </c>
      <c r="EJ30" s="91">
        <v>0.72</v>
      </c>
      <c r="EK30" s="94"/>
      <c r="EL30" s="92"/>
      <c r="EM30" s="93"/>
      <c r="EN30" s="96">
        <v>12</v>
      </c>
      <c r="EO30" s="96">
        <v>13.1</v>
      </c>
      <c r="EP30" s="96">
        <v>11.7</v>
      </c>
    </row>
    <row r="31" spans="1:148" s="20" customFormat="1" ht="15.75" thickBot="1" x14ac:dyDescent="0.25">
      <c r="A31" s="58">
        <v>44497</v>
      </c>
      <c r="B31" s="65">
        <v>8312399</v>
      </c>
      <c r="C31" s="60">
        <f t="shared" si="1"/>
        <v>20335</v>
      </c>
      <c r="D31" s="65">
        <v>7479966</v>
      </c>
      <c r="E31" s="60">
        <f t="shared" si="2"/>
        <v>20349</v>
      </c>
      <c r="F31" s="111">
        <f t="shared" si="3"/>
        <v>1.0006884681583477</v>
      </c>
      <c r="G31" s="61">
        <v>1022</v>
      </c>
      <c r="H31" s="61">
        <v>552</v>
      </c>
      <c r="I31" s="62">
        <v>289262</v>
      </c>
      <c r="J31" s="63">
        <f t="shared" si="4"/>
        <v>0</v>
      </c>
      <c r="K31" s="64">
        <v>794</v>
      </c>
      <c r="L31" s="60">
        <v>0</v>
      </c>
      <c r="M31" s="65">
        <v>636988</v>
      </c>
      <c r="N31" s="60">
        <v>0</v>
      </c>
      <c r="O31" s="65">
        <v>1015</v>
      </c>
      <c r="P31" s="63">
        <f t="shared" si="7"/>
        <v>0</v>
      </c>
      <c r="Q31" s="65">
        <v>2600269</v>
      </c>
      <c r="R31" s="63">
        <f t="shared" si="7"/>
        <v>1254</v>
      </c>
      <c r="S31" s="65">
        <v>2209476</v>
      </c>
      <c r="T31" s="63">
        <f t="shared" si="63"/>
        <v>455</v>
      </c>
      <c r="U31" s="65">
        <v>130340</v>
      </c>
      <c r="V31" s="63">
        <f t="shared" si="64"/>
        <v>290</v>
      </c>
      <c r="W31" s="112"/>
      <c r="X31" s="113">
        <f>3/9</f>
        <v>0.33333333333333331</v>
      </c>
      <c r="Y31" s="67">
        <f t="shared" si="58"/>
        <v>133.33333333333331</v>
      </c>
      <c r="Z31" s="64">
        <v>4</v>
      </c>
      <c r="AA31" s="65">
        <v>154128</v>
      </c>
      <c r="AB31" s="60">
        <f t="shared" si="9"/>
        <v>0</v>
      </c>
      <c r="AC31" s="65">
        <v>42814</v>
      </c>
      <c r="AD31" s="68">
        <f t="shared" si="65"/>
        <v>41</v>
      </c>
      <c r="AE31" s="65">
        <v>1151</v>
      </c>
      <c r="AF31" s="69">
        <f t="shared" si="62"/>
        <v>0</v>
      </c>
      <c r="AG31" s="65">
        <v>4756</v>
      </c>
      <c r="AH31" s="70">
        <f t="shared" si="56"/>
        <v>0</v>
      </c>
      <c r="AI31" s="19"/>
      <c r="AJ31" s="19"/>
      <c r="AK31" s="65">
        <v>592960</v>
      </c>
      <c r="AL31" s="63">
        <f t="shared" si="11"/>
        <v>120</v>
      </c>
      <c r="AM31" s="77">
        <v>1327</v>
      </c>
      <c r="AN31" s="60">
        <f t="shared" si="12"/>
        <v>0</v>
      </c>
      <c r="AO31" s="65">
        <v>53264</v>
      </c>
      <c r="AP31" s="74">
        <f t="shared" si="77"/>
        <v>17</v>
      </c>
      <c r="AQ31" s="59">
        <v>8998</v>
      </c>
      <c r="AR31" s="60">
        <f t="shared" si="66"/>
        <v>1</v>
      </c>
      <c r="AS31" s="65">
        <v>10678</v>
      </c>
      <c r="AT31" s="60">
        <f t="shared" si="66"/>
        <v>2</v>
      </c>
      <c r="AU31" s="61">
        <v>15135</v>
      </c>
      <c r="AV31" s="60">
        <f t="shared" si="67"/>
        <v>15</v>
      </c>
      <c r="AW31" s="65">
        <v>19549</v>
      </c>
      <c r="AX31" s="63">
        <f t="shared" si="68"/>
        <v>7</v>
      </c>
      <c r="AY31" s="59">
        <v>20758</v>
      </c>
      <c r="AZ31" s="68">
        <f t="shared" si="15"/>
        <v>2</v>
      </c>
      <c r="BA31" s="65">
        <v>13963</v>
      </c>
      <c r="BB31" s="60">
        <f t="shared" si="16"/>
        <v>3</v>
      </c>
      <c r="BC31" s="59">
        <v>6309</v>
      </c>
      <c r="BD31" s="60">
        <f t="shared" si="17"/>
        <v>3</v>
      </c>
      <c r="BE31" s="65">
        <v>26853</v>
      </c>
      <c r="BF31" s="60">
        <f t="shared" si="18"/>
        <v>5</v>
      </c>
      <c r="BG31" s="61">
        <v>13648</v>
      </c>
      <c r="BH31" s="60">
        <f t="shared" si="19"/>
        <v>103</v>
      </c>
      <c r="BI31">
        <v>4515</v>
      </c>
      <c r="BJ31" s="60">
        <f t="shared" si="20"/>
        <v>8</v>
      </c>
      <c r="BK31" s="65">
        <v>3636</v>
      </c>
      <c r="BL31" s="60">
        <f t="shared" si="53"/>
        <v>0</v>
      </c>
      <c r="BM31" s="68">
        <f t="shared" si="21"/>
        <v>20</v>
      </c>
      <c r="BN31" s="68">
        <f t="shared" si="22"/>
        <v>100</v>
      </c>
      <c r="BO31" s="65">
        <v>612540</v>
      </c>
      <c r="BP31" s="68">
        <f t="shared" si="60"/>
        <v>140</v>
      </c>
      <c r="BQ31" s="79">
        <v>1148</v>
      </c>
      <c r="BR31" s="60">
        <f t="shared" si="24"/>
        <v>21</v>
      </c>
      <c r="BS31" s="65">
        <v>797780</v>
      </c>
      <c r="BT31" s="68">
        <f t="shared" si="25"/>
        <v>250</v>
      </c>
      <c r="BU31" s="79">
        <v>10924</v>
      </c>
      <c r="BV31" s="68">
        <f t="shared" si="26"/>
        <v>102</v>
      </c>
      <c r="BW31" s="78">
        <f>BT31-AL31</f>
        <v>130</v>
      </c>
      <c r="BX31" s="68">
        <f t="shared" si="28"/>
        <v>390</v>
      </c>
      <c r="BY31" s="80">
        <f t="shared" si="54"/>
        <v>153</v>
      </c>
      <c r="BZ31" s="59">
        <v>110</v>
      </c>
      <c r="CA31" s="81">
        <f t="shared" si="29"/>
        <v>13257.678020880703</v>
      </c>
      <c r="CB31" s="84"/>
      <c r="CC31" s="82">
        <f t="shared" si="30"/>
        <v>0</v>
      </c>
      <c r="CD31" s="65">
        <v>214439</v>
      </c>
      <c r="CE31" s="68">
        <f t="shared" si="31"/>
        <v>191</v>
      </c>
      <c r="CF31" s="78">
        <f t="shared" si="32"/>
        <v>1090.6099999999999</v>
      </c>
      <c r="CG31" s="61">
        <v>65</v>
      </c>
      <c r="CH31" s="85">
        <f t="shared" si="33"/>
        <v>7003.75</v>
      </c>
      <c r="CI31" s="61">
        <v>65</v>
      </c>
      <c r="CJ31" s="86">
        <f t="shared" si="34"/>
        <v>7003.75</v>
      </c>
      <c r="CK31" s="61">
        <v>60</v>
      </c>
      <c r="CL31" s="87">
        <f t="shared" si="35"/>
        <v>6465</v>
      </c>
      <c r="CM31" s="88">
        <f t="shared" si="36"/>
        <v>20472.5</v>
      </c>
      <c r="CN31" s="89">
        <f t="shared" si="37"/>
        <v>1616.25</v>
      </c>
      <c r="CO31" s="65"/>
      <c r="CP31" s="65">
        <v>36154</v>
      </c>
      <c r="CQ31" s="68">
        <f t="shared" si="38"/>
        <v>44</v>
      </c>
      <c r="CR31" s="78">
        <f t="shared" si="39"/>
        <v>107.36</v>
      </c>
      <c r="CS31" s="65">
        <v>34526</v>
      </c>
      <c r="CT31" s="68">
        <f t="shared" si="40"/>
        <v>7</v>
      </c>
      <c r="CU31" s="78">
        <f t="shared" si="41"/>
        <v>17.079999999999998</v>
      </c>
      <c r="CV31" s="65">
        <v>10764</v>
      </c>
      <c r="CW31" s="68">
        <f t="shared" si="57"/>
        <v>23</v>
      </c>
      <c r="CX31" s="78">
        <f t="shared" si="42"/>
        <v>56.12</v>
      </c>
      <c r="CY31" s="65">
        <v>834745</v>
      </c>
      <c r="CZ31" s="68">
        <f t="shared" si="43"/>
        <v>72</v>
      </c>
      <c r="DA31" s="78">
        <f t="shared" si="44"/>
        <v>175.68</v>
      </c>
      <c r="DB31" s="65">
        <v>6604</v>
      </c>
      <c r="DC31" s="68">
        <f t="shared" si="45"/>
        <v>7</v>
      </c>
      <c r="DD31" s="78">
        <f t="shared" si="46"/>
        <v>16.73</v>
      </c>
      <c r="DE31" s="65">
        <v>7952</v>
      </c>
      <c r="DF31" s="68">
        <f t="shared" si="69"/>
        <v>11</v>
      </c>
      <c r="DG31" s="68">
        <f t="shared" si="69"/>
        <v>2</v>
      </c>
      <c r="DH31" s="65">
        <v>4649</v>
      </c>
      <c r="DI31" s="68">
        <f t="shared" si="70"/>
        <v>7</v>
      </c>
      <c r="DJ31" s="68">
        <f t="shared" si="70"/>
        <v>1</v>
      </c>
      <c r="DK31" s="65">
        <v>1913</v>
      </c>
      <c r="DL31" s="68">
        <f t="shared" si="71"/>
        <v>2</v>
      </c>
      <c r="DM31" s="68">
        <f t="shared" si="71"/>
        <v>1</v>
      </c>
      <c r="DN31" s="65">
        <v>5320</v>
      </c>
      <c r="DO31" s="68">
        <f t="shared" si="72"/>
        <v>11</v>
      </c>
      <c r="DP31" s="68">
        <f t="shared" si="72"/>
        <v>3</v>
      </c>
      <c r="DQ31" s="65">
        <v>4877</v>
      </c>
      <c r="DR31" s="68">
        <f t="shared" si="73"/>
        <v>11</v>
      </c>
      <c r="DS31" s="68">
        <f t="shared" si="73"/>
        <v>3</v>
      </c>
      <c r="DT31" s="65">
        <v>5653</v>
      </c>
      <c r="DU31" s="68">
        <f t="shared" si="74"/>
        <v>10</v>
      </c>
      <c r="DV31" s="68">
        <f t="shared" si="74"/>
        <v>1</v>
      </c>
      <c r="DW31" s="65">
        <v>5604</v>
      </c>
      <c r="DX31" s="68">
        <f t="shared" si="49"/>
        <v>6</v>
      </c>
      <c r="DY31" s="78">
        <f t="shared" si="50"/>
        <v>14.34</v>
      </c>
      <c r="DZ31" s="83"/>
      <c r="EA31" s="78">
        <f t="shared" si="55"/>
        <v>0</v>
      </c>
      <c r="EB31" s="83"/>
      <c r="EC31" s="78">
        <f t="shared" si="75"/>
        <v>0</v>
      </c>
      <c r="ED31" s="92"/>
      <c r="EE31" s="78">
        <f t="shared" si="76"/>
        <v>0</v>
      </c>
      <c r="EF31" s="92"/>
      <c r="EG31" s="78">
        <f t="shared" si="52"/>
        <v>0</v>
      </c>
      <c r="EH31" s="92">
        <v>95</v>
      </c>
      <c r="EI31" s="93">
        <v>287</v>
      </c>
      <c r="EJ31" s="91">
        <v>0.71</v>
      </c>
      <c r="EK31" s="94"/>
      <c r="EL31" s="92"/>
      <c r="EM31" s="93"/>
      <c r="EN31" s="96">
        <v>12.3</v>
      </c>
      <c r="EO31" s="96">
        <v>13</v>
      </c>
      <c r="EP31" s="96">
        <v>12.5</v>
      </c>
    </row>
    <row r="32" spans="1:148" s="20" customFormat="1" ht="15.75" thickBot="1" x14ac:dyDescent="0.25">
      <c r="A32" s="58">
        <v>44498</v>
      </c>
      <c r="B32" s="65">
        <v>8332624</v>
      </c>
      <c r="C32" s="60">
        <f t="shared" si="1"/>
        <v>20225</v>
      </c>
      <c r="D32" s="65">
        <v>7499854</v>
      </c>
      <c r="E32" s="60">
        <f t="shared" si="2"/>
        <v>19888</v>
      </c>
      <c r="F32" s="111">
        <f t="shared" si="3"/>
        <v>0.98333745364647718</v>
      </c>
      <c r="G32" s="61">
        <v>1022</v>
      </c>
      <c r="H32" s="61">
        <v>552</v>
      </c>
      <c r="I32" s="62">
        <v>289262</v>
      </c>
      <c r="J32" s="63">
        <f t="shared" si="4"/>
        <v>0</v>
      </c>
      <c r="K32" s="64">
        <v>794</v>
      </c>
      <c r="L32" s="60">
        <v>0</v>
      </c>
      <c r="M32" s="65">
        <v>636988</v>
      </c>
      <c r="N32" s="60">
        <v>0</v>
      </c>
      <c r="O32" s="65">
        <v>1015</v>
      </c>
      <c r="P32" s="63">
        <f t="shared" si="7"/>
        <v>0</v>
      </c>
      <c r="Q32" s="65">
        <v>2601463</v>
      </c>
      <c r="R32" s="63">
        <f t="shared" si="7"/>
        <v>1194</v>
      </c>
      <c r="S32" s="65">
        <v>2209939</v>
      </c>
      <c r="T32" s="63">
        <f t="shared" ref="T32:V34" si="78">IF((S32-S31)&lt;0,"0",(S32-S31))</f>
        <v>463</v>
      </c>
      <c r="U32" s="65">
        <v>130458</v>
      </c>
      <c r="V32" s="63">
        <f t="shared" si="78"/>
        <v>118</v>
      </c>
      <c r="W32" s="112"/>
      <c r="X32" s="113">
        <v>0.67</v>
      </c>
      <c r="Y32" s="67">
        <f t="shared" si="58"/>
        <v>268</v>
      </c>
      <c r="Z32" s="64">
        <v>5</v>
      </c>
      <c r="AA32" s="65">
        <v>154128</v>
      </c>
      <c r="AB32" s="60">
        <f t="shared" si="9"/>
        <v>0</v>
      </c>
      <c r="AC32" s="65">
        <v>42858</v>
      </c>
      <c r="AD32" s="68">
        <f t="shared" si="65"/>
        <v>44</v>
      </c>
      <c r="AE32" s="65">
        <v>1151</v>
      </c>
      <c r="AF32" s="69">
        <f t="shared" si="62"/>
        <v>0</v>
      </c>
      <c r="AG32" s="65">
        <v>4764</v>
      </c>
      <c r="AH32" s="70">
        <f t="shared" si="56"/>
        <v>8</v>
      </c>
      <c r="AI32" s="19"/>
      <c r="AJ32" s="19"/>
      <c r="AK32" s="65">
        <v>593120</v>
      </c>
      <c r="AL32" s="63">
        <f t="shared" si="11"/>
        <v>160</v>
      </c>
      <c r="AM32" s="77">
        <v>1327</v>
      </c>
      <c r="AN32" s="60">
        <f t="shared" si="12"/>
        <v>0</v>
      </c>
      <c r="AO32" s="65">
        <v>53283</v>
      </c>
      <c r="AP32" s="74">
        <f t="shared" si="77"/>
        <v>19</v>
      </c>
      <c r="AQ32" s="59">
        <v>9000</v>
      </c>
      <c r="AR32" s="60">
        <f t="shared" si="66"/>
        <v>2</v>
      </c>
      <c r="AS32" s="65">
        <v>10680</v>
      </c>
      <c r="AT32" s="60">
        <f t="shared" si="66"/>
        <v>2</v>
      </c>
      <c r="AU32" s="61">
        <v>15150</v>
      </c>
      <c r="AV32" s="60">
        <f t="shared" si="67"/>
        <v>15</v>
      </c>
      <c r="AW32" s="65">
        <v>19556</v>
      </c>
      <c r="AX32" s="63">
        <f t="shared" si="68"/>
        <v>7</v>
      </c>
      <c r="AY32" s="59">
        <v>20760</v>
      </c>
      <c r="AZ32" s="68">
        <f t="shared" si="15"/>
        <v>2</v>
      </c>
      <c r="BA32" s="65">
        <v>13966</v>
      </c>
      <c r="BB32" s="60">
        <f t="shared" si="16"/>
        <v>3</v>
      </c>
      <c r="BC32" s="59">
        <v>6312</v>
      </c>
      <c r="BD32" s="60">
        <f t="shared" si="17"/>
        <v>3</v>
      </c>
      <c r="BE32" s="65">
        <v>26857</v>
      </c>
      <c r="BF32" s="60">
        <f t="shared" si="18"/>
        <v>4</v>
      </c>
      <c r="BG32" s="61">
        <v>13743</v>
      </c>
      <c r="BH32" s="60">
        <f>(BG32-BG31)</f>
        <v>95</v>
      </c>
      <c r="BI32">
        <v>4519</v>
      </c>
      <c r="BJ32" s="60">
        <f t="shared" si="20"/>
        <v>4</v>
      </c>
      <c r="BK32" s="65">
        <v>3636</v>
      </c>
      <c r="BL32" s="60">
        <f t="shared" si="53"/>
        <v>0</v>
      </c>
      <c r="BM32" s="68">
        <f t="shared" si="21"/>
        <v>20</v>
      </c>
      <c r="BN32" s="68">
        <f t="shared" si="22"/>
        <v>140</v>
      </c>
      <c r="BO32" s="65">
        <v>612680</v>
      </c>
      <c r="BP32" s="68">
        <f t="shared" si="60"/>
        <v>140</v>
      </c>
      <c r="BQ32" s="79">
        <v>1187</v>
      </c>
      <c r="BR32" s="60">
        <f t="shared" si="24"/>
        <v>39</v>
      </c>
      <c r="BS32" s="65">
        <v>798050</v>
      </c>
      <c r="BT32" s="68">
        <f t="shared" si="25"/>
        <v>270</v>
      </c>
      <c r="BU32" s="79">
        <v>11041</v>
      </c>
      <c r="BV32" s="68">
        <f t="shared" si="26"/>
        <v>117</v>
      </c>
      <c r="BW32" s="78">
        <f t="shared" si="59"/>
        <v>110</v>
      </c>
      <c r="BX32" s="68">
        <f t="shared" si="28"/>
        <v>410</v>
      </c>
      <c r="BY32" s="80">
        <f t="shared" si="54"/>
        <v>148</v>
      </c>
      <c r="BZ32" s="59">
        <v>110</v>
      </c>
      <c r="CA32" s="81">
        <f t="shared" si="29"/>
        <v>13257.678020880703</v>
      </c>
      <c r="CB32" s="84"/>
      <c r="CC32" s="82">
        <f t="shared" si="30"/>
        <v>0</v>
      </c>
      <c r="CD32" s="61">
        <v>214641</v>
      </c>
      <c r="CE32" s="68">
        <f t="shared" si="31"/>
        <v>202</v>
      </c>
      <c r="CF32" s="78">
        <f t="shared" si="32"/>
        <v>1153.42</v>
      </c>
      <c r="CG32" s="61">
        <v>60</v>
      </c>
      <c r="CH32" s="85">
        <f t="shared" si="33"/>
        <v>6465</v>
      </c>
      <c r="CI32" s="61">
        <v>65</v>
      </c>
      <c r="CJ32" s="86">
        <f t="shared" si="34"/>
        <v>7003.75</v>
      </c>
      <c r="CK32" s="61">
        <v>55</v>
      </c>
      <c r="CL32" s="87">
        <f t="shared" si="35"/>
        <v>5926.25</v>
      </c>
      <c r="CM32" s="88">
        <f t="shared" si="36"/>
        <v>19395</v>
      </c>
      <c r="CN32" s="89">
        <f t="shared" si="37"/>
        <v>1077.5</v>
      </c>
      <c r="CO32" s="65">
        <v>9793</v>
      </c>
      <c r="CP32" s="65">
        <v>36200</v>
      </c>
      <c r="CQ32" s="68">
        <f t="shared" si="38"/>
        <v>46</v>
      </c>
      <c r="CR32" s="78">
        <f t="shared" si="39"/>
        <v>112.24</v>
      </c>
      <c r="CS32" s="65">
        <v>34533</v>
      </c>
      <c r="CT32" s="68">
        <f t="shared" si="40"/>
        <v>7</v>
      </c>
      <c r="CU32" s="78">
        <f t="shared" si="41"/>
        <v>17.079999999999998</v>
      </c>
      <c r="CV32" s="65">
        <v>10783</v>
      </c>
      <c r="CW32" s="68">
        <f t="shared" si="57"/>
        <v>19</v>
      </c>
      <c r="CX32" s="78">
        <f t="shared" si="42"/>
        <v>46.36</v>
      </c>
      <c r="CY32" s="65">
        <v>834816</v>
      </c>
      <c r="CZ32" s="68">
        <f>IF((CY32-CY31)&lt;0,"0",(CY32-CY31))</f>
        <v>71</v>
      </c>
      <c r="DA32" s="78">
        <f t="shared" si="44"/>
        <v>173.24</v>
      </c>
      <c r="DB32" s="65">
        <v>6614</v>
      </c>
      <c r="DC32" s="68">
        <f t="shared" si="45"/>
        <v>10</v>
      </c>
      <c r="DD32" s="78">
        <f t="shared" si="46"/>
        <v>23.900000000000002</v>
      </c>
      <c r="DE32" s="65">
        <v>7963</v>
      </c>
      <c r="DF32" s="68">
        <f t="shared" si="69"/>
        <v>11</v>
      </c>
      <c r="DG32" s="68">
        <f t="shared" si="69"/>
        <v>0</v>
      </c>
      <c r="DH32" s="65">
        <v>4657</v>
      </c>
      <c r="DI32" s="68">
        <f t="shared" si="70"/>
        <v>8</v>
      </c>
      <c r="DJ32" s="68">
        <v>1</v>
      </c>
      <c r="DK32" s="65">
        <v>1914</v>
      </c>
      <c r="DL32" s="68">
        <f t="shared" si="71"/>
        <v>1</v>
      </c>
      <c r="DM32" s="68" t="str">
        <f t="shared" si="71"/>
        <v>0</v>
      </c>
      <c r="DN32" s="65">
        <v>5329</v>
      </c>
      <c r="DO32" s="68">
        <f t="shared" si="72"/>
        <v>9</v>
      </c>
      <c r="DP32" s="68" t="str">
        <f t="shared" si="72"/>
        <v>0</v>
      </c>
      <c r="DQ32" s="65">
        <v>4888</v>
      </c>
      <c r="DR32" s="68">
        <f t="shared" si="73"/>
        <v>11</v>
      </c>
      <c r="DS32" s="68">
        <v>0</v>
      </c>
      <c r="DT32" s="65">
        <v>5662</v>
      </c>
      <c r="DU32" s="68">
        <f t="shared" si="74"/>
        <v>9</v>
      </c>
      <c r="DV32" s="68" t="str">
        <f t="shared" si="74"/>
        <v>0</v>
      </c>
      <c r="DW32" s="65">
        <v>5610</v>
      </c>
      <c r="DX32" s="68">
        <f t="shared" si="49"/>
        <v>6</v>
      </c>
      <c r="DY32" s="78">
        <f t="shared" si="50"/>
        <v>14.34</v>
      </c>
      <c r="DZ32" s="83"/>
      <c r="EA32" s="78">
        <v>0</v>
      </c>
      <c r="EB32" s="83"/>
      <c r="EC32" s="78">
        <v>0</v>
      </c>
      <c r="ED32" s="92"/>
      <c r="EE32" s="78">
        <v>0</v>
      </c>
      <c r="EF32" s="92"/>
      <c r="EG32" s="78">
        <v>0</v>
      </c>
      <c r="EH32" s="92"/>
      <c r="EI32" s="93"/>
      <c r="EJ32" s="91"/>
      <c r="EK32" s="94"/>
      <c r="EL32" s="92"/>
      <c r="EM32" s="93"/>
      <c r="EN32" s="96"/>
      <c r="EO32" s="96"/>
      <c r="EP32" s="96"/>
    </row>
    <row r="33" spans="1:146" s="20" customFormat="1" ht="15.75" thickBot="1" x14ac:dyDescent="0.25">
      <c r="A33" s="58">
        <v>44499</v>
      </c>
      <c r="B33" s="65">
        <v>8351894</v>
      </c>
      <c r="C33" s="60">
        <f t="shared" si="1"/>
        <v>19270</v>
      </c>
      <c r="D33" s="65">
        <v>7518878</v>
      </c>
      <c r="E33" s="60">
        <f t="shared" si="2"/>
        <v>19024</v>
      </c>
      <c r="F33" s="111">
        <f t="shared" si="3"/>
        <v>0.98723404255319147</v>
      </c>
      <c r="G33" s="61">
        <v>1022</v>
      </c>
      <c r="H33" s="61">
        <v>552</v>
      </c>
      <c r="I33" s="62">
        <v>289262</v>
      </c>
      <c r="J33" s="63">
        <f t="shared" si="4"/>
        <v>0</v>
      </c>
      <c r="K33" s="64">
        <v>794</v>
      </c>
      <c r="L33" s="60">
        <v>0</v>
      </c>
      <c r="M33" s="65">
        <v>636988</v>
      </c>
      <c r="N33" s="60">
        <v>0</v>
      </c>
      <c r="O33" s="65">
        <v>1015</v>
      </c>
      <c r="P33" s="63">
        <f t="shared" si="7"/>
        <v>0</v>
      </c>
      <c r="Q33" s="65">
        <v>2602555</v>
      </c>
      <c r="R33" s="63">
        <f t="shared" si="7"/>
        <v>1092</v>
      </c>
      <c r="S33" s="65">
        <v>2210408</v>
      </c>
      <c r="T33" s="63">
        <f t="shared" si="78"/>
        <v>469</v>
      </c>
      <c r="U33" s="65">
        <v>130556</v>
      </c>
      <c r="V33" s="63">
        <f t="shared" si="78"/>
        <v>98</v>
      </c>
      <c r="W33" s="112"/>
      <c r="X33" s="113">
        <f>3/9</f>
        <v>0.33333333333333331</v>
      </c>
      <c r="Y33" s="67">
        <f t="shared" si="58"/>
        <v>133.33333333333331</v>
      </c>
      <c r="Z33" s="64">
        <v>12</v>
      </c>
      <c r="AA33" s="65">
        <v>154128</v>
      </c>
      <c r="AB33" s="60">
        <f t="shared" si="9"/>
        <v>0</v>
      </c>
      <c r="AC33" s="65">
        <v>42911</v>
      </c>
      <c r="AD33" s="68">
        <f t="shared" si="65"/>
        <v>53</v>
      </c>
      <c r="AE33" s="65">
        <v>1153</v>
      </c>
      <c r="AF33" s="69">
        <f t="shared" si="62"/>
        <v>2</v>
      </c>
      <c r="AG33" s="65">
        <v>4764</v>
      </c>
      <c r="AH33" s="70">
        <f t="shared" si="56"/>
        <v>0</v>
      </c>
      <c r="AI33" s="19"/>
      <c r="AJ33" s="19"/>
      <c r="AK33" s="65">
        <v>593290</v>
      </c>
      <c r="AL33" s="63">
        <f t="shared" si="11"/>
        <v>170</v>
      </c>
      <c r="AM33" s="77">
        <v>1327</v>
      </c>
      <c r="AN33" s="60">
        <f t="shared" si="12"/>
        <v>0</v>
      </c>
      <c r="AO33" s="65">
        <v>53304</v>
      </c>
      <c r="AP33" s="74">
        <f t="shared" si="77"/>
        <v>21</v>
      </c>
      <c r="AQ33" s="59">
        <v>9002</v>
      </c>
      <c r="AR33" s="60">
        <f t="shared" si="66"/>
        <v>2</v>
      </c>
      <c r="AS33" s="65">
        <v>10681</v>
      </c>
      <c r="AT33" s="60">
        <f t="shared" si="66"/>
        <v>1</v>
      </c>
      <c r="AU33" s="61">
        <v>15169</v>
      </c>
      <c r="AV33" s="60">
        <f t="shared" si="67"/>
        <v>19</v>
      </c>
      <c r="AW33" s="65">
        <v>19562</v>
      </c>
      <c r="AX33" s="63">
        <f t="shared" si="68"/>
        <v>6</v>
      </c>
      <c r="AY33" s="59">
        <v>20761</v>
      </c>
      <c r="AZ33" s="68">
        <f t="shared" si="15"/>
        <v>1</v>
      </c>
      <c r="BA33" s="65">
        <v>13970</v>
      </c>
      <c r="BB33" s="60">
        <f t="shared" si="16"/>
        <v>4</v>
      </c>
      <c r="BC33" s="59">
        <v>6314</v>
      </c>
      <c r="BD33" s="60">
        <f t="shared" si="17"/>
        <v>2</v>
      </c>
      <c r="BE33" s="65">
        <v>26861</v>
      </c>
      <c r="BF33" s="60">
        <f t="shared" si="18"/>
        <v>4</v>
      </c>
      <c r="BG33" s="61">
        <v>13834</v>
      </c>
      <c r="BH33" s="60">
        <f t="shared" si="19"/>
        <v>91</v>
      </c>
      <c r="BI33">
        <v>4524</v>
      </c>
      <c r="BJ33" s="60">
        <f t="shared" si="20"/>
        <v>5</v>
      </c>
      <c r="BK33" s="65">
        <v>3636</v>
      </c>
      <c r="BL33" s="60">
        <f t="shared" si="53"/>
        <v>0</v>
      </c>
      <c r="BM33" s="68">
        <f t="shared" si="21"/>
        <v>24</v>
      </c>
      <c r="BN33" s="68">
        <f t="shared" si="22"/>
        <v>146</v>
      </c>
      <c r="BO33" s="65">
        <v>612850</v>
      </c>
      <c r="BP33" s="68">
        <f t="shared" si="60"/>
        <v>170</v>
      </c>
      <c r="BQ33" s="79">
        <v>1187</v>
      </c>
      <c r="BR33" s="60">
        <f t="shared" si="24"/>
        <v>0</v>
      </c>
      <c r="BS33" s="65">
        <v>798400</v>
      </c>
      <c r="BT33" s="68">
        <f t="shared" si="25"/>
        <v>350</v>
      </c>
      <c r="BU33" s="79">
        <v>11158</v>
      </c>
      <c r="BV33" s="68">
        <f t="shared" si="26"/>
        <v>117</v>
      </c>
      <c r="BW33" s="78">
        <f t="shared" si="59"/>
        <v>180</v>
      </c>
      <c r="BX33" s="68">
        <f t="shared" si="28"/>
        <v>520</v>
      </c>
      <c r="BY33" s="80">
        <f t="shared" si="54"/>
        <v>147</v>
      </c>
      <c r="BZ33" s="59">
        <v>110</v>
      </c>
      <c r="CA33" s="81">
        <f t="shared" si="29"/>
        <v>13257.678020880703</v>
      </c>
      <c r="CB33" s="84"/>
      <c r="CC33" s="82">
        <f t="shared" si="30"/>
        <v>0</v>
      </c>
      <c r="CD33" s="61">
        <v>214858</v>
      </c>
      <c r="CE33" s="68">
        <f t="shared" si="31"/>
        <v>217</v>
      </c>
      <c r="CF33" s="78">
        <f t="shared" si="32"/>
        <v>1239.07</v>
      </c>
      <c r="CG33" s="61">
        <v>84</v>
      </c>
      <c r="CH33" s="85">
        <f t="shared" si="33"/>
        <v>9051</v>
      </c>
      <c r="CI33" s="61">
        <v>84</v>
      </c>
      <c r="CJ33" s="86">
        <f t="shared" si="34"/>
        <v>9051</v>
      </c>
      <c r="CK33" s="61">
        <v>83</v>
      </c>
      <c r="CL33" s="87">
        <f t="shared" si="35"/>
        <v>8943.25</v>
      </c>
      <c r="CM33" s="88">
        <f t="shared" si="36"/>
        <v>27045.25</v>
      </c>
      <c r="CN33" s="89">
        <f t="shared" si="37"/>
        <v>2142.75</v>
      </c>
      <c r="CO33" s="65"/>
      <c r="CP33" s="65">
        <v>36250</v>
      </c>
      <c r="CQ33" s="68">
        <f t="shared" si="38"/>
        <v>50</v>
      </c>
      <c r="CR33" s="78">
        <f t="shared" si="39"/>
        <v>122</v>
      </c>
      <c r="CS33" s="65">
        <v>34541</v>
      </c>
      <c r="CT33" s="68">
        <f t="shared" si="40"/>
        <v>8</v>
      </c>
      <c r="CU33" s="78">
        <f t="shared" si="41"/>
        <v>19.52</v>
      </c>
      <c r="CV33" s="65">
        <v>10805</v>
      </c>
      <c r="CW33" s="68">
        <f t="shared" si="57"/>
        <v>22</v>
      </c>
      <c r="CX33" s="78">
        <f t="shared" si="42"/>
        <v>53.68</v>
      </c>
      <c r="CY33" s="65">
        <v>834807</v>
      </c>
      <c r="CZ33" s="68" t="str">
        <f t="shared" ref="CZ33:CZ34" si="79">IF((CY33-CY32)&lt;0,"0",(CY33-CY32))</f>
        <v>0</v>
      </c>
      <c r="DA33" s="78">
        <f t="shared" si="44"/>
        <v>0</v>
      </c>
      <c r="DB33" s="65">
        <v>6623</v>
      </c>
      <c r="DC33" s="68">
        <f t="shared" si="45"/>
        <v>9</v>
      </c>
      <c r="DD33" s="78">
        <f t="shared" si="46"/>
        <v>21.51</v>
      </c>
      <c r="DE33" s="65">
        <v>7973</v>
      </c>
      <c r="DF33" s="68">
        <f t="shared" si="69"/>
        <v>10</v>
      </c>
      <c r="DG33" s="68" t="str">
        <f t="shared" si="69"/>
        <v>0</v>
      </c>
      <c r="DH33" s="65">
        <v>4664</v>
      </c>
      <c r="DI33" s="68">
        <f t="shared" si="70"/>
        <v>7</v>
      </c>
      <c r="DJ33" s="68">
        <v>1</v>
      </c>
      <c r="DK33" s="65">
        <v>1915</v>
      </c>
      <c r="DL33" s="68">
        <f t="shared" si="71"/>
        <v>1</v>
      </c>
      <c r="DM33" s="68">
        <v>0</v>
      </c>
      <c r="DN33" s="65">
        <v>5339</v>
      </c>
      <c r="DO33" s="68">
        <f t="shared" si="72"/>
        <v>10</v>
      </c>
      <c r="DP33" s="68">
        <v>0</v>
      </c>
      <c r="DQ33" s="65">
        <v>4898</v>
      </c>
      <c r="DR33" s="68">
        <f t="shared" si="73"/>
        <v>10</v>
      </c>
      <c r="DS33" s="68">
        <v>0</v>
      </c>
      <c r="DT33" s="65">
        <v>5672</v>
      </c>
      <c r="DU33" s="68">
        <f t="shared" si="74"/>
        <v>10</v>
      </c>
      <c r="DV33" s="68">
        <f t="shared" si="74"/>
        <v>1</v>
      </c>
      <c r="DW33" s="65">
        <v>5617</v>
      </c>
      <c r="DX33" s="68">
        <f t="shared" si="49"/>
        <v>7</v>
      </c>
      <c r="DY33" s="78">
        <f t="shared" si="50"/>
        <v>16.73</v>
      </c>
      <c r="DZ33" s="83"/>
      <c r="EA33" s="78">
        <v>0</v>
      </c>
      <c r="EB33" s="83"/>
      <c r="EC33" s="78">
        <v>0</v>
      </c>
      <c r="ED33" s="92"/>
      <c r="EE33" s="78">
        <v>0</v>
      </c>
      <c r="EF33" s="92"/>
      <c r="EG33" s="78">
        <v>0</v>
      </c>
      <c r="EH33" s="92"/>
      <c r="EI33" s="93"/>
      <c r="EJ33" s="91"/>
      <c r="EK33" s="94"/>
      <c r="EL33" s="92"/>
      <c r="EM33" s="93"/>
      <c r="EN33" s="96"/>
      <c r="EO33" s="96"/>
      <c r="EP33" s="96"/>
    </row>
    <row r="34" spans="1:146" s="20" customFormat="1" ht="15.75" thickBot="1" x14ac:dyDescent="0.25">
      <c r="A34" s="58">
        <v>44500</v>
      </c>
      <c r="B34" s="59">
        <v>8370481</v>
      </c>
      <c r="C34" s="60">
        <f t="shared" si="1"/>
        <v>18587</v>
      </c>
      <c r="D34" s="59">
        <v>7537272</v>
      </c>
      <c r="E34" s="60">
        <f t="shared" si="2"/>
        <v>18394</v>
      </c>
      <c r="F34" s="111">
        <f t="shared" si="3"/>
        <v>0.98961639855813199</v>
      </c>
      <c r="G34" s="61">
        <v>1022</v>
      </c>
      <c r="H34" s="61">
        <v>552</v>
      </c>
      <c r="I34" s="116">
        <v>289262</v>
      </c>
      <c r="J34" s="63">
        <f t="shared" si="4"/>
        <v>0</v>
      </c>
      <c r="K34" s="64">
        <v>794</v>
      </c>
      <c r="L34" s="60">
        <v>0</v>
      </c>
      <c r="M34" s="65">
        <v>636988</v>
      </c>
      <c r="N34" s="60">
        <v>0</v>
      </c>
      <c r="O34" s="65">
        <v>1015</v>
      </c>
      <c r="P34" s="63">
        <f t="shared" si="7"/>
        <v>0</v>
      </c>
      <c r="Q34" s="59">
        <v>2603482</v>
      </c>
      <c r="R34" s="63">
        <f t="shared" si="7"/>
        <v>927</v>
      </c>
      <c r="S34" s="59">
        <v>2210856</v>
      </c>
      <c r="T34" s="63">
        <f t="shared" si="78"/>
        <v>448</v>
      </c>
      <c r="U34" s="59">
        <v>130940</v>
      </c>
      <c r="V34" s="63">
        <f t="shared" si="78"/>
        <v>384</v>
      </c>
      <c r="W34" s="131"/>
      <c r="X34" s="113">
        <f>5/9</f>
        <v>0.55555555555555558</v>
      </c>
      <c r="Y34" s="67">
        <f t="shared" si="58"/>
        <v>222.22222222222223</v>
      </c>
      <c r="Z34" s="132">
        <v>5</v>
      </c>
      <c r="AA34" s="65">
        <v>158001</v>
      </c>
      <c r="AB34" s="60">
        <f t="shared" si="9"/>
        <v>3873</v>
      </c>
      <c r="AC34" s="59">
        <v>42958</v>
      </c>
      <c r="AD34" s="68">
        <f t="shared" si="65"/>
        <v>47</v>
      </c>
      <c r="AE34" s="65">
        <v>1153</v>
      </c>
      <c r="AF34" s="69">
        <f t="shared" si="62"/>
        <v>0</v>
      </c>
      <c r="AG34" s="65">
        <v>4764</v>
      </c>
      <c r="AH34" s="70">
        <f t="shared" si="56"/>
        <v>0</v>
      </c>
      <c r="AK34" s="59">
        <v>593450</v>
      </c>
      <c r="AL34" s="63">
        <f t="shared" si="11"/>
        <v>160</v>
      </c>
      <c r="AM34" s="114">
        <v>1332</v>
      </c>
      <c r="AN34" s="60">
        <f t="shared" si="12"/>
        <v>5</v>
      </c>
      <c r="AO34" s="59">
        <v>53323</v>
      </c>
      <c r="AP34" s="74">
        <f t="shared" si="77"/>
        <v>19</v>
      </c>
      <c r="AQ34" s="59">
        <v>9004</v>
      </c>
      <c r="AR34" s="60">
        <f t="shared" si="66"/>
        <v>2</v>
      </c>
      <c r="AS34" s="65">
        <v>10683</v>
      </c>
      <c r="AT34" s="60">
        <f t="shared" si="66"/>
        <v>2</v>
      </c>
      <c r="AU34" s="116">
        <v>15180</v>
      </c>
      <c r="AV34" s="60">
        <f t="shared" si="67"/>
        <v>11</v>
      </c>
      <c r="AW34" s="65">
        <v>19562</v>
      </c>
      <c r="AX34" s="63">
        <f t="shared" si="68"/>
        <v>0</v>
      </c>
      <c r="AY34" s="59">
        <v>20763</v>
      </c>
      <c r="AZ34" s="68">
        <f t="shared" si="15"/>
        <v>2</v>
      </c>
      <c r="BA34" s="59">
        <v>13973</v>
      </c>
      <c r="BB34" s="60">
        <f t="shared" si="16"/>
        <v>3</v>
      </c>
      <c r="BC34" s="59">
        <v>6317</v>
      </c>
      <c r="BD34" s="60">
        <f t="shared" si="17"/>
        <v>3</v>
      </c>
      <c r="BE34" s="59">
        <v>26863</v>
      </c>
      <c r="BF34" s="60">
        <f t="shared" si="18"/>
        <v>2</v>
      </c>
      <c r="BG34" s="116">
        <v>13927</v>
      </c>
      <c r="BH34" s="60">
        <f t="shared" si="19"/>
        <v>93</v>
      </c>
      <c r="BI34">
        <v>4529</v>
      </c>
      <c r="BJ34" s="60">
        <f t="shared" si="20"/>
        <v>5</v>
      </c>
      <c r="BK34" s="65">
        <v>3636</v>
      </c>
      <c r="BL34" s="60">
        <f t="shared" si="53"/>
        <v>0</v>
      </c>
      <c r="BM34" s="68">
        <f t="shared" si="21"/>
        <v>16</v>
      </c>
      <c r="BN34" s="68">
        <f t="shared" si="22"/>
        <v>144</v>
      </c>
      <c r="BO34" s="59">
        <v>612970</v>
      </c>
      <c r="BP34" s="68">
        <f t="shared" si="60"/>
        <v>120</v>
      </c>
      <c r="BQ34" s="133">
        <v>1195</v>
      </c>
      <c r="BR34" s="60">
        <f t="shared" si="24"/>
        <v>8</v>
      </c>
      <c r="BS34" s="59">
        <v>798740</v>
      </c>
      <c r="BT34" s="68">
        <f t="shared" si="25"/>
        <v>340</v>
      </c>
      <c r="BU34" s="134">
        <v>11275</v>
      </c>
      <c r="BV34" s="68">
        <f t="shared" si="26"/>
        <v>117</v>
      </c>
      <c r="BW34" s="78">
        <f t="shared" si="59"/>
        <v>180</v>
      </c>
      <c r="BX34" s="68">
        <f t="shared" si="28"/>
        <v>460</v>
      </c>
      <c r="BY34" s="80">
        <f t="shared" si="54"/>
        <v>135</v>
      </c>
      <c r="BZ34" s="59">
        <v>110</v>
      </c>
      <c r="CA34" s="81">
        <f t="shared" si="29"/>
        <v>13257.678020880703</v>
      </c>
      <c r="CB34" s="115"/>
      <c r="CC34" s="70"/>
      <c r="CD34" s="116">
        <v>215042</v>
      </c>
      <c r="CE34" s="68">
        <f t="shared" si="31"/>
        <v>184</v>
      </c>
      <c r="CF34" s="78">
        <f t="shared" si="32"/>
        <v>1050.6400000000001</v>
      </c>
      <c r="CG34" s="116">
        <v>81</v>
      </c>
      <c r="CH34" s="85">
        <f t="shared" si="33"/>
        <v>8727.75</v>
      </c>
      <c r="CI34" s="116">
        <v>82</v>
      </c>
      <c r="CJ34" s="86">
        <f t="shared" si="34"/>
        <v>8835.5</v>
      </c>
      <c r="CK34" s="116">
        <v>80</v>
      </c>
      <c r="CL34" s="87">
        <f t="shared" si="35"/>
        <v>8620</v>
      </c>
      <c r="CM34" s="88">
        <f t="shared" si="36"/>
        <v>26183.25</v>
      </c>
      <c r="CN34" s="89">
        <f t="shared" si="37"/>
        <v>862</v>
      </c>
      <c r="CO34" s="117"/>
      <c r="CP34" s="59">
        <v>36291</v>
      </c>
      <c r="CQ34" s="68">
        <f t="shared" si="38"/>
        <v>41</v>
      </c>
      <c r="CR34" s="78">
        <f t="shared" si="39"/>
        <v>100.03999999999999</v>
      </c>
      <c r="CS34" s="59">
        <v>34550</v>
      </c>
      <c r="CT34" s="68">
        <f t="shared" si="40"/>
        <v>9</v>
      </c>
      <c r="CU34" s="78">
        <f t="shared" si="41"/>
        <v>21.96</v>
      </c>
      <c r="CV34" s="117">
        <v>10828</v>
      </c>
      <c r="CW34" s="68">
        <f t="shared" si="57"/>
        <v>23</v>
      </c>
      <c r="CX34" s="78">
        <f t="shared" si="42"/>
        <v>56.12</v>
      </c>
      <c r="CY34" s="59">
        <v>834864</v>
      </c>
      <c r="CZ34" s="68">
        <f t="shared" si="79"/>
        <v>57</v>
      </c>
      <c r="DA34" s="78">
        <f t="shared" si="44"/>
        <v>139.07999999999998</v>
      </c>
      <c r="DB34" s="59">
        <v>6631</v>
      </c>
      <c r="DC34" s="68">
        <f t="shared" si="45"/>
        <v>8</v>
      </c>
      <c r="DD34" s="78">
        <f t="shared" si="46"/>
        <v>19.12</v>
      </c>
      <c r="DE34" s="59">
        <v>7984</v>
      </c>
      <c r="DF34" s="68">
        <f t="shared" si="69"/>
        <v>11</v>
      </c>
      <c r="DG34" s="68">
        <f t="shared" si="69"/>
        <v>1</v>
      </c>
      <c r="DH34" s="59">
        <v>4671</v>
      </c>
      <c r="DI34" s="68">
        <f t="shared" si="70"/>
        <v>7</v>
      </c>
      <c r="DJ34" s="68">
        <v>2</v>
      </c>
      <c r="DK34" s="59">
        <v>1917</v>
      </c>
      <c r="DL34" s="68">
        <f t="shared" si="71"/>
        <v>2</v>
      </c>
      <c r="DM34" s="68">
        <v>1</v>
      </c>
      <c r="DN34" s="59">
        <v>5348</v>
      </c>
      <c r="DO34" s="68">
        <f t="shared" si="72"/>
        <v>9</v>
      </c>
      <c r="DP34" s="68">
        <v>1</v>
      </c>
      <c r="DQ34" s="59">
        <v>4909</v>
      </c>
      <c r="DR34" s="68">
        <f t="shared" si="73"/>
        <v>11</v>
      </c>
      <c r="DS34" s="68">
        <v>1</v>
      </c>
      <c r="DT34" s="59">
        <v>5681</v>
      </c>
      <c r="DU34" s="68">
        <f t="shared" si="74"/>
        <v>9</v>
      </c>
      <c r="DV34" s="68" t="str">
        <f t="shared" si="74"/>
        <v>0</v>
      </c>
      <c r="DW34" s="59">
        <v>5624</v>
      </c>
      <c r="DX34" s="68">
        <f t="shared" si="49"/>
        <v>7</v>
      </c>
      <c r="DY34" s="78">
        <f t="shared" si="50"/>
        <v>16.73</v>
      </c>
      <c r="DZ34" s="115"/>
      <c r="EA34" s="118"/>
      <c r="EB34" s="115"/>
      <c r="EC34" s="118"/>
      <c r="ED34" s="59"/>
      <c r="EE34" s="118"/>
      <c r="EF34" s="59"/>
      <c r="EG34" s="118"/>
      <c r="EH34" s="59"/>
      <c r="EI34" s="59"/>
      <c r="EJ34" s="135"/>
      <c r="EK34" s="59"/>
      <c r="EL34" s="59"/>
      <c r="EM34" s="59"/>
    </row>
    <row r="35" spans="1:146" ht="15" x14ac:dyDescent="0.25">
      <c r="S35" s="14"/>
      <c r="T35" s="13"/>
      <c r="BW35" s="14"/>
      <c r="BX35" s="14"/>
      <c r="BY35" s="14"/>
      <c r="BZ35" s="14"/>
      <c r="DW35" s="14"/>
      <c r="DX35" s="14"/>
      <c r="DY35" s="14"/>
      <c r="DZ35" s="14"/>
      <c r="EM35"/>
    </row>
    <row r="36" spans="1:146" x14ac:dyDescent="0.2">
      <c r="A36" s="21"/>
      <c r="D36" s="8"/>
    </row>
    <row r="37" spans="1:146" x14ac:dyDescent="0.2">
      <c r="A37" s="21"/>
      <c r="D37" s="8"/>
    </row>
    <row r="38" spans="1:146" x14ac:dyDescent="0.2">
      <c r="A38" s="21"/>
      <c r="D38" s="8"/>
    </row>
    <row r="39" spans="1:146" x14ac:dyDescent="0.2">
      <c r="A39" s="21"/>
      <c r="D39" s="8"/>
    </row>
    <row r="40" spans="1:146" x14ac:dyDescent="0.2">
      <c r="A40" s="21"/>
      <c r="D40" s="8"/>
    </row>
    <row r="41" spans="1:146" x14ac:dyDescent="0.2">
      <c r="A41" s="21"/>
      <c r="D41" s="8"/>
    </row>
    <row r="42" spans="1:146" x14ac:dyDescent="0.2">
      <c r="A42" s="21"/>
      <c r="D42" s="8"/>
    </row>
    <row r="43" spans="1:146" x14ac:dyDescent="0.2">
      <c r="A43" s="21"/>
      <c r="D43" s="8"/>
    </row>
    <row r="44" spans="1:146" ht="39.75" customHeight="1" x14ac:dyDescent="0.2">
      <c r="A44" s="21"/>
      <c r="D44" s="8"/>
    </row>
    <row r="45" spans="1:146" x14ac:dyDescent="0.2">
      <c r="A45" s="21"/>
      <c r="D45" s="8"/>
    </row>
    <row r="46" spans="1:146" x14ac:dyDescent="0.2">
      <c r="A46" s="21"/>
      <c r="D46" s="8"/>
    </row>
    <row r="47" spans="1:146" x14ac:dyDescent="0.2">
      <c r="A47" s="21"/>
      <c r="D47" s="8"/>
    </row>
    <row r="48" spans="1:146" x14ac:dyDescent="0.2">
      <c r="A48" s="21"/>
      <c r="D48" s="8"/>
    </row>
    <row r="49" spans="1:4" x14ac:dyDescent="0.2">
      <c r="A49" s="21"/>
      <c r="D49" s="8"/>
    </row>
    <row r="50" spans="1:4" x14ac:dyDescent="0.2">
      <c r="A50" s="21"/>
      <c r="D50" s="8"/>
    </row>
    <row r="51" spans="1:4" x14ac:dyDescent="0.2">
      <c r="A51" s="21"/>
    </row>
    <row r="52" spans="1:4" x14ac:dyDescent="0.2">
      <c r="A52" s="21"/>
    </row>
    <row r="53" spans="1:4" x14ac:dyDescent="0.2">
      <c r="A53" s="21"/>
    </row>
    <row r="54" spans="1:4" x14ac:dyDescent="0.2">
      <c r="A54" s="21"/>
    </row>
  </sheetData>
  <sheetProtection selectLockedCells="1" selectUnlockedCells="1"/>
  <mergeCells count="29">
    <mergeCell ref="DT1:DV1"/>
    <mergeCell ref="EH1:EJ1"/>
    <mergeCell ref="DE1:DG1"/>
    <mergeCell ref="DH1:DJ1"/>
    <mergeCell ref="DK1:DM1"/>
    <mergeCell ref="DN1:DP1"/>
    <mergeCell ref="DQ1:DS1"/>
    <mergeCell ref="B1:H1"/>
    <mergeCell ref="I1:L1"/>
    <mergeCell ref="M1:P1"/>
    <mergeCell ref="CV1:CX1"/>
    <mergeCell ref="CY1:DA1"/>
    <mergeCell ref="U1:V1"/>
    <mergeCell ref="AB1:AC1"/>
    <mergeCell ref="AH1:AI1"/>
    <mergeCell ref="AL1:AM1"/>
    <mergeCell ref="AJ1:AK1"/>
    <mergeCell ref="DB1:DD1"/>
    <mergeCell ref="BL1:BM1"/>
    <mergeCell ref="BP1:BQ1"/>
    <mergeCell ref="AN1:AO1"/>
    <mergeCell ref="AP1:AQ1"/>
    <mergeCell ref="AR1:AS1"/>
    <mergeCell ref="AT1:AU1"/>
    <mergeCell ref="AZ1:BA1"/>
    <mergeCell ref="AV1:AW1"/>
    <mergeCell ref="AX1:AY1"/>
    <mergeCell ref="BN1:BO1"/>
    <mergeCell ref="BR1:BS1"/>
  </mergeCells>
  <conditionalFormatting sqref="A35:H35 BP35:BQ35 K35:L35 AL35:BM35 BT35 A45:JK65514 P1:Y1 A2:Y2 O35:AI35 A44:ED44 A36:EC43 EN35:JK35 BW35:EC35 EH37:JK44 EI36:JK36 ED35:EG43">
    <cfRule type="cellIs" dxfId="1439" priority="9430" operator="lessThan">
      <formula>0</formula>
    </cfRule>
  </conditionalFormatting>
  <conditionalFormatting sqref="I35:J35">
    <cfRule type="cellIs" dxfId="1438" priority="5663" operator="lessThan">
      <formula>0</formula>
    </cfRule>
  </conditionalFormatting>
  <conditionalFormatting sqref="M35:N35">
    <cfRule type="cellIs" dxfId="1437" priority="5656" operator="lessThan">
      <formula>0</formula>
    </cfRule>
  </conditionalFormatting>
  <conditionalFormatting sqref="AJ35:AK35">
    <cfRule type="cellIs" dxfId="1436" priority="5649" operator="lessThan">
      <formula>0</formula>
    </cfRule>
  </conditionalFormatting>
  <conditionalFormatting sqref="BN35:BO35">
    <cfRule type="cellIs" dxfId="1435" priority="5639" operator="lessThan">
      <formula>0</formula>
    </cfRule>
  </conditionalFormatting>
  <conditionalFormatting sqref="BR35:BS35">
    <cfRule type="cellIs" dxfId="1434" priority="5630" operator="lessThan">
      <formula>0</formula>
    </cfRule>
  </conditionalFormatting>
  <conditionalFormatting sqref="BU35:BV35">
    <cfRule type="cellIs" dxfId="1433" priority="5619" operator="lessThan">
      <formula>0</formula>
    </cfRule>
  </conditionalFormatting>
  <conditionalFormatting sqref="EH35:EL35">
    <cfRule type="cellIs" dxfId="1432" priority="5608" operator="lessThan">
      <formula>0</formula>
    </cfRule>
  </conditionalFormatting>
  <conditionalFormatting sqref="A1:H1 L1 AL1:BN1 BP1:BQ1 AB1:AJ1 BT1:XFD1">
    <cfRule type="cellIs" dxfId="1431" priority="5548" operator="lessThan">
      <formula>0</formula>
    </cfRule>
  </conditionalFormatting>
  <conditionalFormatting sqref="BR1">
    <cfRule type="cellIs" dxfId="1430" priority="5547" operator="lessThan">
      <formula>0</formula>
    </cfRule>
  </conditionalFormatting>
  <conditionalFormatting sqref="Z1:AA1">
    <cfRule type="cellIs" dxfId="1429" priority="5546" operator="lessThan">
      <formula>0</formula>
    </cfRule>
  </conditionalFormatting>
  <conditionalFormatting sqref="AB2:XFD2">
    <cfRule type="cellIs" dxfId="1428" priority="5542" operator="lessThan">
      <formula>0</formula>
    </cfRule>
  </conditionalFormatting>
  <conditionalFormatting sqref="Z2:AA2">
    <cfRule type="cellIs" dxfId="1427" priority="5485" operator="lessThan">
      <formula>0</formula>
    </cfRule>
  </conditionalFormatting>
  <conditionalFormatting sqref="EM35">
    <cfRule type="cellIs" dxfId="1425" priority="3146" operator="lessThan">
      <formula>0</formula>
    </cfRule>
  </conditionalFormatting>
  <conditionalFormatting sqref="AI17:AJ20 BE20 S29:S30 G29:H29 G27:H27 AK17:AK18 DE19:DE27 DT16:DT19 DW16:DW19 DQ8:DQ19 Q22 EF13:EF16 AK20 DN10:DN27 S20:S23 DZ24:DZ30 EB25:EB30 ED24:ED30 AI8:AM11 EN4:XFD4 G7:H22 EK29:XFD34 EL28:XFD28 AI21:AK27 EK5:XFD19 BO5 BN4:BN5 G6 B5:B16 AI5:AK7 AM5:AM7 AS5:AS7 AT4:AT7 BL5:BM7 BN6:BO7 D5:D16 AR8:AT8 BK5:BK8 BL8:BO8 CS5:CS27 DE5:DE16 DH5:DH16 DK8:DK27 DQ21:DQ27 DT21:DT27 BE5:BE16 DB7:DB17 AS9:AT19 BK9:BO9 BL10:BO15 CD19:CD27 CD5:CD17 CK5:CK16 CK19:CK27 AI12:AK16 AG5:AG18 AS20:AS21 BE23:BE25 BE26:BF26 BM16:BO22 BM23:BN27 B19:B31 BO24:BO27 D19:D31 CB5:CB27 BS10:BS27 BU5:BU27 AD4:AD31 CV9:CV27 DH19:DH27 EA4:EA31 BL16:BL27 BM4 Z6:Z34 AR9:AR22 AR23:AS27 BJ4:BJ26 AF4:AF31 BF4:BF25 CI6:CI27 CG6:CG27 AX4:AX27 O8:O11 AV4:AV27 AU5:AU27 AZ4:AZ27 BH4:BH27 BJ27:BK27 AL4:AL7 AL12:AM27 AC19:AC31 AT20:AT27 AQ5:AQ27 EK21:XFD27 EK20:EQ20 ES20:XFD20 CP6 CO5:CP5 BD3:BD26 U5:U17 BK10:BK21 BQ5:BQ27 AE5:AE31 BD27:BF27 BD29:BF31 BF28 AZ29:AZ31 AX29:AX31 AR29:AS31 AO29:AO31 AI29:AM31 AI28:AJ28 BQ29 CO29:CP31 BH29:BH31 CG29:CG31 CI29:CI31 DH29:DH31 CY29:CY31 CV29:CV31 BU29:BU31 BS29:BS31 CB29:CB31 BJ29:BO31 CK29:CK31 CD29:CD31 DT29:DT31 DQ29:DQ31 DK29:DK31 DB29:DB31 DN29:DN31 DE29:DE31 CQ32 BK24:BK26 S25 U19:U32 AO5:AO27 CS29:CS32 X3:X34 AG21:AG31 AQ29:AQ34 AT29:AV34 CQ33:CR34 CY14:CY27 DB19:DB27 AB4:AB34 CO7:CP27">
    <cfRule type="cellIs" dxfId="393" priority="394" operator="lessThan">
      <formula>0</formula>
    </cfRule>
  </conditionalFormatting>
  <conditionalFormatting sqref="ED24:ED30">
    <cfRule type="cellIs" dxfId="392" priority="393" operator="lessThan">
      <formula>0</formula>
    </cfRule>
  </conditionalFormatting>
  <conditionalFormatting sqref="B17:B18">
    <cfRule type="cellIs" dxfId="391" priority="392" operator="lessThan">
      <formula>0</formula>
    </cfRule>
  </conditionalFormatting>
  <conditionalFormatting sqref="D17:D18">
    <cfRule type="cellIs" dxfId="390" priority="391" operator="lessThan">
      <formula>0</formula>
    </cfRule>
  </conditionalFormatting>
  <conditionalFormatting sqref="CD18">
    <cfRule type="cellIs" dxfId="389" priority="390" operator="lessThan">
      <formula>0</formula>
    </cfRule>
  </conditionalFormatting>
  <conditionalFormatting sqref="CK17:CK18">
    <cfRule type="cellIs" dxfId="388" priority="389" operator="lessThan">
      <formula>0</formula>
    </cfRule>
  </conditionalFormatting>
  <conditionalFormatting sqref="DB18">
    <cfRule type="cellIs" dxfId="387" priority="388" operator="lessThan">
      <formula>0</formula>
    </cfRule>
  </conditionalFormatting>
  <conditionalFormatting sqref="DE17:DE18">
    <cfRule type="cellIs" dxfId="386" priority="387" operator="lessThan">
      <formula>0</formula>
    </cfRule>
  </conditionalFormatting>
  <conditionalFormatting sqref="DH17:DH18">
    <cfRule type="cellIs" dxfId="385" priority="386" operator="lessThan">
      <formula>0</formula>
    </cfRule>
  </conditionalFormatting>
  <conditionalFormatting sqref="EF25:EF28">
    <cfRule type="cellIs" dxfId="384" priority="385" operator="lessThan">
      <formula>0</formula>
    </cfRule>
  </conditionalFormatting>
  <conditionalFormatting sqref="EF25:EF28">
    <cfRule type="cellIs" dxfId="383" priority="384" operator="lessThan">
      <formula>0</formula>
    </cfRule>
  </conditionalFormatting>
  <conditionalFormatting sqref="EF13:EF16">
    <cfRule type="cellIs" dxfId="382" priority="383" operator="lessThan">
      <formula>0</formula>
    </cfRule>
  </conditionalFormatting>
  <conditionalFormatting sqref="EF15:EF16">
    <cfRule type="cellIs" dxfId="381" priority="382" operator="lessThan">
      <formula>0</formula>
    </cfRule>
  </conditionalFormatting>
  <conditionalFormatting sqref="AK19">
    <cfRule type="cellIs" dxfId="380" priority="381" operator="lessThan">
      <formula>0</formula>
    </cfRule>
  </conditionalFormatting>
  <conditionalFormatting sqref="EH5:EH6 EH9:EH14 EK28 EJ12:EJ31 EH15:EI31">
    <cfRule type="cellIs" dxfId="379" priority="380" operator="lessThan">
      <formula>0</formula>
    </cfRule>
  </conditionalFormatting>
  <conditionalFormatting sqref="EF10:EF12">
    <cfRule type="cellIs" dxfId="378" priority="379" operator="lessThan">
      <formula>0</formula>
    </cfRule>
  </conditionalFormatting>
  <conditionalFormatting sqref="AC5:AC17">
    <cfRule type="cellIs" dxfId="377" priority="378" operator="lessThan">
      <formula>0</formula>
    </cfRule>
  </conditionalFormatting>
  <conditionalFormatting sqref="AC18">
    <cfRule type="cellIs" dxfId="376" priority="377" operator="lessThan">
      <formula>0</formula>
    </cfRule>
  </conditionalFormatting>
  <conditionalFormatting sqref="I15:I19">
    <cfRule type="cellIs" dxfId="375" priority="376" operator="lessThan">
      <formula>0</formula>
    </cfRule>
  </conditionalFormatting>
  <conditionalFormatting sqref="S15:S19">
    <cfRule type="cellIs" dxfId="374" priority="375" operator="lessThan">
      <formula>0</formula>
    </cfRule>
  </conditionalFormatting>
  <conditionalFormatting sqref="BE17:BE18">
    <cfRule type="cellIs" dxfId="373" priority="374" operator="lessThan">
      <formula>0</formula>
    </cfRule>
  </conditionalFormatting>
  <conditionalFormatting sqref="BE19">
    <cfRule type="cellIs" dxfId="372" priority="373" operator="lessThan">
      <formula>0</formula>
    </cfRule>
  </conditionalFormatting>
  <conditionalFormatting sqref="DQ20 DT20">
    <cfRule type="cellIs" dxfId="371" priority="372" operator="lessThan">
      <formula>0</formula>
    </cfRule>
  </conditionalFormatting>
  <conditionalFormatting sqref="AG20">
    <cfRule type="cellIs" dxfId="370" priority="371" operator="lessThan">
      <formula>0</formula>
    </cfRule>
  </conditionalFormatting>
  <conditionalFormatting sqref="BE21">
    <cfRule type="cellIs" dxfId="369" priority="370" operator="lessThan">
      <formula>0</formula>
    </cfRule>
  </conditionalFormatting>
  <conditionalFormatting sqref="AS22">
    <cfRule type="cellIs" dxfId="368" priority="369" operator="lessThan">
      <formula>0</formula>
    </cfRule>
  </conditionalFormatting>
  <conditionalFormatting sqref="BE22">
    <cfRule type="cellIs" dxfId="367" priority="368" operator="lessThan">
      <formula>0</formula>
    </cfRule>
  </conditionalFormatting>
  <conditionalFormatting sqref="BK22">
    <cfRule type="cellIs" dxfId="366" priority="367" operator="lessThan">
      <formula>0</formula>
    </cfRule>
  </conditionalFormatting>
  <conditionalFormatting sqref="G23:H23 Q23 Q25">
    <cfRule type="cellIs" dxfId="365" priority="366" operator="lessThan">
      <formula>0</formula>
    </cfRule>
  </conditionalFormatting>
  <conditionalFormatting sqref="BO23">
    <cfRule type="cellIs" dxfId="364" priority="365" operator="lessThan">
      <formula>0</formula>
    </cfRule>
  </conditionalFormatting>
  <conditionalFormatting sqref="BK23">
    <cfRule type="cellIs" dxfId="363" priority="364" operator="lessThan">
      <formula>0</formula>
    </cfRule>
  </conditionalFormatting>
  <conditionalFormatting sqref="S24">
    <cfRule type="cellIs" dxfId="362" priority="363" operator="lessThan">
      <formula>0</formula>
    </cfRule>
  </conditionalFormatting>
  <conditionalFormatting sqref="G24:H24 Q24">
    <cfRule type="cellIs" dxfId="361" priority="362" operator="lessThan">
      <formula>0</formula>
    </cfRule>
  </conditionalFormatting>
  <conditionalFormatting sqref="G25:H25">
    <cfRule type="cellIs" dxfId="360" priority="361" operator="lessThan">
      <formula>0</formula>
    </cfRule>
  </conditionalFormatting>
  <conditionalFormatting sqref="S26:S27">
    <cfRule type="cellIs" dxfId="359" priority="360" operator="lessThan">
      <formula>0</formula>
    </cfRule>
  </conditionalFormatting>
  <conditionalFormatting sqref="G26:H26 Q26:Q28">
    <cfRule type="cellIs" dxfId="358" priority="359" operator="lessThan">
      <formula>0</formula>
    </cfRule>
  </conditionalFormatting>
  <conditionalFormatting sqref="G28:H28">
    <cfRule type="cellIs" dxfId="357" priority="358" operator="lessThan">
      <formula>0</formula>
    </cfRule>
  </conditionalFormatting>
  <conditionalFormatting sqref="Q29">
    <cfRule type="cellIs" dxfId="356" priority="357" operator="lessThan">
      <formula>0</formula>
    </cfRule>
  </conditionalFormatting>
  <conditionalFormatting sqref="G30:H30">
    <cfRule type="cellIs" dxfId="355" priority="356" operator="lessThan">
      <formula>0</formula>
    </cfRule>
  </conditionalFormatting>
  <conditionalFormatting sqref="G31:H31">
    <cfRule type="cellIs" dxfId="354" priority="355" operator="lessThan">
      <formula>0</formula>
    </cfRule>
  </conditionalFormatting>
  <conditionalFormatting sqref="Q31">
    <cfRule type="cellIs" dxfId="353" priority="354" operator="lessThan">
      <formula>0</formula>
    </cfRule>
  </conditionalFormatting>
  <conditionalFormatting sqref="DB5:DB6 BS5:BS9 DT8:DT15 CY12:CY13 Z5 DW8:DW15">
    <cfRule type="cellIs" dxfId="352" priority="353" operator="lessThan">
      <formula>0</formula>
    </cfRule>
  </conditionalFormatting>
  <conditionalFormatting sqref="S4:S14">
    <cfRule type="cellIs" dxfId="351" priority="352" operator="lessThan">
      <formula>0</formula>
    </cfRule>
  </conditionalFormatting>
  <conditionalFormatting sqref="K15:K17">
    <cfRule type="cellIs" dxfId="350" priority="351" operator="lessThan">
      <formula>0</formula>
    </cfRule>
  </conditionalFormatting>
  <conditionalFormatting sqref="Q5:Q19">
    <cfRule type="cellIs" dxfId="349" priority="350" operator="lessThan">
      <formula>0</formula>
    </cfRule>
  </conditionalFormatting>
  <conditionalFormatting sqref="AA10:AA34">
    <cfRule type="cellIs" dxfId="348" priority="349" operator="lessThan">
      <formula>0</formula>
    </cfRule>
  </conditionalFormatting>
  <conditionalFormatting sqref="DZ5:DZ20 EB5:EB20 ED5:ED20">
    <cfRule type="cellIs" dxfId="347" priority="348" operator="lessThan">
      <formula>0</formula>
    </cfRule>
  </conditionalFormatting>
  <conditionalFormatting sqref="ED5:ED20">
    <cfRule type="cellIs" dxfId="346" priority="347" operator="lessThan">
      <formula>0</formula>
    </cfRule>
  </conditionalFormatting>
  <conditionalFormatting sqref="EI5:EI6 EI9:EI14">
    <cfRule type="cellIs" dxfId="345" priority="346" operator="lessThan">
      <formula>0</formula>
    </cfRule>
  </conditionalFormatting>
  <conditionalFormatting sqref="S28">
    <cfRule type="cellIs" dxfId="344" priority="345" operator="lessThan">
      <formula>0</formula>
    </cfRule>
  </conditionalFormatting>
  <conditionalFormatting sqref="DQ5:DQ7">
    <cfRule type="cellIs" dxfId="343" priority="344" operator="lessThan">
      <formula>0</formula>
    </cfRule>
  </conditionalFormatting>
  <conditionalFormatting sqref="DN5:DN9">
    <cfRule type="cellIs" dxfId="342" priority="343" operator="lessThan">
      <formula>0</formula>
    </cfRule>
  </conditionalFormatting>
  <conditionalFormatting sqref="DK5:DK7">
    <cfRule type="cellIs" dxfId="341" priority="342" operator="lessThan">
      <formula>0</formula>
    </cfRule>
  </conditionalFormatting>
  <conditionalFormatting sqref="DT5:DT7">
    <cfRule type="cellIs" dxfId="340" priority="341" operator="lessThan">
      <formula>0</formula>
    </cfRule>
  </conditionalFormatting>
  <conditionalFormatting sqref="DW5:DW7">
    <cfRule type="cellIs" dxfId="339" priority="340" operator="lessThan">
      <formula>0</formula>
    </cfRule>
  </conditionalFormatting>
  <conditionalFormatting sqref="EF17">
    <cfRule type="cellIs" dxfId="338" priority="339" operator="lessThan">
      <formula>0</formula>
    </cfRule>
  </conditionalFormatting>
  <conditionalFormatting sqref="EF17">
    <cfRule type="cellIs" dxfId="337" priority="338" operator="lessThan">
      <formula>0</formula>
    </cfRule>
  </conditionalFormatting>
  <conditionalFormatting sqref="EF17">
    <cfRule type="cellIs" dxfId="336" priority="337" operator="lessThan">
      <formula>0</formula>
    </cfRule>
  </conditionalFormatting>
  <conditionalFormatting sqref="EF18">
    <cfRule type="cellIs" dxfId="335" priority="336" operator="lessThan">
      <formula>0</formula>
    </cfRule>
  </conditionalFormatting>
  <conditionalFormatting sqref="EF18">
    <cfRule type="cellIs" dxfId="334" priority="335" operator="lessThan">
      <formula>0</formula>
    </cfRule>
  </conditionalFormatting>
  <conditionalFormatting sqref="EF18">
    <cfRule type="cellIs" dxfId="333" priority="334" operator="lessThan">
      <formula>0</formula>
    </cfRule>
  </conditionalFormatting>
  <conditionalFormatting sqref="EF19:EF20">
    <cfRule type="cellIs" dxfId="332" priority="333" operator="lessThan">
      <formula>0</formula>
    </cfRule>
  </conditionalFormatting>
  <conditionalFormatting sqref="EF19:EF20">
    <cfRule type="cellIs" dxfId="331" priority="332" operator="lessThan">
      <formula>0</formula>
    </cfRule>
  </conditionalFormatting>
  <conditionalFormatting sqref="EF19:EF20">
    <cfRule type="cellIs" dxfId="330" priority="331" operator="lessThan">
      <formula>0</formula>
    </cfRule>
  </conditionalFormatting>
  <conditionalFormatting sqref="Q20">
    <cfRule type="cellIs" dxfId="329" priority="330" operator="lessThan">
      <formula>0</formula>
    </cfRule>
  </conditionalFormatting>
  <conditionalFormatting sqref="Q30">
    <cfRule type="cellIs" dxfId="328" priority="329" operator="lessThan">
      <formula>0</formula>
    </cfRule>
  </conditionalFormatting>
  <conditionalFormatting sqref="EF9">
    <cfRule type="cellIs" dxfId="327" priority="328" operator="lessThan">
      <formula>0</formula>
    </cfRule>
  </conditionalFormatting>
  <conditionalFormatting sqref="DZ22:DZ23">
    <cfRule type="cellIs" dxfId="326" priority="327" operator="lessThan">
      <formula>0</formula>
    </cfRule>
  </conditionalFormatting>
  <conditionalFormatting sqref="EB22:EB24">
    <cfRule type="cellIs" dxfId="325" priority="326" operator="lessThan">
      <formula>0</formula>
    </cfRule>
  </conditionalFormatting>
  <conditionalFormatting sqref="ED22:ED23">
    <cfRule type="cellIs" dxfId="324" priority="325" operator="lessThan">
      <formula>0</formula>
    </cfRule>
  </conditionalFormatting>
  <conditionalFormatting sqref="ED22:ED23">
    <cfRule type="cellIs" dxfId="323" priority="324" operator="lessThan">
      <formula>0</formula>
    </cfRule>
  </conditionalFormatting>
  <conditionalFormatting sqref="EF22:EF24">
    <cfRule type="cellIs" dxfId="322" priority="323" operator="lessThan">
      <formula>0</formula>
    </cfRule>
  </conditionalFormatting>
  <conditionalFormatting sqref="EF22:EF24">
    <cfRule type="cellIs" dxfId="321" priority="322" operator="lessThan">
      <formula>0</formula>
    </cfRule>
  </conditionalFormatting>
  <conditionalFormatting sqref="EF22:EF24">
    <cfRule type="cellIs" dxfId="320" priority="321" operator="lessThan">
      <formula>0</formula>
    </cfRule>
  </conditionalFormatting>
  <conditionalFormatting sqref="I26:I27">
    <cfRule type="cellIs" dxfId="319" priority="320" operator="lessThan">
      <formula>0</formula>
    </cfRule>
  </conditionalFormatting>
  <conditionalFormatting sqref="K26">
    <cfRule type="cellIs" dxfId="318" priority="319" operator="lessThan">
      <formula>0</formula>
    </cfRule>
  </conditionalFormatting>
  <conditionalFormatting sqref="EQ3:XFD3">
    <cfRule type="cellIs" dxfId="317" priority="318" operator="lessThan">
      <formula>0</formula>
    </cfRule>
  </conditionalFormatting>
  <conditionalFormatting sqref="W18">
    <cfRule type="cellIs" dxfId="316" priority="314" operator="lessThan">
      <formula>0</formula>
    </cfRule>
  </conditionalFormatting>
  <conditionalFormatting sqref="EF6">
    <cfRule type="cellIs" dxfId="315" priority="313" operator="lessThan">
      <formula>0</formula>
    </cfRule>
  </conditionalFormatting>
  <conditionalFormatting sqref="EF7">
    <cfRule type="cellIs" dxfId="314" priority="312" operator="lessThan">
      <formula>0</formula>
    </cfRule>
  </conditionalFormatting>
  <conditionalFormatting sqref="EH7">
    <cfRule type="cellIs" dxfId="313" priority="311" operator="lessThan">
      <formula>0</formula>
    </cfRule>
  </conditionalFormatting>
  <conditionalFormatting sqref="EF8">
    <cfRule type="cellIs" dxfId="312" priority="309" operator="lessThan">
      <formula>0</formula>
    </cfRule>
  </conditionalFormatting>
  <conditionalFormatting sqref="EH8">
    <cfRule type="cellIs" dxfId="311" priority="308" operator="lessThan">
      <formula>0</formula>
    </cfRule>
  </conditionalFormatting>
  <conditionalFormatting sqref="EI8">
    <cfRule type="cellIs" dxfId="310" priority="307" operator="lessThan">
      <formula>0</formula>
    </cfRule>
  </conditionalFormatting>
  <conditionalFormatting sqref="EF29">
    <cfRule type="cellIs" dxfId="309" priority="306" operator="lessThan">
      <formula>0</formula>
    </cfRule>
  </conditionalFormatting>
  <conditionalFormatting sqref="EF29">
    <cfRule type="cellIs" dxfId="308" priority="305" operator="lessThan">
      <formula>0</formula>
    </cfRule>
  </conditionalFormatting>
  <conditionalFormatting sqref="EF30">
    <cfRule type="cellIs" dxfId="307" priority="304" operator="lessThan">
      <formula>0</formula>
    </cfRule>
  </conditionalFormatting>
  <conditionalFormatting sqref="L7:L31">
    <cfRule type="cellIs" dxfId="306" priority="317" operator="lessThan">
      <formula>0</formula>
    </cfRule>
  </conditionalFormatting>
  <conditionalFormatting sqref="N24:N31">
    <cfRule type="cellIs" dxfId="305" priority="316" operator="lessThan">
      <formula>0</formula>
    </cfRule>
  </conditionalFormatting>
  <conditionalFormatting sqref="W5:W17 W19:W34">
    <cfRule type="cellIs" dxfId="304" priority="315" operator="lessThan">
      <formula>0</formula>
    </cfRule>
  </conditionalFormatting>
  <conditionalFormatting sqref="EI7">
    <cfRule type="cellIs" dxfId="303" priority="310" operator="lessThan">
      <formula>0</formula>
    </cfRule>
  </conditionalFormatting>
  <conditionalFormatting sqref="EF30">
    <cfRule type="cellIs" dxfId="302" priority="303" operator="lessThan">
      <formula>0</formula>
    </cfRule>
  </conditionalFormatting>
  <conditionalFormatting sqref="AN4:AN27 AN29:AN31">
    <cfRule type="cellIs" dxfId="301" priority="302" operator="lessThan">
      <formula>0</formula>
    </cfRule>
  </conditionalFormatting>
  <conditionalFormatting sqref="S31">
    <cfRule type="cellIs" dxfId="300" priority="301" operator="lessThan">
      <formula>0</formula>
    </cfRule>
  </conditionalFormatting>
  <conditionalFormatting sqref="I8:I10">
    <cfRule type="cellIs" dxfId="299" priority="300" operator="lessThan">
      <formula>0</formula>
    </cfRule>
  </conditionalFormatting>
  <conditionalFormatting sqref="M8:M10">
    <cfRule type="cellIs" dxfId="298" priority="299" operator="lessThan">
      <formula>0</formula>
    </cfRule>
  </conditionalFormatting>
  <conditionalFormatting sqref="DZ31">
    <cfRule type="cellIs" dxfId="297" priority="298" operator="lessThan">
      <formula>0</formula>
    </cfRule>
  </conditionalFormatting>
  <conditionalFormatting sqref="EB31">
    <cfRule type="cellIs" dxfId="296" priority="297" operator="lessThan">
      <formula>0</formula>
    </cfRule>
  </conditionalFormatting>
  <conditionalFormatting sqref="ED31">
    <cfRule type="cellIs" dxfId="295" priority="296" operator="lessThan">
      <formula>0</formula>
    </cfRule>
  </conditionalFormatting>
  <conditionalFormatting sqref="ED31">
    <cfRule type="cellIs" dxfId="294" priority="295" operator="lessThan">
      <formula>0</formula>
    </cfRule>
  </conditionalFormatting>
  <conditionalFormatting sqref="EF31">
    <cfRule type="cellIs" dxfId="293" priority="294" operator="lessThan">
      <formula>0</formula>
    </cfRule>
  </conditionalFormatting>
  <conditionalFormatting sqref="EF31">
    <cfRule type="cellIs" dxfId="292" priority="293" operator="lessThan">
      <formula>0</formula>
    </cfRule>
  </conditionalFormatting>
  <conditionalFormatting sqref="AC4">
    <cfRule type="cellIs" dxfId="291" priority="291" operator="lessThan">
      <formula>0</formula>
    </cfRule>
  </conditionalFormatting>
  <conditionalFormatting sqref="CP4 Z4">
    <cfRule type="cellIs" dxfId="290" priority="290" operator="lessThan">
      <formula>0</formula>
    </cfRule>
  </conditionalFormatting>
  <conditionalFormatting sqref="Q4">
    <cfRule type="cellIs" dxfId="289" priority="289" operator="lessThan">
      <formula>0</formula>
    </cfRule>
  </conditionalFormatting>
  <conditionalFormatting sqref="AG4 AK4 AO4 AQ4 AS4 AU4 BE4 BK4 BO4 BQ4 BS4 BU4 CD4 DE4 DH4 DK4 DN4 DQ4 DT4 DW4 DZ4 EB4 ED4 DB4">
    <cfRule type="cellIs" dxfId="288" priority="288" operator="lessThan">
      <formula>0</formula>
    </cfRule>
  </conditionalFormatting>
  <conditionalFormatting sqref="EH4:EI4">
    <cfRule type="cellIs" dxfId="287" priority="287" operator="lessThan">
      <formula>0</formula>
    </cfRule>
  </conditionalFormatting>
  <conditionalFormatting sqref="W4">
    <cfRule type="cellIs" dxfId="286" priority="286" operator="lessThan">
      <formula>0</formula>
    </cfRule>
  </conditionalFormatting>
  <conditionalFormatting sqref="B4 CB4 EK4:EM4 U4 AE4 AI4:AJ4 AM4 CO4 CK4 CI4:CI5 CG4:CG5">
    <cfRule type="cellIs" dxfId="285" priority="292" operator="lessThan">
      <formula>0</formula>
    </cfRule>
  </conditionalFormatting>
  <conditionalFormatting sqref="H6:I6">
    <cfRule type="cellIs" dxfId="284" priority="285" operator="lessThan">
      <formula>0</formula>
    </cfRule>
  </conditionalFormatting>
  <conditionalFormatting sqref="K6">
    <cfRule type="cellIs" dxfId="283" priority="284" operator="lessThan">
      <formula>0</formula>
    </cfRule>
  </conditionalFormatting>
  <conditionalFormatting sqref="M6">
    <cfRule type="cellIs" dxfId="282" priority="283" operator="lessThan">
      <formula>0</formula>
    </cfRule>
  </conditionalFormatting>
  <conditionalFormatting sqref="O6">
    <cfRule type="cellIs" dxfId="281" priority="282" operator="lessThan">
      <formula>0</formula>
    </cfRule>
  </conditionalFormatting>
  <conditionalFormatting sqref="I7">
    <cfRule type="cellIs" dxfId="280" priority="281" operator="lessThan">
      <formula>0</formula>
    </cfRule>
  </conditionalFormatting>
  <conditionalFormatting sqref="K7:K10">
    <cfRule type="cellIs" dxfId="279" priority="280" operator="lessThan">
      <formula>0</formula>
    </cfRule>
  </conditionalFormatting>
  <conditionalFormatting sqref="M7">
    <cfRule type="cellIs" dxfId="278" priority="279" operator="lessThan">
      <formula>0</formula>
    </cfRule>
  </conditionalFormatting>
  <conditionalFormatting sqref="O7">
    <cfRule type="cellIs" dxfId="277" priority="278" operator="lessThan">
      <formula>0</formula>
    </cfRule>
  </conditionalFormatting>
  <conditionalFormatting sqref="M15">
    <cfRule type="cellIs" dxfId="276" priority="277" operator="lessThan">
      <formula>0</formula>
    </cfRule>
  </conditionalFormatting>
  <conditionalFormatting sqref="CQ4:CS4 BT4:BT8 BW4:BY4 CA4:CA8 CE4:CE8 DL4:DL27 DF4:DG27 CQ5:CR27 CW9:CX27 CX4:CX8 C4:C31 CH4:CH27 DR4:DR27 CL4:CN5 CL6:CL8 DI4:DI27 BW5:BX8 E4:E31 DU4:DU27 DC4:DC27 AP4:AP27 DO4:DO27 CM6:CN27 BY5:BY14 BP4:BP27 CZ4:DA27 CT4:CU27 AP29:AP31 CT29:CU31 CZ29:DA31 BP29:BP31 CN29:CN31 CH29:CH31 CW29:CX31 CQ29:CR31 CR32 AH4:AH34 CM29:CM34 CT32:CT34 DC29:DC34 DF29:DG34 DI29:DI34 DL29:DL34 DO29:DO34 DR29:DR34 DU29:DU34 DX4:DX34">
    <cfRule type="cellIs" dxfId="275" priority="276" operator="lessThan">
      <formula>0</formula>
    </cfRule>
  </conditionalFormatting>
  <conditionalFormatting sqref="BV4:BV8">
    <cfRule type="cellIs" dxfId="274" priority="275" operator="lessThan">
      <formula>0</formula>
    </cfRule>
  </conditionalFormatting>
  <conditionalFormatting sqref="EJ6:EJ11">
    <cfRule type="cellIs" dxfId="273" priority="274" operator="lessThan">
      <formula>0</formula>
    </cfRule>
  </conditionalFormatting>
  <conditionalFormatting sqref="F4:F31">
    <cfRule type="cellIs" dxfId="272" priority="273" operator="lessThan">
      <formula>0</formula>
    </cfRule>
  </conditionalFormatting>
  <conditionalFormatting sqref="DD4:DD27 DD29:DD34">
    <cfRule type="cellIs" dxfId="271" priority="272" operator="lessThan">
      <formula>0</formula>
    </cfRule>
  </conditionalFormatting>
  <conditionalFormatting sqref="DY4:DY34">
    <cfRule type="cellIs" dxfId="270" priority="271" operator="lessThan">
      <formula>0</formula>
    </cfRule>
  </conditionalFormatting>
  <conditionalFormatting sqref="CF4:CF8">
    <cfRule type="cellIs" dxfId="269" priority="270" operator="lessThan">
      <formula>0</formula>
    </cfRule>
  </conditionalFormatting>
  <conditionalFormatting sqref="J4:J31">
    <cfRule type="cellIs" dxfId="268" priority="269" operator="lessThan">
      <formula>0</formula>
    </cfRule>
  </conditionalFormatting>
  <conditionalFormatting sqref="L5:L6">
    <cfRule type="cellIs" dxfId="267" priority="268" operator="lessThan">
      <formula>0</formula>
    </cfRule>
  </conditionalFormatting>
  <conditionalFormatting sqref="N4:N23">
    <cfRule type="cellIs" dxfId="266" priority="267" operator="lessThan">
      <formula>0</formula>
    </cfRule>
  </conditionalFormatting>
  <conditionalFormatting sqref="P4:P31">
    <cfRule type="cellIs" dxfId="265" priority="266" operator="lessThan">
      <formula>0</formula>
    </cfRule>
  </conditionalFormatting>
  <conditionalFormatting sqref="BR4:BR8">
    <cfRule type="cellIs" dxfId="264" priority="265" operator="lessThan">
      <formula>0</formula>
    </cfRule>
  </conditionalFormatting>
  <conditionalFormatting sqref="CC4:CC8">
    <cfRule type="cellIs" dxfId="263" priority="264" operator="lessThan">
      <formula>0</formula>
    </cfRule>
  </conditionalFormatting>
  <conditionalFormatting sqref="DJ4:DJ27 DJ29:DJ31">
    <cfRule type="cellIs" dxfId="262" priority="263" operator="lessThan">
      <formula>0</formula>
    </cfRule>
  </conditionalFormatting>
  <conditionalFormatting sqref="DM4:DM27 DM29:DM32">
    <cfRule type="cellIs" dxfId="261" priority="262" operator="lessThan">
      <formula>0</formula>
    </cfRule>
  </conditionalFormatting>
  <conditionalFormatting sqref="DP4:DP27 DP29:DP32">
    <cfRule type="cellIs" dxfId="260" priority="261" operator="lessThan">
      <formula>0</formula>
    </cfRule>
  </conditionalFormatting>
  <conditionalFormatting sqref="DS4:DS27 DS29:DS31">
    <cfRule type="cellIs" dxfId="259" priority="260" operator="lessThan">
      <formula>0</formula>
    </cfRule>
  </conditionalFormatting>
  <conditionalFormatting sqref="DV4:DV27 DV29:DV34">
    <cfRule type="cellIs" dxfId="258" priority="259" operator="lessThan">
      <formula>0</formula>
    </cfRule>
  </conditionalFormatting>
  <conditionalFormatting sqref="T4:T31">
    <cfRule type="cellIs" dxfId="257" priority="258" operator="lessThan">
      <formula>0</formula>
    </cfRule>
  </conditionalFormatting>
  <conditionalFormatting sqref="T4:T31">
    <cfRule type="cellIs" dxfId="256" priority="257" operator="lessThan">
      <formula>0</formula>
    </cfRule>
  </conditionalFormatting>
  <conditionalFormatting sqref="EC4:EC31">
    <cfRule type="cellIs" dxfId="255" priority="256" operator="lessThan">
      <formula>0</formula>
    </cfRule>
  </conditionalFormatting>
  <conditionalFormatting sqref="EE4:EE31">
    <cfRule type="cellIs" dxfId="254" priority="255" operator="lessThan">
      <formula>0</formula>
    </cfRule>
  </conditionalFormatting>
  <conditionalFormatting sqref="EG4:EG31">
    <cfRule type="cellIs" dxfId="253" priority="254" operator="lessThan">
      <formula>0</formula>
    </cfRule>
  </conditionalFormatting>
  <conditionalFormatting sqref="BR9:BR27 BR29:BR31">
    <cfRule type="cellIs" dxfId="252" priority="253" operator="lessThan">
      <formula>0</formula>
    </cfRule>
  </conditionalFormatting>
  <conditionalFormatting sqref="BT9:BT27 BT29:BT31">
    <cfRule type="cellIs" dxfId="251" priority="252" operator="lessThan">
      <formula>0</formula>
    </cfRule>
  </conditionalFormatting>
  <conditionalFormatting sqref="BW15:BY27 BW9:BX14 BW29:BY31">
    <cfRule type="cellIs" dxfId="250" priority="251" operator="lessThan">
      <formula>0</formula>
    </cfRule>
  </conditionalFormatting>
  <conditionalFormatting sqref="BV9:BV27 BV29:BV31">
    <cfRule type="cellIs" dxfId="249" priority="250" operator="lessThan">
      <formula>0</formula>
    </cfRule>
  </conditionalFormatting>
  <conditionalFormatting sqref="CA9:CA27 CA29:CA31">
    <cfRule type="cellIs" dxfId="248" priority="249" operator="lessThan">
      <formula>0</formula>
    </cfRule>
  </conditionalFormatting>
  <conditionalFormatting sqref="CC9:CC27 CC29:CC31">
    <cfRule type="cellIs" dxfId="247" priority="248" operator="lessThan">
      <formula>0</formula>
    </cfRule>
  </conditionalFormatting>
  <conditionalFormatting sqref="CE9:CE27 CE29:CE31">
    <cfRule type="cellIs" dxfId="246" priority="247" operator="lessThan">
      <formula>0</formula>
    </cfRule>
  </conditionalFormatting>
  <conditionalFormatting sqref="CF9:CF27 CF29:CF31">
    <cfRule type="cellIs" dxfId="245" priority="246" operator="lessThan">
      <formula>0</formula>
    </cfRule>
  </conditionalFormatting>
  <conditionalFormatting sqref="CJ4:CJ8">
    <cfRule type="cellIs" dxfId="244" priority="245" operator="lessThan">
      <formula>0</formula>
    </cfRule>
  </conditionalFormatting>
  <conditionalFormatting sqref="CJ9:CJ27 CJ29:CJ31">
    <cfRule type="cellIs" dxfId="243" priority="244" operator="lessThan">
      <formula>0</formula>
    </cfRule>
  </conditionalFormatting>
  <conditionalFormatting sqref="CL9:CL27 CL29:CL31">
    <cfRule type="cellIs" dxfId="242" priority="243" operator="lessThan">
      <formula>0</formula>
    </cfRule>
  </conditionalFormatting>
  <conditionalFormatting sqref="K11">
    <cfRule type="cellIs" dxfId="241" priority="242" operator="lessThan">
      <formula>0</formula>
    </cfRule>
  </conditionalFormatting>
  <conditionalFormatting sqref="M11">
    <cfRule type="cellIs" dxfId="240" priority="241" operator="lessThan">
      <formula>0</formula>
    </cfRule>
  </conditionalFormatting>
  <conditionalFormatting sqref="K27">
    <cfRule type="cellIs" dxfId="239" priority="240" operator="lessThan">
      <formula>0</formula>
    </cfRule>
  </conditionalFormatting>
  <conditionalFormatting sqref="I28">
    <cfRule type="cellIs" dxfId="238" priority="239" operator="lessThan">
      <formula>0</formula>
    </cfRule>
  </conditionalFormatting>
  <conditionalFormatting sqref="K28">
    <cfRule type="cellIs" dxfId="237" priority="238" operator="lessThan">
      <formula>0</formula>
    </cfRule>
  </conditionalFormatting>
  <conditionalFormatting sqref="I29">
    <cfRule type="cellIs" dxfId="236" priority="237" operator="lessThan">
      <formula>0</formula>
    </cfRule>
  </conditionalFormatting>
  <conditionalFormatting sqref="K29:K30">
    <cfRule type="cellIs" dxfId="235" priority="236" operator="lessThan">
      <formula>0</formula>
    </cfRule>
  </conditionalFormatting>
  <conditionalFormatting sqref="I31">
    <cfRule type="cellIs" dxfId="234" priority="235" operator="lessThan">
      <formula>0</formula>
    </cfRule>
  </conditionalFormatting>
  <conditionalFormatting sqref="K31">
    <cfRule type="cellIs" dxfId="233" priority="234" operator="lessThan">
      <formula>0</formula>
    </cfRule>
  </conditionalFormatting>
  <conditionalFormatting sqref="M31">
    <cfRule type="cellIs" dxfId="232" priority="233" operator="lessThan">
      <formula>0</formula>
    </cfRule>
  </conditionalFormatting>
  <conditionalFormatting sqref="O31">
    <cfRule type="cellIs" dxfId="231" priority="232" operator="lessThan">
      <formula>0</formula>
    </cfRule>
  </conditionalFormatting>
  <conditionalFormatting sqref="CY4:CY11 BL4 AR4:AR7">
    <cfRule type="cellIs" dxfId="230" priority="231" operator="lessThan">
      <formula>0</formula>
    </cfRule>
  </conditionalFormatting>
  <conditionalFormatting sqref="EJ5">
    <cfRule type="cellIs" dxfId="229" priority="230" operator="lessThan">
      <formula>0</formula>
    </cfRule>
  </conditionalFormatting>
  <conditionalFormatting sqref="L4">
    <cfRule type="cellIs" dxfId="228" priority="222" operator="lessThan">
      <formula>0</formula>
    </cfRule>
  </conditionalFormatting>
  <conditionalFormatting sqref="CV4:CV8">
    <cfRule type="cellIs" dxfId="227" priority="220" operator="lessThan">
      <formula>0</formula>
    </cfRule>
  </conditionalFormatting>
  <conditionalFormatting sqref="M18:M19">
    <cfRule type="cellIs" dxfId="226" priority="219" operator="lessThan">
      <formula>0</formula>
    </cfRule>
  </conditionalFormatting>
  <conditionalFormatting sqref="EF4:EF5">
    <cfRule type="cellIs" dxfId="225" priority="228" operator="lessThan">
      <formula>0</formula>
    </cfRule>
  </conditionalFormatting>
  <conditionalFormatting sqref="EF4:EF5">
    <cfRule type="cellIs" dxfId="224" priority="229" operator="lessThan">
      <formula>0</formula>
    </cfRule>
  </conditionalFormatting>
  <conditionalFormatting sqref="A4:A34">
    <cfRule type="cellIs" dxfId="223" priority="227" operator="lessThan">
      <formula>0</formula>
    </cfRule>
  </conditionalFormatting>
  <conditionalFormatting sqref="CW4:CW8">
    <cfRule type="cellIs" dxfId="222" priority="226" operator="lessThan">
      <formula>0</formula>
    </cfRule>
  </conditionalFormatting>
  <conditionalFormatting sqref="K24">
    <cfRule type="cellIs" dxfId="221" priority="217" operator="lessThan">
      <formula>0</formula>
    </cfRule>
  </conditionalFormatting>
  <conditionalFormatting sqref="M24">
    <cfRule type="cellIs" dxfId="220" priority="216" operator="lessThan">
      <formula>0</formula>
    </cfRule>
  </conditionalFormatting>
  <conditionalFormatting sqref="O24">
    <cfRule type="cellIs" dxfId="219" priority="215" operator="lessThan">
      <formula>0</formula>
    </cfRule>
  </conditionalFormatting>
  <conditionalFormatting sqref="Y3:Y34">
    <cfRule type="cellIs" dxfId="218" priority="225" operator="lessThan">
      <formula>0</formula>
    </cfRule>
  </conditionalFormatting>
  <conditionalFormatting sqref="M25">
    <cfRule type="cellIs" dxfId="217" priority="212" operator="lessThan">
      <formula>0</formula>
    </cfRule>
  </conditionalFormatting>
  <conditionalFormatting sqref="O25">
    <cfRule type="cellIs" dxfId="216" priority="211" operator="lessThan">
      <formula>0</formula>
    </cfRule>
  </conditionalFormatting>
  <conditionalFormatting sqref="I14">
    <cfRule type="cellIs" dxfId="215" priority="210" operator="lessThan">
      <formula>0</formula>
    </cfRule>
  </conditionalFormatting>
  <conditionalFormatting sqref="K14">
    <cfRule type="cellIs" dxfId="214" priority="209" operator="lessThan">
      <formula>0</formula>
    </cfRule>
  </conditionalFormatting>
  <conditionalFormatting sqref="M14">
    <cfRule type="cellIs" dxfId="213" priority="208" operator="lessThan">
      <formula>0</formula>
    </cfRule>
  </conditionalFormatting>
  <conditionalFormatting sqref="O14">
    <cfRule type="cellIs" dxfId="212" priority="207" operator="lessThan">
      <formula>0</formula>
    </cfRule>
  </conditionalFormatting>
  <conditionalFormatting sqref="M16">
    <cfRule type="cellIs" dxfId="211" priority="206" operator="lessThan">
      <formula>0</formula>
    </cfRule>
  </conditionalFormatting>
  <conditionalFormatting sqref="G4:H5">
    <cfRule type="cellIs" dxfId="210" priority="224" operator="lessThan">
      <formula>0</formula>
    </cfRule>
  </conditionalFormatting>
  <conditionalFormatting sqref="I4:I5">
    <cfRule type="cellIs" dxfId="209" priority="223" operator="lessThan">
      <formula>0</formula>
    </cfRule>
  </conditionalFormatting>
  <conditionalFormatting sqref="M23">
    <cfRule type="cellIs" dxfId="208" priority="199" operator="lessThan">
      <formula>0</formula>
    </cfRule>
  </conditionalFormatting>
  <conditionalFormatting sqref="O23">
    <cfRule type="cellIs" dxfId="207" priority="198" operator="lessThan">
      <formula>0</formula>
    </cfRule>
  </conditionalFormatting>
  <conditionalFormatting sqref="I11">
    <cfRule type="cellIs" dxfId="206" priority="221" operator="lessThan">
      <formula>0</formula>
    </cfRule>
  </conditionalFormatting>
  <conditionalFormatting sqref="Q21">
    <cfRule type="cellIs" dxfId="205" priority="218" operator="lessThan">
      <formula>0</formula>
    </cfRule>
  </conditionalFormatting>
  <conditionalFormatting sqref="I25">
    <cfRule type="cellIs" dxfId="204" priority="214" operator="lessThan">
      <formula>0</formula>
    </cfRule>
  </conditionalFormatting>
  <conditionalFormatting sqref="K25">
    <cfRule type="cellIs" dxfId="203" priority="213" operator="lessThan">
      <formula>0</formula>
    </cfRule>
  </conditionalFormatting>
  <conditionalFormatting sqref="I22">
    <cfRule type="cellIs" dxfId="202" priority="205" operator="lessThan">
      <formula>0</formula>
    </cfRule>
  </conditionalFormatting>
  <conditionalFormatting sqref="K22">
    <cfRule type="cellIs" dxfId="201" priority="204" operator="lessThan">
      <formula>0</formula>
    </cfRule>
  </conditionalFormatting>
  <conditionalFormatting sqref="M22">
    <cfRule type="cellIs" dxfId="200" priority="203" operator="lessThan">
      <formula>0</formula>
    </cfRule>
  </conditionalFormatting>
  <conditionalFormatting sqref="O22">
    <cfRule type="cellIs" dxfId="199" priority="202" operator="lessThan">
      <formula>0</formula>
    </cfRule>
  </conditionalFormatting>
  <conditionalFormatting sqref="I23">
    <cfRule type="cellIs" dxfId="198" priority="201" operator="lessThan">
      <formula>0</formula>
    </cfRule>
  </conditionalFormatting>
  <conditionalFormatting sqref="K23">
    <cfRule type="cellIs" dxfId="197" priority="200" operator="lessThan">
      <formula>0</formula>
    </cfRule>
  </conditionalFormatting>
  <conditionalFormatting sqref="V4:V31">
    <cfRule type="cellIs" dxfId="196" priority="197" operator="lessThan">
      <formula>0</formula>
    </cfRule>
  </conditionalFormatting>
  <conditionalFormatting sqref="V4:V31">
    <cfRule type="cellIs" dxfId="195" priority="196" operator="lessThan">
      <formula>0</formula>
    </cfRule>
  </conditionalFormatting>
  <conditionalFormatting sqref="AW4:AW27 AW29:AW34">
    <cfRule type="cellIs" dxfId="194" priority="195" operator="lessThan">
      <formula>0</formula>
    </cfRule>
  </conditionalFormatting>
  <conditionalFormatting sqref="S32 U33:U34 D32:D34 B32:B34">
    <cfRule type="cellIs" dxfId="193" priority="194" operator="lessThan">
      <formula>0</formula>
    </cfRule>
  </conditionalFormatting>
  <conditionalFormatting sqref="G32:H32">
    <cfRule type="cellIs" dxfId="192" priority="193" operator="lessThan">
      <formula>0</formula>
    </cfRule>
  </conditionalFormatting>
  <conditionalFormatting sqref="Q32">
    <cfRule type="cellIs" dxfId="191" priority="192" operator="lessThan">
      <formula>0</formula>
    </cfRule>
  </conditionalFormatting>
  <conditionalFormatting sqref="G33:H34">
    <cfRule type="cellIs" dxfId="190" priority="191" operator="lessThan">
      <formula>0</formula>
    </cfRule>
  </conditionalFormatting>
  <conditionalFormatting sqref="S33:S34">
    <cfRule type="cellIs" dxfId="189" priority="190" operator="lessThan">
      <formula>0</formula>
    </cfRule>
  </conditionalFormatting>
  <conditionalFormatting sqref="L32:L34">
    <cfRule type="cellIs" dxfId="188" priority="189" operator="lessThan">
      <formula>0</formula>
    </cfRule>
  </conditionalFormatting>
  <conditionalFormatting sqref="N32:N34">
    <cfRule type="cellIs" dxfId="187" priority="188" operator="lessThan">
      <formula>0</formula>
    </cfRule>
  </conditionalFormatting>
  <conditionalFormatting sqref="Q33:Q34">
    <cfRule type="cellIs" dxfId="186" priority="187" operator="lessThan">
      <formula>0</formula>
    </cfRule>
  </conditionalFormatting>
  <conditionalFormatting sqref="V32:V34">
    <cfRule type="cellIs" dxfId="185" priority="174" operator="lessThan">
      <formula>0</formula>
    </cfRule>
  </conditionalFormatting>
  <conditionalFormatting sqref="I32">
    <cfRule type="cellIs" dxfId="184" priority="186" operator="lessThan">
      <formula>0</formula>
    </cfRule>
  </conditionalFormatting>
  <conditionalFormatting sqref="K32">
    <cfRule type="cellIs" dxfId="183" priority="185" operator="lessThan">
      <formula>0</formula>
    </cfRule>
  </conditionalFormatting>
  <conditionalFormatting sqref="M32">
    <cfRule type="cellIs" dxfId="182" priority="184" operator="lessThan">
      <formula>0</formula>
    </cfRule>
  </conditionalFormatting>
  <conditionalFormatting sqref="O32">
    <cfRule type="cellIs" dxfId="181" priority="183" operator="lessThan">
      <formula>0</formula>
    </cfRule>
  </conditionalFormatting>
  <conditionalFormatting sqref="I33:I34">
    <cfRule type="cellIs" dxfId="180" priority="182" operator="lessThan">
      <formula>0</formula>
    </cfRule>
  </conditionalFormatting>
  <conditionalFormatting sqref="K33:K34">
    <cfRule type="cellIs" dxfId="179" priority="181" operator="lessThan">
      <formula>0</formula>
    </cfRule>
  </conditionalFormatting>
  <conditionalFormatting sqref="M33:M34">
    <cfRule type="cellIs" dxfId="178" priority="180" operator="lessThan">
      <formula>0</formula>
    </cfRule>
  </conditionalFormatting>
  <conditionalFormatting sqref="O33:O34">
    <cfRule type="cellIs" dxfId="177" priority="179" operator="lessThan">
      <formula>0</formula>
    </cfRule>
  </conditionalFormatting>
  <conditionalFormatting sqref="C32:C34 E32:E34">
    <cfRule type="cellIs" dxfId="176" priority="178" operator="lessThan">
      <formula>0</formula>
    </cfRule>
  </conditionalFormatting>
  <conditionalFormatting sqref="F32:F34">
    <cfRule type="cellIs" dxfId="175" priority="177" operator="lessThan">
      <formula>0</formula>
    </cfRule>
  </conditionalFormatting>
  <conditionalFormatting sqref="J32:J34">
    <cfRule type="cellIs" dxfId="174" priority="176" operator="lessThan">
      <formula>0</formula>
    </cfRule>
  </conditionalFormatting>
  <conditionalFormatting sqref="P32:P34">
    <cfRule type="cellIs" dxfId="173" priority="175" operator="lessThan">
      <formula>0</formula>
    </cfRule>
  </conditionalFormatting>
  <conditionalFormatting sqref="T32:T34">
    <cfRule type="cellIs" dxfId="172" priority="173" operator="lessThan">
      <formula>0</formula>
    </cfRule>
  </conditionalFormatting>
  <conditionalFormatting sqref="AI32:AK34 AE32:AG34 AC32:AC34">
    <cfRule type="cellIs" dxfId="171" priority="172" operator="lessThan">
      <formula>0</formula>
    </cfRule>
  </conditionalFormatting>
  <conditionalFormatting sqref="AO32:AO34 AM32:AM34 AS32:AS34">
    <cfRule type="cellIs" dxfId="170" priority="171" operator="lessThan">
      <formula>0</formula>
    </cfRule>
  </conditionalFormatting>
  <conditionalFormatting sqref="CB32:CB34 BE32:BE34 BU32:BU34 BS32:BS34 CD32:CD34 BK32:BK34">
    <cfRule type="cellIs" dxfId="169" priority="170" operator="lessThan">
      <formula>0</formula>
    </cfRule>
  </conditionalFormatting>
  <conditionalFormatting sqref="BO32:BO34">
    <cfRule type="cellIs" dxfId="168" priority="169" operator="lessThan">
      <formula>0</formula>
    </cfRule>
  </conditionalFormatting>
  <conditionalFormatting sqref="DE32:DE34 DN32:DN34 DB32:DB34 CS32:CS34 DK32:DK34 DQ32:DQ34 DT32:DT34 CG32:CG34 CK32:CK34 CI32:CI34 CV32:CV34 CY32:CY34 DH32:DH34 CO32:CP34">
    <cfRule type="cellIs" dxfId="167" priority="168" operator="lessThan">
      <formula>0</formula>
    </cfRule>
  </conditionalFormatting>
  <conditionalFormatting sqref="DJ32:DJ34">
    <cfRule type="cellIs" dxfId="166" priority="167" operator="lessThan">
      <formula>0</formula>
    </cfRule>
  </conditionalFormatting>
  <conditionalFormatting sqref="DM33:DM34">
    <cfRule type="cellIs" dxfId="165" priority="166" operator="lessThan">
      <formula>0</formula>
    </cfRule>
  </conditionalFormatting>
  <conditionalFormatting sqref="DP33:DP34">
    <cfRule type="cellIs" dxfId="164" priority="165" operator="lessThan">
      <formula>0</formula>
    </cfRule>
  </conditionalFormatting>
  <conditionalFormatting sqref="DS32:DS34">
    <cfRule type="cellIs" dxfId="163" priority="164" operator="lessThan">
      <formula>0</formula>
    </cfRule>
  </conditionalFormatting>
  <conditionalFormatting sqref="EA32:EA34">
    <cfRule type="cellIs" dxfId="162" priority="163" operator="lessThan">
      <formula>0</formula>
    </cfRule>
  </conditionalFormatting>
  <conditionalFormatting sqref="EH32:EJ34">
    <cfRule type="cellIs" dxfId="161" priority="162" operator="lessThan">
      <formula>0</formula>
    </cfRule>
  </conditionalFormatting>
  <conditionalFormatting sqref="DZ32">
    <cfRule type="cellIs" dxfId="160" priority="161" operator="lessThan">
      <formula>0</formula>
    </cfRule>
  </conditionalFormatting>
  <conditionalFormatting sqref="EB32">
    <cfRule type="cellIs" dxfId="159" priority="160" operator="lessThan">
      <formula>0</formula>
    </cfRule>
  </conditionalFormatting>
  <conditionalFormatting sqref="ED32">
    <cfRule type="cellIs" dxfId="158" priority="159" operator="lessThan">
      <formula>0</formula>
    </cfRule>
  </conditionalFormatting>
  <conditionalFormatting sqref="ED32">
    <cfRule type="cellIs" dxfId="157" priority="158" operator="lessThan">
      <formula>0</formula>
    </cfRule>
  </conditionalFormatting>
  <conditionalFormatting sqref="EF32">
    <cfRule type="cellIs" dxfId="156" priority="156" operator="lessThan">
      <formula>0</formula>
    </cfRule>
  </conditionalFormatting>
  <conditionalFormatting sqref="EF32">
    <cfRule type="cellIs" dxfId="155" priority="157" operator="lessThan">
      <formula>0</formula>
    </cfRule>
  </conditionalFormatting>
  <conditionalFormatting sqref="DZ33:DZ34">
    <cfRule type="cellIs" dxfId="154" priority="155" operator="lessThan">
      <formula>0</formula>
    </cfRule>
  </conditionalFormatting>
  <conditionalFormatting sqref="EB33:EB34">
    <cfRule type="cellIs" dxfId="153" priority="154" operator="lessThan">
      <formula>0</formula>
    </cfRule>
  </conditionalFormatting>
  <conditionalFormatting sqref="ED33:ED34">
    <cfRule type="cellIs" dxfId="152" priority="153" operator="lessThan">
      <formula>0</formula>
    </cfRule>
  </conditionalFormatting>
  <conditionalFormatting sqref="ED33:ED34">
    <cfRule type="cellIs" dxfId="151" priority="152" operator="lessThan">
      <formula>0</formula>
    </cfRule>
  </conditionalFormatting>
  <conditionalFormatting sqref="EF33:EF34">
    <cfRule type="cellIs" dxfId="150" priority="150" operator="lessThan">
      <formula>0</formula>
    </cfRule>
  </conditionalFormatting>
  <conditionalFormatting sqref="EF33:EF34">
    <cfRule type="cellIs" dxfId="149" priority="151" operator="lessThan">
      <formula>0</formula>
    </cfRule>
  </conditionalFormatting>
  <conditionalFormatting sqref="EC32:EC34">
    <cfRule type="cellIs" dxfId="148" priority="149" operator="lessThan">
      <formula>0</formula>
    </cfRule>
  </conditionalFormatting>
  <conditionalFormatting sqref="EE32:EE34">
    <cfRule type="cellIs" dxfId="147" priority="148" operator="lessThan">
      <formula>0</formula>
    </cfRule>
  </conditionalFormatting>
  <conditionalFormatting sqref="EG32:EG34">
    <cfRule type="cellIs" dxfId="146" priority="147" operator="lessThan">
      <formula>0</formula>
    </cfRule>
  </conditionalFormatting>
  <conditionalFormatting sqref="AD32:AD34 AL32:AL34 AR32:AR34 AX32:AX34 AZ32:AZ34 BD32:BD34 BF32:BF34 BH32:BH34 BJ32:BJ34 BL32:BN34">
    <cfRule type="cellIs" dxfId="145" priority="146" operator="lessThan">
      <formula>0</formula>
    </cfRule>
  </conditionalFormatting>
  <conditionalFormatting sqref="AN32:AN34">
    <cfRule type="cellIs" dxfId="144" priority="145" operator="lessThan">
      <formula>0</formula>
    </cfRule>
  </conditionalFormatting>
  <conditionalFormatting sqref="AP32:AP34 BP32:BP34 CH32:CH34 CN32:CN34 CU32:CU34 CW32:CX34 CZ32:DA34">
    <cfRule type="cellIs" dxfId="143" priority="144" operator="lessThan">
      <formula>0</formula>
    </cfRule>
  </conditionalFormatting>
  <conditionalFormatting sqref="BR32:BR34">
    <cfRule type="cellIs" dxfId="142" priority="143" operator="lessThan">
      <formula>0</formula>
    </cfRule>
  </conditionalFormatting>
  <conditionalFormatting sqref="BT32:BT34">
    <cfRule type="cellIs" dxfId="141" priority="142" operator="lessThan">
      <formula>0</formula>
    </cfRule>
  </conditionalFormatting>
  <conditionalFormatting sqref="BW32:BY34">
    <cfRule type="cellIs" dxfId="140" priority="141" operator="lessThan">
      <formula>0</formula>
    </cfRule>
  </conditionalFormatting>
  <conditionalFormatting sqref="BV32:BV34">
    <cfRule type="cellIs" dxfId="139" priority="140" operator="lessThan">
      <formula>0</formula>
    </cfRule>
  </conditionalFormatting>
  <conditionalFormatting sqref="CA32:CA34">
    <cfRule type="cellIs" dxfId="138" priority="139" operator="lessThan">
      <formula>0</formula>
    </cfRule>
  </conditionalFormatting>
  <conditionalFormatting sqref="CC32:CC34">
    <cfRule type="cellIs" dxfId="137" priority="138" operator="lessThan">
      <formula>0</formula>
    </cfRule>
  </conditionalFormatting>
  <conditionalFormatting sqref="CE32:CE34">
    <cfRule type="cellIs" dxfId="136" priority="137" operator="lessThan">
      <formula>0</formula>
    </cfRule>
  </conditionalFormatting>
  <conditionalFormatting sqref="CF32:CF34">
    <cfRule type="cellIs" dxfId="135" priority="136" operator="lessThan">
      <formula>0</formula>
    </cfRule>
  </conditionalFormatting>
  <conditionalFormatting sqref="CJ32:CJ34">
    <cfRule type="cellIs" dxfId="134" priority="135" operator="lessThan">
      <formula>0</formula>
    </cfRule>
  </conditionalFormatting>
  <conditionalFormatting sqref="CL32:CL34">
    <cfRule type="cellIs" dxfId="133" priority="134" operator="lessThan">
      <formula>0</formula>
    </cfRule>
  </conditionalFormatting>
  <conditionalFormatting sqref="K5">
    <cfRule type="cellIs" dxfId="132" priority="133" operator="lessThan">
      <formula>0</formula>
    </cfRule>
  </conditionalFormatting>
  <conditionalFormatting sqref="M5">
    <cfRule type="cellIs" dxfId="131" priority="132" operator="lessThan">
      <formula>0</formula>
    </cfRule>
  </conditionalFormatting>
  <conditionalFormatting sqref="O5">
    <cfRule type="cellIs" dxfId="130" priority="131" operator="lessThan">
      <formula>0</formula>
    </cfRule>
  </conditionalFormatting>
  <conditionalFormatting sqref="I12">
    <cfRule type="cellIs" dxfId="129" priority="130" operator="lessThan">
      <formula>0</formula>
    </cfRule>
  </conditionalFormatting>
  <conditionalFormatting sqref="K12">
    <cfRule type="cellIs" dxfId="128" priority="129" operator="lessThan">
      <formula>0</formula>
    </cfRule>
  </conditionalFormatting>
  <conditionalFormatting sqref="M12">
    <cfRule type="cellIs" dxfId="127" priority="128" operator="lessThan">
      <formula>0</formula>
    </cfRule>
  </conditionalFormatting>
  <conditionalFormatting sqref="O12">
    <cfRule type="cellIs" dxfId="126" priority="127" operator="lessThan">
      <formula>0</formula>
    </cfRule>
  </conditionalFormatting>
  <conditionalFormatting sqref="I13">
    <cfRule type="cellIs" dxfId="125" priority="126" operator="lessThan">
      <formula>0</formula>
    </cfRule>
  </conditionalFormatting>
  <conditionalFormatting sqref="K13">
    <cfRule type="cellIs" dxfId="124" priority="125" operator="lessThan">
      <formula>0</formula>
    </cfRule>
  </conditionalFormatting>
  <conditionalFormatting sqref="M13">
    <cfRule type="cellIs" dxfId="123" priority="124" operator="lessThan">
      <formula>0</formula>
    </cfRule>
  </conditionalFormatting>
  <conditionalFormatting sqref="O13">
    <cfRule type="cellIs" dxfId="122" priority="123" operator="lessThan">
      <formula>0</formula>
    </cfRule>
  </conditionalFormatting>
  <conditionalFormatting sqref="M17">
    <cfRule type="cellIs" dxfId="121" priority="122" operator="lessThan">
      <formula>0</formula>
    </cfRule>
  </conditionalFormatting>
  <conditionalFormatting sqref="K18:K19">
    <cfRule type="cellIs" dxfId="120" priority="121" operator="lessThan">
      <formula>0</formula>
    </cfRule>
  </conditionalFormatting>
  <conditionalFormatting sqref="M26:M29">
    <cfRule type="cellIs" dxfId="119" priority="120" operator="lessThan">
      <formula>0</formula>
    </cfRule>
  </conditionalFormatting>
  <conditionalFormatting sqref="I30">
    <cfRule type="cellIs" dxfId="118" priority="119" operator="lessThan">
      <formula>0</formula>
    </cfRule>
  </conditionalFormatting>
  <conditionalFormatting sqref="M30">
    <cfRule type="cellIs" dxfId="117" priority="118" operator="lessThan">
      <formula>0</formula>
    </cfRule>
  </conditionalFormatting>
  <conditionalFormatting sqref="O26:O30">
    <cfRule type="cellIs" dxfId="116" priority="117" operator="lessThan">
      <formula>0</formula>
    </cfRule>
  </conditionalFormatting>
  <conditionalFormatting sqref="K4">
    <cfRule type="cellIs" dxfId="115" priority="116" operator="lessThan">
      <formula>0</formula>
    </cfRule>
  </conditionalFormatting>
  <conditionalFormatting sqref="M4">
    <cfRule type="cellIs" dxfId="114" priority="115" operator="lessThan">
      <formula>0</formula>
    </cfRule>
  </conditionalFormatting>
  <conditionalFormatting sqref="O4">
    <cfRule type="cellIs" dxfId="113" priority="114" operator="lessThan">
      <formula>0</formula>
    </cfRule>
  </conditionalFormatting>
  <conditionalFormatting sqref="O15:O19">
    <cfRule type="cellIs" dxfId="112" priority="113" operator="lessThan">
      <formula>0</formula>
    </cfRule>
  </conditionalFormatting>
  <conditionalFormatting sqref="I20">
    <cfRule type="cellIs" dxfId="111" priority="112" operator="lessThan">
      <formula>0</formula>
    </cfRule>
  </conditionalFormatting>
  <conditionalFormatting sqref="I21">
    <cfRule type="cellIs" dxfId="110" priority="111" operator="lessThan">
      <formula>0</formula>
    </cfRule>
  </conditionalFormatting>
  <conditionalFormatting sqref="K20">
    <cfRule type="cellIs" dxfId="109" priority="110" operator="lessThan">
      <formula>0</formula>
    </cfRule>
  </conditionalFormatting>
  <conditionalFormatting sqref="K21">
    <cfRule type="cellIs" dxfId="108" priority="109" operator="lessThan">
      <formula>0</formula>
    </cfRule>
  </conditionalFormatting>
  <conditionalFormatting sqref="M20">
    <cfRule type="cellIs" dxfId="107" priority="108" operator="lessThan">
      <formula>0</formula>
    </cfRule>
  </conditionalFormatting>
  <conditionalFormatting sqref="M21">
    <cfRule type="cellIs" dxfId="106" priority="107" operator="lessThan">
      <formula>0</formula>
    </cfRule>
  </conditionalFormatting>
  <conditionalFormatting sqref="O20">
    <cfRule type="cellIs" dxfId="105" priority="106" operator="lessThan">
      <formula>0</formula>
    </cfRule>
  </conditionalFormatting>
  <conditionalFormatting sqref="O21">
    <cfRule type="cellIs" dxfId="104" priority="105" operator="lessThan">
      <formula>0</formula>
    </cfRule>
  </conditionalFormatting>
  <conditionalFormatting sqref="DZ21">
    <cfRule type="cellIs" dxfId="103" priority="104" operator="lessThan">
      <formula>0</formula>
    </cfRule>
  </conditionalFormatting>
  <conditionalFormatting sqref="EB21">
    <cfRule type="cellIs" dxfId="102" priority="103" operator="lessThan">
      <formula>0</formula>
    </cfRule>
  </conditionalFormatting>
  <conditionalFormatting sqref="ED21">
    <cfRule type="cellIs" dxfId="101" priority="102" operator="lessThan">
      <formula>0</formula>
    </cfRule>
  </conditionalFormatting>
  <conditionalFormatting sqref="ED21">
    <cfRule type="cellIs" dxfId="100" priority="101" operator="lessThan">
      <formula>0</formula>
    </cfRule>
  </conditionalFormatting>
  <conditionalFormatting sqref="EF21">
    <cfRule type="cellIs" dxfId="99" priority="100" operator="lessThan">
      <formula>0</formula>
    </cfRule>
  </conditionalFormatting>
  <conditionalFormatting sqref="EF21">
    <cfRule type="cellIs" dxfId="98" priority="99" operator="lessThan">
      <formula>0</formula>
    </cfRule>
  </conditionalFormatting>
  <conditionalFormatting sqref="EF21">
    <cfRule type="cellIs" dxfId="97" priority="98" operator="lessThan">
      <formula>0</formula>
    </cfRule>
  </conditionalFormatting>
  <conditionalFormatting sqref="I24">
    <cfRule type="cellIs" dxfId="96" priority="97" operator="lessThan">
      <formula>0</formula>
    </cfRule>
  </conditionalFormatting>
  <conditionalFormatting sqref="U18">
    <cfRule type="cellIs" dxfId="95" priority="96" operator="lessThan">
      <formula>0</formula>
    </cfRule>
  </conditionalFormatting>
  <conditionalFormatting sqref="DW20:DW27 DW29:DW34">
    <cfRule type="cellIs" dxfId="94" priority="95" operator="lessThan">
      <formula>0</formula>
    </cfRule>
  </conditionalFormatting>
  <conditionalFormatting sqref="BQ30:BQ34">
    <cfRule type="cellIs" dxfId="93" priority="94" operator="lessThan">
      <formula>0</formula>
    </cfRule>
  </conditionalFormatting>
  <conditionalFormatting sqref="EK3:EP3 EA3 Z3 U3 CG3 DH3 CY3 CV3 BU3 BS3 CB3 AO3 CI3 CK3 CD3 CO3:CP3 AB3:AG3 DT3 DQ3 DK3 CS3 AI3:AM3 DB3 DN3 DE3 AQ3:AZ3 BE3:BF3 BC3:BC27 BZ3:BZ27 BC29:BC34 AY29:AY34 AY4:AY27 BH3 BJ3:BN3 BZ29:BZ34">
    <cfRule type="cellIs" dxfId="92" priority="93" operator="lessThan">
      <formula>0</formula>
    </cfRule>
  </conditionalFormatting>
  <conditionalFormatting sqref="BR3">
    <cfRule type="cellIs" dxfId="91" priority="92" operator="lessThan">
      <formula>0</formula>
    </cfRule>
  </conditionalFormatting>
  <conditionalFormatting sqref="EH3:EJ3">
    <cfRule type="cellIs" dxfId="90" priority="91" operator="lessThan">
      <formula>0</formula>
    </cfRule>
  </conditionalFormatting>
  <conditionalFormatting sqref="AA3:AA9">
    <cfRule type="cellIs" dxfId="89" priority="90" operator="lessThan">
      <formula>0</formula>
    </cfRule>
  </conditionalFormatting>
  <conditionalFormatting sqref="S3">
    <cfRule type="cellIs" dxfId="88" priority="89" operator="lessThan">
      <formula>0</formula>
    </cfRule>
  </conditionalFormatting>
  <conditionalFormatting sqref="EC3">
    <cfRule type="cellIs" dxfId="87" priority="85" operator="lessThan">
      <formula>0</formula>
    </cfRule>
  </conditionalFormatting>
  <conditionalFormatting sqref="L3">
    <cfRule type="cellIs" dxfId="86" priority="88" operator="lessThan">
      <formula>0</formula>
    </cfRule>
  </conditionalFormatting>
  <conditionalFormatting sqref="N3">
    <cfRule type="cellIs" dxfId="85" priority="87" operator="lessThan">
      <formula>0</formula>
    </cfRule>
  </conditionalFormatting>
  <conditionalFormatting sqref="W3">
    <cfRule type="cellIs" dxfId="84" priority="86" operator="lessThan">
      <formula>0</formula>
    </cfRule>
  </conditionalFormatting>
  <conditionalFormatting sqref="DZ3">
    <cfRule type="cellIs" dxfId="83" priority="84" operator="lessThan">
      <formula>0</formula>
    </cfRule>
  </conditionalFormatting>
  <conditionalFormatting sqref="EB3">
    <cfRule type="cellIs" dxfId="82" priority="83" operator="lessThan">
      <formula>0</formula>
    </cfRule>
  </conditionalFormatting>
  <conditionalFormatting sqref="ED3">
    <cfRule type="cellIs" dxfId="81" priority="82" operator="lessThan">
      <formula>0</formula>
    </cfRule>
  </conditionalFormatting>
  <conditionalFormatting sqref="ED3">
    <cfRule type="cellIs" dxfId="80" priority="81" operator="lessThan">
      <formula>0</formula>
    </cfRule>
  </conditionalFormatting>
  <conditionalFormatting sqref="EF3">
    <cfRule type="cellIs" dxfId="79" priority="79" operator="lessThan">
      <formula>0</formula>
    </cfRule>
  </conditionalFormatting>
  <conditionalFormatting sqref="EF3">
    <cfRule type="cellIs" dxfId="78" priority="80" operator="lessThan">
      <formula>0</formula>
    </cfRule>
  </conditionalFormatting>
  <conditionalFormatting sqref="AN3">
    <cfRule type="cellIs" dxfId="77" priority="78" operator="lessThan">
      <formula>0</formula>
    </cfRule>
  </conditionalFormatting>
  <conditionalFormatting sqref="BA3:BA27 BA29:BA34">
    <cfRule type="cellIs" dxfId="76" priority="77" operator="lessThan">
      <formula>0</formula>
    </cfRule>
  </conditionalFormatting>
  <conditionalFormatting sqref="Q3">
    <cfRule type="cellIs" dxfId="75" priority="76" operator="lessThan">
      <formula>0</formula>
    </cfRule>
  </conditionalFormatting>
  <conditionalFormatting sqref="BO3">
    <cfRule type="cellIs" dxfId="74" priority="75" operator="lessThan">
      <formula>0</formula>
    </cfRule>
  </conditionalFormatting>
  <conditionalFormatting sqref="M3">
    <cfRule type="cellIs" dxfId="73" priority="74" operator="lessThan">
      <formula>0</formula>
    </cfRule>
  </conditionalFormatting>
  <conditionalFormatting sqref="O3">
    <cfRule type="cellIs" dxfId="72" priority="73" operator="lessThan">
      <formula>0</formula>
    </cfRule>
  </conditionalFormatting>
  <conditionalFormatting sqref="AH3 AP3 E3 DR3 CH3 CZ3:DA3 DC3 CW3:CX3 CQ3:CR3 BP3 DF3:DG3 DL3 DO3 CT3:CU3 CM3:CN3 DI3 DX3 DU3">
    <cfRule type="cellIs" dxfId="71" priority="72" operator="lessThan">
      <formula>0</formula>
    </cfRule>
  </conditionalFormatting>
  <conditionalFormatting sqref="F3">
    <cfRule type="cellIs" dxfId="70" priority="71" operator="lessThan">
      <formula>0</formula>
    </cfRule>
  </conditionalFormatting>
  <conditionalFormatting sqref="DD3">
    <cfRule type="cellIs" dxfId="69" priority="70" operator="lessThan">
      <formula>0</formula>
    </cfRule>
  </conditionalFormatting>
  <conditionalFormatting sqref="DY3">
    <cfRule type="cellIs" dxfId="68" priority="69" operator="lessThan">
      <formula>0</formula>
    </cfRule>
  </conditionalFormatting>
  <conditionalFormatting sqref="J3">
    <cfRule type="cellIs" dxfId="67" priority="68" operator="lessThan">
      <formula>0</formula>
    </cfRule>
  </conditionalFormatting>
  <conditionalFormatting sqref="P3">
    <cfRule type="cellIs" dxfId="66" priority="67" operator="lessThan">
      <formula>0</formula>
    </cfRule>
  </conditionalFormatting>
  <conditionalFormatting sqref="DJ3">
    <cfRule type="cellIs" dxfId="65" priority="66" operator="lessThan">
      <formula>0</formula>
    </cfRule>
  </conditionalFormatting>
  <conditionalFormatting sqref="DM3">
    <cfRule type="cellIs" dxfId="64" priority="65" operator="lessThan">
      <formula>0</formula>
    </cfRule>
  </conditionalFormatting>
  <conditionalFormatting sqref="DP3">
    <cfRule type="cellIs" dxfId="63" priority="64" operator="lessThan">
      <formula>0</formula>
    </cfRule>
  </conditionalFormatting>
  <conditionalFormatting sqref="DS3">
    <cfRule type="cellIs" dxfId="62" priority="63" operator="lessThan">
      <formula>0</formula>
    </cfRule>
  </conditionalFormatting>
  <conditionalFormatting sqref="DV3">
    <cfRule type="cellIs" dxfId="61" priority="62" operator="lessThan">
      <formula>0</formula>
    </cfRule>
  </conditionalFormatting>
  <conditionalFormatting sqref="EE3">
    <cfRule type="cellIs" dxfId="60" priority="61" operator="lessThan">
      <formula>0</formula>
    </cfRule>
  </conditionalFormatting>
  <conditionalFormatting sqref="EG3">
    <cfRule type="cellIs" dxfId="59" priority="60" operator="lessThan">
      <formula>0</formula>
    </cfRule>
  </conditionalFormatting>
  <conditionalFormatting sqref="BT3">
    <cfRule type="cellIs" dxfId="58" priority="59" operator="lessThan">
      <formula>0</formula>
    </cfRule>
  </conditionalFormatting>
  <conditionalFormatting sqref="BW3:BY3">
    <cfRule type="cellIs" dxfId="57" priority="58" operator="lessThan">
      <formula>0</formula>
    </cfRule>
  </conditionalFormatting>
  <conditionalFormatting sqref="BV3">
    <cfRule type="cellIs" dxfId="56" priority="57" operator="lessThan">
      <formula>0</formula>
    </cfRule>
  </conditionalFormatting>
  <conditionalFormatting sqref="CA3">
    <cfRule type="cellIs" dxfId="55" priority="56" operator="lessThan">
      <formula>0</formula>
    </cfRule>
  </conditionalFormatting>
  <conditionalFormatting sqref="CC3">
    <cfRule type="cellIs" dxfId="54" priority="55" operator="lessThan">
      <formula>0</formula>
    </cfRule>
  </conditionalFormatting>
  <conditionalFormatting sqref="CE3">
    <cfRule type="cellIs" dxfId="53" priority="54" operator="lessThan">
      <formula>0</formula>
    </cfRule>
  </conditionalFormatting>
  <conditionalFormatting sqref="CF3">
    <cfRule type="cellIs" dxfId="52" priority="53" operator="lessThan">
      <formula>0</formula>
    </cfRule>
  </conditionalFormatting>
  <conditionalFormatting sqref="CJ3">
    <cfRule type="cellIs" dxfId="51" priority="52" operator="lessThan">
      <formula>0</formula>
    </cfRule>
  </conditionalFormatting>
  <conditionalFormatting sqref="CL3">
    <cfRule type="cellIs" dxfId="50" priority="51" operator="lessThan">
      <formula>0</formula>
    </cfRule>
  </conditionalFormatting>
  <conditionalFormatting sqref="G3:H3">
    <cfRule type="cellIs" dxfId="49" priority="50" operator="lessThan">
      <formula>0</formula>
    </cfRule>
  </conditionalFormatting>
  <conditionalFormatting sqref="I3">
    <cfRule type="cellIs" dxfId="48" priority="49" operator="lessThan">
      <formula>0</formula>
    </cfRule>
  </conditionalFormatting>
  <conditionalFormatting sqref="D3 B3">
    <cfRule type="cellIs" dxfId="47" priority="48" operator="lessThan">
      <formula>0</formula>
    </cfRule>
  </conditionalFormatting>
  <conditionalFormatting sqref="V3">
    <cfRule type="cellIs" dxfId="46" priority="45" operator="lessThan">
      <formula>0</formula>
    </cfRule>
  </conditionalFormatting>
  <conditionalFormatting sqref="K3">
    <cfRule type="cellIs" dxfId="45" priority="47" operator="lessThan">
      <formula>0</formula>
    </cfRule>
  </conditionalFormatting>
  <conditionalFormatting sqref="C3">
    <cfRule type="cellIs" dxfId="44" priority="46" operator="lessThan">
      <formula>0</formula>
    </cfRule>
  </conditionalFormatting>
  <conditionalFormatting sqref="T3">
    <cfRule type="cellIs" dxfId="43" priority="44" operator="lessThan">
      <formula>0</formula>
    </cfRule>
  </conditionalFormatting>
  <conditionalFormatting sqref="T3">
    <cfRule type="cellIs" dxfId="42" priority="43" operator="lessThan">
      <formula>0</formula>
    </cfRule>
  </conditionalFormatting>
  <conditionalFormatting sqref="R3">
    <cfRule type="cellIs" dxfId="41" priority="42" operator="lessThan">
      <formula>0</formula>
    </cfRule>
  </conditionalFormatting>
  <conditionalFormatting sqref="DW3">
    <cfRule type="cellIs" dxfId="40" priority="41" operator="lessThan">
      <formula>0</formula>
    </cfRule>
  </conditionalFormatting>
  <conditionalFormatting sqref="BQ3">
    <cfRule type="cellIs" dxfId="39" priority="40" operator="lessThan">
      <formula>0</formula>
    </cfRule>
  </conditionalFormatting>
  <conditionalFormatting sqref="ER20">
    <cfRule type="cellIs" dxfId="38" priority="39" operator="lessThan">
      <formula>0</formula>
    </cfRule>
  </conditionalFormatting>
  <conditionalFormatting sqref="A3">
    <cfRule type="cellIs" dxfId="37" priority="38" operator="lessThan">
      <formula>0</formula>
    </cfRule>
  </conditionalFormatting>
  <conditionalFormatting sqref="D4">
    <cfRule type="cellIs" dxfId="36" priority="37" operator="lessThan">
      <formula>0</formula>
    </cfRule>
  </conditionalFormatting>
  <conditionalFormatting sqref="EJ4">
    <cfRule type="cellIs" dxfId="35" priority="36" operator="lessThan">
      <formula>0</formula>
    </cfRule>
  </conditionalFormatting>
  <conditionalFormatting sqref="BB3:BB27 BB29:BB34">
    <cfRule type="cellIs" dxfId="34" priority="35" operator="lessThan">
      <formula>0</formula>
    </cfRule>
  </conditionalFormatting>
  <conditionalFormatting sqref="R4:R34">
    <cfRule type="cellIs" dxfId="33" priority="34" operator="lessThan">
      <formula>0</formula>
    </cfRule>
  </conditionalFormatting>
  <conditionalFormatting sqref="AG19">
    <cfRule type="cellIs" dxfId="32" priority="33" operator="lessThan">
      <formula>0</formula>
    </cfRule>
  </conditionalFormatting>
  <conditionalFormatting sqref="AO28 AX28 AZ28 AK28:AM28 AQ28:AV28 BD28:BE28">
    <cfRule type="cellIs" dxfId="31" priority="32" operator="lessThan">
      <formula>0</formula>
    </cfRule>
  </conditionalFormatting>
  <conditionalFormatting sqref="AN28">
    <cfRule type="cellIs" dxfId="30" priority="31" operator="lessThan">
      <formula>0</formula>
    </cfRule>
  </conditionalFormatting>
  <conditionalFormatting sqref="AP28">
    <cfRule type="cellIs" dxfId="29" priority="30" operator="lessThan">
      <formula>0</formula>
    </cfRule>
  </conditionalFormatting>
  <conditionalFormatting sqref="AW28">
    <cfRule type="cellIs" dxfId="28" priority="29" operator="lessThan">
      <formula>0</formula>
    </cfRule>
  </conditionalFormatting>
  <conditionalFormatting sqref="AY28 BC28">
    <cfRule type="cellIs" dxfId="27" priority="28" operator="lessThan">
      <formula>0</formula>
    </cfRule>
  </conditionalFormatting>
  <conditionalFormatting sqref="BA28">
    <cfRule type="cellIs" dxfId="26" priority="27" operator="lessThan">
      <formula>0</formula>
    </cfRule>
  </conditionalFormatting>
  <conditionalFormatting sqref="BB28">
    <cfRule type="cellIs" dxfId="25" priority="26" operator="lessThan">
      <formula>0</formula>
    </cfRule>
  </conditionalFormatting>
  <conditionalFormatting sqref="DE28 DN28 DB28 CS28 DK28 DQ28 DT28 CD28 CK28 CB28 BS28 BU28 CV28 CY28 DH28 CI28 CG28 BH28 CO28:CP28 BQ28 BJ28:BO28">
    <cfRule type="cellIs" dxfId="24" priority="25" operator="lessThan">
      <formula>0</formula>
    </cfRule>
  </conditionalFormatting>
  <conditionalFormatting sqref="DL28 DF28:DG28 CQ28:CR28 CW28:CX28 CH28 DR28 DI28 DU28 DC28 DO28 CM28:CN28 BP28 CZ28:DA28 CT28:CU28">
    <cfRule type="cellIs" dxfId="23" priority="24" operator="lessThan">
      <formula>0</formula>
    </cfRule>
  </conditionalFormatting>
  <conditionalFormatting sqref="DD28">
    <cfRule type="cellIs" dxfId="22" priority="23" operator="lessThan">
      <formula>0</formula>
    </cfRule>
  </conditionalFormatting>
  <conditionalFormatting sqref="DJ28">
    <cfRule type="cellIs" dxfId="21" priority="22" operator="lessThan">
      <formula>0</formula>
    </cfRule>
  </conditionalFormatting>
  <conditionalFormatting sqref="DM28">
    <cfRule type="cellIs" dxfId="20" priority="21" operator="lessThan">
      <formula>0</formula>
    </cfRule>
  </conditionalFormatting>
  <conditionalFormatting sqref="DP28">
    <cfRule type="cellIs" dxfId="19" priority="20" operator="lessThan">
      <formula>0</formula>
    </cfRule>
  </conditionalFormatting>
  <conditionalFormatting sqref="DS28">
    <cfRule type="cellIs" dxfId="18" priority="19" operator="lessThan">
      <formula>0</formula>
    </cfRule>
  </conditionalFormatting>
  <conditionalFormatting sqref="DV28">
    <cfRule type="cellIs" dxfId="17" priority="18" operator="lessThan">
      <formula>0</formula>
    </cfRule>
  </conditionalFormatting>
  <conditionalFormatting sqref="BR28">
    <cfRule type="cellIs" dxfId="16" priority="17" operator="lessThan">
      <formula>0</formula>
    </cfRule>
  </conditionalFormatting>
  <conditionalFormatting sqref="BT28">
    <cfRule type="cellIs" dxfId="15" priority="16" operator="lessThan">
      <formula>0</formula>
    </cfRule>
  </conditionalFormatting>
  <conditionalFormatting sqref="BW28:BY28">
    <cfRule type="cellIs" dxfId="14" priority="15" operator="lessThan">
      <formula>0</formula>
    </cfRule>
  </conditionalFormatting>
  <conditionalFormatting sqref="BV28">
    <cfRule type="cellIs" dxfId="13" priority="14" operator="lessThan">
      <formula>0</formula>
    </cfRule>
  </conditionalFormatting>
  <conditionalFormatting sqref="CA28">
    <cfRule type="cellIs" dxfId="12" priority="13" operator="lessThan">
      <formula>0</formula>
    </cfRule>
  </conditionalFormatting>
  <conditionalFormatting sqref="CC28">
    <cfRule type="cellIs" dxfId="11" priority="12" operator="lessThan">
      <formula>0</formula>
    </cfRule>
  </conditionalFormatting>
  <conditionalFormatting sqref="CE28">
    <cfRule type="cellIs" dxfId="10" priority="11" operator="lessThan">
      <formula>0</formula>
    </cfRule>
  </conditionalFormatting>
  <conditionalFormatting sqref="CF28">
    <cfRule type="cellIs" dxfId="9" priority="10" operator="lessThan">
      <formula>0</formula>
    </cfRule>
  </conditionalFormatting>
  <conditionalFormatting sqref="CJ28">
    <cfRule type="cellIs" dxfId="8" priority="9" operator="lessThan">
      <formula>0</formula>
    </cfRule>
  </conditionalFormatting>
  <conditionalFormatting sqref="CL28">
    <cfRule type="cellIs" dxfId="7" priority="8" operator="lessThan">
      <formula>0</formula>
    </cfRule>
  </conditionalFormatting>
  <conditionalFormatting sqref="DW28">
    <cfRule type="cellIs" dxfId="6" priority="7" operator="lessThan">
      <formula>0</formula>
    </cfRule>
  </conditionalFormatting>
  <conditionalFormatting sqref="BZ28">
    <cfRule type="cellIs" dxfId="5" priority="6" operator="lessThan">
      <formula>0</formula>
    </cfRule>
  </conditionalFormatting>
  <conditionalFormatting sqref="BG29:BG34 BG17:BG27">
    <cfRule type="cellIs" dxfId="4" priority="5" operator="lessThan">
      <formula>0</formula>
    </cfRule>
  </conditionalFormatting>
  <conditionalFormatting sqref="BG5:BG16">
    <cfRule type="cellIs" dxfId="3" priority="4" operator="lessThan">
      <formula>0</formula>
    </cfRule>
  </conditionalFormatting>
  <conditionalFormatting sqref="BG3:BG4">
    <cfRule type="cellIs" dxfId="2" priority="3" operator="lessThan">
      <formula>0</formula>
    </cfRule>
  </conditionalFormatting>
  <conditionalFormatting sqref="BG28">
    <cfRule type="cellIs" dxfId="1" priority="2" operator="lessThan">
      <formula>0</formula>
    </cfRule>
  </conditionalFormatting>
  <conditionalFormatting sqref="BI3:BI34">
    <cfRule type="cellIs" dxfId="0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U34"/>
  <sheetViews>
    <sheetView workbookViewId="0">
      <selection activeCell="DT18" sqref="DS18:DT18"/>
    </sheetView>
  </sheetViews>
  <sheetFormatPr defaultRowHeight="12.75" x14ac:dyDescent="0.2"/>
  <sheetData>
    <row r="2" spans="14:14" ht="13.5" thickBot="1" x14ac:dyDescent="0.25"/>
    <row r="3" spans="14:14" ht="13.5" thickBot="1" x14ac:dyDescent="0.25">
      <c r="N3" s="22">
        <f>'[1]Sep 2019'!R3</f>
        <v>2054945</v>
      </c>
    </row>
    <row r="4" spans="14:14" ht="13.5" thickBot="1" x14ac:dyDescent="0.25">
      <c r="N4" s="22">
        <f>'[1]Sep 2019'!R4</f>
        <v>2055440</v>
      </c>
    </row>
    <row r="5" spans="14:14" ht="13.5" thickBot="1" x14ac:dyDescent="0.25">
      <c r="N5" s="22">
        <f>'[1]Sep 2019'!R5</f>
        <v>2056149</v>
      </c>
    </row>
    <row r="6" spans="14:14" ht="13.5" thickBot="1" x14ac:dyDescent="0.25">
      <c r="N6" s="22">
        <f>'[1]Sep 2019'!R6</f>
        <v>2056651</v>
      </c>
    </row>
    <row r="7" spans="14:14" ht="13.5" thickBot="1" x14ac:dyDescent="0.25">
      <c r="N7" s="22">
        <f>'[1]Sep 2019'!R7</f>
        <v>2057174</v>
      </c>
    </row>
    <row r="8" spans="14:14" ht="13.5" thickBot="1" x14ac:dyDescent="0.25">
      <c r="N8" s="22">
        <f>'[1]Sep 2019'!R8</f>
        <v>2057715</v>
      </c>
    </row>
    <row r="9" spans="14:14" ht="13.5" thickBot="1" x14ac:dyDescent="0.25">
      <c r="N9" s="22">
        <f>'[1]Sep 2019'!R9</f>
        <v>2058246</v>
      </c>
    </row>
    <row r="10" spans="14:14" ht="13.5" thickBot="1" x14ac:dyDescent="0.25">
      <c r="N10" s="22">
        <f>'[1]Sep 2019'!R10</f>
        <v>2058780</v>
      </c>
    </row>
    <row r="11" spans="14:14" ht="13.5" thickBot="1" x14ac:dyDescent="0.25">
      <c r="N11" s="22">
        <f>'[1]Sep 2019'!R11</f>
        <v>2059332</v>
      </c>
    </row>
    <row r="12" spans="14:14" ht="13.5" thickBot="1" x14ac:dyDescent="0.25">
      <c r="N12" s="22">
        <f>'[1]Sep 2019'!R12</f>
        <v>2059908</v>
      </c>
    </row>
    <row r="13" spans="14:14" ht="13.5" thickBot="1" x14ac:dyDescent="0.25">
      <c r="N13" s="22">
        <f>'[1]Sep 2019'!R13</f>
        <v>2060432</v>
      </c>
    </row>
    <row r="14" spans="14:14" ht="13.5" thickBot="1" x14ac:dyDescent="0.25">
      <c r="N14" s="22">
        <f>'[1]Sep 2019'!R14</f>
        <v>2061086</v>
      </c>
    </row>
    <row r="15" spans="14:14" ht="13.5" thickBot="1" x14ac:dyDescent="0.25">
      <c r="N15" s="22">
        <f>'[1]Sep 2019'!R15</f>
        <v>2061615</v>
      </c>
    </row>
    <row r="16" spans="14:14" ht="13.5" thickBot="1" x14ac:dyDescent="0.25">
      <c r="N16" s="22">
        <f>'[1]Sep 2019'!R16</f>
        <v>2062113</v>
      </c>
    </row>
    <row r="17" spans="2:125" ht="13.5" thickBot="1" x14ac:dyDescent="0.25">
      <c r="N17" s="22">
        <f>'[1]Sep 2019'!R17</f>
        <v>2062731</v>
      </c>
    </row>
    <row r="18" spans="2:125" ht="13.5" thickBot="1" x14ac:dyDescent="0.25">
      <c r="N18" s="22">
        <f>'[1]Sep 2019'!R18</f>
        <v>2063291</v>
      </c>
      <c r="S18">
        <f>'[1]Sep 2019'!W18</f>
        <v>7</v>
      </c>
      <c r="DU18" s="23">
        <f>'[1]Sep 2019'!EA18</f>
        <v>0.67</v>
      </c>
    </row>
    <row r="19" spans="2:125" ht="13.5" thickBot="1" x14ac:dyDescent="0.25">
      <c r="N19" s="22">
        <f>'[1]Sep 2019'!R19</f>
        <v>2063914</v>
      </c>
      <c r="S19">
        <f>'[1]Sep 2019'!W19</f>
        <v>7</v>
      </c>
      <c r="DU19" s="23">
        <f>'[1]Sep 2019'!EA19</f>
        <v>0.63</v>
      </c>
    </row>
    <row r="20" spans="2:125" ht="13.5" thickBot="1" x14ac:dyDescent="0.25">
      <c r="N20" s="22">
        <f>'[1]Sep 2019'!R20</f>
        <v>2064501</v>
      </c>
      <c r="S20">
        <f>'[1]Sep 2019'!W20</f>
        <v>8</v>
      </c>
      <c r="DU20" s="23">
        <f>'[1]Sep 2019'!EA20</f>
        <v>0.69</v>
      </c>
    </row>
    <row r="21" spans="2:125" ht="13.5" thickBot="1" x14ac:dyDescent="0.25">
      <c r="N21" s="22">
        <f>'[1]Sep 2019'!R21</f>
        <v>2065035</v>
      </c>
      <c r="P21">
        <f>'[1]Sep 2019'!T21</f>
        <v>426545</v>
      </c>
      <c r="S21">
        <f>'[1]Sep 2019'!W21</f>
        <v>8</v>
      </c>
      <c r="DU21" s="23">
        <f>'[1]Sep 2019'!EA21</f>
        <v>0.7</v>
      </c>
    </row>
    <row r="22" spans="2:125" ht="13.5" thickBot="1" x14ac:dyDescent="0.25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22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23">
        <f>'[1]Sep 2019'!EA22</f>
        <v>0.79</v>
      </c>
    </row>
    <row r="23" spans="2:125" ht="13.5" thickBot="1" x14ac:dyDescent="0.25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22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23">
        <f>'[1]Sep 2019'!EA23</f>
        <v>0.83</v>
      </c>
    </row>
    <row r="24" spans="2:125" ht="13.5" thickBot="1" x14ac:dyDescent="0.25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22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23">
        <f>'[1]Sep 2019'!EA24</f>
        <v>0.85</v>
      </c>
    </row>
    <row r="25" spans="2:125" ht="13.5" thickBot="1" x14ac:dyDescent="0.25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22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23">
        <f>'[1]Sep 2019'!EA25</f>
        <v>0.85</v>
      </c>
    </row>
    <row r="26" spans="2:125" ht="13.5" thickBot="1" x14ac:dyDescent="0.25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22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23">
        <f>'[1]Sep 2019'!EA26</f>
        <v>0.82</v>
      </c>
    </row>
    <row r="27" spans="2:125" ht="13.5" thickBot="1" x14ac:dyDescent="0.25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22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23">
        <f>'[1]Sep 2019'!EA27</f>
        <v>0.69</v>
      </c>
    </row>
    <row r="28" spans="2:125" ht="13.5" thickBot="1" x14ac:dyDescent="0.25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22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23">
        <f>'[1]Sep 2019'!EA28</f>
        <v>0.85</v>
      </c>
    </row>
    <row r="29" spans="2:125" ht="13.5" thickBot="1" x14ac:dyDescent="0.25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22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23">
        <f>'[1]Sep 2019'!EA29</f>
        <v>0.85</v>
      </c>
    </row>
    <row r="30" spans="2:125" ht="13.5" thickBot="1" x14ac:dyDescent="0.25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22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23">
        <f>'[1]Sep 2019'!EA30</f>
        <v>0.82</v>
      </c>
    </row>
    <row r="31" spans="2:125" ht="13.5" thickBot="1" x14ac:dyDescent="0.25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22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23">
        <f>'[1]Sep 2019'!EA31</f>
        <v>0.88</v>
      </c>
    </row>
    <row r="32" spans="2:125" ht="13.5" thickBot="1" x14ac:dyDescent="0.25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22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23">
        <f>'[1]Sep 2019'!EA32</f>
        <v>0.77</v>
      </c>
    </row>
    <row r="33" spans="2:125" ht="13.5" thickBot="1" x14ac:dyDescent="0.25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22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23">
        <f>'[1]Sep 2019'!EA33</f>
        <v>0.76</v>
      </c>
    </row>
    <row r="34" spans="2:125" ht="13.5" thickBot="1" x14ac:dyDescent="0.25">
      <c r="B34" s="19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22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23">
        <f>'[1]Sep 2019'!EA34</f>
        <v>0</v>
      </c>
    </row>
  </sheetData>
  <conditionalFormatting sqref="B34">
    <cfRule type="cellIs" dxfId="465" priority="374" operator="lessThan">
      <formula>0</formula>
    </cfRule>
  </conditionalFormatting>
  <conditionalFormatting sqref="B34">
    <cfRule type="cellIs" dxfId="464" priority="373" operator="lessThan">
      <formula>0</formula>
    </cfRule>
  </conditionalFormatting>
  <conditionalFormatting sqref="N3:N34">
    <cfRule type="cellIs" dxfId="463" priority="372" operator="lessThan">
      <formula>0</formula>
    </cfRule>
  </conditionalFormatting>
  <conditionalFormatting sqref="N3:N34">
    <cfRule type="cellIs" dxfId="462" priority="371" operator="lessThan">
      <formula>0</formula>
    </cfRule>
  </conditionalFormatting>
  <conditionalFormatting sqref="N3:N34">
    <cfRule type="cellIs" dxfId="461" priority="370" operator="lessThan">
      <formula>0</formula>
    </cfRule>
  </conditionalFormatting>
  <conditionalFormatting sqref="N3:N34">
    <cfRule type="cellIs" dxfId="460" priority="369" operator="lessThan">
      <formula>0</formula>
    </cfRule>
  </conditionalFormatting>
  <conditionalFormatting sqref="N3:N34">
    <cfRule type="cellIs" dxfId="459" priority="368" operator="lessThan">
      <formula>0</formula>
    </cfRule>
  </conditionalFormatting>
  <conditionalFormatting sqref="N3:N34">
    <cfRule type="cellIs" dxfId="458" priority="367" operator="lessThan">
      <formula>0</formula>
    </cfRule>
  </conditionalFormatting>
  <conditionalFormatting sqref="N3:N34">
    <cfRule type="cellIs" dxfId="457" priority="366" operator="lessThan">
      <formula>0</formula>
    </cfRule>
  </conditionalFormatting>
  <conditionalFormatting sqref="N3:N34">
    <cfRule type="cellIs" dxfId="456" priority="365" operator="lessThan">
      <formula>0</formula>
    </cfRule>
  </conditionalFormatting>
  <conditionalFormatting sqref="N3:N34">
    <cfRule type="cellIs" dxfId="455" priority="364" operator="lessThan">
      <formula>0</formula>
    </cfRule>
  </conditionalFormatting>
  <conditionalFormatting sqref="N3:N34">
    <cfRule type="cellIs" dxfId="454" priority="363" operator="lessThan">
      <formula>0</formula>
    </cfRule>
  </conditionalFormatting>
  <conditionalFormatting sqref="N3:N34">
    <cfRule type="cellIs" dxfId="453" priority="362" operator="lessThan">
      <formula>0</formula>
    </cfRule>
  </conditionalFormatting>
  <conditionalFormatting sqref="N3:N34">
    <cfRule type="cellIs" dxfId="452" priority="361" operator="lessThan">
      <formula>0</formula>
    </cfRule>
  </conditionalFormatting>
  <conditionalFormatting sqref="N4:N9">
    <cfRule type="cellIs" dxfId="451" priority="360" operator="lessThan">
      <formula>0</formula>
    </cfRule>
  </conditionalFormatting>
  <conditionalFormatting sqref="N4:N9">
    <cfRule type="cellIs" dxfId="450" priority="359" operator="lessThan">
      <formula>0</formula>
    </cfRule>
  </conditionalFormatting>
  <conditionalFormatting sqref="N3:N34">
    <cfRule type="cellIs" dxfId="449" priority="358" operator="lessThan">
      <formula>0</formula>
    </cfRule>
  </conditionalFormatting>
  <conditionalFormatting sqref="N3:N34">
    <cfRule type="cellIs" dxfId="448" priority="357" operator="lessThan">
      <formula>0</formula>
    </cfRule>
  </conditionalFormatting>
  <conditionalFormatting sqref="N3:N34">
    <cfRule type="cellIs" dxfId="447" priority="356" operator="lessThan">
      <formula>0</formula>
    </cfRule>
  </conditionalFormatting>
  <conditionalFormatting sqref="N3:N34">
    <cfRule type="cellIs" dxfId="446" priority="355" operator="lessThan">
      <formula>0</formula>
    </cfRule>
  </conditionalFormatting>
  <conditionalFormatting sqref="N3:N34">
    <cfRule type="cellIs" dxfId="445" priority="354" operator="lessThan">
      <formula>0</formula>
    </cfRule>
  </conditionalFormatting>
  <conditionalFormatting sqref="N4">
    <cfRule type="cellIs" dxfId="444" priority="353" operator="lessThan">
      <formula>0</formula>
    </cfRule>
  </conditionalFormatting>
  <conditionalFormatting sqref="N3:N34">
    <cfRule type="cellIs" dxfId="443" priority="352" operator="lessThan">
      <formula>0</formula>
    </cfRule>
  </conditionalFormatting>
  <conditionalFormatting sqref="N3:N34">
    <cfRule type="cellIs" dxfId="442" priority="351" operator="lessThan">
      <formula>0</formula>
    </cfRule>
  </conditionalFormatting>
  <conditionalFormatting sqref="N3:N34">
    <cfRule type="cellIs" dxfId="441" priority="350" operator="lessThan">
      <formula>0</formula>
    </cfRule>
  </conditionalFormatting>
  <conditionalFormatting sqref="N3:N34">
    <cfRule type="cellIs" dxfId="440" priority="349" operator="lessThan">
      <formula>0</formula>
    </cfRule>
  </conditionalFormatting>
  <conditionalFormatting sqref="N3:N34">
    <cfRule type="cellIs" dxfId="439" priority="348" operator="lessThan">
      <formula>0</formula>
    </cfRule>
  </conditionalFormatting>
  <conditionalFormatting sqref="N3:N34">
    <cfRule type="cellIs" dxfId="438" priority="347" operator="lessThan">
      <formula>0</formula>
    </cfRule>
  </conditionalFormatting>
  <conditionalFormatting sqref="N3:N34">
    <cfRule type="cellIs" dxfId="437" priority="346" operator="lessThan">
      <formula>0</formula>
    </cfRule>
  </conditionalFormatting>
  <conditionalFormatting sqref="N3:N34">
    <cfRule type="cellIs" dxfId="436" priority="345" operator="lessThan">
      <formula>0</formula>
    </cfRule>
  </conditionalFormatting>
  <conditionalFormatting sqref="N3:N34">
    <cfRule type="cellIs" dxfId="435" priority="344" operator="lessThan">
      <formula>0</formula>
    </cfRule>
  </conditionalFormatting>
  <conditionalFormatting sqref="N3:N34">
    <cfRule type="cellIs" dxfId="434" priority="343" operator="lessThan">
      <formula>0</formula>
    </cfRule>
  </conditionalFormatting>
  <conditionalFormatting sqref="N3:N34">
    <cfRule type="cellIs" dxfId="433" priority="342" operator="lessThan">
      <formula>0</formula>
    </cfRule>
  </conditionalFormatting>
  <conditionalFormatting sqref="N3:N34">
    <cfRule type="cellIs" dxfId="432" priority="341" operator="lessThan">
      <formula>0</formula>
    </cfRule>
  </conditionalFormatting>
  <conditionalFormatting sqref="N3:N34">
    <cfRule type="cellIs" dxfId="431" priority="340" operator="lessThan">
      <formula>0</formula>
    </cfRule>
  </conditionalFormatting>
  <conditionalFormatting sqref="N3:N34">
    <cfRule type="cellIs" dxfId="430" priority="339" operator="lessThan">
      <formula>0</formula>
    </cfRule>
  </conditionalFormatting>
  <conditionalFormatting sqref="N3:N34">
    <cfRule type="cellIs" dxfId="429" priority="338" operator="lessThan">
      <formula>0</formula>
    </cfRule>
  </conditionalFormatting>
  <conditionalFormatting sqref="N3:N34">
    <cfRule type="cellIs" dxfId="428" priority="337" operator="lessThan">
      <formula>0</formula>
    </cfRule>
  </conditionalFormatting>
  <conditionalFormatting sqref="N3:N34">
    <cfRule type="cellIs" dxfId="427" priority="336" operator="lessThan">
      <formula>0</formula>
    </cfRule>
  </conditionalFormatting>
  <conditionalFormatting sqref="N3:N34">
    <cfRule type="cellIs" dxfId="426" priority="335" operator="lessThan">
      <formula>0</formula>
    </cfRule>
  </conditionalFormatting>
  <conditionalFormatting sqref="N3:N34">
    <cfRule type="cellIs" dxfId="425" priority="334" operator="lessThan">
      <formula>0</formula>
    </cfRule>
  </conditionalFormatting>
  <conditionalFormatting sqref="N3:N34">
    <cfRule type="cellIs" dxfId="424" priority="333" operator="lessThan">
      <formula>0</formula>
    </cfRule>
  </conditionalFormatting>
  <conditionalFormatting sqref="N3:N34">
    <cfRule type="cellIs" dxfId="423" priority="332" operator="lessThan">
      <formula>0</formula>
    </cfRule>
  </conditionalFormatting>
  <conditionalFormatting sqref="N3:N34">
    <cfRule type="cellIs" dxfId="422" priority="331" operator="lessThan">
      <formula>0</formula>
    </cfRule>
  </conditionalFormatting>
  <conditionalFormatting sqref="N3:N34">
    <cfRule type="cellIs" dxfId="421" priority="330" operator="lessThan">
      <formula>0</formula>
    </cfRule>
  </conditionalFormatting>
  <conditionalFormatting sqref="N3:N34">
    <cfRule type="cellIs" dxfId="420" priority="329" operator="lessThan">
      <formula>0</formula>
    </cfRule>
  </conditionalFormatting>
  <conditionalFormatting sqref="N3:N34">
    <cfRule type="cellIs" dxfId="419" priority="328" operator="lessThan">
      <formula>0</formula>
    </cfRule>
  </conditionalFormatting>
  <conditionalFormatting sqref="N3:N34">
    <cfRule type="cellIs" dxfId="418" priority="327" operator="lessThan">
      <formula>0</formula>
    </cfRule>
  </conditionalFormatting>
  <conditionalFormatting sqref="N3:N34">
    <cfRule type="cellIs" dxfId="417" priority="326" operator="lessThan">
      <formula>0</formula>
    </cfRule>
  </conditionalFormatting>
  <conditionalFormatting sqref="N3:N34">
    <cfRule type="cellIs" dxfId="416" priority="325" operator="lessThan">
      <formula>0</formula>
    </cfRule>
  </conditionalFormatting>
  <conditionalFormatting sqref="N3:N34">
    <cfRule type="cellIs" dxfId="415" priority="324" operator="lessThan">
      <formula>0</formula>
    </cfRule>
  </conditionalFormatting>
  <conditionalFormatting sqref="N3:N34">
    <cfRule type="cellIs" dxfId="414" priority="323" operator="lessThan">
      <formula>0</formula>
    </cfRule>
  </conditionalFormatting>
  <conditionalFormatting sqref="N3:N34">
    <cfRule type="cellIs" dxfId="413" priority="322" operator="lessThan">
      <formula>0</formula>
    </cfRule>
  </conditionalFormatting>
  <conditionalFormatting sqref="N3:N34">
    <cfRule type="cellIs" dxfId="412" priority="321" operator="lessThan">
      <formula>0</formula>
    </cfRule>
  </conditionalFormatting>
  <conditionalFormatting sqref="N3:N34">
    <cfRule type="cellIs" dxfId="411" priority="320" operator="lessThan">
      <formula>0</formula>
    </cfRule>
  </conditionalFormatting>
  <conditionalFormatting sqref="N3:N34">
    <cfRule type="cellIs" dxfId="410" priority="319" operator="lessThan">
      <formula>0</formula>
    </cfRule>
  </conditionalFormatting>
  <conditionalFormatting sqref="N3:N34">
    <cfRule type="cellIs" dxfId="409" priority="318" operator="lessThan">
      <formula>0</formula>
    </cfRule>
  </conditionalFormatting>
  <conditionalFormatting sqref="N3:N34">
    <cfRule type="cellIs" dxfId="408" priority="317" operator="lessThan">
      <formula>0</formula>
    </cfRule>
  </conditionalFormatting>
  <conditionalFormatting sqref="N3:N34">
    <cfRule type="cellIs" dxfId="407" priority="316" operator="lessThan">
      <formula>0</formula>
    </cfRule>
  </conditionalFormatting>
  <conditionalFormatting sqref="N3:N34">
    <cfRule type="cellIs" dxfId="406" priority="315" operator="lessThan">
      <formula>0</formula>
    </cfRule>
  </conditionalFormatting>
  <conditionalFormatting sqref="N3:N34">
    <cfRule type="cellIs" dxfId="405" priority="314" operator="lessThan">
      <formula>0</formula>
    </cfRule>
  </conditionalFormatting>
  <conditionalFormatting sqref="N5:N9">
    <cfRule type="cellIs" dxfId="404" priority="313" operator="lessThan">
      <formula>0</formula>
    </cfRule>
  </conditionalFormatting>
  <conditionalFormatting sqref="N3:N34">
    <cfRule type="cellIs" dxfId="403" priority="312" operator="lessThan">
      <formula>0</formula>
    </cfRule>
  </conditionalFormatting>
  <conditionalFormatting sqref="N3:N34">
    <cfRule type="cellIs" dxfId="402" priority="311" operator="lessThan">
      <formula>0</formula>
    </cfRule>
  </conditionalFormatting>
  <conditionalFormatting sqref="N3:N34">
    <cfRule type="cellIs" dxfId="401" priority="310" operator="lessThan">
      <formula>0</formula>
    </cfRule>
  </conditionalFormatting>
  <conditionalFormatting sqref="N3:N34">
    <cfRule type="cellIs" dxfId="400" priority="309" operator="lessThan">
      <formula>0</formula>
    </cfRule>
  </conditionalFormatting>
  <conditionalFormatting sqref="N3:N34">
    <cfRule type="cellIs" dxfId="399" priority="308" operator="lessThan">
      <formula>0</formula>
    </cfRule>
  </conditionalFormatting>
  <conditionalFormatting sqref="N3:N34">
    <cfRule type="cellIs" dxfId="398" priority="307" operator="lessThan">
      <formula>0</formula>
    </cfRule>
  </conditionalFormatting>
  <conditionalFormatting sqref="N3:N34">
    <cfRule type="cellIs" dxfId="397" priority="306" operator="lessThan">
      <formula>0</formula>
    </cfRule>
  </conditionalFormatting>
  <conditionalFormatting sqref="N3:N34">
    <cfRule type="cellIs" dxfId="396" priority="305" operator="lessThan">
      <formula>0</formula>
    </cfRule>
  </conditionalFormatting>
  <conditionalFormatting sqref="N3:N34">
    <cfRule type="cellIs" dxfId="395" priority="304" operator="lessThan">
      <formula>0</formula>
    </cfRule>
  </conditionalFormatting>
  <conditionalFormatting sqref="N3:N34">
    <cfRule type="cellIs" dxfId="394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Preet Sanmukhiya</cp:lastModifiedBy>
  <cp:revision/>
  <dcterms:created xsi:type="dcterms:W3CDTF">2016-09-19T10:41:46Z</dcterms:created>
  <dcterms:modified xsi:type="dcterms:W3CDTF">2022-01-17T14:38:27Z</dcterms:modified>
  <cp:category/>
  <cp:contentStatus/>
</cp:coreProperties>
</file>