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00" yWindow="-225" windowWidth="12345" windowHeight="12360" tabRatio="580" firstSheet="2" activeTab="1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" i="2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B14" i="76"/>
  <c r="AC14"/>
  <c r="AB15"/>
  <c r="AC15"/>
  <c r="AB16"/>
  <c r="AC16"/>
  <c r="AB17"/>
  <c r="AC17"/>
  <c r="AB18"/>
  <c r="AC18"/>
  <c r="AB19"/>
  <c r="AC19"/>
  <c r="AC13"/>
  <c r="AB13"/>
  <c r="AA12"/>
  <c r="AB12"/>
  <c r="AC12"/>
  <c r="AD12"/>
  <c r="AA10"/>
  <c r="AB10"/>
  <c r="AC10"/>
  <c r="AD10"/>
  <c r="AA11"/>
  <c r="AB11"/>
  <c r="AE11" s="1"/>
  <c r="AF11" s="1"/>
  <c r="AC11"/>
  <c r="AD11"/>
  <c r="AB9"/>
  <c r="AC9"/>
  <c r="AD9"/>
  <c r="Z12"/>
  <c r="Z10"/>
  <c r="Z11"/>
  <c r="AA9"/>
  <c r="X14"/>
  <c r="Y14"/>
  <c r="W15"/>
  <c r="W16"/>
  <c r="W14"/>
  <c r="Y10"/>
  <c r="Y11"/>
  <c r="Z9"/>
  <c r="Y9"/>
  <c r="W11"/>
  <c r="W10"/>
  <c r="W9"/>
  <c r="V10"/>
  <c r="V11"/>
  <c r="V9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O3"/>
  <c r="P3"/>
  <c r="Q3"/>
  <c r="R3"/>
  <c r="S3"/>
  <c r="T3"/>
  <c r="B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P34" i="3"/>
  <c r="C2"/>
  <c r="D2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AX7" i="5"/>
  <c r="AX8" s="1"/>
  <c r="AX9" s="1"/>
  <c r="AX10" s="1"/>
  <c r="AX11" s="1"/>
  <c r="AX12" s="1"/>
  <c r="AX13" s="1"/>
  <c r="AX14" s="1"/>
  <c r="AX15" s="1"/>
  <c r="AX16" s="1"/>
  <c r="AX17" s="1"/>
  <c r="AX18" s="1"/>
  <c r="AX19" s="1"/>
  <c r="AK38"/>
  <c r="F37"/>
  <c r="C5" i="79"/>
  <c r="D5"/>
  <c r="E5"/>
  <c r="F5"/>
  <c r="G5"/>
  <c r="H5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W5"/>
  <c r="AX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6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5"/>
  <c r="M6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6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D4"/>
  <c r="E4"/>
  <c r="F4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L4"/>
  <c r="M4"/>
  <c r="N4"/>
  <c r="O4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L4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4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H4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V20" i="5" l="1"/>
  <c r="AZ19"/>
  <c r="AX20"/>
  <c r="BA19"/>
  <c r="N6" i="1"/>
  <c r="M7"/>
  <c r="K6"/>
  <c r="L5"/>
  <c r="AV21" i="5" l="1"/>
  <c r="AZ20"/>
  <c r="BC20" s="1"/>
  <c r="AX2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22" i="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21"/>
  <c r="AX22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M12" i="1" l="1"/>
  <c r="N1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M13" i="1" l="1"/>
  <c r="N12"/>
  <c r="K12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K13" i="1" l="1"/>
  <c r="L12"/>
  <c r="M14"/>
  <c r="N13"/>
  <c r="A21"/>
  <c r="A22"/>
  <c r="A23"/>
  <c r="A24"/>
  <c r="A25"/>
  <c r="A26"/>
  <c r="Q14" i="2"/>
  <c r="Q13"/>
  <c r="M15" i="1" l="1"/>
  <c r="N14"/>
  <c r="K14"/>
  <c r="L13"/>
  <c r="S5" i="3"/>
  <c r="S6"/>
  <c r="K11" i="73"/>
  <c r="Y7" i="5"/>
  <c r="Y8"/>
  <c r="M16" i="1" l="1"/>
  <c r="N15"/>
  <c r="K15"/>
  <c r="L14"/>
  <c r="O5" i="73"/>
  <c r="N5"/>
  <c r="M5"/>
  <c r="L5"/>
  <c r="K5"/>
  <c r="J5"/>
  <c r="I5"/>
  <c r="H5"/>
  <c r="G5"/>
  <c r="F5"/>
  <c r="E5"/>
  <c r="D5"/>
  <c r="C5"/>
  <c r="B5"/>
  <c r="H6" i="77"/>
  <c r="M17" i="1" l="1"/>
  <c r="N16"/>
  <c r="K16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K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M20"/>
  <c r="N19"/>
  <c r="Q17" i="2"/>
  <c r="S9" i="3"/>
  <c r="AB16" i="74"/>
  <c r="AA16"/>
  <c r="K20" i="1" l="1"/>
  <c r="L19"/>
  <c r="M21"/>
  <c r="N20"/>
  <c r="Q18" i="2"/>
  <c r="S16" i="3"/>
  <c r="C78" i="74"/>
  <c r="B78"/>
  <c r="Y13" i="76"/>
  <c r="X11"/>
  <c r="X10"/>
  <c r="BH5" i="7"/>
  <c r="K21" i="1" l="1"/>
  <c r="L20"/>
  <c r="M22"/>
  <c r="N21"/>
  <c r="Q19" i="2"/>
  <c r="C48" i="74"/>
  <c r="B48"/>
  <c r="K22" i="1" l="1"/>
  <c r="L2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M24" i="1" l="1"/>
  <c r="N23"/>
  <c r="K23"/>
  <c r="L22"/>
  <c r="Q21" i="2"/>
  <c r="M25" i="1" l="1"/>
  <c r="N24"/>
  <c r="K24"/>
  <c r="L23"/>
  <c r="Q22" i="2"/>
  <c r="C13" i="76"/>
  <c r="M26" i="1" l="1"/>
  <c r="N25"/>
  <c r="K25"/>
  <c r="L24"/>
  <c r="Q23" i="2"/>
  <c r="C14" i="76"/>
  <c r="M27" i="1" l="1"/>
  <c r="N26"/>
  <c r="K26"/>
  <c r="L25"/>
  <c r="Q24" i="2"/>
  <c r="C15" i="76"/>
  <c r="K35" i="73"/>
  <c r="G35"/>
  <c r="D35"/>
  <c r="E22" i="3"/>
  <c r="M28" i="1" l="1"/>
  <c r="N27"/>
  <c r="K27"/>
  <c r="L26"/>
  <c r="Q25" i="2"/>
  <c r="C16" i="76"/>
  <c r="AU16" i="5"/>
  <c r="D12" i="73"/>
  <c r="AB7" i="2"/>
  <c r="G5" i="76"/>
  <c r="M29" i="1" l="1"/>
  <c r="N28"/>
  <c r="K28"/>
  <c r="L27"/>
  <c r="Q26" i="2"/>
  <c r="V28" i="76"/>
  <c r="V27"/>
  <c r="M30" i="1" l="1"/>
  <c r="N29"/>
  <c r="K29"/>
  <c r="L28"/>
  <c r="Q27" i="2"/>
  <c r="C18" i="76"/>
  <c r="K30" i="1" l="1"/>
  <c r="L29"/>
  <c r="M3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K31"/>
  <c r="L30"/>
  <c r="Q29" i="2"/>
  <c r="C20" i="76"/>
  <c r="C4"/>
  <c r="AB8" i="2"/>
  <c r="G14" i="76"/>
  <c r="L14" s="1"/>
  <c r="AD33" i="2"/>
  <c r="Z33"/>
  <c r="I36" i="79"/>
  <c r="A36"/>
  <c r="L36" s="1"/>
  <c r="AJ33" i="3"/>
  <c r="U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V12" i="3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U13" i="3"/>
  <c r="K1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U14" i="3"/>
  <c r="S17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U15" i="3"/>
  <c r="S18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V18" i="3"/>
  <c r="AB17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U20" i="3"/>
  <c r="S2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AS12" i="7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V20" i="3"/>
  <c r="AB19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AE22" i="3" l="1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AE23" i="3" l="1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D37" i="5" l="1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N6" i="5"/>
  <c r="AA5" i="1"/>
  <c r="AH5" s="1"/>
  <c r="P6" i="5"/>
  <c r="W6"/>
  <c r="AL6" s="1"/>
  <c r="Q6" l="1"/>
  <c r="AD27"/>
  <c r="W26"/>
  <c r="AL26" s="1"/>
  <c r="AD17" i="1"/>
  <c r="AA17"/>
  <c r="AH17" s="1"/>
  <c r="P7" i="5"/>
  <c r="W5" i="1"/>
  <c r="B5" i="65"/>
  <c r="V36" i="1"/>
  <c r="AG5"/>
  <c r="AM5"/>
  <c r="N7" i="5"/>
  <c r="C5" i="65"/>
  <c r="AI5" i="1"/>
  <c r="M2" i="81" l="1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Q7" i="5"/>
  <c r="M3" i="81" s="1"/>
  <c r="E5" i="65"/>
  <c r="P8" i="5"/>
  <c r="AW6" i="7"/>
  <c r="F6" i="75"/>
  <c r="G6" s="1"/>
  <c r="N8" i="5"/>
  <c r="AD29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N9" i="5"/>
  <c r="Q8"/>
  <c r="P9"/>
  <c r="G2" i="81"/>
  <c r="AJ5" i="1"/>
  <c r="AK5" s="1"/>
  <c r="AX6" i="7"/>
  <c r="M4" i="81" l="1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9" i="5"/>
  <c r="M5" i="81" s="1"/>
  <c r="N10" i="5"/>
  <c r="P10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P11" i="5"/>
  <c r="N11"/>
  <c r="Q10"/>
  <c r="M6" i="81" l="1"/>
  <c r="Q11" i="5"/>
  <c r="M7" i="81" s="1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P12" i="5"/>
  <c r="Q12" s="1"/>
  <c r="M8" i="81" s="1"/>
  <c r="N12" i="5"/>
  <c r="AD33" l="1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P13" i="5"/>
  <c r="N13"/>
  <c r="Q13" l="1"/>
  <c r="M9" i="81" s="1"/>
  <c r="AD34" i="5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N14" i="5"/>
  <c r="P14"/>
  <c r="AD36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N15" i="5"/>
  <c r="P15"/>
  <c r="Q14"/>
  <c r="M10" i="81" s="1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N16" i="5"/>
  <c r="P16"/>
  <c r="Q15"/>
  <c r="M11" i="81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Q16" i="5"/>
  <c r="M12" i="81" s="1"/>
  <c r="P17" i="5"/>
  <c r="Q17" s="1"/>
  <c r="M13" i="81" s="1"/>
  <c r="N17" i="5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P18" i="5"/>
  <c r="Q18" s="1"/>
  <c r="M14" i="81" s="1"/>
  <c r="N18" i="5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P19" i="5"/>
  <c r="Q19" s="1"/>
  <c r="M15" i="81" s="1"/>
  <c r="N19" i="5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P20" i="5"/>
  <c r="Q20" s="1"/>
  <c r="M16" i="81" s="1"/>
  <c r="N20" i="5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P21" i="5"/>
  <c r="Q21" s="1"/>
  <c r="M17" i="81" s="1"/>
  <c r="N21" i="5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P22" i="5"/>
  <c r="Q22" s="1"/>
  <c r="M18" i="81" s="1"/>
  <c r="N22" i="5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N23" i="5"/>
  <c r="P23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N24" i="5"/>
  <c r="P24"/>
  <c r="Q23"/>
  <c r="M19" i="81" s="1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P25" i="5"/>
  <c r="Q24"/>
  <c r="M20" i="81" s="1"/>
  <c r="N25" i="5"/>
  <c r="Q25" l="1"/>
  <c r="M21" i="81" s="1"/>
  <c r="AJ35" i="1"/>
  <c r="AK35" s="1"/>
  <c r="AX36" i="7"/>
  <c r="AY34"/>
  <c r="Q32" i="76"/>
  <c r="AW35" i="7"/>
  <c r="AI37" i="1"/>
  <c r="P26" i="5"/>
  <c r="N26"/>
  <c r="AY36" i="7" l="1"/>
  <c r="Q34" i="76"/>
  <c r="Q26" i="5"/>
  <c r="M22" i="81" s="1"/>
  <c r="AJ34" i="1"/>
  <c r="AK34" s="1"/>
  <c r="G31" i="81"/>
  <c r="AX35" i="7"/>
  <c r="P27" i="5"/>
  <c r="Q27" s="1"/>
  <c r="M23" i="81" s="1"/>
  <c r="N27" i="5"/>
  <c r="Q33" i="76" l="1"/>
  <c r="AY35" i="7"/>
  <c r="AY37" s="1"/>
  <c r="AX37"/>
  <c r="Z40" i="76" s="1"/>
  <c r="P28" i="5"/>
  <c r="Q28" s="1"/>
  <c r="M24" i="81" s="1"/>
  <c r="N28" i="5"/>
  <c r="P29" l="1"/>
  <c r="Q29" s="1"/>
  <c r="M25" i="81" s="1"/>
  <c r="N29" i="5"/>
  <c r="P30" l="1"/>
  <c r="Q30" s="1"/>
  <c r="M26" i="81" s="1"/>
  <c r="N30" i="5"/>
  <c r="P31" l="1"/>
  <c r="Q31" s="1"/>
  <c r="M27" i="81" s="1"/>
  <c r="N31" i="5"/>
  <c r="P32" l="1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N36"/>
  <c r="N35"/>
  <c r="M32" i="81" l="1"/>
  <c r="Q37" i="5"/>
  <c r="O38" s="1"/>
  <c r="Q35"/>
  <c r="M31" i="81" l="1"/>
  <c r="F5" i="75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7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6" i="7"/>
  <c r="H2" i="81" l="1"/>
  <c r="AV7" i="7"/>
  <c r="AC28" i="76"/>
  <c r="AC27"/>
  <c r="AC26"/>
  <c r="H3" i="81" l="1"/>
  <c r="AV8" i="7"/>
  <c r="AC30" i="76"/>
  <c r="H4" i="81" l="1"/>
  <c r="AV9" i="7"/>
  <c r="W38" i="76"/>
  <c r="W40" s="1"/>
  <c r="W42" s="1"/>
  <c r="AC31"/>
  <c r="O34" s="1"/>
  <c r="O35" s="1"/>
  <c r="H5" i="81" l="1"/>
  <c r="AV10" i="7"/>
  <c r="P34" i="76"/>
  <c r="R34" s="1"/>
  <c r="O26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T31" s="1"/>
  <c r="F29" i="81" s="1"/>
  <c r="O16" i="7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T32" s="1"/>
  <c r="F30" i="81" s="1"/>
  <c r="O28" i="76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H6" l="1"/>
  <c r="AV11" i="7"/>
  <c r="AB34" i="76"/>
  <c r="AB35" s="1"/>
  <c r="AB36"/>
  <c r="AB38" s="1"/>
  <c r="Z39" s="1"/>
  <c r="Z41" s="1"/>
  <c r="Z43" s="1"/>
  <c r="AA40"/>
  <c r="D10" i="77"/>
  <c r="E10" s="1"/>
  <c r="AV12" i="7" l="1"/>
  <c r="H7" i="81"/>
  <c r="AA41" i="76"/>
  <c r="AB40"/>
  <c r="AB41" s="1"/>
  <c r="E12" i="77"/>
  <c r="G10"/>
  <c r="G12" s="1"/>
  <c r="F10"/>
  <c r="F12" s="1"/>
  <c r="AV13" i="7" l="1"/>
  <c r="H8" i="81"/>
  <c r="H14" i="77"/>
  <c r="I14"/>
  <c r="H9" i="81" l="1"/>
  <c r="AV14" i="7"/>
  <c r="AV15" l="1"/>
  <c r="H10" i="81"/>
  <c r="AX5" i="1"/>
  <c r="AV16" i="7" l="1"/>
  <c r="H11" i="81"/>
  <c r="J2"/>
  <c r="AX6" i="1"/>
  <c r="H12" i="81" l="1"/>
  <c r="AV17" i="7"/>
  <c r="AX7" i="1"/>
  <c r="J3" i="81"/>
  <c r="AV18" i="7" l="1"/>
  <c r="H13" i="81"/>
  <c r="AX8" i="1"/>
  <c r="J4" i="81"/>
  <c r="H14" l="1"/>
  <c r="AV19" i="7"/>
  <c r="AX9" i="1"/>
  <c r="J5" i="81"/>
  <c r="AV20" i="7" l="1"/>
  <c r="H15" i="81"/>
  <c r="J6"/>
  <c r="AX10" i="1"/>
  <c r="H16" i="81" l="1"/>
  <c r="AV21" i="7"/>
  <c r="AX11" i="1"/>
  <c r="J7" i="81"/>
  <c r="AV22" i="7" l="1"/>
  <c r="H17" i="81"/>
  <c r="J8"/>
  <c r="AX12" i="1"/>
  <c r="AV23" i="7" l="1"/>
  <c r="H18" i="81"/>
  <c r="J9"/>
  <c r="AX13" i="1"/>
  <c r="AV24" i="7" l="1"/>
  <c r="H19" i="81"/>
  <c r="J10"/>
  <c r="AX14" i="1"/>
  <c r="AV25" i="7" l="1"/>
  <c r="H20" i="81"/>
  <c r="AX15" i="1"/>
  <c r="J11" i="81"/>
  <c r="AV26" i="7" l="1"/>
  <c r="H21" i="81"/>
  <c r="AX16" i="1"/>
  <c r="J12" i="81"/>
  <c r="AV27" i="7" l="1"/>
  <c r="H22" i="81"/>
  <c r="J13"/>
  <c r="AX17" i="1"/>
  <c r="H23" i="81" l="1"/>
  <c r="AV28" i="7"/>
  <c r="AX18" i="1"/>
  <c r="J14" i="81"/>
  <c r="H24" l="1"/>
  <c r="AV29" i="7"/>
  <c r="AX19" i="1"/>
  <c r="J15" i="81"/>
  <c r="H25" l="1"/>
  <c r="AV30" i="7"/>
  <c r="J16" i="81"/>
  <c r="AX20" i="1"/>
  <c r="AV31" i="7" l="1"/>
  <c r="H26" i="81"/>
  <c r="AX21" i="1"/>
  <c r="J17" i="81"/>
  <c r="H27" l="1"/>
  <c r="AV32" i="7"/>
  <c r="J18" i="81"/>
  <c r="AX22" i="1"/>
  <c r="H28" i="81" l="1"/>
  <c r="AV33" i="7"/>
  <c r="J19" i="81"/>
  <c r="AX23" i="1"/>
  <c r="H29" i="81" l="1"/>
  <c r="AV34" i="7"/>
  <c r="AX24" i="1"/>
  <c r="J20" i="81"/>
  <c r="H30" l="1"/>
  <c r="AV35" i="7"/>
  <c r="AX25" i="1"/>
  <c r="J21" i="81"/>
  <c r="AV36" i="7" l="1"/>
  <c r="H32" i="81" s="1"/>
  <c r="H31"/>
  <c r="AX26" i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2" i="81" s="1"/>
  <c r="J31"/>
  <c r="AS6" i="5" l="1"/>
  <c r="AY6" l="1"/>
  <c r="BB6" s="1"/>
  <c r="BE6" s="1"/>
  <c r="AS7"/>
  <c r="AS8" l="1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I4" l="1"/>
  <c r="BF8" i="5"/>
  <c r="BG8" s="1"/>
  <c r="G8" i="65" s="1"/>
  <c r="AS10" i="5"/>
  <c r="AY9"/>
  <c r="BB9" s="1"/>
  <c r="BE9" s="1"/>
  <c r="G5" i="65"/>
  <c r="BF9" i="5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9" s="1"/>
  <c r="BB19" s="1"/>
  <c r="BE19" s="1"/>
  <c r="AY18"/>
  <c r="BB18" l="1"/>
  <c r="BE18" s="1"/>
  <c r="I14" i="63" s="1"/>
  <c r="AS20" i="5"/>
  <c r="AY20" s="1"/>
  <c r="BB20" s="1"/>
  <c r="BE20" s="1"/>
  <c r="BF18" l="1"/>
  <c r="BG18" s="1"/>
  <c r="G18" i="65" s="1"/>
  <c r="AS21" i="5"/>
  <c r="AY21" s="1"/>
  <c r="BF19"/>
  <c r="BG19" s="1"/>
  <c r="G19" i="65" s="1"/>
  <c r="I15" i="63"/>
  <c r="BB21" i="5" l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<sst xmlns="http://schemas.openxmlformats.org/spreadsheetml/2006/main" count="653" uniqueCount="418">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</sst>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558656"/>
        <c:axId val="113560192"/>
      </c:lineChart>
      <c:catAx>
        <c:axId val="11355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60192"/>
        <c:crosses val="autoZero"/>
        <c:auto val="1"/>
        <c:lblAlgn val="ctr"/>
        <c:lblOffset val="100"/>
      </c:catAx>
      <c:valAx>
        <c:axId val="113560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5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0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436736"/>
        <c:axId val="114438528"/>
      </c:lineChart>
      <c:catAx>
        <c:axId val="1144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38528"/>
        <c:crosses val="autoZero"/>
        <c:auto val="1"/>
        <c:lblAlgn val="ctr"/>
        <c:lblOffset val="100"/>
      </c:catAx>
      <c:valAx>
        <c:axId val="11443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90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466816"/>
        <c:axId val="114468352"/>
      </c:lineChart>
      <c:catAx>
        <c:axId val="1144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68352"/>
        <c:crosses val="autoZero"/>
        <c:auto val="1"/>
        <c:lblAlgn val="ctr"/>
        <c:lblOffset val="100"/>
      </c:catAx>
      <c:valAx>
        <c:axId val="114468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4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792"/>
          <c:y val="0.62975887529635965"/>
          <c:w val="7.9124755870162669E-2"/>
          <c:h val="4.49826989619480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304128"/>
        <c:axId val="114305664"/>
      </c:lineChart>
      <c:catAx>
        <c:axId val="11430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05664"/>
        <c:crosses val="autoZero"/>
        <c:auto val="1"/>
        <c:lblAlgn val="ctr"/>
        <c:lblOffset val="100"/>
      </c:catAx>
      <c:valAx>
        <c:axId val="114305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0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527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329856"/>
        <c:axId val="114348032"/>
      </c:lineChart>
      <c:catAx>
        <c:axId val="1143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48032"/>
        <c:crosses val="autoZero"/>
        <c:auto val="1"/>
        <c:lblAlgn val="ctr"/>
        <c:lblOffset val="100"/>
      </c:catAx>
      <c:valAx>
        <c:axId val="114348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3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0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093504"/>
        <c:axId val="115095040"/>
      </c:lineChart>
      <c:catAx>
        <c:axId val="11509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5040"/>
        <c:crosses val="autoZero"/>
        <c:auto val="1"/>
        <c:lblAlgn val="ctr"/>
        <c:lblOffset val="100"/>
      </c:catAx>
      <c:valAx>
        <c:axId val="115095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135616"/>
        <c:axId val="115137152"/>
      </c:lineChart>
      <c:catAx>
        <c:axId val="11513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37152"/>
        <c:crosses val="autoZero"/>
        <c:auto val="1"/>
        <c:lblAlgn val="ctr"/>
        <c:lblOffset val="100"/>
      </c:catAx>
      <c:valAx>
        <c:axId val="11513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3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488640"/>
        <c:axId val="115490176"/>
      </c:lineChart>
      <c:catAx>
        <c:axId val="11548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90176"/>
        <c:crosses val="autoZero"/>
        <c:auto val="1"/>
        <c:lblAlgn val="ctr"/>
        <c:lblOffset val="100"/>
      </c:catAx>
      <c:valAx>
        <c:axId val="115490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8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522560"/>
        <c:axId val="115528448"/>
      </c:lineChart>
      <c:catAx>
        <c:axId val="115522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28448"/>
        <c:crosses val="autoZero"/>
        <c:auto val="1"/>
        <c:lblAlgn val="ctr"/>
        <c:lblOffset val="100"/>
      </c:catAx>
      <c:valAx>
        <c:axId val="115528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2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273"/>
          <c:w val="0.1272403315177319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556736"/>
        <c:axId val="115558272"/>
      </c:lineChart>
      <c:catAx>
        <c:axId val="11555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8272"/>
        <c:crosses val="autoZero"/>
        <c:auto val="1"/>
        <c:lblAlgn val="ctr"/>
        <c:lblOffset val="100"/>
      </c:catAx>
      <c:valAx>
        <c:axId val="11555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598848"/>
        <c:axId val="115600384"/>
      </c:lineChart>
      <c:catAx>
        <c:axId val="11559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00384"/>
        <c:crosses val="autoZero"/>
        <c:auto val="1"/>
        <c:lblAlgn val="ctr"/>
        <c:lblOffset val="100"/>
      </c:catAx>
      <c:valAx>
        <c:axId val="11560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9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273"/>
          <c:w val="0.135416885389352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620480"/>
        <c:axId val="115650944"/>
      </c:lineChart>
      <c:catAx>
        <c:axId val="1156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50944"/>
        <c:crosses val="autoZero"/>
        <c:auto val="1"/>
        <c:lblAlgn val="ctr"/>
        <c:lblOffset val="100"/>
      </c:catAx>
      <c:valAx>
        <c:axId val="115650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27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745152"/>
        <c:axId val="115746688"/>
      </c:lineChart>
      <c:catAx>
        <c:axId val="11574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46688"/>
        <c:crosses val="autoZero"/>
        <c:auto val="1"/>
        <c:lblAlgn val="ctr"/>
        <c:lblOffset val="100"/>
      </c:catAx>
      <c:valAx>
        <c:axId val="11574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4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787264"/>
        <c:axId val="115788800"/>
      </c:lineChart>
      <c:catAx>
        <c:axId val="11578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88800"/>
        <c:crosses val="autoZero"/>
        <c:auto val="1"/>
        <c:lblAlgn val="ctr"/>
        <c:lblOffset val="100"/>
      </c:catAx>
      <c:valAx>
        <c:axId val="115788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8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273"/>
          <c:w val="0.135416885389352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870336"/>
        <c:axId val="115884416"/>
      </c:lineChart>
      <c:catAx>
        <c:axId val="11587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84416"/>
        <c:crosses val="autoZero"/>
        <c:auto val="1"/>
        <c:lblAlgn val="ctr"/>
        <c:lblOffset val="100"/>
      </c:catAx>
      <c:valAx>
        <c:axId val="115884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7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5293"/>
          <c:y val="0.54325368498487869"/>
          <c:w val="0.11458355205599259"/>
          <c:h val="4.498269896194751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12704"/>
        <c:axId val="115914240"/>
      </c:lineChart>
      <c:catAx>
        <c:axId val="11591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14240"/>
        <c:crosses val="autoZero"/>
        <c:auto val="1"/>
        <c:lblAlgn val="ctr"/>
        <c:lblOffset val="100"/>
      </c:catAx>
      <c:valAx>
        <c:axId val="1159142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1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95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112000"/>
        <c:axId val="114113536"/>
      </c:lineChart>
      <c:catAx>
        <c:axId val="11411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13536"/>
        <c:crosses val="autoZero"/>
        <c:auto val="1"/>
        <c:lblAlgn val="ctr"/>
        <c:lblOffset val="100"/>
      </c:catAx>
      <c:valAx>
        <c:axId val="11411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1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232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145920"/>
        <c:axId val="114147712"/>
      </c:lineChart>
      <c:catAx>
        <c:axId val="11414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47712"/>
        <c:crosses val="autoZero"/>
        <c:auto val="1"/>
        <c:lblAlgn val="ctr"/>
        <c:lblOffset val="100"/>
      </c:catAx>
      <c:valAx>
        <c:axId val="1141477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4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67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65952"/>
        <c:axId val="115967488"/>
      </c:lineChart>
      <c:catAx>
        <c:axId val="11596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67488"/>
        <c:crosses val="autoZero"/>
        <c:auto val="1"/>
        <c:lblAlgn val="ctr"/>
        <c:lblOffset val="100"/>
      </c:catAx>
      <c:valAx>
        <c:axId val="115967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6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91680"/>
        <c:axId val="115993216"/>
      </c:lineChart>
      <c:catAx>
        <c:axId val="1159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93216"/>
        <c:crosses val="autoZero"/>
        <c:auto val="1"/>
        <c:lblAlgn val="ctr"/>
        <c:lblOffset val="100"/>
      </c:catAx>
      <c:valAx>
        <c:axId val="11599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688"/>
          <c:y val="0.62975887529635965"/>
          <c:w val="0.13250539334757044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021504"/>
        <c:axId val="116027392"/>
      </c:lineChart>
      <c:catAx>
        <c:axId val="11602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27392"/>
        <c:crosses val="autoZero"/>
        <c:auto val="1"/>
        <c:lblAlgn val="ctr"/>
        <c:lblOffset val="100"/>
      </c:catAx>
      <c:valAx>
        <c:axId val="11602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2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27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047232"/>
        <c:axId val="116143232"/>
      </c:lineChart>
      <c:catAx>
        <c:axId val="11604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43232"/>
        <c:crosses val="autoZero"/>
        <c:auto val="1"/>
        <c:lblAlgn val="ctr"/>
        <c:lblOffset val="100"/>
      </c:catAx>
      <c:valAx>
        <c:axId val="11614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4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5277"/>
          <c:w val="0.1234311819809280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6160000"/>
        <c:axId val="116161536"/>
      </c:lineChart>
      <c:catAx>
        <c:axId val="1161600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61536"/>
        <c:crosses val="autoZero"/>
        <c:auto val="1"/>
        <c:lblAlgn val="ctr"/>
        <c:lblOffset val="100"/>
      </c:catAx>
      <c:valAx>
        <c:axId val="1161615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6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989"/>
          <c:w val="0.156903985328216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189440"/>
        <c:axId val="116076544"/>
      </c:lineChart>
      <c:catAx>
        <c:axId val="1161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076544"/>
        <c:crosses val="autoZero"/>
        <c:auto val="1"/>
        <c:lblAlgn val="ctr"/>
        <c:lblOffset val="100"/>
      </c:catAx>
      <c:valAx>
        <c:axId val="116076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431"/>
          <c:h val="4.49826989619482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310016"/>
        <c:axId val="116311552"/>
      </c:lineChart>
      <c:catAx>
        <c:axId val="11631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11552"/>
        <c:crosses val="autoZero"/>
        <c:auto val="1"/>
        <c:lblAlgn val="ctr"/>
        <c:lblOffset val="100"/>
      </c:catAx>
      <c:valAx>
        <c:axId val="11631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7495"/>
          <c:y val="0.62975887529635965"/>
          <c:w val="0.12164948453608219"/>
          <c:h val="4.49826989619482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606912"/>
        <c:axId val="123608448"/>
      </c:lineChart>
      <c:catAx>
        <c:axId val="1236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08448"/>
        <c:crosses val="autoZero"/>
        <c:auto val="1"/>
        <c:lblAlgn val="ctr"/>
        <c:lblOffset val="100"/>
      </c:catAx>
      <c:valAx>
        <c:axId val="123608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694080"/>
        <c:axId val="123716352"/>
      </c:lineChart>
      <c:catAx>
        <c:axId val="12369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16352"/>
        <c:crosses val="autoZero"/>
        <c:auto val="1"/>
        <c:lblAlgn val="ctr"/>
        <c:lblOffset val="100"/>
      </c:catAx>
      <c:valAx>
        <c:axId val="12371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69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54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3954688"/>
        <c:axId val="123956224"/>
      </c:lineChart>
      <c:catAx>
        <c:axId val="123954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56224"/>
        <c:crosses val="autoZero"/>
        <c:auto val="1"/>
        <c:lblAlgn val="ctr"/>
        <c:lblOffset val="100"/>
      </c:catAx>
      <c:valAx>
        <c:axId val="123956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95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9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Z34">
            <v>137586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11747</v>
          </cell>
          <cell r="S32">
            <v>0</v>
          </cell>
          <cell r="T32">
            <v>368318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0</v>
          </cell>
          <cell r="S75">
            <v>0</v>
          </cell>
        </row>
        <row r="76">
          <cell r="R76">
            <v>0</v>
          </cell>
          <cell r="S76">
            <v>0</v>
          </cell>
        </row>
        <row r="77">
          <cell r="R77">
            <v>0</v>
          </cell>
          <cell r="S77">
            <v>0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/>
      <sheetData sheetId="16">
        <row r="36"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9">
          <cell r="L69">
            <v>0.58009999999999995</v>
          </cell>
        </row>
      </sheetData>
      <sheetData sheetId="8"/>
      <sheetData sheetId="9">
        <row r="60">
          <cell r="L60">
            <v>266.19199999999995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" sqref="E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 t="e">
        <f>SUM('EDl log'!T4)</f>
        <v>#DIV/0!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0</v>
      </c>
      <c r="F3" s="333">
        <f>SUM('EDl log'!T5)</f>
        <v>0</v>
      </c>
      <c r="G3" s="204">
        <f>-tanks!AW7</f>
        <v>0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0</v>
      </c>
      <c r="F4" s="333">
        <f>SUM('EDl log'!T6)</f>
        <v>0</v>
      </c>
      <c r="G4" s="204">
        <f>-tanks!AW8</f>
        <v>0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0</v>
      </c>
      <c r="F5" s="333">
        <f>SUM('EDl log'!T7)</f>
        <v>0</v>
      </c>
      <c r="G5" s="204">
        <f>-tanks!AW9</f>
        <v>0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0</v>
      </c>
      <c r="F6" s="333">
        <f>SUM('EDl log'!T8)</f>
        <v>0</v>
      </c>
      <c r="G6" s="204">
        <f>-tanks!AW10</f>
        <v>0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0</v>
      </c>
      <c r="F7" s="333">
        <f>SUM('EDl log'!T9)</f>
        <v>0</v>
      </c>
      <c r="G7" s="204">
        <f>-tanks!AW11</f>
        <v>0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0</v>
      </c>
      <c r="F8" s="333">
        <f>SUM('EDl log'!T10)</f>
        <v>0</v>
      </c>
      <c r="G8" s="204">
        <f>-tanks!AW12</f>
        <v>0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0</v>
      </c>
      <c r="F9" s="333">
        <f>SUM('EDl log'!T11)</f>
        <v>0</v>
      </c>
      <c r="G9" s="204">
        <f>-tanks!AW13</f>
        <v>0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0</v>
      </c>
      <c r="F10" s="333">
        <f>SUM('EDl log'!T12)</f>
        <v>0</v>
      </c>
      <c r="G10" s="204">
        <f>-tanks!AW14</f>
        <v>0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0.49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0.49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0.49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0.49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0.49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0.49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0.49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0.49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0.49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0.49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0.49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0.49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0.49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0.49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0.49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0.49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0.49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0.49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0.49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0.49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0.49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0.49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150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0</v>
      </c>
      <c r="F3" s="204">
        <f>ELEC!K4</f>
        <v>0</v>
      </c>
      <c r="G3" s="204">
        <f>ELEC!I4</f>
        <v>0</v>
      </c>
      <c r="H3" s="204">
        <f>ELEC!E4</f>
        <v>0</v>
      </c>
      <c r="I3" s="204">
        <f>ELEC!G4</f>
        <v>0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0</v>
      </c>
      <c r="F4" s="204">
        <f>ELEC!K5</f>
        <v>0</v>
      </c>
      <c r="G4" s="204">
        <f>ELEC!I5</f>
        <v>0</v>
      </c>
      <c r="H4" s="204">
        <f>ELEC!E5</f>
        <v>0</v>
      </c>
      <c r="I4" s="204">
        <f>ELEC!G5</f>
        <v>0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0</v>
      </c>
      <c r="F5" s="204">
        <f>ELEC!K6</f>
        <v>0</v>
      </c>
      <c r="G5" s="204">
        <f>ELEC!I6</f>
        <v>0</v>
      </c>
      <c r="H5" s="204">
        <f>ELEC!E6</f>
        <v>0</v>
      </c>
      <c r="I5" s="204">
        <f>ELEC!G6</f>
        <v>0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0</v>
      </c>
      <c r="F6" s="204">
        <f>ELEC!K7</f>
        <v>0</v>
      </c>
      <c r="G6" s="204">
        <f>ELEC!I7</f>
        <v>0</v>
      </c>
      <c r="H6" s="204">
        <f>ELEC!E7</f>
        <v>0</v>
      </c>
      <c r="I6" s="204">
        <f>ELEC!G7</f>
        <v>0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0</v>
      </c>
      <c r="F7" s="204">
        <f>ELEC!K8</f>
        <v>0</v>
      </c>
      <c r="G7" s="204">
        <f>ELEC!I8</f>
        <v>0</v>
      </c>
      <c r="H7" s="204">
        <f>ELEC!E8</f>
        <v>0</v>
      </c>
      <c r="I7" s="204">
        <f>ELEC!G8</f>
        <v>0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0</v>
      </c>
      <c r="F8" s="204">
        <f>ELEC!K9</f>
        <v>0</v>
      </c>
      <c r="G8" s="204">
        <f>ELEC!I9</f>
        <v>0</v>
      </c>
      <c r="H8" s="204">
        <f>ELEC!E9</f>
        <v>0</v>
      </c>
      <c r="I8" s="204">
        <f>ELEC!G9</f>
        <v>0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0</v>
      </c>
      <c r="F9" s="204">
        <f>ELEC!K10</f>
        <v>0</v>
      </c>
      <c r="G9" s="204">
        <f>ELEC!I10</f>
        <v>0</v>
      </c>
      <c r="H9" s="204">
        <f>ELEC!E10</f>
        <v>0</v>
      </c>
      <c r="I9" s="204">
        <f>ELEC!G10</f>
        <v>0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0</v>
      </c>
      <c r="F10" s="204">
        <f>ELEC!K11</f>
        <v>0</v>
      </c>
      <c r="G10" s="204">
        <f>ELEC!I11</f>
        <v>0</v>
      </c>
      <c r="H10" s="204">
        <f>ELEC!E11</f>
        <v>0</v>
      </c>
      <c r="I10" s="204">
        <f>ELEC!G11</f>
        <v>0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D1" zoomScale="85" zoomScaleNormal="85" zoomScaleSheetLayoutView="100" workbookViewId="0">
      <pane ySplit="1" topLeftCell="A2" activePane="bottomLeft" state="frozen"/>
      <selection activeCell="C1" sqref="C1"/>
      <selection pane="bottomLeft" activeCell="D2" sqref="D2:AF2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8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8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5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f t="shared" ref="D4:D33" si="7">D3</f>
        <v>32458946</v>
      </c>
      <c r="E4" s="314">
        <f>D4-D3</f>
        <v>0</v>
      </c>
      <c r="F4" s="588">
        <f t="shared" ref="F4:F33" si="8">F3</f>
        <v>3917258</v>
      </c>
      <c r="G4" s="315">
        <f t="shared" si="0"/>
        <v>0</v>
      </c>
      <c r="H4" s="451">
        <f t="shared" ref="H4:H33" si="9">H3</f>
        <v>17727210</v>
      </c>
      <c r="I4" s="315">
        <f>H4-H3</f>
        <v>0</v>
      </c>
      <c r="J4" s="588">
        <f t="shared" ref="J4:J33" si="10">J3</f>
        <v>28811234</v>
      </c>
      <c r="K4" s="315">
        <f>J4-J3</f>
        <v>0</v>
      </c>
      <c r="L4" s="451">
        <f t="shared" ref="L4:L33" si="11">L3</f>
        <v>23870450</v>
      </c>
      <c r="M4" s="315">
        <f>L4-L3</f>
        <v>0</v>
      </c>
      <c r="N4" s="313">
        <f>M4+K4+I4+G4+E4</f>
        <v>0</v>
      </c>
      <c r="O4" s="473">
        <f t="shared" si="1"/>
        <v>0</v>
      </c>
      <c r="P4" s="605">
        <f t="shared" ref="P4:P33" si="12">P3</f>
        <v>16443.814999999999</v>
      </c>
      <c r="Q4" s="474">
        <f t="shared" si="2"/>
        <v>0</v>
      </c>
      <c r="R4" s="455">
        <f>N4-Q4</f>
        <v>0</v>
      </c>
      <c r="S4" s="451">
        <f t="shared" ref="S4:S33" si="13">S3</f>
        <v>10006</v>
      </c>
      <c r="T4" s="475">
        <f t="shared" si="3"/>
        <v>0</v>
      </c>
      <c r="U4" s="451">
        <f t="shared" ref="U4:U33" si="14">U3</f>
        <v>400936</v>
      </c>
      <c r="V4" s="455">
        <f>U4-U3</f>
        <v>0</v>
      </c>
      <c r="W4" s="451">
        <f t="shared" ref="W4:W33" si="15">W3</f>
        <v>32134</v>
      </c>
      <c r="X4" s="455">
        <f t="shared" si="4"/>
        <v>0</v>
      </c>
      <c r="Y4" s="451">
        <f t="shared" ref="Y4:Y33" si="16">Y3</f>
        <v>690014</v>
      </c>
      <c r="Z4" s="455">
        <f>Y4-Y3</f>
        <v>0</v>
      </c>
      <c r="AA4" s="451">
        <f t="shared" ref="AA4:AA33" si="17">AA3</f>
        <v>35634</v>
      </c>
      <c r="AB4" s="476">
        <f>AA4-AA3</f>
        <v>0</v>
      </c>
      <c r="AC4" s="451">
        <f t="shared" ref="AC4:AC33" si="18">AC3</f>
        <v>905726</v>
      </c>
      <c r="AD4" s="477">
        <f>AC4-AC3</f>
        <v>0</v>
      </c>
      <c r="AE4" s="478">
        <f t="shared" ref="AE4:AE32" si="19">AB4+X4+T4</f>
        <v>0</v>
      </c>
      <c r="AF4" s="479">
        <f t="shared" ref="AF4:AF31" si="20">V4+Z4+AD4</f>
        <v>0</v>
      </c>
      <c r="AG4" s="471">
        <f t="shared" si="5"/>
        <v>0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f t="shared" si="7"/>
        <v>32458946</v>
      </c>
      <c r="E5" s="314">
        <f t="shared" ref="E5:E32" si="21">D5-D4</f>
        <v>0</v>
      </c>
      <c r="F5" s="588">
        <f t="shared" si="8"/>
        <v>3917258</v>
      </c>
      <c r="G5" s="315">
        <f t="shared" si="0"/>
        <v>0</v>
      </c>
      <c r="H5" s="451">
        <f t="shared" si="9"/>
        <v>17727210</v>
      </c>
      <c r="I5" s="315">
        <f t="shared" ref="I5:I31" si="22">H5-H4</f>
        <v>0</v>
      </c>
      <c r="J5" s="588">
        <f t="shared" si="10"/>
        <v>28811234</v>
      </c>
      <c r="K5" s="315">
        <f t="shared" ref="K5:K31" si="23">J5-J4</f>
        <v>0</v>
      </c>
      <c r="L5" s="451">
        <f t="shared" si="11"/>
        <v>23870450</v>
      </c>
      <c r="M5" s="315">
        <f t="shared" ref="M5:M31" si="24">L5-L4</f>
        <v>0</v>
      </c>
      <c r="N5" s="313">
        <f t="shared" ref="N5:N31" si="25">M5+K5+I5+G5+E5</f>
        <v>0</v>
      </c>
      <c r="O5" s="473">
        <f t="shared" si="1"/>
        <v>0</v>
      </c>
      <c r="P5" s="605">
        <f t="shared" si="12"/>
        <v>16443.814999999999</v>
      </c>
      <c r="Q5" s="474">
        <f>(P5-P4)*1000</f>
        <v>0</v>
      </c>
      <c r="R5" s="455">
        <f>N5-Q5</f>
        <v>0</v>
      </c>
      <c r="S5" s="451">
        <f t="shared" si="13"/>
        <v>10006</v>
      </c>
      <c r="T5" s="475">
        <f t="shared" si="3"/>
        <v>0</v>
      </c>
      <c r="U5" s="451">
        <f t="shared" si="14"/>
        <v>400936</v>
      </c>
      <c r="V5" s="455">
        <f t="shared" ref="V5:V32" si="26">U5-U4</f>
        <v>0</v>
      </c>
      <c r="W5" s="451">
        <f t="shared" si="15"/>
        <v>32134</v>
      </c>
      <c r="X5" s="455">
        <f t="shared" si="4"/>
        <v>0</v>
      </c>
      <c r="Y5" s="451">
        <f t="shared" si="16"/>
        <v>690014</v>
      </c>
      <c r="Z5" s="455">
        <f>Y5-Y4</f>
        <v>0</v>
      </c>
      <c r="AA5" s="451">
        <f t="shared" si="17"/>
        <v>35634</v>
      </c>
      <c r="AB5" s="455">
        <f t="shared" ref="AB5:AB32" si="27">AA5-AA4</f>
        <v>0</v>
      </c>
      <c r="AC5" s="451">
        <f t="shared" si="18"/>
        <v>905726</v>
      </c>
      <c r="AD5" s="455">
        <f t="shared" ref="AD5:AD16" si="28">AC5-AC4</f>
        <v>0</v>
      </c>
      <c r="AE5" s="478">
        <f t="shared" si="19"/>
        <v>0</v>
      </c>
      <c r="AF5" s="479">
        <f t="shared" si="20"/>
        <v>0</v>
      </c>
      <c r="AG5" s="471">
        <f t="shared" si="5"/>
        <v>0</v>
      </c>
      <c r="AI5" s="472">
        <f>R5-'EDl log'!B3</f>
        <v>-702944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f t="shared" si="7"/>
        <v>32458946</v>
      </c>
      <c r="E6" s="314">
        <f t="shared" si="21"/>
        <v>0</v>
      </c>
      <c r="F6" s="588">
        <f t="shared" si="8"/>
        <v>3917258</v>
      </c>
      <c r="G6" s="315">
        <f t="shared" si="0"/>
        <v>0</v>
      </c>
      <c r="H6" s="451">
        <f t="shared" si="9"/>
        <v>17727210</v>
      </c>
      <c r="I6" s="315">
        <f t="shared" si="22"/>
        <v>0</v>
      </c>
      <c r="J6" s="588">
        <f t="shared" si="10"/>
        <v>28811234</v>
      </c>
      <c r="K6" s="315">
        <f t="shared" si="23"/>
        <v>0</v>
      </c>
      <c r="L6" s="451">
        <f t="shared" si="11"/>
        <v>23870450</v>
      </c>
      <c r="M6" s="315">
        <f t="shared" si="24"/>
        <v>0</v>
      </c>
      <c r="N6" s="313">
        <f t="shared" si="25"/>
        <v>0</v>
      </c>
      <c r="O6" s="473">
        <f t="shared" si="1"/>
        <v>0</v>
      </c>
      <c r="P6" s="605">
        <f t="shared" si="12"/>
        <v>16443.814999999999</v>
      </c>
      <c r="Q6" s="455">
        <f t="shared" si="2"/>
        <v>0</v>
      </c>
      <c r="R6" s="455">
        <f t="shared" ref="R6:R12" si="29">N6-Q6</f>
        <v>0</v>
      </c>
      <c r="S6" s="451">
        <f t="shared" si="13"/>
        <v>10006</v>
      </c>
      <c r="T6" s="475">
        <f t="shared" si="3"/>
        <v>0</v>
      </c>
      <c r="U6" s="451">
        <f t="shared" si="14"/>
        <v>400936</v>
      </c>
      <c r="V6" s="455">
        <f t="shared" si="26"/>
        <v>0</v>
      </c>
      <c r="W6" s="451">
        <f t="shared" si="15"/>
        <v>32134</v>
      </c>
      <c r="X6" s="455">
        <f t="shared" si="4"/>
        <v>0</v>
      </c>
      <c r="Y6" s="451">
        <f t="shared" si="16"/>
        <v>690014</v>
      </c>
      <c r="Z6" s="455">
        <f t="shared" ref="Z6:Z30" si="30">Y6-Y5</f>
        <v>0</v>
      </c>
      <c r="AA6" s="451">
        <f t="shared" si="17"/>
        <v>35634</v>
      </c>
      <c r="AB6" s="455">
        <f t="shared" si="27"/>
        <v>0</v>
      </c>
      <c r="AC6" s="451">
        <f t="shared" si="18"/>
        <v>905726</v>
      </c>
      <c r="AD6" s="455">
        <f t="shared" si="28"/>
        <v>0</v>
      </c>
      <c r="AE6" s="478">
        <f t="shared" si="19"/>
        <v>0</v>
      </c>
      <c r="AF6" s="479">
        <f t="shared" si="20"/>
        <v>0</v>
      </c>
      <c r="AG6" s="471">
        <f t="shared" si="5"/>
        <v>0</v>
      </c>
      <c r="AI6" s="472">
        <f>R6-'EDl log'!B4</f>
        <v>-705920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f t="shared" si="7"/>
        <v>32458946</v>
      </c>
      <c r="E7" s="314">
        <f t="shared" si="21"/>
        <v>0</v>
      </c>
      <c r="F7" s="588">
        <f t="shared" si="8"/>
        <v>3917258</v>
      </c>
      <c r="G7" s="315">
        <f t="shared" si="0"/>
        <v>0</v>
      </c>
      <c r="H7" s="451">
        <f t="shared" si="9"/>
        <v>17727210</v>
      </c>
      <c r="I7" s="315">
        <f t="shared" si="22"/>
        <v>0</v>
      </c>
      <c r="J7" s="588">
        <f t="shared" si="10"/>
        <v>28811234</v>
      </c>
      <c r="K7" s="315">
        <f t="shared" si="23"/>
        <v>0</v>
      </c>
      <c r="L7" s="451">
        <f t="shared" si="11"/>
        <v>23870450</v>
      </c>
      <c r="M7" s="315">
        <f t="shared" si="24"/>
        <v>0</v>
      </c>
      <c r="N7" s="313">
        <f t="shared" si="25"/>
        <v>0</v>
      </c>
      <c r="O7" s="473">
        <f t="shared" si="1"/>
        <v>0</v>
      </c>
      <c r="P7" s="605">
        <f t="shared" si="12"/>
        <v>16443.814999999999</v>
      </c>
      <c r="Q7" s="455">
        <f t="shared" si="2"/>
        <v>0</v>
      </c>
      <c r="R7" s="455">
        <f t="shared" si="29"/>
        <v>0</v>
      </c>
      <c r="S7" s="451">
        <f t="shared" si="13"/>
        <v>10006</v>
      </c>
      <c r="T7" s="475">
        <f t="shared" si="3"/>
        <v>0</v>
      </c>
      <c r="U7" s="451">
        <f t="shared" si="14"/>
        <v>400936</v>
      </c>
      <c r="V7" s="455">
        <f t="shared" si="26"/>
        <v>0</v>
      </c>
      <c r="W7" s="451">
        <f t="shared" si="15"/>
        <v>32134</v>
      </c>
      <c r="X7" s="455">
        <f t="shared" si="4"/>
        <v>0</v>
      </c>
      <c r="Y7" s="451">
        <f t="shared" si="16"/>
        <v>690014</v>
      </c>
      <c r="Z7" s="455">
        <f t="shared" si="30"/>
        <v>0</v>
      </c>
      <c r="AA7" s="451">
        <f t="shared" si="17"/>
        <v>35634</v>
      </c>
      <c r="AB7" s="455">
        <f t="shared" si="27"/>
        <v>0</v>
      </c>
      <c r="AC7" s="451">
        <f t="shared" si="18"/>
        <v>905726</v>
      </c>
      <c r="AD7" s="455">
        <f t="shared" si="28"/>
        <v>0</v>
      </c>
      <c r="AE7" s="478">
        <f t="shared" si="19"/>
        <v>0</v>
      </c>
      <c r="AF7" s="479">
        <f t="shared" si="20"/>
        <v>0</v>
      </c>
      <c r="AG7" s="471">
        <f t="shared" si="5"/>
        <v>0</v>
      </c>
      <c r="AI7" s="472">
        <f>R7-'EDl log'!B5</f>
        <v>-705920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f t="shared" si="7"/>
        <v>32458946</v>
      </c>
      <c r="E8" s="314">
        <f t="shared" si="21"/>
        <v>0</v>
      </c>
      <c r="F8" s="588">
        <f t="shared" si="8"/>
        <v>3917258</v>
      </c>
      <c r="G8" s="315">
        <f t="shared" si="0"/>
        <v>0</v>
      </c>
      <c r="H8" s="451">
        <f t="shared" si="9"/>
        <v>17727210</v>
      </c>
      <c r="I8" s="315">
        <f t="shared" si="22"/>
        <v>0</v>
      </c>
      <c r="J8" s="588">
        <f t="shared" si="10"/>
        <v>28811234</v>
      </c>
      <c r="K8" s="315">
        <f t="shared" si="23"/>
        <v>0</v>
      </c>
      <c r="L8" s="451">
        <f t="shared" si="11"/>
        <v>23870450</v>
      </c>
      <c r="M8" s="315">
        <f t="shared" si="24"/>
        <v>0</v>
      </c>
      <c r="N8" s="313">
        <f t="shared" si="25"/>
        <v>0</v>
      </c>
      <c r="O8" s="473">
        <f t="shared" si="1"/>
        <v>0</v>
      </c>
      <c r="P8" s="605">
        <f t="shared" si="12"/>
        <v>16443.814999999999</v>
      </c>
      <c r="Q8" s="455">
        <f t="shared" si="2"/>
        <v>0</v>
      </c>
      <c r="R8" s="455">
        <f t="shared" si="29"/>
        <v>0</v>
      </c>
      <c r="S8" s="451">
        <f t="shared" si="13"/>
        <v>10006</v>
      </c>
      <c r="T8" s="475">
        <f t="shared" si="3"/>
        <v>0</v>
      </c>
      <c r="U8" s="451">
        <f t="shared" si="14"/>
        <v>400936</v>
      </c>
      <c r="V8" s="455">
        <f t="shared" si="26"/>
        <v>0</v>
      </c>
      <c r="W8" s="451">
        <f t="shared" si="15"/>
        <v>32134</v>
      </c>
      <c r="X8" s="455">
        <f t="shared" si="4"/>
        <v>0</v>
      </c>
      <c r="Y8" s="451">
        <f t="shared" si="16"/>
        <v>690014</v>
      </c>
      <c r="Z8" s="455">
        <f t="shared" si="30"/>
        <v>0</v>
      </c>
      <c r="AA8" s="451">
        <f t="shared" si="17"/>
        <v>35634</v>
      </c>
      <c r="AB8" s="455">
        <f t="shared" si="27"/>
        <v>0</v>
      </c>
      <c r="AC8" s="451">
        <f t="shared" si="18"/>
        <v>905726</v>
      </c>
      <c r="AD8" s="455">
        <f t="shared" si="28"/>
        <v>0</v>
      </c>
      <c r="AE8" s="478">
        <f t="shared" si="19"/>
        <v>0</v>
      </c>
      <c r="AF8" s="479">
        <f t="shared" si="20"/>
        <v>0</v>
      </c>
      <c r="AG8" s="471">
        <f t="shared" si="5"/>
        <v>0</v>
      </c>
      <c r="AI8" s="472">
        <f>R8-'EDl log'!B6</f>
        <v>-705920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f t="shared" si="7"/>
        <v>32458946</v>
      </c>
      <c r="E9" s="314">
        <f t="shared" si="21"/>
        <v>0</v>
      </c>
      <c r="F9" s="588">
        <f t="shared" si="8"/>
        <v>3917258</v>
      </c>
      <c r="G9" s="315">
        <f t="shared" si="0"/>
        <v>0</v>
      </c>
      <c r="H9" s="451">
        <f t="shared" si="9"/>
        <v>17727210</v>
      </c>
      <c r="I9" s="315">
        <f t="shared" si="22"/>
        <v>0</v>
      </c>
      <c r="J9" s="588">
        <f t="shared" si="10"/>
        <v>28811234</v>
      </c>
      <c r="K9" s="315">
        <f t="shared" si="23"/>
        <v>0</v>
      </c>
      <c r="L9" s="451">
        <f t="shared" si="11"/>
        <v>23870450</v>
      </c>
      <c r="M9" s="315">
        <f t="shared" si="24"/>
        <v>0</v>
      </c>
      <c r="N9" s="313">
        <f t="shared" si="25"/>
        <v>0</v>
      </c>
      <c r="O9" s="473">
        <f t="shared" si="1"/>
        <v>0</v>
      </c>
      <c r="P9" s="605">
        <f t="shared" si="12"/>
        <v>16443.814999999999</v>
      </c>
      <c r="Q9" s="455">
        <f t="shared" si="2"/>
        <v>0</v>
      </c>
      <c r="R9" s="455">
        <f t="shared" si="29"/>
        <v>0</v>
      </c>
      <c r="S9" s="451">
        <f t="shared" si="13"/>
        <v>10006</v>
      </c>
      <c r="T9" s="475">
        <f t="shared" si="3"/>
        <v>0</v>
      </c>
      <c r="U9" s="451">
        <f t="shared" si="14"/>
        <v>400936</v>
      </c>
      <c r="V9" s="455">
        <f t="shared" si="26"/>
        <v>0</v>
      </c>
      <c r="W9" s="451">
        <f t="shared" si="15"/>
        <v>32134</v>
      </c>
      <c r="X9" s="455">
        <f t="shared" ref="X9:X32" si="31">W9-W8</f>
        <v>0</v>
      </c>
      <c r="Y9" s="451">
        <f t="shared" si="16"/>
        <v>690014</v>
      </c>
      <c r="Z9" s="455">
        <f t="shared" si="30"/>
        <v>0</v>
      </c>
      <c r="AA9" s="451">
        <f t="shared" si="17"/>
        <v>35634</v>
      </c>
      <c r="AB9" s="455">
        <f t="shared" si="27"/>
        <v>0</v>
      </c>
      <c r="AC9" s="451">
        <f t="shared" si="18"/>
        <v>905726</v>
      </c>
      <c r="AD9" s="455">
        <f t="shared" si="28"/>
        <v>0</v>
      </c>
      <c r="AE9" s="478">
        <f t="shared" si="19"/>
        <v>0</v>
      </c>
      <c r="AF9" s="479">
        <f t="shared" si="20"/>
        <v>0</v>
      </c>
      <c r="AG9" s="471">
        <f t="shared" si="5"/>
        <v>0</v>
      </c>
      <c r="AI9" s="472">
        <f>R9-'EDl log'!B7</f>
        <v>-705920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f t="shared" si="7"/>
        <v>32458946</v>
      </c>
      <c r="E10" s="314">
        <f t="shared" si="21"/>
        <v>0</v>
      </c>
      <c r="F10" s="588">
        <f t="shared" si="8"/>
        <v>3917258</v>
      </c>
      <c r="G10" s="315">
        <f t="shared" si="0"/>
        <v>0</v>
      </c>
      <c r="H10" s="451">
        <f t="shared" si="9"/>
        <v>17727210</v>
      </c>
      <c r="I10" s="315">
        <f t="shared" si="22"/>
        <v>0</v>
      </c>
      <c r="J10" s="588">
        <f t="shared" si="10"/>
        <v>28811234</v>
      </c>
      <c r="K10" s="315">
        <f t="shared" si="23"/>
        <v>0</v>
      </c>
      <c r="L10" s="451">
        <f t="shared" si="11"/>
        <v>23870450</v>
      </c>
      <c r="M10" s="315">
        <f t="shared" si="24"/>
        <v>0</v>
      </c>
      <c r="N10" s="313">
        <f t="shared" si="25"/>
        <v>0</v>
      </c>
      <c r="O10" s="473">
        <f t="shared" ref="O10:O32" si="32">IF(B10&gt;0,N10/B10,0)</f>
        <v>0</v>
      </c>
      <c r="P10" s="605">
        <f t="shared" si="12"/>
        <v>16443.814999999999</v>
      </c>
      <c r="Q10" s="455">
        <f t="shared" si="2"/>
        <v>0</v>
      </c>
      <c r="R10" s="455">
        <f t="shared" si="29"/>
        <v>0</v>
      </c>
      <c r="S10" s="451">
        <f t="shared" si="13"/>
        <v>10006</v>
      </c>
      <c r="T10" s="475">
        <f t="shared" si="3"/>
        <v>0</v>
      </c>
      <c r="U10" s="451">
        <f t="shared" si="14"/>
        <v>400936</v>
      </c>
      <c r="V10" s="455">
        <f t="shared" si="26"/>
        <v>0</v>
      </c>
      <c r="W10" s="451">
        <f t="shared" si="15"/>
        <v>32134</v>
      </c>
      <c r="X10" s="455">
        <f t="shared" si="31"/>
        <v>0</v>
      </c>
      <c r="Y10" s="451">
        <f t="shared" si="16"/>
        <v>690014</v>
      </c>
      <c r="Z10" s="455">
        <f t="shared" si="30"/>
        <v>0</v>
      </c>
      <c r="AA10" s="451">
        <f t="shared" si="17"/>
        <v>35634</v>
      </c>
      <c r="AB10" s="455">
        <f t="shared" si="27"/>
        <v>0</v>
      </c>
      <c r="AC10" s="451">
        <f t="shared" si="18"/>
        <v>905726</v>
      </c>
      <c r="AD10" s="455">
        <f t="shared" si="28"/>
        <v>0</v>
      </c>
      <c r="AE10" s="478">
        <f t="shared" si="19"/>
        <v>0</v>
      </c>
      <c r="AF10" s="479">
        <f t="shared" si="20"/>
        <v>0</v>
      </c>
      <c r="AG10" s="471">
        <f t="shared" ref="AG10:AG32" si="33">IF(AE10&gt;0,AF10/AE10,0)</f>
        <v>0</v>
      </c>
      <c r="AI10" s="472">
        <f>R10-'EDl log'!B8</f>
        <v>-705920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f t="shared" si="7"/>
        <v>32458946</v>
      </c>
      <c r="E11" s="314">
        <f t="shared" si="21"/>
        <v>0</v>
      </c>
      <c r="F11" s="588">
        <f t="shared" si="8"/>
        <v>3917258</v>
      </c>
      <c r="G11" s="315">
        <f t="shared" si="0"/>
        <v>0</v>
      </c>
      <c r="H11" s="451">
        <f t="shared" si="9"/>
        <v>17727210</v>
      </c>
      <c r="I11" s="315">
        <f t="shared" si="22"/>
        <v>0</v>
      </c>
      <c r="J11" s="588">
        <f t="shared" si="10"/>
        <v>28811234</v>
      </c>
      <c r="K11" s="315">
        <f t="shared" si="23"/>
        <v>0</v>
      </c>
      <c r="L11" s="451">
        <f t="shared" si="11"/>
        <v>23870450</v>
      </c>
      <c r="M11" s="315">
        <f t="shared" si="24"/>
        <v>0</v>
      </c>
      <c r="N11" s="313">
        <f>M11+K11+I11+G11+E11</f>
        <v>0</v>
      </c>
      <c r="O11" s="473">
        <f t="shared" si="32"/>
        <v>0</v>
      </c>
      <c r="P11" s="605">
        <f t="shared" si="12"/>
        <v>16443.814999999999</v>
      </c>
      <c r="Q11" s="455">
        <f t="shared" si="2"/>
        <v>0</v>
      </c>
      <c r="R11" s="455">
        <f t="shared" si="29"/>
        <v>0</v>
      </c>
      <c r="S11" s="451">
        <f t="shared" si="13"/>
        <v>10006</v>
      </c>
      <c r="T11" s="475">
        <f t="shared" si="3"/>
        <v>0</v>
      </c>
      <c r="U11" s="451">
        <f t="shared" si="14"/>
        <v>400936</v>
      </c>
      <c r="V11" s="455">
        <f t="shared" si="26"/>
        <v>0</v>
      </c>
      <c r="W11" s="451">
        <f t="shared" si="15"/>
        <v>32134</v>
      </c>
      <c r="X11" s="455">
        <f t="shared" si="31"/>
        <v>0</v>
      </c>
      <c r="Y11" s="451">
        <f t="shared" si="16"/>
        <v>690014</v>
      </c>
      <c r="Z11" s="455">
        <f t="shared" si="30"/>
        <v>0</v>
      </c>
      <c r="AA11" s="451">
        <f t="shared" si="17"/>
        <v>35634</v>
      </c>
      <c r="AB11" s="455">
        <f t="shared" si="27"/>
        <v>0</v>
      </c>
      <c r="AC11" s="451">
        <f t="shared" si="18"/>
        <v>905726</v>
      </c>
      <c r="AD11" s="455">
        <f t="shared" si="28"/>
        <v>0</v>
      </c>
      <c r="AE11" s="478">
        <f t="shared" si="19"/>
        <v>0</v>
      </c>
      <c r="AF11" s="479">
        <f t="shared" si="20"/>
        <v>0</v>
      </c>
      <c r="AG11" s="471">
        <f t="shared" si="33"/>
        <v>0</v>
      </c>
      <c r="AI11" s="472">
        <f>R11-'EDl log'!B9</f>
        <v>-705920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f t="shared" si="7"/>
        <v>32458946</v>
      </c>
      <c r="E12" s="314">
        <f t="shared" si="21"/>
        <v>0</v>
      </c>
      <c r="F12" s="588">
        <f t="shared" si="8"/>
        <v>3917258</v>
      </c>
      <c r="G12" s="315">
        <f t="shared" si="0"/>
        <v>0</v>
      </c>
      <c r="H12" s="451">
        <f t="shared" si="9"/>
        <v>17727210</v>
      </c>
      <c r="I12" s="315">
        <f t="shared" si="22"/>
        <v>0</v>
      </c>
      <c r="J12" s="588">
        <f t="shared" si="10"/>
        <v>28811234</v>
      </c>
      <c r="K12" s="315">
        <f t="shared" si="23"/>
        <v>0</v>
      </c>
      <c r="L12" s="451">
        <f t="shared" si="11"/>
        <v>23870450</v>
      </c>
      <c r="M12" s="315">
        <f t="shared" si="24"/>
        <v>0</v>
      </c>
      <c r="N12" s="313">
        <f>M12+K12+I12+G12+E12</f>
        <v>0</v>
      </c>
      <c r="O12" s="473">
        <f t="shared" si="32"/>
        <v>0</v>
      </c>
      <c r="P12" s="605">
        <f t="shared" si="12"/>
        <v>16443.814999999999</v>
      </c>
      <c r="Q12" s="455">
        <f t="shared" si="2"/>
        <v>0</v>
      </c>
      <c r="R12" s="455">
        <f t="shared" si="29"/>
        <v>0</v>
      </c>
      <c r="S12" s="451">
        <f t="shared" si="13"/>
        <v>10006</v>
      </c>
      <c r="T12" s="475">
        <f t="shared" si="3"/>
        <v>0</v>
      </c>
      <c r="U12" s="451">
        <f t="shared" si="14"/>
        <v>400936</v>
      </c>
      <c r="V12" s="455">
        <f t="shared" si="26"/>
        <v>0</v>
      </c>
      <c r="W12" s="451">
        <f t="shared" si="15"/>
        <v>32134</v>
      </c>
      <c r="X12" s="455">
        <f t="shared" si="31"/>
        <v>0</v>
      </c>
      <c r="Y12" s="451">
        <f t="shared" si="16"/>
        <v>690014</v>
      </c>
      <c r="Z12" s="455">
        <f t="shared" si="30"/>
        <v>0</v>
      </c>
      <c r="AA12" s="451">
        <f t="shared" si="17"/>
        <v>35634</v>
      </c>
      <c r="AB12" s="455">
        <f t="shared" si="27"/>
        <v>0</v>
      </c>
      <c r="AC12" s="451">
        <f t="shared" si="18"/>
        <v>905726</v>
      </c>
      <c r="AD12" s="455">
        <f t="shared" si="28"/>
        <v>0</v>
      </c>
      <c r="AE12" s="478">
        <f t="shared" si="19"/>
        <v>0</v>
      </c>
      <c r="AF12" s="479">
        <f t="shared" si="20"/>
        <v>0</v>
      </c>
      <c r="AG12" s="471">
        <f t="shared" si="33"/>
        <v>0</v>
      </c>
      <c r="AI12" s="472">
        <f>R12-'EDl log'!B10</f>
        <v>-705920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f t="shared" si="7"/>
        <v>32458946</v>
      </c>
      <c r="E13" s="314">
        <f t="shared" si="21"/>
        <v>0</v>
      </c>
      <c r="F13" s="588">
        <f t="shared" si="8"/>
        <v>3917258</v>
      </c>
      <c r="G13" s="315">
        <f t="shared" si="0"/>
        <v>0</v>
      </c>
      <c r="H13" s="451">
        <f t="shared" si="9"/>
        <v>17727210</v>
      </c>
      <c r="I13" s="315">
        <f t="shared" si="22"/>
        <v>0</v>
      </c>
      <c r="J13" s="588">
        <f t="shared" si="10"/>
        <v>28811234</v>
      </c>
      <c r="K13" s="315">
        <f t="shared" si="23"/>
        <v>0</v>
      </c>
      <c r="L13" s="451">
        <f t="shared" si="11"/>
        <v>23870450</v>
      </c>
      <c r="M13" s="315">
        <f t="shared" si="24"/>
        <v>0</v>
      </c>
      <c r="N13" s="313">
        <f t="shared" si="25"/>
        <v>0</v>
      </c>
      <c r="O13" s="473">
        <f t="shared" si="32"/>
        <v>0</v>
      </c>
      <c r="P13" s="605">
        <f t="shared" si="12"/>
        <v>16443.814999999999</v>
      </c>
      <c r="Q13" s="455">
        <f>(P13-P12)*1000</f>
        <v>0</v>
      </c>
      <c r="R13" s="455">
        <f t="shared" ref="R13" si="34">N13-Q13</f>
        <v>0</v>
      </c>
      <c r="S13" s="451">
        <f t="shared" si="13"/>
        <v>10006</v>
      </c>
      <c r="T13" s="475">
        <f t="shared" si="3"/>
        <v>0</v>
      </c>
      <c r="U13" s="451">
        <f t="shared" si="14"/>
        <v>400936</v>
      </c>
      <c r="V13" s="455">
        <f t="shared" si="26"/>
        <v>0</v>
      </c>
      <c r="W13" s="451">
        <f t="shared" si="15"/>
        <v>32134</v>
      </c>
      <c r="X13" s="455">
        <f t="shared" si="31"/>
        <v>0</v>
      </c>
      <c r="Y13" s="451">
        <f t="shared" si="16"/>
        <v>690014</v>
      </c>
      <c r="Z13" s="455">
        <f t="shared" si="30"/>
        <v>0</v>
      </c>
      <c r="AA13" s="451">
        <f t="shared" si="17"/>
        <v>35634</v>
      </c>
      <c r="AB13" s="455">
        <f t="shared" si="27"/>
        <v>0</v>
      </c>
      <c r="AC13" s="451">
        <f t="shared" si="18"/>
        <v>905726</v>
      </c>
      <c r="AD13" s="455">
        <f t="shared" si="28"/>
        <v>0</v>
      </c>
      <c r="AE13" s="478">
        <f t="shared" si="19"/>
        <v>0</v>
      </c>
      <c r="AF13" s="479">
        <f t="shared" si="20"/>
        <v>0</v>
      </c>
      <c r="AG13" s="471">
        <f t="shared" si="33"/>
        <v>0</v>
      </c>
      <c r="AI13" s="472">
        <f>R13-'EDl log'!B11</f>
        <v>-705920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f t="shared" si="7"/>
        <v>32458946</v>
      </c>
      <c r="E14" s="314">
        <f t="shared" si="21"/>
        <v>0</v>
      </c>
      <c r="F14" s="588">
        <f t="shared" si="8"/>
        <v>3917258</v>
      </c>
      <c r="G14" s="315">
        <f t="shared" si="0"/>
        <v>0</v>
      </c>
      <c r="H14" s="451">
        <f t="shared" si="9"/>
        <v>17727210</v>
      </c>
      <c r="I14" s="315">
        <f t="shared" si="22"/>
        <v>0</v>
      </c>
      <c r="J14" s="588">
        <f t="shared" si="10"/>
        <v>28811234</v>
      </c>
      <c r="K14" s="315">
        <f t="shared" si="23"/>
        <v>0</v>
      </c>
      <c r="L14" s="451">
        <f t="shared" si="11"/>
        <v>23870450</v>
      </c>
      <c r="M14" s="315">
        <f t="shared" si="24"/>
        <v>0</v>
      </c>
      <c r="N14" s="313">
        <f t="shared" si="25"/>
        <v>0</v>
      </c>
      <c r="O14" s="473">
        <f t="shared" si="32"/>
        <v>0</v>
      </c>
      <c r="P14" s="605">
        <f t="shared" si="12"/>
        <v>16443.814999999999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13"/>
        <v>10006</v>
      </c>
      <c r="T14" s="475">
        <f t="shared" si="3"/>
        <v>0</v>
      </c>
      <c r="U14" s="451">
        <f t="shared" si="14"/>
        <v>400936</v>
      </c>
      <c r="V14" s="455">
        <f t="shared" si="26"/>
        <v>0</v>
      </c>
      <c r="W14" s="451">
        <f t="shared" si="15"/>
        <v>32134</v>
      </c>
      <c r="X14" s="455">
        <f t="shared" si="31"/>
        <v>0</v>
      </c>
      <c r="Y14" s="451">
        <f t="shared" si="16"/>
        <v>690014</v>
      </c>
      <c r="Z14" s="455">
        <f t="shared" si="30"/>
        <v>0</v>
      </c>
      <c r="AA14" s="451">
        <f t="shared" si="17"/>
        <v>35634</v>
      </c>
      <c r="AB14" s="455">
        <f t="shared" si="27"/>
        <v>0</v>
      </c>
      <c r="AC14" s="451">
        <f t="shared" si="18"/>
        <v>905726</v>
      </c>
      <c r="AD14" s="455">
        <f t="shared" si="28"/>
        <v>0</v>
      </c>
      <c r="AE14" s="478">
        <f t="shared" si="19"/>
        <v>0</v>
      </c>
      <c r="AF14" s="479">
        <f t="shared" si="20"/>
        <v>0</v>
      </c>
      <c r="AG14" s="471">
        <f t="shared" si="33"/>
        <v>0</v>
      </c>
      <c r="AI14" s="472">
        <f>R14-'EDl log'!B12</f>
        <v>-705920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f t="shared" si="7"/>
        <v>32458946</v>
      </c>
      <c r="E15" s="314">
        <f t="shared" si="21"/>
        <v>0</v>
      </c>
      <c r="F15" s="588">
        <f t="shared" si="8"/>
        <v>3917258</v>
      </c>
      <c r="G15" s="315">
        <f t="shared" si="0"/>
        <v>0</v>
      </c>
      <c r="H15" s="451">
        <f t="shared" si="9"/>
        <v>17727210</v>
      </c>
      <c r="I15" s="315">
        <f t="shared" si="22"/>
        <v>0</v>
      </c>
      <c r="J15" s="588">
        <f t="shared" si="10"/>
        <v>28811234</v>
      </c>
      <c r="K15" s="315">
        <f t="shared" si="23"/>
        <v>0</v>
      </c>
      <c r="L15" s="451">
        <f t="shared" si="11"/>
        <v>23870450</v>
      </c>
      <c r="M15" s="315">
        <f t="shared" si="24"/>
        <v>0</v>
      </c>
      <c r="N15" s="313">
        <f t="shared" si="25"/>
        <v>0</v>
      </c>
      <c r="O15" s="473">
        <f t="shared" si="32"/>
        <v>0</v>
      </c>
      <c r="P15" s="605">
        <f t="shared" si="12"/>
        <v>16443.814999999999</v>
      </c>
      <c r="Q15" s="455">
        <f t="shared" si="35"/>
        <v>0</v>
      </c>
      <c r="R15" s="455">
        <f t="shared" si="36"/>
        <v>0</v>
      </c>
      <c r="S15" s="451">
        <f t="shared" si="13"/>
        <v>10006</v>
      </c>
      <c r="T15" s="475">
        <f t="shared" si="3"/>
        <v>0</v>
      </c>
      <c r="U15" s="451">
        <f t="shared" si="14"/>
        <v>400936</v>
      </c>
      <c r="V15" s="455">
        <f t="shared" si="26"/>
        <v>0</v>
      </c>
      <c r="W15" s="451">
        <f t="shared" si="15"/>
        <v>32134</v>
      </c>
      <c r="X15" s="455">
        <f t="shared" si="31"/>
        <v>0</v>
      </c>
      <c r="Y15" s="451">
        <f t="shared" si="16"/>
        <v>690014</v>
      </c>
      <c r="Z15" s="455">
        <f t="shared" si="30"/>
        <v>0</v>
      </c>
      <c r="AA15" s="451">
        <f t="shared" si="17"/>
        <v>35634</v>
      </c>
      <c r="AB15" s="455">
        <f t="shared" si="27"/>
        <v>0</v>
      </c>
      <c r="AC15" s="451">
        <f t="shared" si="18"/>
        <v>905726</v>
      </c>
      <c r="AD15" s="455">
        <f t="shared" si="28"/>
        <v>0</v>
      </c>
      <c r="AE15" s="478">
        <f t="shared" si="19"/>
        <v>0</v>
      </c>
      <c r="AF15" s="479">
        <f t="shared" si="20"/>
        <v>0</v>
      </c>
      <c r="AG15" s="471">
        <f t="shared" si="33"/>
        <v>0</v>
      </c>
      <c r="AI15" s="472">
        <f>R15-'EDl log'!B13</f>
        <v>-705920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f t="shared" si="7"/>
        <v>32458946</v>
      </c>
      <c r="E16" s="314">
        <f t="shared" si="21"/>
        <v>0</v>
      </c>
      <c r="F16" s="588">
        <f t="shared" si="8"/>
        <v>3917258</v>
      </c>
      <c r="G16" s="315">
        <f t="shared" si="0"/>
        <v>0</v>
      </c>
      <c r="H16" s="451">
        <f t="shared" si="9"/>
        <v>17727210</v>
      </c>
      <c r="I16" s="315">
        <f t="shared" si="22"/>
        <v>0</v>
      </c>
      <c r="J16" s="588">
        <f t="shared" si="10"/>
        <v>28811234</v>
      </c>
      <c r="K16" s="315">
        <f t="shared" si="23"/>
        <v>0</v>
      </c>
      <c r="L16" s="451">
        <f t="shared" si="11"/>
        <v>23870450</v>
      </c>
      <c r="M16" s="315">
        <f t="shared" si="24"/>
        <v>0</v>
      </c>
      <c r="N16" s="313">
        <f t="shared" si="25"/>
        <v>0</v>
      </c>
      <c r="O16" s="473">
        <f t="shared" si="32"/>
        <v>0</v>
      </c>
      <c r="P16" s="605">
        <f t="shared" si="12"/>
        <v>16443.814999999999</v>
      </c>
      <c r="Q16" s="455">
        <f t="shared" si="35"/>
        <v>0</v>
      </c>
      <c r="R16" s="455">
        <f t="shared" si="36"/>
        <v>0</v>
      </c>
      <c r="S16" s="451">
        <f t="shared" si="13"/>
        <v>10006</v>
      </c>
      <c r="T16" s="475">
        <f t="shared" si="3"/>
        <v>0</v>
      </c>
      <c r="U16" s="451">
        <f t="shared" si="14"/>
        <v>400936</v>
      </c>
      <c r="V16" s="455">
        <f t="shared" si="26"/>
        <v>0</v>
      </c>
      <c r="W16" s="451">
        <f t="shared" si="15"/>
        <v>32134</v>
      </c>
      <c r="X16" s="455">
        <f>W16-W15</f>
        <v>0</v>
      </c>
      <c r="Y16" s="451">
        <f t="shared" si="16"/>
        <v>690014</v>
      </c>
      <c r="Z16" s="455">
        <f>Y16-Y15</f>
        <v>0</v>
      </c>
      <c r="AA16" s="451">
        <f t="shared" si="17"/>
        <v>35634</v>
      </c>
      <c r="AB16" s="455">
        <f>AA16-AA15</f>
        <v>0</v>
      </c>
      <c r="AC16" s="451">
        <f t="shared" si="18"/>
        <v>905726</v>
      </c>
      <c r="AD16" s="455">
        <f t="shared" si="28"/>
        <v>0</v>
      </c>
      <c r="AE16" s="478">
        <f t="shared" si="19"/>
        <v>0</v>
      </c>
      <c r="AF16" s="479">
        <f t="shared" si="20"/>
        <v>0</v>
      </c>
      <c r="AG16" s="471">
        <f t="shared" si="33"/>
        <v>0</v>
      </c>
      <c r="AI16" s="472">
        <f>R16-'EDl log'!B14</f>
        <v>-705920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f t="shared" si="7"/>
        <v>32458946</v>
      </c>
      <c r="E17" s="314">
        <f t="shared" si="21"/>
        <v>0</v>
      </c>
      <c r="F17" s="588">
        <f t="shared" si="8"/>
        <v>3917258</v>
      </c>
      <c r="G17" s="315">
        <f t="shared" si="0"/>
        <v>0</v>
      </c>
      <c r="H17" s="451">
        <f t="shared" si="9"/>
        <v>17727210</v>
      </c>
      <c r="I17" s="315">
        <f t="shared" si="22"/>
        <v>0</v>
      </c>
      <c r="J17" s="588">
        <f t="shared" si="10"/>
        <v>28811234</v>
      </c>
      <c r="K17" s="315">
        <f t="shared" si="23"/>
        <v>0</v>
      </c>
      <c r="L17" s="451">
        <f t="shared" si="11"/>
        <v>23870450</v>
      </c>
      <c r="M17" s="315">
        <f t="shared" si="24"/>
        <v>0</v>
      </c>
      <c r="N17" s="313">
        <f t="shared" si="25"/>
        <v>0</v>
      </c>
      <c r="O17" s="473">
        <f t="shared" si="32"/>
        <v>0</v>
      </c>
      <c r="P17" s="605">
        <f t="shared" si="12"/>
        <v>16443.814999999999</v>
      </c>
      <c r="Q17" s="455">
        <f t="shared" si="35"/>
        <v>0</v>
      </c>
      <c r="R17" s="455">
        <f t="shared" si="36"/>
        <v>0</v>
      </c>
      <c r="S17" s="451">
        <f t="shared" si="13"/>
        <v>10006</v>
      </c>
      <c r="T17" s="475">
        <f t="shared" si="3"/>
        <v>0</v>
      </c>
      <c r="U17" s="451">
        <f t="shared" si="14"/>
        <v>400936</v>
      </c>
      <c r="V17" s="455">
        <f t="shared" si="26"/>
        <v>0</v>
      </c>
      <c r="W17" s="451">
        <f t="shared" si="15"/>
        <v>32134</v>
      </c>
      <c r="X17" s="455">
        <f t="shared" si="31"/>
        <v>0</v>
      </c>
      <c r="Y17" s="451">
        <f t="shared" si="16"/>
        <v>690014</v>
      </c>
      <c r="Z17" s="455">
        <f t="shared" si="30"/>
        <v>0</v>
      </c>
      <c r="AA17" s="451">
        <f t="shared" si="17"/>
        <v>35634</v>
      </c>
      <c r="AB17" s="455">
        <f t="shared" si="27"/>
        <v>0</v>
      </c>
      <c r="AC17" s="451">
        <f t="shared" si="18"/>
        <v>905726</v>
      </c>
      <c r="AD17" s="455">
        <f t="shared" ref="AD17:AD32" si="37">AC17-AC16</f>
        <v>0</v>
      </c>
      <c r="AE17" s="478">
        <f t="shared" si="19"/>
        <v>0</v>
      </c>
      <c r="AF17" s="479">
        <f t="shared" si="20"/>
        <v>0</v>
      </c>
      <c r="AG17" s="471">
        <f t="shared" si="33"/>
        <v>0</v>
      </c>
      <c r="AI17" s="472">
        <f>R17-'EDl log'!B15</f>
        <v>-705920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f t="shared" si="7"/>
        <v>32458946</v>
      </c>
      <c r="E18" s="314">
        <f t="shared" si="21"/>
        <v>0</v>
      </c>
      <c r="F18" s="588">
        <f t="shared" si="8"/>
        <v>3917258</v>
      </c>
      <c r="G18" s="315">
        <f t="shared" si="0"/>
        <v>0</v>
      </c>
      <c r="H18" s="451">
        <f t="shared" si="9"/>
        <v>17727210</v>
      </c>
      <c r="I18" s="315">
        <f t="shared" si="22"/>
        <v>0</v>
      </c>
      <c r="J18" s="588">
        <f t="shared" si="10"/>
        <v>28811234</v>
      </c>
      <c r="K18" s="315">
        <f t="shared" si="23"/>
        <v>0</v>
      </c>
      <c r="L18" s="451">
        <f t="shared" si="11"/>
        <v>23870450</v>
      </c>
      <c r="M18" s="315">
        <f t="shared" si="24"/>
        <v>0</v>
      </c>
      <c r="N18" s="313">
        <f t="shared" si="25"/>
        <v>0</v>
      </c>
      <c r="O18" s="473">
        <f t="shared" si="32"/>
        <v>0</v>
      </c>
      <c r="P18" s="605">
        <f t="shared" si="12"/>
        <v>16443.814999999999</v>
      </c>
      <c r="Q18" s="455">
        <f t="shared" si="35"/>
        <v>0</v>
      </c>
      <c r="R18" s="455">
        <f t="shared" si="36"/>
        <v>0</v>
      </c>
      <c r="S18" s="451">
        <f t="shared" si="13"/>
        <v>10006</v>
      </c>
      <c r="T18" s="475">
        <f t="shared" si="3"/>
        <v>0</v>
      </c>
      <c r="U18" s="451">
        <f t="shared" si="14"/>
        <v>400936</v>
      </c>
      <c r="V18" s="455">
        <f t="shared" si="26"/>
        <v>0</v>
      </c>
      <c r="W18" s="451">
        <f t="shared" si="15"/>
        <v>32134</v>
      </c>
      <c r="X18" s="455">
        <f t="shared" si="31"/>
        <v>0</v>
      </c>
      <c r="Y18" s="451">
        <f t="shared" si="16"/>
        <v>690014</v>
      </c>
      <c r="Z18" s="455">
        <f t="shared" si="30"/>
        <v>0</v>
      </c>
      <c r="AA18" s="451">
        <f t="shared" si="17"/>
        <v>35634</v>
      </c>
      <c r="AB18" s="455">
        <f t="shared" si="27"/>
        <v>0</v>
      </c>
      <c r="AC18" s="451">
        <f t="shared" si="18"/>
        <v>905726</v>
      </c>
      <c r="AD18" s="455">
        <f t="shared" si="37"/>
        <v>0</v>
      </c>
      <c r="AE18" s="478">
        <f t="shared" si="19"/>
        <v>0</v>
      </c>
      <c r="AF18" s="479">
        <f t="shared" si="20"/>
        <v>0</v>
      </c>
      <c r="AG18" s="471">
        <f t="shared" si="33"/>
        <v>0</v>
      </c>
      <c r="AI18" s="472">
        <f>R18-'EDl log'!B16</f>
        <v>-705920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f t="shared" si="7"/>
        <v>32458946</v>
      </c>
      <c r="E19" s="314">
        <f t="shared" si="21"/>
        <v>0</v>
      </c>
      <c r="F19" s="588">
        <f t="shared" si="8"/>
        <v>3917258</v>
      </c>
      <c r="G19" s="315">
        <f t="shared" si="0"/>
        <v>0</v>
      </c>
      <c r="H19" s="451">
        <f t="shared" si="9"/>
        <v>17727210</v>
      </c>
      <c r="I19" s="315">
        <f t="shared" si="22"/>
        <v>0</v>
      </c>
      <c r="J19" s="588">
        <f t="shared" si="10"/>
        <v>28811234</v>
      </c>
      <c r="K19" s="315">
        <f t="shared" si="23"/>
        <v>0</v>
      </c>
      <c r="L19" s="451">
        <f t="shared" si="11"/>
        <v>23870450</v>
      </c>
      <c r="M19" s="315">
        <f t="shared" si="24"/>
        <v>0</v>
      </c>
      <c r="N19" s="313">
        <f t="shared" si="25"/>
        <v>0</v>
      </c>
      <c r="O19" s="473">
        <f t="shared" si="32"/>
        <v>0</v>
      </c>
      <c r="P19" s="605">
        <f t="shared" si="12"/>
        <v>16443.814999999999</v>
      </c>
      <c r="Q19" s="455">
        <f t="shared" si="35"/>
        <v>0</v>
      </c>
      <c r="R19" s="455">
        <f t="shared" si="36"/>
        <v>0</v>
      </c>
      <c r="S19" s="451">
        <f t="shared" si="13"/>
        <v>10006</v>
      </c>
      <c r="T19" s="475">
        <f t="shared" si="3"/>
        <v>0</v>
      </c>
      <c r="U19" s="451">
        <f t="shared" si="14"/>
        <v>400936</v>
      </c>
      <c r="V19" s="455">
        <f t="shared" si="26"/>
        <v>0</v>
      </c>
      <c r="W19" s="451">
        <f t="shared" si="15"/>
        <v>32134</v>
      </c>
      <c r="X19" s="455">
        <f t="shared" si="31"/>
        <v>0</v>
      </c>
      <c r="Y19" s="451">
        <f t="shared" si="16"/>
        <v>690014</v>
      </c>
      <c r="Z19" s="455">
        <f t="shared" si="30"/>
        <v>0</v>
      </c>
      <c r="AA19" s="451">
        <f t="shared" si="17"/>
        <v>35634</v>
      </c>
      <c r="AB19" s="455">
        <f t="shared" si="27"/>
        <v>0</v>
      </c>
      <c r="AC19" s="451">
        <f t="shared" si="18"/>
        <v>905726</v>
      </c>
      <c r="AD19" s="455">
        <f t="shared" si="37"/>
        <v>0</v>
      </c>
      <c r="AE19" s="478">
        <f t="shared" si="19"/>
        <v>0</v>
      </c>
      <c r="AF19" s="479">
        <f t="shared" si="20"/>
        <v>0</v>
      </c>
      <c r="AG19" s="471">
        <f t="shared" si="33"/>
        <v>0</v>
      </c>
      <c r="AI19" s="472">
        <f>R19-'EDl log'!B17</f>
        <v>-705920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f t="shared" si="7"/>
        <v>32458946</v>
      </c>
      <c r="E20" s="314">
        <f t="shared" si="21"/>
        <v>0</v>
      </c>
      <c r="F20" s="588">
        <f t="shared" si="8"/>
        <v>3917258</v>
      </c>
      <c r="G20" s="315">
        <f t="shared" si="0"/>
        <v>0</v>
      </c>
      <c r="H20" s="451">
        <f t="shared" si="9"/>
        <v>17727210</v>
      </c>
      <c r="I20" s="315">
        <f t="shared" si="22"/>
        <v>0</v>
      </c>
      <c r="J20" s="588">
        <f t="shared" si="10"/>
        <v>28811234</v>
      </c>
      <c r="K20" s="315">
        <f t="shared" si="23"/>
        <v>0</v>
      </c>
      <c r="L20" s="451">
        <f t="shared" si="11"/>
        <v>23870450</v>
      </c>
      <c r="M20" s="315">
        <f t="shared" si="24"/>
        <v>0</v>
      </c>
      <c r="N20" s="313">
        <f t="shared" si="25"/>
        <v>0</v>
      </c>
      <c r="O20" s="473">
        <f t="shared" si="32"/>
        <v>0</v>
      </c>
      <c r="P20" s="605">
        <f t="shared" si="12"/>
        <v>16443.814999999999</v>
      </c>
      <c r="Q20" s="455">
        <f t="shared" si="35"/>
        <v>0</v>
      </c>
      <c r="R20" s="455">
        <f t="shared" si="36"/>
        <v>0</v>
      </c>
      <c r="S20" s="451">
        <f t="shared" si="13"/>
        <v>10006</v>
      </c>
      <c r="T20" s="475">
        <f t="shared" si="3"/>
        <v>0</v>
      </c>
      <c r="U20" s="451">
        <f t="shared" si="14"/>
        <v>400936</v>
      </c>
      <c r="V20" s="455">
        <f t="shared" si="26"/>
        <v>0</v>
      </c>
      <c r="W20" s="451">
        <f t="shared" si="15"/>
        <v>32134</v>
      </c>
      <c r="X20" s="455">
        <f t="shared" si="31"/>
        <v>0</v>
      </c>
      <c r="Y20" s="451">
        <f t="shared" si="16"/>
        <v>690014</v>
      </c>
      <c r="Z20" s="455">
        <f t="shared" si="30"/>
        <v>0</v>
      </c>
      <c r="AA20" s="451">
        <f t="shared" si="17"/>
        <v>35634</v>
      </c>
      <c r="AB20" s="455">
        <f t="shared" si="27"/>
        <v>0</v>
      </c>
      <c r="AC20" s="451">
        <f t="shared" si="18"/>
        <v>905726</v>
      </c>
      <c r="AD20" s="455">
        <f t="shared" si="37"/>
        <v>0</v>
      </c>
      <c r="AE20" s="478">
        <f t="shared" si="19"/>
        <v>0</v>
      </c>
      <c r="AF20" s="479">
        <f t="shared" si="20"/>
        <v>0</v>
      </c>
      <c r="AG20" s="471">
        <f t="shared" si="33"/>
        <v>0</v>
      </c>
      <c r="AI20" s="472">
        <f>R20-'EDl log'!B18</f>
        <v>-705920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f t="shared" si="7"/>
        <v>32458946</v>
      </c>
      <c r="E21" s="314">
        <f t="shared" si="21"/>
        <v>0</v>
      </c>
      <c r="F21" s="588">
        <f t="shared" si="8"/>
        <v>3917258</v>
      </c>
      <c r="G21" s="315">
        <f t="shared" si="0"/>
        <v>0</v>
      </c>
      <c r="H21" s="451">
        <f t="shared" si="9"/>
        <v>17727210</v>
      </c>
      <c r="I21" s="315">
        <f t="shared" si="22"/>
        <v>0</v>
      </c>
      <c r="J21" s="588">
        <f t="shared" si="10"/>
        <v>28811234</v>
      </c>
      <c r="K21" s="315">
        <f t="shared" si="23"/>
        <v>0</v>
      </c>
      <c r="L21" s="451">
        <f t="shared" si="11"/>
        <v>23870450</v>
      </c>
      <c r="M21" s="315">
        <f t="shared" si="24"/>
        <v>0</v>
      </c>
      <c r="N21" s="313">
        <f t="shared" si="25"/>
        <v>0</v>
      </c>
      <c r="O21" s="473">
        <f t="shared" si="32"/>
        <v>0</v>
      </c>
      <c r="P21" s="605">
        <f t="shared" si="12"/>
        <v>16443.814999999999</v>
      </c>
      <c r="Q21" s="455">
        <f t="shared" si="35"/>
        <v>0</v>
      </c>
      <c r="R21" s="455">
        <f t="shared" si="36"/>
        <v>0</v>
      </c>
      <c r="S21" s="451">
        <f t="shared" si="13"/>
        <v>10006</v>
      </c>
      <c r="T21" s="475">
        <f t="shared" si="3"/>
        <v>0</v>
      </c>
      <c r="U21" s="451">
        <f t="shared" si="14"/>
        <v>400936</v>
      </c>
      <c r="V21" s="455">
        <f t="shared" si="26"/>
        <v>0</v>
      </c>
      <c r="W21" s="451">
        <f t="shared" si="15"/>
        <v>32134</v>
      </c>
      <c r="X21" s="455">
        <f t="shared" si="31"/>
        <v>0</v>
      </c>
      <c r="Y21" s="451">
        <f t="shared" si="16"/>
        <v>690014</v>
      </c>
      <c r="Z21" s="455">
        <f t="shared" si="30"/>
        <v>0</v>
      </c>
      <c r="AA21" s="451">
        <f t="shared" si="17"/>
        <v>35634</v>
      </c>
      <c r="AB21" s="455">
        <f t="shared" si="27"/>
        <v>0</v>
      </c>
      <c r="AC21" s="451">
        <f t="shared" si="18"/>
        <v>905726</v>
      </c>
      <c r="AD21" s="455">
        <f t="shared" si="37"/>
        <v>0</v>
      </c>
      <c r="AE21" s="478">
        <f t="shared" si="19"/>
        <v>0</v>
      </c>
      <c r="AF21" s="479">
        <f t="shared" si="20"/>
        <v>0</v>
      </c>
      <c r="AG21" s="471">
        <f t="shared" si="33"/>
        <v>0</v>
      </c>
      <c r="AI21" s="472">
        <f>R21-'EDl log'!B19</f>
        <v>-705920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f t="shared" si="7"/>
        <v>32458946</v>
      </c>
      <c r="E22" s="314">
        <f t="shared" si="21"/>
        <v>0</v>
      </c>
      <c r="F22" s="588">
        <f t="shared" si="8"/>
        <v>3917258</v>
      </c>
      <c r="G22" s="315">
        <f t="shared" si="0"/>
        <v>0</v>
      </c>
      <c r="H22" s="451">
        <f t="shared" si="9"/>
        <v>17727210</v>
      </c>
      <c r="I22" s="315">
        <f t="shared" si="22"/>
        <v>0</v>
      </c>
      <c r="J22" s="588">
        <f t="shared" si="10"/>
        <v>28811234</v>
      </c>
      <c r="K22" s="315">
        <f t="shared" si="23"/>
        <v>0</v>
      </c>
      <c r="L22" s="451">
        <f t="shared" si="11"/>
        <v>23870450</v>
      </c>
      <c r="M22" s="315">
        <f t="shared" si="24"/>
        <v>0</v>
      </c>
      <c r="N22" s="313">
        <f t="shared" si="25"/>
        <v>0</v>
      </c>
      <c r="O22" s="473">
        <f t="shared" si="32"/>
        <v>0</v>
      </c>
      <c r="P22" s="605">
        <f t="shared" si="12"/>
        <v>16443.814999999999</v>
      </c>
      <c r="Q22" s="455">
        <f t="shared" si="35"/>
        <v>0</v>
      </c>
      <c r="R22" s="455">
        <f t="shared" si="36"/>
        <v>0</v>
      </c>
      <c r="S22" s="451">
        <f t="shared" si="13"/>
        <v>10006</v>
      </c>
      <c r="T22" s="475">
        <f t="shared" si="3"/>
        <v>0</v>
      </c>
      <c r="U22" s="451">
        <f t="shared" si="14"/>
        <v>400936</v>
      </c>
      <c r="V22" s="455">
        <f t="shared" si="26"/>
        <v>0</v>
      </c>
      <c r="W22" s="451">
        <f t="shared" si="15"/>
        <v>32134</v>
      </c>
      <c r="X22" s="455">
        <f t="shared" si="31"/>
        <v>0</v>
      </c>
      <c r="Y22" s="451">
        <f t="shared" si="16"/>
        <v>690014</v>
      </c>
      <c r="Z22" s="455">
        <f t="shared" si="30"/>
        <v>0</v>
      </c>
      <c r="AA22" s="451">
        <f t="shared" si="17"/>
        <v>35634</v>
      </c>
      <c r="AB22" s="455">
        <f t="shared" si="27"/>
        <v>0</v>
      </c>
      <c r="AC22" s="451">
        <f t="shared" si="18"/>
        <v>905726</v>
      </c>
      <c r="AD22" s="455">
        <f t="shared" si="37"/>
        <v>0</v>
      </c>
      <c r="AE22" s="478">
        <f t="shared" si="19"/>
        <v>0</v>
      </c>
      <c r="AF22" s="479">
        <f t="shared" si="20"/>
        <v>0</v>
      </c>
      <c r="AG22" s="471">
        <f t="shared" si="33"/>
        <v>0</v>
      </c>
      <c r="AI22" s="472">
        <f>R22-'EDl log'!B20</f>
        <v>-705920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f t="shared" si="7"/>
        <v>32458946</v>
      </c>
      <c r="E23" s="314">
        <f t="shared" si="21"/>
        <v>0</v>
      </c>
      <c r="F23" s="588">
        <f t="shared" si="8"/>
        <v>3917258</v>
      </c>
      <c r="G23" s="315">
        <f t="shared" si="0"/>
        <v>0</v>
      </c>
      <c r="H23" s="451">
        <f t="shared" si="9"/>
        <v>17727210</v>
      </c>
      <c r="I23" s="444">
        <f t="shared" si="22"/>
        <v>0</v>
      </c>
      <c r="J23" s="588">
        <f t="shared" si="10"/>
        <v>28811234</v>
      </c>
      <c r="K23" s="315">
        <f t="shared" si="23"/>
        <v>0</v>
      </c>
      <c r="L23" s="451">
        <f t="shared" si="11"/>
        <v>23870450</v>
      </c>
      <c r="M23" s="315">
        <f t="shared" si="24"/>
        <v>0</v>
      </c>
      <c r="N23" s="313">
        <f t="shared" si="25"/>
        <v>0</v>
      </c>
      <c r="O23" s="473">
        <f t="shared" si="32"/>
        <v>0</v>
      </c>
      <c r="P23" s="605">
        <f t="shared" si="12"/>
        <v>16443.814999999999</v>
      </c>
      <c r="Q23" s="455">
        <f t="shared" si="35"/>
        <v>0</v>
      </c>
      <c r="R23" s="455">
        <f t="shared" si="36"/>
        <v>0</v>
      </c>
      <c r="S23" s="451">
        <f t="shared" si="13"/>
        <v>10006</v>
      </c>
      <c r="T23" s="475">
        <f t="shared" si="3"/>
        <v>0</v>
      </c>
      <c r="U23" s="451">
        <f t="shared" si="14"/>
        <v>400936</v>
      </c>
      <c r="V23" s="455">
        <f t="shared" si="26"/>
        <v>0</v>
      </c>
      <c r="W23" s="451">
        <f t="shared" si="15"/>
        <v>32134</v>
      </c>
      <c r="X23" s="455">
        <f t="shared" si="31"/>
        <v>0</v>
      </c>
      <c r="Y23" s="451">
        <f t="shared" si="16"/>
        <v>690014</v>
      </c>
      <c r="Z23" s="455">
        <f t="shared" si="30"/>
        <v>0</v>
      </c>
      <c r="AA23" s="451">
        <f t="shared" si="17"/>
        <v>35634</v>
      </c>
      <c r="AB23" s="455">
        <f t="shared" si="27"/>
        <v>0</v>
      </c>
      <c r="AC23" s="451">
        <f t="shared" si="18"/>
        <v>905726</v>
      </c>
      <c r="AD23" s="455">
        <f t="shared" si="37"/>
        <v>0</v>
      </c>
      <c r="AE23" s="478">
        <f t="shared" si="19"/>
        <v>0</v>
      </c>
      <c r="AF23" s="479">
        <f t="shared" si="20"/>
        <v>0</v>
      </c>
      <c r="AG23" s="471">
        <f t="shared" si="33"/>
        <v>0</v>
      </c>
      <c r="AI23" s="472">
        <f>R23-'EDl log'!B21</f>
        <v>-705920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f t="shared" si="7"/>
        <v>32458946</v>
      </c>
      <c r="E24" s="314">
        <f t="shared" si="21"/>
        <v>0</v>
      </c>
      <c r="F24" s="588">
        <f t="shared" si="8"/>
        <v>3917258</v>
      </c>
      <c r="G24" s="315">
        <f t="shared" si="0"/>
        <v>0</v>
      </c>
      <c r="H24" s="451">
        <f t="shared" si="9"/>
        <v>17727210</v>
      </c>
      <c r="I24" s="315">
        <f t="shared" si="22"/>
        <v>0</v>
      </c>
      <c r="J24" s="588">
        <f t="shared" si="10"/>
        <v>28811234</v>
      </c>
      <c r="K24" s="315">
        <f t="shared" si="23"/>
        <v>0</v>
      </c>
      <c r="L24" s="451">
        <f t="shared" si="11"/>
        <v>23870450</v>
      </c>
      <c r="M24" s="315">
        <f t="shared" si="24"/>
        <v>0</v>
      </c>
      <c r="N24" s="313">
        <f t="shared" si="25"/>
        <v>0</v>
      </c>
      <c r="O24" s="473">
        <f t="shared" si="32"/>
        <v>0</v>
      </c>
      <c r="P24" s="605">
        <f t="shared" si="12"/>
        <v>16443.814999999999</v>
      </c>
      <c r="Q24" s="455">
        <f t="shared" si="35"/>
        <v>0</v>
      </c>
      <c r="R24" s="455">
        <f t="shared" si="36"/>
        <v>0</v>
      </c>
      <c r="S24" s="451">
        <f t="shared" si="13"/>
        <v>10006</v>
      </c>
      <c r="T24" s="475">
        <f t="shared" si="3"/>
        <v>0</v>
      </c>
      <c r="U24" s="451">
        <f t="shared" si="14"/>
        <v>400936</v>
      </c>
      <c r="V24" s="455">
        <f t="shared" si="26"/>
        <v>0</v>
      </c>
      <c r="W24" s="451">
        <f t="shared" si="15"/>
        <v>32134</v>
      </c>
      <c r="X24" s="455">
        <f t="shared" si="31"/>
        <v>0</v>
      </c>
      <c r="Y24" s="451">
        <f t="shared" si="16"/>
        <v>690014</v>
      </c>
      <c r="Z24" s="455">
        <f t="shared" si="30"/>
        <v>0</v>
      </c>
      <c r="AA24" s="451">
        <f t="shared" si="17"/>
        <v>35634</v>
      </c>
      <c r="AB24" s="455">
        <f t="shared" si="27"/>
        <v>0</v>
      </c>
      <c r="AC24" s="451">
        <f t="shared" si="18"/>
        <v>905726</v>
      </c>
      <c r="AD24" s="455">
        <f t="shared" si="37"/>
        <v>0</v>
      </c>
      <c r="AE24" s="478">
        <f t="shared" si="19"/>
        <v>0</v>
      </c>
      <c r="AF24" s="479">
        <f t="shared" si="20"/>
        <v>0</v>
      </c>
      <c r="AG24" s="471">
        <f t="shared" si="33"/>
        <v>0</v>
      </c>
      <c r="AI24" s="472">
        <f>R24-'EDl log'!B22</f>
        <v>-705920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f t="shared" si="7"/>
        <v>32458946</v>
      </c>
      <c r="E25" s="314">
        <f t="shared" si="21"/>
        <v>0</v>
      </c>
      <c r="F25" s="588">
        <f t="shared" si="8"/>
        <v>3917258</v>
      </c>
      <c r="G25" s="315">
        <f t="shared" si="0"/>
        <v>0</v>
      </c>
      <c r="H25" s="451">
        <f t="shared" si="9"/>
        <v>17727210</v>
      </c>
      <c r="I25" s="315">
        <f t="shared" si="22"/>
        <v>0</v>
      </c>
      <c r="J25" s="588">
        <f t="shared" si="10"/>
        <v>28811234</v>
      </c>
      <c r="K25" s="315">
        <f t="shared" si="23"/>
        <v>0</v>
      </c>
      <c r="L25" s="451">
        <f t="shared" si="11"/>
        <v>23870450</v>
      </c>
      <c r="M25" s="315">
        <f t="shared" si="24"/>
        <v>0</v>
      </c>
      <c r="N25" s="313">
        <f t="shared" si="25"/>
        <v>0</v>
      </c>
      <c r="O25" s="473">
        <f t="shared" si="32"/>
        <v>0</v>
      </c>
      <c r="P25" s="605">
        <f t="shared" si="12"/>
        <v>16443.814999999999</v>
      </c>
      <c r="Q25" s="455">
        <f t="shared" si="35"/>
        <v>0</v>
      </c>
      <c r="R25" s="455">
        <f t="shared" si="36"/>
        <v>0</v>
      </c>
      <c r="S25" s="451">
        <f t="shared" si="13"/>
        <v>10006</v>
      </c>
      <c r="T25" s="475">
        <f t="shared" si="3"/>
        <v>0</v>
      </c>
      <c r="U25" s="451">
        <f t="shared" si="14"/>
        <v>400936</v>
      </c>
      <c r="V25" s="455">
        <f t="shared" si="26"/>
        <v>0</v>
      </c>
      <c r="W25" s="451">
        <f t="shared" si="15"/>
        <v>32134</v>
      </c>
      <c r="X25" s="455">
        <f t="shared" si="31"/>
        <v>0</v>
      </c>
      <c r="Y25" s="451">
        <f t="shared" si="16"/>
        <v>690014</v>
      </c>
      <c r="Z25" s="455">
        <f t="shared" si="30"/>
        <v>0</v>
      </c>
      <c r="AA25" s="451">
        <f t="shared" si="17"/>
        <v>35634</v>
      </c>
      <c r="AB25" s="455">
        <f t="shared" si="27"/>
        <v>0</v>
      </c>
      <c r="AC25" s="451">
        <f t="shared" si="18"/>
        <v>905726</v>
      </c>
      <c r="AD25" s="455">
        <f t="shared" si="37"/>
        <v>0</v>
      </c>
      <c r="AE25" s="478">
        <f t="shared" si="19"/>
        <v>0</v>
      </c>
      <c r="AF25" s="479">
        <f t="shared" si="20"/>
        <v>0</v>
      </c>
      <c r="AG25" s="471">
        <f t="shared" si="33"/>
        <v>0</v>
      </c>
      <c r="AI25" s="472">
        <f>R25-'EDl log'!B23</f>
        <v>-705920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f t="shared" si="7"/>
        <v>32458946</v>
      </c>
      <c r="E26" s="314">
        <f t="shared" si="21"/>
        <v>0</v>
      </c>
      <c r="F26" s="588">
        <f t="shared" si="8"/>
        <v>3917258</v>
      </c>
      <c r="G26" s="315">
        <f t="shared" si="0"/>
        <v>0</v>
      </c>
      <c r="H26" s="451">
        <f t="shared" si="9"/>
        <v>17727210</v>
      </c>
      <c r="I26" s="315">
        <f t="shared" si="22"/>
        <v>0</v>
      </c>
      <c r="J26" s="588">
        <f t="shared" si="10"/>
        <v>28811234</v>
      </c>
      <c r="K26" s="315">
        <f t="shared" si="23"/>
        <v>0</v>
      </c>
      <c r="L26" s="451">
        <f t="shared" si="11"/>
        <v>23870450</v>
      </c>
      <c r="M26" s="315">
        <f t="shared" si="24"/>
        <v>0</v>
      </c>
      <c r="N26" s="313">
        <f t="shared" si="25"/>
        <v>0</v>
      </c>
      <c r="O26" s="473">
        <f t="shared" si="32"/>
        <v>0</v>
      </c>
      <c r="P26" s="605">
        <f t="shared" si="12"/>
        <v>16443.814999999999</v>
      </c>
      <c r="Q26" s="455">
        <f t="shared" si="35"/>
        <v>0</v>
      </c>
      <c r="R26" s="455">
        <f t="shared" si="36"/>
        <v>0</v>
      </c>
      <c r="S26" s="451">
        <f t="shared" si="13"/>
        <v>10006</v>
      </c>
      <c r="T26" s="475">
        <f t="shared" si="3"/>
        <v>0</v>
      </c>
      <c r="U26" s="451">
        <f t="shared" si="14"/>
        <v>400936</v>
      </c>
      <c r="V26" s="455">
        <f t="shared" si="26"/>
        <v>0</v>
      </c>
      <c r="W26" s="451">
        <f t="shared" si="15"/>
        <v>32134</v>
      </c>
      <c r="X26" s="455">
        <f t="shared" si="31"/>
        <v>0</v>
      </c>
      <c r="Y26" s="451">
        <f t="shared" si="16"/>
        <v>690014</v>
      </c>
      <c r="Z26" s="455">
        <f t="shared" si="30"/>
        <v>0</v>
      </c>
      <c r="AA26" s="451">
        <f t="shared" si="17"/>
        <v>35634</v>
      </c>
      <c r="AB26" s="455">
        <f t="shared" si="27"/>
        <v>0</v>
      </c>
      <c r="AC26" s="451">
        <f t="shared" si="18"/>
        <v>905726</v>
      </c>
      <c r="AD26" s="455">
        <f t="shared" si="37"/>
        <v>0</v>
      </c>
      <c r="AE26" s="478">
        <f t="shared" si="19"/>
        <v>0</v>
      </c>
      <c r="AF26" s="479">
        <f t="shared" si="20"/>
        <v>0</v>
      </c>
      <c r="AG26" s="471">
        <f t="shared" si="33"/>
        <v>0</v>
      </c>
      <c r="AI26" s="472">
        <f>R26-'EDl log'!B24</f>
        <v>-705920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f t="shared" si="7"/>
        <v>32458946</v>
      </c>
      <c r="E27" s="314">
        <f t="shared" si="21"/>
        <v>0</v>
      </c>
      <c r="F27" s="588">
        <f t="shared" si="8"/>
        <v>3917258</v>
      </c>
      <c r="G27" s="315">
        <f>F27-F26</f>
        <v>0</v>
      </c>
      <c r="H27" s="451">
        <f t="shared" si="9"/>
        <v>17727210</v>
      </c>
      <c r="I27" s="315">
        <f t="shared" si="22"/>
        <v>0</v>
      </c>
      <c r="J27" s="588">
        <f t="shared" si="10"/>
        <v>28811234</v>
      </c>
      <c r="K27" s="315">
        <f t="shared" si="23"/>
        <v>0</v>
      </c>
      <c r="L27" s="451">
        <f t="shared" si="11"/>
        <v>23870450</v>
      </c>
      <c r="M27" s="315">
        <f t="shared" si="24"/>
        <v>0</v>
      </c>
      <c r="N27" s="313">
        <f t="shared" si="25"/>
        <v>0</v>
      </c>
      <c r="O27" s="473">
        <f t="shared" si="32"/>
        <v>0</v>
      </c>
      <c r="P27" s="605">
        <f t="shared" si="12"/>
        <v>16443.814999999999</v>
      </c>
      <c r="Q27" s="455">
        <f t="shared" si="35"/>
        <v>0</v>
      </c>
      <c r="R27" s="455">
        <f t="shared" si="36"/>
        <v>0</v>
      </c>
      <c r="S27" s="451">
        <f t="shared" si="13"/>
        <v>10006</v>
      </c>
      <c r="T27" s="475">
        <f t="shared" si="3"/>
        <v>0</v>
      </c>
      <c r="U27" s="451">
        <f t="shared" si="14"/>
        <v>400936</v>
      </c>
      <c r="V27" s="455">
        <f t="shared" si="26"/>
        <v>0</v>
      </c>
      <c r="W27" s="451">
        <f t="shared" si="15"/>
        <v>32134</v>
      </c>
      <c r="X27" s="455">
        <f t="shared" si="31"/>
        <v>0</v>
      </c>
      <c r="Y27" s="451">
        <f t="shared" si="16"/>
        <v>690014</v>
      </c>
      <c r="Z27" s="455">
        <f t="shared" si="30"/>
        <v>0</v>
      </c>
      <c r="AA27" s="451">
        <f t="shared" si="17"/>
        <v>35634</v>
      </c>
      <c r="AB27" s="455">
        <f t="shared" si="27"/>
        <v>0</v>
      </c>
      <c r="AC27" s="451">
        <f t="shared" si="18"/>
        <v>905726</v>
      </c>
      <c r="AD27" s="455">
        <f t="shared" si="37"/>
        <v>0</v>
      </c>
      <c r="AE27" s="478">
        <f t="shared" si="19"/>
        <v>0</v>
      </c>
      <c r="AF27" s="479">
        <f t="shared" si="20"/>
        <v>0</v>
      </c>
      <c r="AG27" s="471">
        <f t="shared" si="33"/>
        <v>0</v>
      </c>
      <c r="AI27" s="472">
        <f>R27-'EDl log'!B25</f>
        <v>-705920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f t="shared" si="7"/>
        <v>32458946</v>
      </c>
      <c r="E28" s="314">
        <f t="shared" si="21"/>
        <v>0</v>
      </c>
      <c r="F28" s="588">
        <f t="shared" si="8"/>
        <v>3917258</v>
      </c>
      <c r="G28" s="315">
        <f t="shared" si="0"/>
        <v>0</v>
      </c>
      <c r="H28" s="451">
        <f t="shared" si="9"/>
        <v>17727210</v>
      </c>
      <c r="I28" s="315">
        <f t="shared" si="22"/>
        <v>0</v>
      </c>
      <c r="J28" s="588">
        <f t="shared" si="10"/>
        <v>28811234</v>
      </c>
      <c r="K28" s="315">
        <f t="shared" si="23"/>
        <v>0</v>
      </c>
      <c r="L28" s="451">
        <f t="shared" si="11"/>
        <v>23870450</v>
      </c>
      <c r="M28" s="315">
        <f t="shared" si="24"/>
        <v>0</v>
      </c>
      <c r="N28" s="313">
        <f t="shared" si="25"/>
        <v>0</v>
      </c>
      <c r="O28" s="473">
        <f t="shared" si="32"/>
        <v>0</v>
      </c>
      <c r="P28" s="605">
        <f t="shared" si="12"/>
        <v>16443.814999999999</v>
      </c>
      <c r="Q28" s="455">
        <f t="shared" si="35"/>
        <v>0</v>
      </c>
      <c r="R28" s="455">
        <f t="shared" si="36"/>
        <v>0</v>
      </c>
      <c r="S28" s="451">
        <f t="shared" si="13"/>
        <v>10006</v>
      </c>
      <c r="T28" s="475">
        <f t="shared" si="3"/>
        <v>0</v>
      </c>
      <c r="U28" s="451">
        <f t="shared" si="14"/>
        <v>400936</v>
      </c>
      <c r="V28" s="455">
        <f t="shared" si="26"/>
        <v>0</v>
      </c>
      <c r="W28" s="451">
        <f t="shared" si="15"/>
        <v>32134</v>
      </c>
      <c r="X28" s="455">
        <f t="shared" si="31"/>
        <v>0</v>
      </c>
      <c r="Y28" s="451">
        <f t="shared" si="16"/>
        <v>690014</v>
      </c>
      <c r="Z28" s="455">
        <f t="shared" si="30"/>
        <v>0</v>
      </c>
      <c r="AA28" s="451">
        <f t="shared" si="17"/>
        <v>35634</v>
      </c>
      <c r="AB28" s="455">
        <f t="shared" si="27"/>
        <v>0</v>
      </c>
      <c r="AC28" s="451">
        <f t="shared" si="18"/>
        <v>905726</v>
      </c>
      <c r="AD28" s="455">
        <f t="shared" si="37"/>
        <v>0</v>
      </c>
      <c r="AE28" s="478">
        <f t="shared" si="19"/>
        <v>0</v>
      </c>
      <c r="AF28" s="479">
        <f t="shared" si="20"/>
        <v>0</v>
      </c>
      <c r="AG28" s="471">
        <f t="shared" si="33"/>
        <v>0</v>
      </c>
      <c r="AI28" s="472">
        <f>R28-'EDl log'!B26</f>
        <v>-705920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f t="shared" si="7"/>
        <v>32458946</v>
      </c>
      <c r="E29" s="314">
        <f t="shared" si="21"/>
        <v>0</v>
      </c>
      <c r="F29" s="588">
        <f t="shared" si="8"/>
        <v>3917258</v>
      </c>
      <c r="G29" s="315">
        <f t="shared" si="0"/>
        <v>0</v>
      </c>
      <c r="H29" s="451">
        <f t="shared" si="9"/>
        <v>17727210</v>
      </c>
      <c r="I29" s="315">
        <f t="shared" si="22"/>
        <v>0</v>
      </c>
      <c r="J29" s="588">
        <f t="shared" si="10"/>
        <v>28811234</v>
      </c>
      <c r="K29" s="315">
        <f t="shared" si="23"/>
        <v>0</v>
      </c>
      <c r="L29" s="451">
        <f t="shared" si="11"/>
        <v>23870450</v>
      </c>
      <c r="M29" s="315">
        <f t="shared" si="24"/>
        <v>0</v>
      </c>
      <c r="N29" s="313">
        <f t="shared" si="25"/>
        <v>0</v>
      </c>
      <c r="O29" s="473">
        <f t="shared" si="32"/>
        <v>0</v>
      </c>
      <c r="P29" s="605">
        <f t="shared" si="12"/>
        <v>16443.814999999999</v>
      </c>
      <c r="Q29" s="455">
        <f t="shared" si="35"/>
        <v>0</v>
      </c>
      <c r="R29" s="455">
        <f t="shared" si="36"/>
        <v>0</v>
      </c>
      <c r="S29" s="451">
        <f t="shared" si="13"/>
        <v>10006</v>
      </c>
      <c r="T29" s="475">
        <f t="shared" si="3"/>
        <v>0</v>
      </c>
      <c r="U29" s="451">
        <f t="shared" si="14"/>
        <v>400936</v>
      </c>
      <c r="V29" s="455">
        <f t="shared" si="26"/>
        <v>0</v>
      </c>
      <c r="W29" s="451">
        <f t="shared" si="15"/>
        <v>32134</v>
      </c>
      <c r="X29" s="455">
        <f t="shared" si="31"/>
        <v>0</v>
      </c>
      <c r="Y29" s="451">
        <f t="shared" si="16"/>
        <v>690014</v>
      </c>
      <c r="Z29" s="455">
        <f t="shared" si="30"/>
        <v>0</v>
      </c>
      <c r="AA29" s="451">
        <f t="shared" si="17"/>
        <v>35634</v>
      </c>
      <c r="AB29" s="455">
        <f t="shared" si="27"/>
        <v>0</v>
      </c>
      <c r="AC29" s="451">
        <f t="shared" si="18"/>
        <v>905726</v>
      </c>
      <c r="AD29" s="455">
        <f t="shared" si="37"/>
        <v>0</v>
      </c>
      <c r="AE29" s="478">
        <f t="shared" si="19"/>
        <v>0</v>
      </c>
      <c r="AF29" s="479">
        <f t="shared" si="20"/>
        <v>0</v>
      </c>
      <c r="AG29" s="471">
        <f t="shared" si="33"/>
        <v>0</v>
      </c>
      <c r="AI29" s="472">
        <f>R29-'EDl log'!B27</f>
        <v>-705920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si="7"/>
        <v>32458946</v>
      </c>
      <c r="E30" s="314">
        <f t="shared" si="21"/>
        <v>0</v>
      </c>
      <c r="F30" s="588">
        <f t="shared" si="8"/>
        <v>3917258</v>
      </c>
      <c r="G30" s="315">
        <f t="shared" si="0"/>
        <v>0</v>
      </c>
      <c r="H30" s="451">
        <f t="shared" si="9"/>
        <v>17727210</v>
      </c>
      <c r="I30" s="315">
        <f t="shared" si="22"/>
        <v>0</v>
      </c>
      <c r="J30" s="588">
        <f t="shared" si="10"/>
        <v>28811234</v>
      </c>
      <c r="K30" s="315">
        <f t="shared" si="23"/>
        <v>0</v>
      </c>
      <c r="L30" s="451">
        <f t="shared" si="11"/>
        <v>23870450</v>
      </c>
      <c r="M30" s="315">
        <f t="shared" si="24"/>
        <v>0</v>
      </c>
      <c r="N30" s="313">
        <f t="shared" si="25"/>
        <v>0</v>
      </c>
      <c r="O30" s="473">
        <f t="shared" si="32"/>
        <v>0</v>
      </c>
      <c r="P30" s="605">
        <f t="shared" si="12"/>
        <v>16443.814999999999</v>
      </c>
      <c r="Q30" s="455">
        <f t="shared" si="35"/>
        <v>0</v>
      </c>
      <c r="R30" s="455">
        <f t="shared" si="36"/>
        <v>0</v>
      </c>
      <c r="S30" s="451">
        <f t="shared" si="13"/>
        <v>10006</v>
      </c>
      <c r="T30" s="475">
        <f t="shared" si="3"/>
        <v>0</v>
      </c>
      <c r="U30" s="451">
        <f t="shared" si="14"/>
        <v>400936</v>
      </c>
      <c r="V30" s="455">
        <f t="shared" si="26"/>
        <v>0</v>
      </c>
      <c r="W30" s="451">
        <f t="shared" si="15"/>
        <v>32134</v>
      </c>
      <c r="X30" s="476">
        <f t="shared" si="31"/>
        <v>0</v>
      </c>
      <c r="Y30" s="451">
        <f t="shared" si="16"/>
        <v>690014</v>
      </c>
      <c r="Z30" s="455">
        <f t="shared" si="30"/>
        <v>0</v>
      </c>
      <c r="AA30" s="451">
        <f t="shared" si="17"/>
        <v>35634</v>
      </c>
      <c r="AB30" s="455">
        <f t="shared" si="27"/>
        <v>0</v>
      </c>
      <c r="AC30" s="451">
        <f t="shared" si="18"/>
        <v>905726</v>
      </c>
      <c r="AD30" s="455">
        <f t="shared" si="37"/>
        <v>0</v>
      </c>
      <c r="AE30" s="478">
        <f t="shared" si="19"/>
        <v>0</v>
      </c>
      <c r="AF30" s="479">
        <f t="shared" si="20"/>
        <v>0</v>
      </c>
      <c r="AG30" s="471">
        <f t="shared" si="33"/>
        <v>0</v>
      </c>
      <c r="AI30" s="472">
        <f>R30-'EDl log'!B28</f>
        <v>-705920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7"/>
        <v>32458946</v>
      </c>
      <c r="E31" s="314">
        <f t="shared" si="21"/>
        <v>0</v>
      </c>
      <c r="F31" s="588">
        <f t="shared" si="8"/>
        <v>3917258</v>
      </c>
      <c r="G31" s="315">
        <f t="shared" si="0"/>
        <v>0</v>
      </c>
      <c r="H31" s="451">
        <f t="shared" si="9"/>
        <v>17727210</v>
      </c>
      <c r="I31" s="315">
        <f t="shared" si="22"/>
        <v>0</v>
      </c>
      <c r="J31" s="588">
        <f t="shared" si="10"/>
        <v>28811234</v>
      </c>
      <c r="K31" s="315">
        <f t="shared" si="23"/>
        <v>0</v>
      </c>
      <c r="L31" s="451">
        <f t="shared" si="11"/>
        <v>23870450</v>
      </c>
      <c r="M31" s="315">
        <f t="shared" si="24"/>
        <v>0</v>
      </c>
      <c r="N31" s="313">
        <f t="shared" si="25"/>
        <v>0</v>
      </c>
      <c r="O31" s="473">
        <f t="shared" si="32"/>
        <v>0</v>
      </c>
      <c r="P31" s="605">
        <f t="shared" si="12"/>
        <v>16443.814999999999</v>
      </c>
      <c r="Q31" s="455">
        <f t="shared" si="35"/>
        <v>0</v>
      </c>
      <c r="R31" s="455">
        <f t="shared" si="36"/>
        <v>0</v>
      </c>
      <c r="S31" s="451">
        <f t="shared" si="13"/>
        <v>10006</v>
      </c>
      <c r="T31" s="475">
        <f t="shared" si="3"/>
        <v>0</v>
      </c>
      <c r="U31" s="451">
        <f t="shared" si="14"/>
        <v>400936</v>
      </c>
      <c r="V31" s="455">
        <f t="shared" si="26"/>
        <v>0</v>
      </c>
      <c r="W31" s="451">
        <f t="shared" si="15"/>
        <v>32134</v>
      </c>
      <c r="X31" s="476">
        <f t="shared" si="31"/>
        <v>0</v>
      </c>
      <c r="Y31" s="451">
        <f t="shared" si="16"/>
        <v>690014</v>
      </c>
      <c r="Z31" s="477">
        <f>Y31-Y30</f>
        <v>0</v>
      </c>
      <c r="AA31" s="451">
        <f t="shared" si="17"/>
        <v>35634</v>
      </c>
      <c r="AB31" s="455">
        <f t="shared" si="27"/>
        <v>0</v>
      </c>
      <c r="AC31" s="451">
        <f t="shared" si="18"/>
        <v>905726</v>
      </c>
      <c r="AD31" s="455">
        <f t="shared" si="37"/>
        <v>0</v>
      </c>
      <c r="AE31" s="478">
        <f t="shared" si="19"/>
        <v>0</v>
      </c>
      <c r="AF31" s="479">
        <f t="shared" si="20"/>
        <v>0</v>
      </c>
      <c r="AG31" s="471">
        <f t="shared" si="33"/>
        <v>0</v>
      </c>
      <c r="AI31" s="472">
        <f>R31-'EDl log'!B29</f>
        <v>-705920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7"/>
        <v>32458946</v>
      </c>
      <c r="E32" s="314">
        <f t="shared" si="21"/>
        <v>0</v>
      </c>
      <c r="F32" s="588">
        <f t="shared" si="8"/>
        <v>3917258</v>
      </c>
      <c r="G32" s="315">
        <f>F32-F31</f>
        <v>0</v>
      </c>
      <c r="H32" s="451">
        <f t="shared" si="9"/>
        <v>17727210</v>
      </c>
      <c r="I32" s="315">
        <f>H32-H31</f>
        <v>0</v>
      </c>
      <c r="J32" s="588">
        <f t="shared" si="10"/>
        <v>28811234</v>
      </c>
      <c r="K32" s="315">
        <f>J32-J31</f>
        <v>0</v>
      </c>
      <c r="L32" s="451">
        <f t="shared" si="11"/>
        <v>23870450</v>
      </c>
      <c r="M32" s="315">
        <f>L32-L31</f>
        <v>0</v>
      </c>
      <c r="N32" s="313">
        <f>M32+K32+I32+G32+E32</f>
        <v>0</v>
      </c>
      <c r="O32" s="473">
        <f t="shared" si="32"/>
        <v>0</v>
      </c>
      <c r="P32" s="605">
        <f t="shared" si="12"/>
        <v>16443.814999999999</v>
      </c>
      <c r="Q32" s="455">
        <f t="shared" si="35"/>
        <v>0</v>
      </c>
      <c r="R32" s="455">
        <f t="shared" si="36"/>
        <v>0</v>
      </c>
      <c r="S32" s="451">
        <f t="shared" si="13"/>
        <v>10006</v>
      </c>
      <c r="T32" s="475">
        <f t="shared" si="3"/>
        <v>0</v>
      </c>
      <c r="U32" s="451">
        <f t="shared" si="14"/>
        <v>400936</v>
      </c>
      <c r="V32" s="455">
        <f t="shared" si="26"/>
        <v>0</v>
      </c>
      <c r="W32" s="451">
        <f t="shared" si="15"/>
        <v>32134</v>
      </c>
      <c r="X32" s="455">
        <f t="shared" si="31"/>
        <v>0</v>
      </c>
      <c r="Y32" s="451">
        <f t="shared" si="16"/>
        <v>690014</v>
      </c>
      <c r="Z32" s="477">
        <f>Y32-Y31</f>
        <v>0</v>
      </c>
      <c r="AA32" s="451">
        <f t="shared" si="17"/>
        <v>35634</v>
      </c>
      <c r="AB32" s="455">
        <f t="shared" si="27"/>
        <v>0</v>
      </c>
      <c r="AC32" s="451">
        <f t="shared" si="18"/>
        <v>905726</v>
      </c>
      <c r="AD32" s="455">
        <f t="shared" si="37"/>
        <v>0</v>
      </c>
      <c r="AE32" s="478">
        <f t="shared" si="19"/>
        <v>0</v>
      </c>
      <c r="AF32" s="479">
        <f>V32+Z32+AD32</f>
        <v>0</v>
      </c>
      <c r="AG32" s="471">
        <f t="shared" si="33"/>
        <v>0</v>
      </c>
      <c r="AI32" s="472">
        <f>R32-'EDl log'!B30</f>
        <v>-705920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7"/>
        <v>32458946</v>
      </c>
      <c r="E33" s="314">
        <f t="shared" ref="E33" si="38">D33-D32</f>
        <v>0</v>
      </c>
      <c r="F33" s="588">
        <f t="shared" si="8"/>
        <v>3917258</v>
      </c>
      <c r="G33" s="315">
        <f>F33-F32</f>
        <v>0</v>
      </c>
      <c r="H33" s="451">
        <f t="shared" si="9"/>
        <v>17727210</v>
      </c>
      <c r="I33" s="315">
        <f>H33-H32</f>
        <v>0</v>
      </c>
      <c r="J33" s="588">
        <f t="shared" si="10"/>
        <v>28811234</v>
      </c>
      <c r="K33" s="315">
        <f>J33-J32</f>
        <v>0</v>
      </c>
      <c r="L33" s="451">
        <f t="shared" si="11"/>
        <v>23870450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5">
        <f t="shared" si="12"/>
        <v>16443.814999999999</v>
      </c>
      <c r="Q33" s="455">
        <f t="shared" si="35"/>
        <v>0</v>
      </c>
      <c r="R33" s="455">
        <f t="shared" si="36"/>
        <v>0</v>
      </c>
      <c r="S33" s="451">
        <f t="shared" si="13"/>
        <v>10006</v>
      </c>
      <c r="T33" s="475">
        <f t="shared" ref="T33" si="40">S33-S32</f>
        <v>0</v>
      </c>
      <c r="U33" s="451">
        <f t="shared" si="14"/>
        <v>400936</v>
      </c>
      <c r="V33" s="455">
        <f t="shared" ref="V33" si="41">U33-U32</f>
        <v>0</v>
      </c>
      <c r="W33" s="451">
        <f t="shared" si="15"/>
        <v>32134</v>
      </c>
      <c r="X33" s="455">
        <f t="shared" ref="X33" si="42">W33-W32</f>
        <v>0</v>
      </c>
      <c r="Y33" s="451">
        <f t="shared" si="16"/>
        <v>690014</v>
      </c>
      <c r="Z33" s="477">
        <f>Y33-Y32</f>
        <v>0</v>
      </c>
      <c r="AA33" s="451">
        <f t="shared" si="17"/>
        <v>35634</v>
      </c>
      <c r="AB33" s="455">
        <f t="shared" ref="AB33" si="43">AA33-AA32</f>
        <v>0</v>
      </c>
      <c r="AC33" s="451">
        <f t="shared" si="18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-705920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X1" zoomScale="90" zoomScaleNormal="90" workbookViewId="0">
      <pane ySplit="1" topLeftCell="A2" activePane="bottomLeft" state="frozen"/>
      <selection activeCell="K1" sqref="K1"/>
      <selection pane="bottomLeft" activeCell="AS5" sqref="AS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5">
        <f>J36</f>
        <v>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400"/>
      <c r="V1" s="27" t="s">
        <v>104</v>
      </c>
      <c r="W1" s="401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v>236.3</v>
      </c>
      <c r="C4" s="398"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v>1893</v>
      </c>
      <c r="Q4" s="398"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f>[1]B5!Z34</f>
        <v>137586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4">
        <v>233</v>
      </c>
      <c r="C5" s="64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137586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6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4">
        <f t="shared" ref="B6:B35" si="8">B5</f>
        <v>233</v>
      </c>
      <c r="C6" s="64">
        <f t="shared" ref="C6:C35" si="9">C5</f>
        <v>239</v>
      </c>
      <c r="D6" s="45">
        <f>C5-C6</f>
        <v>0</v>
      </c>
      <c r="E6" s="45">
        <f t="shared" ref="E6:E31" si="10">D6*8.38</f>
        <v>0</v>
      </c>
      <c r="F6" s="64">
        <f t="shared" ref="F6:F35" si="11">F5</f>
        <v>1660</v>
      </c>
      <c r="G6" s="52">
        <f t="shared" si="0"/>
        <v>0</v>
      </c>
      <c r="H6" s="64">
        <f t="shared" ref="H6:H35" si="12">H5</f>
        <v>357869</v>
      </c>
      <c r="I6" s="399">
        <f t="shared" si="1"/>
        <v>0</v>
      </c>
      <c r="J6" s="66">
        <f t="shared" ref="J6:J34" si="13">IF(G6&gt;0,I6/G6,0)</f>
        <v>0</v>
      </c>
      <c r="K6" s="64">
        <f t="shared" ref="K6:K35" si="14">K5</f>
        <v>2154</v>
      </c>
      <c r="L6" s="52">
        <f t="shared" ref="L6:L35" si="15">K6-K5</f>
        <v>0</v>
      </c>
      <c r="M6" s="64">
        <f t="shared" ref="M6:M35" si="16">M5</f>
        <v>158183</v>
      </c>
      <c r="N6" s="399">
        <f t="shared" si="2"/>
        <v>0</v>
      </c>
      <c r="O6" s="64">
        <f t="shared" ref="O6:Q35" si="17">O5</f>
        <v>1869</v>
      </c>
      <c r="P6" s="64">
        <f t="shared" si="17"/>
        <v>1895</v>
      </c>
      <c r="Q6" s="64">
        <f t="shared" si="17"/>
        <v>160917</v>
      </c>
      <c r="R6" s="398">
        <f t="shared" si="3"/>
        <v>0</v>
      </c>
      <c r="S6" s="52">
        <f t="shared" si="4"/>
        <v>0</v>
      </c>
      <c r="T6" s="67">
        <f>SUM(S6*$T$2)</f>
        <v>0</v>
      </c>
      <c r="U6" s="405">
        <f t="shared" ref="U6:U34" si="18">SUM(G6+L6+S6)</f>
        <v>0</v>
      </c>
      <c r="V6" s="62">
        <f t="shared" ref="V6:V34" si="19">R6+N6+I6:I6</f>
        <v>0</v>
      </c>
      <c r="W6" s="403" t="e">
        <f t="shared" ref="W6:W16" si="20">SUM(V6/U6)</f>
        <v>#DIV/0!</v>
      </c>
      <c r="X6" s="64">
        <f t="shared" ref="X6:X35" si="21">X5</f>
        <v>2449</v>
      </c>
      <c r="Y6" s="52">
        <f t="shared" ref="Y6:Y34" si="22">X6-X5</f>
        <v>0</v>
      </c>
      <c r="Z6" s="64">
        <f t="shared" ref="Z6:Z35" si="23">Z5</f>
        <v>137586</v>
      </c>
      <c r="AA6" s="65">
        <f t="shared" si="5"/>
        <v>0</v>
      </c>
      <c r="AB6" s="287">
        <f>SUM(Y6*$AB$2)</f>
        <v>0</v>
      </c>
      <c r="AC6" s="64">
        <f t="shared" ref="AC6:AC35" si="24">AC5</f>
        <v>1933</v>
      </c>
      <c r="AD6" s="45">
        <f t="shared" si="6"/>
        <v>0</v>
      </c>
      <c r="AE6" s="596">
        <f t="shared" ref="AE6:AE35" si="25">AE5</f>
        <v>365262</v>
      </c>
      <c r="AF6" s="309">
        <f t="shared" ref="AF6:AF34" si="26">AE6-AE5</f>
        <v>0</v>
      </c>
      <c r="AG6" s="210">
        <f>IF(AD6&gt;0,AF6/AD6,0)</f>
        <v>0</v>
      </c>
      <c r="AH6" s="62">
        <f>AF6+AA6</f>
        <v>0</v>
      </c>
      <c r="AI6" s="321">
        <f t="shared" ref="AI6:AI35" si="27">SUM(AH6+V6)</f>
        <v>0</v>
      </c>
      <c r="AJ6" s="321">
        <f>-tanks!AW7</f>
        <v>0</v>
      </c>
      <c r="AK6" s="321">
        <f t="shared" ref="AK6:AK34" si="28">SUM(AJ6-AI6)</f>
        <v>0</v>
      </c>
      <c r="AL6" s="321">
        <f t="shared" si="7"/>
        <v>0</v>
      </c>
      <c r="AM6" s="321">
        <f t="shared" ref="AM6:AM33" si="29">Y6+AD6</f>
        <v>0</v>
      </c>
      <c r="AN6" s="64">
        <f t="shared" ref="AN6:AN35" si="30">AN5</f>
        <v>68</v>
      </c>
      <c r="AO6" s="323">
        <f t="shared" ref="AO6:AO26" si="31">(AN6/100)*3000</f>
        <v>2040.0000000000002</v>
      </c>
      <c r="AP6" s="64">
        <f t="shared" ref="AP6:AP35" si="32">AP5</f>
        <v>55</v>
      </c>
      <c r="AQ6" s="323">
        <f t="shared" ref="AQ6:AQ24" si="33">(AP6/100)*3000</f>
        <v>1650.0000000000002</v>
      </c>
      <c r="AR6" s="64">
        <f t="shared" ref="AR6:AR35" si="34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5">IF(AV6&gt;0,AW6,AX5)</f>
        <v>0.8</v>
      </c>
    </row>
    <row r="7" spans="1:52">
      <c r="A7" s="63">
        <f>ELEC!C5</f>
        <v>44168</v>
      </c>
      <c r="B7" s="64">
        <f t="shared" si="8"/>
        <v>233</v>
      </c>
      <c r="C7" s="64">
        <f t="shared" si="9"/>
        <v>239</v>
      </c>
      <c r="D7" s="45">
        <f t="shared" ref="D7:D34" si="36">C6-C7</f>
        <v>0</v>
      </c>
      <c r="E7" s="45">
        <f t="shared" si="10"/>
        <v>0</v>
      </c>
      <c r="F7" s="64">
        <f t="shared" si="11"/>
        <v>1660</v>
      </c>
      <c r="G7" s="52">
        <f t="shared" si="0"/>
        <v>0</v>
      </c>
      <c r="H7" s="64">
        <f t="shared" si="12"/>
        <v>357869</v>
      </c>
      <c r="I7" s="399">
        <f t="shared" si="1"/>
        <v>0</v>
      </c>
      <c r="J7" s="66">
        <f t="shared" si="13"/>
        <v>0</v>
      </c>
      <c r="K7" s="64">
        <f t="shared" si="14"/>
        <v>2154</v>
      </c>
      <c r="L7" s="52">
        <f t="shared" si="15"/>
        <v>0</v>
      </c>
      <c r="M7" s="64">
        <f t="shared" si="16"/>
        <v>158183</v>
      </c>
      <c r="N7" s="399">
        <f t="shared" si="2"/>
        <v>0</v>
      </c>
      <c r="O7" s="64">
        <f t="shared" si="17"/>
        <v>1869</v>
      </c>
      <c r="P7" s="64">
        <f t="shared" si="17"/>
        <v>1895</v>
      </c>
      <c r="Q7" s="64">
        <f t="shared" si="17"/>
        <v>160917</v>
      </c>
      <c r="R7" s="398">
        <f t="shared" si="3"/>
        <v>0</v>
      </c>
      <c r="S7" s="52">
        <f t="shared" si="4"/>
        <v>0</v>
      </c>
      <c r="T7" s="67">
        <f t="shared" ref="T7:T34" si="37">SUM(S7*$T$2)</f>
        <v>0</v>
      </c>
      <c r="U7" s="405">
        <f t="shared" si="18"/>
        <v>0</v>
      </c>
      <c r="V7" s="62">
        <f t="shared" si="19"/>
        <v>0</v>
      </c>
      <c r="W7" s="403" t="e">
        <f t="shared" si="20"/>
        <v>#DIV/0!</v>
      </c>
      <c r="X7" s="64">
        <f t="shared" si="21"/>
        <v>2449</v>
      </c>
      <c r="Y7" s="52">
        <f t="shared" si="22"/>
        <v>0</v>
      </c>
      <c r="Z7" s="64">
        <f t="shared" si="23"/>
        <v>137586</v>
      </c>
      <c r="AA7" s="65">
        <f t="shared" si="5"/>
        <v>0</v>
      </c>
      <c r="AB7" s="287">
        <f t="shared" ref="AB7:AB17" si="38">SUM(Y7*$AB$2)</f>
        <v>0</v>
      </c>
      <c r="AC7" s="64">
        <f t="shared" si="24"/>
        <v>1933</v>
      </c>
      <c r="AD7" s="45">
        <f t="shared" si="6"/>
        <v>0</v>
      </c>
      <c r="AE7" s="596">
        <f t="shared" si="25"/>
        <v>365262</v>
      </c>
      <c r="AF7" s="309">
        <f t="shared" si="26"/>
        <v>0</v>
      </c>
      <c r="AG7" s="210">
        <f t="shared" ref="AG7:AG34" si="39">IF(AD7&gt;0,AF7/AD7,0)</f>
        <v>0</v>
      </c>
      <c r="AH7" s="62">
        <f t="shared" ref="AH7:AH34" si="40">AF7+AA7</f>
        <v>0</v>
      </c>
      <c r="AI7" s="321">
        <f t="shared" si="27"/>
        <v>0</v>
      </c>
      <c r="AJ7" s="321">
        <f>-tanks!AW8</f>
        <v>0</v>
      </c>
      <c r="AK7" s="321">
        <f t="shared" si="28"/>
        <v>0</v>
      </c>
      <c r="AL7" s="321">
        <f t="shared" si="7"/>
        <v>0</v>
      </c>
      <c r="AM7" s="321">
        <f t="shared" si="29"/>
        <v>0</v>
      </c>
      <c r="AN7" s="64">
        <f t="shared" si="30"/>
        <v>68</v>
      </c>
      <c r="AO7" s="323">
        <f t="shared" si="31"/>
        <v>2040.0000000000002</v>
      </c>
      <c r="AP7" s="64">
        <f t="shared" si="32"/>
        <v>55</v>
      </c>
      <c r="AQ7" s="323">
        <f t="shared" si="33"/>
        <v>1650.0000000000002</v>
      </c>
      <c r="AR7" s="64">
        <f t="shared" si="34"/>
        <v>62</v>
      </c>
      <c r="AS7" s="323">
        <f t="shared" ref="AS7:AS34" si="41">(AR7/100)*3000</f>
        <v>1860</v>
      </c>
      <c r="AT7" s="323">
        <f t="shared" ref="AT7:AT23" si="42">SUM(AO7+AQ7+AS7)</f>
        <v>5550</v>
      </c>
      <c r="AU7" s="323">
        <f t="shared" ref="AU7:AU34" si="43">AT6-AT7+AV7</f>
        <v>0</v>
      </c>
      <c r="AV7" s="271"/>
      <c r="AW7" s="271"/>
      <c r="AX7" s="316">
        <f t="shared" si="35"/>
        <v>0.8</v>
      </c>
      <c r="AZ7" s="42" t="s">
        <v>415</v>
      </c>
    </row>
    <row r="8" spans="1:52">
      <c r="A8" s="63">
        <f>ELEC!C6</f>
        <v>44169</v>
      </c>
      <c r="B8" s="64">
        <f t="shared" si="8"/>
        <v>233</v>
      </c>
      <c r="C8" s="64">
        <f t="shared" si="9"/>
        <v>239</v>
      </c>
      <c r="D8" s="45">
        <f t="shared" si="36"/>
        <v>0</v>
      </c>
      <c r="E8" s="45">
        <f t="shared" si="10"/>
        <v>0</v>
      </c>
      <c r="F8" s="64">
        <f t="shared" si="11"/>
        <v>1660</v>
      </c>
      <c r="G8" s="52">
        <f t="shared" si="0"/>
        <v>0</v>
      </c>
      <c r="H8" s="64">
        <f t="shared" si="12"/>
        <v>357869</v>
      </c>
      <c r="I8" s="399">
        <f t="shared" si="1"/>
        <v>0</v>
      </c>
      <c r="J8" s="66">
        <f t="shared" si="13"/>
        <v>0</v>
      </c>
      <c r="K8" s="64">
        <f t="shared" si="14"/>
        <v>2154</v>
      </c>
      <c r="L8" s="52">
        <f t="shared" si="15"/>
        <v>0</v>
      </c>
      <c r="M8" s="64">
        <f t="shared" si="16"/>
        <v>158183</v>
      </c>
      <c r="N8" s="399">
        <f t="shared" si="2"/>
        <v>0</v>
      </c>
      <c r="O8" s="64">
        <f t="shared" si="17"/>
        <v>1869</v>
      </c>
      <c r="P8" s="64">
        <f t="shared" si="17"/>
        <v>1895</v>
      </c>
      <c r="Q8" s="64">
        <f t="shared" si="17"/>
        <v>160917</v>
      </c>
      <c r="R8" s="398">
        <f t="shared" si="3"/>
        <v>0</v>
      </c>
      <c r="S8" s="52">
        <f t="shared" si="4"/>
        <v>0</v>
      </c>
      <c r="T8" s="67">
        <f t="shared" si="37"/>
        <v>0</v>
      </c>
      <c r="U8" s="405">
        <f t="shared" si="18"/>
        <v>0</v>
      </c>
      <c r="V8" s="62">
        <f t="shared" si="19"/>
        <v>0</v>
      </c>
      <c r="W8" s="403" t="e">
        <f t="shared" si="20"/>
        <v>#DIV/0!</v>
      </c>
      <c r="X8" s="64">
        <f t="shared" si="21"/>
        <v>2449</v>
      </c>
      <c r="Y8" s="52">
        <f t="shared" si="22"/>
        <v>0</v>
      </c>
      <c r="Z8" s="64">
        <f t="shared" si="23"/>
        <v>137586</v>
      </c>
      <c r="AA8" s="65">
        <f t="shared" si="5"/>
        <v>0</v>
      </c>
      <c r="AB8" s="287">
        <f t="shared" si="38"/>
        <v>0</v>
      </c>
      <c r="AC8" s="64">
        <f t="shared" si="24"/>
        <v>1933</v>
      </c>
      <c r="AD8" s="45">
        <f t="shared" si="6"/>
        <v>0</v>
      </c>
      <c r="AE8" s="596">
        <f t="shared" si="25"/>
        <v>365262</v>
      </c>
      <c r="AF8" s="309">
        <f t="shared" si="26"/>
        <v>0</v>
      </c>
      <c r="AG8" s="210">
        <f t="shared" si="39"/>
        <v>0</v>
      </c>
      <c r="AH8" s="62">
        <f t="shared" si="40"/>
        <v>0</v>
      </c>
      <c r="AI8" s="321">
        <f t="shared" si="27"/>
        <v>0</v>
      </c>
      <c r="AJ8" s="321">
        <f>-tanks!AW9</f>
        <v>0</v>
      </c>
      <c r="AK8" s="321">
        <f t="shared" si="28"/>
        <v>0</v>
      </c>
      <c r="AL8" s="321">
        <f t="shared" si="7"/>
        <v>0</v>
      </c>
      <c r="AM8" s="321">
        <f t="shared" si="29"/>
        <v>0</v>
      </c>
      <c r="AN8" s="64">
        <f t="shared" si="30"/>
        <v>68</v>
      </c>
      <c r="AO8" s="323">
        <f t="shared" si="31"/>
        <v>2040.0000000000002</v>
      </c>
      <c r="AP8" s="64">
        <f t="shared" si="32"/>
        <v>55</v>
      </c>
      <c r="AQ8" s="323">
        <f t="shared" si="33"/>
        <v>1650.0000000000002</v>
      </c>
      <c r="AR8" s="64">
        <f t="shared" si="34"/>
        <v>62</v>
      </c>
      <c r="AS8" s="323">
        <f t="shared" si="41"/>
        <v>1860</v>
      </c>
      <c r="AT8" s="323">
        <f t="shared" si="42"/>
        <v>5550</v>
      </c>
      <c r="AU8" s="323">
        <f t="shared" si="43"/>
        <v>0</v>
      </c>
      <c r="AV8" s="271"/>
      <c r="AW8" s="271"/>
      <c r="AX8" s="316">
        <f t="shared" si="35"/>
        <v>0.8</v>
      </c>
    </row>
    <row r="9" spans="1:52" ht="15.75" customHeight="1">
      <c r="A9" s="63">
        <f>ELEC!C7</f>
        <v>44170</v>
      </c>
      <c r="B9" s="64">
        <f t="shared" si="8"/>
        <v>233</v>
      </c>
      <c r="C9" s="64">
        <f t="shared" si="9"/>
        <v>239</v>
      </c>
      <c r="D9" s="45">
        <f t="shared" si="36"/>
        <v>0</v>
      </c>
      <c r="E9" s="45">
        <f t="shared" si="10"/>
        <v>0</v>
      </c>
      <c r="F9" s="64">
        <f t="shared" si="11"/>
        <v>1660</v>
      </c>
      <c r="G9" s="52">
        <f t="shared" si="0"/>
        <v>0</v>
      </c>
      <c r="H9" s="64">
        <f t="shared" si="12"/>
        <v>357869</v>
      </c>
      <c r="I9" s="399">
        <f t="shared" si="1"/>
        <v>0</v>
      </c>
      <c r="J9" s="66">
        <f t="shared" si="13"/>
        <v>0</v>
      </c>
      <c r="K9" s="64">
        <f t="shared" si="14"/>
        <v>2154</v>
      </c>
      <c r="L9" s="52">
        <f t="shared" si="15"/>
        <v>0</v>
      </c>
      <c r="M9" s="64">
        <f t="shared" si="16"/>
        <v>158183</v>
      </c>
      <c r="N9" s="399">
        <f t="shared" si="2"/>
        <v>0</v>
      </c>
      <c r="O9" s="64">
        <f t="shared" si="17"/>
        <v>1869</v>
      </c>
      <c r="P9" s="64">
        <f t="shared" si="17"/>
        <v>1895</v>
      </c>
      <c r="Q9" s="64">
        <f t="shared" si="17"/>
        <v>160917</v>
      </c>
      <c r="R9" s="398">
        <f t="shared" si="3"/>
        <v>0</v>
      </c>
      <c r="S9" s="52">
        <f t="shared" si="4"/>
        <v>0</v>
      </c>
      <c r="T9" s="67">
        <f t="shared" si="37"/>
        <v>0</v>
      </c>
      <c r="U9" s="405">
        <f t="shared" si="18"/>
        <v>0</v>
      </c>
      <c r="V9" s="62">
        <f t="shared" si="19"/>
        <v>0</v>
      </c>
      <c r="W9" s="403" t="e">
        <f t="shared" si="20"/>
        <v>#DIV/0!</v>
      </c>
      <c r="X9" s="64">
        <f t="shared" si="21"/>
        <v>2449</v>
      </c>
      <c r="Y9" s="52">
        <f t="shared" si="22"/>
        <v>0</v>
      </c>
      <c r="Z9" s="64">
        <f t="shared" si="23"/>
        <v>137586</v>
      </c>
      <c r="AA9" s="65">
        <f t="shared" si="5"/>
        <v>0</v>
      </c>
      <c r="AB9" s="287">
        <f t="shared" si="38"/>
        <v>0</v>
      </c>
      <c r="AC9" s="64">
        <f t="shared" si="24"/>
        <v>1933</v>
      </c>
      <c r="AD9" s="45">
        <f t="shared" si="6"/>
        <v>0</v>
      </c>
      <c r="AE9" s="596">
        <f t="shared" si="25"/>
        <v>365262</v>
      </c>
      <c r="AF9" s="309">
        <f t="shared" si="26"/>
        <v>0</v>
      </c>
      <c r="AG9" s="210">
        <f t="shared" si="39"/>
        <v>0</v>
      </c>
      <c r="AH9" s="62">
        <f t="shared" si="40"/>
        <v>0</v>
      </c>
      <c r="AI9" s="321">
        <f t="shared" si="27"/>
        <v>0</v>
      </c>
      <c r="AJ9" s="321">
        <f>-tanks!AW10</f>
        <v>0</v>
      </c>
      <c r="AK9" s="321">
        <f t="shared" si="28"/>
        <v>0</v>
      </c>
      <c r="AL9" s="321">
        <f t="shared" si="7"/>
        <v>0</v>
      </c>
      <c r="AM9" s="321">
        <f t="shared" si="29"/>
        <v>0</v>
      </c>
      <c r="AN9" s="64">
        <f t="shared" si="30"/>
        <v>68</v>
      </c>
      <c r="AO9" s="323">
        <f t="shared" si="31"/>
        <v>2040.0000000000002</v>
      </c>
      <c r="AP9" s="64">
        <f t="shared" si="32"/>
        <v>55</v>
      </c>
      <c r="AQ9" s="323">
        <f t="shared" si="33"/>
        <v>1650.0000000000002</v>
      </c>
      <c r="AR9" s="64">
        <f t="shared" si="34"/>
        <v>62</v>
      </c>
      <c r="AS9" s="323">
        <f>(AR9/100)*3000</f>
        <v>1860</v>
      </c>
      <c r="AT9" s="323">
        <f t="shared" si="42"/>
        <v>5550</v>
      </c>
      <c r="AU9" s="323">
        <f t="shared" si="43"/>
        <v>0</v>
      </c>
      <c r="AV9" s="271"/>
      <c r="AW9" s="271"/>
      <c r="AX9" s="316">
        <f t="shared" si="35"/>
        <v>0.8</v>
      </c>
    </row>
    <row r="10" spans="1:52">
      <c r="A10" s="63">
        <f>ELEC!C8</f>
        <v>44171</v>
      </c>
      <c r="B10" s="64">
        <f t="shared" si="8"/>
        <v>233</v>
      </c>
      <c r="C10" s="64">
        <f t="shared" si="9"/>
        <v>239</v>
      </c>
      <c r="D10" s="45">
        <f t="shared" si="36"/>
        <v>0</v>
      </c>
      <c r="E10" s="45">
        <f t="shared" si="10"/>
        <v>0</v>
      </c>
      <c r="F10" s="64">
        <f t="shared" si="11"/>
        <v>1660</v>
      </c>
      <c r="G10" s="52">
        <f t="shared" si="0"/>
        <v>0</v>
      </c>
      <c r="H10" s="64">
        <f t="shared" si="12"/>
        <v>357869</v>
      </c>
      <c r="I10" s="399">
        <f t="shared" si="1"/>
        <v>0</v>
      </c>
      <c r="J10" s="66">
        <f t="shared" si="13"/>
        <v>0</v>
      </c>
      <c r="K10" s="64">
        <f t="shared" si="14"/>
        <v>2154</v>
      </c>
      <c r="L10" s="52">
        <f t="shared" si="15"/>
        <v>0</v>
      </c>
      <c r="M10" s="64">
        <f t="shared" si="16"/>
        <v>158183</v>
      </c>
      <c r="N10" s="399">
        <f t="shared" si="2"/>
        <v>0</v>
      </c>
      <c r="O10" s="64">
        <f t="shared" si="17"/>
        <v>1869</v>
      </c>
      <c r="P10" s="64">
        <f t="shared" si="17"/>
        <v>1895</v>
      </c>
      <c r="Q10" s="64">
        <f t="shared" si="17"/>
        <v>160917</v>
      </c>
      <c r="R10" s="398">
        <f t="shared" si="3"/>
        <v>0</v>
      </c>
      <c r="S10" s="52">
        <f t="shared" si="4"/>
        <v>0</v>
      </c>
      <c r="T10" s="67">
        <f t="shared" si="37"/>
        <v>0</v>
      </c>
      <c r="U10" s="405">
        <f t="shared" si="18"/>
        <v>0</v>
      </c>
      <c r="V10" s="62">
        <f t="shared" si="19"/>
        <v>0</v>
      </c>
      <c r="W10" s="403" t="e">
        <f t="shared" si="20"/>
        <v>#DIV/0!</v>
      </c>
      <c r="X10" s="64">
        <f t="shared" si="21"/>
        <v>2449</v>
      </c>
      <c r="Y10" s="52">
        <f t="shared" si="22"/>
        <v>0</v>
      </c>
      <c r="Z10" s="64">
        <f t="shared" si="23"/>
        <v>137586</v>
      </c>
      <c r="AA10" s="65">
        <f t="shared" si="5"/>
        <v>0</v>
      </c>
      <c r="AB10" s="287">
        <f t="shared" si="38"/>
        <v>0</v>
      </c>
      <c r="AC10" s="64">
        <f t="shared" si="24"/>
        <v>1933</v>
      </c>
      <c r="AD10" s="45">
        <f t="shared" si="6"/>
        <v>0</v>
      </c>
      <c r="AE10" s="596">
        <f t="shared" si="25"/>
        <v>365262</v>
      </c>
      <c r="AF10" s="309">
        <f t="shared" si="26"/>
        <v>0</v>
      </c>
      <c r="AG10" s="210">
        <f t="shared" si="39"/>
        <v>0</v>
      </c>
      <c r="AH10" s="62">
        <f t="shared" si="40"/>
        <v>0</v>
      </c>
      <c r="AI10" s="321">
        <f>SUM(AH10+V10)</f>
        <v>0</v>
      </c>
      <c r="AJ10" s="321">
        <f>-tanks!AW11</f>
        <v>0</v>
      </c>
      <c r="AK10" s="321">
        <f t="shared" si="28"/>
        <v>0</v>
      </c>
      <c r="AL10" s="321">
        <f t="shared" si="7"/>
        <v>0</v>
      </c>
      <c r="AM10" s="321">
        <f t="shared" si="29"/>
        <v>0</v>
      </c>
      <c r="AN10" s="64">
        <f t="shared" si="30"/>
        <v>68</v>
      </c>
      <c r="AO10" s="323">
        <f t="shared" si="31"/>
        <v>2040.0000000000002</v>
      </c>
      <c r="AP10" s="64">
        <f t="shared" si="32"/>
        <v>55</v>
      </c>
      <c r="AQ10" s="323">
        <f t="shared" si="33"/>
        <v>1650.0000000000002</v>
      </c>
      <c r="AR10" s="64">
        <f t="shared" si="34"/>
        <v>62</v>
      </c>
      <c r="AS10" s="323">
        <f t="shared" si="41"/>
        <v>1860</v>
      </c>
      <c r="AT10" s="323">
        <f t="shared" si="42"/>
        <v>5550</v>
      </c>
      <c r="AU10" s="323">
        <f t="shared" si="43"/>
        <v>0</v>
      </c>
      <c r="AV10" s="271"/>
      <c r="AW10" s="271"/>
      <c r="AX10" s="316">
        <f t="shared" si="35"/>
        <v>0.8</v>
      </c>
    </row>
    <row r="11" spans="1:52">
      <c r="A11" s="63">
        <f>ELEC!C9</f>
        <v>44172</v>
      </c>
      <c r="B11" s="64">
        <f t="shared" si="8"/>
        <v>233</v>
      </c>
      <c r="C11" s="64">
        <f t="shared" si="9"/>
        <v>239</v>
      </c>
      <c r="D11" s="45">
        <f t="shared" si="36"/>
        <v>0</v>
      </c>
      <c r="E11" s="45">
        <f t="shared" si="10"/>
        <v>0</v>
      </c>
      <c r="F11" s="64">
        <f t="shared" si="11"/>
        <v>1660</v>
      </c>
      <c r="G11" s="52">
        <f t="shared" si="0"/>
        <v>0</v>
      </c>
      <c r="H11" s="64">
        <f t="shared" si="12"/>
        <v>357869</v>
      </c>
      <c r="I11" s="399">
        <f t="shared" si="1"/>
        <v>0</v>
      </c>
      <c r="J11" s="66">
        <f t="shared" si="13"/>
        <v>0</v>
      </c>
      <c r="K11" s="64">
        <f t="shared" si="14"/>
        <v>2154</v>
      </c>
      <c r="L11" s="52">
        <f t="shared" si="15"/>
        <v>0</v>
      </c>
      <c r="M11" s="64">
        <f t="shared" si="16"/>
        <v>158183</v>
      </c>
      <c r="N11" s="399">
        <f t="shared" si="2"/>
        <v>0</v>
      </c>
      <c r="O11" s="64">
        <f t="shared" si="17"/>
        <v>1869</v>
      </c>
      <c r="P11" s="64">
        <f t="shared" si="17"/>
        <v>1895</v>
      </c>
      <c r="Q11" s="64">
        <f t="shared" si="17"/>
        <v>160917</v>
      </c>
      <c r="R11" s="398">
        <f t="shared" ref="R11:R34" si="44">Q11-Q10</f>
        <v>0</v>
      </c>
      <c r="S11" s="52">
        <f t="shared" si="4"/>
        <v>0</v>
      </c>
      <c r="T11" s="67">
        <f t="shared" si="37"/>
        <v>0</v>
      </c>
      <c r="U11" s="405">
        <f t="shared" si="18"/>
        <v>0</v>
      </c>
      <c r="V11" s="62">
        <f t="shared" si="19"/>
        <v>0</v>
      </c>
      <c r="W11" s="403" t="e">
        <f t="shared" si="20"/>
        <v>#DIV/0!</v>
      </c>
      <c r="X11" s="64">
        <f t="shared" si="21"/>
        <v>2449</v>
      </c>
      <c r="Y11" s="52">
        <f t="shared" si="22"/>
        <v>0</v>
      </c>
      <c r="Z11" s="64">
        <f t="shared" si="23"/>
        <v>137586</v>
      </c>
      <c r="AA11" s="65">
        <f t="shared" si="5"/>
        <v>0</v>
      </c>
      <c r="AB11" s="287">
        <f t="shared" si="38"/>
        <v>0</v>
      </c>
      <c r="AC11" s="64">
        <f t="shared" si="24"/>
        <v>1933</v>
      </c>
      <c r="AD11" s="45">
        <f t="shared" si="6"/>
        <v>0</v>
      </c>
      <c r="AE11" s="596">
        <f t="shared" si="25"/>
        <v>365262</v>
      </c>
      <c r="AF11" s="309">
        <f t="shared" si="26"/>
        <v>0</v>
      </c>
      <c r="AG11" s="210">
        <f t="shared" si="39"/>
        <v>0</v>
      </c>
      <c r="AH11" s="62">
        <f>AF11+AA11</f>
        <v>0</v>
      </c>
      <c r="AI11" s="321">
        <f>SUM(AH11+V11)</f>
        <v>0</v>
      </c>
      <c r="AJ11" s="321">
        <f>-tanks!AW12</f>
        <v>0</v>
      </c>
      <c r="AK11" s="321">
        <f t="shared" si="28"/>
        <v>0</v>
      </c>
      <c r="AL11" s="321">
        <f t="shared" si="7"/>
        <v>0</v>
      </c>
      <c r="AM11" s="321">
        <f t="shared" si="29"/>
        <v>0</v>
      </c>
      <c r="AN11" s="64">
        <f t="shared" si="30"/>
        <v>68</v>
      </c>
      <c r="AO11" s="323">
        <f t="shared" si="31"/>
        <v>2040.0000000000002</v>
      </c>
      <c r="AP11" s="64">
        <f t="shared" si="32"/>
        <v>55</v>
      </c>
      <c r="AQ11" s="323">
        <f t="shared" si="33"/>
        <v>1650.0000000000002</v>
      </c>
      <c r="AR11" s="64">
        <f t="shared" si="34"/>
        <v>62</v>
      </c>
      <c r="AS11" s="323">
        <f t="shared" si="41"/>
        <v>1860</v>
      </c>
      <c r="AT11" s="323">
        <f t="shared" si="42"/>
        <v>5550</v>
      </c>
      <c r="AU11" s="323">
        <f t="shared" si="43"/>
        <v>0</v>
      </c>
      <c r="AV11" s="271"/>
      <c r="AW11" s="271"/>
      <c r="AX11" s="316">
        <f t="shared" si="35"/>
        <v>0.8</v>
      </c>
    </row>
    <row r="12" spans="1:52">
      <c r="A12" s="63">
        <f>ELEC!C10</f>
        <v>44173</v>
      </c>
      <c r="B12" s="64">
        <f t="shared" si="8"/>
        <v>233</v>
      </c>
      <c r="C12" s="64">
        <f t="shared" si="9"/>
        <v>239</v>
      </c>
      <c r="D12" s="45">
        <f t="shared" si="36"/>
        <v>0</v>
      </c>
      <c r="E12" s="45">
        <f t="shared" si="10"/>
        <v>0</v>
      </c>
      <c r="F12" s="64">
        <f t="shared" si="11"/>
        <v>1660</v>
      </c>
      <c r="G12" s="52">
        <f t="shared" si="0"/>
        <v>0</v>
      </c>
      <c r="H12" s="64">
        <f t="shared" si="12"/>
        <v>357869</v>
      </c>
      <c r="I12" s="399">
        <f t="shared" si="1"/>
        <v>0</v>
      </c>
      <c r="J12" s="66">
        <f t="shared" si="13"/>
        <v>0</v>
      </c>
      <c r="K12" s="64">
        <f t="shared" si="14"/>
        <v>2154</v>
      </c>
      <c r="L12" s="52">
        <f t="shared" si="15"/>
        <v>0</v>
      </c>
      <c r="M12" s="64">
        <f t="shared" si="16"/>
        <v>158183</v>
      </c>
      <c r="N12" s="399">
        <f t="shared" si="2"/>
        <v>0</v>
      </c>
      <c r="O12" s="64">
        <f t="shared" si="17"/>
        <v>1869</v>
      </c>
      <c r="P12" s="64">
        <f t="shared" si="17"/>
        <v>1895</v>
      </c>
      <c r="Q12" s="64">
        <f t="shared" si="17"/>
        <v>160917</v>
      </c>
      <c r="R12" s="398">
        <f t="shared" si="44"/>
        <v>0</v>
      </c>
      <c r="S12" s="52">
        <f t="shared" si="4"/>
        <v>0</v>
      </c>
      <c r="T12" s="67">
        <f t="shared" si="37"/>
        <v>0</v>
      </c>
      <c r="U12" s="405">
        <f t="shared" si="18"/>
        <v>0</v>
      </c>
      <c r="V12" s="62">
        <f t="shared" si="19"/>
        <v>0</v>
      </c>
      <c r="W12" s="403" t="e">
        <f t="shared" si="20"/>
        <v>#DIV/0!</v>
      </c>
      <c r="X12" s="64">
        <f t="shared" si="21"/>
        <v>2449</v>
      </c>
      <c r="Y12" s="52">
        <f t="shared" si="22"/>
        <v>0</v>
      </c>
      <c r="Z12" s="64">
        <f t="shared" si="23"/>
        <v>137586</v>
      </c>
      <c r="AA12" s="65">
        <f t="shared" si="5"/>
        <v>0</v>
      </c>
      <c r="AB12" s="287">
        <f t="shared" si="38"/>
        <v>0</v>
      </c>
      <c r="AC12" s="64">
        <f t="shared" si="24"/>
        <v>1933</v>
      </c>
      <c r="AD12" s="45">
        <f t="shared" si="6"/>
        <v>0</v>
      </c>
      <c r="AE12" s="596">
        <f t="shared" si="25"/>
        <v>365262</v>
      </c>
      <c r="AF12" s="309">
        <f t="shared" si="26"/>
        <v>0</v>
      </c>
      <c r="AG12" s="210">
        <f t="shared" si="39"/>
        <v>0</v>
      </c>
      <c r="AH12" s="62">
        <f t="shared" si="40"/>
        <v>0</v>
      </c>
      <c r="AI12" s="321">
        <f t="shared" si="27"/>
        <v>0</v>
      </c>
      <c r="AJ12" s="321">
        <f>-tanks!AW13</f>
        <v>0</v>
      </c>
      <c r="AK12" s="321">
        <f t="shared" si="28"/>
        <v>0</v>
      </c>
      <c r="AL12" s="321">
        <f t="shared" si="7"/>
        <v>0</v>
      </c>
      <c r="AM12" s="321">
        <f t="shared" si="29"/>
        <v>0</v>
      </c>
      <c r="AN12" s="64">
        <f t="shared" si="30"/>
        <v>68</v>
      </c>
      <c r="AO12" s="323">
        <f t="shared" si="31"/>
        <v>2040.0000000000002</v>
      </c>
      <c r="AP12" s="64">
        <f t="shared" si="32"/>
        <v>55</v>
      </c>
      <c r="AQ12" s="323">
        <f t="shared" si="33"/>
        <v>1650.0000000000002</v>
      </c>
      <c r="AR12" s="64">
        <f t="shared" si="34"/>
        <v>62</v>
      </c>
      <c r="AS12" s="323">
        <f t="shared" si="41"/>
        <v>1860</v>
      </c>
      <c r="AT12" s="323">
        <f t="shared" si="42"/>
        <v>5550</v>
      </c>
      <c r="AU12" s="323">
        <f t="shared" si="43"/>
        <v>0</v>
      </c>
      <c r="AV12" s="271"/>
      <c r="AW12" s="271"/>
      <c r="AX12" s="316">
        <f t="shared" si="35"/>
        <v>0.8</v>
      </c>
    </row>
    <row r="13" spans="1:52">
      <c r="A13" s="63">
        <f>ELEC!C11</f>
        <v>44174</v>
      </c>
      <c r="B13" s="64">
        <f t="shared" si="8"/>
        <v>233</v>
      </c>
      <c r="C13" s="64">
        <f t="shared" si="9"/>
        <v>239</v>
      </c>
      <c r="D13" s="45">
        <f t="shared" si="36"/>
        <v>0</v>
      </c>
      <c r="E13" s="45">
        <f t="shared" si="10"/>
        <v>0</v>
      </c>
      <c r="F13" s="64">
        <f t="shared" si="11"/>
        <v>1660</v>
      </c>
      <c r="G13" s="52">
        <f t="shared" si="0"/>
        <v>0</v>
      </c>
      <c r="H13" s="64">
        <f t="shared" si="12"/>
        <v>357869</v>
      </c>
      <c r="I13" s="399">
        <f t="shared" si="1"/>
        <v>0</v>
      </c>
      <c r="J13" s="66">
        <f t="shared" si="13"/>
        <v>0</v>
      </c>
      <c r="K13" s="64">
        <f t="shared" si="14"/>
        <v>2154</v>
      </c>
      <c r="L13" s="52">
        <f t="shared" si="15"/>
        <v>0</v>
      </c>
      <c r="M13" s="64">
        <f t="shared" si="16"/>
        <v>158183</v>
      </c>
      <c r="N13" s="399">
        <f t="shared" si="2"/>
        <v>0</v>
      </c>
      <c r="O13" s="64">
        <f t="shared" si="17"/>
        <v>1869</v>
      </c>
      <c r="P13" s="64">
        <f t="shared" si="17"/>
        <v>1895</v>
      </c>
      <c r="Q13" s="64">
        <f t="shared" si="17"/>
        <v>160917</v>
      </c>
      <c r="R13" s="398">
        <f t="shared" si="44"/>
        <v>0</v>
      </c>
      <c r="S13" s="52">
        <f t="shared" si="4"/>
        <v>0</v>
      </c>
      <c r="T13" s="67">
        <f t="shared" si="37"/>
        <v>0</v>
      </c>
      <c r="U13" s="405">
        <f t="shared" si="18"/>
        <v>0</v>
      </c>
      <c r="V13" s="62">
        <f>R13+N13+I13:I13</f>
        <v>0</v>
      </c>
      <c r="W13" s="403" t="e">
        <f t="shared" si="20"/>
        <v>#DIV/0!</v>
      </c>
      <c r="X13" s="64">
        <f t="shared" si="21"/>
        <v>2449</v>
      </c>
      <c r="Y13" s="52">
        <f t="shared" si="22"/>
        <v>0</v>
      </c>
      <c r="Z13" s="64">
        <f t="shared" si="23"/>
        <v>137586</v>
      </c>
      <c r="AA13" s="287">
        <f t="shared" si="5"/>
        <v>0</v>
      </c>
      <c r="AB13" s="287">
        <f t="shared" si="38"/>
        <v>0</v>
      </c>
      <c r="AC13" s="64">
        <f t="shared" si="24"/>
        <v>1933</v>
      </c>
      <c r="AD13" s="45">
        <f t="shared" si="6"/>
        <v>0</v>
      </c>
      <c r="AE13" s="596">
        <f t="shared" si="25"/>
        <v>365262</v>
      </c>
      <c r="AF13" s="309">
        <f t="shared" si="26"/>
        <v>0</v>
      </c>
      <c r="AG13" s="210">
        <f t="shared" si="39"/>
        <v>0</v>
      </c>
      <c r="AH13" s="62">
        <f t="shared" si="40"/>
        <v>0</v>
      </c>
      <c r="AI13" s="321">
        <f t="shared" si="27"/>
        <v>0</v>
      </c>
      <c r="AJ13" s="321">
        <f>-tanks!AW14</f>
        <v>0</v>
      </c>
      <c r="AK13" s="321">
        <f t="shared" si="28"/>
        <v>0</v>
      </c>
      <c r="AL13" s="321">
        <f t="shared" si="7"/>
        <v>0</v>
      </c>
      <c r="AM13" s="321">
        <f t="shared" si="29"/>
        <v>0</v>
      </c>
      <c r="AN13" s="64">
        <f t="shared" si="30"/>
        <v>68</v>
      </c>
      <c r="AO13" s="323">
        <f t="shared" si="31"/>
        <v>2040.0000000000002</v>
      </c>
      <c r="AP13" s="64">
        <f t="shared" si="32"/>
        <v>55</v>
      </c>
      <c r="AQ13" s="323">
        <f t="shared" si="33"/>
        <v>1650.0000000000002</v>
      </c>
      <c r="AR13" s="64">
        <f t="shared" si="34"/>
        <v>62</v>
      </c>
      <c r="AS13" s="323">
        <f t="shared" si="41"/>
        <v>1860</v>
      </c>
      <c r="AT13" s="323">
        <f t="shared" si="42"/>
        <v>5550</v>
      </c>
      <c r="AU13" s="323">
        <f t="shared" si="43"/>
        <v>0</v>
      </c>
      <c r="AV13" s="271"/>
      <c r="AW13" s="271"/>
      <c r="AX13" s="316">
        <f t="shared" si="35"/>
        <v>0.8</v>
      </c>
    </row>
    <row r="14" spans="1:52">
      <c r="A14" s="63">
        <f>ELEC!C12</f>
        <v>44175</v>
      </c>
      <c r="B14" s="64">
        <f t="shared" si="8"/>
        <v>233</v>
      </c>
      <c r="C14" s="64">
        <f t="shared" si="9"/>
        <v>239</v>
      </c>
      <c r="D14" s="45">
        <f t="shared" si="36"/>
        <v>0</v>
      </c>
      <c r="E14" s="45">
        <f t="shared" si="10"/>
        <v>0</v>
      </c>
      <c r="F14" s="64">
        <f t="shared" si="11"/>
        <v>1660</v>
      </c>
      <c r="G14" s="52">
        <f t="shared" si="0"/>
        <v>0</v>
      </c>
      <c r="H14" s="64">
        <f t="shared" si="12"/>
        <v>357869</v>
      </c>
      <c r="I14" s="399">
        <f t="shared" si="1"/>
        <v>0</v>
      </c>
      <c r="J14" s="66">
        <f t="shared" si="13"/>
        <v>0</v>
      </c>
      <c r="K14" s="64">
        <f t="shared" si="14"/>
        <v>2154</v>
      </c>
      <c r="L14" s="52">
        <f t="shared" si="15"/>
        <v>0</v>
      </c>
      <c r="M14" s="64">
        <f t="shared" si="16"/>
        <v>158183</v>
      </c>
      <c r="N14" s="399">
        <f t="shared" si="2"/>
        <v>0</v>
      </c>
      <c r="O14" s="64">
        <f t="shared" si="17"/>
        <v>1869</v>
      </c>
      <c r="P14" s="64">
        <f t="shared" si="17"/>
        <v>1895</v>
      </c>
      <c r="Q14" s="64">
        <f t="shared" si="17"/>
        <v>160917</v>
      </c>
      <c r="R14" s="398">
        <f t="shared" si="44"/>
        <v>0</v>
      </c>
      <c r="S14" s="52">
        <f t="shared" si="4"/>
        <v>0</v>
      </c>
      <c r="T14" s="67">
        <f t="shared" si="37"/>
        <v>0</v>
      </c>
      <c r="U14" s="405">
        <f t="shared" si="18"/>
        <v>0</v>
      </c>
      <c r="V14" s="62">
        <f t="shared" si="19"/>
        <v>0</v>
      </c>
      <c r="W14" s="403" t="e">
        <f t="shared" si="20"/>
        <v>#DIV/0!</v>
      </c>
      <c r="X14" s="64">
        <f t="shared" si="21"/>
        <v>2449</v>
      </c>
      <c r="Y14" s="52">
        <f t="shared" si="22"/>
        <v>0</v>
      </c>
      <c r="Z14" s="64">
        <f t="shared" si="23"/>
        <v>137586</v>
      </c>
      <c r="AA14" s="65">
        <f t="shared" si="5"/>
        <v>0</v>
      </c>
      <c r="AB14" s="287">
        <f t="shared" si="38"/>
        <v>0</v>
      </c>
      <c r="AC14" s="64">
        <f t="shared" si="24"/>
        <v>1933</v>
      </c>
      <c r="AD14" s="45">
        <f t="shared" si="6"/>
        <v>0</v>
      </c>
      <c r="AE14" s="596">
        <f t="shared" si="25"/>
        <v>365262</v>
      </c>
      <c r="AF14" s="309">
        <f>AE14-AE13</f>
        <v>0</v>
      </c>
      <c r="AG14" s="210">
        <f t="shared" si="39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8"/>
        <v>0</v>
      </c>
      <c r="AL14" s="321">
        <f t="shared" si="7"/>
        <v>0</v>
      </c>
      <c r="AM14" s="321">
        <f t="shared" si="29"/>
        <v>0</v>
      </c>
      <c r="AN14" s="64">
        <f t="shared" si="30"/>
        <v>68</v>
      </c>
      <c r="AO14" s="323">
        <f t="shared" si="31"/>
        <v>2040.0000000000002</v>
      </c>
      <c r="AP14" s="64">
        <f t="shared" si="32"/>
        <v>55</v>
      </c>
      <c r="AQ14" s="323">
        <f t="shared" si="33"/>
        <v>1650.0000000000002</v>
      </c>
      <c r="AR14" s="64">
        <f t="shared" si="34"/>
        <v>62</v>
      </c>
      <c r="AS14" s="323">
        <f t="shared" si="41"/>
        <v>1860</v>
      </c>
      <c r="AT14" s="323">
        <f t="shared" si="42"/>
        <v>5550</v>
      </c>
      <c r="AU14" s="323">
        <f t="shared" si="43"/>
        <v>0</v>
      </c>
      <c r="AV14" s="271"/>
      <c r="AW14" s="271"/>
      <c r="AX14" s="316">
        <f t="shared" si="35"/>
        <v>0.8</v>
      </c>
    </row>
    <row r="15" spans="1:52" ht="15" customHeight="1">
      <c r="A15" s="63">
        <f>ELEC!C13</f>
        <v>44176</v>
      </c>
      <c r="B15" s="64">
        <f t="shared" si="8"/>
        <v>233</v>
      </c>
      <c r="C15" s="64">
        <f t="shared" si="9"/>
        <v>239</v>
      </c>
      <c r="D15" s="45">
        <f t="shared" si="36"/>
        <v>0</v>
      </c>
      <c r="E15" s="45">
        <f t="shared" si="10"/>
        <v>0</v>
      </c>
      <c r="F15" s="64">
        <f t="shared" si="11"/>
        <v>1660</v>
      </c>
      <c r="G15" s="52">
        <f t="shared" si="0"/>
        <v>0</v>
      </c>
      <c r="H15" s="64">
        <f t="shared" si="12"/>
        <v>357869</v>
      </c>
      <c r="I15" s="399">
        <f t="shared" si="1"/>
        <v>0</v>
      </c>
      <c r="J15" s="66">
        <f t="shared" si="13"/>
        <v>0</v>
      </c>
      <c r="K15" s="64">
        <f t="shared" si="14"/>
        <v>2154</v>
      </c>
      <c r="L15" s="52">
        <f t="shared" si="15"/>
        <v>0</v>
      </c>
      <c r="M15" s="64">
        <f t="shared" si="16"/>
        <v>158183</v>
      </c>
      <c r="N15" s="399">
        <f t="shared" si="2"/>
        <v>0</v>
      </c>
      <c r="O15" s="64">
        <f t="shared" si="17"/>
        <v>1869</v>
      </c>
      <c r="P15" s="64">
        <f t="shared" si="17"/>
        <v>1895</v>
      </c>
      <c r="Q15" s="64">
        <f t="shared" si="17"/>
        <v>160917</v>
      </c>
      <c r="R15" s="398">
        <f t="shared" si="44"/>
        <v>0</v>
      </c>
      <c r="S15" s="52">
        <f t="shared" si="4"/>
        <v>0</v>
      </c>
      <c r="T15" s="67">
        <f t="shared" si="37"/>
        <v>0</v>
      </c>
      <c r="U15" s="405">
        <f t="shared" si="18"/>
        <v>0</v>
      </c>
      <c r="V15" s="62">
        <f t="shared" si="19"/>
        <v>0</v>
      </c>
      <c r="W15" s="403" t="e">
        <f t="shared" si="20"/>
        <v>#DIV/0!</v>
      </c>
      <c r="X15" s="64">
        <f t="shared" si="21"/>
        <v>2449</v>
      </c>
      <c r="Y15" s="52">
        <f t="shared" si="22"/>
        <v>0</v>
      </c>
      <c r="Z15" s="64">
        <f t="shared" si="23"/>
        <v>137586</v>
      </c>
      <c r="AA15" s="65">
        <f t="shared" si="5"/>
        <v>0</v>
      </c>
      <c r="AB15" s="287">
        <f t="shared" si="38"/>
        <v>0</v>
      </c>
      <c r="AC15" s="64">
        <f t="shared" si="24"/>
        <v>1933</v>
      </c>
      <c r="AD15" s="45">
        <f t="shared" si="6"/>
        <v>0</v>
      </c>
      <c r="AE15" s="596">
        <f t="shared" si="25"/>
        <v>365262</v>
      </c>
      <c r="AF15" s="309">
        <f t="shared" si="26"/>
        <v>0</v>
      </c>
      <c r="AG15" s="210">
        <f t="shared" si="39"/>
        <v>0</v>
      </c>
      <c r="AH15" s="62">
        <f t="shared" si="40"/>
        <v>0</v>
      </c>
      <c r="AI15" s="321">
        <f t="shared" si="27"/>
        <v>0</v>
      </c>
      <c r="AJ15" s="321">
        <f>-tanks!AW16</f>
        <v>0</v>
      </c>
      <c r="AK15" s="321">
        <f t="shared" si="28"/>
        <v>0</v>
      </c>
      <c r="AL15" s="321">
        <f t="shared" si="7"/>
        <v>0</v>
      </c>
      <c r="AM15" s="321">
        <f t="shared" si="29"/>
        <v>0</v>
      </c>
      <c r="AN15" s="64">
        <f t="shared" si="30"/>
        <v>68</v>
      </c>
      <c r="AO15" s="323">
        <f t="shared" si="31"/>
        <v>2040.0000000000002</v>
      </c>
      <c r="AP15" s="64">
        <f t="shared" si="32"/>
        <v>55</v>
      </c>
      <c r="AQ15" s="323">
        <f t="shared" si="33"/>
        <v>1650.0000000000002</v>
      </c>
      <c r="AR15" s="64">
        <f t="shared" si="34"/>
        <v>62</v>
      </c>
      <c r="AS15" s="323">
        <f t="shared" si="41"/>
        <v>1860</v>
      </c>
      <c r="AT15" s="323">
        <f t="shared" si="42"/>
        <v>5550</v>
      </c>
      <c r="AU15" s="323">
        <f t="shared" si="43"/>
        <v>0</v>
      </c>
      <c r="AV15" s="271"/>
      <c r="AW15" s="271"/>
      <c r="AX15" s="316">
        <f t="shared" si="35"/>
        <v>0.8</v>
      </c>
    </row>
    <row r="16" spans="1:52">
      <c r="A16" s="63">
        <f>ELEC!C14</f>
        <v>44177</v>
      </c>
      <c r="B16" s="64">
        <f t="shared" si="8"/>
        <v>233</v>
      </c>
      <c r="C16" s="64">
        <f t="shared" si="9"/>
        <v>239</v>
      </c>
      <c r="D16" s="45">
        <f t="shared" si="36"/>
        <v>0</v>
      </c>
      <c r="E16" s="45">
        <f t="shared" si="10"/>
        <v>0</v>
      </c>
      <c r="F16" s="64">
        <f t="shared" si="11"/>
        <v>1660</v>
      </c>
      <c r="G16" s="52">
        <f t="shared" si="0"/>
        <v>0</v>
      </c>
      <c r="H16" s="64">
        <f t="shared" si="12"/>
        <v>357869</v>
      </c>
      <c r="I16" s="399">
        <f t="shared" si="1"/>
        <v>0</v>
      </c>
      <c r="J16" s="66">
        <f t="shared" si="13"/>
        <v>0</v>
      </c>
      <c r="K16" s="64">
        <f t="shared" si="14"/>
        <v>2154</v>
      </c>
      <c r="L16" s="52">
        <f t="shared" si="15"/>
        <v>0</v>
      </c>
      <c r="M16" s="64">
        <f t="shared" si="16"/>
        <v>158183</v>
      </c>
      <c r="N16" s="399">
        <f t="shared" si="2"/>
        <v>0</v>
      </c>
      <c r="O16" s="64">
        <f t="shared" si="17"/>
        <v>1869</v>
      </c>
      <c r="P16" s="64">
        <f t="shared" si="17"/>
        <v>1895</v>
      </c>
      <c r="Q16" s="64">
        <f t="shared" si="17"/>
        <v>160917</v>
      </c>
      <c r="R16" s="398">
        <f t="shared" si="44"/>
        <v>0</v>
      </c>
      <c r="S16" s="52">
        <f t="shared" si="4"/>
        <v>0</v>
      </c>
      <c r="T16" s="67">
        <f t="shared" si="37"/>
        <v>0</v>
      </c>
      <c r="U16" s="405">
        <f t="shared" si="18"/>
        <v>0</v>
      </c>
      <c r="V16" s="62">
        <f t="shared" si="19"/>
        <v>0</v>
      </c>
      <c r="W16" s="403" t="e">
        <f t="shared" si="20"/>
        <v>#DIV/0!</v>
      </c>
      <c r="X16" s="64">
        <f t="shared" si="21"/>
        <v>2449</v>
      </c>
      <c r="Y16" s="52">
        <f t="shared" si="22"/>
        <v>0</v>
      </c>
      <c r="Z16" s="64">
        <f t="shared" si="23"/>
        <v>137586</v>
      </c>
      <c r="AA16" s="65">
        <f t="shared" si="5"/>
        <v>0</v>
      </c>
      <c r="AB16" s="287">
        <f t="shared" si="38"/>
        <v>0</v>
      </c>
      <c r="AC16" s="64">
        <f t="shared" si="24"/>
        <v>1933</v>
      </c>
      <c r="AD16" s="45">
        <f t="shared" si="6"/>
        <v>0</v>
      </c>
      <c r="AE16" s="596">
        <f t="shared" si="25"/>
        <v>365262</v>
      </c>
      <c r="AF16" s="309">
        <f t="shared" si="26"/>
        <v>0</v>
      </c>
      <c r="AG16" s="210">
        <f t="shared" si="39"/>
        <v>0</v>
      </c>
      <c r="AH16" s="62">
        <f t="shared" si="40"/>
        <v>0</v>
      </c>
      <c r="AI16" s="321">
        <f t="shared" si="27"/>
        <v>0</v>
      </c>
      <c r="AJ16" s="321">
        <f>-tanks!AW17</f>
        <v>0</v>
      </c>
      <c r="AK16" s="321">
        <f t="shared" si="28"/>
        <v>0</v>
      </c>
      <c r="AL16" s="321">
        <f t="shared" si="7"/>
        <v>0</v>
      </c>
      <c r="AM16" s="321">
        <f t="shared" si="29"/>
        <v>0</v>
      </c>
      <c r="AN16" s="64">
        <f t="shared" si="30"/>
        <v>68</v>
      </c>
      <c r="AO16" s="323">
        <f t="shared" si="31"/>
        <v>2040.0000000000002</v>
      </c>
      <c r="AP16" s="64">
        <f t="shared" si="32"/>
        <v>55</v>
      </c>
      <c r="AQ16" s="323">
        <f t="shared" si="33"/>
        <v>1650.0000000000002</v>
      </c>
      <c r="AR16" s="64">
        <f t="shared" si="34"/>
        <v>62</v>
      </c>
      <c r="AS16" s="323">
        <f t="shared" si="41"/>
        <v>1860</v>
      </c>
      <c r="AT16" s="323">
        <f t="shared" si="42"/>
        <v>5550</v>
      </c>
      <c r="AU16" s="323">
        <f t="shared" si="43"/>
        <v>0</v>
      </c>
      <c r="AV16" s="271"/>
      <c r="AW16" s="271"/>
      <c r="AX16" s="316">
        <f t="shared" si="35"/>
        <v>0.8</v>
      </c>
    </row>
    <row r="17" spans="1:50">
      <c r="A17" s="63">
        <f>ELEC!C15</f>
        <v>44178</v>
      </c>
      <c r="B17" s="64">
        <f t="shared" si="8"/>
        <v>233</v>
      </c>
      <c r="C17" s="64">
        <f t="shared" si="9"/>
        <v>239</v>
      </c>
      <c r="D17" s="45">
        <f t="shared" si="36"/>
        <v>0</v>
      </c>
      <c r="E17" s="45">
        <f t="shared" si="10"/>
        <v>0</v>
      </c>
      <c r="F17" s="64">
        <f t="shared" si="11"/>
        <v>1660</v>
      </c>
      <c r="G17" s="52">
        <f t="shared" si="0"/>
        <v>0</v>
      </c>
      <c r="H17" s="64">
        <f t="shared" si="12"/>
        <v>357869</v>
      </c>
      <c r="I17" s="399">
        <f t="shared" si="1"/>
        <v>0</v>
      </c>
      <c r="J17" s="66">
        <f t="shared" si="13"/>
        <v>0</v>
      </c>
      <c r="K17" s="64">
        <f t="shared" si="14"/>
        <v>2154</v>
      </c>
      <c r="L17" s="52">
        <f t="shared" si="15"/>
        <v>0</v>
      </c>
      <c r="M17" s="64">
        <f t="shared" si="16"/>
        <v>158183</v>
      </c>
      <c r="N17" s="399">
        <f t="shared" si="2"/>
        <v>0</v>
      </c>
      <c r="O17" s="64">
        <f t="shared" si="17"/>
        <v>1869</v>
      </c>
      <c r="P17" s="64">
        <f t="shared" si="17"/>
        <v>1895</v>
      </c>
      <c r="Q17" s="64">
        <f t="shared" si="17"/>
        <v>160917</v>
      </c>
      <c r="R17" s="398">
        <f t="shared" si="44"/>
        <v>0</v>
      </c>
      <c r="S17" s="52">
        <f t="shared" si="4"/>
        <v>0</v>
      </c>
      <c r="T17" s="67">
        <f t="shared" si="37"/>
        <v>0</v>
      </c>
      <c r="U17" s="405">
        <f t="shared" si="18"/>
        <v>0</v>
      </c>
      <c r="V17" s="62">
        <f t="shared" si="19"/>
        <v>0</v>
      </c>
      <c r="W17" s="403"/>
      <c r="X17" s="64">
        <f t="shared" si="21"/>
        <v>2449</v>
      </c>
      <c r="Y17" s="52">
        <f t="shared" si="22"/>
        <v>0</v>
      </c>
      <c r="Z17" s="64">
        <f t="shared" si="23"/>
        <v>137586</v>
      </c>
      <c r="AA17" s="65">
        <f t="shared" si="5"/>
        <v>0</v>
      </c>
      <c r="AB17" s="287">
        <f t="shared" si="38"/>
        <v>0</v>
      </c>
      <c r="AC17" s="64">
        <f t="shared" si="24"/>
        <v>1933</v>
      </c>
      <c r="AD17" s="45">
        <f t="shared" si="6"/>
        <v>0</v>
      </c>
      <c r="AE17" s="596">
        <f t="shared" si="25"/>
        <v>365262</v>
      </c>
      <c r="AF17" s="309">
        <f t="shared" si="26"/>
        <v>0</v>
      </c>
      <c r="AG17" s="210">
        <f t="shared" si="39"/>
        <v>0</v>
      </c>
      <c r="AH17" s="62">
        <f t="shared" si="40"/>
        <v>0</v>
      </c>
      <c r="AI17" s="321">
        <f t="shared" si="27"/>
        <v>0</v>
      </c>
      <c r="AJ17" s="321">
        <f>-tanks!AW18</f>
        <v>0</v>
      </c>
      <c r="AK17" s="321">
        <f t="shared" si="28"/>
        <v>0</v>
      </c>
      <c r="AL17" s="321">
        <f t="shared" si="7"/>
        <v>0</v>
      </c>
      <c r="AM17" s="321">
        <f t="shared" si="29"/>
        <v>0</v>
      </c>
      <c r="AN17" s="64">
        <f t="shared" si="30"/>
        <v>68</v>
      </c>
      <c r="AO17" s="323">
        <f t="shared" si="31"/>
        <v>2040.0000000000002</v>
      </c>
      <c r="AP17" s="64">
        <f t="shared" si="32"/>
        <v>55</v>
      </c>
      <c r="AQ17" s="323">
        <f t="shared" si="33"/>
        <v>1650.0000000000002</v>
      </c>
      <c r="AR17" s="64">
        <f t="shared" si="34"/>
        <v>62</v>
      </c>
      <c r="AS17" s="323">
        <f t="shared" si="41"/>
        <v>1860</v>
      </c>
      <c r="AT17" s="323">
        <f t="shared" si="42"/>
        <v>5550</v>
      </c>
      <c r="AU17" s="323">
        <f t="shared" si="43"/>
        <v>0</v>
      </c>
      <c r="AV17" s="271"/>
      <c r="AW17" s="271"/>
      <c r="AX17" s="316">
        <f t="shared" si="35"/>
        <v>0.8</v>
      </c>
    </row>
    <row r="18" spans="1:50">
      <c r="A18" s="63">
        <f>ELEC!C16</f>
        <v>44179</v>
      </c>
      <c r="B18" s="64">
        <f t="shared" si="8"/>
        <v>233</v>
      </c>
      <c r="C18" s="64">
        <f t="shared" si="9"/>
        <v>239</v>
      </c>
      <c r="D18" s="45">
        <f t="shared" si="36"/>
        <v>0</v>
      </c>
      <c r="E18" s="45">
        <f t="shared" si="10"/>
        <v>0</v>
      </c>
      <c r="F18" s="64">
        <f t="shared" si="11"/>
        <v>1660</v>
      </c>
      <c r="G18" s="52">
        <f t="shared" si="0"/>
        <v>0</v>
      </c>
      <c r="H18" s="64">
        <f t="shared" si="12"/>
        <v>357869</v>
      </c>
      <c r="I18" s="399">
        <f t="shared" si="1"/>
        <v>0</v>
      </c>
      <c r="J18" s="66">
        <f t="shared" si="13"/>
        <v>0</v>
      </c>
      <c r="K18" s="64">
        <f t="shared" si="14"/>
        <v>2154</v>
      </c>
      <c r="L18" s="52">
        <f t="shared" si="15"/>
        <v>0</v>
      </c>
      <c r="M18" s="64">
        <f t="shared" si="16"/>
        <v>158183</v>
      </c>
      <c r="N18" s="399">
        <f t="shared" si="2"/>
        <v>0</v>
      </c>
      <c r="O18" s="64">
        <v>1869</v>
      </c>
      <c r="P18" s="64">
        <f t="shared" ref="P18:P35" si="45">P17</f>
        <v>1895</v>
      </c>
      <c r="Q18" s="64">
        <f t="shared" ref="Q18:Q35" si="46">Q17</f>
        <v>160917</v>
      </c>
      <c r="R18" s="398">
        <f t="shared" si="44"/>
        <v>0</v>
      </c>
      <c r="S18" s="52">
        <f t="shared" si="4"/>
        <v>0</v>
      </c>
      <c r="T18" s="67">
        <f t="shared" si="37"/>
        <v>0</v>
      </c>
      <c r="U18" s="405">
        <f t="shared" si="18"/>
        <v>0</v>
      </c>
      <c r="V18" s="62">
        <f t="shared" si="19"/>
        <v>0</v>
      </c>
      <c r="W18" s="403"/>
      <c r="X18" s="64">
        <f t="shared" si="21"/>
        <v>2449</v>
      </c>
      <c r="Y18" s="52">
        <f t="shared" si="22"/>
        <v>0</v>
      </c>
      <c r="Z18" s="64">
        <f t="shared" si="23"/>
        <v>137586</v>
      </c>
      <c r="AA18" s="65">
        <f t="shared" si="5"/>
        <v>0</v>
      </c>
      <c r="AB18" s="287">
        <f t="shared" ref="AB18:AB23" si="47">SUM(Y18*$AB$2)</f>
        <v>0</v>
      </c>
      <c r="AC18" s="64">
        <f t="shared" si="24"/>
        <v>1933</v>
      </c>
      <c r="AD18" s="45">
        <f t="shared" si="6"/>
        <v>0</v>
      </c>
      <c r="AE18" s="596">
        <f t="shared" si="25"/>
        <v>365262</v>
      </c>
      <c r="AF18" s="309">
        <f t="shared" si="26"/>
        <v>0</v>
      </c>
      <c r="AG18" s="210">
        <f t="shared" si="39"/>
        <v>0</v>
      </c>
      <c r="AH18" s="62">
        <f t="shared" si="40"/>
        <v>0</v>
      </c>
      <c r="AI18" s="321">
        <f t="shared" si="27"/>
        <v>0</v>
      </c>
      <c r="AJ18" s="321">
        <f>-tanks!AW19</f>
        <v>0</v>
      </c>
      <c r="AK18" s="321">
        <f t="shared" si="28"/>
        <v>0</v>
      </c>
      <c r="AL18" s="321">
        <f t="shared" si="7"/>
        <v>0</v>
      </c>
      <c r="AM18" s="321">
        <f t="shared" si="29"/>
        <v>0</v>
      </c>
      <c r="AN18" s="64">
        <f t="shared" si="30"/>
        <v>68</v>
      </c>
      <c r="AO18" s="323">
        <f t="shared" si="31"/>
        <v>2040.0000000000002</v>
      </c>
      <c r="AP18" s="64">
        <f t="shared" si="32"/>
        <v>55</v>
      </c>
      <c r="AQ18" s="323">
        <f t="shared" si="33"/>
        <v>1650.0000000000002</v>
      </c>
      <c r="AR18" s="64">
        <f t="shared" si="34"/>
        <v>62</v>
      </c>
      <c r="AS18" s="323">
        <f t="shared" si="41"/>
        <v>1860</v>
      </c>
      <c r="AT18" s="323">
        <f t="shared" si="42"/>
        <v>5550</v>
      </c>
      <c r="AU18" s="323">
        <f t="shared" si="43"/>
        <v>0</v>
      </c>
      <c r="AV18" s="271"/>
      <c r="AW18" s="271"/>
      <c r="AX18" s="316">
        <f t="shared" si="35"/>
        <v>0.8</v>
      </c>
    </row>
    <row r="19" spans="1:50">
      <c r="A19" s="63">
        <f>ELEC!C17</f>
        <v>44180</v>
      </c>
      <c r="B19" s="64">
        <f t="shared" si="8"/>
        <v>233</v>
      </c>
      <c r="C19" s="64">
        <f t="shared" si="9"/>
        <v>239</v>
      </c>
      <c r="D19" s="45">
        <f t="shared" si="36"/>
        <v>0</v>
      </c>
      <c r="E19" s="45">
        <f t="shared" si="10"/>
        <v>0</v>
      </c>
      <c r="F19" s="64">
        <f t="shared" si="11"/>
        <v>1660</v>
      </c>
      <c r="G19" s="52">
        <f t="shared" si="0"/>
        <v>0</v>
      </c>
      <c r="H19" s="64">
        <f t="shared" si="12"/>
        <v>357869</v>
      </c>
      <c r="I19" s="399">
        <f t="shared" si="1"/>
        <v>0</v>
      </c>
      <c r="J19" s="66">
        <f t="shared" si="13"/>
        <v>0</v>
      </c>
      <c r="K19" s="64">
        <f t="shared" si="14"/>
        <v>2154</v>
      </c>
      <c r="L19" s="52">
        <f t="shared" si="15"/>
        <v>0</v>
      </c>
      <c r="M19" s="64">
        <f t="shared" si="16"/>
        <v>158183</v>
      </c>
      <c r="N19" s="399">
        <f t="shared" si="2"/>
        <v>0</v>
      </c>
      <c r="O19" s="64">
        <f t="shared" si="17"/>
        <v>1869</v>
      </c>
      <c r="P19" s="64">
        <f t="shared" si="45"/>
        <v>1895</v>
      </c>
      <c r="Q19" s="64">
        <f t="shared" si="46"/>
        <v>160917</v>
      </c>
      <c r="R19" s="398">
        <f t="shared" si="44"/>
        <v>0</v>
      </c>
      <c r="S19" s="52">
        <f t="shared" si="4"/>
        <v>0</v>
      </c>
      <c r="T19" s="67">
        <f t="shared" si="37"/>
        <v>0</v>
      </c>
      <c r="U19" s="405">
        <f t="shared" si="18"/>
        <v>0</v>
      </c>
      <c r="V19" s="62">
        <f t="shared" si="19"/>
        <v>0</v>
      </c>
      <c r="W19" s="403"/>
      <c r="X19" s="64">
        <f t="shared" si="21"/>
        <v>2449</v>
      </c>
      <c r="Y19" s="52">
        <f t="shared" si="22"/>
        <v>0</v>
      </c>
      <c r="Z19" s="64">
        <f t="shared" si="23"/>
        <v>137586</v>
      </c>
      <c r="AA19" s="65">
        <f t="shared" si="5"/>
        <v>0</v>
      </c>
      <c r="AB19" s="287">
        <f t="shared" si="47"/>
        <v>0</v>
      </c>
      <c r="AC19" s="64">
        <f t="shared" si="24"/>
        <v>1933</v>
      </c>
      <c r="AD19" s="45">
        <f t="shared" si="6"/>
        <v>0</v>
      </c>
      <c r="AE19" s="596">
        <f t="shared" si="25"/>
        <v>365262</v>
      </c>
      <c r="AF19" s="309">
        <f t="shared" si="26"/>
        <v>0</v>
      </c>
      <c r="AG19" s="210">
        <f t="shared" si="39"/>
        <v>0</v>
      </c>
      <c r="AH19" s="62">
        <f t="shared" si="40"/>
        <v>0</v>
      </c>
      <c r="AI19" s="321">
        <f t="shared" si="27"/>
        <v>0</v>
      </c>
      <c r="AJ19" s="321">
        <f>-tanks!AW20</f>
        <v>0</v>
      </c>
      <c r="AK19" s="321">
        <f t="shared" si="28"/>
        <v>0</v>
      </c>
      <c r="AL19" s="321">
        <f t="shared" si="7"/>
        <v>0</v>
      </c>
      <c r="AM19" s="321">
        <f t="shared" si="29"/>
        <v>0</v>
      </c>
      <c r="AN19" s="64">
        <f t="shared" si="30"/>
        <v>68</v>
      </c>
      <c r="AO19" s="323">
        <f t="shared" si="31"/>
        <v>2040.0000000000002</v>
      </c>
      <c r="AP19" s="64">
        <f t="shared" si="32"/>
        <v>55</v>
      </c>
      <c r="AQ19" s="323">
        <f t="shared" si="33"/>
        <v>1650.0000000000002</v>
      </c>
      <c r="AR19" s="64">
        <f t="shared" si="34"/>
        <v>62</v>
      </c>
      <c r="AS19" s="323">
        <f t="shared" si="41"/>
        <v>1860</v>
      </c>
      <c r="AT19" s="323">
        <f t="shared" si="42"/>
        <v>5550</v>
      </c>
      <c r="AU19" s="323">
        <f t="shared" si="43"/>
        <v>0</v>
      </c>
      <c r="AV19" s="271"/>
      <c r="AW19" s="271"/>
      <c r="AX19" s="316">
        <f t="shared" si="35"/>
        <v>0.8</v>
      </c>
    </row>
    <row r="20" spans="1:50">
      <c r="A20" s="63">
        <f>ELEC!C18</f>
        <v>44181</v>
      </c>
      <c r="B20" s="64">
        <f t="shared" si="8"/>
        <v>233</v>
      </c>
      <c r="C20" s="64">
        <f t="shared" si="9"/>
        <v>239</v>
      </c>
      <c r="D20" s="45">
        <f>C19-C20</f>
        <v>0</v>
      </c>
      <c r="E20" s="45">
        <f t="shared" si="10"/>
        <v>0</v>
      </c>
      <c r="F20" s="64">
        <f t="shared" si="11"/>
        <v>1660</v>
      </c>
      <c r="G20" s="52">
        <f t="shared" si="0"/>
        <v>0</v>
      </c>
      <c r="H20" s="64">
        <f t="shared" si="12"/>
        <v>357869</v>
      </c>
      <c r="I20" s="399">
        <f t="shared" si="1"/>
        <v>0</v>
      </c>
      <c r="J20" s="66">
        <f t="shared" si="13"/>
        <v>0</v>
      </c>
      <c r="K20" s="64">
        <f t="shared" si="14"/>
        <v>2154</v>
      </c>
      <c r="L20" s="52">
        <f t="shared" si="15"/>
        <v>0</v>
      </c>
      <c r="M20" s="64">
        <f t="shared" si="16"/>
        <v>158183</v>
      </c>
      <c r="N20" s="399">
        <f t="shared" si="2"/>
        <v>0</v>
      </c>
      <c r="O20" s="64">
        <f t="shared" si="17"/>
        <v>1869</v>
      </c>
      <c r="P20" s="64">
        <f t="shared" si="45"/>
        <v>1895</v>
      </c>
      <c r="Q20" s="64">
        <f t="shared" si="46"/>
        <v>160917</v>
      </c>
      <c r="R20" s="398">
        <f t="shared" si="44"/>
        <v>0</v>
      </c>
      <c r="S20" s="52">
        <f t="shared" si="4"/>
        <v>0</v>
      </c>
      <c r="T20" s="67">
        <f t="shared" si="37"/>
        <v>0</v>
      </c>
      <c r="U20" s="405">
        <f t="shared" si="18"/>
        <v>0</v>
      </c>
      <c r="V20" s="62">
        <f t="shared" si="19"/>
        <v>0</v>
      </c>
      <c r="W20" s="403"/>
      <c r="X20" s="64">
        <f t="shared" si="21"/>
        <v>2449</v>
      </c>
      <c r="Y20" s="52">
        <f t="shared" si="22"/>
        <v>0</v>
      </c>
      <c r="Z20" s="64">
        <f t="shared" si="23"/>
        <v>137586</v>
      </c>
      <c r="AA20" s="65">
        <f t="shared" si="5"/>
        <v>0</v>
      </c>
      <c r="AB20" s="287">
        <f t="shared" si="47"/>
        <v>0</v>
      </c>
      <c r="AC20" s="64">
        <f t="shared" si="24"/>
        <v>1933</v>
      </c>
      <c r="AD20" s="45">
        <f t="shared" si="6"/>
        <v>0</v>
      </c>
      <c r="AE20" s="596">
        <f t="shared" si="25"/>
        <v>365262</v>
      </c>
      <c r="AF20" s="309">
        <f t="shared" si="26"/>
        <v>0</v>
      </c>
      <c r="AG20" s="210">
        <f t="shared" si="39"/>
        <v>0</v>
      </c>
      <c r="AH20" s="62">
        <f t="shared" si="40"/>
        <v>0</v>
      </c>
      <c r="AI20" s="321">
        <f t="shared" si="27"/>
        <v>0</v>
      </c>
      <c r="AJ20" s="321">
        <f>-tanks!AW21</f>
        <v>0</v>
      </c>
      <c r="AK20" s="321">
        <f t="shared" si="28"/>
        <v>0</v>
      </c>
      <c r="AL20" s="321">
        <f t="shared" si="7"/>
        <v>0</v>
      </c>
      <c r="AM20" s="321">
        <f t="shared" si="29"/>
        <v>0</v>
      </c>
      <c r="AN20" s="64">
        <f t="shared" si="30"/>
        <v>68</v>
      </c>
      <c r="AO20" s="323">
        <f t="shared" si="31"/>
        <v>2040.0000000000002</v>
      </c>
      <c r="AP20" s="64">
        <f t="shared" si="32"/>
        <v>55</v>
      </c>
      <c r="AQ20" s="323">
        <f t="shared" si="33"/>
        <v>1650.0000000000002</v>
      </c>
      <c r="AR20" s="64">
        <f t="shared" si="34"/>
        <v>62</v>
      </c>
      <c r="AS20" s="323">
        <f t="shared" si="41"/>
        <v>1860</v>
      </c>
      <c r="AT20" s="323">
        <f t="shared" si="42"/>
        <v>5550</v>
      </c>
      <c r="AU20" s="323">
        <f t="shared" si="43"/>
        <v>0</v>
      </c>
      <c r="AV20" s="271"/>
      <c r="AW20" s="271"/>
      <c r="AX20" s="316">
        <f t="shared" si="35"/>
        <v>0.8</v>
      </c>
    </row>
    <row r="21" spans="1:50">
      <c r="A21" s="63">
        <f>ELEC!C19</f>
        <v>44182</v>
      </c>
      <c r="B21" s="64">
        <f t="shared" si="8"/>
        <v>233</v>
      </c>
      <c r="C21" s="64">
        <f t="shared" si="9"/>
        <v>239</v>
      </c>
      <c r="D21" s="45">
        <f t="shared" ref="D21:D31" si="48">C20-C21</f>
        <v>0</v>
      </c>
      <c r="E21" s="45">
        <f t="shared" si="10"/>
        <v>0</v>
      </c>
      <c r="F21" s="64">
        <f t="shared" si="11"/>
        <v>1660</v>
      </c>
      <c r="G21" s="52">
        <f t="shared" si="0"/>
        <v>0</v>
      </c>
      <c r="H21" s="64">
        <f t="shared" si="12"/>
        <v>357869</v>
      </c>
      <c r="I21" s="399">
        <f t="shared" si="1"/>
        <v>0</v>
      </c>
      <c r="J21" s="66">
        <f t="shared" si="13"/>
        <v>0</v>
      </c>
      <c r="K21" s="64">
        <f t="shared" si="14"/>
        <v>2154</v>
      </c>
      <c r="L21" s="52">
        <f t="shared" si="15"/>
        <v>0</v>
      </c>
      <c r="M21" s="64">
        <f t="shared" si="16"/>
        <v>158183</v>
      </c>
      <c r="N21" s="399">
        <f t="shared" si="2"/>
        <v>0</v>
      </c>
      <c r="O21" s="64">
        <f t="shared" si="17"/>
        <v>1869</v>
      </c>
      <c r="P21" s="64">
        <f t="shared" si="45"/>
        <v>1895</v>
      </c>
      <c r="Q21" s="64">
        <f t="shared" si="46"/>
        <v>160917</v>
      </c>
      <c r="R21" s="398">
        <f t="shared" si="44"/>
        <v>0</v>
      </c>
      <c r="S21" s="52">
        <f t="shared" si="4"/>
        <v>0</v>
      </c>
      <c r="T21" s="67">
        <f t="shared" si="37"/>
        <v>0</v>
      </c>
      <c r="U21" s="405">
        <f t="shared" si="18"/>
        <v>0</v>
      </c>
      <c r="V21" s="62">
        <f t="shared" si="19"/>
        <v>0</v>
      </c>
      <c r="W21" s="403"/>
      <c r="X21" s="64">
        <f t="shared" si="21"/>
        <v>2449</v>
      </c>
      <c r="Y21" s="52">
        <f t="shared" si="22"/>
        <v>0</v>
      </c>
      <c r="Z21" s="64">
        <f t="shared" si="23"/>
        <v>137586</v>
      </c>
      <c r="AA21" s="65">
        <f t="shared" si="5"/>
        <v>0</v>
      </c>
      <c r="AB21" s="287">
        <f t="shared" si="47"/>
        <v>0</v>
      </c>
      <c r="AC21" s="64">
        <f t="shared" si="24"/>
        <v>1933</v>
      </c>
      <c r="AD21" s="45">
        <f t="shared" si="6"/>
        <v>0</v>
      </c>
      <c r="AE21" s="596">
        <f t="shared" si="25"/>
        <v>365262</v>
      </c>
      <c r="AF21" s="309">
        <f t="shared" si="26"/>
        <v>0</v>
      </c>
      <c r="AG21" s="210">
        <f t="shared" si="39"/>
        <v>0</v>
      </c>
      <c r="AH21" s="62">
        <f t="shared" si="40"/>
        <v>0</v>
      </c>
      <c r="AI21" s="321">
        <f t="shared" si="27"/>
        <v>0</v>
      </c>
      <c r="AJ21" s="321">
        <f>-tanks!AW22</f>
        <v>0</v>
      </c>
      <c r="AK21" s="321">
        <f t="shared" si="28"/>
        <v>0</v>
      </c>
      <c r="AL21" s="321">
        <f t="shared" si="7"/>
        <v>0</v>
      </c>
      <c r="AM21" s="321">
        <f t="shared" si="29"/>
        <v>0</v>
      </c>
      <c r="AN21" s="64">
        <f t="shared" si="30"/>
        <v>68</v>
      </c>
      <c r="AO21" s="323">
        <f t="shared" si="31"/>
        <v>2040.0000000000002</v>
      </c>
      <c r="AP21" s="64">
        <f t="shared" si="32"/>
        <v>55</v>
      </c>
      <c r="AQ21" s="323">
        <f t="shared" si="33"/>
        <v>1650.0000000000002</v>
      </c>
      <c r="AR21" s="64">
        <f t="shared" si="34"/>
        <v>62</v>
      </c>
      <c r="AS21" s="323">
        <f t="shared" si="41"/>
        <v>1860</v>
      </c>
      <c r="AT21" s="323">
        <f t="shared" si="42"/>
        <v>5550</v>
      </c>
      <c r="AU21" s="323">
        <f t="shared" si="43"/>
        <v>0</v>
      </c>
      <c r="AV21" s="271"/>
      <c r="AW21" s="271"/>
      <c r="AX21" s="316">
        <f t="shared" si="35"/>
        <v>0.8</v>
      </c>
    </row>
    <row r="22" spans="1:50" ht="16.5" customHeight="1">
      <c r="A22" s="63">
        <f>ELEC!C20</f>
        <v>44183</v>
      </c>
      <c r="B22" s="64">
        <f t="shared" si="8"/>
        <v>233</v>
      </c>
      <c r="C22" s="64">
        <f t="shared" si="9"/>
        <v>239</v>
      </c>
      <c r="D22" s="45">
        <f t="shared" si="48"/>
        <v>0</v>
      </c>
      <c r="E22" s="45">
        <f t="shared" si="10"/>
        <v>0</v>
      </c>
      <c r="F22" s="64">
        <f t="shared" si="11"/>
        <v>1660</v>
      </c>
      <c r="G22" s="52">
        <f t="shared" si="0"/>
        <v>0</v>
      </c>
      <c r="H22" s="64">
        <f t="shared" si="12"/>
        <v>357869</v>
      </c>
      <c r="I22" s="399">
        <f t="shared" si="1"/>
        <v>0</v>
      </c>
      <c r="J22" s="66">
        <f t="shared" si="13"/>
        <v>0</v>
      </c>
      <c r="K22" s="64">
        <f t="shared" si="14"/>
        <v>2154</v>
      </c>
      <c r="L22" s="52">
        <f t="shared" si="15"/>
        <v>0</v>
      </c>
      <c r="M22" s="64">
        <f t="shared" si="16"/>
        <v>158183</v>
      </c>
      <c r="N22" s="399">
        <f t="shared" si="2"/>
        <v>0</v>
      </c>
      <c r="O22" s="64">
        <f t="shared" si="17"/>
        <v>1869</v>
      </c>
      <c r="P22" s="64">
        <f t="shared" si="45"/>
        <v>1895</v>
      </c>
      <c r="Q22" s="64">
        <f t="shared" si="46"/>
        <v>160917</v>
      </c>
      <c r="R22" s="398">
        <f t="shared" si="44"/>
        <v>0</v>
      </c>
      <c r="S22" s="52">
        <f t="shared" si="4"/>
        <v>0</v>
      </c>
      <c r="T22" s="67">
        <f t="shared" si="37"/>
        <v>0</v>
      </c>
      <c r="U22" s="405">
        <f t="shared" si="18"/>
        <v>0</v>
      </c>
      <c r="V22" s="62">
        <f t="shared" si="19"/>
        <v>0</v>
      </c>
      <c r="W22" s="403"/>
      <c r="X22" s="64">
        <f t="shared" si="21"/>
        <v>2449</v>
      </c>
      <c r="Y22" s="52">
        <f t="shared" si="22"/>
        <v>0</v>
      </c>
      <c r="Z22" s="64">
        <f t="shared" si="23"/>
        <v>137586</v>
      </c>
      <c r="AA22" s="65">
        <f t="shared" si="5"/>
        <v>0</v>
      </c>
      <c r="AB22" s="287">
        <f t="shared" si="47"/>
        <v>0</v>
      </c>
      <c r="AC22" s="64">
        <f t="shared" si="24"/>
        <v>1933</v>
      </c>
      <c r="AD22" s="45">
        <f t="shared" si="6"/>
        <v>0</v>
      </c>
      <c r="AE22" s="596">
        <f t="shared" si="25"/>
        <v>365262</v>
      </c>
      <c r="AF22" s="309">
        <f t="shared" si="26"/>
        <v>0</v>
      </c>
      <c r="AG22" s="210">
        <f t="shared" si="39"/>
        <v>0</v>
      </c>
      <c r="AH22" s="62">
        <f t="shared" si="40"/>
        <v>0</v>
      </c>
      <c r="AI22" s="321">
        <f t="shared" si="27"/>
        <v>0</v>
      </c>
      <c r="AJ22" s="321">
        <f>-tanks!AW23</f>
        <v>0</v>
      </c>
      <c r="AK22" s="321">
        <f t="shared" si="28"/>
        <v>0</v>
      </c>
      <c r="AL22" s="321">
        <f t="shared" si="7"/>
        <v>0</v>
      </c>
      <c r="AM22" s="321">
        <f t="shared" si="29"/>
        <v>0</v>
      </c>
      <c r="AN22" s="64">
        <f t="shared" si="30"/>
        <v>68</v>
      </c>
      <c r="AO22" s="323">
        <f t="shared" si="31"/>
        <v>2040.0000000000002</v>
      </c>
      <c r="AP22" s="64">
        <f t="shared" si="32"/>
        <v>55</v>
      </c>
      <c r="AQ22" s="323">
        <f t="shared" si="33"/>
        <v>1650.0000000000002</v>
      </c>
      <c r="AR22" s="64">
        <f t="shared" si="34"/>
        <v>62</v>
      </c>
      <c r="AS22" s="323">
        <f t="shared" si="41"/>
        <v>1860</v>
      </c>
      <c r="AT22" s="323">
        <f t="shared" si="42"/>
        <v>5550</v>
      </c>
      <c r="AU22" s="323">
        <f t="shared" si="43"/>
        <v>0</v>
      </c>
      <c r="AV22" s="271"/>
      <c r="AW22" s="271"/>
      <c r="AX22" s="316">
        <f t="shared" si="35"/>
        <v>0.8</v>
      </c>
    </row>
    <row r="23" spans="1:50">
      <c r="A23" s="63">
        <f>ELEC!C21</f>
        <v>44184</v>
      </c>
      <c r="B23" s="64">
        <f t="shared" si="8"/>
        <v>233</v>
      </c>
      <c r="C23" s="64">
        <f t="shared" si="9"/>
        <v>239</v>
      </c>
      <c r="D23" s="45">
        <f t="shared" si="48"/>
        <v>0</v>
      </c>
      <c r="E23" s="45">
        <f t="shared" si="10"/>
        <v>0</v>
      </c>
      <c r="F23" s="64">
        <f t="shared" si="11"/>
        <v>1660</v>
      </c>
      <c r="G23" s="52">
        <f t="shared" si="0"/>
        <v>0</v>
      </c>
      <c r="H23" s="64">
        <f t="shared" si="12"/>
        <v>357869</v>
      </c>
      <c r="I23" s="399">
        <f t="shared" si="1"/>
        <v>0</v>
      </c>
      <c r="J23" s="66">
        <f t="shared" si="13"/>
        <v>0</v>
      </c>
      <c r="K23" s="64">
        <f t="shared" si="14"/>
        <v>2154</v>
      </c>
      <c r="L23" s="52">
        <f t="shared" si="15"/>
        <v>0</v>
      </c>
      <c r="M23" s="64">
        <f t="shared" si="16"/>
        <v>158183</v>
      </c>
      <c r="N23" s="399">
        <f t="shared" si="2"/>
        <v>0</v>
      </c>
      <c r="O23" s="64">
        <f t="shared" si="17"/>
        <v>1869</v>
      </c>
      <c r="P23" s="64">
        <f t="shared" si="45"/>
        <v>1895</v>
      </c>
      <c r="Q23" s="64">
        <f t="shared" si="46"/>
        <v>160917</v>
      </c>
      <c r="R23" s="398">
        <f t="shared" si="44"/>
        <v>0</v>
      </c>
      <c r="S23" s="52">
        <f t="shared" si="4"/>
        <v>0</v>
      </c>
      <c r="T23" s="67">
        <f t="shared" si="37"/>
        <v>0</v>
      </c>
      <c r="U23" s="405">
        <f t="shared" si="18"/>
        <v>0</v>
      </c>
      <c r="V23" s="62">
        <f t="shared" si="19"/>
        <v>0</v>
      </c>
      <c r="W23" s="403"/>
      <c r="X23" s="64">
        <f t="shared" si="21"/>
        <v>2449</v>
      </c>
      <c r="Y23" s="52">
        <f t="shared" si="22"/>
        <v>0</v>
      </c>
      <c r="Z23" s="64">
        <f t="shared" si="23"/>
        <v>137586</v>
      </c>
      <c r="AA23" s="65">
        <f t="shared" si="5"/>
        <v>0</v>
      </c>
      <c r="AB23" s="287">
        <f t="shared" si="47"/>
        <v>0</v>
      </c>
      <c r="AC23" s="64">
        <f t="shared" si="24"/>
        <v>1933</v>
      </c>
      <c r="AD23" s="45">
        <f t="shared" si="6"/>
        <v>0</v>
      </c>
      <c r="AE23" s="596">
        <f t="shared" si="25"/>
        <v>365262</v>
      </c>
      <c r="AF23" s="309">
        <f t="shared" si="26"/>
        <v>0</v>
      </c>
      <c r="AG23" s="210">
        <f t="shared" si="39"/>
        <v>0</v>
      </c>
      <c r="AH23" s="62">
        <f t="shared" si="40"/>
        <v>0</v>
      </c>
      <c r="AI23" s="321">
        <f t="shared" si="27"/>
        <v>0</v>
      </c>
      <c r="AJ23" s="321">
        <f>-tanks!AW24</f>
        <v>0</v>
      </c>
      <c r="AK23" s="321">
        <f t="shared" si="28"/>
        <v>0</v>
      </c>
      <c r="AL23" s="321">
        <f t="shared" si="7"/>
        <v>0</v>
      </c>
      <c r="AM23" s="321">
        <f t="shared" si="29"/>
        <v>0</v>
      </c>
      <c r="AN23" s="64">
        <f t="shared" si="30"/>
        <v>68</v>
      </c>
      <c r="AO23" s="323">
        <f t="shared" si="31"/>
        <v>2040.0000000000002</v>
      </c>
      <c r="AP23" s="64">
        <f t="shared" si="32"/>
        <v>55</v>
      </c>
      <c r="AQ23" s="323">
        <f t="shared" si="33"/>
        <v>1650.0000000000002</v>
      </c>
      <c r="AR23" s="64">
        <f t="shared" si="34"/>
        <v>62</v>
      </c>
      <c r="AS23" s="323">
        <f t="shared" si="41"/>
        <v>1860</v>
      </c>
      <c r="AT23" s="323">
        <f t="shared" si="42"/>
        <v>5550</v>
      </c>
      <c r="AU23" s="323">
        <f t="shared" si="43"/>
        <v>0</v>
      </c>
      <c r="AV23" s="271"/>
      <c r="AW23" s="271"/>
      <c r="AX23" s="316">
        <f t="shared" si="35"/>
        <v>0.8</v>
      </c>
    </row>
    <row r="24" spans="1:50">
      <c r="A24" s="63">
        <f>ELEC!C22</f>
        <v>44185</v>
      </c>
      <c r="B24" s="64">
        <f t="shared" si="8"/>
        <v>233</v>
      </c>
      <c r="C24" s="64">
        <f t="shared" si="9"/>
        <v>239</v>
      </c>
      <c r="D24" s="45">
        <f t="shared" si="48"/>
        <v>0</v>
      </c>
      <c r="E24" s="45">
        <f t="shared" si="10"/>
        <v>0</v>
      </c>
      <c r="F24" s="64">
        <f t="shared" si="11"/>
        <v>1660</v>
      </c>
      <c r="G24" s="52">
        <f t="shared" si="0"/>
        <v>0</v>
      </c>
      <c r="H24" s="64">
        <f t="shared" si="12"/>
        <v>357869</v>
      </c>
      <c r="I24" s="399">
        <f t="shared" si="1"/>
        <v>0</v>
      </c>
      <c r="J24" s="66">
        <f t="shared" si="13"/>
        <v>0</v>
      </c>
      <c r="K24" s="64">
        <f t="shared" si="14"/>
        <v>2154</v>
      </c>
      <c r="L24" s="52">
        <f t="shared" si="15"/>
        <v>0</v>
      </c>
      <c r="M24" s="64">
        <f t="shared" si="16"/>
        <v>158183</v>
      </c>
      <c r="N24" s="399">
        <f t="shared" si="2"/>
        <v>0</v>
      </c>
      <c r="O24" s="64">
        <f t="shared" si="17"/>
        <v>1869</v>
      </c>
      <c r="P24" s="64">
        <f t="shared" si="45"/>
        <v>1895</v>
      </c>
      <c r="Q24" s="64">
        <f t="shared" si="46"/>
        <v>160917</v>
      </c>
      <c r="R24" s="398">
        <f t="shared" si="44"/>
        <v>0</v>
      </c>
      <c r="S24" s="52">
        <f t="shared" si="4"/>
        <v>0</v>
      </c>
      <c r="T24" s="67">
        <f t="shared" si="37"/>
        <v>0</v>
      </c>
      <c r="U24" s="405">
        <f t="shared" si="18"/>
        <v>0</v>
      </c>
      <c r="V24" s="62">
        <f t="shared" si="19"/>
        <v>0</v>
      </c>
      <c r="W24" s="403"/>
      <c r="X24" s="64">
        <f t="shared" si="21"/>
        <v>2449</v>
      </c>
      <c r="Y24" s="52">
        <f t="shared" si="22"/>
        <v>0</v>
      </c>
      <c r="Z24" s="64">
        <f t="shared" si="23"/>
        <v>137586</v>
      </c>
      <c r="AA24" s="65">
        <f t="shared" si="5"/>
        <v>0</v>
      </c>
      <c r="AB24" s="287">
        <f t="shared" ref="AB24:AB34" si="49">SUM(Y24*$AB$2)</f>
        <v>0</v>
      </c>
      <c r="AC24" s="64">
        <f t="shared" si="24"/>
        <v>1933</v>
      </c>
      <c r="AD24" s="45">
        <f t="shared" si="6"/>
        <v>0</v>
      </c>
      <c r="AE24" s="596">
        <f t="shared" si="25"/>
        <v>365262</v>
      </c>
      <c r="AF24" s="309">
        <f t="shared" si="26"/>
        <v>0</v>
      </c>
      <c r="AG24" s="210">
        <f t="shared" si="39"/>
        <v>0</v>
      </c>
      <c r="AH24" s="62">
        <f t="shared" si="40"/>
        <v>0</v>
      </c>
      <c r="AI24" s="321">
        <f t="shared" si="27"/>
        <v>0</v>
      </c>
      <c r="AJ24" s="321">
        <f>-tanks!AW25</f>
        <v>0</v>
      </c>
      <c r="AK24" s="321">
        <f t="shared" si="28"/>
        <v>0</v>
      </c>
      <c r="AL24" s="321">
        <f t="shared" si="7"/>
        <v>0</v>
      </c>
      <c r="AM24" s="321">
        <f t="shared" si="29"/>
        <v>0</v>
      </c>
      <c r="AN24" s="64">
        <f t="shared" si="30"/>
        <v>68</v>
      </c>
      <c r="AO24" s="323">
        <f t="shared" si="31"/>
        <v>2040.0000000000002</v>
      </c>
      <c r="AP24" s="64">
        <f t="shared" si="32"/>
        <v>55</v>
      </c>
      <c r="AQ24" s="323">
        <f t="shared" si="33"/>
        <v>1650.0000000000002</v>
      </c>
      <c r="AR24" s="64">
        <f t="shared" si="34"/>
        <v>62</v>
      </c>
      <c r="AS24" s="323">
        <f t="shared" si="41"/>
        <v>1860</v>
      </c>
      <c r="AT24" s="323">
        <f t="shared" ref="AT24:AT34" si="50">SUM(AO24+AQ24+AS24)</f>
        <v>5550</v>
      </c>
      <c r="AU24" s="323">
        <f t="shared" si="43"/>
        <v>0</v>
      </c>
      <c r="AV24" s="271"/>
      <c r="AW24" s="271"/>
      <c r="AX24" s="316">
        <f t="shared" si="35"/>
        <v>0.8</v>
      </c>
    </row>
    <row r="25" spans="1:50" ht="13.5" customHeight="1">
      <c r="A25" s="63">
        <f>ELEC!C23</f>
        <v>44186</v>
      </c>
      <c r="B25" s="64">
        <f t="shared" si="8"/>
        <v>233</v>
      </c>
      <c r="C25" s="64">
        <f t="shared" si="9"/>
        <v>239</v>
      </c>
      <c r="D25" s="45">
        <f t="shared" si="48"/>
        <v>0</v>
      </c>
      <c r="E25" s="45">
        <f t="shared" si="10"/>
        <v>0</v>
      </c>
      <c r="F25" s="64">
        <f t="shared" si="11"/>
        <v>1660</v>
      </c>
      <c r="G25" s="52">
        <f t="shared" si="0"/>
        <v>0</v>
      </c>
      <c r="H25" s="64">
        <f t="shared" si="12"/>
        <v>357869</v>
      </c>
      <c r="I25" s="399">
        <f t="shared" si="1"/>
        <v>0</v>
      </c>
      <c r="J25" s="66">
        <f t="shared" si="13"/>
        <v>0</v>
      </c>
      <c r="K25" s="64">
        <f t="shared" si="14"/>
        <v>2154</v>
      </c>
      <c r="L25" s="52">
        <f t="shared" si="15"/>
        <v>0</v>
      </c>
      <c r="M25" s="64">
        <f t="shared" si="16"/>
        <v>158183</v>
      </c>
      <c r="N25" s="399">
        <f t="shared" si="2"/>
        <v>0</v>
      </c>
      <c r="O25" s="64">
        <f t="shared" si="17"/>
        <v>1869</v>
      </c>
      <c r="P25" s="64">
        <f t="shared" si="45"/>
        <v>1895</v>
      </c>
      <c r="Q25" s="64">
        <f t="shared" si="46"/>
        <v>160917</v>
      </c>
      <c r="R25" s="398">
        <f t="shared" si="44"/>
        <v>0</v>
      </c>
      <c r="S25" s="52">
        <f t="shared" si="4"/>
        <v>0</v>
      </c>
      <c r="T25" s="67">
        <f t="shared" si="37"/>
        <v>0</v>
      </c>
      <c r="U25" s="405">
        <f t="shared" si="18"/>
        <v>0</v>
      </c>
      <c r="V25" s="62">
        <f t="shared" si="19"/>
        <v>0</v>
      </c>
      <c r="W25" s="403"/>
      <c r="X25" s="64">
        <f t="shared" si="21"/>
        <v>2449</v>
      </c>
      <c r="Y25" s="52">
        <f t="shared" si="22"/>
        <v>0</v>
      </c>
      <c r="Z25" s="64">
        <f t="shared" si="23"/>
        <v>137586</v>
      </c>
      <c r="AA25" s="65">
        <f t="shared" si="5"/>
        <v>0</v>
      </c>
      <c r="AB25" s="287">
        <f t="shared" si="49"/>
        <v>0</v>
      </c>
      <c r="AC25" s="64">
        <f t="shared" si="24"/>
        <v>1933</v>
      </c>
      <c r="AD25" s="45">
        <f t="shared" si="6"/>
        <v>0</v>
      </c>
      <c r="AE25" s="596">
        <f t="shared" si="25"/>
        <v>365262</v>
      </c>
      <c r="AF25" s="309">
        <f t="shared" si="26"/>
        <v>0</v>
      </c>
      <c r="AG25" s="210">
        <f t="shared" si="39"/>
        <v>0</v>
      </c>
      <c r="AH25" s="62">
        <f t="shared" si="40"/>
        <v>0</v>
      </c>
      <c r="AI25" s="321">
        <f t="shared" si="27"/>
        <v>0</v>
      </c>
      <c r="AJ25" s="321">
        <f>-tanks!AW26</f>
        <v>0</v>
      </c>
      <c r="AK25" s="321">
        <f t="shared" si="28"/>
        <v>0</v>
      </c>
      <c r="AL25" s="321">
        <f t="shared" si="7"/>
        <v>0</v>
      </c>
      <c r="AM25" s="321">
        <f t="shared" si="29"/>
        <v>0</v>
      </c>
      <c r="AN25" s="64">
        <f t="shared" si="30"/>
        <v>68</v>
      </c>
      <c r="AO25" s="323">
        <f t="shared" si="31"/>
        <v>2040.0000000000002</v>
      </c>
      <c r="AP25" s="64">
        <f t="shared" si="32"/>
        <v>55</v>
      </c>
      <c r="AQ25" s="323">
        <f t="shared" ref="AQ25:AQ34" si="51">(AP25/100)*3000</f>
        <v>1650.0000000000002</v>
      </c>
      <c r="AR25" s="64">
        <f t="shared" si="34"/>
        <v>62</v>
      </c>
      <c r="AS25" s="323">
        <f t="shared" si="41"/>
        <v>1860</v>
      </c>
      <c r="AT25" s="323">
        <f t="shared" si="50"/>
        <v>5550</v>
      </c>
      <c r="AU25" s="323">
        <f t="shared" si="43"/>
        <v>0</v>
      </c>
      <c r="AV25" s="271"/>
      <c r="AW25" s="271"/>
      <c r="AX25" s="316">
        <f t="shared" si="35"/>
        <v>0.8</v>
      </c>
    </row>
    <row r="26" spans="1:50" ht="14.25" customHeight="1">
      <c r="A26" s="63">
        <f>ELEC!C24</f>
        <v>44187</v>
      </c>
      <c r="B26" s="64">
        <f t="shared" si="8"/>
        <v>233</v>
      </c>
      <c r="C26" s="64">
        <f t="shared" si="9"/>
        <v>239</v>
      </c>
      <c r="D26" s="45">
        <f t="shared" si="48"/>
        <v>0</v>
      </c>
      <c r="E26" s="45">
        <f t="shared" si="10"/>
        <v>0</v>
      </c>
      <c r="F26" s="64">
        <f t="shared" si="11"/>
        <v>1660</v>
      </c>
      <c r="G26" s="52">
        <f t="shared" si="0"/>
        <v>0</v>
      </c>
      <c r="H26" s="64">
        <f t="shared" si="12"/>
        <v>357869</v>
      </c>
      <c r="I26" s="399">
        <f t="shared" si="1"/>
        <v>0</v>
      </c>
      <c r="J26" s="66">
        <f t="shared" si="13"/>
        <v>0</v>
      </c>
      <c r="K26" s="64">
        <f t="shared" si="14"/>
        <v>2154</v>
      </c>
      <c r="L26" s="52">
        <f t="shared" si="15"/>
        <v>0</v>
      </c>
      <c r="M26" s="64">
        <f t="shared" si="16"/>
        <v>158183</v>
      </c>
      <c r="N26" s="399">
        <f t="shared" si="2"/>
        <v>0</v>
      </c>
      <c r="O26" s="64">
        <f t="shared" si="17"/>
        <v>1869</v>
      </c>
      <c r="P26" s="64">
        <f t="shared" si="45"/>
        <v>1895</v>
      </c>
      <c r="Q26" s="64">
        <f t="shared" si="46"/>
        <v>160917</v>
      </c>
      <c r="R26" s="398">
        <f t="shared" si="44"/>
        <v>0</v>
      </c>
      <c r="S26" s="52">
        <f t="shared" si="4"/>
        <v>0</v>
      </c>
      <c r="T26" s="67">
        <f t="shared" si="37"/>
        <v>0</v>
      </c>
      <c r="U26" s="405">
        <f t="shared" si="18"/>
        <v>0</v>
      </c>
      <c r="V26" s="62">
        <f t="shared" si="19"/>
        <v>0</v>
      </c>
      <c r="W26" s="403"/>
      <c r="X26" s="64">
        <f t="shared" si="21"/>
        <v>2449</v>
      </c>
      <c r="Y26" s="52">
        <f t="shared" si="22"/>
        <v>0</v>
      </c>
      <c r="Z26" s="64">
        <f t="shared" si="23"/>
        <v>137586</v>
      </c>
      <c r="AA26" s="65">
        <f t="shared" si="5"/>
        <v>0</v>
      </c>
      <c r="AB26" s="287">
        <f t="shared" si="49"/>
        <v>0</v>
      </c>
      <c r="AC26" s="64">
        <f t="shared" si="24"/>
        <v>1933</v>
      </c>
      <c r="AD26" s="45">
        <f t="shared" si="6"/>
        <v>0</v>
      </c>
      <c r="AE26" s="596">
        <f t="shared" si="25"/>
        <v>365262</v>
      </c>
      <c r="AF26" s="309">
        <f t="shared" si="26"/>
        <v>0</v>
      </c>
      <c r="AG26" s="210">
        <f t="shared" si="39"/>
        <v>0</v>
      </c>
      <c r="AH26" s="62">
        <f t="shared" si="40"/>
        <v>0</v>
      </c>
      <c r="AI26" s="321">
        <f t="shared" si="27"/>
        <v>0</v>
      </c>
      <c r="AJ26" s="321">
        <f>-tanks!AW27</f>
        <v>0</v>
      </c>
      <c r="AK26" s="321">
        <f t="shared" si="28"/>
        <v>0</v>
      </c>
      <c r="AL26" s="321">
        <f t="shared" si="7"/>
        <v>0</v>
      </c>
      <c r="AM26" s="321">
        <f t="shared" si="29"/>
        <v>0</v>
      </c>
      <c r="AN26" s="64">
        <f t="shared" si="30"/>
        <v>68</v>
      </c>
      <c r="AO26" s="323">
        <f t="shared" si="31"/>
        <v>2040.0000000000002</v>
      </c>
      <c r="AP26" s="64">
        <f t="shared" si="32"/>
        <v>55</v>
      </c>
      <c r="AQ26" s="323">
        <f t="shared" si="51"/>
        <v>1650.0000000000002</v>
      </c>
      <c r="AR26" s="64">
        <f t="shared" si="34"/>
        <v>62</v>
      </c>
      <c r="AS26" s="323">
        <f t="shared" si="41"/>
        <v>1860</v>
      </c>
      <c r="AT26" s="323">
        <f t="shared" si="50"/>
        <v>5550</v>
      </c>
      <c r="AU26" s="323">
        <f t="shared" si="43"/>
        <v>0</v>
      </c>
      <c r="AV26" s="271"/>
      <c r="AW26" s="271"/>
      <c r="AX26" s="316">
        <f t="shared" si="35"/>
        <v>0.8</v>
      </c>
    </row>
    <row r="27" spans="1:50">
      <c r="A27" s="63">
        <f>ELEC!C25</f>
        <v>44188</v>
      </c>
      <c r="B27" s="64">
        <f t="shared" si="8"/>
        <v>233</v>
      </c>
      <c r="C27" s="64">
        <f t="shared" si="9"/>
        <v>239</v>
      </c>
      <c r="D27" s="45">
        <f t="shared" si="48"/>
        <v>0</v>
      </c>
      <c r="E27" s="45">
        <f t="shared" si="10"/>
        <v>0</v>
      </c>
      <c r="F27" s="64">
        <f t="shared" si="11"/>
        <v>1660</v>
      </c>
      <c r="G27" s="52">
        <f t="shared" si="0"/>
        <v>0</v>
      </c>
      <c r="H27" s="64">
        <f t="shared" si="12"/>
        <v>357869</v>
      </c>
      <c r="I27" s="399">
        <f t="shared" si="1"/>
        <v>0</v>
      </c>
      <c r="J27" s="66">
        <f t="shared" si="13"/>
        <v>0</v>
      </c>
      <c r="K27" s="64">
        <f t="shared" si="14"/>
        <v>2154</v>
      </c>
      <c r="L27" s="52">
        <f t="shared" si="15"/>
        <v>0</v>
      </c>
      <c r="M27" s="64">
        <f t="shared" si="16"/>
        <v>158183</v>
      </c>
      <c r="N27" s="399">
        <f t="shared" si="2"/>
        <v>0</v>
      </c>
      <c r="O27" s="64">
        <f t="shared" si="17"/>
        <v>1869</v>
      </c>
      <c r="P27" s="64">
        <f t="shared" si="45"/>
        <v>1895</v>
      </c>
      <c r="Q27" s="64">
        <f t="shared" si="46"/>
        <v>160917</v>
      </c>
      <c r="R27" s="398">
        <f t="shared" si="44"/>
        <v>0</v>
      </c>
      <c r="S27" s="52">
        <f t="shared" si="4"/>
        <v>0</v>
      </c>
      <c r="T27" s="67">
        <f t="shared" si="37"/>
        <v>0</v>
      </c>
      <c r="U27" s="405">
        <f t="shared" si="18"/>
        <v>0</v>
      </c>
      <c r="V27" s="62">
        <f t="shared" si="19"/>
        <v>0</v>
      </c>
      <c r="W27" s="403"/>
      <c r="X27" s="64">
        <f t="shared" si="21"/>
        <v>2449</v>
      </c>
      <c r="Y27" s="52">
        <f t="shared" si="22"/>
        <v>0</v>
      </c>
      <c r="Z27" s="64">
        <f t="shared" si="23"/>
        <v>137586</v>
      </c>
      <c r="AA27" s="65">
        <f t="shared" si="5"/>
        <v>0</v>
      </c>
      <c r="AB27" s="287">
        <f t="shared" si="49"/>
        <v>0</v>
      </c>
      <c r="AC27" s="64">
        <f t="shared" si="24"/>
        <v>1933</v>
      </c>
      <c r="AD27" s="45">
        <f t="shared" si="6"/>
        <v>0</v>
      </c>
      <c r="AE27" s="596">
        <f t="shared" si="25"/>
        <v>365262</v>
      </c>
      <c r="AF27" s="309">
        <f t="shared" si="26"/>
        <v>0</v>
      </c>
      <c r="AG27" s="210">
        <f t="shared" si="39"/>
        <v>0</v>
      </c>
      <c r="AH27" s="62">
        <f t="shared" si="40"/>
        <v>0</v>
      </c>
      <c r="AI27" s="321">
        <f t="shared" si="27"/>
        <v>0</v>
      </c>
      <c r="AJ27" s="321">
        <f>-tanks!AW28</f>
        <v>0</v>
      </c>
      <c r="AK27" s="321">
        <f t="shared" si="28"/>
        <v>0</v>
      </c>
      <c r="AL27" s="321">
        <f t="shared" si="7"/>
        <v>0</v>
      </c>
      <c r="AM27" s="321">
        <f t="shared" si="29"/>
        <v>0</v>
      </c>
      <c r="AN27" s="64">
        <f t="shared" si="30"/>
        <v>68</v>
      </c>
      <c r="AO27" s="323">
        <f>(AN27/100)*3000</f>
        <v>2040.0000000000002</v>
      </c>
      <c r="AP27" s="64">
        <f t="shared" si="32"/>
        <v>55</v>
      </c>
      <c r="AQ27" s="323">
        <f t="shared" si="51"/>
        <v>1650.0000000000002</v>
      </c>
      <c r="AR27" s="64">
        <f t="shared" si="34"/>
        <v>62</v>
      </c>
      <c r="AS27" s="323">
        <f t="shared" si="41"/>
        <v>1860</v>
      </c>
      <c r="AT27" s="323">
        <f t="shared" si="50"/>
        <v>5550</v>
      </c>
      <c r="AU27" s="323">
        <f t="shared" si="43"/>
        <v>0</v>
      </c>
      <c r="AV27" s="271"/>
      <c r="AW27" s="509"/>
      <c r="AX27" s="316">
        <f t="shared" si="35"/>
        <v>0.8</v>
      </c>
    </row>
    <row r="28" spans="1:50">
      <c r="A28" s="63">
        <f>ELEC!C26</f>
        <v>44189</v>
      </c>
      <c r="B28" s="64">
        <f t="shared" si="8"/>
        <v>233</v>
      </c>
      <c r="C28" s="64">
        <f t="shared" si="9"/>
        <v>239</v>
      </c>
      <c r="D28" s="45">
        <f t="shared" si="48"/>
        <v>0</v>
      </c>
      <c r="E28" s="45">
        <f t="shared" si="10"/>
        <v>0</v>
      </c>
      <c r="F28" s="64">
        <f t="shared" si="11"/>
        <v>1660</v>
      </c>
      <c r="G28" s="52">
        <f t="shared" si="0"/>
        <v>0</v>
      </c>
      <c r="H28" s="64">
        <f t="shared" si="12"/>
        <v>357869</v>
      </c>
      <c r="I28" s="399">
        <f t="shared" si="1"/>
        <v>0</v>
      </c>
      <c r="J28" s="66">
        <f t="shared" si="13"/>
        <v>0</v>
      </c>
      <c r="K28" s="64">
        <f t="shared" si="14"/>
        <v>2154</v>
      </c>
      <c r="L28" s="52">
        <f t="shared" si="15"/>
        <v>0</v>
      </c>
      <c r="M28" s="64">
        <f t="shared" si="16"/>
        <v>158183</v>
      </c>
      <c r="N28" s="399">
        <f t="shared" si="2"/>
        <v>0</v>
      </c>
      <c r="O28" s="64">
        <f t="shared" si="17"/>
        <v>1869</v>
      </c>
      <c r="P28" s="64">
        <f t="shared" si="45"/>
        <v>1895</v>
      </c>
      <c r="Q28" s="64">
        <f t="shared" si="46"/>
        <v>160917</v>
      </c>
      <c r="R28" s="398">
        <f t="shared" si="44"/>
        <v>0</v>
      </c>
      <c r="S28" s="52">
        <f t="shared" si="4"/>
        <v>0</v>
      </c>
      <c r="T28" s="67">
        <f t="shared" si="37"/>
        <v>0</v>
      </c>
      <c r="U28" s="405">
        <f t="shared" si="18"/>
        <v>0</v>
      </c>
      <c r="V28" s="62">
        <f t="shared" si="19"/>
        <v>0</v>
      </c>
      <c r="W28" s="403"/>
      <c r="X28" s="64">
        <f t="shared" si="21"/>
        <v>2449</v>
      </c>
      <c r="Y28" s="52">
        <f t="shared" si="22"/>
        <v>0</v>
      </c>
      <c r="Z28" s="64">
        <f t="shared" si="23"/>
        <v>137586</v>
      </c>
      <c r="AA28" s="65">
        <f t="shared" si="5"/>
        <v>0</v>
      </c>
      <c r="AB28" s="287">
        <f t="shared" si="49"/>
        <v>0</v>
      </c>
      <c r="AC28" s="64">
        <f t="shared" si="24"/>
        <v>1933</v>
      </c>
      <c r="AD28" s="45">
        <f t="shared" si="6"/>
        <v>0</v>
      </c>
      <c r="AE28" s="596">
        <f t="shared" si="25"/>
        <v>365262</v>
      </c>
      <c r="AF28" s="309">
        <f t="shared" si="26"/>
        <v>0</v>
      </c>
      <c r="AG28" s="210">
        <f t="shared" si="39"/>
        <v>0</v>
      </c>
      <c r="AH28" s="62">
        <f t="shared" si="40"/>
        <v>0</v>
      </c>
      <c r="AI28" s="321">
        <f t="shared" si="27"/>
        <v>0</v>
      </c>
      <c r="AJ28" s="321">
        <f>-tanks!AW29</f>
        <v>0</v>
      </c>
      <c r="AK28" s="321">
        <f t="shared" si="28"/>
        <v>0</v>
      </c>
      <c r="AL28" s="321">
        <f t="shared" si="7"/>
        <v>0</v>
      </c>
      <c r="AM28" s="321">
        <f t="shared" si="29"/>
        <v>0</v>
      </c>
      <c r="AN28" s="64">
        <f t="shared" si="30"/>
        <v>68</v>
      </c>
      <c r="AO28" s="323">
        <f t="shared" ref="AO28:AO34" si="52">(AN28/100)*3000</f>
        <v>2040.0000000000002</v>
      </c>
      <c r="AP28" s="64">
        <f t="shared" si="32"/>
        <v>55</v>
      </c>
      <c r="AQ28" s="323">
        <f t="shared" si="51"/>
        <v>1650.0000000000002</v>
      </c>
      <c r="AR28" s="64">
        <f t="shared" si="34"/>
        <v>62</v>
      </c>
      <c r="AS28" s="323">
        <f t="shared" si="41"/>
        <v>1860</v>
      </c>
      <c r="AT28" s="323">
        <f t="shared" si="50"/>
        <v>5550</v>
      </c>
      <c r="AU28" s="323">
        <f t="shared" si="43"/>
        <v>0</v>
      </c>
      <c r="AV28" s="271"/>
      <c r="AW28" s="271"/>
      <c r="AX28" s="316">
        <f t="shared" si="35"/>
        <v>0.8</v>
      </c>
    </row>
    <row r="29" spans="1:50">
      <c r="A29" s="63">
        <f>ELEC!C27</f>
        <v>44190</v>
      </c>
      <c r="B29" s="64">
        <f t="shared" si="8"/>
        <v>233</v>
      </c>
      <c r="C29" s="64">
        <f t="shared" si="9"/>
        <v>239</v>
      </c>
      <c r="D29" s="45">
        <f t="shared" si="48"/>
        <v>0</v>
      </c>
      <c r="E29" s="45">
        <f t="shared" si="10"/>
        <v>0</v>
      </c>
      <c r="F29" s="64">
        <f t="shared" si="11"/>
        <v>1660</v>
      </c>
      <c r="G29" s="52">
        <f t="shared" si="0"/>
        <v>0</v>
      </c>
      <c r="H29" s="64">
        <f t="shared" si="12"/>
        <v>357869</v>
      </c>
      <c r="I29" s="399">
        <f t="shared" si="1"/>
        <v>0</v>
      </c>
      <c r="J29" s="66">
        <f t="shared" si="13"/>
        <v>0</v>
      </c>
      <c r="K29" s="64">
        <f t="shared" si="14"/>
        <v>2154</v>
      </c>
      <c r="L29" s="52">
        <f t="shared" si="15"/>
        <v>0</v>
      </c>
      <c r="M29" s="64">
        <f t="shared" si="16"/>
        <v>158183</v>
      </c>
      <c r="N29" s="399">
        <f t="shared" si="2"/>
        <v>0</v>
      </c>
      <c r="O29" s="64">
        <f t="shared" si="17"/>
        <v>1869</v>
      </c>
      <c r="P29" s="64">
        <f t="shared" si="45"/>
        <v>1895</v>
      </c>
      <c r="Q29" s="64">
        <f t="shared" si="46"/>
        <v>160917</v>
      </c>
      <c r="R29" s="398">
        <f t="shared" si="44"/>
        <v>0</v>
      </c>
      <c r="S29" s="52">
        <f t="shared" si="4"/>
        <v>0</v>
      </c>
      <c r="T29" s="67">
        <f t="shared" si="37"/>
        <v>0</v>
      </c>
      <c r="U29" s="405">
        <f t="shared" si="18"/>
        <v>0</v>
      </c>
      <c r="V29" s="62">
        <f t="shared" si="19"/>
        <v>0</v>
      </c>
      <c r="W29" s="403"/>
      <c r="X29" s="64">
        <f t="shared" si="21"/>
        <v>2449</v>
      </c>
      <c r="Y29" s="52">
        <f t="shared" si="22"/>
        <v>0</v>
      </c>
      <c r="Z29" s="64">
        <f t="shared" si="23"/>
        <v>137586</v>
      </c>
      <c r="AA29" s="65">
        <f t="shared" si="5"/>
        <v>0</v>
      </c>
      <c r="AB29" s="287">
        <f t="shared" si="49"/>
        <v>0</v>
      </c>
      <c r="AC29" s="64">
        <f t="shared" si="24"/>
        <v>1933</v>
      </c>
      <c r="AD29" s="45">
        <f t="shared" si="6"/>
        <v>0</v>
      </c>
      <c r="AE29" s="596">
        <f t="shared" si="25"/>
        <v>365262</v>
      </c>
      <c r="AF29" s="309">
        <f t="shared" si="26"/>
        <v>0</v>
      </c>
      <c r="AG29" s="210">
        <f t="shared" si="39"/>
        <v>0</v>
      </c>
      <c r="AH29" s="62">
        <f t="shared" si="40"/>
        <v>0</v>
      </c>
      <c r="AI29" s="321">
        <f t="shared" si="27"/>
        <v>0</v>
      </c>
      <c r="AJ29" s="321">
        <f>-tanks!AW30</f>
        <v>0</v>
      </c>
      <c r="AK29" s="321">
        <f t="shared" si="28"/>
        <v>0</v>
      </c>
      <c r="AL29" s="321">
        <f t="shared" si="7"/>
        <v>0</v>
      </c>
      <c r="AM29" s="321">
        <f t="shared" si="29"/>
        <v>0</v>
      </c>
      <c r="AN29" s="64">
        <f t="shared" si="30"/>
        <v>68</v>
      </c>
      <c r="AO29" s="323">
        <f t="shared" si="52"/>
        <v>2040.0000000000002</v>
      </c>
      <c r="AP29" s="64">
        <f t="shared" si="32"/>
        <v>55</v>
      </c>
      <c r="AQ29" s="323">
        <f t="shared" si="51"/>
        <v>1650.0000000000002</v>
      </c>
      <c r="AR29" s="64">
        <f t="shared" si="34"/>
        <v>62</v>
      </c>
      <c r="AS29" s="323">
        <f t="shared" si="41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5"/>
        <v>0.8</v>
      </c>
    </row>
    <row r="30" spans="1:50">
      <c r="A30" s="63">
        <f>ELEC!C28</f>
        <v>44191</v>
      </c>
      <c r="B30" s="64">
        <f t="shared" si="8"/>
        <v>233</v>
      </c>
      <c r="C30" s="64">
        <f t="shared" si="9"/>
        <v>239</v>
      </c>
      <c r="D30" s="45">
        <f t="shared" si="48"/>
        <v>0</v>
      </c>
      <c r="E30" s="45">
        <f t="shared" si="10"/>
        <v>0</v>
      </c>
      <c r="F30" s="64">
        <f t="shared" si="11"/>
        <v>1660</v>
      </c>
      <c r="G30" s="52">
        <f t="shared" si="0"/>
        <v>0</v>
      </c>
      <c r="H30" s="64">
        <f t="shared" si="12"/>
        <v>357869</v>
      </c>
      <c r="I30" s="399">
        <f t="shared" si="1"/>
        <v>0</v>
      </c>
      <c r="J30" s="66">
        <f t="shared" si="13"/>
        <v>0</v>
      </c>
      <c r="K30" s="64">
        <f t="shared" si="14"/>
        <v>2154</v>
      </c>
      <c r="L30" s="52">
        <f t="shared" si="15"/>
        <v>0</v>
      </c>
      <c r="M30" s="64">
        <f t="shared" si="16"/>
        <v>158183</v>
      </c>
      <c r="N30" s="399">
        <f t="shared" si="2"/>
        <v>0</v>
      </c>
      <c r="O30" s="64">
        <f t="shared" si="17"/>
        <v>1869</v>
      </c>
      <c r="P30" s="64">
        <f t="shared" si="45"/>
        <v>1895</v>
      </c>
      <c r="Q30" s="64">
        <f t="shared" si="46"/>
        <v>160917</v>
      </c>
      <c r="R30" s="398">
        <f t="shared" si="44"/>
        <v>0</v>
      </c>
      <c r="S30" s="52">
        <f t="shared" si="4"/>
        <v>0</v>
      </c>
      <c r="T30" s="67">
        <f t="shared" si="37"/>
        <v>0</v>
      </c>
      <c r="U30" s="405">
        <f t="shared" si="18"/>
        <v>0</v>
      </c>
      <c r="V30" s="62">
        <f t="shared" si="19"/>
        <v>0</v>
      </c>
      <c r="W30" s="403"/>
      <c r="X30" s="64">
        <f t="shared" si="21"/>
        <v>2449</v>
      </c>
      <c r="Y30" s="52">
        <f t="shared" si="22"/>
        <v>0</v>
      </c>
      <c r="Z30" s="64">
        <f t="shared" si="23"/>
        <v>137586</v>
      </c>
      <c r="AA30" s="65">
        <f t="shared" si="5"/>
        <v>0</v>
      </c>
      <c r="AB30" s="287">
        <f t="shared" si="49"/>
        <v>0</v>
      </c>
      <c r="AC30" s="64">
        <f t="shared" si="24"/>
        <v>1933</v>
      </c>
      <c r="AD30" s="45">
        <f t="shared" si="6"/>
        <v>0</v>
      </c>
      <c r="AE30" s="596">
        <f t="shared" si="25"/>
        <v>365262</v>
      </c>
      <c r="AF30" s="309">
        <f t="shared" si="26"/>
        <v>0</v>
      </c>
      <c r="AG30" s="210">
        <f t="shared" si="39"/>
        <v>0</v>
      </c>
      <c r="AH30" s="62">
        <f t="shared" si="40"/>
        <v>0</v>
      </c>
      <c r="AI30" s="321">
        <f t="shared" si="27"/>
        <v>0</v>
      </c>
      <c r="AJ30" s="321">
        <f>-tanks!AW31</f>
        <v>0</v>
      </c>
      <c r="AK30" s="321">
        <f t="shared" si="28"/>
        <v>0</v>
      </c>
      <c r="AL30" s="321">
        <f t="shared" si="7"/>
        <v>0</v>
      </c>
      <c r="AM30" s="321">
        <f t="shared" si="29"/>
        <v>0</v>
      </c>
      <c r="AN30" s="64">
        <f t="shared" si="30"/>
        <v>68</v>
      </c>
      <c r="AO30" s="323">
        <f t="shared" si="52"/>
        <v>2040.0000000000002</v>
      </c>
      <c r="AP30" s="64">
        <f t="shared" si="32"/>
        <v>55</v>
      </c>
      <c r="AQ30" s="323">
        <f t="shared" si="51"/>
        <v>1650.0000000000002</v>
      </c>
      <c r="AR30" s="64">
        <f t="shared" si="34"/>
        <v>62</v>
      </c>
      <c r="AS30" s="323">
        <f t="shared" si="41"/>
        <v>1860</v>
      </c>
      <c r="AT30" s="323">
        <f t="shared" si="50"/>
        <v>5550</v>
      </c>
      <c r="AU30" s="323">
        <f t="shared" si="43"/>
        <v>0</v>
      </c>
      <c r="AV30" s="271"/>
      <c r="AW30" s="271"/>
      <c r="AX30" s="316">
        <f t="shared" si="35"/>
        <v>0.8</v>
      </c>
    </row>
    <row r="31" spans="1:50">
      <c r="A31" s="63">
        <f>ELEC!C29</f>
        <v>44192</v>
      </c>
      <c r="B31" s="64">
        <f t="shared" si="8"/>
        <v>233</v>
      </c>
      <c r="C31" s="64">
        <f t="shared" si="9"/>
        <v>239</v>
      </c>
      <c r="D31" s="45">
        <f t="shared" si="48"/>
        <v>0</v>
      </c>
      <c r="E31" s="45">
        <f t="shared" si="10"/>
        <v>0</v>
      </c>
      <c r="F31" s="64">
        <f t="shared" si="11"/>
        <v>1660</v>
      </c>
      <c r="G31" s="52">
        <f t="shared" si="0"/>
        <v>0</v>
      </c>
      <c r="H31" s="64">
        <f t="shared" si="12"/>
        <v>357869</v>
      </c>
      <c r="I31" s="399">
        <f t="shared" si="1"/>
        <v>0</v>
      </c>
      <c r="J31" s="66">
        <f t="shared" si="13"/>
        <v>0</v>
      </c>
      <c r="K31" s="64">
        <f t="shared" si="14"/>
        <v>2154</v>
      </c>
      <c r="L31" s="52">
        <f t="shared" si="15"/>
        <v>0</v>
      </c>
      <c r="M31" s="64">
        <f t="shared" si="16"/>
        <v>158183</v>
      </c>
      <c r="N31" s="399">
        <f t="shared" si="2"/>
        <v>0</v>
      </c>
      <c r="O31" s="64">
        <f t="shared" si="17"/>
        <v>1869</v>
      </c>
      <c r="P31" s="64">
        <f t="shared" si="45"/>
        <v>1895</v>
      </c>
      <c r="Q31" s="64">
        <f t="shared" si="46"/>
        <v>160917</v>
      </c>
      <c r="R31" s="398">
        <f t="shared" si="44"/>
        <v>0</v>
      </c>
      <c r="S31" s="52">
        <f t="shared" si="4"/>
        <v>0</v>
      </c>
      <c r="T31" s="67">
        <f t="shared" si="37"/>
        <v>0</v>
      </c>
      <c r="U31" s="405">
        <f t="shared" si="18"/>
        <v>0</v>
      </c>
      <c r="V31" s="62">
        <f t="shared" si="19"/>
        <v>0</v>
      </c>
      <c r="W31" s="403"/>
      <c r="X31" s="64">
        <f t="shared" si="21"/>
        <v>2449</v>
      </c>
      <c r="Y31" s="52">
        <f t="shared" si="22"/>
        <v>0</v>
      </c>
      <c r="Z31" s="64">
        <f t="shared" si="23"/>
        <v>137586</v>
      </c>
      <c r="AA31" s="65">
        <f t="shared" si="5"/>
        <v>0</v>
      </c>
      <c r="AB31" s="287">
        <f t="shared" si="49"/>
        <v>0</v>
      </c>
      <c r="AC31" s="64">
        <f t="shared" si="24"/>
        <v>1933</v>
      </c>
      <c r="AD31" s="271">
        <f t="shared" si="6"/>
        <v>0</v>
      </c>
      <c r="AE31" s="596">
        <f t="shared" si="25"/>
        <v>365262</v>
      </c>
      <c r="AF31" s="309">
        <f t="shared" si="26"/>
        <v>0</v>
      </c>
      <c r="AG31" s="210">
        <f t="shared" si="39"/>
        <v>0</v>
      </c>
      <c r="AH31" s="62">
        <f t="shared" si="40"/>
        <v>0</v>
      </c>
      <c r="AI31" s="321">
        <f t="shared" si="27"/>
        <v>0</v>
      </c>
      <c r="AJ31" s="321">
        <f>-tanks!AW32</f>
        <v>0</v>
      </c>
      <c r="AK31" s="321">
        <f t="shared" si="28"/>
        <v>0</v>
      </c>
      <c r="AL31" s="321">
        <f t="shared" si="7"/>
        <v>0</v>
      </c>
      <c r="AM31" s="321">
        <f t="shared" si="29"/>
        <v>0</v>
      </c>
      <c r="AN31" s="64">
        <f t="shared" si="30"/>
        <v>68</v>
      </c>
      <c r="AO31" s="323">
        <f t="shared" si="52"/>
        <v>2040.0000000000002</v>
      </c>
      <c r="AP31" s="64">
        <f t="shared" si="32"/>
        <v>55</v>
      </c>
      <c r="AQ31" s="323">
        <f t="shared" si="51"/>
        <v>1650.0000000000002</v>
      </c>
      <c r="AR31" s="64">
        <f t="shared" si="34"/>
        <v>62</v>
      </c>
      <c r="AS31" s="323">
        <f t="shared" si="41"/>
        <v>1860</v>
      </c>
      <c r="AT31" s="323">
        <f t="shared" si="50"/>
        <v>5550</v>
      </c>
      <c r="AU31" s="323">
        <f t="shared" si="43"/>
        <v>0</v>
      </c>
      <c r="AV31" s="271"/>
      <c r="AW31" s="271"/>
      <c r="AX31" s="316">
        <f t="shared" si="35"/>
        <v>0.8</v>
      </c>
    </row>
    <row r="32" spans="1:50">
      <c r="A32" s="63">
        <f>ELEC!C30</f>
        <v>44193</v>
      </c>
      <c r="B32" s="64">
        <f t="shared" si="8"/>
        <v>233</v>
      </c>
      <c r="C32" s="64">
        <f t="shared" si="9"/>
        <v>239</v>
      </c>
      <c r="D32" s="45">
        <f t="shared" si="36"/>
        <v>0</v>
      </c>
      <c r="E32" s="45">
        <f t="shared" ref="E32:E34" si="53">D32*8.38</f>
        <v>0</v>
      </c>
      <c r="F32" s="64">
        <f t="shared" si="11"/>
        <v>1660</v>
      </c>
      <c r="G32" s="52">
        <f t="shared" si="0"/>
        <v>0</v>
      </c>
      <c r="H32" s="64">
        <f t="shared" si="12"/>
        <v>357869</v>
      </c>
      <c r="I32" s="399">
        <f t="shared" si="1"/>
        <v>0</v>
      </c>
      <c r="J32" s="66">
        <f t="shared" si="13"/>
        <v>0</v>
      </c>
      <c r="K32" s="64">
        <f t="shared" si="14"/>
        <v>2154</v>
      </c>
      <c r="L32" s="52">
        <f t="shared" si="15"/>
        <v>0</v>
      </c>
      <c r="M32" s="64">
        <f t="shared" si="16"/>
        <v>158183</v>
      </c>
      <c r="N32" s="399">
        <f t="shared" si="2"/>
        <v>0</v>
      </c>
      <c r="O32" s="64">
        <f t="shared" si="17"/>
        <v>1869</v>
      </c>
      <c r="P32" s="64">
        <f t="shared" si="45"/>
        <v>1895</v>
      </c>
      <c r="Q32" s="64">
        <f t="shared" si="46"/>
        <v>160917</v>
      </c>
      <c r="R32" s="398">
        <f t="shared" si="44"/>
        <v>0</v>
      </c>
      <c r="S32" s="52">
        <f t="shared" si="4"/>
        <v>0</v>
      </c>
      <c r="T32" s="67">
        <f t="shared" si="37"/>
        <v>0</v>
      </c>
      <c r="U32" s="405">
        <f t="shared" si="18"/>
        <v>0</v>
      </c>
      <c r="V32" s="62">
        <f t="shared" si="19"/>
        <v>0</v>
      </c>
      <c r="W32" s="403"/>
      <c r="X32" s="64">
        <f t="shared" si="21"/>
        <v>2449</v>
      </c>
      <c r="Y32" s="52">
        <f t="shared" si="22"/>
        <v>0</v>
      </c>
      <c r="Z32" s="64">
        <f t="shared" si="23"/>
        <v>137586</v>
      </c>
      <c r="AA32" s="65">
        <f t="shared" si="5"/>
        <v>0</v>
      </c>
      <c r="AB32" s="287">
        <f t="shared" si="49"/>
        <v>0</v>
      </c>
      <c r="AC32" s="64">
        <f t="shared" si="24"/>
        <v>1933</v>
      </c>
      <c r="AD32" s="271">
        <f t="shared" si="6"/>
        <v>0</v>
      </c>
      <c r="AE32" s="596">
        <f t="shared" si="25"/>
        <v>365262</v>
      </c>
      <c r="AF32" s="309">
        <f t="shared" si="26"/>
        <v>0</v>
      </c>
      <c r="AG32" s="210">
        <f t="shared" si="39"/>
        <v>0</v>
      </c>
      <c r="AH32" s="62">
        <f t="shared" si="40"/>
        <v>0</v>
      </c>
      <c r="AI32" s="321">
        <f t="shared" si="27"/>
        <v>0</v>
      </c>
      <c r="AJ32" s="321">
        <f>-tanks!AW33</f>
        <v>0</v>
      </c>
      <c r="AK32" s="321">
        <f t="shared" si="28"/>
        <v>0</v>
      </c>
      <c r="AL32" s="321">
        <f t="shared" si="7"/>
        <v>0</v>
      </c>
      <c r="AM32" s="321">
        <f t="shared" si="29"/>
        <v>0</v>
      </c>
      <c r="AN32" s="64">
        <f t="shared" si="30"/>
        <v>68</v>
      </c>
      <c r="AO32" s="323">
        <f t="shared" si="52"/>
        <v>2040.0000000000002</v>
      </c>
      <c r="AP32" s="64">
        <f t="shared" si="32"/>
        <v>55</v>
      </c>
      <c r="AQ32" s="323">
        <f t="shared" si="51"/>
        <v>1650.0000000000002</v>
      </c>
      <c r="AR32" s="64">
        <f t="shared" si="34"/>
        <v>62</v>
      </c>
      <c r="AS32" s="323">
        <f t="shared" si="41"/>
        <v>1860</v>
      </c>
      <c r="AT32" s="323">
        <f t="shared" si="50"/>
        <v>5550</v>
      </c>
      <c r="AU32" s="323">
        <f t="shared" si="43"/>
        <v>0</v>
      </c>
      <c r="AV32" s="271"/>
      <c r="AW32" s="271"/>
      <c r="AX32" s="316">
        <f t="shared" si="35"/>
        <v>0.8</v>
      </c>
    </row>
    <row r="33" spans="1:50">
      <c r="A33" s="63">
        <f>ELEC!C31</f>
        <v>44194</v>
      </c>
      <c r="B33" s="64">
        <f t="shared" si="8"/>
        <v>233</v>
      </c>
      <c r="C33" s="64">
        <f t="shared" si="9"/>
        <v>239</v>
      </c>
      <c r="D33" s="45">
        <f t="shared" si="36"/>
        <v>0</v>
      </c>
      <c r="E33" s="45">
        <f t="shared" si="53"/>
        <v>0</v>
      </c>
      <c r="F33" s="64">
        <f t="shared" si="11"/>
        <v>1660</v>
      </c>
      <c r="G33" s="52">
        <f t="shared" si="0"/>
        <v>0</v>
      </c>
      <c r="H33" s="64">
        <f t="shared" si="12"/>
        <v>357869</v>
      </c>
      <c r="I33" s="399">
        <f t="shared" si="1"/>
        <v>0</v>
      </c>
      <c r="J33" s="66">
        <f t="shared" si="13"/>
        <v>0</v>
      </c>
      <c r="K33" s="64">
        <f t="shared" si="14"/>
        <v>2154</v>
      </c>
      <c r="L33" s="52">
        <f t="shared" si="15"/>
        <v>0</v>
      </c>
      <c r="M33" s="64">
        <f t="shared" si="16"/>
        <v>158183</v>
      </c>
      <c r="N33" s="399">
        <f t="shared" si="2"/>
        <v>0</v>
      </c>
      <c r="O33" s="64">
        <f t="shared" si="17"/>
        <v>1869</v>
      </c>
      <c r="P33" s="64">
        <f t="shared" si="45"/>
        <v>1895</v>
      </c>
      <c r="Q33" s="64">
        <f t="shared" si="46"/>
        <v>160917</v>
      </c>
      <c r="R33" s="398">
        <f t="shared" si="44"/>
        <v>0</v>
      </c>
      <c r="S33" s="52">
        <f t="shared" si="4"/>
        <v>0</v>
      </c>
      <c r="T33" s="67">
        <f t="shared" si="37"/>
        <v>0</v>
      </c>
      <c r="U33" s="405">
        <f t="shared" si="18"/>
        <v>0</v>
      </c>
      <c r="V33" s="62">
        <f t="shared" si="19"/>
        <v>0</v>
      </c>
      <c r="W33" s="403"/>
      <c r="X33" s="64">
        <f t="shared" si="21"/>
        <v>2449</v>
      </c>
      <c r="Y33" s="52">
        <f t="shared" si="22"/>
        <v>0</v>
      </c>
      <c r="Z33" s="64">
        <f t="shared" si="23"/>
        <v>137586</v>
      </c>
      <c r="AA33" s="65">
        <f t="shared" si="5"/>
        <v>0</v>
      </c>
      <c r="AB33" s="287">
        <f t="shared" si="49"/>
        <v>0</v>
      </c>
      <c r="AC33" s="64">
        <f t="shared" si="24"/>
        <v>1933</v>
      </c>
      <c r="AD33" s="45">
        <f t="shared" si="6"/>
        <v>0</v>
      </c>
      <c r="AE33" s="596">
        <f t="shared" si="25"/>
        <v>365262</v>
      </c>
      <c r="AF33" s="309">
        <f t="shared" si="26"/>
        <v>0</v>
      </c>
      <c r="AG33" s="210">
        <f t="shared" si="39"/>
        <v>0</v>
      </c>
      <c r="AH33" s="62">
        <f t="shared" si="40"/>
        <v>0</v>
      </c>
      <c r="AI33" s="321">
        <f t="shared" si="27"/>
        <v>0</v>
      </c>
      <c r="AJ33" s="321">
        <f>-tanks!AW34</f>
        <v>0</v>
      </c>
      <c r="AK33" s="321">
        <f t="shared" si="28"/>
        <v>0</v>
      </c>
      <c r="AL33" s="321">
        <f t="shared" si="7"/>
        <v>0</v>
      </c>
      <c r="AM33" s="321">
        <f t="shared" si="29"/>
        <v>0</v>
      </c>
      <c r="AN33" s="64">
        <f t="shared" si="30"/>
        <v>68</v>
      </c>
      <c r="AO33" s="323">
        <f t="shared" si="52"/>
        <v>2040.0000000000002</v>
      </c>
      <c r="AP33" s="64">
        <f t="shared" si="32"/>
        <v>55</v>
      </c>
      <c r="AQ33" s="323">
        <f t="shared" si="51"/>
        <v>1650.0000000000002</v>
      </c>
      <c r="AR33" s="64">
        <f t="shared" si="34"/>
        <v>62</v>
      </c>
      <c r="AS33" s="323">
        <f t="shared" si="41"/>
        <v>1860</v>
      </c>
      <c r="AT33" s="323">
        <f t="shared" si="50"/>
        <v>5550</v>
      </c>
      <c r="AU33" s="323">
        <f t="shared" si="43"/>
        <v>0</v>
      </c>
      <c r="AV33" s="271"/>
      <c r="AW33" s="271"/>
      <c r="AX33" s="316">
        <f t="shared" si="35"/>
        <v>0.8</v>
      </c>
    </row>
    <row r="34" spans="1:50">
      <c r="A34" s="63">
        <f>ELEC!C32</f>
        <v>44195</v>
      </c>
      <c r="B34" s="64">
        <f t="shared" si="8"/>
        <v>233</v>
      </c>
      <c r="C34" s="64">
        <f t="shared" si="9"/>
        <v>239</v>
      </c>
      <c r="D34" s="45">
        <f t="shared" si="36"/>
        <v>0</v>
      </c>
      <c r="E34" s="45">
        <f t="shared" si="53"/>
        <v>0</v>
      </c>
      <c r="F34" s="64">
        <f t="shared" si="11"/>
        <v>1660</v>
      </c>
      <c r="G34" s="52">
        <f t="shared" si="0"/>
        <v>0</v>
      </c>
      <c r="H34" s="64">
        <f t="shared" si="12"/>
        <v>357869</v>
      </c>
      <c r="I34" s="399">
        <f t="shared" si="1"/>
        <v>0</v>
      </c>
      <c r="J34" s="66">
        <f t="shared" si="13"/>
        <v>0</v>
      </c>
      <c r="K34" s="64">
        <f t="shared" si="14"/>
        <v>2154</v>
      </c>
      <c r="L34" s="52">
        <f t="shared" si="15"/>
        <v>0</v>
      </c>
      <c r="M34" s="64">
        <f t="shared" si="16"/>
        <v>158183</v>
      </c>
      <c r="N34" s="399">
        <f t="shared" si="2"/>
        <v>0</v>
      </c>
      <c r="O34" s="64">
        <f t="shared" si="17"/>
        <v>1869</v>
      </c>
      <c r="P34" s="64">
        <f t="shared" si="45"/>
        <v>1895</v>
      </c>
      <c r="Q34" s="64">
        <f t="shared" si="46"/>
        <v>160917</v>
      </c>
      <c r="R34" s="398">
        <f t="shared" si="44"/>
        <v>0</v>
      </c>
      <c r="S34" s="52">
        <f t="shared" si="4"/>
        <v>0</v>
      </c>
      <c r="T34" s="67">
        <f t="shared" si="37"/>
        <v>0</v>
      </c>
      <c r="U34" s="405">
        <f t="shared" si="18"/>
        <v>0</v>
      </c>
      <c r="V34" s="62">
        <f t="shared" si="19"/>
        <v>0</v>
      </c>
      <c r="W34" s="403"/>
      <c r="X34" s="64">
        <f t="shared" si="21"/>
        <v>2449</v>
      </c>
      <c r="Y34" s="52">
        <f t="shared" si="22"/>
        <v>0</v>
      </c>
      <c r="Z34" s="64">
        <f t="shared" si="23"/>
        <v>137586</v>
      </c>
      <c r="AA34" s="65">
        <f t="shared" si="5"/>
        <v>0</v>
      </c>
      <c r="AB34" s="287">
        <f t="shared" si="49"/>
        <v>0</v>
      </c>
      <c r="AC34" s="64">
        <f t="shared" si="24"/>
        <v>1933</v>
      </c>
      <c r="AD34" s="45">
        <f t="shared" si="6"/>
        <v>0</v>
      </c>
      <c r="AE34" s="596">
        <f t="shared" si="25"/>
        <v>365262</v>
      </c>
      <c r="AF34" s="309">
        <f t="shared" si="26"/>
        <v>0</v>
      </c>
      <c r="AG34" s="210">
        <f t="shared" si="39"/>
        <v>0</v>
      </c>
      <c r="AH34" s="62">
        <f t="shared" si="40"/>
        <v>0</v>
      </c>
      <c r="AI34" s="321">
        <f t="shared" si="27"/>
        <v>0</v>
      </c>
      <c r="AJ34" s="321">
        <f>-tanks!AW35</f>
        <v>0</v>
      </c>
      <c r="AK34" s="321">
        <f t="shared" si="28"/>
        <v>0</v>
      </c>
      <c r="AL34" s="321">
        <f t="shared" si="7"/>
        <v>0</v>
      </c>
      <c r="AM34" s="321">
        <f>Y34+AD34</f>
        <v>0</v>
      </c>
      <c r="AN34" s="64">
        <f t="shared" si="30"/>
        <v>68</v>
      </c>
      <c r="AO34" s="323">
        <f t="shared" si="52"/>
        <v>2040.0000000000002</v>
      </c>
      <c r="AP34" s="64">
        <f t="shared" si="32"/>
        <v>55</v>
      </c>
      <c r="AQ34" s="323">
        <f t="shared" si="51"/>
        <v>1650.0000000000002</v>
      </c>
      <c r="AR34" s="64">
        <f t="shared" si="34"/>
        <v>62</v>
      </c>
      <c r="AS34" s="323">
        <f t="shared" si="41"/>
        <v>1860</v>
      </c>
      <c r="AT34" s="323">
        <f t="shared" si="50"/>
        <v>5550</v>
      </c>
      <c r="AU34" s="323">
        <f t="shared" si="43"/>
        <v>0</v>
      </c>
      <c r="AV34" s="271"/>
      <c r="AW34" s="271"/>
      <c r="AX34" s="316">
        <f t="shared" si="35"/>
        <v>0.8</v>
      </c>
    </row>
    <row r="35" spans="1:50">
      <c r="A35" s="63">
        <f>ELEC!C33</f>
        <v>44196</v>
      </c>
      <c r="B35" s="64">
        <f t="shared" si="8"/>
        <v>233</v>
      </c>
      <c r="C35" s="64">
        <f t="shared" si="9"/>
        <v>239</v>
      </c>
      <c r="D35" s="45">
        <f t="shared" ref="D35" si="54">C34-C35</f>
        <v>0</v>
      </c>
      <c r="E35" s="45">
        <f t="shared" ref="E35" si="55">D35*8.38</f>
        <v>0</v>
      </c>
      <c r="F35" s="64">
        <f t="shared" si="11"/>
        <v>1660</v>
      </c>
      <c r="G35" s="52">
        <f t="shared" ref="G35" si="56">F35-F34</f>
        <v>0</v>
      </c>
      <c r="H35" s="64">
        <f t="shared" si="12"/>
        <v>357869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4"/>
        <v>2154</v>
      </c>
      <c r="L35" s="52">
        <f t="shared" si="15"/>
        <v>0</v>
      </c>
      <c r="M35" s="64">
        <f t="shared" si="16"/>
        <v>158183</v>
      </c>
      <c r="N35" s="399">
        <f t="shared" si="2"/>
        <v>0</v>
      </c>
      <c r="O35" s="64">
        <f t="shared" si="17"/>
        <v>1869</v>
      </c>
      <c r="P35" s="64">
        <f t="shared" si="45"/>
        <v>1895</v>
      </c>
      <c r="Q35" s="64">
        <f t="shared" si="46"/>
        <v>160917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21"/>
        <v>2449</v>
      </c>
      <c r="Y35" s="52">
        <f t="shared" ref="Y35" si="64">X35-X34</f>
        <v>0</v>
      </c>
      <c r="Z35" s="64">
        <f t="shared" si="23"/>
        <v>137586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4"/>
        <v>1933</v>
      </c>
      <c r="AD35" s="45">
        <f t="shared" ref="AD35" si="67">AC35-AC34</f>
        <v>0</v>
      </c>
      <c r="AE35" s="596">
        <f t="shared" si="25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7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30"/>
        <v>68</v>
      </c>
      <c r="AO35" s="323">
        <f t="shared" ref="AO35" si="72">(AN35/100)*3000</f>
        <v>2040.0000000000002</v>
      </c>
      <c r="AP35" s="64">
        <f t="shared" si="32"/>
        <v>55</v>
      </c>
      <c r="AQ35" s="323">
        <f t="shared" ref="AQ35" si="73">(AP35/100)*3000</f>
        <v>1650.0000000000002</v>
      </c>
      <c r="AR35" s="64">
        <f t="shared" si="34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1</v>
      </c>
      <c r="V36" s="62">
        <f>SUM(V5:V35)</f>
        <v>141</v>
      </c>
      <c r="AE36" s="71" t="s">
        <v>385</v>
      </c>
      <c r="AG36" s="347"/>
      <c r="AH36" s="62">
        <f>SUM(AH5:AH35)</f>
        <v>0</v>
      </c>
      <c r="AL36" s="62">
        <f>SUM(AL5:AL35)</f>
        <v>2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141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4" activePane="bottomLeft" state="frozen"/>
      <selection pane="bottomLeft" activeCell="BB6" sqref="BB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9189090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20" t="s">
        <v>126</v>
      </c>
      <c r="AO3" s="621"/>
      <c r="AP3" s="62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0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149422</v>
      </c>
      <c r="Y6" s="327">
        <f>SUM(X6-X5)</f>
        <v>150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150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149422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f t="shared" ref="AV7:AV36" si="33">AV6</f>
        <v>129</v>
      </c>
      <c r="AW7" s="5">
        <v>2.9</v>
      </c>
      <c r="AX7" s="202">
        <f t="shared" ref="AX7:AX36" si="34">AX6</f>
        <v>147</v>
      </c>
      <c r="AY7" s="432">
        <f t="shared" si="7"/>
        <v>0</v>
      </c>
      <c r="AZ7" s="432">
        <f t="shared" ref="AZ7:AZ35" si="35">AU7*AV7</f>
        <v>141.9</v>
      </c>
      <c r="BA7" s="432">
        <f t="shared" ref="BA7:BA35" si="36">AW7*AX7</f>
        <v>426.3</v>
      </c>
      <c r="BB7" s="21">
        <f t="shared" ref="BB7:BD35" si="37">AY7-AY6</f>
        <v>0</v>
      </c>
      <c r="BC7" s="21">
        <f t="shared" ref="BC7:BD21" si="38">AZ7-AZ6</f>
        <v>0</v>
      </c>
      <c r="BD7" s="21">
        <f t="shared" si="38"/>
        <v>0</v>
      </c>
      <c r="BE7" s="24">
        <f t="shared" ref="BE7:BE35" si="39">SUM(BB7:BD7)</f>
        <v>0</v>
      </c>
      <c r="BF7" s="96">
        <f t="shared" si="8"/>
        <v>0</v>
      </c>
      <c r="BG7" s="82">
        <f t="shared" si="9"/>
        <v>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 t="shared" si="13"/>
        <v>612606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149422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40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41">SUM(Y8-L8)</f>
        <v>0</v>
      </c>
      <c r="AL8" s="330">
        <f t="shared" si="31"/>
        <v>0</v>
      </c>
      <c r="AM8" s="330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f t="shared" si="6"/>
        <v>0</v>
      </c>
      <c r="AU8" s="429">
        <v>1.1000000000000001</v>
      </c>
      <c r="AV8" s="202">
        <f t="shared" si="33"/>
        <v>129</v>
      </c>
      <c r="AW8" s="5">
        <v>2.9</v>
      </c>
      <c r="AX8" s="202">
        <f t="shared" si="34"/>
        <v>147</v>
      </c>
      <c r="AY8" s="432">
        <f t="shared" si="7"/>
        <v>0</v>
      </c>
      <c r="AZ8" s="432">
        <f t="shared" si="35"/>
        <v>141.9</v>
      </c>
      <c r="BA8" s="432">
        <f t="shared" si="36"/>
        <v>426.3</v>
      </c>
      <c r="BB8" s="21">
        <f t="shared" si="37"/>
        <v>0</v>
      </c>
      <c r="BC8" s="21">
        <f t="shared" si="38"/>
        <v>0</v>
      </c>
      <c r="BD8" s="21">
        <f t="shared" si="38"/>
        <v>0</v>
      </c>
      <c r="BE8" s="24">
        <f t="shared" si="39"/>
        <v>0</v>
      </c>
      <c r="BF8" s="96">
        <f t="shared" si="8"/>
        <v>0</v>
      </c>
      <c r="BG8" s="82">
        <f t="shared" si="9"/>
        <v>0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612606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6702</v>
      </c>
      <c r="L9" s="83">
        <f t="shared" ref="L9:L35" si="42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5160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149422</v>
      </c>
      <c r="Y9" s="327">
        <f t="shared" ref="Y9:Y35" si="43">SUM(X9-X8)</f>
        <v>0</v>
      </c>
      <c r="Z9" s="5">
        <f t="shared" si="21"/>
        <v>97754</v>
      </c>
      <c r="AA9" s="83">
        <f t="shared" si="22"/>
        <v>0</v>
      </c>
      <c r="AB9" s="5">
        <f t="shared" si="23"/>
        <v>262</v>
      </c>
      <c r="AC9" s="5">
        <f t="shared" si="24"/>
        <v>730</v>
      </c>
      <c r="AD9" s="83">
        <f t="shared" si="40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41"/>
        <v>0</v>
      </c>
      <c r="AL9" s="330">
        <f t="shared" si="31"/>
        <v>0</v>
      </c>
      <c r="AM9" s="330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f t="shared" si="6"/>
        <v>0</v>
      </c>
      <c r="AU9" s="429">
        <f t="shared" ref="AU9:AU36" si="44">AU8</f>
        <v>1.1000000000000001</v>
      </c>
      <c r="AV9" s="202">
        <f t="shared" si="33"/>
        <v>129</v>
      </c>
      <c r="AW9" s="5">
        <v>2.9</v>
      </c>
      <c r="AX9" s="202">
        <f t="shared" si="34"/>
        <v>147</v>
      </c>
      <c r="AY9" s="432">
        <f t="shared" si="7"/>
        <v>0</v>
      </c>
      <c r="AZ9" s="432">
        <f t="shared" si="35"/>
        <v>141.9</v>
      </c>
      <c r="BA9" s="432">
        <f t="shared" si="36"/>
        <v>426.3</v>
      </c>
      <c r="BB9" s="21">
        <f t="shared" si="37"/>
        <v>0</v>
      </c>
      <c r="BC9" s="21">
        <f t="shared" si="38"/>
        <v>0</v>
      </c>
      <c r="BD9" s="21">
        <f t="shared" si="38"/>
        <v>0</v>
      </c>
      <c r="BE9" s="24">
        <f t="shared" si="39"/>
        <v>0</v>
      </c>
      <c r="BF9" s="348">
        <f t="shared" si="8"/>
        <v>0</v>
      </c>
      <c r="BG9" s="82">
        <f t="shared" si="9"/>
        <v>0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13"/>
        <v>612606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6702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5160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149422</v>
      </c>
      <c r="Y10" s="327">
        <f t="shared" si="43"/>
        <v>0</v>
      </c>
      <c r="Z10" s="5">
        <f t="shared" si="21"/>
        <v>97754</v>
      </c>
      <c r="AA10" s="83">
        <f t="shared" si="22"/>
        <v>0</v>
      </c>
      <c r="AB10" s="5">
        <f t="shared" si="23"/>
        <v>262</v>
      </c>
      <c r="AC10" s="5">
        <f t="shared" si="24"/>
        <v>730</v>
      </c>
      <c r="AD10" s="83">
        <f t="shared" si="40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41"/>
        <v>0</v>
      </c>
      <c r="AL10" s="330">
        <f t="shared" si="31"/>
        <v>0</v>
      </c>
      <c r="AM10" s="330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f t="shared" si="6"/>
        <v>0</v>
      </c>
      <c r="AU10" s="429">
        <f t="shared" si="44"/>
        <v>1.1000000000000001</v>
      </c>
      <c r="AV10" s="202">
        <f t="shared" si="33"/>
        <v>129</v>
      </c>
      <c r="AW10" s="5">
        <v>2.9</v>
      </c>
      <c r="AX10" s="202">
        <f t="shared" si="34"/>
        <v>147</v>
      </c>
      <c r="AY10" s="432">
        <f t="shared" si="7"/>
        <v>0</v>
      </c>
      <c r="AZ10" s="432">
        <f t="shared" si="35"/>
        <v>141.9</v>
      </c>
      <c r="BA10" s="432">
        <f t="shared" si="36"/>
        <v>426.3</v>
      </c>
      <c r="BB10" s="21">
        <f t="shared" si="37"/>
        <v>0</v>
      </c>
      <c r="BC10" s="21">
        <f t="shared" si="38"/>
        <v>0</v>
      </c>
      <c r="BD10" s="21">
        <f t="shared" si="38"/>
        <v>0</v>
      </c>
      <c r="BE10" s="24">
        <f t="shared" si="39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612606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6702</v>
      </c>
      <c r="L11" s="83">
        <f t="shared" si="42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5160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149422</v>
      </c>
      <c r="Y11" s="327">
        <f t="shared" si="43"/>
        <v>0</v>
      </c>
      <c r="Z11" s="5">
        <f t="shared" si="21"/>
        <v>97754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40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41"/>
        <v>0</v>
      </c>
      <c r="AL11" s="330">
        <f t="shared" si="31"/>
        <v>0</v>
      </c>
      <c r="AM11" s="330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f t="shared" si="6"/>
        <v>0</v>
      </c>
      <c r="AU11" s="429">
        <f t="shared" si="44"/>
        <v>1.1000000000000001</v>
      </c>
      <c r="AV11" s="202">
        <f t="shared" si="33"/>
        <v>129</v>
      </c>
      <c r="AW11" s="5">
        <v>2.9</v>
      </c>
      <c r="AX11" s="202">
        <f t="shared" si="34"/>
        <v>147</v>
      </c>
      <c r="AY11" s="432">
        <f t="shared" si="7"/>
        <v>0</v>
      </c>
      <c r="AZ11" s="432">
        <f t="shared" si="35"/>
        <v>141.9</v>
      </c>
      <c r="BA11" s="432">
        <f t="shared" si="36"/>
        <v>426.3</v>
      </c>
      <c r="BB11" s="21">
        <f t="shared" si="37"/>
        <v>0</v>
      </c>
      <c r="BC11" s="21">
        <f t="shared" si="38"/>
        <v>0</v>
      </c>
      <c r="BD11" s="21">
        <f t="shared" si="38"/>
        <v>0</v>
      </c>
      <c r="BE11" s="24">
        <f t="shared" si="39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13"/>
        <v>612606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6702</v>
      </c>
      <c r="L12" s="83">
        <f t="shared" si="42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5160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149422</v>
      </c>
      <c r="Y12" s="327">
        <f t="shared" si="43"/>
        <v>0</v>
      </c>
      <c r="Z12" s="5">
        <f t="shared" si="21"/>
        <v>97754</v>
      </c>
      <c r="AA12" s="83">
        <f t="shared" si="22"/>
        <v>0</v>
      </c>
      <c r="AB12" s="5">
        <f t="shared" si="23"/>
        <v>262</v>
      </c>
      <c r="AC12" s="5">
        <f t="shared" si="24"/>
        <v>730</v>
      </c>
      <c r="AD12" s="83">
        <f t="shared" si="40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41"/>
        <v>0</v>
      </c>
      <c r="AL12" s="330">
        <f t="shared" si="31"/>
        <v>0</v>
      </c>
      <c r="AM12" s="330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f t="shared" si="6"/>
        <v>0</v>
      </c>
      <c r="AU12" s="429">
        <f t="shared" si="44"/>
        <v>1.1000000000000001</v>
      </c>
      <c r="AV12" s="202">
        <f t="shared" si="33"/>
        <v>129</v>
      </c>
      <c r="AW12" s="5">
        <v>2.9</v>
      </c>
      <c r="AX12" s="202">
        <f t="shared" si="34"/>
        <v>147</v>
      </c>
      <c r="AY12" s="432">
        <f t="shared" si="7"/>
        <v>0</v>
      </c>
      <c r="AZ12" s="432">
        <f t="shared" si="35"/>
        <v>141.9</v>
      </c>
      <c r="BA12" s="432">
        <f t="shared" si="36"/>
        <v>426.3</v>
      </c>
      <c r="BB12" s="21">
        <f t="shared" si="37"/>
        <v>0</v>
      </c>
      <c r="BC12" s="21">
        <f t="shared" si="38"/>
        <v>0</v>
      </c>
      <c r="BD12" s="21">
        <f t="shared" si="38"/>
        <v>0</v>
      </c>
      <c r="BE12" s="24">
        <f t="shared" si="39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612606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6702</v>
      </c>
      <c r="L13" s="83">
        <f t="shared" si="42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5160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149422</v>
      </c>
      <c r="Y13" s="327">
        <f t="shared" si="43"/>
        <v>0</v>
      </c>
      <c r="Z13" s="5">
        <f t="shared" si="21"/>
        <v>97754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40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41"/>
        <v>0</v>
      </c>
      <c r="AL13" s="330">
        <f t="shared" si="31"/>
        <v>0</v>
      </c>
      <c r="AM13" s="330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0</v>
      </c>
      <c r="AU13" s="429">
        <f t="shared" si="44"/>
        <v>1.1000000000000001</v>
      </c>
      <c r="AV13" s="202">
        <f t="shared" si="33"/>
        <v>129</v>
      </c>
      <c r="AW13" s="5">
        <v>2.9</v>
      </c>
      <c r="AX13" s="202">
        <f t="shared" si="34"/>
        <v>147</v>
      </c>
      <c r="AY13" s="432">
        <f t="shared" si="7"/>
        <v>0</v>
      </c>
      <c r="AZ13" s="432">
        <f t="shared" si="35"/>
        <v>141.9</v>
      </c>
      <c r="BA13" s="432">
        <f t="shared" si="36"/>
        <v>426.3</v>
      </c>
      <c r="BB13" s="21">
        <f t="shared" si="37"/>
        <v>0</v>
      </c>
      <c r="BC13" s="21">
        <f t="shared" si="38"/>
        <v>0</v>
      </c>
      <c r="BD13" s="21">
        <f t="shared" si="38"/>
        <v>0</v>
      </c>
      <c r="BE13" s="24">
        <f t="shared" si="39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13"/>
        <v>612606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6702</v>
      </c>
      <c r="L14" s="83">
        <f t="shared" si="42"/>
        <v>0</v>
      </c>
      <c r="M14" s="414">
        <f t="shared" si="15"/>
        <v>457.44</v>
      </c>
      <c r="N14" s="521">
        <f t="shared" ref="N14:N35" si="45">SUM(M14-M13)</f>
        <v>0</v>
      </c>
      <c r="O14" s="414">
        <f t="shared" si="16"/>
        <v>529.52</v>
      </c>
      <c r="P14" s="521">
        <f t="shared" ref="P14:P35" si="46">SUM(O14-O13)</f>
        <v>0</v>
      </c>
      <c r="Q14" s="521">
        <f t="shared" ref="Q14:Q35" si="47">SUM(P14+N14)</f>
        <v>0</v>
      </c>
      <c r="R14" s="521"/>
      <c r="S14" s="521"/>
      <c r="T14" s="5">
        <f t="shared" si="17"/>
        <v>5160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149422</v>
      </c>
      <c r="Y14" s="327">
        <f t="shared" si="43"/>
        <v>0</v>
      </c>
      <c r="Z14" s="5">
        <f t="shared" si="21"/>
        <v>97754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40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41"/>
        <v>0</v>
      </c>
      <c r="AL14" s="330">
        <f t="shared" si="31"/>
        <v>0</v>
      </c>
      <c r="AM14" s="330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f t="shared" si="6"/>
        <v>0</v>
      </c>
      <c r="AU14" s="429">
        <f t="shared" si="44"/>
        <v>1.1000000000000001</v>
      </c>
      <c r="AV14" s="202">
        <f t="shared" si="33"/>
        <v>129</v>
      </c>
      <c r="AW14" s="5">
        <v>2.9</v>
      </c>
      <c r="AX14" s="202">
        <f t="shared" si="34"/>
        <v>147</v>
      </c>
      <c r="AY14" s="432">
        <f t="shared" si="7"/>
        <v>0</v>
      </c>
      <c r="AZ14" s="432">
        <f t="shared" si="35"/>
        <v>141.9</v>
      </c>
      <c r="BA14" s="432">
        <f t="shared" si="36"/>
        <v>426.3</v>
      </c>
      <c r="BB14" s="21">
        <f t="shared" si="37"/>
        <v>0</v>
      </c>
      <c r="BC14" s="21">
        <f t="shared" si="38"/>
        <v>0</v>
      </c>
      <c r="BD14" s="21">
        <f t="shared" si="38"/>
        <v>0</v>
      </c>
      <c r="BE14" s="24">
        <f t="shared" si="39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612606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6702</v>
      </c>
      <c r="L15" s="83">
        <f t="shared" si="42"/>
        <v>0</v>
      </c>
      <c r="M15" s="414">
        <f t="shared" si="15"/>
        <v>457.44</v>
      </c>
      <c r="N15" s="521">
        <f t="shared" si="45"/>
        <v>0</v>
      </c>
      <c r="O15" s="414">
        <f t="shared" si="16"/>
        <v>529.52</v>
      </c>
      <c r="P15" s="521">
        <f t="shared" si="46"/>
        <v>0</v>
      </c>
      <c r="Q15" s="521">
        <f t="shared" si="47"/>
        <v>0</v>
      </c>
      <c r="R15" s="521"/>
      <c r="S15" s="521"/>
      <c r="T15" s="5">
        <f t="shared" si="17"/>
        <v>5160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149422</v>
      </c>
      <c r="Y15" s="327">
        <f t="shared" si="43"/>
        <v>0</v>
      </c>
      <c r="Z15" s="5">
        <f t="shared" si="21"/>
        <v>97754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40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41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f t="shared" si="6"/>
        <v>0</v>
      </c>
      <c r="AU15" s="429">
        <f t="shared" si="44"/>
        <v>1.1000000000000001</v>
      </c>
      <c r="AV15" s="202">
        <f t="shared" si="33"/>
        <v>129</v>
      </c>
      <c r="AW15" s="5">
        <v>2.9</v>
      </c>
      <c r="AX15" s="202">
        <f t="shared" si="34"/>
        <v>147</v>
      </c>
      <c r="AY15" s="432">
        <f t="shared" si="7"/>
        <v>0</v>
      </c>
      <c r="AZ15" s="432">
        <f t="shared" si="35"/>
        <v>141.9</v>
      </c>
      <c r="BA15" s="432">
        <f t="shared" si="36"/>
        <v>426.3</v>
      </c>
      <c r="BB15" s="21">
        <f t="shared" si="37"/>
        <v>0</v>
      </c>
      <c r="BC15" s="21">
        <f t="shared" si="38"/>
        <v>0</v>
      </c>
      <c r="BD15" s="21">
        <f t="shared" si="38"/>
        <v>0</v>
      </c>
      <c r="BE15" s="24">
        <f t="shared" si="39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13"/>
        <v>612606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6702</v>
      </c>
      <c r="L16" s="276">
        <f t="shared" si="42"/>
        <v>0</v>
      </c>
      <c r="M16" s="414">
        <f t="shared" si="15"/>
        <v>457.44</v>
      </c>
      <c r="N16" s="521">
        <f t="shared" si="45"/>
        <v>0</v>
      </c>
      <c r="O16" s="414">
        <f t="shared" si="16"/>
        <v>529.52</v>
      </c>
      <c r="P16" s="521">
        <f t="shared" si="46"/>
        <v>0</v>
      </c>
      <c r="Q16" s="521">
        <f t="shared" si="47"/>
        <v>0</v>
      </c>
      <c r="R16" s="523"/>
      <c r="S16" s="523"/>
      <c r="T16" s="5">
        <f t="shared" si="17"/>
        <v>5160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149422</v>
      </c>
      <c r="Y16" s="327">
        <f t="shared" si="43"/>
        <v>0</v>
      </c>
      <c r="Z16" s="5">
        <f t="shared" si="21"/>
        <v>97754</v>
      </c>
      <c r="AA16" s="83">
        <f t="shared" si="22"/>
        <v>0</v>
      </c>
      <c r="AB16" s="5">
        <f t="shared" si="23"/>
        <v>262</v>
      </c>
      <c r="AC16" s="5">
        <f t="shared" si="24"/>
        <v>730</v>
      </c>
      <c r="AD16" s="83">
        <f t="shared" si="40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41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f t="shared" si="6"/>
        <v>0</v>
      </c>
      <c r="AU16" s="429">
        <f t="shared" si="44"/>
        <v>1.1000000000000001</v>
      </c>
      <c r="AV16" s="202">
        <f t="shared" si="33"/>
        <v>129</v>
      </c>
      <c r="AW16" s="5">
        <v>2.9</v>
      </c>
      <c r="AX16" s="202">
        <f t="shared" si="34"/>
        <v>147</v>
      </c>
      <c r="AY16" s="432">
        <f t="shared" si="7"/>
        <v>0</v>
      </c>
      <c r="AZ16" s="432">
        <f t="shared" si="35"/>
        <v>141.9</v>
      </c>
      <c r="BA16" s="432">
        <f t="shared" si="36"/>
        <v>426.3</v>
      </c>
      <c r="BB16" s="21">
        <f t="shared" si="37"/>
        <v>0</v>
      </c>
      <c r="BC16" s="21">
        <f t="shared" si="38"/>
        <v>0</v>
      </c>
      <c r="BD16" s="21">
        <f t="shared" si="38"/>
        <v>0</v>
      </c>
      <c r="BE16" s="24">
        <f t="shared" si="39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612606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6702</v>
      </c>
      <c r="L17" s="83">
        <f t="shared" si="42"/>
        <v>0</v>
      </c>
      <c r="M17" s="414">
        <f t="shared" si="15"/>
        <v>457.44</v>
      </c>
      <c r="N17" s="521">
        <f t="shared" si="45"/>
        <v>0</v>
      </c>
      <c r="O17" s="414">
        <f t="shared" si="16"/>
        <v>529.52</v>
      </c>
      <c r="P17" s="521">
        <f t="shared" si="46"/>
        <v>0</v>
      </c>
      <c r="Q17" s="521">
        <f t="shared" si="47"/>
        <v>0</v>
      </c>
      <c r="R17" s="521"/>
      <c r="S17" s="521"/>
      <c r="T17" s="5">
        <f t="shared" si="17"/>
        <v>5160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f t="shared" si="20"/>
        <v>149422</v>
      </c>
      <c r="Y17" s="327">
        <f t="shared" si="43"/>
        <v>0</v>
      </c>
      <c r="Z17" s="5">
        <f t="shared" si="21"/>
        <v>97754</v>
      </c>
      <c r="AA17" s="83">
        <f t="shared" si="22"/>
        <v>0</v>
      </c>
      <c r="AB17" s="5">
        <f t="shared" si="23"/>
        <v>262</v>
      </c>
      <c r="AC17" s="5">
        <f t="shared" si="24"/>
        <v>730</v>
      </c>
      <c r="AD17" s="83">
        <f t="shared" si="40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f t="shared" si="6"/>
        <v>0</v>
      </c>
      <c r="AU17" s="429">
        <f t="shared" si="44"/>
        <v>1.1000000000000001</v>
      </c>
      <c r="AV17" s="202">
        <f t="shared" si="33"/>
        <v>129</v>
      </c>
      <c r="AW17" s="5">
        <v>2.9</v>
      </c>
      <c r="AX17" s="202">
        <f t="shared" si="34"/>
        <v>147</v>
      </c>
      <c r="AY17" s="432">
        <f t="shared" si="7"/>
        <v>0</v>
      </c>
      <c r="AZ17" s="432">
        <f t="shared" si="35"/>
        <v>141.9</v>
      </c>
      <c r="BA17" s="432">
        <f t="shared" si="36"/>
        <v>426.3</v>
      </c>
      <c r="BB17" s="21">
        <f t="shared" si="37"/>
        <v>0</v>
      </c>
      <c r="BC17" s="21">
        <f t="shared" si="38"/>
        <v>0</v>
      </c>
      <c r="BD17" s="21">
        <f t="shared" si="38"/>
        <v>0</v>
      </c>
      <c r="BE17" s="24">
        <f t="shared" si="39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13"/>
        <v>612606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6702</v>
      </c>
      <c r="L18" s="83">
        <f t="shared" si="42"/>
        <v>0</v>
      </c>
      <c r="M18" s="414">
        <f t="shared" si="15"/>
        <v>457.44</v>
      </c>
      <c r="N18" s="521">
        <f t="shared" si="45"/>
        <v>0</v>
      </c>
      <c r="O18" s="414">
        <f t="shared" si="16"/>
        <v>529.52</v>
      </c>
      <c r="P18" s="521">
        <f t="shared" si="46"/>
        <v>0</v>
      </c>
      <c r="Q18" s="521">
        <f t="shared" si="47"/>
        <v>0</v>
      </c>
      <c r="R18" s="521"/>
      <c r="S18" s="521"/>
      <c r="T18" s="5">
        <f t="shared" si="17"/>
        <v>5160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149422</v>
      </c>
      <c r="Y18" s="327">
        <f t="shared" si="43"/>
        <v>0</v>
      </c>
      <c r="Z18" s="5">
        <f t="shared" si="21"/>
        <v>97754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40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41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f t="shared" si="6"/>
        <v>0</v>
      </c>
      <c r="AU18" s="429">
        <f t="shared" si="44"/>
        <v>1.1000000000000001</v>
      </c>
      <c r="AV18" s="202">
        <f t="shared" si="33"/>
        <v>129</v>
      </c>
      <c r="AW18" s="5">
        <v>2.9</v>
      </c>
      <c r="AX18" s="202">
        <f t="shared" si="34"/>
        <v>147</v>
      </c>
      <c r="AY18" s="432">
        <f t="shared" si="7"/>
        <v>0</v>
      </c>
      <c r="AZ18" s="432">
        <f t="shared" si="35"/>
        <v>141.9</v>
      </c>
      <c r="BA18" s="432">
        <f t="shared" si="36"/>
        <v>426.3</v>
      </c>
      <c r="BB18" s="21">
        <f t="shared" si="37"/>
        <v>0</v>
      </c>
      <c r="BC18" s="21">
        <f t="shared" si="38"/>
        <v>0</v>
      </c>
      <c r="BD18" s="21">
        <f t="shared" si="38"/>
        <v>0</v>
      </c>
      <c r="BE18" s="24">
        <f t="shared" si="39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612606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6702</v>
      </c>
      <c r="L19" s="83">
        <f t="shared" si="42"/>
        <v>0</v>
      </c>
      <c r="M19" s="414">
        <f t="shared" si="15"/>
        <v>457.44</v>
      </c>
      <c r="N19" s="521">
        <f t="shared" si="45"/>
        <v>0</v>
      </c>
      <c r="O19" s="414">
        <f t="shared" si="16"/>
        <v>529.52</v>
      </c>
      <c r="P19" s="521">
        <f t="shared" si="46"/>
        <v>0</v>
      </c>
      <c r="Q19" s="521">
        <f t="shared" si="47"/>
        <v>0</v>
      </c>
      <c r="R19" s="521"/>
      <c r="S19" s="521"/>
      <c r="T19" s="5">
        <f t="shared" si="17"/>
        <v>5160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149422</v>
      </c>
      <c r="Y19" s="327">
        <f t="shared" si="43"/>
        <v>0</v>
      </c>
      <c r="Z19" s="5">
        <f t="shared" si="21"/>
        <v>97754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40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41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0</v>
      </c>
      <c r="AU19" s="429">
        <f t="shared" si="44"/>
        <v>1.1000000000000001</v>
      </c>
      <c r="AV19" s="202">
        <f t="shared" si="33"/>
        <v>129</v>
      </c>
      <c r="AW19" s="5">
        <v>2.9</v>
      </c>
      <c r="AX19" s="202">
        <f t="shared" si="34"/>
        <v>147</v>
      </c>
      <c r="AY19" s="432">
        <f t="shared" ref="AY19:AY21" si="48">AS19*AT19</f>
        <v>0</v>
      </c>
      <c r="AZ19" s="432">
        <f t="shared" ref="AZ19:AZ21" si="49">AU19*AV19</f>
        <v>141.9</v>
      </c>
      <c r="BA19" s="432">
        <f t="shared" ref="BA19:BA21" si="50">AW19*AX19</f>
        <v>426.3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612606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6702</v>
      </c>
      <c r="L20" s="83">
        <f t="shared" si="42"/>
        <v>0</v>
      </c>
      <c r="M20" s="414">
        <f t="shared" si="15"/>
        <v>457.44</v>
      </c>
      <c r="N20" s="521">
        <f t="shared" si="45"/>
        <v>0</v>
      </c>
      <c r="O20" s="414">
        <f t="shared" si="16"/>
        <v>529.52</v>
      </c>
      <c r="P20" s="521">
        <f t="shared" si="46"/>
        <v>0</v>
      </c>
      <c r="Q20" s="521">
        <f t="shared" si="47"/>
        <v>0</v>
      </c>
      <c r="R20" s="521"/>
      <c r="S20" s="521"/>
      <c r="T20" s="5">
        <f t="shared" si="17"/>
        <v>5160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f t="shared" si="20"/>
        <v>149422</v>
      </c>
      <c r="Y20" s="327">
        <f t="shared" si="43"/>
        <v>0</v>
      </c>
      <c r="Z20" s="5">
        <f t="shared" si="21"/>
        <v>97754</v>
      </c>
      <c r="AA20" s="83">
        <f t="shared" si="22"/>
        <v>0</v>
      </c>
      <c r="AB20" s="5">
        <f t="shared" si="23"/>
        <v>262</v>
      </c>
      <c r="AC20" s="5">
        <f t="shared" si="24"/>
        <v>730</v>
      </c>
      <c r="AD20" s="83">
        <f t="shared" si="40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41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f t="shared" si="6"/>
        <v>0</v>
      </c>
      <c r="AU20" s="429">
        <f t="shared" si="44"/>
        <v>1.1000000000000001</v>
      </c>
      <c r="AV20" s="202">
        <f t="shared" si="33"/>
        <v>129</v>
      </c>
      <c r="AW20" s="5">
        <v>2.9</v>
      </c>
      <c r="AX20" s="202">
        <f t="shared" si="34"/>
        <v>147</v>
      </c>
      <c r="AY20" s="432">
        <f t="shared" si="48"/>
        <v>0</v>
      </c>
      <c r="AZ20" s="432">
        <f t="shared" si="49"/>
        <v>141.9</v>
      </c>
      <c r="BA20" s="432">
        <f t="shared" si="50"/>
        <v>426.3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612606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6702</v>
      </c>
      <c r="L21" s="83">
        <f t="shared" si="42"/>
        <v>0</v>
      </c>
      <c r="M21" s="414">
        <f t="shared" si="15"/>
        <v>457.44</v>
      </c>
      <c r="N21" s="521">
        <f t="shared" si="45"/>
        <v>0</v>
      </c>
      <c r="O21" s="414">
        <f t="shared" si="16"/>
        <v>529.52</v>
      </c>
      <c r="P21" s="521">
        <f t="shared" si="46"/>
        <v>0</v>
      </c>
      <c r="Q21" s="521">
        <f t="shared" si="47"/>
        <v>0</v>
      </c>
      <c r="R21" s="521"/>
      <c r="S21" s="521"/>
      <c r="T21" s="5">
        <f t="shared" si="17"/>
        <v>5160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149422</v>
      </c>
      <c r="Y21" s="327">
        <f>SUM(X21-X20)</f>
        <v>0</v>
      </c>
      <c r="Z21" s="5">
        <f t="shared" si="21"/>
        <v>97754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40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f t="shared" si="6"/>
        <v>0</v>
      </c>
      <c r="AU21" s="429">
        <f t="shared" si="44"/>
        <v>1.1000000000000001</v>
      </c>
      <c r="AV21" s="202">
        <f t="shared" si="33"/>
        <v>129</v>
      </c>
      <c r="AW21" s="5">
        <v>2.9</v>
      </c>
      <c r="AX21" s="202">
        <f t="shared" si="34"/>
        <v>147</v>
      </c>
      <c r="AY21" s="432">
        <f t="shared" si="48"/>
        <v>0</v>
      </c>
      <c r="AZ21" s="432">
        <f t="shared" si="49"/>
        <v>141.9</v>
      </c>
      <c r="BA21" s="432">
        <f t="shared" si="50"/>
        <v>426.3</v>
      </c>
      <c r="BB21" s="21">
        <f t="shared" si="37"/>
        <v>0</v>
      </c>
      <c r="BC21" s="21">
        <f t="shared" si="38"/>
        <v>0</v>
      </c>
      <c r="BD21" s="21">
        <f t="shared" si="38"/>
        <v>0</v>
      </c>
      <c r="BE21" s="24">
        <f t="shared" si="39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13"/>
        <v>612606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6702</v>
      </c>
      <c r="L22" s="83">
        <f t="shared" si="42"/>
        <v>0</v>
      </c>
      <c r="M22" s="414">
        <f t="shared" si="15"/>
        <v>457.44</v>
      </c>
      <c r="N22" s="521">
        <f t="shared" si="45"/>
        <v>0</v>
      </c>
      <c r="O22" s="414">
        <f t="shared" si="16"/>
        <v>529.52</v>
      </c>
      <c r="P22" s="521">
        <f t="shared" si="46"/>
        <v>0</v>
      </c>
      <c r="Q22" s="521">
        <f t="shared" si="47"/>
        <v>0</v>
      </c>
      <c r="R22" s="521"/>
      <c r="S22" s="521"/>
      <c r="T22" s="5">
        <f t="shared" si="17"/>
        <v>5160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149422</v>
      </c>
      <c r="Y22" s="327">
        <f t="shared" si="43"/>
        <v>0</v>
      </c>
      <c r="Z22" s="5">
        <f t="shared" si="21"/>
        <v>97754</v>
      </c>
      <c r="AA22" s="83">
        <f t="shared" si="22"/>
        <v>0</v>
      </c>
      <c r="AB22" s="5">
        <f t="shared" si="23"/>
        <v>262</v>
      </c>
      <c r="AC22" s="5">
        <f t="shared" si="24"/>
        <v>730</v>
      </c>
      <c r="AD22" s="83">
        <f t="shared" si="40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41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5">AS21</f>
        <v>0.9</v>
      </c>
      <c r="AT22" s="202">
        <f t="shared" si="55"/>
        <v>0</v>
      </c>
      <c r="AU22" s="429">
        <f t="shared" si="44"/>
        <v>1.1000000000000001</v>
      </c>
      <c r="AV22" s="202">
        <f t="shared" si="33"/>
        <v>129</v>
      </c>
      <c r="AW22" s="5">
        <v>2.9</v>
      </c>
      <c r="AX22" s="202">
        <f t="shared" si="34"/>
        <v>147</v>
      </c>
      <c r="AY22" s="432">
        <f t="shared" si="7"/>
        <v>0</v>
      </c>
      <c r="AZ22" s="432">
        <f t="shared" si="35"/>
        <v>141.9</v>
      </c>
      <c r="BA22" s="432">
        <f t="shared" si="36"/>
        <v>426.3</v>
      </c>
      <c r="BB22" s="21">
        <f>AY22-AY21</f>
        <v>0</v>
      </c>
      <c r="BC22" s="21">
        <f t="shared" si="37"/>
        <v>0</v>
      </c>
      <c r="BD22" s="21">
        <f t="shared" si="37"/>
        <v>0</v>
      </c>
      <c r="BE22" s="24">
        <f t="shared" si="39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612606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6702</v>
      </c>
      <c r="L23" s="276">
        <f t="shared" si="42"/>
        <v>0</v>
      </c>
      <c r="M23" s="414">
        <f t="shared" si="15"/>
        <v>457.44</v>
      </c>
      <c r="N23" s="521">
        <f t="shared" si="45"/>
        <v>0</v>
      </c>
      <c r="O23" s="414">
        <f t="shared" si="16"/>
        <v>529.52</v>
      </c>
      <c r="P23" s="521">
        <f t="shared" si="46"/>
        <v>0</v>
      </c>
      <c r="Q23" s="521">
        <f t="shared" si="47"/>
        <v>0</v>
      </c>
      <c r="R23" s="523"/>
      <c r="S23" s="523"/>
      <c r="T23" s="5">
        <f t="shared" si="17"/>
        <v>5160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149422</v>
      </c>
      <c r="Y23" s="327">
        <f t="shared" si="43"/>
        <v>0</v>
      </c>
      <c r="Z23" s="5">
        <f t="shared" si="21"/>
        <v>97754</v>
      </c>
      <c r="AA23" s="83">
        <f t="shared" si="22"/>
        <v>0</v>
      </c>
      <c r="AB23" s="5">
        <f t="shared" si="23"/>
        <v>262</v>
      </c>
      <c r="AC23" s="5">
        <f t="shared" si="24"/>
        <v>730</v>
      </c>
      <c r="AD23" s="83">
        <f t="shared" si="40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41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5"/>
        <v>0.9</v>
      </c>
      <c r="AT23" s="202">
        <f t="shared" si="55"/>
        <v>0</v>
      </c>
      <c r="AU23" s="429">
        <f t="shared" si="44"/>
        <v>1.1000000000000001</v>
      </c>
      <c r="AV23" s="202">
        <f t="shared" si="33"/>
        <v>129</v>
      </c>
      <c r="AW23" s="5">
        <v>2.9</v>
      </c>
      <c r="AX23" s="202">
        <f t="shared" si="34"/>
        <v>147</v>
      </c>
      <c r="AY23" s="432">
        <f t="shared" si="7"/>
        <v>0</v>
      </c>
      <c r="AZ23" s="432">
        <f t="shared" si="35"/>
        <v>141.9</v>
      </c>
      <c r="BA23" s="432">
        <f t="shared" si="36"/>
        <v>426.3</v>
      </c>
      <c r="BB23" s="21">
        <f t="shared" si="37"/>
        <v>0</v>
      </c>
      <c r="BC23" s="21">
        <f t="shared" si="37"/>
        <v>0</v>
      </c>
      <c r="BD23" s="21">
        <f t="shared" si="37"/>
        <v>0</v>
      </c>
      <c r="BE23" s="24">
        <f t="shared" si="39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f t="shared" si="13"/>
        <v>612606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6702</v>
      </c>
      <c r="L24" s="276">
        <f t="shared" si="42"/>
        <v>0</v>
      </c>
      <c r="M24" s="414">
        <f t="shared" si="15"/>
        <v>457.44</v>
      </c>
      <c r="N24" s="521">
        <f t="shared" si="45"/>
        <v>0</v>
      </c>
      <c r="O24" s="414">
        <f t="shared" si="16"/>
        <v>529.52</v>
      </c>
      <c r="P24" s="521">
        <f t="shared" si="46"/>
        <v>0</v>
      </c>
      <c r="Q24" s="521">
        <f t="shared" si="47"/>
        <v>0</v>
      </c>
      <c r="R24" s="523"/>
      <c r="S24" s="523"/>
      <c r="T24" s="5">
        <f t="shared" si="17"/>
        <v>5160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f t="shared" si="20"/>
        <v>149422</v>
      </c>
      <c r="Y24" s="327">
        <f t="shared" si="43"/>
        <v>0</v>
      </c>
      <c r="Z24" s="5">
        <f t="shared" si="21"/>
        <v>97754</v>
      </c>
      <c r="AA24" s="83">
        <f t="shared" si="22"/>
        <v>0</v>
      </c>
      <c r="AB24" s="5">
        <f t="shared" si="23"/>
        <v>262</v>
      </c>
      <c r="AC24" s="5">
        <f t="shared" si="24"/>
        <v>730</v>
      </c>
      <c r="AD24" s="83">
        <f t="shared" si="40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41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5"/>
        <v>0.9</v>
      </c>
      <c r="AT24" s="202">
        <f t="shared" si="55"/>
        <v>0</v>
      </c>
      <c r="AU24" s="429">
        <f t="shared" si="44"/>
        <v>1.1000000000000001</v>
      </c>
      <c r="AV24" s="202">
        <f t="shared" si="33"/>
        <v>129</v>
      </c>
      <c r="AW24" s="5">
        <v>2.9</v>
      </c>
      <c r="AX24" s="202">
        <f t="shared" si="34"/>
        <v>147</v>
      </c>
      <c r="AY24" s="432">
        <f t="shared" si="7"/>
        <v>0</v>
      </c>
      <c r="AZ24" s="432">
        <f t="shared" si="35"/>
        <v>141.9</v>
      </c>
      <c r="BA24" s="432">
        <f t="shared" si="36"/>
        <v>426.3</v>
      </c>
      <c r="BB24" s="21">
        <f t="shared" si="37"/>
        <v>0</v>
      </c>
      <c r="BC24" s="21">
        <f t="shared" si="37"/>
        <v>0</v>
      </c>
      <c r="BD24" s="21">
        <f t="shared" si="37"/>
        <v>0</v>
      </c>
      <c r="BE24" s="24">
        <f t="shared" si="39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612606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6702</v>
      </c>
      <c r="L25" s="276">
        <f t="shared" si="42"/>
        <v>0</v>
      </c>
      <c r="M25" s="414">
        <f t="shared" si="15"/>
        <v>457.44</v>
      </c>
      <c r="N25" s="521">
        <f t="shared" si="45"/>
        <v>0</v>
      </c>
      <c r="O25" s="414">
        <f t="shared" si="16"/>
        <v>529.52</v>
      </c>
      <c r="P25" s="521">
        <f t="shared" si="46"/>
        <v>0</v>
      </c>
      <c r="Q25" s="521">
        <f t="shared" si="47"/>
        <v>0</v>
      </c>
      <c r="R25" s="523"/>
      <c r="S25" s="523"/>
      <c r="T25" s="5">
        <f t="shared" si="17"/>
        <v>5160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149422</v>
      </c>
      <c r="Y25" s="327">
        <f t="shared" si="43"/>
        <v>0</v>
      </c>
      <c r="Z25" s="5">
        <f t="shared" si="21"/>
        <v>97754</v>
      </c>
      <c r="AA25" s="83">
        <f t="shared" si="22"/>
        <v>0</v>
      </c>
      <c r="AB25" s="5">
        <f t="shared" si="23"/>
        <v>262</v>
      </c>
      <c r="AC25" s="5">
        <f t="shared" si="24"/>
        <v>730</v>
      </c>
      <c r="AD25" s="83">
        <f t="shared" si="40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41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5"/>
        <v>0.9</v>
      </c>
      <c r="AT25" s="202">
        <f t="shared" si="55"/>
        <v>0</v>
      </c>
      <c r="AU25" s="429">
        <f t="shared" si="44"/>
        <v>1.1000000000000001</v>
      </c>
      <c r="AV25" s="202">
        <f t="shared" si="33"/>
        <v>129</v>
      </c>
      <c r="AW25" s="5">
        <v>2.9</v>
      </c>
      <c r="AX25" s="202">
        <f t="shared" si="34"/>
        <v>147</v>
      </c>
      <c r="AY25" s="432">
        <f t="shared" si="7"/>
        <v>0</v>
      </c>
      <c r="AZ25" s="432">
        <f t="shared" si="35"/>
        <v>141.9</v>
      </c>
      <c r="BA25" s="432">
        <f t="shared" si="36"/>
        <v>426.3</v>
      </c>
      <c r="BB25" s="21">
        <f t="shared" si="37"/>
        <v>0</v>
      </c>
      <c r="BC25" s="21">
        <f t="shared" si="37"/>
        <v>0</v>
      </c>
      <c r="BD25" s="21">
        <f t="shared" si="37"/>
        <v>0</v>
      </c>
      <c r="BE25" s="24">
        <f t="shared" si="39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13"/>
        <v>612606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6702</v>
      </c>
      <c r="L26" s="276">
        <f t="shared" si="42"/>
        <v>0</v>
      </c>
      <c r="M26" s="414">
        <f t="shared" si="15"/>
        <v>457.44</v>
      </c>
      <c r="N26" s="521">
        <f t="shared" si="45"/>
        <v>0</v>
      </c>
      <c r="O26" s="414">
        <f t="shared" si="16"/>
        <v>529.52</v>
      </c>
      <c r="P26" s="521">
        <f t="shared" si="46"/>
        <v>0</v>
      </c>
      <c r="Q26" s="521">
        <f t="shared" si="47"/>
        <v>0</v>
      </c>
      <c r="R26" s="523"/>
      <c r="S26" s="523"/>
      <c r="T26" s="5">
        <f t="shared" si="17"/>
        <v>5160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149422</v>
      </c>
      <c r="Y26" s="327">
        <f t="shared" si="43"/>
        <v>0</v>
      </c>
      <c r="Z26" s="5">
        <f t="shared" si="21"/>
        <v>97754</v>
      </c>
      <c r="AA26" s="83">
        <f t="shared" si="22"/>
        <v>0</v>
      </c>
      <c r="AB26" s="5">
        <f t="shared" si="23"/>
        <v>262</v>
      </c>
      <c r="AC26" s="5">
        <f t="shared" si="24"/>
        <v>730</v>
      </c>
      <c r="AD26" s="83">
        <f t="shared" si="40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5"/>
        <v>0.9</v>
      </c>
      <c r="AT26" s="202">
        <f t="shared" si="55"/>
        <v>0</v>
      </c>
      <c r="AU26" s="429">
        <f t="shared" si="44"/>
        <v>1.1000000000000001</v>
      </c>
      <c r="AV26" s="202">
        <f t="shared" si="33"/>
        <v>129</v>
      </c>
      <c r="AW26" s="5">
        <v>2.9</v>
      </c>
      <c r="AX26" s="202">
        <f t="shared" si="34"/>
        <v>147</v>
      </c>
      <c r="AY26" s="432">
        <f t="shared" si="7"/>
        <v>0</v>
      </c>
      <c r="AZ26" s="432">
        <f t="shared" si="35"/>
        <v>141.9</v>
      </c>
      <c r="BA26" s="432">
        <f t="shared" si="36"/>
        <v>426.3</v>
      </c>
      <c r="BB26" s="21">
        <f t="shared" si="37"/>
        <v>0</v>
      </c>
      <c r="BC26" s="21">
        <f t="shared" si="37"/>
        <v>0</v>
      </c>
      <c r="BD26" s="21">
        <f t="shared" si="37"/>
        <v>0</v>
      </c>
      <c r="BE26" s="24">
        <f t="shared" si="39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f t="shared" si="13"/>
        <v>612606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6702</v>
      </c>
      <c r="L27" s="276">
        <f t="shared" si="42"/>
        <v>0</v>
      </c>
      <c r="M27" s="414">
        <f t="shared" si="15"/>
        <v>457.44</v>
      </c>
      <c r="N27" s="521">
        <f t="shared" si="45"/>
        <v>0</v>
      </c>
      <c r="O27" s="414">
        <f t="shared" si="16"/>
        <v>529.52</v>
      </c>
      <c r="P27" s="521">
        <f t="shared" si="46"/>
        <v>0</v>
      </c>
      <c r="Q27" s="521">
        <f t="shared" si="47"/>
        <v>0</v>
      </c>
      <c r="R27" s="523"/>
      <c r="S27" s="523"/>
      <c r="T27" s="5">
        <f t="shared" si="17"/>
        <v>5160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149422</v>
      </c>
      <c r="Y27" s="327">
        <f>SUM(X27-X26)</f>
        <v>0</v>
      </c>
      <c r="Z27" s="5">
        <f t="shared" si="21"/>
        <v>97754</v>
      </c>
      <c r="AA27" s="83">
        <f t="shared" si="22"/>
        <v>0</v>
      </c>
      <c r="AB27" s="5">
        <f t="shared" si="23"/>
        <v>262</v>
      </c>
      <c r="AC27" s="5">
        <f t="shared" si="24"/>
        <v>730</v>
      </c>
      <c r="AD27" s="83">
        <f t="shared" si="40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41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5"/>
        <v>0.9</v>
      </c>
      <c r="AT27" s="202">
        <f t="shared" si="55"/>
        <v>0</v>
      </c>
      <c r="AU27" s="429">
        <f t="shared" si="44"/>
        <v>1.1000000000000001</v>
      </c>
      <c r="AV27" s="202">
        <f t="shared" si="33"/>
        <v>129</v>
      </c>
      <c r="AW27" s="5">
        <v>2.9</v>
      </c>
      <c r="AX27" s="202">
        <f t="shared" si="34"/>
        <v>147</v>
      </c>
      <c r="AY27" s="432">
        <f t="shared" si="7"/>
        <v>0</v>
      </c>
      <c r="AZ27" s="432">
        <f t="shared" si="35"/>
        <v>141.9</v>
      </c>
      <c r="BA27" s="432">
        <f t="shared" si="36"/>
        <v>426.3</v>
      </c>
      <c r="BB27" s="21">
        <f t="shared" si="37"/>
        <v>0</v>
      </c>
      <c r="BC27" s="21">
        <f t="shared" si="37"/>
        <v>0</v>
      </c>
      <c r="BD27" s="21">
        <f t="shared" si="37"/>
        <v>0</v>
      </c>
      <c r="BE27" s="24">
        <f t="shared" si="39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612606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6702</v>
      </c>
      <c r="L28" s="276">
        <f t="shared" si="42"/>
        <v>0</v>
      </c>
      <c r="M28" s="414">
        <f t="shared" si="15"/>
        <v>457.44</v>
      </c>
      <c r="N28" s="521">
        <f t="shared" si="45"/>
        <v>0</v>
      </c>
      <c r="O28" s="414">
        <f t="shared" si="16"/>
        <v>529.52</v>
      </c>
      <c r="P28" s="521">
        <f t="shared" si="46"/>
        <v>0</v>
      </c>
      <c r="Q28" s="521">
        <f t="shared" si="47"/>
        <v>0</v>
      </c>
      <c r="R28" s="523"/>
      <c r="S28" s="523"/>
      <c r="T28" s="5">
        <f t="shared" si="17"/>
        <v>5160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149422</v>
      </c>
      <c r="Y28" s="327">
        <f t="shared" si="43"/>
        <v>0</v>
      </c>
      <c r="Z28" s="5">
        <f t="shared" si="21"/>
        <v>97754</v>
      </c>
      <c r="AA28" s="83">
        <f t="shared" si="22"/>
        <v>0</v>
      </c>
      <c r="AB28" s="5">
        <f t="shared" si="23"/>
        <v>262</v>
      </c>
      <c r="AC28" s="5">
        <f t="shared" si="24"/>
        <v>730</v>
      </c>
      <c r="AD28" s="83">
        <f t="shared" si="40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41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5"/>
        <v>0.9</v>
      </c>
      <c r="AT28" s="202">
        <f t="shared" si="55"/>
        <v>0</v>
      </c>
      <c r="AU28" s="429">
        <f t="shared" si="44"/>
        <v>1.1000000000000001</v>
      </c>
      <c r="AV28" s="202">
        <f t="shared" si="33"/>
        <v>129</v>
      </c>
      <c r="AW28" s="5">
        <v>2.9</v>
      </c>
      <c r="AX28" s="202">
        <f t="shared" si="34"/>
        <v>147</v>
      </c>
      <c r="AY28" s="432">
        <f t="shared" si="7"/>
        <v>0</v>
      </c>
      <c r="AZ28" s="432">
        <f t="shared" si="35"/>
        <v>141.9</v>
      </c>
      <c r="BA28" s="432">
        <f t="shared" si="36"/>
        <v>426.3</v>
      </c>
      <c r="BB28" s="21">
        <f t="shared" si="37"/>
        <v>0</v>
      </c>
      <c r="BC28" s="21">
        <f t="shared" si="37"/>
        <v>0</v>
      </c>
      <c r="BD28" s="21">
        <f t="shared" si="37"/>
        <v>0</v>
      </c>
      <c r="BE28" s="24">
        <f t="shared" si="39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612606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6702</v>
      </c>
      <c r="L29" s="276">
        <f t="shared" si="42"/>
        <v>0</v>
      </c>
      <c r="M29" s="414">
        <f t="shared" si="15"/>
        <v>457.44</v>
      </c>
      <c r="N29" s="521">
        <f t="shared" si="45"/>
        <v>0</v>
      </c>
      <c r="O29" s="414">
        <f t="shared" si="16"/>
        <v>529.52</v>
      </c>
      <c r="P29" s="521">
        <f t="shared" si="46"/>
        <v>0</v>
      </c>
      <c r="Q29" s="521">
        <f t="shared" si="47"/>
        <v>0</v>
      </c>
      <c r="R29" s="523"/>
      <c r="S29" s="523"/>
      <c r="T29" s="5">
        <f t="shared" si="17"/>
        <v>5160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149422</v>
      </c>
      <c r="Y29" s="327">
        <f t="shared" si="43"/>
        <v>0</v>
      </c>
      <c r="Z29" s="5">
        <f t="shared" si="21"/>
        <v>97754</v>
      </c>
      <c r="AA29" s="83">
        <f t="shared" si="22"/>
        <v>0</v>
      </c>
      <c r="AB29" s="5">
        <f t="shared" si="23"/>
        <v>262</v>
      </c>
      <c r="AC29" s="5">
        <f t="shared" si="24"/>
        <v>730</v>
      </c>
      <c r="AD29" s="83">
        <f t="shared" si="40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41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5"/>
        <v>0.9</v>
      </c>
      <c r="AT29" s="202">
        <f t="shared" si="55"/>
        <v>0</v>
      </c>
      <c r="AU29" s="429">
        <f t="shared" si="44"/>
        <v>1.1000000000000001</v>
      </c>
      <c r="AV29" s="202">
        <f t="shared" si="33"/>
        <v>129</v>
      </c>
      <c r="AW29" s="5">
        <v>2.9</v>
      </c>
      <c r="AX29" s="202">
        <f t="shared" si="34"/>
        <v>147</v>
      </c>
      <c r="AY29" s="432">
        <f t="shared" si="7"/>
        <v>0</v>
      </c>
      <c r="AZ29" s="432">
        <f t="shared" si="35"/>
        <v>141.9</v>
      </c>
      <c r="BA29" s="432">
        <f t="shared" si="36"/>
        <v>426.3</v>
      </c>
      <c r="BB29" s="21">
        <f t="shared" si="37"/>
        <v>0</v>
      </c>
      <c r="BC29" s="21">
        <f t="shared" si="37"/>
        <v>0</v>
      </c>
      <c r="BD29" s="21">
        <f t="shared" si="37"/>
        <v>0</v>
      </c>
      <c r="BE29" s="24">
        <f t="shared" si="39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13"/>
        <v>612606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6702</v>
      </c>
      <c r="L30" s="276">
        <f t="shared" si="42"/>
        <v>0</v>
      </c>
      <c r="M30" s="414">
        <f t="shared" si="15"/>
        <v>457.44</v>
      </c>
      <c r="N30" s="521">
        <f t="shared" si="45"/>
        <v>0</v>
      </c>
      <c r="O30" s="414">
        <f t="shared" si="16"/>
        <v>529.52</v>
      </c>
      <c r="P30" s="521">
        <f t="shared" si="46"/>
        <v>0</v>
      </c>
      <c r="Q30" s="521">
        <f t="shared" si="47"/>
        <v>0</v>
      </c>
      <c r="R30" s="523"/>
      <c r="S30" s="523"/>
      <c r="T30" s="5">
        <f t="shared" si="17"/>
        <v>5160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149422</v>
      </c>
      <c r="Y30" s="327">
        <f t="shared" si="43"/>
        <v>0</v>
      </c>
      <c r="Z30" s="5">
        <f t="shared" si="21"/>
        <v>97754</v>
      </c>
      <c r="AA30" s="83">
        <f t="shared" si="22"/>
        <v>0</v>
      </c>
      <c r="AB30" s="5">
        <f t="shared" si="23"/>
        <v>262</v>
      </c>
      <c r="AC30" s="5">
        <f t="shared" si="24"/>
        <v>730</v>
      </c>
      <c r="AD30" s="83">
        <f t="shared" si="40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41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5"/>
        <v>0.9</v>
      </c>
      <c r="AT30" s="202">
        <f t="shared" si="55"/>
        <v>0</v>
      </c>
      <c r="AU30" s="429">
        <f t="shared" si="44"/>
        <v>1.1000000000000001</v>
      </c>
      <c r="AV30" s="202">
        <f t="shared" si="33"/>
        <v>129</v>
      </c>
      <c r="AW30" s="5">
        <v>2.9</v>
      </c>
      <c r="AX30" s="202">
        <f t="shared" si="34"/>
        <v>147</v>
      </c>
      <c r="AY30" s="432">
        <f t="shared" si="7"/>
        <v>0</v>
      </c>
      <c r="AZ30" s="432">
        <f t="shared" si="35"/>
        <v>141.9</v>
      </c>
      <c r="BA30" s="432">
        <f t="shared" si="36"/>
        <v>426.3</v>
      </c>
      <c r="BB30" s="21">
        <f t="shared" si="37"/>
        <v>0</v>
      </c>
      <c r="BC30" s="21">
        <f t="shared" si="37"/>
        <v>0</v>
      </c>
      <c r="BD30" s="21">
        <f t="shared" si="37"/>
        <v>0</v>
      </c>
      <c r="BE30" s="24">
        <f t="shared" si="3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612606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6702</v>
      </c>
      <c r="L31" s="276">
        <f t="shared" si="42"/>
        <v>0</v>
      </c>
      <c r="M31" s="414">
        <f t="shared" si="15"/>
        <v>457.44</v>
      </c>
      <c r="N31" s="521">
        <f t="shared" si="45"/>
        <v>0</v>
      </c>
      <c r="O31" s="414">
        <f t="shared" si="16"/>
        <v>529.52</v>
      </c>
      <c r="P31" s="521">
        <f t="shared" si="46"/>
        <v>0</v>
      </c>
      <c r="Q31" s="521">
        <f t="shared" si="47"/>
        <v>0</v>
      </c>
      <c r="R31" s="523"/>
      <c r="S31" s="523"/>
      <c r="T31" s="5">
        <f t="shared" si="17"/>
        <v>5160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149422</v>
      </c>
      <c r="Y31" s="327">
        <f t="shared" si="43"/>
        <v>0</v>
      </c>
      <c r="Z31" s="5">
        <f t="shared" si="21"/>
        <v>97754</v>
      </c>
      <c r="AA31" s="83">
        <f t="shared" si="22"/>
        <v>0</v>
      </c>
      <c r="AB31" s="5">
        <f t="shared" si="23"/>
        <v>262</v>
      </c>
      <c r="AC31" s="5">
        <f t="shared" si="24"/>
        <v>730</v>
      </c>
      <c r="AD31" s="83">
        <f t="shared" si="40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41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5"/>
        <v>0.9</v>
      </c>
      <c r="AT31" s="202">
        <f t="shared" si="55"/>
        <v>0</v>
      </c>
      <c r="AU31" s="429">
        <f t="shared" si="44"/>
        <v>1.1000000000000001</v>
      </c>
      <c r="AV31" s="202">
        <f t="shared" si="33"/>
        <v>129</v>
      </c>
      <c r="AW31" s="5">
        <v>2.9</v>
      </c>
      <c r="AX31" s="202">
        <f t="shared" si="34"/>
        <v>147</v>
      </c>
      <c r="AY31" s="432">
        <f t="shared" si="7"/>
        <v>0</v>
      </c>
      <c r="AZ31" s="432">
        <f t="shared" si="35"/>
        <v>141.9</v>
      </c>
      <c r="BA31" s="432">
        <f t="shared" si="36"/>
        <v>426.3</v>
      </c>
      <c r="BB31" s="21">
        <f t="shared" si="37"/>
        <v>0</v>
      </c>
      <c r="BC31" s="21">
        <f t="shared" si="37"/>
        <v>0</v>
      </c>
      <c r="BD31" s="21">
        <f t="shared" si="37"/>
        <v>0</v>
      </c>
      <c r="BE31" s="24">
        <f t="shared" si="3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612606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6702</v>
      </c>
      <c r="L32" s="276">
        <f t="shared" si="42"/>
        <v>0</v>
      </c>
      <c r="M32" s="414">
        <f t="shared" si="15"/>
        <v>457.44</v>
      </c>
      <c r="N32" s="521">
        <f t="shared" si="45"/>
        <v>0</v>
      </c>
      <c r="O32" s="414">
        <f t="shared" si="16"/>
        <v>529.52</v>
      </c>
      <c r="P32" s="521">
        <f t="shared" si="46"/>
        <v>0</v>
      </c>
      <c r="Q32" s="521">
        <f t="shared" si="47"/>
        <v>0</v>
      </c>
      <c r="R32" s="523"/>
      <c r="S32" s="523"/>
      <c r="T32" s="5">
        <f t="shared" si="17"/>
        <v>5160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149422</v>
      </c>
      <c r="Y32" s="327">
        <f t="shared" si="43"/>
        <v>0</v>
      </c>
      <c r="Z32" s="5">
        <f t="shared" si="21"/>
        <v>97754</v>
      </c>
      <c r="AA32" s="83">
        <f t="shared" si="22"/>
        <v>0</v>
      </c>
      <c r="AB32" s="5">
        <f t="shared" si="23"/>
        <v>262</v>
      </c>
      <c r="AC32" s="5">
        <f t="shared" si="24"/>
        <v>730</v>
      </c>
      <c r="AD32" s="83">
        <f t="shared" si="40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41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5"/>
        <v>0.9</v>
      </c>
      <c r="AT32" s="202">
        <f t="shared" si="55"/>
        <v>0</v>
      </c>
      <c r="AU32" s="429">
        <f t="shared" si="44"/>
        <v>1.1000000000000001</v>
      </c>
      <c r="AV32" s="202">
        <f t="shared" si="33"/>
        <v>129</v>
      </c>
      <c r="AW32" s="5">
        <v>2.9</v>
      </c>
      <c r="AX32" s="202">
        <f t="shared" si="34"/>
        <v>147</v>
      </c>
      <c r="AY32" s="432">
        <f t="shared" si="7"/>
        <v>0</v>
      </c>
      <c r="AZ32" s="432">
        <f t="shared" si="35"/>
        <v>141.9</v>
      </c>
      <c r="BA32" s="432">
        <f t="shared" si="36"/>
        <v>426.3</v>
      </c>
      <c r="BB32" s="21">
        <f t="shared" si="37"/>
        <v>0</v>
      </c>
      <c r="BC32" s="21">
        <f t="shared" si="37"/>
        <v>0</v>
      </c>
      <c r="BD32" s="21">
        <f t="shared" si="37"/>
        <v>0</v>
      </c>
      <c r="BE32" s="24">
        <f t="shared" si="3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612606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6702</v>
      </c>
      <c r="L33" s="276">
        <f t="shared" si="42"/>
        <v>0</v>
      </c>
      <c r="M33" s="414">
        <f t="shared" si="15"/>
        <v>457.44</v>
      </c>
      <c r="N33" s="521">
        <f t="shared" si="45"/>
        <v>0</v>
      </c>
      <c r="O33" s="414">
        <f t="shared" si="16"/>
        <v>529.52</v>
      </c>
      <c r="P33" s="521">
        <f t="shared" si="46"/>
        <v>0</v>
      </c>
      <c r="Q33" s="521">
        <f t="shared" si="47"/>
        <v>0</v>
      </c>
      <c r="R33" s="523"/>
      <c r="S33" s="523"/>
      <c r="T33" s="5">
        <f t="shared" si="17"/>
        <v>5160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149422</v>
      </c>
      <c r="Y33" s="327">
        <f t="shared" si="43"/>
        <v>0</v>
      </c>
      <c r="Z33" s="5">
        <f t="shared" si="21"/>
        <v>97754</v>
      </c>
      <c r="AA33" s="83">
        <f t="shared" si="22"/>
        <v>0</v>
      </c>
      <c r="AB33" s="5">
        <f t="shared" si="23"/>
        <v>262</v>
      </c>
      <c r="AC33" s="5">
        <f t="shared" si="24"/>
        <v>730</v>
      </c>
      <c r="AD33" s="83">
        <f t="shared" si="40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41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5"/>
        <v>0.9</v>
      </c>
      <c r="AT33" s="202">
        <f t="shared" si="55"/>
        <v>0</v>
      </c>
      <c r="AU33" s="429">
        <f t="shared" si="44"/>
        <v>1.1000000000000001</v>
      </c>
      <c r="AV33" s="202">
        <f t="shared" si="33"/>
        <v>129</v>
      </c>
      <c r="AW33" s="5">
        <v>2.9</v>
      </c>
      <c r="AX33" s="202">
        <f t="shared" si="34"/>
        <v>147</v>
      </c>
      <c r="AY33" s="432">
        <f t="shared" si="7"/>
        <v>0</v>
      </c>
      <c r="AZ33" s="432">
        <f t="shared" si="35"/>
        <v>141.9</v>
      </c>
      <c r="BA33" s="432">
        <f t="shared" si="36"/>
        <v>426.3</v>
      </c>
      <c r="BB33" s="21">
        <f t="shared" si="37"/>
        <v>0</v>
      </c>
      <c r="BC33" s="21">
        <f t="shared" si="37"/>
        <v>0</v>
      </c>
      <c r="BD33" s="21">
        <f t="shared" si="37"/>
        <v>0</v>
      </c>
      <c r="BE33" s="24">
        <f t="shared" si="3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612606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6702</v>
      </c>
      <c r="L34" s="276">
        <f t="shared" si="42"/>
        <v>0</v>
      </c>
      <c r="M34" s="414">
        <f t="shared" si="15"/>
        <v>457.44</v>
      </c>
      <c r="N34" s="521">
        <f t="shared" si="45"/>
        <v>0</v>
      </c>
      <c r="O34" s="414">
        <f t="shared" si="16"/>
        <v>529.52</v>
      </c>
      <c r="P34" s="521">
        <f t="shared" si="46"/>
        <v>0</v>
      </c>
      <c r="Q34" s="521">
        <f t="shared" si="47"/>
        <v>0</v>
      </c>
      <c r="R34" s="523"/>
      <c r="S34" s="523"/>
      <c r="T34" s="5">
        <f t="shared" si="17"/>
        <v>5160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149422</v>
      </c>
      <c r="Y34" s="327">
        <f t="shared" si="43"/>
        <v>0</v>
      </c>
      <c r="Z34" s="5">
        <f t="shared" si="21"/>
        <v>97754</v>
      </c>
      <c r="AA34" s="83">
        <f t="shared" si="22"/>
        <v>0</v>
      </c>
      <c r="AB34" s="5">
        <f t="shared" si="23"/>
        <v>262</v>
      </c>
      <c r="AC34" s="5">
        <f t="shared" si="24"/>
        <v>730</v>
      </c>
      <c r="AD34" s="83">
        <f t="shared" si="40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41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5"/>
        <v>0.9</v>
      </c>
      <c r="AT34" s="202">
        <f t="shared" si="55"/>
        <v>0</v>
      </c>
      <c r="AU34" s="430">
        <f t="shared" si="44"/>
        <v>1.1000000000000001</v>
      </c>
      <c r="AV34" s="202">
        <f t="shared" si="33"/>
        <v>129</v>
      </c>
      <c r="AW34" s="5">
        <v>2.9</v>
      </c>
      <c r="AX34" s="202">
        <f t="shared" si="34"/>
        <v>147</v>
      </c>
      <c r="AY34" s="432">
        <f t="shared" si="7"/>
        <v>0</v>
      </c>
      <c r="AZ34" s="432">
        <f t="shared" si="35"/>
        <v>141.9</v>
      </c>
      <c r="BA34" s="432">
        <f t="shared" si="36"/>
        <v>426.3</v>
      </c>
      <c r="BB34" s="21">
        <f t="shared" si="37"/>
        <v>0</v>
      </c>
      <c r="BC34" s="21">
        <f t="shared" si="37"/>
        <v>0</v>
      </c>
      <c r="BD34" s="21">
        <f t="shared" si="37"/>
        <v>0</v>
      </c>
      <c r="BE34" s="24">
        <f t="shared" si="3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612606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6702</v>
      </c>
      <c r="L35" s="83">
        <f t="shared" si="42"/>
        <v>0</v>
      </c>
      <c r="M35" s="414">
        <f t="shared" si="15"/>
        <v>457.44</v>
      </c>
      <c r="N35" s="521">
        <f t="shared" si="45"/>
        <v>0</v>
      </c>
      <c r="O35" s="414">
        <f t="shared" si="16"/>
        <v>529.52</v>
      </c>
      <c r="P35" s="521">
        <f t="shared" si="46"/>
        <v>0</v>
      </c>
      <c r="Q35" s="521">
        <f t="shared" si="47"/>
        <v>0</v>
      </c>
      <c r="R35" s="521"/>
      <c r="S35" s="521"/>
      <c r="T35" s="5">
        <f t="shared" si="17"/>
        <v>5160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149422</v>
      </c>
      <c r="Y35" s="327">
        <f t="shared" si="43"/>
        <v>0</v>
      </c>
      <c r="Z35" s="5">
        <f t="shared" si="21"/>
        <v>97754</v>
      </c>
      <c r="AA35" s="83">
        <f t="shared" si="22"/>
        <v>0</v>
      </c>
      <c r="AB35" s="5">
        <f t="shared" si="23"/>
        <v>262</v>
      </c>
      <c r="AC35" s="5">
        <f t="shared" si="24"/>
        <v>730</v>
      </c>
      <c r="AD35" s="83">
        <f t="shared" si="40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41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5"/>
        <v>0.9</v>
      </c>
      <c r="AT35" s="202">
        <f t="shared" si="55"/>
        <v>0</v>
      </c>
      <c r="AU35" s="431">
        <f t="shared" si="44"/>
        <v>1.1000000000000001</v>
      </c>
      <c r="AV35" s="202">
        <f t="shared" si="33"/>
        <v>129</v>
      </c>
      <c r="AW35" s="5">
        <v>2.9</v>
      </c>
      <c r="AX35" s="202">
        <f t="shared" si="34"/>
        <v>147</v>
      </c>
      <c r="AY35" s="432">
        <f t="shared" si="7"/>
        <v>0</v>
      </c>
      <c r="AZ35" s="432">
        <f t="shared" si="35"/>
        <v>141.9</v>
      </c>
      <c r="BA35" s="432">
        <f t="shared" si="36"/>
        <v>426.3</v>
      </c>
      <c r="BB35" s="21">
        <f t="shared" si="37"/>
        <v>0</v>
      </c>
      <c r="BC35" s="228">
        <f t="shared" si="37"/>
        <v>0</v>
      </c>
      <c r="BD35" s="228">
        <f t="shared" si="37"/>
        <v>0</v>
      </c>
      <c r="BE35" s="24">
        <f t="shared" si="3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612606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6702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5160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149422</v>
      </c>
      <c r="Y36" s="327">
        <f t="shared" ref="Y36" si="67">SUM(X36-X35)</f>
        <v>0</v>
      </c>
      <c r="Z36" s="5">
        <f t="shared" si="21"/>
        <v>97754</v>
      </c>
      <c r="AA36" s="83">
        <f t="shared" ref="AA36" si="68">Z36-Z35</f>
        <v>0</v>
      </c>
      <c r="AB36" s="5">
        <f t="shared" si="23"/>
        <v>262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41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5"/>
        <v>0.9</v>
      </c>
      <c r="AT36" s="202">
        <f t="shared" si="55"/>
        <v>0</v>
      </c>
      <c r="AU36" s="431">
        <f t="shared" si="44"/>
        <v>1.1000000000000001</v>
      </c>
      <c r="AV36" s="202">
        <f t="shared" si="33"/>
        <v>129</v>
      </c>
      <c r="AW36" s="5">
        <v>2.9</v>
      </c>
      <c r="AX36" s="202">
        <f t="shared" si="34"/>
        <v>147</v>
      </c>
      <c r="AY36" s="432">
        <f t="shared" ref="AY36" si="76">AS36*AT36</f>
        <v>0</v>
      </c>
      <c r="AZ36" s="432">
        <f t="shared" ref="AZ36" si="77">AU36*AV36</f>
        <v>141.9</v>
      </c>
      <c r="BA36" s="432">
        <f t="shared" ref="BA36" si="78">AW36*AX36</f>
        <v>426.3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138</v>
      </c>
      <c r="I37" s="416">
        <f>SUM(I6:I36)</f>
        <v>138</v>
      </c>
      <c r="L37" s="270">
        <f>SUM(L7:L36)</f>
        <v>0</v>
      </c>
      <c r="Q37" s="502">
        <f>SUM(Q5:Q36)</f>
        <v>0</v>
      </c>
      <c r="U37" s="413">
        <f>SUM(U6:U36)</f>
        <v>0</v>
      </c>
      <c r="X37" s="326"/>
      <c r="Y37" s="325">
        <f>SUM(Y35,Y33,Y31,Y29,Y27,Y25,Y23,Y21,Y19,Y17,Y15,Y13,Y11,Y9,Y7,Y36)</f>
        <v>0</v>
      </c>
      <c r="AJ37" s="325">
        <f>SUM(AJ6:AJ36)</f>
        <v>0</v>
      </c>
      <c r="AK37" s="330">
        <f>SUM(Y37-L37)</f>
        <v>0</v>
      </c>
      <c r="AL37" s="325">
        <f>SUM(AL6:AL36)</f>
        <v>0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138</v>
      </c>
      <c r="Z38" s="325">
        <f>SUM(Y37:AJ37)</f>
        <v>0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138</v>
      </c>
      <c r="H39" s="1">
        <f>SUM(H38+C38)</f>
        <v>7500</v>
      </c>
      <c r="K39" s="1">
        <f>SUM(H39/G39)</f>
        <v>54.347826086956523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7" sqref="F7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5">
        <f>'[2]General information '!E36</f>
        <v>0.76</v>
      </c>
      <c r="F5" s="575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/>
      <c r="C7" s="37"/>
      <c r="D7" s="26">
        <f t="shared" si="0"/>
        <v>0</v>
      </c>
      <c r="E7" s="343"/>
      <c r="F7" s="397">
        <v>0</v>
      </c>
      <c r="G7" s="243">
        <f t="shared" si="1"/>
        <v>0</v>
      </c>
      <c r="H7" s="3"/>
      <c r="I7" s="3"/>
      <c r="J7" s="37"/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/>
      <c r="C8" s="37"/>
      <c r="D8" s="26">
        <f t="shared" si="0"/>
        <v>0</v>
      </c>
      <c r="E8" s="343"/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/>
      <c r="C9" s="37"/>
      <c r="D9" s="26">
        <f>(C9+B9)/2</f>
        <v>0</v>
      </c>
      <c r="E9" s="397"/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/>
      <c r="C10" s="37"/>
      <c r="D10" s="26">
        <f t="shared" si="0"/>
        <v>0</v>
      </c>
      <c r="E10" s="357"/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/>
      <c r="C11" s="37"/>
      <c r="D11" s="26">
        <f t="shared" si="0"/>
        <v>0</v>
      </c>
      <c r="E11" s="397"/>
      <c r="F11" s="397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/>
      <c r="C12" s="37"/>
      <c r="D12" s="26">
        <f t="shared" si="0"/>
        <v>0</v>
      </c>
      <c r="E12" s="397"/>
      <c r="F12" s="397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/>
      <c r="C13" s="37"/>
      <c r="D13" s="26">
        <f>(C13+B13)/2</f>
        <v>0</v>
      </c>
      <c r="E13" s="357"/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/>
      <c r="C14" s="37"/>
      <c r="D14" s="26">
        <f t="shared" ref="D14:D34" si="3">(C14+B14)/2</f>
        <v>0</v>
      </c>
      <c r="E14" s="343"/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/>
      <c r="C15" s="37"/>
      <c r="D15" s="26">
        <f t="shared" si="3"/>
        <v>0</v>
      </c>
      <c r="E15" s="343"/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/>
      <c r="C16" s="37"/>
      <c r="D16" s="26">
        <f t="shared" si="3"/>
        <v>0</v>
      </c>
      <c r="E16" s="343"/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/>
      <c r="C17" s="37"/>
      <c r="D17" s="26">
        <f t="shared" si="3"/>
        <v>0</v>
      </c>
      <c r="E17" s="343"/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/>
      <c r="C18" s="37"/>
      <c r="D18" s="26">
        <f t="shared" si="3"/>
        <v>0</v>
      </c>
      <c r="E18" s="433"/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/>
      <c r="C19" s="37"/>
      <c r="D19" s="26">
        <f t="shared" si="3"/>
        <v>0</v>
      </c>
      <c r="E19" s="343"/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/>
      <c r="C20" s="37"/>
      <c r="D20" s="26">
        <f t="shared" si="3"/>
        <v>0</v>
      </c>
      <c r="E20" s="343"/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/>
      <c r="C21" s="37"/>
      <c r="D21" s="26">
        <f>(C21+B21)/2</f>
        <v>0</v>
      </c>
      <c r="E21" s="343"/>
      <c r="F21" s="397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/>
      <c r="C22" s="37"/>
      <c r="D22" s="26">
        <f t="shared" si="3"/>
        <v>0</v>
      </c>
      <c r="E22" s="343"/>
      <c r="F22" s="397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/>
      <c r="C23" s="37"/>
      <c r="D23" s="26">
        <f>(C23+B23)/2</f>
        <v>0</v>
      </c>
      <c r="E23" s="343"/>
      <c r="F23" s="397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/>
      <c r="C24" s="37"/>
      <c r="D24" s="26">
        <f t="shared" si="3"/>
        <v>0</v>
      </c>
      <c r="E24" s="343"/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/>
      <c r="C25" s="37"/>
      <c r="D25" s="26">
        <f t="shared" si="3"/>
        <v>0</v>
      </c>
      <c r="E25" s="343"/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/>
      <c r="C26" s="37"/>
      <c r="D26" s="26">
        <f>(C26+B26)/2</f>
        <v>0</v>
      </c>
      <c r="E26" s="343"/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/>
      <c r="C27" s="37"/>
      <c r="D27" s="26">
        <f t="shared" si="3"/>
        <v>0</v>
      </c>
      <c r="E27" s="343"/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/>
      <c r="C28" s="37"/>
      <c r="D28" s="26">
        <f t="shared" si="3"/>
        <v>0</v>
      </c>
      <c r="E28" s="343"/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/>
      <c r="C29" s="37"/>
      <c r="D29" s="26">
        <f t="shared" si="3"/>
        <v>0</v>
      </c>
      <c r="E29" s="343"/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/>
      <c r="C30" s="37"/>
      <c r="D30" s="26">
        <f t="shared" si="3"/>
        <v>0</v>
      </c>
      <c r="E30" s="343"/>
      <c r="F30" s="397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B1" activePane="topRight" state="frozen"/>
      <selection pane="topRight" activeCell="AS32" sqref="AS3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0</v>
      </c>
      <c r="BB5" s="512">
        <f>[1]tanks!BB35</f>
        <v>0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233</v>
      </c>
      <c r="C7" s="204">
        <f t="shared" ref="C7:E35" si="18">B7*$B$4</f>
        <v>5013.2580645161288</v>
      </c>
      <c r="D7">
        <f t="shared" ref="D7:D29" si="19">SUM(B7)</f>
        <v>233</v>
      </c>
      <c r="E7" s="204">
        <f t="shared" si="18"/>
        <v>5013.2580645161288</v>
      </c>
      <c r="F7">
        <f t="shared" ref="F7:F29" si="20">SUM(D7)</f>
        <v>233</v>
      </c>
      <c r="G7" s="204">
        <f t="shared" si="1"/>
        <v>5013.2580645161288</v>
      </c>
      <c r="H7" s="204">
        <f t="shared" ref="H7:H29" si="21">SUM(F7)</f>
        <v>233</v>
      </c>
      <c r="I7" s="204">
        <f t="shared" si="2"/>
        <v>5013.2580645161288</v>
      </c>
      <c r="J7" s="204">
        <f t="shared" ref="J7:J29" si="22">SUM(H7)</f>
        <v>233</v>
      </c>
      <c r="K7" s="204">
        <f t="shared" si="3"/>
        <v>5013.2580645161288</v>
      </c>
      <c r="L7" s="204">
        <f t="shared" ref="L7:L29" si="23">SUM(J7)</f>
        <v>233</v>
      </c>
      <c r="M7" s="204">
        <f t="shared" si="4"/>
        <v>5013.2580645161288</v>
      </c>
      <c r="N7" s="204">
        <f t="shared" ref="N7:N29" si="24">SUM(L7)</f>
        <v>233</v>
      </c>
      <c r="O7" s="204">
        <f t="shared" si="5"/>
        <v>5013.2580645161288</v>
      </c>
      <c r="P7" s="204">
        <f t="shared" ref="P7:P29" si="25">SUM(N7)</f>
        <v>233</v>
      </c>
      <c r="Q7" s="204">
        <f t="shared" si="6"/>
        <v>5013.2580645161288</v>
      </c>
      <c r="R7" s="204">
        <f t="shared" ref="R7:R29" si="26">SUM(P7)</f>
        <v>233</v>
      </c>
      <c r="S7" s="204">
        <f t="shared" si="7"/>
        <v>5013.2580645161288</v>
      </c>
      <c r="T7" s="204">
        <f t="shared" ref="T7:T29" si="27">SUM(R7)</f>
        <v>233</v>
      </c>
      <c r="U7" s="204">
        <f t="shared" si="8"/>
        <v>5013.2580645161288</v>
      </c>
      <c r="V7" s="204">
        <f t="shared" ref="V7:V29" si="28">SUM(T7)</f>
        <v>233</v>
      </c>
      <c r="W7" s="204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4">
        <f>'B5'!C6</f>
        <v>239</v>
      </c>
      <c r="AA7" s="204">
        <f t="shared" ref="AA7:AC35" si="30">SUM(Z7*$Z$4)</f>
        <v>2390</v>
      </c>
      <c r="AB7" s="204">
        <f t="shared" ref="AB7:AB29" si="31">SUM(Z7)</f>
        <v>239</v>
      </c>
      <c r="AC7" s="204">
        <f t="shared" si="30"/>
        <v>2390</v>
      </c>
      <c r="AD7" s="204">
        <f t="shared" ref="AD7:AD29" si="32">SUM(AB7)</f>
        <v>239</v>
      </c>
      <c r="AE7" s="204">
        <f t="shared" si="11"/>
        <v>2390</v>
      </c>
      <c r="AF7" s="204">
        <f t="shared" ref="AF7:AF29" si="33">SUM(AD7)</f>
        <v>239</v>
      </c>
      <c r="AG7" s="204">
        <f t="shared" si="12"/>
        <v>2390</v>
      </c>
      <c r="AH7" s="204">
        <f t="shared" ref="AH7:AH29" si="34">SUM(AF7)</f>
        <v>239</v>
      </c>
      <c r="AI7" s="204">
        <f t="shared" si="13"/>
        <v>2390</v>
      </c>
      <c r="AJ7" s="204">
        <f t="shared" ref="AJ7:AJ29" si="35">SUM(AH7)</f>
        <v>239</v>
      </c>
      <c r="AK7" s="204">
        <f t="shared" si="14"/>
        <v>2390</v>
      </c>
      <c r="AL7" s="204">
        <f t="shared" ref="AL7:AL29" si="36">SUM(AJ7)</f>
        <v>239</v>
      </c>
      <c r="AM7" s="204">
        <f t="shared" si="15"/>
        <v>2390</v>
      </c>
      <c r="AN7" s="35">
        <f t="shared" si="16"/>
        <v>0.85357142857142854</v>
      </c>
      <c r="AO7" s="36">
        <f t="shared" si="17"/>
        <v>16730</v>
      </c>
      <c r="AQ7" s="224">
        <f t="shared" ref="AQ7:AQ33" si="37">SUM(AR7/92970)</f>
        <v>0.77310787038482764</v>
      </c>
      <c r="AR7" s="38">
        <f>SUM(AO7+Y7)</f>
        <v>71875.838709677424</v>
      </c>
      <c r="AS7" s="198">
        <f t="shared" ref="AS7:AS35" si="38">SUM(AR7-AR6-AT7)</f>
        <v>0</v>
      </c>
      <c r="AT7" s="273"/>
      <c r="AU7" s="498"/>
      <c r="AV7" s="525">
        <f>IF(AT7&gt;0,AU7,AV6)</f>
        <v>0.49</v>
      </c>
      <c r="AW7" s="293">
        <f>-SUM('B5'!AI6)</f>
        <v>0</v>
      </c>
      <c r="AX7" s="293">
        <f t="shared" ref="AX7:AX35" si="39">-SUM(AW7-AS7)</f>
        <v>0</v>
      </c>
      <c r="AY7" s="37">
        <f t="shared" ref="AY7:AY35" si="40">SUM(AX7+AW7)</f>
        <v>0</v>
      </c>
      <c r="AZ7" s="100">
        <f>ELEC!A4</f>
        <v>0</v>
      </c>
      <c r="BA7" s="118">
        <f>'General information '!D7</f>
        <v>0</v>
      </c>
      <c r="BB7" s="397">
        <f>SUM('General information '!E7)</f>
        <v>0</v>
      </c>
      <c r="BC7" s="3">
        <v>0</v>
      </c>
      <c r="BD7" s="102">
        <v>19222</v>
      </c>
      <c r="BE7" s="14">
        <f>(305/1185)*ELEC!Q5</f>
        <v>0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233</v>
      </c>
      <c r="C8" s="204">
        <f t="shared" si="18"/>
        <v>5013.2580645161288</v>
      </c>
      <c r="D8">
        <f t="shared" si="19"/>
        <v>233</v>
      </c>
      <c r="E8" s="204">
        <f t="shared" si="18"/>
        <v>5013.2580645161288</v>
      </c>
      <c r="F8">
        <f t="shared" si="20"/>
        <v>233</v>
      </c>
      <c r="G8" s="204">
        <f t="shared" si="1"/>
        <v>5013.2580645161288</v>
      </c>
      <c r="H8" s="204">
        <f t="shared" si="21"/>
        <v>233</v>
      </c>
      <c r="I8" s="204">
        <f t="shared" si="2"/>
        <v>5013.2580645161288</v>
      </c>
      <c r="J8" s="204">
        <f t="shared" si="22"/>
        <v>233</v>
      </c>
      <c r="K8" s="204">
        <f t="shared" si="3"/>
        <v>5013.2580645161288</v>
      </c>
      <c r="L8" s="204">
        <f t="shared" si="23"/>
        <v>233</v>
      </c>
      <c r="M8" s="204">
        <f t="shared" si="4"/>
        <v>5013.2580645161288</v>
      </c>
      <c r="N8" s="204">
        <f t="shared" si="24"/>
        <v>233</v>
      </c>
      <c r="O8" s="204">
        <f t="shared" si="5"/>
        <v>5013.2580645161288</v>
      </c>
      <c r="P8" s="204">
        <f t="shared" si="25"/>
        <v>233</v>
      </c>
      <c r="Q8" s="204">
        <f t="shared" si="6"/>
        <v>5013.2580645161288</v>
      </c>
      <c r="R8" s="204">
        <f t="shared" si="26"/>
        <v>233</v>
      </c>
      <c r="S8" s="204">
        <f t="shared" si="7"/>
        <v>5013.2580645161288</v>
      </c>
      <c r="T8" s="204">
        <f t="shared" si="27"/>
        <v>233</v>
      </c>
      <c r="U8" s="204">
        <f t="shared" si="8"/>
        <v>5013.2580645161288</v>
      </c>
      <c r="V8" s="204">
        <f t="shared" si="28"/>
        <v>233</v>
      </c>
      <c r="W8" s="204">
        <f t="shared" si="9"/>
        <v>5013.2580645161288</v>
      </c>
      <c r="X8" s="35">
        <f t="shared" si="10"/>
        <v>0.75161290322580643</v>
      </c>
      <c r="Y8" s="36">
        <f t="shared" si="29"/>
        <v>55145.838709677417</v>
      </c>
      <c r="Z8" s="204">
        <f>'B5'!C7</f>
        <v>239</v>
      </c>
      <c r="AA8" s="204">
        <f t="shared" si="30"/>
        <v>2390</v>
      </c>
      <c r="AB8" s="204">
        <f t="shared" si="31"/>
        <v>239</v>
      </c>
      <c r="AC8" s="204">
        <f t="shared" si="30"/>
        <v>2390</v>
      </c>
      <c r="AD8" s="204">
        <f t="shared" si="32"/>
        <v>239</v>
      </c>
      <c r="AE8" s="204">
        <f t="shared" si="11"/>
        <v>2390</v>
      </c>
      <c r="AF8" s="204">
        <f t="shared" si="33"/>
        <v>239</v>
      </c>
      <c r="AG8" s="204">
        <f t="shared" si="12"/>
        <v>2390</v>
      </c>
      <c r="AH8" s="204">
        <f t="shared" si="34"/>
        <v>239</v>
      </c>
      <c r="AI8" s="204">
        <f t="shared" si="13"/>
        <v>2390</v>
      </c>
      <c r="AJ8" s="204">
        <f t="shared" si="35"/>
        <v>239</v>
      </c>
      <c r="AK8" s="204">
        <f t="shared" si="14"/>
        <v>2390</v>
      </c>
      <c r="AL8" s="204">
        <f t="shared" si="36"/>
        <v>239</v>
      </c>
      <c r="AM8" s="204">
        <f t="shared" si="15"/>
        <v>2390</v>
      </c>
      <c r="AN8" s="35">
        <f t="shared" si="16"/>
        <v>0.85357142857142854</v>
      </c>
      <c r="AO8" s="36">
        <f t="shared" si="17"/>
        <v>16730</v>
      </c>
      <c r="AQ8" s="224">
        <f t="shared" si="37"/>
        <v>0.77310787038482764</v>
      </c>
      <c r="AR8" s="38">
        <f t="shared" ref="AR8:AR36" si="41">SUM(AO8+Y8)</f>
        <v>71875.838709677424</v>
      </c>
      <c r="AS8" s="198">
        <f t="shared" si="38"/>
        <v>0</v>
      </c>
      <c r="AT8" s="358"/>
      <c r="AU8" s="442"/>
      <c r="AV8" s="525">
        <f t="shared" ref="AV8:AV34" si="42">IF(AT8&gt;0,AU8,AV7)</f>
        <v>0.49</v>
      </c>
      <c r="AW8" s="293">
        <f>-SUM('B5'!AI7)</f>
        <v>0</v>
      </c>
      <c r="AX8" s="293">
        <f t="shared" si="39"/>
        <v>0</v>
      </c>
      <c r="AY8" s="37">
        <f t="shared" si="40"/>
        <v>0</v>
      </c>
      <c r="AZ8" s="100">
        <f>ELEC!A5</f>
        <v>0</v>
      </c>
      <c r="BA8" s="118">
        <f>'General information '!D8</f>
        <v>0</v>
      </c>
      <c r="BB8" s="397">
        <f>SUM('General information '!E8)</f>
        <v>0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233</v>
      </c>
      <c r="C9" s="204">
        <f t="shared" si="18"/>
        <v>5013.2580645161288</v>
      </c>
      <c r="D9">
        <f t="shared" si="19"/>
        <v>233</v>
      </c>
      <c r="E9" s="204">
        <f t="shared" si="18"/>
        <v>5013.2580645161288</v>
      </c>
      <c r="F9">
        <f t="shared" si="20"/>
        <v>233</v>
      </c>
      <c r="G9" s="204">
        <f t="shared" si="1"/>
        <v>5013.2580645161288</v>
      </c>
      <c r="H9" s="204">
        <f t="shared" si="21"/>
        <v>233</v>
      </c>
      <c r="I9" s="204">
        <f t="shared" si="2"/>
        <v>5013.2580645161288</v>
      </c>
      <c r="J9" s="204">
        <f t="shared" si="22"/>
        <v>233</v>
      </c>
      <c r="K9" s="204">
        <f t="shared" si="3"/>
        <v>5013.2580645161288</v>
      </c>
      <c r="L9" s="204">
        <f t="shared" si="23"/>
        <v>233</v>
      </c>
      <c r="M9" s="204">
        <f t="shared" si="4"/>
        <v>5013.2580645161288</v>
      </c>
      <c r="N9" s="204">
        <f t="shared" si="24"/>
        <v>233</v>
      </c>
      <c r="O9" s="204">
        <f t="shared" si="5"/>
        <v>5013.2580645161288</v>
      </c>
      <c r="P9" s="204">
        <f t="shared" si="25"/>
        <v>233</v>
      </c>
      <c r="Q9" s="204">
        <f t="shared" si="6"/>
        <v>5013.2580645161288</v>
      </c>
      <c r="R9" s="204">
        <f t="shared" si="26"/>
        <v>233</v>
      </c>
      <c r="S9" s="204">
        <f t="shared" si="7"/>
        <v>5013.2580645161288</v>
      </c>
      <c r="T9" s="204">
        <f t="shared" si="27"/>
        <v>233</v>
      </c>
      <c r="U9" s="204">
        <f t="shared" si="8"/>
        <v>5013.2580645161288</v>
      </c>
      <c r="V9" s="204">
        <f t="shared" si="28"/>
        <v>233</v>
      </c>
      <c r="W9" s="204">
        <f t="shared" si="9"/>
        <v>5013.2580645161288</v>
      </c>
      <c r="X9" s="35">
        <f t="shared" si="10"/>
        <v>0.75161290322580643</v>
      </c>
      <c r="Y9" s="36">
        <f t="shared" si="29"/>
        <v>55145.838709677417</v>
      </c>
      <c r="Z9" s="204">
        <f>'B5'!C8</f>
        <v>239</v>
      </c>
      <c r="AA9" s="204">
        <f t="shared" si="30"/>
        <v>2390</v>
      </c>
      <c r="AB9" s="204">
        <f t="shared" si="31"/>
        <v>239</v>
      </c>
      <c r="AC9" s="204">
        <f t="shared" si="30"/>
        <v>2390</v>
      </c>
      <c r="AD9" s="204">
        <f t="shared" si="32"/>
        <v>239</v>
      </c>
      <c r="AE9" s="204">
        <f t="shared" si="11"/>
        <v>2390</v>
      </c>
      <c r="AF9" s="204">
        <f t="shared" si="33"/>
        <v>239</v>
      </c>
      <c r="AG9" s="204">
        <f t="shared" si="12"/>
        <v>2390</v>
      </c>
      <c r="AH9" s="204">
        <f t="shared" si="34"/>
        <v>239</v>
      </c>
      <c r="AI9" s="204">
        <f t="shared" si="13"/>
        <v>2390</v>
      </c>
      <c r="AJ9" s="204">
        <f t="shared" si="35"/>
        <v>239</v>
      </c>
      <c r="AK9" s="204">
        <f t="shared" si="14"/>
        <v>2390</v>
      </c>
      <c r="AL9" s="204">
        <f t="shared" si="36"/>
        <v>239</v>
      </c>
      <c r="AM9" s="204">
        <f t="shared" si="15"/>
        <v>2390</v>
      </c>
      <c r="AN9" s="35">
        <f t="shared" si="16"/>
        <v>0.85357142857142854</v>
      </c>
      <c r="AO9" s="36">
        <f>SUM(AA9+AC9+AE9+AG9+AI9+AK9+AM9)</f>
        <v>16730</v>
      </c>
      <c r="AQ9" s="224">
        <f t="shared" si="37"/>
        <v>0.77310787038482764</v>
      </c>
      <c r="AR9" s="38">
        <f t="shared" si="41"/>
        <v>71875.838709677424</v>
      </c>
      <c r="AS9" s="198">
        <f t="shared" si="38"/>
        <v>0</v>
      </c>
      <c r="AT9" s="358"/>
      <c r="AU9" s="442"/>
      <c r="AV9" s="525">
        <f t="shared" si="42"/>
        <v>0.49</v>
      </c>
      <c r="AW9" s="293">
        <f>-SUM('B5'!AI8)</f>
        <v>0</v>
      </c>
      <c r="AX9" s="293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7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233</v>
      </c>
      <c r="C10" s="204">
        <f t="shared" si="18"/>
        <v>5013.2580645161288</v>
      </c>
      <c r="D10">
        <f t="shared" si="19"/>
        <v>233</v>
      </c>
      <c r="E10" s="204">
        <f t="shared" si="18"/>
        <v>5013.2580645161288</v>
      </c>
      <c r="F10">
        <f t="shared" si="20"/>
        <v>233</v>
      </c>
      <c r="G10" s="204">
        <f t="shared" si="1"/>
        <v>5013.2580645161288</v>
      </c>
      <c r="H10" s="204">
        <f t="shared" si="21"/>
        <v>233</v>
      </c>
      <c r="I10" s="204">
        <f t="shared" si="2"/>
        <v>5013.2580645161288</v>
      </c>
      <c r="J10" s="204">
        <f t="shared" si="22"/>
        <v>233</v>
      </c>
      <c r="K10" s="204">
        <f t="shared" si="3"/>
        <v>5013.2580645161288</v>
      </c>
      <c r="L10" s="204">
        <f t="shared" si="23"/>
        <v>233</v>
      </c>
      <c r="M10" s="204">
        <f t="shared" si="4"/>
        <v>5013.2580645161288</v>
      </c>
      <c r="N10" s="204">
        <f t="shared" si="24"/>
        <v>233</v>
      </c>
      <c r="O10" s="204">
        <f t="shared" si="5"/>
        <v>5013.2580645161288</v>
      </c>
      <c r="P10" s="204">
        <f t="shared" si="25"/>
        <v>233</v>
      </c>
      <c r="Q10" s="204">
        <f t="shared" si="6"/>
        <v>5013.2580645161288</v>
      </c>
      <c r="R10" s="204">
        <f t="shared" si="26"/>
        <v>233</v>
      </c>
      <c r="S10" s="204">
        <f t="shared" si="7"/>
        <v>5013.2580645161288</v>
      </c>
      <c r="T10" s="204">
        <f t="shared" si="27"/>
        <v>233</v>
      </c>
      <c r="U10" s="204">
        <f t="shared" si="8"/>
        <v>5013.2580645161288</v>
      </c>
      <c r="V10" s="204">
        <f t="shared" si="28"/>
        <v>233</v>
      </c>
      <c r="W10" s="204">
        <f t="shared" si="9"/>
        <v>5013.2580645161288</v>
      </c>
      <c r="X10" s="35">
        <f t="shared" si="10"/>
        <v>0.75161290322580643</v>
      </c>
      <c r="Y10" s="36">
        <f t="shared" si="29"/>
        <v>55145.838709677417</v>
      </c>
      <c r="Z10" s="204">
        <f>'B5'!C9</f>
        <v>239</v>
      </c>
      <c r="AA10" s="204">
        <f t="shared" si="30"/>
        <v>2390</v>
      </c>
      <c r="AB10" s="204">
        <f t="shared" si="31"/>
        <v>239</v>
      </c>
      <c r="AC10" s="204">
        <f t="shared" si="30"/>
        <v>2390</v>
      </c>
      <c r="AD10" s="204">
        <f t="shared" si="32"/>
        <v>239</v>
      </c>
      <c r="AE10" s="204">
        <f t="shared" si="11"/>
        <v>2390</v>
      </c>
      <c r="AF10" s="204">
        <f t="shared" si="33"/>
        <v>239</v>
      </c>
      <c r="AG10" s="204">
        <f t="shared" si="12"/>
        <v>2390</v>
      </c>
      <c r="AH10" s="204">
        <f t="shared" si="34"/>
        <v>239</v>
      </c>
      <c r="AI10" s="204">
        <f t="shared" si="13"/>
        <v>2390</v>
      </c>
      <c r="AJ10" s="204">
        <f t="shared" si="35"/>
        <v>239</v>
      </c>
      <c r="AK10" s="204">
        <f t="shared" si="14"/>
        <v>2390</v>
      </c>
      <c r="AL10" s="204">
        <f t="shared" si="36"/>
        <v>239</v>
      </c>
      <c r="AM10" s="204">
        <f t="shared" si="15"/>
        <v>2390</v>
      </c>
      <c r="AN10" s="35">
        <f t="shared" si="16"/>
        <v>0.85357142857142854</v>
      </c>
      <c r="AO10" s="36">
        <f t="shared" si="17"/>
        <v>16730</v>
      </c>
      <c r="AQ10" s="224">
        <f t="shared" si="37"/>
        <v>0.77310787038482764</v>
      </c>
      <c r="AR10" s="38">
        <f t="shared" si="41"/>
        <v>71875.838709677424</v>
      </c>
      <c r="AS10" s="198">
        <f t="shared" si="38"/>
        <v>0</v>
      </c>
      <c r="AT10" s="358"/>
      <c r="AU10" s="442"/>
      <c r="AV10" s="525">
        <f>IF(AT10&gt;0,AU10,AV9)</f>
        <v>0.49</v>
      </c>
      <c r="AW10" s="293">
        <f>-SUM('B5'!AI9)</f>
        <v>0</v>
      </c>
      <c r="AX10" s="293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7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233</v>
      </c>
      <c r="C11" s="204">
        <f t="shared" si="18"/>
        <v>5013.2580645161288</v>
      </c>
      <c r="D11">
        <f>SUM(B11)</f>
        <v>233</v>
      </c>
      <c r="E11" s="204">
        <f t="shared" si="18"/>
        <v>5013.2580645161288</v>
      </c>
      <c r="F11">
        <f>SUM(D11)</f>
        <v>233</v>
      </c>
      <c r="G11" s="204">
        <f t="shared" si="1"/>
        <v>5013.2580645161288</v>
      </c>
      <c r="H11" s="204">
        <f>SUM(F11)</f>
        <v>233</v>
      </c>
      <c r="I11" s="204">
        <f t="shared" si="2"/>
        <v>5013.2580645161288</v>
      </c>
      <c r="J11" s="204">
        <f>SUM(H11)</f>
        <v>233</v>
      </c>
      <c r="K11" s="204">
        <f t="shared" si="3"/>
        <v>5013.2580645161288</v>
      </c>
      <c r="L11" s="204">
        <f>SUM(J11)</f>
        <v>233</v>
      </c>
      <c r="M11" s="204">
        <f t="shared" si="4"/>
        <v>5013.2580645161288</v>
      </c>
      <c r="N11" s="204">
        <f>SUM(L11)</f>
        <v>233</v>
      </c>
      <c r="O11" s="204">
        <f t="shared" si="5"/>
        <v>5013.2580645161288</v>
      </c>
      <c r="P11" s="204">
        <f>SUM(N11)</f>
        <v>233</v>
      </c>
      <c r="Q11" s="204">
        <f t="shared" si="6"/>
        <v>5013.2580645161288</v>
      </c>
      <c r="R11" s="204">
        <f>SUM(P11)</f>
        <v>233</v>
      </c>
      <c r="S11" s="204">
        <f t="shared" si="7"/>
        <v>5013.2580645161288</v>
      </c>
      <c r="T11" s="204">
        <f>SUM(R11)</f>
        <v>233</v>
      </c>
      <c r="U11" s="204">
        <f t="shared" si="8"/>
        <v>5013.2580645161288</v>
      </c>
      <c r="V11" s="204">
        <f>SUM(T11)</f>
        <v>233</v>
      </c>
      <c r="W11" s="204">
        <f t="shared" si="9"/>
        <v>5013.2580645161288</v>
      </c>
      <c r="X11" s="35">
        <f>SUM(Y11/73370)</f>
        <v>0.75161290322580643</v>
      </c>
      <c r="Y11" s="36">
        <f>SUM(C11+E11+G11+I11+K11+M11+O11+Q11+S11+U11+W11)</f>
        <v>55145.838709677417</v>
      </c>
      <c r="Z11" s="204">
        <f>'B5'!C10</f>
        <v>239</v>
      </c>
      <c r="AA11" s="204">
        <f t="shared" si="30"/>
        <v>2390</v>
      </c>
      <c r="AB11" s="204">
        <f>SUM(Z11)</f>
        <v>239</v>
      </c>
      <c r="AC11" s="204">
        <f t="shared" si="30"/>
        <v>2390</v>
      </c>
      <c r="AD11" s="204">
        <f>SUM(AB11)</f>
        <v>239</v>
      </c>
      <c r="AE11" s="204">
        <f t="shared" si="11"/>
        <v>2390</v>
      </c>
      <c r="AF11" s="204">
        <f>SUM(AD11)</f>
        <v>239</v>
      </c>
      <c r="AG11" s="204">
        <f t="shared" si="12"/>
        <v>2390</v>
      </c>
      <c r="AH11" s="204">
        <f>SUM(AF11)</f>
        <v>239</v>
      </c>
      <c r="AI11" s="204">
        <f t="shared" si="13"/>
        <v>2390</v>
      </c>
      <c r="AJ11" s="204">
        <f>SUM(AH11)</f>
        <v>239</v>
      </c>
      <c r="AK11" s="204">
        <f t="shared" si="14"/>
        <v>2390</v>
      </c>
      <c r="AL11" s="204">
        <f>SUM(AJ11)</f>
        <v>239</v>
      </c>
      <c r="AM11" s="204">
        <f t="shared" si="15"/>
        <v>2390</v>
      </c>
      <c r="AN11" s="35">
        <f>SUM(AO11/19600)</f>
        <v>0.85357142857142854</v>
      </c>
      <c r="AO11" s="36">
        <f t="shared" si="17"/>
        <v>16730</v>
      </c>
      <c r="AP11" s="573"/>
      <c r="AQ11" s="224">
        <f t="shared" si="37"/>
        <v>0.77310787038482764</v>
      </c>
      <c r="AR11" s="38">
        <f t="shared" si="41"/>
        <v>71875.838709677424</v>
      </c>
      <c r="AS11" s="198">
        <f>SUM(AR11-AR10-AT11)</f>
        <v>0</v>
      </c>
      <c r="AT11" s="358"/>
      <c r="AU11" s="442"/>
      <c r="AV11" s="525">
        <f>IF(AT11&gt;0,AU11,AV10)</f>
        <v>0.49</v>
      </c>
      <c r="AW11" s="293">
        <f>-SUM('B5'!AI10)</f>
        <v>0</v>
      </c>
      <c r="AX11" s="293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7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233</v>
      </c>
      <c r="C12" s="204">
        <f t="shared" si="18"/>
        <v>5013.2580645161288</v>
      </c>
      <c r="D12">
        <f t="shared" si="19"/>
        <v>233</v>
      </c>
      <c r="E12" s="204">
        <f t="shared" si="18"/>
        <v>5013.2580645161288</v>
      </c>
      <c r="F12">
        <f t="shared" si="20"/>
        <v>233</v>
      </c>
      <c r="G12" s="204">
        <f t="shared" si="1"/>
        <v>5013.2580645161288</v>
      </c>
      <c r="H12" s="204">
        <f t="shared" si="21"/>
        <v>233</v>
      </c>
      <c r="I12" s="204">
        <f t="shared" si="2"/>
        <v>5013.2580645161288</v>
      </c>
      <c r="J12" s="204">
        <f t="shared" si="22"/>
        <v>233</v>
      </c>
      <c r="K12" s="204">
        <f t="shared" si="3"/>
        <v>5013.2580645161288</v>
      </c>
      <c r="L12" s="204">
        <f t="shared" si="23"/>
        <v>233</v>
      </c>
      <c r="M12" s="204">
        <f t="shared" si="4"/>
        <v>5013.2580645161288</v>
      </c>
      <c r="N12" s="204">
        <f t="shared" si="24"/>
        <v>233</v>
      </c>
      <c r="O12" s="204">
        <f t="shared" si="5"/>
        <v>5013.2580645161288</v>
      </c>
      <c r="P12" s="204">
        <f t="shared" si="25"/>
        <v>233</v>
      </c>
      <c r="Q12" s="204">
        <f t="shared" si="6"/>
        <v>5013.2580645161288</v>
      </c>
      <c r="R12" s="204">
        <f t="shared" si="26"/>
        <v>233</v>
      </c>
      <c r="S12" s="204">
        <f t="shared" si="7"/>
        <v>5013.2580645161288</v>
      </c>
      <c r="T12" s="204">
        <f t="shared" si="27"/>
        <v>233</v>
      </c>
      <c r="U12" s="204">
        <f t="shared" si="8"/>
        <v>5013.2580645161288</v>
      </c>
      <c r="V12" s="204">
        <f t="shared" si="28"/>
        <v>233</v>
      </c>
      <c r="W12" s="204">
        <f t="shared" si="9"/>
        <v>5013.2580645161288</v>
      </c>
      <c r="X12" s="35">
        <f t="shared" si="10"/>
        <v>0.75161290322580643</v>
      </c>
      <c r="Y12" s="36">
        <f t="shared" si="29"/>
        <v>55145.838709677417</v>
      </c>
      <c r="Z12" s="204">
        <f>'B5'!C11</f>
        <v>239</v>
      </c>
      <c r="AA12" s="204">
        <f t="shared" si="30"/>
        <v>2390</v>
      </c>
      <c r="AB12" s="204">
        <f t="shared" si="31"/>
        <v>239</v>
      </c>
      <c r="AC12" s="204">
        <f t="shared" si="30"/>
        <v>2390</v>
      </c>
      <c r="AD12" s="204">
        <f t="shared" si="32"/>
        <v>239</v>
      </c>
      <c r="AE12" s="204">
        <f t="shared" si="11"/>
        <v>2390</v>
      </c>
      <c r="AF12" s="204">
        <f t="shared" si="33"/>
        <v>239</v>
      </c>
      <c r="AG12" s="204">
        <f t="shared" si="12"/>
        <v>2390</v>
      </c>
      <c r="AH12" s="204">
        <f t="shared" si="34"/>
        <v>239</v>
      </c>
      <c r="AI12" s="204">
        <f t="shared" si="13"/>
        <v>2390</v>
      </c>
      <c r="AJ12" s="204">
        <f t="shared" si="35"/>
        <v>239</v>
      </c>
      <c r="AK12" s="204">
        <f t="shared" si="14"/>
        <v>2390</v>
      </c>
      <c r="AL12" s="204">
        <f t="shared" si="36"/>
        <v>239</v>
      </c>
      <c r="AM12" s="204">
        <f t="shared" si="15"/>
        <v>2390</v>
      </c>
      <c r="AN12" s="35">
        <f t="shared" si="16"/>
        <v>0.85357142857142854</v>
      </c>
      <c r="AO12" s="36">
        <f t="shared" si="17"/>
        <v>16730</v>
      </c>
      <c r="AP12" s="573"/>
      <c r="AQ12" s="224">
        <f t="shared" si="37"/>
        <v>0.77310787038482764</v>
      </c>
      <c r="AR12" s="38">
        <f t="shared" si="41"/>
        <v>71875.838709677424</v>
      </c>
      <c r="AS12" s="198">
        <f>SUM(AR12-AR11-AT12)</f>
        <v>0</v>
      </c>
      <c r="AT12" s="273"/>
      <c r="AU12" s="484"/>
      <c r="AV12" s="525">
        <f t="shared" si="42"/>
        <v>0.49</v>
      </c>
      <c r="AW12" s="293">
        <f>-SUM('B5'!AI11)</f>
        <v>0</v>
      </c>
      <c r="AX12" s="293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7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233</v>
      </c>
      <c r="C13" s="204">
        <f t="shared" si="18"/>
        <v>5013.2580645161288</v>
      </c>
      <c r="D13">
        <f t="shared" si="19"/>
        <v>233</v>
      </c>
      <c r="E13" s="204">
        <f t="shared" si="18"/>
        <v>5013.2580645161288</v>
      </c>
      <c r="F13">
        <f t="shared" si="20"/>
        <v>233</v>
      </c>
      <c r="G13" s="204">
        <f t="shared" si="1"/>
        <v>5013.2580645161288</v>
      </c>
      <c r="H13" s="204">
        <f t="shared" si="21"/>
        <v>233</v>
      </c>
      <c r="I13" s="204">
        <f t="shared" si="2"/>
        <v>5013.2580645161288</v>
      </c>
      <c r="J13" s="204">
        <f t="shared" si="22"/>
        <v>233</v>
      </c>
      <c r="K13" s="204">
        <f t="shared" si="3"/>
        <v>5013.2580645161288</v>
      </c>
      <c r="L13" s="204">
        <f t="shared" si="23"/>
        <v>233</v>
      </c>
      <c r="M13" s="204">
        <f t="shared" si="4"/>
        <v>5013.2580645161288</v>
      </c>
      <c r="N13" s="204">
        <f t="shared" si="24"/>
        <v>233</v>
      </c>
      <c r="O13" s="204">
        <f t="shared" si="5"/>
        <v>5013.2580645161288</v>
      </c>
      <c r="P13" s="204">
        <f t="shared" si="25"/>
        <v>233</v>
      </c>
      <c r="Q13" s="204">
        <f t="shared" si="6"/>
        <v>5013.2580645161288</v>
      </c>
      <c r="R13" s="204">
        <f t="shared" si="26"/>
        <v>233</v>
      </c>
      <c r="S13" s="204">
        <f t="shared" si="7"/>
        <v>5013.2580645161288</v>
      </c>
      <c r="T13" s="204">
        <f t="shared" si="27"/>
        <v>233</v>
      </c>
      <c r="U13" s="204">
        <f t="shared" si="8"/>
        <v>5013.2580645161288</v>
      </c>
      <c r="V13" s="204">
        <f t="shared" si="28"/>
        <v>233</v>
      </c>
      <c r="W13" s="204">
        <f t="shared" si="9"/>
        <v>5013.2580645161288</v>
      </c>
      <c r="X13" s="35">
        <f t="shared" si="10"/>
        <v>0.75161290322580643</v>
      </c>
      <c r="Y13" s="36">
        <f t="shared" si="29"/>
        <v>55145.838709677417</v>
      </c>
      <c r="Z13" s="204">
        <f>'B5'!C12</f>
        <v>239</v>
      </c>
      <c r="AA13" s="204">
        <f t="shared" si="30"/>
        <v>2390</v>
      </c>
      <c r="AB13" s="204">
        <f t="shared" si="31"/>
        <v>239</v>
      </c>
      <c r="AC13" s="204">
        <f t="shared" si="30"/>
        <v>2390</v>
      </c>
      <c r="AD13" s="204">
        <f t="shared" si="32"/>
        <v>239</v>
      </c>
      <c r="AE13" s="204">
        <f t="shared" si="11"/>
        <v>2390</v>
      </c>
      <c r="AF13" s="204">
        <f t="shared" si="33"/>
        <v>239</v>
      </c>
      <c r="AG13" s="204">
        <f t="shared" si="12"/>
        <v>2390</v>
      </c>
      <c r="AH13" s="204">
        <f t="shared" si="34"/>
        <v>239</v>
      </c>
      <c r="AI13" s="204">
        <f t="shared" si="13"/>
        <v>2390</v>
      </c>
      <c r="AJ13" s="204">
        <f t="shared" si="35"/>
        <v>239</v>
      </c>
      <c r="AK13" s="204">
        <f t="shared" si="14"/>
        <v>2390</v>
      </c>
      <c r="AL13" s="204">
        <f t="shared" si="36"/>
        <v>239</v>
      </c>
      <c r="AM13" s="204">
        <f t="shared" si="15"/>
        <v>2390</v>
      </c>
      <c r="AN13" s="35">
        <f t="shared" si="16"/>
        <v>0.85357142857142854</v>
      </c>
      <c r="AO13" s="36">
        <f t="shared" si="17"/>
        <v>16730</v>
      </c>
      <c r="AP13" s="573"/>
      <c r="AQ13" s="224">
        <f t="shared" si="37"/>
        <v>0.77310787038482764</v>
      </c>
      <c r="AR13" s="38">
        <f t="shared" si="41"/>
        <v>71875.838709677424</v>
      </c>
      <c r="AS13" s="198">
        <f t="shared" si="38"/>
        <v>0</v>
      </c>
      <c r="AT13" s="273"/>
      <c r="AU13" s="442"/>
      <c r="AV13" s="525">
        <f t="shared" si="42"/>
        <v>0.49</v>
      </c>
      <c r="AW13" s="293">
        <f>-SUM('B5'!AI12)</f>
        <v>0</v>
      </c>
      <c r="AX13" s="293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7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233</v>
      </c>
      <c r="C14" s="204">
        <f t="shared" si="18"/>
        <v>5013.2580645161288</v>
      </c>
      <c r="D14">
        <f t="shared" si="19"/>
        <v>233</v>
      </c>
      <c r="E14" s="204">
        <f t="shared" si="18"/>
        <v>5013.2580645161288</v>
      </c>
      <c r="F14">
        <f t="shared" si="20"/>
        <v>233</v>
      </c>
      <c r="G14" s="204">
        <f t="shared" si="1"/>
        <v>5013.2580645161288</v>
      </c>
      <c r="H14" s="204">
        <f t="shared" si="21"/>
        <v>233</v>
      </c>
      <c r="I14" s="204">
        <f t="shared" si="2"/>
        <v>5013.2580645161288</v>
      </c>
      <c r="J14" s="204">
        <f t="shared" si="22"/>
        <v>233</v>
      </c>
      <c r="K14" s="204">
        <f t="shared" si="3"/>
        <v>5013.2580645161288</v>
      </c>
      <c r="L14" s="204">
        <f t="shared" si="23"/>
        <v>233</v>
      </c>
      <c r="M14" s="204">
        <f t="shared" si="4"/>
        <v>5013.2580645161288</v>
      </c>
      <c r="N14" s="204">
        <f t="shared" si="24"/>
        <v>233</v>
      </c>
      <c r="O14" s="204">
        <f t="shared" si="5"/>
        <v>5013.2580645161288</v>
      </c>
      <c r="P14" s="204">
        <f t="shared" si="25"/>
        <v>233</v>
      </c>
      <c r="Q14" s="204">
        <f t="shared" si="6"/>
        <v>5013.2580645161288</v>
      </c>
      <c r="R14" s="204">
        <f t="shared" si="26"/>
        <v>233</v>
      </c>
      <c r="S14" s="204">
        <f t="shared" si="7"/>
        <v>5013.2580645161288</v>
      </c>
      <c r="T14" s="204">
        <f t="shared" si="27"/>
        <v>233</v>
      </c>
      <c r="U14" s="204">
        <f t="shared" si="8"/>
        <v>5013.2580645161288</v>
      </c>
      <c r="V14" s="204">
        <f t="shared" si="28"/>
        <v>233</v>
      </c>
      <c r="W14" s="204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4">
        <f>'B5'!C13</f>
        <v>239</v>
      </c>
      <c r="AA14" s="204">
        <f t="shared" si="30"/>
        <v>2390</v>
      </c>
      <c r="AB14" s="204">
        <f t="shared" si="31"/>
        <v>239</v>
      </c>
      <c r="AC14" s="204">
        <f t="shared" si="30"/>
        <v>2390</v>
      </c>
      <c r="AD14" s="204">
        <f t="shared" si="32"/>
        <v>239</v>
      </c>
      <c r="AE14" s="204">
        <f t="shared" si="11"/>
        <v>2390</v>
      </c>
      <c r="AF14" s="204">
        <f t="shared" si="33"/>
        <v>239</v>
      </c>
      <c r="AG14" s="204">
        <f t="shared" si="12"/>
        <v>2390</v>
      </c>
      <c r="AH14" s="204">
        <f t="shared" si="34"/>
        <v>239</v>
      </c>
      <c r="AI14" s="204">
        <f t="shared" si="13"/>
        <v>2390</v>
      </c>
      <c r="AJ14" s="204">
        <f t="shared" si="35"/>
        <v>239</v>
      </c>
      <c r="AK14" s="204">
        <f t="shared" si="14"/>
        <v>2390</v>
      </c>
      <c r="AL14" s="204">
        <f t="shared" si="36"/>
        <v>239</v>
      </c>
      <c r="AM14" s="204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4">
        <f t="shared" si="37"/>
        <v>0.77310787038482764</v>
      </c>
      <c r="AR14" s="38">
        <f t="shared" si="41"/>
        <v>71875.838709677424</v>
      </c>
      <c r="AS14" s="198">
        <f>SUM(AR14-AR13-AT14)</f>
        <v>0</v>
      </c>
      <c r="AT14" s="273"/>
      <c r="AU14" s="484"/>
      <c r="AV14" s="525">
        <f t="shared" si="42"/>
        <v>0.49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7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233</v>
      </c>
      <c r="C15" s="204">
        <f t="shared" si="18"/>
        <v>5013.2580645161288</v>
      </c>
      <c r="D15">
        <f t="shared" si="19"/>
        <v>233</v>
      </c>
      <c r="E15" s="204">
        <f t="shared" si="18"/>
        <v>5013.2580645161288</v>
      </c>
      <c r="F15">
        <f t="shared" si="20"/>
        <v>233</v>
      </c>
      <c r="G15" s="204">
        <f t="shared" si="1"/>
        <v>5013.2580645161288</v>
      </c>
      <c r="H15" s="204">
        <f t="shared" si="21"/>
        <v>233</v>
      </c>
      <c r="I15" s="204">
        <f t="shared" si="2"/>
        <v>5013.2580645161288</v>
      </c>
      <c r="J15" s="204">
        <f t="shared" si="22"/>
        <v>233</v>
      </c>
      <c r="K15" s="204">
        <f t="shared" si="3"/>
        <v>5013.2580645161288</v>
      </c>
      <c r="L15" s="204">
        <f t="shared" si="23"/>
        <v>233</v>
      </c>
      <c r="M15" s="204">
        <f t="shared" si="4"/>
        <v>5013.2580645161288</v>
      </c>
      <c r="N15" s="204">
        <f t="shared" si="24"/>
        <v>233</v>
      </c>
      <c r="O15" s="204">
        <f t="shared" si="5"/>
        <v>5013.2580645161288</v>
      </c>
      <c r="P15" s="204">
        <f t="shared" si="25"/>
        <v>233</v>
      </c>
      <c r="Q15" s="204">
        <f t="shared" si="6"/>
        <v>5013.2580645161288</v>
      </c>
      <c r="R15" s="204">
        <f t="shared" si="26"/>
        <v>233</v>
      </c>
      <c r="S15" s="204">
        <f t="shared" si="7"/>
        <v>5013.2580645161288</v>
      </c>
      <c r="T15" s="204">
        <f t="shared" si="27"/>
        <v>233</v>
      </c>
      <c r="U15" s="204">
        <f t="shared" si="8"/>
        <v>5013.2580645161288</v>
      </c>
      <c r="V15" s="204">
        <f t="shared" si="28"/>
        <v>233</v>
      </c>
      <c r="W15" s="204">
        <f t="shared" si="9"/>
        <v>5013.2580645161288</v>
      </c>
      <c r="X15" s="35">
        <f t="shared" si="10"/>
        <v>0.75161290322580643</v>
      </c>
      <c r="Y15" s="36">
        <f t="shared" si="29"/>
        <v>55145.838709677417</v>
      </c>
      <c r="Z15" s="204">
        <f>'B5'!C14</f>
        <v>239</v>
      </c>
      <c r="AA15" s="204">
        <f t="shared" si="30"/>
        <v>2390</v>
      </c>
      <c r="AB15" s="204">
        <f t="shared" si="31"/>
        <v>239</v>
      </c>
      <c r="AC15" s="204">
        <f t="shared" si="30"/>
        <v>2390</v>
      </c>
      <c r="AD15" s="204">
        <f t="shared" si="32"/>
        <v>239</v>
      </c>
      <c r="AE15" s="204">
        <f t="shared" si="11"/>
        <v>2390</v>
      </c>
      <c r="AF15" s="204">
        <f t="shared" si="33"/>
        <v>239</v>
      </c>
      <c r="AG15" s="204">
        <f t="shared" si="12"/>
        <v>2390</v>
      </c>
      <c r="AH15" s="204">
        <f t="shared" si="34"/>
        <v>239</v>
      </c>
      <c r="AI15" s="204">
        <f t="shared" si="13"/>
        <v>2390</v>
      </c>
      <c r="AJ15" s="204">
        <f t="shared" si="35"/>
        <v>239</v>
      </c>
      <c r="AK15" s="204">
        <f t="shared" si="14"/>
        <v>2390</v>
      </c>
      <c r="AL15" s="204">
        <f t="shared" si="36"/>
        <v>239</v>
      </c>
      <c r="AM15" s="204">
        <f t="shared" si="15"/>
        <v>2390</v>
      </c>
      <c r="AN15" s="35">
        <f t="shared" si="16"/>
        <v>0.85357142857142854</v>
      </c>
      <c r="AO15" s="36">
        <f t="shared" si="17"/>
        <v>16730</v>
      </c>
      <c r="AQ15" s="224">
        <f t="shared" si="37"/>
        <v>0.77310787038482764</v>
      </c>
      <c r="AR15" s="38">
        <f t="shared" si="41"/>
        <v>71875.838709677424</v>
      </c>
      <c r="AS15" s="198">
        <f>SUM(AR15-AR14-AT15)</f>
        <v>0</v>
      </c>
      <c r="AT15" s="273"/>
      <c r="AU15" s="442"/>
      <c r="AV15" s="525">
        <f>IF(AT15&gt;0,AU15,AV14)</f>
        <v>0.49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233</v>
      </c>
      <c r="C16" s="204">
        <f t="shared" si="18"/>
        <v>5013.2580645161288</v>
      </c>
      <c r="D16">
        <f t="shared" si="19"/>
        <v>233</v>
      </c>
      <c r="E16" s="204">
        <f t="shared" si="18"/>
        <v>5013.2580645161288</v>
      </c>
      <c r="F16">
        <f t="shared" si="20"/>
        <v>233</v>
      </c>
      <c r="G16" s="204">
        <f t="shared" si="1"/>
        <v>5013.2580645161288</v>
      </c>
      <c r="H16" s="204">
        <f t="shared" si="21"/>
        <v>233</v>
      </c>
      <c r="I16" s="204">
        <f t="shared" si="2"/>
        <v>5013.2580645161288</v>
      </c>
      <c r="J16" s="204">
        <f t="shared" si="22"/>
        <v>233</v>
      </c>
      <c r="K16" s="204">
        <f t="shared" si="3"/>
        <v>5013.2580645161288</v>
      </c>
      <c r="L16" s="204">
        <f t="shared" si="23"/>
        <v>233</v>
      </c>
      <c r="M16" s="204">
        <f t="shared" si="4"/>
        <v>5013.2580645161288</v>
      </c>
      <c r="N16" s="204">
        <f t="shared" si="24"/>
        <v>233</v>
      </c>
      <c r="O16" s="204">
        <f t="shared" si="5"/>
        <v>5013.2580645161288</v>
      </c>
      <c r="P16" s="204">
        <f t="shared" si="25"/>
        <v>233</v>
      </c>
      <c r="Q16" s="204">
        <f t="shared" si="6"/>
        <v>5013.2580645161288</v>
      </c>
      <c r="R16" s="204">
        <f t="shared" si="26"/>
        <v>233</v>
      </c>
      <c r="S16" s="204">
        <f t="shared" si="7"/>
        <v>5013.2580645161288</v>
      </c>
      <c r="T16" s="204">
        <f t="shared" si="27"/>
        <v>233</v>
      </c>
      <c r="U16" s="204">
        <f t="shared" si="8"/>
        <v>5013.2580645161288</v>
      </c>
      <c r="V16" s="204">
        <f t="shared" si="28"/>
        <v>233</v>
      </c>
      <c r="W16" s="204">
        <f t="shared" si="9"/>
        <v>5013.2580645161288</v>
      </c>
      <c r="X16" s="35">
        <f t="shared" si="10"/>
        <v>0.75161290322580643</v>
      </c>
      <c r="Y16" s="36">
        <f t="shared" si="29"/>
        <v>55145.838709677417</v>
      </c>
      <c r="Z16" s="204">
        <f>'B5'!C15</f>
        <v>239</v>
      </c>
      <c r="AA16" s="204">
        <f t="shared" si="30"/>
        <v>2390</v>
      </c>
      <c r="AB16" s="204">
        <f t="shared" si="31"/>
        <v>239</v>
      </c>
      <c r="AC16" s="204">
        <f t="shared" si="30"/>
        <v>2390</v>
      </c>
      <c r="AD16" s="204">
        <f t="shared" si="32"/>
        <v>239</v>
      </c>
      <c r="AE16" s="204">
        <f t="shared" si="11"/>
        <v>2390</v>
      </c>
      <c r="AF16" s="204">
        <f t="shared" si="33"/>
        <v>239</v>
      </c>
      <c r="AG16" s="204">
        <f t="shared" si="12"/>
        <v>2390</v>
      </c>
      <c r="AH16" s="204">
        <f t="shared" si="34"/>
        <v>239</v>
      </c>
      <c r="AI16" s="204">
        <f t="shared" si="13"/>
        <v>2390</v>
      </c>
      <c r="AJ16" s="204">
        <f t="shared" si="35"/>
        <v>239</v>
      </c>
      <c r="AK16" s="204">
        <f t="shared" si="14"/>
        <v>2390</v>
      </c>
      <c r="AL16" s="204">
        <f t="shared" si="36"/>
        <v>239</v>
      </c>
      <c r="AM16" s="204">
        <f t="shared" si="15"/>
        <v>2390</v>
      </c>
      <c r="AN16" s="35">
        <f t="shared" si="16"/>
        <v>0.85357142857142854</v>
      </c>
      <c r="AO16" s="36">
        <f t="shared" si="17"/>
        <v>16730</v>
      </c>
      <c r="AQ16" s="224">
        <f t="shared" si="37"/>
        <v>0.77310787038482764</v>
      </c>
      <c r="AR16" s="38">
        <f t="shared" si="41"/>
        <v>71875.838709677424</v>
      </c>
      <c r="AS16" s="198">
        <f>SUM(AR16-AR15-AT16)</f>
        <v>0</v>
      </c>
      <c r="AT16" s="358"/>
      <c r="AU16" s="442"/>
      <c r="AV16" s="525">
        <f>IF(AT16&gt;0,AU16,AV15)</f>
        <v>0.49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233</v>
      </c>
      <c r="C17" s="204">
        <f t="shared" si="18"/>
        <v>5013.2580645161288</v>
      </c>
      <c r="D17">
        <f t="shared" si="19"/>
        <v>233</v>
      </c>
      <c r="E17" s="204">
        <f t="shared" si="18"/>
        <v>5013.2580645161288</v>
      </c>
      <c r="F17">
        <f t="shared" si="20"/>
        <v>233</v>
      </c>
      <c r="G17" s="204">
        <f t="shared" si="1"/>
        <v>5013.2580645161288</v>
      </c>
      <c r="H17" s="204">
        <f t="shared" si="21"/>
        <v>233</v>
      </c>
      <c r="I17" s="204">
        <f t="shared" si="2"/>
        <v>5013.2580645161288</v>
      </c>
      <c r="J17" s="204">
        <f t="shared" si="22"/>
        <v>233</v>
      </c>
      <c r="K17" s="204">
        <f t="shared" si="3"/>
        <v>5013.2580645161288</v>
      </c>
      <c r="L17" s="204">
        <f t="shared" si="23"/>
        <v>233</v>
      </c>
      <c r="M17" s="204">
        <f t="shared" si="4"/>
        <v>5013.2580645161288</v>
      </c>
      <c r="N17" s="204">
        <f t="shared" si="24"/>
        <v>233</v>
      </c>
      <c r="O17" s="204">
        <f t="shared" si="5"/>
        <v>5013.2580645161288</v>
      </c>
      <c r="P17" s="204">
        <f t="shared" si="25"/>
        <v>233</v>
      </c>
      <c r="Q17" s="204">
        <f t="shared" si="6"/>
        <v>5013.2580645161288</v>
      </c>
      <c r="R17" s="204">
        <f t="shared" si="26"/>
        <v>233</v>
      </c>
      <c r="S17" s="204">
        <f t="shared" si="7"/>
        <v>5013.2580645161288</v>
      </c>
      <c r="T17" s="204">
        <f t="shared" si="27"/>
        <v>233</v>
      </c>
      <c r="U17" s="204">
        <f t="shared" si="8"/>
        <v>5013.2580645161288</v>
      </c>
      <c r="V17" s="204">
        <f t="shared" si="28"/>
        <v>233</v>
      </c>
      <c r="W17" s="204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4">
        <f>'B5'!C16</f>
        <v>239</v>
      </c>
      <c r="AA17" s="204">
        <f t="shared" si="30"/>
        <v>2390</v>
      </c>
      <c r="AB17" s="204">
        <f t="shared" si="31"/>
        <v>239</v>
      </c>
      <c r="AC17" s="204">
        <f t="shared" si="30"/>
        <v>2390</v>
      </c>
      <c r="AD17" s="204">
        <f t="shared" si="32"/>
        <v>239</v>
      </c>
      <c r="AE17" s="204">
        <f t="shared" si="11"/>
        <v>2390</v>
      </c>
      <c r="AF17" s="204">
        <f t="shared" si="33"/>
        <v>239</v>
      </c>
      <c r="AG17" s="204">
        <f t="shared" si="12"/>
        <v>2390</v>
      </c>
      <c r="AH17" s="204">
        <f t="shared" si="34"/>
        <v>239</v>
      </c>
      <c r="AI17" s="204">
        <f t="shared" si="13"/>
        <v>2390</v>
      </c>
      <c r="AJ17" s="204">
        <f t="shared" si="35"/>
        <v>239</v>
      </c>
      <c r="AK17" s="204">
        <f t="shared" si="14"/>
        <v>2390</v>
      </c>
      <c r="AL17" s="204">
        <f t="shared" si="36"/>
        <v>239</v>
      </c>
      <c r="AM17" s="204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4">
        <f t="shared" si="37"/>
        <v>0.77310787038482764</v>
      </c>
      <c r="AR17" s="38">
        <f t="shared" si="41"/>
        <v>71875.838709677424</v>
      </c>
      <c r="AS17" s="198">
        <f t="shared" si="38"/>
        <v>0</v>
      </c>
      <c r="AT17" s="358"/>
      <c r="AU17" s="484"/>
      <c r="AV17" s="525">
        <f t="shared" si="42"/>
        <v>0.49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233</v>
      </c>
      <c r="C18" s="204">
        <f t="shared" si="18"/>
        <v>5013.2580645161288</v>
      </c>
      <c r="D18">
        <f t="shared" si="19"/>
        <v>233</v>
      </c>
      <c r="E18" s="204">
        <f t="shared" si="18"/>
        <v>5013.2580645161288</v>
      </c>
      <c r="F18">
        <f t="shared" si="20"/>
        <v>233</v>
      </c>
      <c r="G18" s="204">
        <f t="shared" si="1"/>
        <v>5013.2580645161288</v>
      </c>
      <c r="H18" s="204">
        <f t="shared" si="21"/>
        <v>233</v>
      </c>
      <c r="I18" s="204">
        <f t="shared" si="2"/>
        <v>5013.2580645161288</v>
      </c>
      <c r="J18" s="204">
        <f t="shared" si="22"/>
        <v>233</v>
      </c>
      <c r="K18" s="204">
        <f t="shared" si="3"/>
        <v>5013.2580645161288</v>
      </c>
      <c r="L18" s="204">
        <f t="shared" si="23"/>
        <v>233</v>
      </c>
      <c r="M18" s="204">
        <f t="shared" si="4"/>
        <v>5013.2580645161288</v>
      </c>
      <c r="N18" s="204">
        <f t="shared" si="24"/>
        <v>233</v>
      </c>
      <c r="O18" s="204">
        <f t="shared" si="5"/>
        <v>5013.2580645161288</v>
      </c>
      <c r="P18" s="204">
        <f t="shared" si="25"/>
        <v>233</v>
      </c>
      <c r="Q18" s="204">
        <f t="shared" si="6"/>
        <v>5013.2580645161288</v>
      </c>
      <c r="R18" s="204">
        <f t="shared" si="26"/>
        <v>233</v>
      </c>
      <c r="S18" s="204">
        <f t="shared" si="7"/>
        <v>5013.2580645161288</v>
      </c>
      <c r="T18" s="204">
        <f t="shared" si="27"/>
        <v>233</v>
      </c>
      <c r="U18" s="204">
        <f t="shared" si="8"/>
        <v>5013.2580645161288</v>
      </c>
      <c r="V18" s="204">
        <f t="shared" si="28"/>
        <v>233</v>
      </c>
      <c r="W18" s="204">
        <f t="shared" si="9"/>
        <v>5013.2580645161288</v>
      </c>
      <c r="X18" s="35">
        <f t="shared" si="10"/>
        <v>0.75161290322580643</v>
      </c>
      <c r="Y18" s="36">
        <f t="shared" si="29"/>
        <v>55145.838709677417</v>
      </c>
      <c r="Z18" s="204">
        <f>'B5'!C17</f>
        <v>239</v>
      </c>
      <c r="AA18" s="204">
        <f t="shared" si="30"/>
        <v>2390</v>
      </c>
      <c r="AB18" s="204">
        <f t="shared" si="31"/>
        <v>239</v>
      </c>
      <c r="AC18" s="204">
        <f t="shared" si="30"/>
        <v>2390</v>
      </c>
      <c r="AD18" s="204">
        <f t="shared" si="32"/>
        <v>239</v>
      </c>
      <c r="AE18" s="204">
        <f t="shared" si="11"/>
        <v>2390</v>
      </c>
      <c r="AF18" s="204">
        <f t="shared" si="33"/>
        <v>239</v>
      </c>
      <c r="AG18" s="204">
        <f t="shared" si="12"/>
        <v>2390</v>
      </c>
      <c r="AH18" s="204">
        <f t="shared" si="34"/>
        <v>239</v>
      </c>
      <c r="AI18" s="204">
        <f t="shared" si="13"/>
        <v>2390</v>
      </c>
      <c r="AJ18" s="204">
        <f t="shared" si="35"/>
        <v>239</v>
      </c>
      <c r="AK18" s="204">
        <f t="shared" si="14"/>
        <v>2390</v>
      </c>
      <c r="AL18" s="204">
        <f t="shared" si="36"/>
        <v>239</v>
      </c>
      <c r="AM18" s="204">
        <f t="shared" si="15"/>
        <v>2390</v>
      </c>
      <c r="AN18" s="35">
        <f t="shared" si="16"/>
        <v>0.85357142857142854</v>
      </c>
      <c r="AO18" s="36">
        <f t="shared" si="17"/>
        <v>16730</v>
      </c>
      <c r="AQ18" s="224">
        <f t="shared" si="37"/>
        <v>0.77310787038482764</v>
      </c>
      <c r="AR18" s="38">
        <f t="shared" si="41"/>
        <v>71875.838709677424</v>
      </c>
      <c r="AS18" s="198">
        <f t="shared" si="38"/>
        <v>0</v>
      </c>
      <c r="AT18" s="273"/>
      <c r="AU18" s="442"/>
      <c r="AV18" s="525">
        <f>IF(AT18&gt;0,AU18,AV17)</f>
        <v>0.49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233</v>
      </c>
      <c r="C19" s="204">
        <f t="shared" si="18"/>
        <v>5013.2580645161288</v>
      </c>
      <c r="D19">
        <f t="shared" si="19"/>
        <v>233</v>
      </c>
      <c r="E19" s="204">
        <f t="shared" si="18"/>
        <v>5013.2580645161288</v>
      </c>
      <c r="F19">
        <f t="shared" si="20"/>
        <v>233</v>
      </c>
      <c r="G19" s="204">
        <f t="shared" si="1"/>
        <v>5013.2580645161288</v>
      </c>
      <c r="H19" s="204">
        <f t="shared" si="21"/>
        <v>233</v>
      </c>
      <c r="I19" s="204">
        <f t="shared" si="2"/>
        <v>5013.2580645161288</v>
      </c>
      <c r="J19" s="204">
        <f t="shared" si="22"/>
        <v>233</v>
      </c>
      <c r="K19" s="204">
        <f t="shared" si="3"/>
        <v>5013.2580645161288</v>
      </c>
      <c r="L19" s="204">
        <f t="shared" si="23"/>
        <v>233</v>
      </c>
      <c r="M19" s="204">
        <f t="shared" si="4"/>
        <v>5013.2580645161288</v>
      </c>
      <c r="N19" s="204">
        <f t="shared" si="24"/>
        <v>233</v>
      </c>
      <c r="O19" s="204">
        <f t="shared" si="5"/>
        <v>5013.2580645161288</v>
      </c>
      <c r="P19" s="204">
        <f t="shared" si="25"/>
        <v>233</v>
      </c>
      <c r="Q19" s="204">
        <f t="shared" si="6"/>
        <v>5013.2580645161288</v>
      </c>
      <c r="R19" s="204">
        <f t="shared" si="26"/>
        <v>233</v>
      </c>
      <c r="S19" s="204">
        <f t="shared" si="7"/>
        <v>5013.2580645161288</v>
      </c>
      <c r="T19" s="204">
        <f t="shared" si="27"/>
        <v>233</v>
      </c>
      <c r="U19" s="204">
        <f t="shared" si="8"/>
        <v>5013.2580645161288</v>
      </c>
      <c r="V19" s="204">
        <f t="shared" si="28"/>
        <v>233</v>
      </c>
      <c r="W19" s="204">
        <f t="shared" si="9"/>
        <v>5013.2580645161288</v>
      </c>
      <c r="X19" s="35">
        <f t="shared" si="10"/>
        <v>0.75161290322580643</v>
      </c>
      <c r="Y19" s="36">
        <f t="shared" si="29"/>
        <v>55145.838709677417</v>
      </c>
      <c r="Z19" s="204">
        <f>'B5'!C18</f>
        <v>239</v>
      </c>
      <c r="AA19" s="204">
        <f t="shared" si="30"/>
        <v>2390</v>
      </c>
      <c r="AB19" s="204">
        <f t="shared" si="31"/>
        <v>239</v>
      </c>
      <c r="AC19" s="204">
        <f t="shared" si="30"/>
        <v>2390</v>
      </c>
      <c r="AD19" s="204">
        <f t="shared" si="32"/>
        <v>239</v>
      </c>
      <c r="AE19" s="204">
        <f t="shared" si="11"/>
        <v>2390</v>
      </c>
      <c r="AF19" s="204">
        <f t="shared" si="33"/>
        <v>239</v>
      </c>
      <c r="AG19" s="204">
        <f t="shared" si="12"/>
        <v>2390</v>
      </c>
      <c r="AH19" s="204">
        <f t="shared" si="34"/>
        <v>239</v>
      </c>
      <c r="AI19" s="204">
        <f t="shared" si="13"/>
        <v>2390</v>
      </c>
      <c r="AJ19" s="204">
        <f t="shared" si="35"/>
        <v>239</v>
      </c>
      <c r="AK19" s="204">
        <f t="shared" si="14"/>
        <v>2390</v>
      </c>
      <c r="AL19" s="204">
        <f t="shared" si="36"/>
        <v>239</v>
      </c>
      <c r="AM19" s="204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4">
        <f t="shared" si="37"/>
        <v>0.77310787038482764</v>
      </c>
      <c r="AR19" s="38">
        <f t="shared" si="41"/>
        <v>71875.838709677424</v>
      </c>
      <c r="AS19" s="198">
        <f t="shared" si="38"/>
        <v>0</v>
      </c>
      <c r="AT19" s="273"/>
      <c r="AU19" s="442"/>
      <c r="AV19" s="525">
        <f t="shared" si="42"/>
        <v>0.49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233</v>
      </c>
      <c r="C20" s="204">
        <f t="shared" si="18"/>
        <v>5013.2580645161288</v>
      </c>
      <c r="D20">
        <f t="shared" si="19"/>
        <v>233</v>
      </c>
      <c r="E20" s="204">
        <f t="shared" si="18"/>
        <v>5013.2580645161288</v>
      </c>
      <c r="F20">
        <f t="shared" si="20"/>
        <v>233</v>
      </c>
      <c r="G20" s="204">
        <f t="shared" si="1"/>
        <v>5013.2580645161288</v>
      </c>
      <c r="H20" s="204">
        <f t="shared" si="21"/>
        <v>233</v>
      </c>
      <c r="I20" s="204">
        <f t="shared" si="2"/>
        <v>5013.2580645161288</v>
      </c>
      <c r="J20" s="204">
        <f t="shared" si="22"/>
        <v>233</v>
      </c>
      <c r="K20" s="204">
        <f t="shared" si="3"/>
        <v>5013.2580645161288</v>
      </c>
      <c r="L20" s="204">
        <f t="shared" si="23"/>
        <v>233</v>
      </c>
      <c r="M20" s="204">
        <f t="shared" si="4"/>
        <v>5013.2580645161288</v>
      </c>
      <c r="N20" s="204">
        <f t="shared" si="24"/>
        <v>233</v>
      </c>
      <c r="O20" s="204">
        <f t="shared" si="5"/>
        <v>5013.2580645161288</v>
      </c>
      <c r="P20" s="204">
        <f t="shared" si="25"/>
        <v>233</v>
      </c>
      <c r="Q20" s="204">
        <f t="shared" si="6"/>
        <v>5013.2580645161288</v>
      </c>
      <c r="R20" s="204">
        <f t="shared" si="26"/>
        <v>233</v>
      </c>
      <c r="S20" s="204">
        <f t="shared" si="7"/>
        <v>5013.2580645161288</v>
      </c>
      <c r="T20" s="204">
        <f t="shared" si="27"/>
        <v>233</v>
      </c>
      <c r="U20" s="204">
        <f t="shared" si="8"/>
        <v>5013.2580645161288</v>
      </c>
      <c r="V20" s="204">
        <f t="shared" si="28"/>
        <v>233</v>
      </c>
      <c r="W20" s="204">
        <f t="shared" si="9"/>
        <v>5013.2580645161288</v>
      </c>
      <c r="X20" s="35">
        <f t="shared" si="10"/>
        <v>0.75161290322580643</v>
      </c>
      <c r="Y20" s="36">
        <f t="shared" si="29"/>
        <v>55145.838709677417</v>
      </c>
      <c r="Z20" s="204">
        <f>'B5'!C19</f>
        <v>239</v>
      </c>
      <c r="AA20" s="204">
        <f t="shared" si="30"/>
        <v>2390</v>
      </c>
      <c r="AB20" s="204">
        <f t="shared" si="31"/>
        <v>239</v>
      </c>
      <c r="AC20" s="204">
        <f t="shared" si="30"/>
        <v>2390</v>
      </c>
      <c r="AD20" s="204">
        <f t="shared" si="32"/>
        <v>239</v>
      </c>
      <c r="AE20" s="204">
        <f t="shared" si="11"/>
        <v>2390</v>
      </c>
      <c r="AF20" s="204">
        <f t="shared" si="33"/>
        <v>239</v>
      </c>
      <c r="AG20" s="204">
        <f t="shared" si="12"/>
        <v>2390</v>
      </c>
      <c r="AH20" s="204">
        <f t="shared" si="34"/>
        <v>239</v>
      </c>
      <c r="AI20" s="204">
        <f t="shared" si="13"/>
        <v>2390</v>
      </c>
      <c r="AJ20" s="204">
        <f t="shared" si="35"/>
        <v>239</v>
      </c>
      <c r="AK20" s="204">
        <f t="shared" si="14"/>
        <v>2390</v>
      </c>
      <c r="AL20" s="204">
        <f t="shared" si="36"/>
        <v>239</v>
      </c>
      <c r="AM20" s="204">
        <f t="shared" si="15"/>
        <v>2390</v>
      </c>
      <c r="AN20" s="35">
        <f t="shared" si="16"/>
        <v>0.85357142857142854</v>
      </c>
      <c r="AO20" s="36">
        <f t="shared" si="17"/>
        <v>16730</v>
      </c>
      <c r="AQ20" s="224">
        <f t="shared" si="37"/>
        <v>0.77310787038482764</v>
      </c>
      <c r="AR20" s="38">
        <f t="shared" si="41"/>
        <v>71875.838709677424</v>
      </c>
      <c r="AS20" s="198">
        <f t="shared" si="38"/>
        <v>0</v>
      </c>
      <c r="AT20" s="273"/>
      <c r="AU20" s="442"/>
      <c r="AV20" s="525">
        <f t="shared" si="42"/>
        <v>0.49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233</v>
      </c>
      <c r="C21" s="204">
        <f t="shared" si="18"/>
        <v>5013.2580645161288</v>
      </c>
      <c r="D21">
        <f t="shared" si="19"/>
        <v>233</v>
      </c>
      <c r="E21" s="204">
        <f t="shared" si="18"/>
        <v>5013.2580645161288</v>
      </c>
      <c r="F21">
        <f t="shared" si="20"/>
        <v>233</v>
      </c>
      <c r="G21" s="204">
        <f t="shared" si="1"/>
        <v>5013.2580645161288</v>
      </c>
      <c r="H21" s="204">
        <f t="shared" si="21"/>
        <v>233</v>
      </c>
      <c r="I21" s="204">
        <f t="shared" si="2"/>
        <v>5013.2580645161288</v>
      </c>
      <c r="J21" s="204">
        <f t="shared" si="22"/>
        <v>233</v>
      </c>
      <c r="K21" s="204">
        <f t="shared" si="3"/>
        <v>5013.2580645161288</v>
      </c>
      <c r="L21" s="204">
        <f t="shared" si="23"/>
        <v>233</v>
      </c>
      <c r="M21" s="204">
        <f t="shared" si="4"/>
        <v>5013.2580645161288</v>
      </c>
      <c r="N21" s="204">
        <f t="shared" si="24"/>
        <v>233</v>
      </c>
      <c r="O21" s="204">
        <f t="shared" si="5"/>
        <v>5013.2580645161288</v>
      </c>
      <c r="P21" s="204">
        <f t="shared" si="25"/>
        <v>233</v>
      </c>
      <c r="Q21" s="204">
        <f t="shared" si="6"/>
        <v>5013.2580645161288</v>
      </c>
      <c r="R21" s="204">
        <f t="shared" si="26"/>
        <v>233</v>
      </c>
      <c r="S21" s="204">
        <f t="shared" si="7"/>
        <v>5013.2580645161288</v>
      </c>
      <c r="T21" s="204">
        <f t="shared" si="27"/>
        <v>233</v>
      </c>
      <c r="U21" s="204">
        <f t="shared" si="8"/>
        <v>5013.2580645161288</v>
      </c>
      <c r="V21" s="204">
        <f t="shared" si="28"/>
        <v>233</v>
      </c>
      <c r="W21" s="204">
        <f t="shared" si="9"/>
        <v>5013.2580645161288</v>
      </c>
      <c r="X21" s="35">
        <f t="shared" si="10"/>
        <v>0.75161290322580643</v>
      </c>
      <c r="Y21" s="36">
        <f t="shared" si="29"/>
        <v>55145.838709677417</v>
      </c>
      <c r="Z21" s="204">
        <f>'B5'!C20</f>
        <v>239</v>
      </c>
      <c r="AA21" s="204">
        <f t="shared" si="30"/>
        <v>2390</v>
      </c>
      <c r="AB21" s="204">
        <f t="shared" si="31"/>
        <v>239</v>
      </c>
      <c r="AC21" s="204">
        <f t="shared" si="30"/>
        <v>2390</v>
      </c>
      <c r="AD21" s="204">
        <f t="shared" si="32"/>
        <v>239</v>
      </c>
      <c r="AE21" s="204">
        <f t="shared" si="11"/>
        <v>2390</v>
      </c>
      <c r="AF21" s="204">
        <f t="shared" si="33"/>
        <v>239</v>
      </c>
      <c r="AG21" s="204">
        <f t="shared" si="12"/>
        <v>2390</v>
      </c>
      <c r="AH21" s="204">
        <f t="shared" si="34"/>
        <v>239</v>
      </c>
      <c r="AI21" s="204">
        <f t="shared" si="13"/>
        <v>2390</v>
      </c>
      <c r="AJ21" s="204">
        <f t="shared" si="35"/>
        <v>239</v>
      </c>
      <c r="AK21" s="204">
        <f t="shared" si="14"/>
        <v>2390</v>
      </c>
      <c r="AL21" s="204">
        <f t="shared" si="36"/>
        <v>239</v>
      </c>
      <c r="AM21" s="204">
        <f t="shared" si="15"/>
        <v>2390</v>
      </c>
      <c r="AN21" s="35">
        <f t="shared" si="16"/>
        <v>0.85357142857142854</v>
      </c>
      <c r="AO21" s="36">
        <f t="shared" si="17"/>
        <v>16730</v>
      </c>
      <c r="AQ21" s="224">
        <f t="shared" si="37"/>
        <v>0.77310787038482764</v>
      </c>
      <c r="AR21" s="38">
        <f t="shared" si="41"/>
        <v>71875.838709677424</v>
      </c>
      <c r="AS21" s="198">
        <f t="shared" si="38"/>
        <v>0</v>
      </c>
      <c r="AT21" s="273"/>
      <c r="AU21" s="442"/>
      <c r="AV21" s="525">
        <f t="shared" si="42"/>
        <v>0.49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233</v>
      </c>
      <c r="C22" s="204">
        <f t="shared" si="18"/>
        <v>5013.2580645161288</v>
      </c>
      <c r="D22">
        <f t="shared" si="19"/>
        <v>233</v>
      </c>
      <c r="E22" s="204">
        <f t="shared" si="18"/>
        <v>5013.2580645161288</v>
      </c>
      <c r="F22">
        <f t="shared" si="20"/>
        <v>233</v>
      </c>
      <c r="G22" s="204">
        <f t="shared" si="1"/>
        <v>5013.2580645161288</v>
      </c>
      <c r="H22" s="204">
        <f t="shared" si="21"/>
        <v>233</v>
      </c>
      <c r="I22" s="204">
        <f t="shared" si="2"/>
        <v>5013.2580645161288</v>
      </c>
      <c r="J22" s="204">
        <f t="shared" si="22"/>
        <v>233</v>
      </c>
      <c r="K22" s="204">
        <f t="shared" si="3"/>
        <v>5013.2580645161288</v>
      </c>
      <c r="L22" s="204">
        <f t="shared" si="23"/>
        <v>233</v>
      </c>
      <c r="M22" s="204">
        <f t="shared" si="4"/>
        <v>5013.2580645161288</v>
      </c>
      <c r="N22" s="204">
        <f t="shared" si="24"/>
        <v>233</v>
      </c>
      <c r="O22" s="204">
        <f t="shared" si="5"/>
        <v>5013.2580645161288</v>
      </c>
      <c r="P22" s="204">
        <f t="shared" si="25"/>
        <v>233</v>
      </c>
      <c r="Q22" s="204">
        <f t="shared" si="6"/>
        <v>5013.2580645161288</v>
      </c>
      <c r="R22" s="204">
        <f t="shared" si="26"/>
        <v>233</v>
      </c>
      <c r="S22" s="204">
        <f t="shared" si="7"/>
        <v>5013.2580645161288</v>
      </c>
      <c r="T22" s="204">
        <f t="shared" si="27"/>
        <v>233</v>
      </c>
      <c r="U22" s="204">
        <f t="shared" si="8"/>
        <v>5013.2580645161288</v>
      </c>
      <c r="V22" s="204">
        <f t="shared" si="28"/>
        <v>233</v>
      </c>
      <c r="W22" s="204">
        <f t="shared" si="9"/>
        <v>5013.2580645161288</v>
      </c>
      <c r="X22" s="35">
        <f t="shared" si="10"/>
        <v>0.75161290322580643</v>
      </c>
      <c r="Y22" s="36">
        <f t="shared" si="29"/>
        <v>55145.838709677417</v>
      </c>
      <c r="Z22" s="204">
        <f>'B5'!C21</f>
        <v>239</v>
      </c>
      <c r="AA22" s="204">
        <f t="shared" si="30"/>
        <v>2390</v>
      </c>
      <c r="AB22" s="204">
        <f t="shared" si="31"/>
        <v>239</v>
      </c>
      <c r="AC22" s="204">
        <f t="shared" si="30"/>
        <v>2390</v>
      </c>
      <c r="AD22" s="204">
        <f t="shared" si="32"/>
        <v>239</v>
      </c>
      <c r="AE22" s="204">
        <f t="shared" si="11"/>
        <v>2390</v>
      </c>
      <c r="AF22" s="204">
        <f t="shared" si="33"/>
        <v>239</v>
      </c>
      <c r="AG22" s="204">
        <f t="shared" si="12"/>
        <v>2390</v>
      </c>
      <c r="AH22" s="204">
        <f t="shared" si="34"/>
        <v>239</v>
      </c>
      <c r="AI22" s="204">
        <f t="shared" si="13"/>
        <v>2390</v>
      </c>
      <c r="AJ22" s="204">
        <f t="shared" si="35"/>
        <v>239</v>
      </c>
      <c r="AK22" s="204">
        <f t="shared" si="14"/>
        <v>2390</v>
      </c>
      <c r="AL22" s="204">
        <f t="shared" si="36"/>
        <v>239</v>
      </c>
      <c r="AM22" s="204">
        <f t="shared" si="15"/>
        <v>2390</v>
      </c>
      <c r="AN22" s="35">
        <f t="shared" si="16"/>
        <v>0.85357142857142854</v>
      </c>
      <c r="AO22" s="36">
        <f t="shared" si="17"/>
        <v>16730</v>
      </c>
      <c r="AQ22" s="224">
        <f t="shared" si="37"/>
        <v>0.77310787038482764</v>
      </c>
      <c r="AR22" s="38">
        <f t="shared" si="41"/>
        <v>71875.838709677424</v>
      </c>
      <c r="AS22" s="198">
        <f t="shared" si="38"/>
        <v>0</v>
      </c>
      <c r="AT22" s="273"/>
      <c r="AU22" s="442"/>
      <c r="AV22" s="525">
        <f t="shared" si="42"/>
        <v>0.49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233</v>
      </c>
      <c r="C23" s="204">
        <f t="shared" si="18"/>
        <v>5013.2580645161288</v>
      </c>
      <c r="D23">
        <f t="shared" si="19"/>
        <v>233</v>
      </c>
      <c r="E23" s="204">
        <f t="shared" si="18"/>
        <v>5013.2580645161288</v>
      </c>
      <c r="F23">
        <f t="shared" si="20"/>
        <v>233</v>
      </c>
      <c r="G23" s="204">
        <f t="shared" si="1"/>
        <v>5013.2580645161288</v>
      </c>
      <c r="H23" s="204">
        <f t="shared" si="21"/>
        <v>233</v>
      </c>
      <c r="I23" s="204">
        <f t="shared" si="2"/>
        <v>5013.2580645161288</v>
      </c>
      <c r="J23" s="204">
        <f t="shared" si="22"/>
        <v>233</v>
      </c>
      <c r="K23" s="204">
        <f t="shared" si="3"/>
        <v>5013.2580645161288</v>
      </c>
      <c r="L23" s="204">
        <f t="shared" si="23"/>
        <v>233</v>
      </c>
      <c r="M23" s="204">
        <f t="shared" si="4"/>
        <v>5013.2580645161288</v>
      </c>
      <c r="N23" s="204">
        <f t="shared" si="24"/>
        <v>233</v>
      </c>
      <c r="O23" s="204">
        <f t="shared" si="5"/>
        <v>5013.2580645161288</v>
      </c>
      <c r="P23" s="204">
        <f t="shared" si="25"/>
        <v>233</v>
      </c>
      <c r="Q23" s="204">
        <f t="shared" si="6"/>
        <v>5013.2580645161288</v>
      </c>
      <c r="R23" s="204">
        <f t="shared" si="26"/>
        <v>233</v>
      </c>
      <c r="S23" s="204">
        <f t="shared" si="7"/>
        <v>5013.2580645161288</v>
      </c>
      <c r="T23" s="204">
        <f t="shared" si="27"/>
        <v>233</v>
      </c>
      <c r="U23" s="204">
        <f t="shared" si="8"/>
        <v>5013.2580645161288</v>
      </c>
      <c r="V23" s="204">
        <f t="shared" si="28"/>
        <v>233</v>
      </c>
      <c r="W23" s="204">
        <f t="shared" si="9"/>
        <v>5013.2580645161288</v>
      </c>
      <c r="X23" s="35">
        <f t="shared" si="10"/>
        <v>0.75161290322580643</v>
      </c>
      <c r="Y23" s="36">
        <f t="shared" si="29"/>
        <v>55145.838709677417</v>
      </c>
      <c r="Z23" s="204">
        <f>'B5'!C22</f>
        <v>239</v>
      </c>
      <c r="AA23" s="204">
        <f t="shared" si="30"/>
        <v>2390</v>
      </c>
      <c r="AB23" s="204">
        <f t="shared" si="31"/>
        <v>239</v>
      </c>
      <c r="AC23" s="204">
        <f t="shared" si="30"/>
        <v>2390</v>
      </c>
      <c r="AD23" s="204">
        <f t="shared" si="32"/>
        <v>239</v>
      </c>
      <c r="AE23" s="204">
        <f t="shared" si="11"/>
        <v>2390</v>
      </c>
      <c r="AF23" s="204">
        <f t="shared" si="33"/>
        <v>239</v>
      </c>
      <c r="AG23" s="204">
        <f t="shared" si="12"/>
        <v>2390</v>
      </c>
      <c r="AH23" s="204">
        <f t="shared" si="34"/>
        <v>239</v>
      </c>
      <c r="AI23" s="204">
        <f t="shared" si="13"/>
        <v>2390</v>
      </c>
      <c r="AJ23" s="204">
        <f t="shared" si="35"/>
        <v>239</v>
      </c>
      <c r="AK23" s="204">
        <f t="shared" si="14"/>
        <v>2390</v>
      </c>
      <c r="AL23" s="204">
        <f t="shared" si="36"/>
        <v>239</v>
      </c>
      <c r="AM23" s="204">
        <f t="shared" si="15"/>
        <v>2390</v>
      </c>
      <c r="AN23" s="35">
        <f t="shared" si="16"/>
        <v>0.85357142857142854</v>
      </c>
      <c r="AO23" s="36">
        <f t="shared" si="17"/>
        <v>16730</v>
      </c>
      <c r="AQ23" s="224">
        <f t="shared" si="37"/>
        <v>0.77310787038482764</v>
      </c>
      <c r="AR23" s="38">
        <f t="shared" si="41"/>
        <v>71875.838709677424</v>
      </c>
      <c r="AS23" s="198">
        <f t="shared" si="38"/>
        <v>0</v>
      </c>
      <c r="AT23" s="273"/>
      <c r="AU23" s="442"/>
      <c r="AV23" s="525">
        <f t="shared" si="42"/>
        <v>0.49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233</v>
      </c>
      <c r="C24" s="204">
        <f t="shared" si="18"/>
        <v>5013.2580645161288</v>
      </c>
      <c r="D24">
        <f t="shared" si="19"/>
        <v>233</v>
      </c>
      <c r="E24" s="204">
        <f t="shared" si="18"/>
        <v>5013.2580645161288</v>
      </c>
      <c r="F24">
        <f t="shared" si="20"/>
        <v>233</v>
      </c>
      <c r="G24" s="204">
        <f t="shared" si="1"/>
        <v>5013.2580645161288</v>
      </c>
      <c r="H24" s="204">
        <f t="shared" si="21"/>
        <v>233</v>
      </c>
      <c r="I24" s="204">
        <f t="shared" si="2"/>
        <v>5013.2580645161288</v>
      </c>
      <c r="J24" s="204">
        <f t="shared" si="22"/>
        <v>233</v>
      </c>
      <c r="K24" s="204">
        <f t="shared" si="3"/>
        <v>5013.2580645161288</v>
      </c>
      <c r="L24" s="204">
        <f t="shared" si="23"/>
        <v>233</v>
      </c>
      <c r="M24" s="204">
        <f t="shared" si="4"/>
        <v>5013.2580645161288</v>
      </c>
      <c r="N24" s="204">
        <f t="shared" si="24"/>
        <v>233</v>
      </c>
      <c r="O24" s="204">
        <f t="shared" si="5"/>
        <v>5013.2580645161288</v>
      </c>
      <c r="P24" s="204">
        <f t="shared" si="25"/>
        <v>233</v>
      </c>
      <c r="Q24" s="204">
        <f t="shared" si="6"/>
        <v>5013.2580645161288</v>
      </c>
      <c r="R24" s="204">
        <f t="shared" si="26"/>
        <v>233</v>
      </c>
      <c r="S24" s="204">
        <f t="shared" si="7"/>
        <v>5013.2580645161288</v>
      </c>
      <c r="T24" s="204">
        <f t="shared" si="27"/>
        <v>233</v>
      </c>
      <c r="U24" s="204">
        <f t="shared" si="8"/>
        <v>5013.2580645161288</v>
      </c>
      <c r="V24" s="204">
        <f t="shared" si="28"/>
        <v>233</v>
      </c>
      <c r="W24" s="204">
        <f t="shared" si="9"/>
        <v>5013.2580645161288</v>
      </c>
      <c r="X24" s="35">
        <f t="shared" si="10"/>
        <v>0.75161290322580643</v>
      </c>
      <c r="Y24" s="36">
        <f t="shared" si="29"/>
        <v>55145.838709677417</v>
      </c>
      <c r="Z24" s="204">
        <f>'B5'!C23</f>
        <v>239</v>
      </c>
      <c r="AA24" s="204">
        <f t="shared" si="30"/>
        <v>2390</v>
      </c>
      <c r="AB24" s="204">
        <f t="shared" si="31"/>
        <v>239</v>
      </c>
      <c r="AC24" s="204">
        <f t="shared" si="30"/>
        <v>2390</v>
      </c>
      <c r="AD24" s="204">
        <f t="shared" si="32"/>
        <v>239</v>
      </c>
      <c r="AE24" s="204">
        <f t="shared" si="11"/>
        <v>2390</v>
      </c>
      <c r="AF24" s="204">
        <f t="shared" si="33"/>
        <v>239</v>
      </c>
      <c r="AG24" s="204">
        <f t="shared" si="12"/>
        <v>2390</v>
      </c>
      <c r="AH24" s="204">
        <f t="shared" si="34"/>
        <v>239</v>
      </c>
      <c r="AI24" s="204">
        <f t="shared" si="13"/>
        <v>2390</v>
      </c>
      <c r="AJ24" s="204">
        <f t="shared" si="35"/>
        <v>239</v>
      </c>
      <c r="AK24" s="204">
        <f t="shared" si="14"/>
        <v>2390</v>
      </c>
      <c r="AL24" s="204">
        <f t="shared" si="36"/>
        <v>239</v>
      </c>
      <c r="AM24" s="204">
        <f t="shared" si="15"/>
        <v>2390</v>
      </c>
      <c r="AN24" s="35">
        <f t="shared" si="16"/>
        <v>0.85357142857142854</v>
      </c>
      <c r="AO24" s="36">
        <f t="shared" si="17"/>
        <v>16730</v>
      </c>
      <c r="AQ24" s="224">
        <f t="shared" si="37"/>
        <v>0.77310787038482764</v>
      </c>
      <c r="AR24" s="38">
        <f t="shared" si="41"/>
        <v>71875.838709677424</v>
      </c>
      <c r="AS24" s="198">
        <f t="shared" si="38"/>
        <v>0</v>
      </c>
      <c r="AT24" s="273"/>
      <c r="AU24" s="442"/>
      <c r="AV24" s="525">
        <f t="shared" si="42"/>
        <v>0.49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233</v>
      </c>
      <c r="C25" s="204">
        <f t="shared" si="18"/>
        <v>5013.2580645161288</v>
      </c>
      <c r="D25">
        <f t="shared" si="19"/>
        <v>233</v>
      </c>
      <c r="E25" s="204">
        <f t="shared" si="18"/>
        <v>5013.2580645161288</v>
      </c>
      <c r="F25">
        <f t="shared" si="20"/>
        <v>233</v>
      </c>
      <c r="G25" s="204">
        <f t="shared" si="1"/>
        <v>5013.2580645161288</v>
      </c>
      <c r="H25" s="204">
        <f t="shared" si="21"/>
        <v>233</v>
      </c>
      <c r="I25" s="204">
        <f t="shared" si="2"/>
        <v>5013.2580645161288</v>
      </c>
      <c r="J25" s="204">
        <f t="shared" si="22"/>
        <v>233</v>
      </c>
      <c r="K25" s="204">
        <f t="shared" si="3"/>
        <v>5013.2580645161288</v>
      </c>
      <c r="L25" s="204">
        <f t="shared" si="23"/>
        <v>233</v>
      </c>
      <c r="M25" s="204">
        <f t="shared" si="4"/>
        <v>5013.2580645161288</v>
      </c>
      <c r="N25" s="204">
        <f t="shared" si="24"/>
        <v>233</v>
      </c>
      <c r="O25" s="204">
        <f t="shared" si="5"/>
        <v>5013.2580645161288</v>
      </c>
      <c r="P25" s="204">
        <f t="shared" si="25"/>
        <v>233</v>
      </c>
      <c r="Q25" s="204">
        <f t="shared" si="6"/>
        <v>5013.2580645161288</v>
      </c>
      <c r="R25" s="204">
        <f t="shared" si="26"/>
        <v>233</v>
      </c>
      <c r="S25" s="204">
        <f t="shared" si="7"/>
        <v>5013.2580645161288</v>
      </c>
      <c r="T25" s="204">
        <f t="shared" si="27"/>
        <v>233</v>
      </c>
      <c r="U25" s="204">
        <f t="shared" si="8"/>
        <v>5013.2580645161288</v>
      </c>
      <c r="V25" s="204">
        <f t="shared" si="28"/>
        <v>233</v>
      </c>
      <c r="W25" s="204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4">
        <f>'B5'!C24</f>
        <v>239</v>
      </c>
      <c r="AA25" s="204">
        <f t="shared" si="30"/>
        <v>2390</v>
      </c>
      <c r="AB25" s="204">
        <f t="shared" si="31"/>
        <v>239</v>
      </c>
      <c r="AC25" s="204">
        <f t="shared" si="30"/>
        <v>2390</v>
      </c>
      <c r="AD25" s="204">
        <f t="shared" si="32"/>
        <v>239</v>
      </c>
      <c r="AE25" s="204">
        <f t="shared" si="11"/>
        <v>2390</v>
      </c>
      <c r="AF25" s="204">
        <f t="shared" si="33"/>
        <v>239</v>
      </c>
      <c r="AG25" s="204">
        <f t="shared" si="12"/>
        <v>2390</v>
      </c>
      <c r="AH25" s="204">
        <f t="shared" si="34"/>
        <v>239</v>
      </c>
      <c r="AI25" s="204">
        <f t="shared" si="13"/>
        <v>2390</v>
      </c>
      <c r="AJ25" s="204">
        <f t="shared" si="35"/>
        <v>239</v>
      </c>
      <c r="AK25" s="204">
        <f t="shared" si="14"/>
        <v>2390</v>
      </c>
      <c r="AL25" s="204">
        <f t="shared" si="36"/>
        <v>239</v>
      </c>
      <c r="AM25" s="204">
        <f t="shared" si="15"/>
        <v>2390</v>
      </c>
      <c r="AN25" s="35">
        <f t="shared" si="16"/>
        <v>0.85357142857142854</v>
      </c>
      <c r="AO25" s="36">
        <f t="shared" si="17"/>
        <v>16730</v>
      </c>
      <c r="AQ25" s="224">
        <f t="shared" si="37"/>
        <v>0.77310787038482764</v>
      </c>
      <c r="AR25" s="38">
        <f t="shared" si="41"/>
        <v>71875.838709677424</v>
      </c>
      <c r="AS25" s="198">
        <f t="shared" si="38"/>
        <v>0</v>
      </c>
      <c r="AT25" s="273"/>
      <c r="AU25" s="442"/>
      <c r="AV25" s="525">
        <f t="shared" si="42"/>
        <v>0.49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233</v>
      </c>
      <c r="C26" s="204">
        <f t="shared" si="18"/>
        <v>5013.2580645161288</v>
      </c>
      <c r="D26">
        <f t="shared" si="19"/>
        <v>233</v>
      </c>
      <c r="E26" s="204">
        <f t="shared" si="18"/>
        <v>5013.2580645161288</v>
      </c>
      <c r="F26">
        <f t="shared" si="20"/>
        <v>233</v>
      </c>
      <c r="G26" s="204">
        <f t="shared" si="1"/>
        <v>5013.2580645161288</v>
      </c>
      <c r="H26" s="204">
        <f t="shared" si="21"/>
        <v>233</v>
      </c>
      <c r="I26" s="204">
        <f t="shared" si="2"/>
        <v>5013.2580645161288</v>
      </c>
      <c r="J26" s="204">
        <f t="shared" si="22"/>
        <v>233</v>
      </c>
      <c r="K26" s="204">
        <f t="shared" si="3"/>
        <v>5013.2580645161288</v>
      </c>
      <c r="L26" s="204">
        <f t="shared" si="23"/>
        <v>233</v>
      </c>
      <c r="M26" s="204">
        <f t="shared" si="4"/>
        <v>5013.2580645161288</v>
      </c>
      <c r="N26" s="204">
        <f t="shared" si="24"/>
        <v>233</v>
      </c>
      <c r="O26" s="204">
        <f t="shared" si="5"/>
        <v>5013.2580645161288</v>
      </c>
      <c r="P26" s="204">
        <f t="shared" si="25"/>
        <v>233</v>
      </c>
      <c r="Q26" s="204">
        <f t="shared" si="6"/>
        <v>5013.2580645161288</v>
      </c>
      <c r="R26" s="204">
        <f t="shared" si="26"/>
        <v>233</v>
      </c>
      <c r="S26" s="204">
        <f t="shared" si="7"/>
        <v>5013.2580645161288</v>
      </c>
      <c r="T26" s="204">
        <f t="shared" si="27"/>
        <v>233</v>
      </c>
      <c r="U26" s="204">
        <f t="shared" si="8"/>
        <v>5013.2580645161288</v>
      </c>
      <c r="V26" s="204">
        <f t="shared" si="28"/>
        <v>233</v>
      </c>
      <c r="W26" s="204">
        <f t="shared" si="9"/>
        <v>5013.2580645161288</v>
      </c>
      <c r="X26" s="35">
        <f t="shared" si="10"/>
        <v>0.75161290322580643</v>
      </c>
      <c r="Y26" s="36">
        <f t="shared" si="29"/>
        <v>55145.838709677417</v>
      </c>
      <c r="Z26" s="204">
        <f>'B5'!C25</f>
        <v>239</v>
      </c>
      <c r="AA26" s="204">
        <f t="shared" si="30"/>
        <v>2390</v>
      </c>
      <c r="AB26" s="204">
        <f t="shared" si="31"/>
        <v>239</v>
      </c>
      <c r="AC26" s="204">
        <f t="shared" si="30"/>
        <v>2390</v>
      </c>
      <c r="AD26" s="204">
        <f t="shared" si="32"/>
        <v>239</v>
      </c>
      <c r="AE26" s="204">
        <f t="shared" si="11"/>
        <v>2390</v>
      </c>
      <c r="AF26" s="204">
        <f t="shared" si="33"/>
        <v>239</v>
      </c>
      <c r="AG26" s="204">
        <f t="shared" si="12"/>
        <v>2390</v>
      </c>
      <c r="AH26" s="204">
        <f t="shared" si="34"/>
        <v>239</v>
      </c>
      <c r="AI26" s="204">
        <f t="shared" si="13"/>
        <v>2390</v>
      </c>
      <c r="AJ26" s="204">
        <f t="shared" si="35"/>
        <v>239</v>
      </c>
      <c r="AK26" s="204">
        <f t="shared" si="14"/>
        <v>2390</v>
      </c>
      <c r="AL26" s="204">
        <f t="shared" si="36"/>
        <v>239</v>
      </c>
      <c r="AM26" s="204">
        <f t="shared" si="15"/>
        <v>2390</v>
      </c>
      <c r="AN26" s="35">
        <f t="shared" si="16"/>
        <v>0.85357142857142854</v>
      </c>
      <c r="AO26" s="36">
        <f t="shared" si="17"/>
        <v>16730</v>
      </c>
      <c r="AQ26" s="224">
        <f t="shared" si="37"/>
        <v>0.77310787038482764</v>
      </c>
      <c r="AR26" s="38">
        <f t="shared" si="41"/>
        <v>71875.838709677424</v>
      </c>
      <c r="AS26" s="198">
        <f t="shared" si="38"/>
        <v>0</v>
      </c>
      <c r="AT26" s="273"/>
      <c r="AU26" s="442"/>
      <c r="AV26" s="525">
        <f t="shared" si="42"/>
        <v>0.49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233</v>
      </c>
      <c r="C27" s="204">
        <f t="shared" si="18"/>
        <v>5013.2580645161288</v>
      </c>
      <c r="D27">
        <f t="shared" si="19"/>
        <v>233</v>
      </c>
      <c r="E27" s="204">
        <f t="shared" si="18"/>
        <v>5013.2580645161288</v>
      </c>
      <c r="F27">
        <f t="shared" si="20"/>
        <v>233</v>
      </c>
      <c r="G27" s="204">
        <f t="shared" si="1"/>
        <v>5013.2580645161288</v>
      </c>
      <c r="H27" s="204">
        <f t="shared" si="21"/>
        <v>233</v>
      </c>
      <c r="I27" s="204">
        <f t="shared" si="2"/>
        <v>5013.2580645161288</v>
      </c>
      <c r="J27" s="204">
        <f t="shared" si="22"/>
        <v>233</v>
      </c>
      <c r="K27" s="204">
        <f t="shared" si="3"/>
        <v>5013.2580645161288</v>
      </c>
      <c r="L27" s="204">
        <f t="shared" si="23"/>
        <v>233</v>
      </c>
      <c r="M27" s="204">
        <f t="shared" si="4"/>
        <v>5013.2580645161288</v>
      </c>
      <c r="N27" s="204">
        <f t="shared" si="24"/>
        <v>233</v>
      </c>
      <c r="O27" s="204">
        <f t="shared" si="5"/>
        <v>5013.2580645161288</v>
      </c>
      <c r="P27" s="204">
        <f t="shared" si="25"/>
        <v>233</v>
      </c>
      <c r="Q27" s="204">
        <f t="shared" si="6"/>
        <v>5013.2580645161288</v>
      </c>
      <c r="R27" s="204">
        <f t="shared" si="26"/>
        <v>233</v>
      </c>
      <c r="S27" s="204">
        <f t="shared" si="7"/>
        <v>5013.2580645161288</v>
      </c>
      <c r="T27" s="204">
        <f t="shared" si="27"/>
        <v>233</v>
      </c>
      <c r="U27" s="204">
        <f t="shared" si="8"/>
        <v>5013.2580645161288</v>
      </c>
      <c r="V27" s="204">
        <f t="shared" si="28"/>
        <v>233</v>
      </c>
      <c r="W27" s="204">
        <f t="shared" si="9"/>
        <v>5013.2580645161288</v>
      </c>
      <c r="X27" s="35">
        <f t="shared" si="10"/>
        <v>0.75161290322580643</v>
      </c>
      <c r="Y27" s="36">
        <f t="shared" si="29"/>
        <v>55145.838709677417</v>
      </c>
      <c r="Z27" s="204">
        <f>'B5'!C26</f>
        <v>239</v>
      </c>
      <c r="AA27" s="204">
        <f t="shared" si="30"/>
        <v>2390</v>
      </c>
      <c r="AB27" s="204">
        <f t="shared" si="31"/>
        <v>239</v>
      </c>
      <c r="AC27" s="204">
        <f t="shared" si="30"/>
        <v>2390</v>
      </c>
      <c r="AD27" s="204">
        <f t="shared" si="32"/>
        <v>239</v>
      </c>
      <c r="AE27" s="204">
        <f t="shared" si="11"/>
        <v>2390</v>
      </c>
      <c r="AF27" s="204">
        <f t="shared" si="33"/>
        <v>239</v>
      </c>
      <c r="AG27" s="204">
        <f t="shared" si="12"/>
        <v>2390</v>
      </c>
      <c r="AH27" s="204">
        <f t="shared" si="34"/>
        <v>239</v>
      </c>
      <c r="AI27" s="204">
        <f t="shared" si="13"/>
        <v>2390</v>
      </c>
      <c r="AJ27" s="204">
        <f t="shared" si="35"/>
        <v>239</v>
      </c>
      <c r="AK27" s="204">
        <f t="shared" si="14"/>
        <v>2390</v>
      </c>
      <c r="AL27" s="204">
        <f t="shared" si="36"/>
        <v>239</v>
      </c>
      <c r="AM27" s="204">
        <f t="shared" si="15"/>
        <v>2390</v>
      </c>
      <c r="AN27" s="35">
        <f t="shared" si="16"/>
        <v>0.85357142857142854</v>
      </c>
      <c r="AO27" s="36">
        <f t="shared" si="17"/>
        <v>16730</v>
      </c>
      <c r="AQ27" s="224">
        <f t="shared" si="37"/>
        <v>0.77310787038482764</v>
      </c>
      <c r="AR27" s="38">
        <f t="shared" si="41"/>
        <v>71875.838709677424</v>
      </c>
      <c r="AS27" s="198">
        <f t="shared" si="38"/>
        <v>0</v>
      </c>
      <c r="AT27" s="273"/>
      <c r="AU27" s="442"/>
      <c r="AV27" s="525">
        <f t="shared" si="42"/>
        <v>0.49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233</v>
      </c>
      <c r="C28" s="204">
        <f t="shared" si="18"/>
        <v>5013.2580645161288</v>
      </c>
      <c r="D28">
        <f t="shared" si="19"/>
        <v>233</v>
      </c>
      <c r="E28" s="204">
        <f t="shared" si="18"/>
        <v>5013.2580645161288</v>
      </c>
      <c r="F28">
        <f t="shared" si="20"/>
        <v>233</v>
      </c>
      <c r="G28" s="204">
        <f t="shared" si="1"/>
        <v>5013.2580645161288</v>
      </c>
      <c r="H28" s="204">
        <f t="shared" si="21"/>
        <v>233</v>
      </c>
      <c r="I28" s="204">
        <f t="shared" si="2"/>
        <v>5013.2580645161288</v>
      </c>
      <c r="J28" s="204">
        <f t="shared" si="22"/>
        <v>233</v>
      </c>
      <c r="K28" s="204">
        <f t="shared" si="3"/>
        <v>5013.2580645161288</v>
      </c>
      <c r="L28" s="204">
        <f t="shared" si="23"/>
        <v>233</v>
      </c>
      <c r="M28" s="204">
        <f t="shared" si="4"/>
        <v>5013.2580645161288</v>
      </c>
      <c r="N28" s="204">
        <f t="shared" si="24"/>
        <v>233</v>
      </c>
      <c r="O28" s="204">
        <f t="shared" si="5"/>
        <v>5013.2580645161288</v>
      </c>
      <c r="P28" s="204">
        <f t="shared" si="25"/>
        <v>233</v>
      </c>
      <c r="Q28" s="204">
        <f t="shared" si="6"/>
        <v>5013.2580645161288</v>
      </c>
      <c r="R28" s="204">
        <f t="shared" si="26"/>
        <v>233</v>
      </c>
      <c r="S28" s="204">
        <f t="shared" si="7"/>
        <v>5013.2580645161288</v>
      </c>
      <c r="T28" s="204">
        <f t="shared" si="27"/>
        <v>233</v>
      </c>
      <c r="U28" s="204">
        <f t="shared" si="8"/>
        <v>5013.2580645161288</v>
      </c>
      <c r="V28" s="204">
        <f t="shared" si="28"/>
        <v>233</v>
      </c>
      <c r="W28" s="204">
        <f t="shared" si="9"/>
        <v>5013.2580645161288</v>
      </c>
      <c r="X28" s="35">
        <f t="shared" si="10"/>
        <v>0.75161290322580643</v>
      </c>
      <c r="Y28" s="36">
        <f t="shared" si="29"/>
        <v>55145.838709677417</v>
      </c>
      <c r="Z28" s="204">
        <f>'B5'!C27</f>
        <v>239</v>
      </c>
      <c r="AA28" s="204">
        <f t="shared" si="30"/>
        <v>2390</v>
      </c>
      <c r="AB28" s="204">
        <f t="shared" si="31"/>
        <v>239</v>
      </c>
      <c r="AC28" s="204">
        <f t="shared" si="30"/>
        <v>2390</v>
      </c>
      <c r="AD28" s="204">
        <f t="shared" si="32"/>
        <v>239</v>
      </c>
      <c r="AE28" s="204">
        <f t="shared" si="11"/>
        <v>2390</v>
      </c>
      <c r="AF28" s="204">
        <f t="shared" si="33"/>
        <v>239</v>
      </c>
      <c r="AG28" s="204">
        <f t="shared" si="12"/>
        <v>2390</v>
      </c>
      <c r="AH28" s="204">
        <f t="shared" si="34"/>
        <v>239</v>
      </c>
      <c r="AI28" s="204">
        <f t="shared" si="13"/>
        <v>2390</v>
      </c>
      <c r="AJ28" s="204">
        <f t="shared" si="35"/>
        <v>239</v>
      </c>
      <c r="AK28" s="204">
        <f t="shared" si="14"/>
        <v>2390</v>
      </c>
      <c r="AL28" s="204">
        <f t="shared" si="36"/>
        <v>239</v>
      </c>
      <c r="AM28" s="204">
        <f t="shared" si="15"/>
        <v>2390</v>
      </c>
      <c r="AN28" s="35">
        <f t="shared" si="16"/>
        <v>0.85357142857142854</v>
      </c>
      <c r="AO28" s="36">
        <f t="shared" si="17"/>
        <v>16730</v>
      </c>
      <c r="AQ28" s="224">
        <f t="shared" si="37"/>
        <v>0.77310787038482764</v>
      </c>
      <c r="AR28" s="38">
        <f t="shared" si="41"/>
        <v>71875.838709677424</v>
      </c>
      <c r="AS28" s="198">
        <f t="shared" si="38"/>
        <v>0</v>
      </c>
      <c r="AT28" s="358"/>
      <c r="AU28" s="442"/>
      <c r="AV28" s="525">
        <f t="shared" si="42"/>
        <v>0.49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233</v>
      </c>
      <c r="C29" s="204">
        <f t="shared" si="18"/>
        <v>5013.2580645161288</v>
      </c>
      <c r="D29">
        <f t="shared" si="19"/>
        <v>233</v>
      </c>
      <c r="E29" s="204">
        <f t="shared" si="18"/>
        <v>5013.2580645161288</v>
      </c>
      <c r="F29">
        <f t="shared" si="20"/>
        <v>233</v>
      </c>
      <c r="G29" s="204">
        <f t="shared" si="1"/>
        <v>5013.2580645161288</v>
      </c>
      <c r="H29" s="204">
        <f t="shared" si="21"/>
        <v>233</v>
      </c>
      <c r="I29" s="204">
        <f t="shared" si="2"/>
        <v>5013.2580645161288</v>
      </c>
      <c r="J29" s="204">
        <f t="shared" si="22"/>
        <v>233</v>
      </c>
      <c r="K29" s="204">
        <f t="shared" si="3"/>
        <v>5013.2580645161288</v>
      </c>
      <c r="L29" s="204">
        <f t="shared" si="23"/>
        <v>233</v>
      </c>
      <c r="M29" s="204">
        <f t="shared" si="4"/>
        <v>5013.2580645161288</v>
      </c>
      <c r="N29" s="204">
        <f t="shared" si="24"/>
        <v>233</v>
      </c>
      <c r="O29" s="204">
        <f t="shared" si="5"/>
        <v>5013.2580645161288</v>
      </c>
      <c r="P29" s="204">
        <f t="shared" si="25"/>
        <v>233</v>
      </c>
      <c r="Q29" s="204">
        <f t="shared" si="6"/>
        <v>5013.2580645161288</v>
      </c>
      <c r="R29" s="204">
        <f t="shared" si="26"/>
        <v>233</v>
      </c>
      <c r="S29" s="204">
        <f t="shared" si="7"/>
        <v>5013.2580645161288</v>
      </c>
      <c r="T29" s="204">
        <f t="shared" si="27"/>
        <v>233</v>
      </c>
      <c r="U29" s="204">
        <f t="shared" si="8"/>
        <v>5013.2580645161288</v>
      </c>
      <c r="V29" s="204">
        <f t="shared" si="28"/>
        <v>233</v>
      </c>
      <c r="W29" s="204">
        <f t="shared" si="9"/>
        <v>5013.2580645161288</v>
      </c>
      <c r="X29" s="35">
        <f t="shared" si="10"/>
        <v>0.75161290322580643</v>
      </c>
      <c r="Y29" s="36">
        <f t="shared" si="29"/>
        <v>55145.838709677417</v>
      </c>
      <c r="Z29" s="204">
        <f>'B5'!C28</f>
        <v>239</v>
      </c>
      <c r="AA29" s="204">
        <f t="shared" si="30"/>
        <v>2390</v>
      </c>
      <c r="AB29" s="204">
        <f t="shared" si="31"/>
        <v>239</v>
      </c>
      <c r="AC29" s="204">
        <f t="shared" si="30"/>
        <v>2390</v>
      </c>
      <c r="AD29" s="204">
        <f t="shared" si="32"/>
        <v>239</v>
      </c>
      <c r="AE29" s="204">
        <f t="shared" si="11"/>
        <v>2390</v>
      </c>
      <c r="AF29" s="204">
        <f t="shared" si="33"/>
        <v>239</v>
      </c>
      <c r="AG29" s="204">
        <f t="shared" si="12"/>
        <v>2390</v>
      </c>
      <c r="AH29" s="204">
        <f t="shared" si="34"/>
        <v>239</v>
      </c>
      <c r="AI29" s="204">
        <f t="shared" si="13"/>
        <v>2390</v>
      </c>
      <c r="AJ29" s="204">
        <f t="shared" si="35"/>
        <v>239</v>
      </c>
      <c r="AK29" s="204">
        <f t="shared" si="14"/>
        <v>2390</v>
      </c>
      <c r="AL29" s="204">
        <f t="shared" si="36"/>
        <v>239</v>
      </c>
      <c r="AM29" s="204">
        <f t="shared" si="15"/>
        <v>2390</v>
      </c>
      <c r="AN29" s="35">
        <f t="shared" si="16"/>
        <v>0.85357142857142854</v>
      </c>
      <c r="AO29" s="36">
        <f t="shared" si="17"/>
        <v>16730</v>
      </c>
      <c r="AQ29" s="224">
        <f t="shared" si="37"/>
        <v>0.77310787038482764</v>
      </c>
      <c r="AR29" s="38">
        <f t="shared" si="41"/>
        <v>71875.838709677424</v>
      </c>
      <c r="AS29" s="198">
        <f t="shared" si="38"/>
        <v>0</v>
      </c>
      <c r="AT29" s="358"/>
      <c r="AU29" s="442"/>
      <c r="AV29" s="525">
        <f t="shared" si="42"/>
        <v>0.49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233</v>
      </c>
      <c r="C30" s="204">
        <f t="shared" si="18"/>
        <v>5013.2580645161288</v>
      </c>
      <c r="D30">
        <f t="shared" ref="D30:D35" si="44">SUM(B30)</f>
        <v>233</v>
      </c>
      <c r="E30" s="204">
        <f t="shared" si="18"/>
        <v>5013.2580645161288</v>
      </c>
      <c r="F30">
        <f t="shared" ref="F30:F35" si="45">SUM(D30)</f>
        <v>233</v>
      </c>
      <c r="G30" s="204">
        <f t="shared" si="1"/>
        <v>5013.2580645161288</v>
      </c>
      <c r="H30" s="204">
        <f t="shared" ref="H30:H35" si="46">SUM(F30)</f>
        <v>233</v>
      </c>
      <c r="I30" s="204">
        <f t="shared" si="2"/>
        <v>5013.2580645161288</v>
      </c>
      <c r="J30" s="204">
        <f t="shared" ref="J30:J35" si="47">SUM(H30)</f>
        <v>233</v>
      </c>
      <c r="K30" s="204">
        <f t="shared" si="3"/>
        <v>5013.2580645161288</v>
      </c>
      <c r="L30" s="204">
        <f t="shared" ref="L30:L35" si="48">SUM(J30)</f>
        <v>233</v>
      </c>
      <c r="M30" s="204">
        <f t="shared" si="4"/>
        <v>5013.2580645161288</v>
      </c>
      <c r="N30" s="204">
        <f t="shared" ref="N30:N35" si="49">SUM(L30)</f>
        <v>233</v>
      </c>
      <c r="O30" s="204">
        <f t="shared" si="5"/>
        <v>5013.2580645161288</v>
      </c>
      <c r="P30" s="204">
        <f t="shared" ref="P30:P35" si="50">SUM(N30)</f>
        <v>233</v>
      </c>
      <c r="Q30" s="204">
        <f t="shared" si="6"/>
        <v>5013.2580645161288</v>
      </c>
      <c r="R30" s="204">
        <f t="shared" ref="R30:R35" si="51">SUM(P30)</f>
        <v>233</v>
      </c>
      <c r="S30" s="204">
        <f t="shared" si="7"/>
        <v>5013.2580645161288</v>
      </c>
      <c r="T30" s="204">
        <f t="shared" ref="T30:T35" si="52">SUM(R30)</f>
        <v>233</v>
      </c>
      <c r="U30" s="204">
        <f t="shared" si="8"/>
        <v>5013.2580645161288</v>
      </c>
      <c r="V30" s="204">
        <f t="shared" ref="V30:V35" si="53">SUM(T30)</f>
        <v>233</v>
      </c>
      <c r="W30" s="204">
        <f t="shared" si="9"/>
        <v>5013.2580645161288</v>
      </c>
      <c r="X30" s="35">
        <f t="shared" ref="X30:X35" si="54">SUM(Y30/73370)</f>
        <v>0.75161290322580643</v>
      </c>
      <c r="Y30" s="36">
        <f t="shared" ref="Y30:Y35" si="55">SUM(C30+E30+G30+I30+K30+M30+O30+Q30+S30+U30+W30)</f>
        <v>55145.838709677417</v>
      </c>
      <c r="Z30" s="204">
        <f>'B5'!C29</f>
        <v>239</v>
      </c>
      <c r="AA30" s="204">
        <f t="shared" si="30"/>
        <v>2390</v>
      </c>
      <c r="AB30" s="204">
        <f t="shared" ref="AB30:AB35" si="56">SUM(Z30)</f>
        <v>239</v>
      </c>
      <c r="AC30" s="204">
        <f t="shared" si="30"/>
        <v>2390</v>
      </c>
      <c r="AD30" s="204">
        <f t="shared" ref="AD30:AD35" si="57">SUM(AB30)</f>
        <v>239</v>
      </c>
      <c r="AE30" s="204">
        <f t="shared" si="11"/>
        <v>2390</v>
      </c>
      <c r="AF30" s="204">
        <f t="shared" ref="AF30:AF35" si="58">SUM(AD30)</f>
        <v>239</v>
      </c>
      <c r="AG30" s="204">
        <f t="shared" si="12"/>
        <v>2390</v>
      </c>
      <c r="AH30" s="204">
        <f t="shared" ref="AH30:AH35" si="59">SUM(AF30)</f>
        <v>239</v>
      </c>
      <c r="AI30" s="204">
        <f t="shared" si="13"/>
        <v>2390</v>
      </c>
      <c r="AJ30" s="204">
        <f t="shared" ref="AJ30:AJ35" si="60">SUM(AH30)</f>
        <v>239</v>
      </c>
      <c r="AK30" s="204">
        <f t="shared" si="14"/>
        <v>2390</v>
      </c>
      <c r="AL30" s="204">
        <f t="shared" ref="AL30:AL35" si="61">SUM(AJ30)</f>
        <v>239</v>
      </c>
      <c r="AM30" s="204">
        <f t="shared" si="15"/>
        <v>2390</v>
      </c>
      <c r="AN30" s="35">
        <f t="shared" ref="AN30:AN35" si="62">SUM(AO30/19600)</f>
        <v>0.85357142857142854</v>
      </c>
      <c r="AO30" s="36">
        <f t="shared" ref="AO30:AO35" si="63">SUM(AA30+AC30+AE30+AG30+AI30+AK30+AM30)</f>
        <v>16730</v>
      </c>
      <c r="AQ30" s="224">
        <f t="shared" si="37"/>
        <v>0.77310787038482764</v>
      </c>
      <c r="AR30" s="38">
        <f t="shared" si="41"/>
        <v>71875.838709677424</v>
      </c>
      <c r="AS30" s="198">
        <f t="shared" si="38"/>
        <v>0</v>
      </c>
      <c r="AT30" s="358"/>
      <c r="AU30" s="442"/>
      <c r="AV30" s="525">
        <f t="shared" si="42"/>
        <v>0.49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233</v>
      </c>
      <c r="C31" s="204">
        <f t="shared" si="18"/>
        <v>5013.2580645161288</v>
      </c>
      <c r="D31">
        <f t="shared" si="44"/>
        <v>233</v>
      </c>
      <c r="E31" s="204">
        <f t="shared" si="18"/>
        <v>5013.2580645161288</v>
      </c>
      <c r="F31">
        <f t="shared" si="45"/>
        <v>233</v>
      </c>
      <c r="G31" s="204">
        <f t="shared" si="1"/>
        <v>5013.2580645161288</v>
      </c>
      <c r="H31" s="204">
        <f t="shared" si="46"/>
        <v>233</v>
      </c>
      <c r="I31" s="204">
        <f t="shared" si="2"/>
        <v>5013.2580645161288</v>
      </c>
      <c r="J31" s="204">
        <f t="shared" si="47"/>
        <v>233</v>
      </c>
      <c r="K31" s="204">
        <f t="shared" si="3"/>
        <v>5013.2580645161288</v>
      </c>
      <c r="L31" s="204">
        <f t="shared" si="48"/>
        <v>233</v>
      </c>
      <c r="M31" s="204">
        <f t="shared" si="4"/>
        <v>5013.2580645161288</v>
      </c>
      <c r="N31" s="204">
        <f t="shared" si="49"/>
        <v>233</v>
      </c>
      <c r="O31" s="204">
        <f t="shared" si="5"/>
        <v>5013.2580645161288</v>
      </c>
      <c r="P31" s="204">
        <f t="shared" si="50"/>
        <v>233</v>
      </c>
      <c r="Q31" s="204">
        <f t="shared" si="6"/>
        <v>5013.2580645161288</v>
      </c>
      <c r="R31" s="204">
        <f t="shared" si="51"/>
        <v>233</v>
      </c>
      <c r="S31" s="204">
        <f t="shared" si="7"/>
        <v>5013.2580645161288</v>
      </c>
      <c r="T31" s="204">
        <f t="shared" si="52"/>
        <v>233</v>
      </c>
      <c r="U31" s="204">
        <f t="shared" si="8"/>
        <v>5013.2580645161288</v>
      </c>
      <c r="V31" s="204">
        <f t="shared" si="53"/>
        <v>233</v>
      </c>
      <c r="W31" s="204">
        <f t="shared" si="9"/>
        <v>5013.2580645161288</v>
      </c>
      <c r="X31" s="35">
        <f t="shared" si="54"/>
        <v>0.75161290322580643</v>
      </c>
      <c r="Y31" s="36">
        <f t="shared" si="55"/>
        <v>55145.838709677417</v>
      </c>
      <c r="Z31" s="204">
        <f>'B5'!C30</f>
        <v>239</v>
      </c>
      <c r="AA31" s="204">
        <f t="shared" si="30"/>
        <v>2390</v>
      </c>
      <c r="AB31" s="204">
        <f t="shared" si="56"/>
        <v>239</v>
      </c>
      <c r="AC31" s="204">
        <f t="shared" si="30"/>
        <v>2390</v>
      </c>
      <c r="AD31" s="204">
        <f t="shared" si="57"/>
        <v>239</v>
      </c>
      <c r="AE31" s="204">
        <f t="shared" si="11"/>
        <v>2390</v>
      </c>
      <c r="AF31" s="204">
        <f t="shared" si="58"/>
        <v>239</v>
      </c>
      <c r="AG31" s="204">
        <f t="shared" si="12"/>
        <v>2390</v>
      </c>
      <c r="AH31" s="204">
        <f t="shared" si="59"/>
        <v>239</v>
      </c>
      <c r="AI31" s="204">
        <f t="shared" si="13"/>
        <v>2390</v>
      </c>
      <c r="AJ31" s="204">
        <f t="shared" si="60"/>
        <v>239</v>
      </c>
      <c r="AK31" s="204">
        <f t="shared" si="14"/>
        <v>2390</v>
      </c>
      <c r="AL31" s="204">
        <f t="shared" si="61"/>
        <v>239</v>
      </c>
      <c r="AM31" s="204">
        <f t="shared" si="15"/>
        <v>2390</v>
      </c>
      <c r="AN31" s="35">
        <f t="shared" si="62"/>
        <v>0.85357142857142854</v>
      </c>
      <c r="AO31" s="36">
        <f t="shared" si="63"/>
        <v>16730</v>
      </c>
      <c r="AQ31" s="224">
        <f t="shared" si="37"/>
        <v>0.77310787038482764</v>
      </c>
      <c r="AR31" s="38">
        <f t="shared" si="41"/>
        <v>71875.838709677424</v>
      </c>
      <c r="AS31" s="198">
        <f>SUM(AR31-AR30-AT31)</f>
        <v>0</v>
      </c>
      <c r="AT31" s="358"/>
      <c r="AU31" s="442"/>
      <c r="AV31" s="525">
        <f t="shared" si="42"/>
        <v>0.49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233</v>
      </c>
      <c r="C32" s="204">
        <f t="shared" si="18"/>
        <v>5013.2580645161288</v>
      </c>
      <c r="D32">
        <f t="shared" si="44"/>
        <v>233</v>
      </c>
      <c r="E32" s="204">
        <f t="shared" si="18"/>
        <v>5013.2580645161288</v>
      </c>
      <c r="F32">
        <f t="shared" si="45"/>
        <v>233</v>
      </c>
      <c r="G32" s="204">
        <f t="shared" si="1"/>
        <v>5013.2580645161288</v>
      </c>
      <c r="H32" s="204">
        <f t="shared" si="46"/>
        <v>233</v>
      </c>
      <c r="I32" s="204">
        <f t="shared" si="2"/>
        <v>5013.2580645161288</v>
      </c>
      <c r="J32" s="204">
        <f t="shared" si="47"/>
        <v>233</v>
      </c>
      <c r="K32" s="204">
        <f t="shared" si="3"/>
        <v>5013.2580645161288</v>
      </c>
      <c r="L32" s="204">
        <f t="shared" si="48"/>
        <v>233</v>
      </c>
      <c r="M32" s="204">
        <f t="shared" si="4"/>
        <v>5013.2580645161288</v>
      </c>
      <c r="N32" s="204">
        <f t="shared" si="49"/>
        <v>233</v>
      </c>
      <c r="O32" s="204">
        <f t="shared" si="5"/>
        <v>5013.2580645161288</v>
      </c>
      <c r="P32" s="204">
        <f t="shared" si="50"/>
        <v>233</v>
      </c>
      <c r="Q32" s="204">
        <f t="shared" si="6"/>
        <v>5013.2580645161288</v>
      </c>
      <c r="R32" s="204">
        <f t="shared" si="51"/>
        <v>233</v>
      </c>
      <c r="S32" s="204">
        <f t="shared" si="7"/>
        <v>5013.2580645161288</v>
      </c>
      <c r="T32" s="204">
        <f t="shared" si="52"/>
        <v>233</v>
      </c>
      <c r="U32" s="204">
        <f t="shared" si="8"/>
        <v>5013.2580645161288</v>
      </c>
      <c r="V32" s="204">
        <f t="shared" si="53"/>
        <v>233</v>
      </c>
      <c r="W32" s="204">
        <f t="shared" si="9"/>
        <v>5013.2580645161288</v>
      </c>
      <c r="X32" s="35">
        <f t="shared" si="54"/>
        <v>0.75161290322580643</v>
      </c>
      <c r="Y32" s="36">
        <f t="shared" si="55"/>
        <v>55145.838709677417</v>
      </c>
      <c r="Z32" s="204">
        <f>'B5'!C31</f>
        <v>239</v>
      </c>
      <c r="AA32" s="204">
        <f t="shared" si="30"/>
        <v>2390</v>
      </c>
      <c r="AB32" s="204">
        <f t="shared" si="56"/>
        <v>239</v>
      </c>
      <c r="AC32" s="204">
        <f t="shared" si="30"/>
        <v>2390</v>
      </c>
      <c r="AD32" s="204">
        <f t="shared" si="57"/>
        <v>239</v>
      </c>
      <c r="AE32" s="204">
        <f t="shared" si="11"/>
        <v>2390</v>
      </c>
      <c r="AF32" s="204">
        <f t="shared" si="58"/>
        <v>239</v>
      </c>
      <c r="AG32" s="204">
        <f t="shared" si="12"/>
        <v>2390</v>
      </c>
      <c r="AH32" s="204">
        <f t="shared" si="59"/>
        <v>239</v>
      </c>
      <c r="AI32" s="204">
        <f t="shared" si="13"/>
        <v>2390</v>
      </c>
      <c r="AJ32" s="204">
        <f t="shared" si="60"/>
        <v>239</v>
      </c>
      <c r="AK32" s="204">
        <f t="shared" si="14"/>
        <v>2390</v>
      </c>
      <c r="AL32" s="204">
        <f t="shared" si="61"/>
        <v>239</v>
      </c>
      <c r="AM32" s="204">
        <f t="shared" si="15"/>
        <v>2390</v>
      </c>
      <c r="AN32" s="35">
        <f t="shared" si="62"/>
        <v>0.85357142857142854</v>
      </c>
      <c r="AO32" s="36">
        <f t="shared" si="63"/>
        <v>16730</v>
      </c>
      <c r="AQ32" s="224">
        <f t="shared" si="37"/>
        <v>0.77310787038482764</v>
      </c>
      <c r="AR32" s="38">
        <f t="shared" si="41"/>
        <v>71875.838709677424</v>
      </c>
      <c r="AS32" s="198">
        <f t="shared" si="38"/>
        <v>0</v>
      </c>
      <c r="AT32" s="358"/>
      <c r="AU32" s="442"/>
      <c r="AV32" s="525">
        <f>IF(AT32&gt;0,AU32,AV31)</f>
        <v>0.49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233</v>
      </c>
      <c r="C33" s="204">
        <f t="shared" si="18"/>
        <v>5013.2580645161288</v>
      </c>
      <c r="D33">
        <f t="shared" si="44"/>
        <v>233</v>
      </c>
      <c r="E33" s="204">
        <f t="shared" si="18"/>
        <v>5013.2580645161288</v>
      </c>
      <c r="F33">
        <f t="shared" si="45"/>
        <v>233</v>
      </c>
      <c r="G33" s="204">
        <f t="shared" si="1"/>
        <v>5013.2580645161288</v>
      </c>
      <c r="H33" s="204">
        <f t="shared" si="46"/>
        <v>233</v>
      </c>
      <c r="I33" s="204">
        <f t="shared" si="2"/>
        <v>5013.2580645161288</v>
      </c>
      <c r="J33" s="204">
        <f t="shared" si="47"/>
        <v>233</v>
      </c>
      <c r="K33" s="204">
        <f t="shared" si="3"/>
        <v>5013.2580645161288</v>
      </c>
      <c r="L33" s="204">
        <f t="shared" si="48"/>
        <v>233</v>
      </c>
      <c r="M33" s="204">
        <f t="shared" si="4"/>
        <v>5013.2580645161288</v>
      </c>
      <c r="N33" s="204">
        <f t="shared" si="49"/>
        <v>233</v>
      </c>
      <c r="O33" s="204">
        <f t="shared" si="5"/>
        <v>5013.2580645161288</v>
      </c>
      <c r="P33" s="204">
        <f t="shared" si="50"/>
        <v>233</v>
      </c>
      <c r="Q33" s="204">
        <f t="shared" si="6"/>
        <v>5013.2580645161288</v>
      </c>
      <c r="R33" s="204">
        <f t="shared" si="51"/>
        <v>233</v>
      </c>
      <c r="S33" s="204">
        <f t="shared" si="7"/>
        <v>5013.2580645161288</v>
      </c>
      <c r="T33" s="204">
        <f t="shared" si="52"/>
        <v>233</v>
      </c>
      <c r="U33" s="204">
        <f t="shared" si="8"/>
        <v>5013.2580645161288</v>
      </c>
      <c r="V33" s="204">
        <f t="shared" si="53"/>
        <v>233</v>
      </c>
      <c r="W33" s="204">
        <f t="shared" si="9"/>
        <v>5013.2580645161288</v>
      </c>
      <c r="X33" s="35">
        <f t="shared" si="54"/>
        <v>0.75161290322580643</v>
      </c>
      <c r="Y33" s="36">
        <f t="shared" si="55"/>
        <v>55145.838709677417</v>
      </c>
      <c r="Z33" s="204">
        <f>'B5'!C32</f>
        <v>239</v>
      </c>
      <c r="AA33" s="204">
        <f t="shared" si="30"/>
        <v>2390</v>
      </c>
      <c r="AB33" s="204">
        <f t="shared" si="56"/>
        <v>239</v>
      </c>
      <c r="AC33" s="204">
        <f t="shared" si="30"/>
        <v>2390</v>
      </c>
      <c r="AD33" s="204">
        <f t="shared" si="57"/>
        <v>239</v>
      </c>
      <c r="AE33" s="204">
        <f t="shared" si="11"/>
        <v>2390</v>
      </c>
      <c r="AF33" s="204">
        <f t="shared" si="58"/>
        <v>239</v>
      </c>
      <c r="AG33" s="204">
        <f t="shared" si="12"/>
        <v>2390</v>
      </c>
      <c r="AH33" s="204">
        <f t="shared" si="59"/>
        <v>239</v>
      </c>
      <c r="AI33" s="204">
        <f t="shared" si="13"/>
        <v>2390</v>
      </c>
      <c r="AJ33" s="204">
        <f t="shared" si="60"/>
        <v>239</v>
      </c>
      <c r="AK33" s="204">
        <f t="shared" si="14"/>
        <v>2390</v>
      </c>
      <c r="AL33" s="204">
        <f t="shared" si="61"/>
        <v>239</v>
      </c>
      <c r="AM33" s="204">
        <f t="shared" si="15"/>
        <v>2390</v>
      </c>
      <c r="AN33" s="35">
        <f t="shared" si="62"/>
        <v>0.85357142857142854</v>
      </c>
      <c r="AO33" s="36">
        <f t="shared" si="63"/>
        <v>16730</v>
      </c>
      <c r="AQ33" s="224">
        <f t="shared" si="37"/>
        <v>0.77310787038482764</v>
      </c>
      <c r="AR33" s="38">
        <f t="shared" si="41"/>
        <v>71875.838709677424</v>
      </c>
      <c r="AS33" s="198">
        <f t="shared" si="38"/>
        <v>0</v>
      </c>
      <c r="AT33" s="358"/>
      <c r="AU33" s="442"/>
      <c r="AV33" s="525">
        <f>IF(AT33&gt;0,AU33,AV32)</f>
        <v>0.49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233</v>
      </c>
      <c r="C34" s="204">
        <f t="shared" si="18"/>
        <v>5013.2580645161288</v>
      </c>
      <c r="D34">
        <f t="shared" si="44"/>
        <v>233</v>
      </c>
      <c r="E34" s="204">
        <f t="shared" si="18"/>
        <v>5013.2580645161288</v>
      </c>
      <c r="F34">
        <f t="shared" si="45"/>
        <v>233</v>
      </c>
      <c r="G34" s="204">
        <f t="shared" si="1"/>
        <v>5013.2580645161288</v>
      </c>
      <c r="H34" s="204">
        <f t="shared" si="46"/>
        <v>233</v>
      </c>
      <c r="I34" s="204">
        <f t="shared" si="2"/>
        <v>5013.2580645161288</v>
      </c>
      <c r="J34" s="204">
        <f t="shared" si="47"/>
        <v>233</v>
      </c>
      <c r="K34" s="204">
        <f t="shared" si="3"/>
        <v>5013.2580645161288</v>
      </c>
      <c r="L34" s="204">
        <f t="shared" si="48"/>
        <v>233</v>
      </c>
      <c r="M34" s="204">
        <f t="shared" si="4"/>
        <v>5013.2580645161288</v>
      </c>
      <c r="N34" s="204">
        <f t="shared" si="49"/>
        <v>233</v>
      </c>
      <c r="O34" s="204">
        <f t="shared" si="5"/>
        <v>5013.2580645161288</v>
      </c>
      <c r="P34" s="204">
        <f t="shared" si="50"/>
        <v>233</v>
      </c>
      <c r="Q34" s="204">
        <f t="shared" si="6"/>
        <v>5013.2580645161288</v>
      </c>
      <c r="R34" s="204">
        <f t="shared" si="51"/>
        <v>233</v>
      </c>
      <c r="S34" s="204">
        <f t="shared" si="7"/>
        <v>5013.2580645161288</v>
      </c>
      <c r="T34" s="204">
        <f t="shared" si="52"/>
        <v>233</v>
      </c>
      <c r="U34" s="204">
        <f t="shared" si="8"/>
        <v>5013.2580645161288</v>
      </c>
      <c r="V34" s="204">
        <f t="shared" si="53"/>
        <v>233</v>
      </c>
      <c r="W34" s="204">
        <f t="shared" si="9"/>
        <v>5013.2580645161288</v>
      </c>
      <c r="X34" s="35">
        <f t="shared" si="54"/>
        <v>0.75161290322580643</v>
      </c>
      <c r="Y34" s="36">
        <f t="shared" si="55"/>
        <v>55145.838709677417</v>
      </c>
      <c r="Z34" s="204">
        <f>'B5'!C33</f>
        <v>239</v>
      </c>
      <c r="AA34" s="204">
        <f t="shared" si="30"/>
        <v>2390</v>
      </c>
      <c r="AB34" s="204">
        <f t="shared" si="56"/>
        <v>239</v>
      </c>
      <c r="AC34" s="204">
        <f t="shared" si="30"/>
        <v>2390</v>
      </c>
      <c r="AD34" s="204">
        <f t="shared" si="57"/>
        <v>239</v>
      </c>
      <c r="AE34" s="204">
        <f t="shared" si="11"/>
        <v>2390</v>
      </c>
      <c r="AF34" s="204">
        <f t="shared" si="58"/>
        <v>239</v>
      </c>
      <c r="AG34" s="204">
        <f t="shared" si="12"/>
        <v>2390</v>
      </c>
      <c r="AH34" s="204">
        <f t="shared" si="59"/>
        <v>239</v>
      </c>
      <c r="AI34" s="204">
        <f t="shared" si="13"/>
        <v>2390</v>
      </c>
      <c r="AJ34" s="204">
        <f t="shared" si="60"/>
        <v>239</v>
      </c>
      <c r="AK34" s="204">
        <f t="shared" si="14"/>
        <v>2390</v>
      </c>
      <c r="AL34" s="204">
        <f t="shared" si="61"/>
        <v>239</v>
      </c>
      <c r="AM34" s="204">
        <f t="shared" si="15"/>
        <v>2390</v>
      </c>
      <c r="AN34" s="35">
        <f t="shared" si="62"/>
        <v>0.85357142857142854</v>
      </c>
      <c r="AO34" s="36">
        <f t="shared" si="63"/>
        <v>16730</v>
      </c>
      <c r="AQ34" s="224">
        <f>SUM(AR34/92970)</f>
        <v>0.77310787038482764</v>
      </c>
      <c r="AR34" s="38">
        <f t="shared" si="41"/>
        <v>71875.838709677424</v>
      </c>
      <c r="AS34" s="198">
        <f t="shared" si="38"/>
        <v>0</v>
      </c>
      <c r="AT34" s="358"/>
      <c r="AU34" s="442"/>
      <c r="AV34" s="525">
        <f t="shared" si="42"/>
        <v>0.49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233</v>
      </c>
      <c r="C35" s="204">
        <f t="shared" si="18"/>
        <v>5013.2580645161288</v>
      </c>
      <c r="D35">
        <f t="shared" si="44"/>
        <v>233</v>
      </c>
      <c r="E35" s="204">
        <f t="shared" si="18"/>
        <v>5013.2580645161288</v>
      </c>
      <c r="F35">
        <f t="shared" si="45"/>
        <v>233</v>
      </c>
      <c r="G35" s="204">
        <f t="shared" si="1"/>
        <v>5013.2580645161288</v>
      </c>
      <c r="H35" s="204">
        <f t="shared" si="46"/>
        <v>233</v>
      </c>
      <c r="I35" s="204">
        <f t="shared" si="2"/>
        <v>5013.2580645161288</v>
      </c>
      <c r="J35" s="204">
        <f t="shared" si="47"/>
        <v>233</v>
      </c>
      <c r="K35" s="204">
        <f t="shared" si="3"/>
        <v>5013.2580645161288</v>
      </c>
      <c r="L35" s="204">
        <f t="shared" si="48"/>
        <v>233</v>
      </c>
      <c r="M35" s="204">
        <f t="shared" si="4"/>
        <v>5013.2580645161288</v>
      </c>
      <c r="N35" s="204">
        <f t="shared" si="49"/>
        <v>233</v>
      </c>
      <c r="O35" s="204">
        <f t="shared" si="5"/>
        <v>5013.2580645161288</v>
      </c>
      <c r="P35" s="204">
        <f t="shared" si="50"/>
        <v>233</v>
      </c>
      <c r="Q35" s="204">
        <f t="shared" si="6"/>
        <v>5013.2580645161288</v>
      </c>
      <c r="R35" s="204">
        <f t="shared" si="51"/>
        <v>233</v>
      </c>
      <c r="S35" s="204">
        <f t="shared" si="7"/>
        <v>5013.2580645161288</v>
      </c>
      <c r="T35" s="204">
        <f t="shared" si="52"/>
        <v>233</v>
      </c>
      <c r="U35" s="204">
        <f t="shared" si="8"/>
        <v>5013.2580645161288</v>
      </c>
      <c r="V35" s="204">
        <f t="shared" si="53"/>
        <v>233</v>
      </c>
      <c r="W35" s="204">
        <f t="shared" si="9"/>
        <v>5013.2580645161288</v>
      </c>
      <c r="X35" s="35">
        <f t="shared" si="54"/>
        <v>0.75161290322580643</v>
      </c>
      <c r="Y35" s="36">
        <f t="shared" si="55"/>
        <v>55145.838709677417</v>
      </c>
      <c r="Z35" s="204">
        <f>'B5'!C34</f>
        <v>239</v>
      </c>
      <c r="AA35" s="204">
        <f t="shared" si="30"/>
        <v>2390</v>
      </c>
      <c r="AB35" s="204">
        <f t="shared" si="56"/>
        <v>239</v>
      </c>
      <c r="AC35" s="204">
        <f t="shared" si="30"/>
        <v>2390</v>
      </c>
      <c r="AD35" s="204">
        <f t="shared" si="57"/>
        <v>239</v>
      </c>
      <c r="AE35" s="204">
        <f t="shared" si="11"/>
        <v>2390</v>
      </c>
      <c r="AF35" s="204">
        <f t="shared" si="58"/>
        <v>239</v>
      </c>
      <c r="AG35" s="204">
        <f t="shared" si="12"/>
        <v>2390</v>
      </c>
      <c r="AH35" s="204">
        <f t="shared" si="59"/>
        <v>239</v>
      </c>
      <c r="AI35" s="204">
        <f t="shared" si="13"/>
        <v>2390</v>
      </c>
      <c r="AJ35" s="204">
        <f t="shared" si="60"/>
        <v>239</v>
      </c>
      <c r="AK35" s="204">
        <f t="shared" si="14"/>
        <v>2390</v>
      </c>
      <c r="AL35" s="204">
        <f t="shared" si="61"/>
        <v>239</v>
      </c>
      <c r="AM35" s="204">
        <f t="shared" si="15"/>
        <v>2390</v>
      </c>
      <c r="AN35" s="35">
        <f t="shared" si="62"/>
        <v>0.85357142857142854</v>
      </c>
      <c r="AO35" s="36">
        <f t="shared" si="63"/>
        <v>16730</v>
      </c>
      <c r="AQ35" s="224">
        <f>SUM(AR35/92970)</f>
        <v>0.77310787038482764</v>
      </c>
      <c r="AR35" s="38">
        <f t="shared" si="41"/>
        <v>71875.838709677424</v>
      </c>
      <c r="AS35" s="198">
        <f t="shared" si="38"/>
        <v>0</v>
      </c>
      <c r="AT35" s="358"/>
      <c r="AU35" s="442"/>
      <c r="AV35" s="525">
        <f>IF(AT35&gt;0,AU35,AV34)</f>
        <v>0.49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233</v>
      </c>
      <c r="C36" s="204">
        <f t="shared" ref="C36" si="64">B36*$B$4</f>
        <v>5013.2580645161288</v>
      </c>
      <c r="D36">
        <f t="shared" ref="D36" si="65">SUM(B36)</f>
        <v>233</v>
      </c>
      <c r="E36" s="204">
        <f t="shared" ref="E36" si="66">D36*$B$4</f>
        <v>5013.2580645161288</v>
      </c>
      <c r="F36">
        <f t="shared" ref="F36" si="67">SUM(D36)</f>
        <v>233</v>
      </c>
      <c r="G36" s="204">
        <f t="shared" ref="G36" si="68">F36*$B$4</f>
        <v>5013.2580645161288</v>
      </c>
      <c r="H36" s="204">
        <f t="shared" ref="H36" si="69">SUM(F36)</f>
        <v>233</v>
      </c>
      <c r="I36" s="204">
        <f t="shared" ref="I36" si="70">H36*$B$4</f>
        <v>5013.2580645161288</v>
      </c>
      <c r="J36" s="204">
        <f t="shared" ref="J36" si="71">SUM(H36)</f>
        <v>233</v>
      </c>
      <c r="K36" s="204">
        <f t="shared" ref="K36" si="72">J36*$B$4</f>
        <v>5013.2580645161288</v>
      </c>
      <c r="L36" s="204">
        <f t="shared" ref="L36" si="73">SUM(J36)</f>
        <v>233</v>
      </c>
      <c r="M36" s="204">
        <f t="shared" ref="M36" si="74">L36*$B$4</f>
        <v>5013.2580645161288</v>
      </c>
      <c r="N36" s="204">
        <f t="shared" ref="N36" si="75">SUM(L36)</f>
        <v>233</v>
      </c>
      <c r="O36" s="204">
        <f t="shared" ref="O36" si="76">N36*$B$4</f>
        <v>5013.2580645161288</v>
      </c>
      <c r="P36" s="204">
        <f t="shared" ref="P36" si="77">SUM(N36)</f>
        <v>233</v>
      </c>
      <c r="Q36" s="204">
        <f t="shared" ref="Q36" si="78">P36*$B$4</f>
        <v>5013.2580645161288</v>
      </c>
      <c r="R36" s="204">
        <f t="shared" ref="R36" si="79">SUM(P36)</f>
        <v>233</v>
      </c>
      <c r="S36" s="204">
        <f t="shared" ref="S36" si="80">R36*$B$4</f>
        <v>5013.2580645161288</v>
      </c>
      <c r="T36" s="204">
        <f t="shared" ref="T36" si="81">SUM(R36)</f>
        <v>233</v>
      </c>
      <c r="U36" s="204">
        <f t="shared" ref="U36" si="82">T36*$B$4</f>
        <v>5013.2580645161288</v>
      </c>
      <c r="V36" s="204">
        <f t="shared" ref="V36" si="83">SUM(T36)</f>
        <v>233</v>
      </c>
      <c r="W36" s="204">
        <f t="shared" ref="W36" si="84">V36*$B$4</f>
        <v>5013.2580645161288</v>
      </c>
      <c r="X36" s="35">
        <f t="shared" ref="X36" si="85">SUM(Y36/73370)</f>
        <v>0.75161290322580643</v>
      </c>
      <c r="Y36" s="36">
        <f t="shared" ref="Y36" si="86">SUM(C36+E36+G36+I36+K36+M36+O36+Q36+S36+U36+W36)</f>
        <v>55145.838709677417</v>
      </c>
      <c r="Z36" s="204">
        <f>'B5'!C35</f>
        <v>239</v>
      </c>
      <c r="AA36" s="204">
        <f t="shared" ref="AA36" si="87">SUM(Z36*$Z$4)</f>
        <v>2390</v>
      </c>
      <c r="AB36" s="204">
        <f t="shared" ref="AB36" si="88">SUM(Z36)</f>
        <v>239</v>
      </c>
      <c r="AC36" s="204">
        <f t="shared" ref="AC36" si="89">SUM(AB36*$Z$4)</f>
        <v>2390</v>
      </c>
      <c r="AD36" s="204">
        <f t="shared" ref="AD36" si="90">SUM(AB36)</f>
        <v>239</v>
      </c>
      <c r="AE36" s="204">
        <f t="shared" ref="AE36" si="91">SUM(AD36*$Z$4)</f>
        <v>2390</v>
      </c>
      <c r="AF36" s="204">
        <f t="shared" ref="AF36" si="92">SUM(AD36)</f>
        <v>239</v>
      </c>
      <c r="AG36" s="204">
        <f t="shared" ref="AG36" si="93">SUM(AF36*$Z$4)</f>
        <v>2390</v>
      </c>
      <c r="AH36" s="204">
        <f t="shared" ref="AH36" si="94">SUM(AF36)</f>
        <v>239</v>
      </c>
      <c r="AI36" s="204">
        <f t="shared" ref="AI36" si="95">SUM(AH36*$Z$4)</f>
        <v>2390</v>
      </c>
      <c r="AJ36" s="204">
        <f t="shared" ref="AJ36" si="96">SUM(AH36)</f>
        <v>239</v>
      </c>
      <c r="AK36" s="204">
        <f t="shared" ref="AK36" si="97">SUM(AJ36*$Z$4)</f>
        <v>2390</v>
      </c>
      <c r="AL36" s="204">
        <f t="shared" ref="AL36" si="98">SUM(AJ36)</f>
        <v>239</v>
      </c>
      <c r="AM36" s="204">
        <f t="shared" ref="AM36" si="99">SUM(AL36*$Z$4)</f>
        <v>2390</v>
      </c>
      <c r="AN36" s="35">
        <f t="shared" ref="AN36" si="100">SUM(AO36/19600)</f>
        <v>0.85357142857142854</v>
      </c>
      <c r="AO36" s="36">
        <f t="shared" ref="AO36" si="101">SUM(AA36+AC36+AE36+AG36+AI36+AK36+AM36)</f>
        <v>16730</v>
      </c>
      <c r="AQ36" s="224">
        <f>SUM(AR36/92970)</f>
        <v>0.77310787038482764</v>
      </c>
      <c r="AR36" s="38">
        <f t="shared" si="41"/>
        <v>71875.838709677424</v>
      </c>
      <c r="AS36" s="198">
        <f t="shared" ref="AS36" si="102">SUM(AR36-AR35-AT36)</f>
        <v>0</v>
      </c>
      <c r="AT36" s="358"/>
      <c r="AU36" s="442"/>
      <c r="AV36" s="525">
        <f>IF(AT36&gt;0,AU36,AV35)</f>
        <v>0.49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0</v>
      </c>
      <c r="AT37" s="204">
        <f>SUM(AT6:AT36)</f>
        <v>0</v>
      </c>
      <c r="AU37" t="e">
        <f>SUM(AU6:AU36)/AS37</f>
        <v>#DIV/0!</v>
      </c>
      <c r="AX37" s="204">
        <f>SUM(AX6:AX35)</f>
        <v>-850.03548387097544</v>
      </c>
      <c r="AY37" s="204">
        <f>SUM(AY6:AY35)</f>
        <v>-991.03548387097544</v>
      </c>
    </row>
    <row r="38" spans="1:60">
      <c r="AS38" s="207"/>
      <c r="AT38" t="e">
        <f>+AT37*AU37</f>
        <v>#DIV/0!</v>
      </c>
    </row>
    <row r="40" spans="1:60">
      <c r="AS40" s="165">
        <f>SUM(AS6:AS35)/'EDl log'!A35</f>
        <v>-991.03548387097544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4</v>
      </c>
      <c r="B3" s="3">
        <f>ELEC!AF4</f>
        <v>0</v>
      </c>
      <c r="C3" s="3">
        <f>ELEC!N4</f>
        <v>0</v>
      </c>
      <c r="D3" s="3">
        <f t="shared" ref="D3:D30" si="0">C3-E3</f>
        <v>0</v>
      </c>
      <c r="E3" s="3">
        <f>ELEC!Q4</f>
        <v>0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-50.699999999999989</v>
      </c>
      <c r="J3" s="9">
        <f>'B5'!A5</f>
        <v>44166</v>
      </c>
    </row>
    <row r="4" spans="1:10">
      <c r="A4" s="3">
        <f>ELEC!T5+ELEC!X5+ELEC!AB5</f>
        <v>0</v>
      </c>
      <c r="B4" s="3">
        <f>ELEC!AF5</f>
        <v>0</v>
      </c>
      <c r="C4" s="3">
        <f>ELEC!N5</f>
        <v>0</v>
      </c>
      <c r="D4" s="3">
        <f t="shared" si="0"/>
        <v>0</v>
      </c>
      <c r="E4" s="3">
        <f>ELEC!Q5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44167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44168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44169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44170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44171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44172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44173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44174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44175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44176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44177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44178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44179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44180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44181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44182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44184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44185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44186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44187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44188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44189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44190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0</v>
      </c>
      <c r="C6" s="76">
        <f>'B5'!AH6</f>
        <v>0</v>
      </c>
      <c r="D6" s="76">
        <f>GEN!AI4</f>
        <v>0</v>
      </c>
      <c r="E6" s="244">
        <f t="shared" si="0"/>
        <v>0</v>
      </c>
      <c r="F6" s="75">
        <f>WATER!L6</f>
        <v>0</v>
      </c>
      <c r="G6" s="78">
        <f>WATER!BG6</f>
        <v>40.5</v>
      </c>
      <c r="H6" s="79">
        <f>ELEC!AF4</f>
        <v>0</v>
      </c>
      <c r="I6" s="79">
        <f>ELEC!Q4</f>
        <v>0</v>
      </c>
      <c r="J6" s="79">
        <f>ELEC!R4</f>
        <v>0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0</v>
      </c>
      <c r="C7" s="76">
        <f>'B5'!AH7</f>
        <v>0</v>
      </c>
      <c r="D7" s="76">
        <f>GEN!AI5</f>
        <v>0</v>
      </c>
      <c r="E7" s="244">
        <f t="shared" si="0"/>
        <v>0</v>
      </c>
      <c r="F7" s="75">
        <f>WATER!L7</f>
        <v>0</v>
      </c>
      <c r="G7" s="78">
        <f>WATER!BG7</f>
        <v>0</v>
      </c>
      <c r="H7" s="79">
        <f>ELEC!AF5</f>
        <v>0</v>
      </c>
      <c r="I7" s="79">
        <f>ELEC!Q5</f>
        <v>0</v>
      </c>
      <c r="J7" s="79">
        <f>ELEC!R5</f>
        <v>0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0</v>
      </c>
      <c r="C8" s="76">
        <f>'B5'!AH8</f>
        <v>0</v>
      </c>
      <c r="D8" s="76">
        <f>GEN!AI6</f>
        <v>0</v>
      </c>
      <c r="E8" s="244">
        <f t="shared" si="0"/>
        <v>0</v>
      </c>
      <c r="F8" s="75">
        <f>WATER!L8</f>
        <v>0</v>
      </c>
      <c r="G8" s="78">
        <f>WATER!BG8</f>
        <v>0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0</v>
      </c>
      <c r="C9" s="76">
        <f>'B5'!AH9</f>
        <v>0</v>
      </c>
      <c r="D9" s="76">
        <f>GEN!AI7</f>
        <v>0</v>
      </c>
      <c r="E9" s="244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0</v>
      </c>
      <c r="C10" s="76">
        <f>'B5'!AH10</f>
        <v>0</v>
      </c>
      <c r="D10" s="76">
        <f>GEN!AI8</f>
        <v>0</v>
      </c>
      <c r="E10" s="244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0</v>
      </c>
      <c r="C11" s="76">
        <f>'B5'!AH11</f>
        <v>0</v>
      </c>
      <c r="D11" s="76">
        <f>GEN!AI9</f>
        <v>0</v>
      </c>
      <c r="E11" s="244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0</v>
      </c>
      <c r="C12" s="76">
        <f>'B5'!AH12</f>
        <v>0</v>
      </c>
      <c r="D12" s="76">
        <f>GEN!AI10</f>
        <v>0</v>
      </c>
      <c r="E12" s="244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0</v>
      </c>
      <c r="C13" s="76">
        <f>'B5'!AH13</f>
        <v>0</v>
      </c>
      <c r="D13" s="76">
        <f>GEN!AI11</f>
        <v>0</v>
      </c>
      <c r="E13" s="244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abSelected="1" zoomScaleNormal="100" workbookViewId="0">
      <pane ySplit="1" topLeftCell="A2" activePane="bottomLeft" state="frozen"/>
      <selection pane="bottomLeft" activeCell="AJ39" sqref="AJ3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f>[1]GEN!R32</f>
        <v>11747</v>
      </c>
      <c r="S2" s="272">
        <f>[1]GEN!S32</f>
        <v>0</v>
      </c>
      <c r="T2" s="272">
        <f>[1]GEN!T32</f>
        <v>368318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8">
        <v>9363</v>
      </c>
      <c r="C3" s="290">
        <f>B3-B2</f>
        <v>6</v>
      </c>
      <c r="D3" s="549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11747</v>
      </c>
      <c r="S3" s="290">
        <f t="shared" ref="S3:S32" si="5">R3-R2</f>
        <v>0</v>
      </c>
      <c r="T3" s="549">
        <f>T2</f>
        <v>368318</v>
      </c>
      <c r="U3" s="290">
        <f t="shared" ref="U3:U1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8">
        <f t="shared" ref="B4:B33" si="11">B3</f>
        <v>9363</v>
      </c>
      <c r="C4" s="290">
        <f t="shared" ref="C4:C32" si="12">B4-B3</f>
        <v>0</v>
      </c>
      <c r="D4" s="549">
        <f t="shared" ref="D4:D33" si="13">D3</f>
        <v>279598.59999999998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49">
        <f t="shared" ref="J4:J33" si="16">J3</f>
        <v>10698</v>
      </c>
      <c r="K4" s="290">
        <f t="shared" si="2"/>
        <v>0</v>
      </c>
      <c r="L4" s="549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49">
        <f t="shared" ref="R4:R33" si="20">R3</f>
        <v>11747</v>
      </c>
      <c r="S4" s="290">
        <f t="shared" si="5"/>
        <v>0</v>
      </c>
      <c r="T4" s="549">
        <f t="shared" ref="T4:T33" si="21">T3</f>
        <v>368318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11961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44168</v>
      </c>
      <c r="B5" s="548">
        <f t="shared" si="11"/>
        <v>9363</v>
      </c>
      <c r="C5" s="290">
        <f t="shared" si="12"/>
        <v>0</v>
      </c>
      <c r="D5" s="549">
        <f t="shared" si="13"/>
        <v>279598.59999999998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49">
        <f t="shared" si="16"/>
        <v>10698</v>
      </c>
      <c r="K5" s="290">
        <f t="shared" si="2"/>
        <v>0</v>
      </c>
      <c r="L5" s="549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49">
        <f t="shared" si="20"/>
        <v>11747</v>
      </c>
      <c r="S5" s="290">
        <f t="shared" si="5"/>
        <v>0</v>
      </c>
      <c r="T5" s="549">
        <f t="shared" si="21"/>
        <v>368318</v>
      </c>
      <c r="U5" s="290">
        <f t="shared" si="6"/>
        <v>0</v>
      </c>
      <c r="V5" s="290">
        <f>IF(S5&gt;0,U5/S5,0)</f>
        <v>0</v>
      </c>
      <c r="W5" s="197"/>
      <c r="X5" s="291">
        <f t="shared" si="23"/>
        <v>11961</v>
      </c>
      <c r="Y5" s="290" t="str">
        <f t="shared" si="7"/>
        <v>ok</v>
      </c>
      <c r="Z5" s="290">
        <f t="shared" si="8"/>
        <v>0</v>
      </c>
      <c r="AA5" s="290">
        <f t="shared" si="24"/>
        <v>0</v>
      </c>
      <c r="AB5" s="290">
        <f t="shared" si="25"/>
        <v>0</v>
      </c>
      <c r="AC5" s="290">
        <f t="shared" si="26"/>
        <v>0</v>
      </c>
      <c r="AD5" s="73">
        <f>ELEC!Q5</f>
        <v>0</v>
      </c>
      <c r="AE5" s="73" t="e">
        <f t="shared" ref="AE5:AE32" si="28">SUM(AD5/Z5)</f>
        <v>#DIV/0!</v>
      </c>
      <c r="AF5" s="406" t="e">
        <f t="shared" ref="AF5:AF32" si="29">SUM(AE5/1600)</f>
        <v>#DIV/0!</v>
      </c>
      <c r="AG5" s="407" t="e">
        <f t="shared" ref="AG5:AG32" si="30">SUM(320*AF5)</f>
        <v>#DIV/0!</v>
      </c>
      <c r="AH5" s="407" t="e">
        <f t="shared" si="27"/>
        <v>#DIV/0!</v>
      </c>
      <c r="AI5" s="73">
        <f t="shared" ref="AI5:AI32" si="31">AD5*AJ5</f>
        <v>0</v>
      </c>
      <c r="AJ5" s="292">
        <f t="shared" si="9"/>
        <v>0.25738396624472576</v>
      </c>
      <c r="AK5" s="292" t="e">
        <f t="shared" si="10"/>
        <v>#DIV/0!</v>
      </c>
    </row>
    <row r="6" spans="1:37" ht="15.75" thickBot="1">
      <c r="A6" s="4">
        <f>ELEC!C6</f>
        <v>44169</v>
      </c>
      <c r="B6" s="548">
        <f t="shared" si="11"/>
        <v>9363</v>
      </c>
      <c r="C6" s="290">
        <f t="shared" si="12"/>
        <v>0</v>
      </c>
      <c r="D6" s="549">
        <f t="shared" si="13"/>
        <v>279598.59999999998</v>
      </c>
      <c r="E6" s="290">
        <f t="shared" si="14"/>
        <v>0</v>
      </c>
      <c r="F6" s="290">
        <f t="shared" si="0"/>
        <v>0</v>
      </c>
      <c r="G6" s="197"/>
      <c r="H6" s="291">
        <f>H5</f>
        <v>9298</v>
      </c>
      <c r="I6" s="290" t="str">
        <f t="shared" si="1"/>
        <v>oil change</v>
      </c>
      <c r="J6" s="549">
        <f t="shared" si="16"/>
        <v>10698</v>
      </c>
      <c r="K6" s="290">
        <f t="shared" si="2"/>
        <v>0</v>
      </c>
      <c r="L6" s="549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49">
        <f t="shared" si="20"/>
        <v>11747</v>
      </c>
      <c r="S6" s="290">
        <f t="shared" si="5"/>
        <v>0</v>
      </c>
      <c r="T6" s="549">
        <f t="shared" si="21"/>
        <v>368318</v>
      </c>
      <c r="U6" s="290">
        <f t="shared" si="6"/>
        <v>0</v>
      </c>
      <c r="V6" s="290">
        <f t="shared" si="22"/>
        <v>0</v>
      </c>
      <c r="W6" s="310"/>
      <c r="X6" s="291">
        <f t="shared" si="23"/>
        <v>11961</v>
      </c>
      <c r="Y6" s="290" t="str">
        <f t="shared" si="7"/>
        <v>ok</v>
      </c>
      <c r="Z6" s="290">
        <f t="shared" si="8"/>
        <v>0</v>
      </c>
      <c r="AA6" s="290">
        <f t="shared" si="24"/>
        <v>0</v>
      </c>
      <c r="AB6" s="290">
        <f t="shared" si="25"/>
        <v>0</v>
      </c>
      <c r="AC6" s="290">
        <f t="shared" si="26"/>
        <v>0</v>
      </c>
      <c r="AD6" s="73">
        <f>ELEC!Q6</f>
        <v>0</v>
      </c>
      <c r="AE6" s="73" t="e">
        <f>SUM(AD6/Z6)</f>
        <v>#DIV/0!</v>
      </c>
      <c r="AF6" s="406" t="e">
        <f t="shared" si="29"/>
        <v>#DIV/0!</v>
      </c>
      <c r="AG6" s="407" t="e">
        <f>SUM(320*AF6)</f>
        <v>#DIV/0!</v>
      </c>
      <c r="AH6" s="407" t="e">
        <f t="shared" si="27"/>
        <v>#DIV/0!</v>
      </c>
      <c r="AI6" s="73">
        <f t="shared" si="31"/>
        <v>0</v>
      </c>
      <c r="AJ6" s="292">
        <f t="shared" si="9"/>
        <v>0.25738396624472576</v>
      </c>
      <c r="AK6" s="292" t="e">
        <f t="shared" si="10"/>
        <v>#DIV/0!</v>
      </c>
    </row>
    <row r="7" spans="1:37" ht="15.75" thickBot="1">
      <c r="A7" s="4">
        <f>ELEC!C7</f>
        <v>44170</v>
      </c>
      <c r="B7" s="548">
        <f t="shared" si="11"/>
        <v>9363</v>
      </c>
      <c r="C7" s="290">
        <f t="shared" si="12"/>
        <v>0</v>
      </c>
      <c r="D7" s="549">
        <f t="shared" si="13"/>
        <v>279598.59999999998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49">
        <f t="shared" si="16"/>
        <v>10698</v>
      </c>
      <c r="K7" s="290">
        <f t="shared" si="2"/>
        <v>0</v>
      </c>
      <c r="L7" s="549">
        <f t="shared" si="17"/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49">
        <f t="shared" si="20"/>
        <v>11747</v>
      </c>
      <c r="S7" s="290">
        <f t="shared" si="5"/>
        <v>0</v>
      </c>
      <c r="T7" s="549">
        <f t="shared" si="21"/>
        <v>368318</v>
      </c>
      <c r="U7" s="290">
        <f t="shared" si="6"/>
        <v>0</v>
      </c>
      <c r="V7" s="290">
        <f t="shared" si="22"/>
        <v>0</v>
      </c>
      <c r="W7" s="197"/>
      <c r="X7" s="291">
        <f t="shared" si="23"/>
        <v>11961</v>
      </c>
      <c r="Y7" s="290" t="str">
        <f t="shared" si="7"/>
        <v>ok</v>
      </c>
      <c r="Z7" s="290">
        <f t="shared" si="8"/>
        <v>0</v>
      </c>
      <c r="AA7" s="290">
        <f>U7+M7+E7</f>
        <v>0</v>
      </c>
      <c r="AB7" s="290">
        <f t="shared" si="25"/>
        <v>0</v>
      </c>
      <c r="AC7" s="290">
        <f t="shared" si="26"/>
        <v>0</v>
      </c>
      <c r="AD7" s="73">
        <f>ELEC!Q7</f>
        <v>0</v>
      </c>
      <c r="AE7" s="73" t="e">
        <f t="shared" si="28"/>
        <v>#DIV/0!</v>
      </c>
      <c r="AF7" s="406" t="e">
        <f t="shared" si="29"/>
        <v>#DIV/0!</v>
      </c>
      <c r="AG7" s="511" t="s">
        <v>405</v>
      </c>
      <c r="AH7" s="407" t="e">
        <f t="shared" si="27"/>
        <v>#VALUE!</v>
      </c>
      <c r="AI7" s="73">
        <f t="shared" si="31"/>
        <v>0</v>
      </c>
      <c r="AJ7" s="292">
        <f t="shared" si="9"/>
        <v>0.25738396624472576</v>
      </c>
      <c r="AK7" s="292" t="e">
        <f t="shared" si="10"/>
        <v>#DIV/0!</v>
      </c>
    </row>
    <row r="8" spans="1:37" ht="15.75" thickBot="1">
      <c r="A8" s="4">
        <f>ELEC!C8</f>
        <v>44171</v>
      </c>
      <c r="B8" s="548">
        <f t="shared" si="11"/>
        <v>9363</v>
      </c>
      <c r="C8" s="290">
        <f t="shared" si="12"/>
        <v>0</v>
      </c>
      <c r="D8" s="549">
        <f t="shared" si="13"/>
        <v>279598.59999999998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49">
        <f t="shared" si="16"/>
        <v>10698</v>
      </c>
      <c r="K8" s="290">
        <f t="shared" si="2"/>
        <v>0</v>
      </c>
      <c r="L8" s="549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49">
        <f t="shared" si="20"/>
        <v>11747</v>
      </c>
      <c r="S8" s="290">
        <f t="shared" si="5"/>
        <v>0</v>
      </c>
      <c r="T8" s="549">
        <f t="shared" si="21"/>
        <v>368318</v>
      </c>
      <c r="U8" s="290">
        <f t="shared" si="6"/>
        <v>0</v>
      </c>
      <c r="V8" s="290">
        <f t="shared" si="22"/>
        <v>0</v>
      </c>
      <c r="W8" s="197"/>
      <c r="X8" s="291">
        <f t="shared" si="23"/>
        <v>11961</v>
      </c>
      <c r="Y8" s="290" t="str">
        <f t="shared" si="7"/>
        <v>ok</v>
      </c>
      <c r="Z8" s="290">
        <f t="shared" si="8"/>
        <v>0</v>
      </c>
      <c r="AA8" s="290">
        <f t="shared" si="24"/>
        <v>0</v>
      </c>
      <c r="AB8" s="290">
        <f t="shared" si="25"/>
        <v>0</v>
      </c>
      <c r="AC8" s="290">
        <f t="shared" si="26"/>
        <v>0</v>
      </c>
      <c r="AD8" s="73">
        <f>ELEC!Q8</f>
        <v>0</v>
      </c>
      <c r="AE8" s="73" t="e">
        <f t="shared" si="28"/>
        <v>#DIV/0!</v>
      </c>
      <c r="AF8" s="406" t="e">
        <f t="shared" si="29"/>
        <v>#DIV/0!</v>
      </c>
      <c r="AG8" s="407" t="e">
        <f t="shared" si="30"/>
        <v>#DIV/0!</v>
      </c>
      <c r="AH8" s="407" t="e">
        <f t="shared" si="27"/>
        <v>#DIV/0!</v>
      </c>
      <c r="AI8" s="73">
        <f t="shared" si="31"/>
        <v>0</v>
      </c>
      <c r="AJ8" s="292">
        <f t="shared" si="9"/>
        <v>0.25738396624472576</v>
      </c>
      <c r="AK8" s="292" t="e">
        <f t="shared" si="10"/>
        <v>#DIV/0!</v>
      </c>
    </row>
    <row r="9" spans="1:37" ht="15.75" thickBot="1">
      <c r="A9" s="4">
        <f>ELEC!C9</f>
        <v>44172</v>
      </c>
      <c r="B9" s="548">
        <f t="shared" si="11"/>
        <v>9363</v>
      </c>
      <c r="C9" s="290">
        <f t="shared" si="12"/>
        <v>0</v>
      </c>
      <c r="D9" s="549">
        <f t="shared" si="13"/>
        <v>279598.59999999998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49">
        <f t="shared" si="16"/>
        <v>10698</v>
      </c>
      <c r="K9" s="290">
        <f t="shared" si="2"/>
        <v>0</v>
      </c>
      <c r="L9" s="549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49">
        <f t="shared" si="20"/>
        <v>11747</v>
      </c>
      <c r="S9" s="290">
        <f t="shared" si="5"/>
        <v>0</v>
      </c>
      <c r="T9" s="549">
        <f t="shared" si="21"/>
        <v>368318</v>
      </c>
      <c r="U9" s="290">
        <f t="shared" si="6"/>
        <v>0</v>
      </c>
      <c r="V9" s="290">
        <f t="shared" si="22"/>
        <v>0</v>
      </c>
      <c r="W9" s="197"/>
      <c r="X9" s="291">
        <f t="shared" si="23"/>
        <v>11961</v>
      </c>
      <c r="Y9" s="290" t="str">
        <f t="shared" si="7"/>
        <v>ok</v>
      </c>
      <c r="Z9" s="290">
        <f t="shared" si="8"/>
        <v>0</v>
      </c>
      <c r="AA9" s="290">
        <f t="shared" si="24"/>
        <v>0</v>
      </c>
      <c r="AB9" s="290">
        <f t="shared" si="25"/>
        <v>0</v>
      </c>
      <c r="AC9" s="290">
        <f t="shared" si="26"/>
        <v>0</v>
      </c>
      <c r="AD9" s="73">
        <f>ELEC!Q9</f>
        <v>0</v>
      </c>
      <c r="AE9" s="73" t="e">
        <f t="shared" si="28"/>
        <v>#DIV/0!</v>
      </c>
      <c r="AF9" s="406" t="e">
        <f t="shared" si="29"/>
        <v>#DIV/0!</v>
      </c>
      <c r="AG9" s="407" t="e">
        <f t="shared" si="30"/>
        <v>#DIV/0!</v>
      </c>
      <c r="AH9" s="407" t="e">
        <f t="shared" si="27"/>
        <v>#DIV/0!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44173</v>
      </c>
      <c r="B10" s="548">
        <f t="shared" si="11"/>
        <v>9363</v>
      </c>
      <c r="C10" s="290">
        <f t="shared" si="12"/>
        <v>0</v>
      </c>
      <c r="D10" s="549">
        <f t="shared" si="13"/>
        <v>279598.59999999998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49">
        <f t="shared" si="16"/>
        <v>10698</v>
      </c>
      <c r="K10" s="290">
        <f t="shared" si="2"/>
        <v>0</v>
      </c>
      <c r="L10" s="549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49">
        <f t="shared" si="20"/>
        <v>11747</v>
      </c>
      <c r="S10" s="290">
        <f t="shared" si="5"/>
        <v>0</v>
      </c>
      <c r="T10" s="549">
        <f t="shared" si="21"/>
        <v>368318</v>
      </c>
      <c r="U10" s="290">
        <f t="shared" si="6"/>
        <v>0</v>
      </c>
      <c r="V10" s="290">
        <f t="shared" si="22"/>
        <v>0</v>
      </c>
      <c r="W10" s="197"/>
      <c r="X10" s="291">
        <f t="shared" si="23"/>
        <v>11961</v>
      </c>
      <c r="Y10" s="290" t="str">
        <f t="shared" si="7"/>
        <v>ok</v>
      </c>
      <c r="Z10" s="290">
        <f t="shared" si="8"/>
        <v>0</v>
      </c>
      <c r="AA10" s="290">
        <f t="shared" si="24"/>
        <v>0</v>
      </c>
      <c r="AB10" s="290">
        <f t="shared" si="25"/>
        <v>0</v>
      </c>
      <c r="AC10" s="290">
        <f t="shared" si="26"/>
        <v>0</v>
      </c>
      <c r="AD10" s="73">
        <f>ELEC!Q10</f>
        <v>0</v>
      </c>
      <c r="AE10" s="73" t="e">
        <f t="shared" si="28"/>
        <v>#DIV/0!</v>
      </c>
      <c r="AF10" s="406" t="e">
        <f t="shared" si="29"/>
        <v>#DIV/0!</v>
      </c>
      <c r="AG10" s="407" t="e">
        <f t="shared" si="30"/>
        <v>#DIV/0!</v>
      </c>
      <c r="AH10" s="407" t="e">
        <f t="shared" si="27"/>
        <v>#DIV/0!</v>
      </c>
      <c r="AI10" s="73">
        <f t="shared" si="31"/>
        <v>0</v>
      </c>
      <c r="AJ10" s="292">
        <f t="shared" si="9"/>
        <v>0.25738396624472576</v>
      </c>
      <c r="AK10" s="292">
        <f t="shared" si="32"/>
        <v>0</v>
      </c>
    </row>
    <row r="11" spans="1:37" ht="15.75" thickBot="1">
      <c r="A11" s="4">
        <f>ELEC!C11</f>
        <v>44174</v>
      </c>
      <c r="B11" s="548">
        <f t="shared" si="11"/>
        <v>9363</v>
      </c>
      <c r="C11" s="290">
        <f t="shared" si="12"/>
        <v>0</v>
      </c>
      <c r="D11" s="549">
        <f t="shared" si="13"/>
        <v>279598.59999999998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49">
        <f t="shared" si="16"/>
        <v>10698</v>
      </c>
      <c r="K11" s="290">
        <f t="shared" si="2"/>
        <v>0</v>
      </c>
      <c r="L11" s="549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49">
        <f t="shared" si="20"/>
        <v>11747</v>
      </c>
      <c r="S11" s="290">
        <f t="shared" si="5"/>
        <v>0</v>
      </c>
      <c r="T11" s="549">
        <f t="shared" si="21"/>
        <v>368318</v>
      </c>
      <c r="U11" s="290">
        <f t="shared" si="6"/>
        <v>0</v>
      </c>
      <c r="V11" s="290">
        <f t="shared" si="22"/>
        <v>0</v>
      </c>
      <c r="W11" s="197"/>
      <c r="X11" s="291">
        <f t="shared" si="23"/>
        <v>11961</v>
      </c>
      <c r="Y11" s="290" t="str">
        <f t="shared" si="7"/>
        <v>ok</v>
      </c>
      <c r="Z11" s="290">
        <f t="shared" si="8"/>
        <v>0</v>
      </c>
      <c r="AA11" s="290">
        <f t="shared" si="24"/>
        <v>0</v>
      </c>
      <c r="AB11" s="290">
        <f t="shared" si="25"/>
        <v>0</v>
      </c>
      <c r="AC11" s="290">
        <f t="shared" si="26"/>
        <v>0</v>
      </c>
      <c r="AD11" s="73">
        <f>ELEC!Q11</f>
        <v>0</v>
      </c>
      <c r="AE11" s="73" t="e">
        <f t="shared" si="28"/>
        <v>#DIV/0!</v>
      </c>
      <c r="AF11" s="406" t="e">
        <f t="shared" si="29"/>
        <v>#DIV/0!</v>
      </c>
      <c r="AG11" s="407" t="e">
        <f t="shared" si="30"/>
        <v>#DIV/0!</v>
      </c>
      <c r="AH11" s="407" t="e">
        <f t="shared" si="27"/>
        <v>#DIV/0!</v>
      </c>
      <c r="AI11" s="73">
        <f t="shared" si="31"/>
        <v>0</v>
      </c>
      <c r="AJ11" s="292">
        <f t="shared" si="9"/>
        <v>0.25738396624472576</v>
      </c>
      <c r="AK11" s="292">
        <f t="shared" si="32"/>
        <v>0</v>
      </c>
    </row>
    <row r="12" spans="1:37" ht="15.75" thickBot="1">
      <c r="A12" s="4">
        <f>ELEC!C12</f>
        <v>44175</v>
      </c>
      <c r="B12" s="548">
        <f t="shared" si="11"/>
        <v>9363</v>
      </c>
      <c r="C12" s="290">
        <f t="shared" si="12"/>
        <v>0</v>
      </c>
      <c r="D12" s="549">
        <f t="shared" si="13"/>
        <v>279598.59999999998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49">
        <f t="shared" si="16"/>
        <v>10698</v>
      </c>
      <c r="K12" s="290">
        <f t="shared" si="2"/>
        <v>0</v>
      </c>
      <c r="L12" s="549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49">
        <f t="shared" si="20"/>
        <v>11747</v>
      </c>
      <c r="S12" s="290">
        <f t="shared" si="5"/>
        <v>0</v>
      </c>
      <c r="T12" s="549">
        <f t="shared" si="21"/>
        <v>368318</v>
      </c>
      <c r="U12" s="290">
        <f t="shared" si="6"/>
        <v>0</v>
      </c>
      <c r="V12" s="290">
        <f t="shared" si="22"/>
        <v>0</v>
      </c>
      <c r="W12" s="197"/>
      <c r="X12" s="291">
        <f t="shared" si="23"/>
        <v>11961</v>
      </c>
      <c r="Y12" s="290" t="str">
        <f t="shared" si="7"/>
        <v>ok</v>
      </c>
      <c r="Z12" s="290">
        <f t="shared" si="8"/>
        <v>0</v>
      </c>
      <c r="AA12" s="290">
        <f t="shared" si="24"/>
        <v>0</v>
      </c>
      <c r="AB12" s="290">
        <f t="shared" si="25"/>
        <v>0</v>
      </c>
      <c r="AC12" s="290">
        <f t="shared" si="26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7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44176</v>
      </c>
      <c r="B13" s="548">
        <f t="shared" si="11"/>
        <v>9363</v>
      </c>
      <c r="C13" s="290">
        <f t="shared" si="12"/>
        <v>0</v>
      </c>
      <c r="D13" s="549">
        <f t="shared" si="13"/>
        <v>279598.59999999998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49">
        <f t="shared" si="16"/>
        <v>10698</v>
      </c>
      <c r="K13" s="290">
        <f t="shared" si="2"/>
        <v>0</v>
      </c>
      <c r="L13" s="549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49">
        <f t="shared" si="20"/>
        <v>11747</v>
      </c>
      <c r="S13" s="290">
        <f t="shared" si="5"/>
        <v>0</v>
      </c>
      <c r="T13" s="549">
        <f t="shared" si="21"/>
        <v>368318</v>
      </c>
      <c r="U13" s="290">
        <f t="shared" si="6"/>
        <v>0</v>
      </c>
      <c r="V13" s="290">
        <f t="shared" si="22"/>
        <v>0</v>
      </c>
      <c r="W13" s="197"/>
      <c r="X13" s="291">
        <f>X12+180</f>
        <v>12141</v>
      </c>
      <c r="Y13" s="290" t="str">
        <f t="shared" si="7"/>
        <v>ok</v>
      </c>
      <c r="Z13" s="290">
        <f t="shared" si="8"/>
        <v>0</v>
      </c>
      <c r="AA13" s="290">
        <f t="shared" si="24"/>
        <v>0</v>
      </c>
      <c r="AB13" s="290">
        <f t="shared" si="25"/>
        <v>0</v>
      </c>
      <c r="AC13" s="290">
        <f t="shared" si="26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7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44177</v>
      </c>
      <c r="B14" s="548">
        <f t="shared" si="11"/>
        <v>9363</v>
      </c>
      <c r="C14" s="290">
        <f t="shared" si="12"/>
        <v>0</v>
      </c>
      <c r="D14" s="549">
        <f t="shared" si="13"/>
        <v>279598.59999999998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49">
        <f t="shared" si="16"/>
        <v>10698</v>
      </c>
      <c r="K14" s="290">
        <f t="shared" si="2"/>
        <v>0</v>
      </c>
      <c r="L14" s="549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49">
        <f t="shared" si="20"/>
        <v>11747</v>
      </c>
      <c r="S14" s="290">
        <f t="shared" si="5"/>
        <v>0</v>
      </c>
      <c r="T14" s="549">
        <f t="shared" si="21"/>
        <v>368318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12141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44178</v>
      </c>
      <c r="B15" s="548">
        <f t="shared" si="11"/>
        <v>9363</v>
      </c>
      <c r="C15" s="290">
        <f t="shared" si="12"/>
        <v>0</v>
      </c>
      <c r="D15" s="549">
        <f t="shared" si="13"/>
        <v>279598.59999999998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49">
        <f t="shared" si="16"/>
        <v>10698</v>
      </c>
      <c r="K15" s="290">
        <f t="shared" si="2"/>
        <v>0</v>
      </c>
      <c r="L15" s="549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49">
        <f t="shared" si="20"/>
        <v>11747</v>
      </c>
      <c r="S15" s="290">
        <f t="shared" si="5"/>
        <v>0</v>
      </c>
      <c r="T15" s="549">
        <f t="shared" si="21"/>
        <v>368318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12141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44179</v>
      </c>
      <c r="B16" s="548">
        <f t="shared" si="11"/>
        <v>9363</v>
      </c>
      <c r="C16" s="290">
        <f t="shared" si="12"/>
        <v>0</v>
      </c>
      <c r="D16" s="549">
        <f t="shared" si="13"/>
        <v>279598.59999999998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49">
        <f t="shared" si="16"/>
        <v>10698</v>
      </c>
      <c r="K16" s="290">
        <f t="shared" si="2"/>
        <v>0</v>
      </c>
      <c r="L16" s="549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49">
        <f t="shared" si="20"/>
        <v>11747</v>
      </c>
      <c r="S16" s="290">
        <f t="shared" si="5"/>
        <v>0</v>
      </c>
      <c r="T16" s="549">
        <f t="shared" si="21"/>
        <v>368318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12141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44180</v>
      </c>
      <c r="B17" s="548">
        <f t="shared" si="11"/>
        <v>9363</v>
      </c>
      <c r="C17" s="290">
        <f t="shared" si="12"/>
        <v>0</v>
      </c>
      <c r="D17" s="549">
        <f t="shared" si="13"/>
        <v>279598.59999999998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49">
        <f t="shared" si="16"/>
        <v>10698</v>
      </c>
      <c r="K17" s="290">
        <f t="shared" si="2"/>
        <v>0</v>
      </c>
      <c r="L17" s="549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49">
        <f t="shared" si="20"/>
        <v>11747</v>
      </c>
      <c r="S17" s="290">
        <f t="shared" si="5"/>
        <v>0</v>
      </c>
      <c r="T17" s="549">
        <f t="shared" si="21"/>
        <v>368318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12141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44181</v>
      </c>
      <c r="B18" s="548">
        <f t="shared" si="11"/>
        <v>9363</v>
      </c>
      <c r="C18" s="290">
        <f t="shared" si="12"/>
        <v>0</v>
      </c>
      <c r="D18" s="549">
        <f t="shared" si="13"/>
        <v>279598.59999999998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oil change</v>
      </c>
      <c r="J18" s="549">
        <f t="shared" si="16"/>
        <v>10698</v>
      </c>
      <c r="K18" s="290">
        <f t="shared" si="2"/>
        <v>0</v>
      </c>
      <c r="L18" s="549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49">
        <f t="shared" si="20"/>
        <v>11747</v>
      </c>
      <c r="S18" s="290">
        <f t="shared" si="5"/>
        <v>0</v>
      </c>
      <c r="T18" s="549">
        <f t="shared" si="21"/>
        <v>368318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12141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44182</v>
      </c>
      <c r="B19" s="548">
        <f t="shared" si="11"/>
        <v>9363</v>
      </c>
      <c r="C19" s="290">
        <f t="shared" si="12"/>
        <v>0</v>
      </c>
      <c r="D19" s="549">
        <f t="shared" si="13"/>
        <v>279598.59999999998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49">
        <f t="shared" si="16"/>
        <v>10698</v>
      </c>
      <c r="K19" s="290">
        <f t="shared" si="2"/>
        <v>0</v>
      </c>
      <c r="L19" s="549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49">
        <f t="shared" si="20"/>
        <v>11747</v>
      </c>
      <c r="S19" s="290">
        <f t="shared" si="5"/>
        <v>0</v>
      </c>
      <c r="T19" s="549">
        <f t="shared" si="21"/>
        <v>368318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12141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44183</v>
      </c>
      <c r="B20" s="548">
        <f t="shared" si="11"/>
        <v>9363</v>
      </c>
      <c r="C20" s="290">
        <f>B20-B19</f>
        <v>0</v>
      </c>
      <c r="D20" s="549">
        <f t="shared" si="13"/>
        <v>279598.59999999998</v>
      </c>
      <c r="E20" s="290">
        <f t="shared" si="14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49">
        <f t="shared" si="16"/>
        <v>10698</v>
      </c>
      <c r="K20" s="290">
        <f t="shared" si="2"/>
        <v>0</v>
      </c>
      <c r="L20" s="549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49">
        <f t="shared" si="20"/>
        <v>11747</v>
      </c>
      <c r="S20" s="290">
        <f t="shared" si="5"/>
        <v>0</v>
      </c>
      <c r="T20" s="549">
        <f t="shared" si="21"/>
        <v>368318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12141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44184</v>
      </c>
      <c r="B21" s="548">
        <f t="shared" si="11"/>
        <v>9363</v>
      </c>
      <c r="C21" s="290">
        <f t="shared" si="12"/>
        <v>0</v>
      </c>
      <c r="D21" s="549">
        <f t="shared" si="13"/>
        <v>279598.59999999998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94679</v>
      </c>
      <c r="I21" s="290" t="str">
        <f t="shared" si="1"/>
        <v>ok</v>
      </c>
      <c r="J21" s="549">
        <f t="shared" si="16"/>
        <v>10698</v>
      </c>
      <c r="K21" s="290">
        <f t="shared" si="2"/>
        <v>0</v>
      </c>
      <c r="L21" s="549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49">
        <f t="shared" si="20"/>
        <v>11747</v>
      </c>
      <c r="S21" s="290">
        <f t="shared" si="5"/>
        <v>0</v>
      </c>
      <c r="T21" s="549">
        <f t="shared" si="21"/>
        <v>368318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12141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44185</v>
      </c>
      <c r="B22" s="548">
        <f t="shared" si="11"/>
        <v>9363</v>
      </c>
      <c r="C22" s="290">
        <f t="shared" si="12"/>
        <v>0</v>
      </c>
      <c r="D22" s="549">
        <f t="shared" si="13"/>
        <v>279598.59999999998</v>
      </c>
      <c r="E22" s="290">
        <f t="shared" si="14"/>
        <v>0</v>
      </c>
      <c r="F22" s="290">
        <f t="shared" si="0"/>
        <v>0</v>
      </c>
      <c r="G22" s="197"/>
      <c r="H22" s="291">
        <v>94679</v>
      </c>
      <c r="I22" s="290" t="str">
        <f t="shared" si="1"/>
        <v>ok</v>
      </c>
      <c r="J22" s="549">
        <f t="shared" si="16"/>
        <v>10698</v>
      </c>
      <c r="K22" s="290">
        <f t="shared" si="2"/>
        <v>0</v>
      </c>
      <c r="L22" s="549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49">
        <f t="shared" si="20"/>
        <v>11747</v>
      </c>
      <c r="S22" s="290">
        <f t="shared" si="5"/>
        <v>0</v>
      </c>
      <c r="T22" s="549">
        <f t="shared" si="21"/>
        <v>368318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12141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44186</v>
      </c>
      <c r="B23" s="548">
        <f t="shared" si="11"/>
        <v>9363</v>
      </c>
      <c r="C23" s="290">
        <f t="shared" si="12"/>
        <v>0</v>
      </c>
      <c r="D23" s="549">
        <f t="shared" si="13"/>
        <v>279598.59999999998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94679</v>
      </c>
      <c r="I23" s="290" t="str">
        <f t="shared" si="1"/>
        <v>ok</v>
      </c>
      <c r="J23" s="549">
        <f t="shared" si="16"/>
        <v>10698</v>
      </c>
      <c r="K23" s="290">
        <f t="shared" si="2"/>
        <v>0</v>
      </c>
      <c r="L23" s="549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49">
        <f t="shared" si="20"/>
        <v>11747</v>
      </c>
      <c r="S23" s="290">
        <f t="shared" si="5"/>
        <v>0</v>
      </c>
      <c r="T23" s="549">
        <f t="shared" si="21"/>
        <v>368318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12141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44187</v>
      </c>
      <c r="B24" s="548">
        <f t="shared" si="11"/>
        <v>9363</v>
      </c>
      <c r="C24" s="290">
        <f t="shared" si="12"/>
        <v>0</v>
      </c>
      <c r="D24" s="549">
        <f t="shared" si="13"/>
        <v>279598.59999999998</v>
      </c>
      <c r="E24" s="290">
        <f t="shared" si="14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49">
        <f t="shared" si="16"/>
        <v>10698</v>
      </c>
      <c r="K24" s="290">
        <f t="shared" si="2"/>
        <v>0</v>
      </c>
      <c r="L24" s="549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49">
        <f t="shared" si="20"/>
        <v>11747</v>
      </c>
      <c r="S24" s="290">
        <f t="shared" si="5"/>
        <v>0</v>
      </c>
      <c r="T24" s="549">
        <f t="shared" si="21"/>
        <v>368318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12141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44188</v>
      </c>
      <c r="B25" s="548">
        <f t="shared" si="11"/>
        <v>9363</v>
      </c>
      <c r="C25" s="290">
        <f t="shared" si="12"/>
        <v>0</v>
      </c>
      <c r="D25" s="549">
        <f t="shared" si="13"/>
        <v>279598.59999999998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94679</v>
      </c>
      <c r="I25" s="290" t="str">
        <f t="shared" si="1"/>
        <v>ok</v>
      </c>
      <c r="J25" s="549">
        <f t="shared" si="16"/>
        <v>10698</v>
      </c>
      <c r="K25" s="290">
        <f t="shared" si="2"/>
        <v>0</v>
      </c>
      <c r="L25" s="549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49">
        <f t="shared" si="20"/>
        <v>11747</v>
      </c>
      <c r="S25" s="290">
        <f t="shared" si="5"/>
        <v>0</v>
      </c>
      <c r="T25" s="549">
        <f t="shared" si="21"/>
        <v>368318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12141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44189</v>
      </c>
      <c r="B26" s="548">
        <f t="shared" si="11"/>
        <v>9363</v>
      </c>
      <c r="C26" s="290">
        <f t="shared" si="12"/>
        <v>0</v>
      </c>
      <c r="D26" s="549">
        <f t="shared" si="13"/>
        <v>279598.59999999998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94679</v>
      </c>
      <c r="I26" s="290" t="str">
        <f t="shared" si="1"/>
        <v>ok</v>
      </c>
      <c r="J26" s="549">
        <f t="shared" si="16"/>
        <v>10698</v>
      </c>
      <c r="K26" s="290">
        <f t="shared" si="2"/>
        <v>0</v>
      </c>
      <c r="L26" s="549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49">
        <f t="shared" si="20"/>
        <v>11747</v>
      </c>
      <c r="S26" s="290">
        <f t="shared" si="5"/>
        <v>0</v>
      </c>
      <c r="T26" s="549">
        <f t="shared" si="21"/>
        <v>368318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12141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44190</v>
      </c>
      <c r="B27" s="548">
        <f t="shared" si="11"/>
        <v>9363</v>
      </c>
      <c r="C27" s="290">
        <f t="shared" si="12"/>
        <v>0</v>
      </c>
      <c r="D27" s="549">
        <f t="shared" si="13"/>
        <v>279598.59999999998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94679</v>
      </c>
      <c r="I27" s="290" t="str">
        <f>IF(B27-H27&lt;=0,"ok","oil change")</f>
        <v>ok</v>
      </c>
      <c r="J27" s="549">
        <f t="shared" si="16"/>
        <v>10698</v>
      </c>
      <c r="K27" s="290">
        <f t="shared" si="2"/>
        <v>0</v>
      </c>
      <c r="L27" s="549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49">
        <f t="shared" si="20"/>
        <v>11747</v>
      </c>
      <c r="S27" s="290">
        <f t="shared" si="5"/>
        <v>0</v>
      </c>
      <c r="T27" s="549">
        <f t="shared" si="21"/>
        <v>368318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12141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44191</v>
      </c>
      <c r="B28" s="548">
        <f t="shared" si="11"/>
        <v>9363</v>
      </c>
      <c r="C28" s="290">
        <f t="shared" si="12"/>
        <v>0</v>
      </c>
      <c r="D28" s="549">
        <f t="shared" si="13"/>
        <v>279598.59999999998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94679</v>
      </c>
      <c r="I28" s="290" t="str">
        <f t="shared" si="1"/>
        <v>ok</v>
      </c>
      <c r="J28" s="549">
        <f t="shared" si="16"/>
        <v>10698</v>
      </c>
      <c r="K28" s="290">
        <f t="shared" si="2"/>
        <v>0</v>
      </c>
      <c r="L28" s="549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49">
        <f t="shared" si="20"/>
        <v>11747</v>
      </c>
      <c r="S28" s="290">
        <f t="shared" si="5"/>
        <v>0</v>
      </c>
      <c r="T28" s="549">
        <f t="shared" si="21"/>
        <v>368318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12141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44192</v>
      </c>
      <c r="B29" s="548">
        <f t="shared" si="11"/>
        <v>9363</v>
      </c>
      <c r="C29" s="290">
        <f t="shared" si="12"/>
        <v>0</v>
      </c>
      <c r="D29" s="549">
        <f t="shared" si="13"/>
        <v>279598.59999999998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94679</v>
      </c>
      <c r="I29" s="290" t="str">
        <f t="shared" si="1"/>
        <v>ok</v>
      </c>
      <c r="J29" s="549">
        <f t="shared" si="16"/>
        <v>10698</v>
      </c>
      <c r="K29" s="290">
        <f t="shared" si="2"/>
        <v>0</v>
      </c>
      <c r="L29" s="549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49">
        <f t="shared" si="20"/>
        <v>11747</v>
      </c>
      <c r="S29" s="290">
        <f t="shared" si="5"/>
        <v>0</v>
      </c>
      <c r="T29" s="549">
        <f t="shared" si="21"/>
        <v>368318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12141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44193</v>
      </c>
      <c r="B30" s="548">
        <f t="shared" si="11"/>
        <v>9363</v>
      </c>
      <c r="C30" s="290">
        <f t="shared" si="12"/>
        <v>0</v>
      </c>
      <c r="D30" s="549">
        <f t="shared" si="13"/>
        <v>279598.59999999998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94679</v>
      </c>
      <c r="I30" s="290" t="str">
        <f t="shared" si="1"/>
        <v>ok</v>
      </c>
      <c r="J30" s="549">
        <f t="shared" si="16"/>
        <v>10698</v>
      </c>
      <c r="K30" s="290">
        <f t="shared" si="2"/>
        <v>0</v>
      </c>
      <c r="L30" s="549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49">
        <f t="shared" si="20"/>
        <v>11747</v>
      </c>
      <c r="S30" s="290">
        <f t="shared" si="5"/>
        <v>0</v>
      </c>
      <c r="T30" s="549">
        <f t="shared" si="21"/>
        <v>368318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12141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44194</v>
      </c>
      <c r="B31" s="548">
        <f t="shared" si="11"/>
        <v>9363</v>
      </c>
      <c r="C31" s="290">
        <f t="shared" si="12"/>
        <v>0</v>
      </c>
      <c r="D31" s="549">
        <f t="shared" si="13"/>
        <v>279598.59999999998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94679</v>
      </c>
      <c r="I31" s="290" t="str">
        <f t="shared" si="1"/>
        <v>ok</v>
      </c>
      <c r="J31" s="549">
        <f t="shared" si="16"/>
        <v>10698</v>
      </c>
      <c r="K31" s="290">
        <f t="shared" si="2"/>
        <v>0</v>
      </c>
      <c r="L31" s="549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49">
        <f t="shared" si="20"/>
        <v>11747</v>
      </c>
      <c r="S31" s="290">
        <f t="shared" si="5"/>
        <v>0</v>
      </c>
      <c r="T31" s="549">
        <f t="shared" si="21"/>
        <v>368318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12141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44195</v>
      </c>
      <c r="B32" s="548">
        <f t="shared" si="11"/>
        <v>9363</v>
      </c>
      <c r="C32" s="290">
        <f t="shared" si="12"/>
        <v>0</v>
      </c>
      <c r="D32" s="549">
        <f t="shared" si="13"/>
        <v>279598.59999999998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94679</v>
      </c>
      <c r="I32" s="290" t="str">
        <f t="shared" si="1"/>
        <v>ok</v>
      </c>
      <c r="J32" s="549">
        <f t="shared" si="16"/>
        <v>10698</v>
      </c>
      <c r="K32" s="290">
        <f>J32-J31</f>
        <v>0</v>
      </c>
      <c r="L32" s="549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49">
        <f t="shared" si="20"/>
        <v>11747</v>
      </c>
      <c r="S32" s="290">
        <f t="shared" si="5"/>
        <v>0</v>
      </c>
      <c r="T32" s="549">
        <f t="shared" si="21"/>
        <v>368318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12141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44196</v>
      </c>
      <c r="B33" s="548">
        <f t="shared" si="11"/>
        <v>9363</v>
      </c>
      <c r="C33" s="290">
        <f t="shared" ref="C33" si="38">B33-B32</f>
        <v>0</v>
      </c>
      <c r="D33" s="549">
        <f t="shared" si="13"/>
        <v>279598.59999999998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94679</v>
      </c>
      <c r="I33" s="290" t="str">
        <f t="shared" ref="I33" si="41">IF(B33-H33&lt;=0,"ok","oil change")</f>
        <v>ok</v>
      </c>
      <c r="J33" s="549">
        <f t="shared" si="16"/>
        <v>10698</v>
      </c>
      <c r="K33" s="290">
        <f>J33-J32</f>
        <v>0</v>
      </c>
      <c r="L33" s="549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49">
        <f t="shared" si="20"/>
        <v>11747</v>
      </c>
      <c r="S33" s="290">
        <f t="shared" ref="S33" si="45">R33-R32</f>
        <v>0</v>
      </c>
      <c r="T33" s="549">
        <f t="shared" si="21"/>
        <v>368318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12141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6</v>
      </c>
      <c r="V34" s="40"/>
      <c r="X34">
        <v>341</v>
      </c>
      <c r="Z34" s="425">
        <f>SUM(Z3:Z32)</f>
        <v>6</v>
      </c>
    </row>
    <row r="35" spans="1:37">
      <c r="C35" s="40">
        <f>SUM(C3:C33)</f>
        <v>6</v>
      </c>
      <c r="K35" s="40">
        <f>SUM(K3:K33)</f>
        <v>0</v>
      </c>
      <c r="S35" s="40">
        <f>SUM(S3:S33)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4" sqref="K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7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9">
        <v>102557</v>
      </c>
      <c r="G4" s="160">
        <f t="shared" ref="G4:G32" si="1">F4-F3</f>
        <v>245</v>
      </c>
      <c r="H4" s="547">
        <v>357864</v>
      </c>
      <c r="I4" s="161">
        <f t="shared" ref="I4:I33" si="2">H4-H3</f>
        <v>1592</v>
      </c>
      <c r="J4" s="547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4.9936464055028367</v>
      </c>
      <c r="P4" s="300">
        <f>SUM(L4:O4)</f>
        <v>235.72266796437515</v>
      </c>
      <c r="Q4" s="300" t="e">
        <f>SUM(-tanks!AX6*tanks!$AU$37)</f>
        <v>#DIV/0!</v>
      </c>
      <c r="R4" s="300" t="e">
        <f>SUM(P4:Q4)</f>
        <v>#DIV/0!</v>
      </c>
      <c r="S4" s="302">
        <f>SUM(ELEC!N3)</f>
        <v>7545.6000000000931</v>
      </c>
      <c r="T4" s="339" t="e">
        <f>IF(S4&gt;0,R4/S4,0)</f>
        <v>#DIV/0!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58"/>
      <c r="AC4" s="659"/>
    </row>
    <row r="5" spans="1:32" ht="15.75" thickBot="1">
      <c r="A5" s="163">
        <f>ELEC!C4</f>
        <v>44167</v>
      </c>
      <c r="B5" s="547">
        <f t="shared" ref="B5:B34" si="8">B4</f>
        <v>705920</v>
      </c>
      <c r="C5" s="266">
        <f t="shared" si="0"/>
        <v>0</v>
      </c>
      <c r="D5" s="311">
        <f t="shared" ref="D5:D33" si="9">SUM(G5+I5+K5)</f>
        <v>0</v>
      </c>
      <c r="E5" s="311">
        <f>B4+D5</f>
        <v>705920</v>
      </c>
      <c r="F5" s="589">
        <f t="shared" ref="F5:F34" si="10">F4</f>
        <v>102557</v>
      </c>
      <c r="G5" s="160">
        <f t="shared" si="1"/>
        <v>0</v>
      </c>
      <c r="H5" s="547">
        <f t="shared" ref="H5:H34" si="11">H4</f>
        <v>357864</v>
      </c>
      <c r="I5" s="161">
        <f t="shared" si="2"/>
        <v>0</v>
      </c>
      <c r="J5" s="547">
        <f t="shared" ref="J5:J34" si="12">J4</f>
        <v>245498</v>
      </c>
      <c r="K5" s="162">
        <f t="shared" si="3"/>
        <v>0</v>
      </c>
      <c r="L5" s="299">
        <f t="shared" si="4"/>
        <v>0</v>
      </c>
      <c r="M5" s="299">
        <f t="shared" si="5"/>
        <v>0</v>
      </c>
      <c r="N5" s="299">
        <f t="shared" si="6"/>
        <v>0</v>
      </c>
      <c r="O5" s="299">
        <f t="shared" si="7"/>
        <v>4.9936464055028367</v>
      </c>
      <c r="P5" s="300">
        <f t="shared" ref="P5:P32" si="13">SUM(L5:O5)</f>
        <v>4.9936464055028367</v>
      </c>
      <c r="Q5" s="300" t="e">
        <f>SUM(-tanks!AX7*tanks!$AU$37)</f>
        <v>#DIV/0!</v>
      </c>
      <c r="R5" s="300" t="e">
        <f t="shared" ref="R5:R32" si="14">SUM(P5:Q5)</f>
        <v>#DIV/0!</v>
      </c>
      <c r="S5" s="302">
        <f>SUM(ELEC!N4)</f>
        <v>0</v>
      </c>
      <c r="T5" s="339">
        <f>IF(S5&gt;0,R5/S5,0)</f>
        <v>0</v>
      </c>
      <c r="U5" s="252"/>
      <c r="V5" s="652"/>
      <c r="W5" s="653"/>
      <c r="X5" s="653"/>
      <c r="Y5" s="654"/>
      <c r="Z5" s="26" t="s">
        <v>203</v>
      </c>
      <c r="AA5" s="266">
        <f>'[6]EDl log'!AA22</f>
        <v>5000</v>
      </c>
      <c r="AB5" s="660"/>
      <c r="AC5" s="661"/>
    </row>
    <row r="6" spans="1:32" ht="15.75" thickBot="1">
      <c r="A6" s="163">
        <f>ELEC!C5</f>
        <v>44168</v>
      </c>
      <c r="B6" s="547">
        <f t="shared" si="8"/>
        <v>705920</v>
      </c>
      <c r="C6" s="266">
        <f t="shared" si="0"/>
        <v>0</v>
      </c>
      <c r="D6" s="311">
        <f t="shared" si="9"/>
        <v>0</v>
      </c>
      <c r="E6" s="311">
        <f t="shared" ref="E6:E33" si="15">B5+D6</f>
        <v>705920</v>
      </c>
      <c r="F6" s="589">
        <f t="shared" si="10"/>
        <v>102557</v>
      </c>
      <c r="G6" s="160">
        <f t="shared" si="1"/>
        <v>0</v>
      </c>
      <c r="H6" s="547">
        <f t="shared" si="11"/>
        <v>357864</v>
      </c>
      <c r="I6" s="161">
        <f t="shared" si="2"/>
        <v>0</v>
      </c>
      <c r="J6" s="547">
        <f t="shared" si="12"/>
        <v>245498</v>
      </c>
      <c r="K6" s="162">
        <f t="shared" si="3"/>
        <v>0</v>
      </c>
      <c r="L6" s="299">
        <f t="shared" si="4"/>
        <v>0</v>
      </c>
      <c r="M6" s="299">
        <f t="shared" si="5"/>
        <v>0</v>
      </c>
      <c r="N6" s="299">
        <f t="shared" si="6"/>
        <v>0</v>
      </c>
      <c r="O6" s="299">
        <f t="shared" si="7"/>
        <v>4.9936464055028367</v>
      </c>
      <c r="P6" s="300">
        <f t="shared" si="13"/>
        <v>4.9936464055028367</v>
      </c>
      <c r="Q6" s="300" t="e">
        <f>SUM(-tanks!AX8*tanks!$AU$37)</f>
        <v>#DIV/0!</v>
      </c>
      <c r="R6" s="300" t="e">
        <f t="shared" si="14"/>
        <v>#DIV/0!</v>
      </c>
      <c r="S6" s="302">
        <f>SUM(ELEC!N5)</f>
        <v>0</v>
      </c>
      <c r="T6" s="339">
        <f t="shared" ref="T6:T32" si="16">IF(S6&gt;0,R6/S6,0)</f>
        <v>0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44169</v>
      </c>
      <c r="B7" s="547">
        <f t="shared" si="8"/>
        <v>705920</v>
      </c>
      <c r="C7" s="266">
        <f t="shared" si="0"/>
        <v>0</v>
      </c>
      <c r="D7" s="311">
        <f t="shared" si="9"/>
        <v>0</v>
      </c>
      <c r="E7" s="311">
        <f t="shared" si="15"/>
        <v>705920</v>
      </c>
      <c r="F7" s="589">
        <f t="shared" si="10"/>
        <v>102557</v>
      </c>
      <c r="G7" s="160">
        <f t="shared" si="1"/>
        <v>0</v>
      </c>
      <c r="H7" s="547">
        <f t="shared" si="11"/>
        <v>357864</v>
      </c>
      <c r="I7" s="161">
        <f t="shared" si="2"/>
        <v>0</v>
      </c>
      <c r="J7" s="547">
        <f t="shared" si="12"/>
        <v>245498</v>
      </c>
      <c r="K7" s="162">
        <f t="shared" si="3"/>
        <v>0</v>
      </c>
      <c r="L7" s="299">
        <f t="shared" si="4"/>
        <v>0</v>
      </c>
      <c r="M7" s="299">
        <f t="shared" si="5"/>
        <v>0</v>
      </c>
      <c r="N7" s="299">
        <f t="shared" si="6"/>
        <v>0</v>
      </c>
      <c r="O7" s="299">
        <f t="shared" si="7"/>
        <v>4.9936464055028367</v>
      </c>
      <c r="P7" s="300">
        <f t="shared" si="13"/>
        <v>4.9936464055028367</v>
      </c>
      <c r="Q7" s="300" t="e">
        <f>SUM(-tanks!AX9*tanks!$AU$37)</f>
        <v>#DIV/0!</v>
      </c>
      <c r="R7" s="300" t="e">
        <f t="shared" si="14"/>
        <v>#DIV/0!</v>
      </c>
      <c r="S7" s="302">
        <f>SUM(ELEC!N6)</f>
        <v>0</v>
      </c>
      <c r="T7" s="339">
        <f t="shared" si="16"/>
        <v>0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44170</v>
      </c>
      <c r="B8" s="547">
        <f t="shared" si="8"/>
        <v>705920</v>
      </c>
      <c r="C8" s="266">
        <f t="shared" si="0"/>
        <v>0</v>
      </c>
      <c r="D8" s="311">
        <f t="shared" si="9"/>
        <v>0</v>
      </c>
      <c r="E8" s="311">
        <f t="shared" si="15"/>
        <v>705920</v>
      </c>
      <c r="F8" s="589">
        <f t="shared" si="10"/>
        <v>102557</v>
      </c>
      <c r="G8" s="160">
        <f t="shared" si="1"/>
        <v>0</v>
      </c>
      <c r="H8" s="547">
        <f t="shared" si="11"/>
        <v>357864</v>
      </c>
      <c r="I8" s="161">
        <f t="shared" si="2"/>
        <v>0</v>
      </c>
      <c r="J8" s="547">
        <f t="shared" si="12"/>
        <v>245498</v>
      </c>
      <c r="K8" s="162">
        <f>J8-J7</f>
        <v>0</v>
      </c>
      <c r="L8" s="299">
        <f t="shared" si="4"/>
        <v>0</v>
      </c>
      <c r="M8" s="299">
        <f t="shared" si="5"/>
        <v>0</v>
      </c>
      <c r="N8" s="299">
        <f t="shared" si="6"/>
        <v>0</v>
      </c>
      <c r="O8" s="299">
        <f t="shared" si="7"/>
        <v>4.9936464055028367</v>
      </c>
      <c r="P8" s="300">
        <f t="shared" si="13"/>
        <v>4.9936464055028367</v>
      </c>
      <c r="Q8" s="300" t="e">
        <f>SUM(-tanks!AX10*tanks!$AU$37)</f>
        <v>#DIV/0!</v>
      </c>
      <c r="R8" s="300" t="e">
        <f t="shared" si="14"/>
        <v>#DIV/0!</v>
      </c>
      <c r="S8" s="302">
        <f>SUM(ELEC!N7)</f>
        <v>0</v>
      </c>
      <c r="T8" s="339">
        <f>IF(S8&gt;0,R8/S8,0)</f>
        <v>0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7">
        <f t="shared" si="8"/>
        <v>705920</v>
      </c>
      <c r="C9" s="266">
        <f t="shared" si="0"/>
        <v>0</v>
      </c>
      <c r="D9" s="311">
        <f t="shared" si="9"/>
        <v>0</v>
      </c>
      <c r="E9" s="311">
        <f t="shared" si="15"/>
        <v>705920</v>
      </c>
      <c r="F9" s="589">
        <f t="shared" si="10"/>
        <v>102557</v>
      </c>
      <c r="G9" s="160">
        <f t="shared" si="1"/>
        <v>0</v>
      </c>
      <c r="H9" s="547">
        <f t="shared" si="11"/>
        <v>357864</v>
      </c>
      <c r="I9" s="161">
        <f t="shared" si="2"/>
        <v>0</v>
      </c>
      <c r="J9" s="547">
        <f t="shared" si="12"/>
        <v>245498</v>
      </c>
      <c r="K9" s="162">
        <f>J9-J8</f>
        <v>0</v>
      </c>
      <c r="L9" s="299">
        <f t="shared" si="4"/>
        <v>0</v>
      </c>
      <c r="M9" s="299">
        <f t="shared" si="5"/>
        <v>0</v>
      </c>
      <c r="N9" s="299">
        <f t="shared" si="6"/>
        <v>0</v>
      </c>
      <c r="O9" s="299">
        <f t="shared" si="7"/>
        <v>4.9936464055028367</v>
      </c>
      <c r="P9" s="300">
        <f t="shared" si="13"/>
        <v>4.9936464055028367</v>
      </c>
      <c r="Q9" s="300" t="e">
        <f>SUM(-tanks!AX11*tanks!$AU$37)</f>
        <v>#DIV/0!</v>
      </c>
      <c r="R9" s="300" t="e">
        <f>SUM(P9:Q9)</f>
        <v>#DIV/0!</v>
      </c>
      <c r="S9" s="302">
        <f>SUM(ELEC!N8)</f>
        <v>0</v>
      </c>
      <c r="T9" s="339">
        <f t="shared" si="16"/>
        <v>0</v>
      </c>
      <c r="V9" s="579">
        <f>'[1]EDl log'!V26</f>
        <v>210387</v>
      </c>
      <c r="W9" s="579">
        <f>'[1]EDl log'!W26</f>
        <v>244359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33972</v>
      </c>
      <c r="AB9" s="576">
        <f>'[1]EDl log'!AB26</f>
        <v>2717760</v>
      </c>
      <c r="AC9" s="576">
        <f>'[1]EDl log'!AC26</f>
        <v>1033333</v>
      </c>
      <c r="AD9" s="513">
        <f>'[1]EDl log'!AD26</f>
        <v>0.33717768029060885</v>
      </c>
    </row>
    <row r="10" spans="1:32" ht="15.75" thickBot="1">
      <c r="A10" s="163">
        <f>ELEC!C9</f>
        <v>44172</v>
      </c>
      <c r="B10" s="547">
        <f t="shared" si="8"/>
        <v>705920</v>
      </c>
      <c r="C10" s="266">
        <f t="shared" si="0"/>
        <v>0</v>
      </c>
      <c r="D10" s="311">
        <f t="shared" si="9"/>
        <v>0</v>
      </c>
      <c r="E10" s="311">
        <f t="shared" si="15"/>
        <v>705920</v>
      </c>
      <c r="F10" s="589">
        <f t="shared" si="10"/>
        <v>102557</v>
      </c>
      <c r="G10" s="160">
        <f t="shared" si="1"/>
        <v>0</v>
      </c>
      <c r="H10" s="547">
        <f t="shared" si="11"/>
        <v>357864</v>
      </c>
      <c r="I10" s="161">
        <f t="shared" si="2"/>
        <v>0</v>
      </c>
      <c r="J10" s="547">
        <f t="shared" si="12"/>
        <v>245498</v>
      </c>
      <c r="K10" s="162">
        <f t="shared" si="3"/>
        <v>0</v>
      </c>
      <c r="L10" s="299">
        <f t="shared" si="4"/>
        <v>0</v>
      </c>
      <c r="M10" s="299">
        <f t="shared" si="5"/>
        <v>0</v>
      </c>
      <c r="N10" s="299">
        <f t="shared" si="6"/>
        <v>0</v>
      </c>
      <c r="O10" s="299">
        <f t="shared" si="7"/>
        <v>4.9936464055028367</v>
      </c>
      <c r="P10" s="300">
        <f t="shared" si="13"/>
        <v>4.9936464055028367</v>
      </c>
      <c r="Q10" s="300" t="e">
        <f>SUM(-tanks!AX12*tanks!$AU$37)</f>
        <v>#DIV/0!</v>
      </c>
      <c r="R10" s="300" t="e">
        <f t="shared" si="14"/>
        <v>#DIV/0!</v>
      </c>
      <c r="S10" s="302">
        <f>SUM(ELEC!N9)</f>
        <v>0</v>
      </c>
      <c r="T10" s="339">
        <f t="shared" si="16"/>
        <v>0</v>
      </c>
      <c r="V10" s="579">
        <f>'[1]EDl log'!V27</f>
        <v>304747</v>
      </c>
      <c r="W10" s="579">
        <f>'[1]EDl log'!W27</f>
        <v>356272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51525</v>
      </c>
      <c r="AB10" s="576">
        <f>'[1]EDl log'!AB27</f>
        <v>5770800</v>
      </c>
      <c r="AC10" s="576">
        <f>'[1]EDl log'!AC27</f>
        <v>6200000</v>
      </c>
      <c r="AD10" s="513">
        <f>'[1]EDl log'!AD27</f>
        <v>0.51139408857216584</v>
      </c>
    </row>
    <row r="11" spans="1:32" ht="15.75" thickBot="1">
      <c r="A11" s="163">
        <f>ELEC!C10</f>
        <v>44173</v>
      </c>
      <c r="B11" s="547">
        <f t="shared" si="8"/>
        <v>705920</v>
      </c>
      <c r="C11" s="266">
        <f t="shared" si="0"/>
        <v>0</v>
      </c>
      <c r="D11" s="311">
        <f>SUM(G11+I11+K11)</f>
        <v>0</v>
      </c>
      <c r="E11" s="311">
        <f t="shared" si="15"/>
        <v>705920</v>
      </c>
      <c r="F11" s="589">
        <f t="shared" si="10"/>
        <v>102557</v>
      </c>
      <c r="G11" s="160">
        <f t="shared" si="1"/>
        <v>0</v>
      </c>
      <c r="H11" s="547">
        <f t="shared" si="11"/>
        <v>357864</v>
      </c>
      <c r="I11" s="161">
        <f t="shared" si="2"/>
        <v>0</v>
      </c>
      <c r="J11" s="547">
        <f t="shared" si="12"/>
        <v>245498</v>
      </c>
      <c r="K11" s="162">
        <f t="shared" si="3"/>
        <v>0</v>
      </c>
      <c r="L11" s="299">
        <f t="shared" si="4"/>
        <v>0</v>
      </c>
      <c r="M11" s="299">
        <f t="shared" si="5"/>
        <v>0</v>
      </c>
      <c r="N11" s="299">
        <f t="shared" si="6"/>
        <v>0</v>
      </c>
      <c r="O11" s="299">
        <f t="shared" si="7"/>
        <v>4.9936464055028367</v>
      </c>
      <c r="P11" s="300">
        <f t="shared" si="13"/>
        <v>4.9936464055028367</v>
      </c>
      <c r="Q11" s="300" t="e">
        <f>SUM(-tanks!AX13*tanks!$AU$37)</f>
        <v>#DIV/0!</v>
      </c>
      <c r="R11" s="300" t="e">
        <f t="shared" si="14"/>
        <v>#DIV/0!</v>
      </c>
      <c r="S11" s="302">
        <f>SUM(ELEC!N10)</f>
        <v>0</v>
      </c>
      <c r="T11" s="339">
        <f t="shared" si="16"/>
        <v>0</v>
      </c>
      <c r="V11" s="579">
        <f>'[1]EDl log'!V28</f>
        <v>87055</v>
      </c>
      <c r="W11" s="579">
        <f>'[1]EDl log'!W28</f>
        <v>102312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15257</v>
      </c>
      <c r="AB11" s="576">
        <f>'[1]EDl log'!AB28</f>
        <v>4882240</v>
      </c>
      <c r="AC11" s="576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 ht="15.75" thickBot="1">
      <c r="A12" s="163">
        <f>ELEC!C11</f>
        <v>44174</v>
      </c>
      <c r="B12" s="547">
        <f t="shared" si="8"/>
        <v>705920</v>
      </c>
      <c r="C12" s="266">
        <f t="shared" si="0"/>
        <v>0</v>
      </c>
      <c r="D12" s="311">
        <f t="shared" si="9"/>
        <v>0</v>
      </c>
      <c r="E12" s="311">
        <f t="shared" si="15"/>
        <v>705920</v>
      </c>
      <c r="F12" s="589">
        <f t="shared" si="10"/>
        <v>102557</v>
      </c>
      <c r="G12" s="160">
        <f t="shared" si="1"/>
        <v>0</v>
      </c>
      <c r="H12" s="547">
        <f t="shared" si="11"/>
        <v>357864</v>
      </c>
      <c r="I12" s="161">
        <f t="shared" si="2"/>
        <v>0</v>
      </c>
      <c r="J12" s="547">
        <f t="shared" si="12"/>
        <v>245498</v>
      </c>
      <c r="K12" s="162">
        <f t="shared" si="3"/>
        <v>0</v>
      </c>
      <c r="L12" s="299">
        <f t="shared" si="4"/>
        <v>0</v>
      </c>
      <c r="M12" s="299">
        <f t="shared" si="5"/>
        <v>0</v>
      </c>
      <c r="N12" s="299">
        <f t="shared" si="6"/>
        <v>0</v>
      </c>
      <c r="O12" s="299">
        <f t="shared" si="7"/>
        <v>4.9936464055028367</v>
      </c>
      <c r="P12" s="300">
        <f t="shared" si="13"/>
        <v>4.9936464055028367</v>
      </c>
      <c r="Q12" s="300" t="e">
        <f>SUM(-tanks!AX14*tanks!$AU$37)</f>
        <v>#DIV/0!</v>
      </c>
      <c r="R12" s="300" t="e">
        <f t="shared" si="14"/>
        <v>#DIV/0!</v>
      </c>
      <c r="S12" s="302">
        <f>SUM(ELEC!N11)</f>
        <v>0</v>
      </c>
      <c r="T12" s="339">
        <f t="shared" si="16"/>
        <v>0</v>
      </c>
      <c r="V12" s="579"/>
      <c r="W12" s="266"/>
      <c r="X12" s="3"/>
      <c r="Y12" s="266"/>
      <c r="Z12" s="576">
        <f>'[1]EDl log'!Z29</f>
        <v>0</v>
      </c>
      <c r="AA12" s="576">
        <f>'[1]EDl log'!AA29</f>
        <v>100754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.75" thickBot="1">
      <c r="A13" s="163">
        <f>ELEC!C12</f>
        <v>44175</v>
      </c>
      <c r="B13" s="547">
        <f t="shared" si="8"/>
        <v>705920</v>
      </c>
      <c r="C13" s="266">
        <f t="shared" si="0"/>
        <v>0</v>
      </c>
      <c r="D13" s="311">
        <f t="shared" si="9"/>
        <v>0</v>
      </c>
      <c r="E13" s="311">
        <f t="shared" si="15"/>
        <v>705920</v>
      </c>
      <c r="F13" s="589">
        <f t="shared" si="10"/>
        <v>102557</v>
      </c>
      <c r="G13" s="160">
        <f t="shared" si="1"/>
        <v>0</v>
      </c>
      <c r="H13" s="547">
        <f t="shared" si="11"/>
        <v>357864</v>
      </c>
      <c r="I13" s="161">
        <f t="shared" si="2"/>
        <v>0</v>
      </c>
      <c r="J13" s="547">
        <f t="shared" si="12"/>
        <v>245498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4.9936464055028367</v>
      </c>
      <c r="P13" s="300">
        <f t="shared" si="13"/>
        <v>4.9936464055028367</v>
      </c>
      <c r="Q13" s="300" t="e">
        <f>SUM(-tanks!AX15*tanks!$AU$37)</f>
        <v>#DIV/0!</v>
      </c>
      <c r="R13" s="300" t="e">
        <f t="shared" si="14"/>
        <v>#DIV/0!</v>
      </c>
      <c r="S13" s="302">
        <f>SUM(ELEC!N12)</f>
        <v>0</v>
      </c>
      <c r="T13" s="339">
        <f t="shared" si="16"/>
        <v>0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13370800</v>
      </c>
      <c r="AC13" s="576">
        <f>'[1]EDl log'!AC30</f>
        <v>7234333</v>
      </c>
    </row>
    <row r="14" spans="1:32" ht="15.75" thickBot="1">
      <c r="A14" s="163">
        <f>ELEC!C13</f>
        <v>44176</v>
      </c>
      <c r="B14" s="547">
        <f t="shared" si="8"/>
        <v>705920</v>
      </c>
      <c r="C14" s="266">
        <f t="shared" si="0"/>
        <v>0</v>
      </c>
      <c r="D14" s="311">
        <f t="shared" si="9"/>
        <v>0</v>
      </c>
      <c r="E14" s="311">
        <f t="shared" si="15"/>
        <v>705920</v>
      </c>
      <c r="F14" s="589">
        <f t="shared" si="10"/>
        <v>102557</v>
      </c>
      <c r="G14" s="160">
        <f t="shared" si="1"/>
        <v>0</v>
      </c>
      <c r="H14" s="547">
        <f t="shared" si="11"/>
        <v>357864</v>
      </c>
      <c r="I14" s="161">
        <f t="shared" si="2"/>
        <v>0</v>
      </c>
      <c r="J14" s="547">
        <f t="shared" si="12"/>
        <v>245498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4.9936464055028367</v>
      </c>
      <c r="P14" s="300">
        <f t="shared" ref="P14:P17" si="21">SUM(L14:O14)</f>
        <v>4.9936464055028367</v>
      </c>
      <c r="Q14" s="300" t="e">
        <f>SUM(-tanks!AX16*tanks!$AU$37)</f>
        <v>#DIV/0!</v>
      </c>
      <c r="R14" s="300" t="e">
        <f t="shared" ref="R14:R17" si="22">SUM(P14:Q14)</f>
        <v>#DIV/0!</v>
      </c>
      <c r="S14" s="302">
        <f>SUM(ELEC!N13)</f>
        <v>0</v>
      </c>
      <c r="T14" s="339">
        <f t="shared" ref="T14:T17" si="23">IF(S14&gt;0,R14/S14,0)</f>
        <v>0</v>
      </c>
      <c r="V14" s="579" t="str">
        <f>'[6]EDl log'!V31</f>
        <v>Gen RH</v>
      </c>
      <c r="W14" s="577">
        <f>'[1]EDl log'!W31</f>
        <v>85</v>
      </c>
      <c r="X14" s="577">
        <f>'[1]EDl log'!X31</f>
        <v>2.8333333333333335</v>
      </c>
      <c r="Y14" s="577">
        <f>'[1]EDl log'!Y31</f>
        <v>1.4166666666666667</v>
      </c>
      <c r="Z14" s="266"/>
      <c r="AA14" s="3"/>
      <c r="AB14" s="576">
        <f>'[1]EDl log'!AB31</f>
        <v>20605133</v>
      </c>
      <c r="AC14" s="576">
        <f>'[1]EDl log'!AC31</f>
        <v>7234333</v>
      </c>
    </row>
    <row r="15" spans="1:32" ht="15.75" thickBot="1">
      <c r="A15" s="163">
        <f>ELEC!C14</f>
        <v>44177</v>
      </c>
      <c r="B15" s="547">
        <f t="shared" si="8"/>
        <v>705920</v>
      </c>
      <c r="C15" s="266">
        <f t="shared" si="0"/>
        <v>0</v>
      </c>
      <c r="D15" s="311">
        <f t="shared" si="9"/>
        <v>0</v>
      </c>
      <c r="E15" s="311">
        <f t="shared" si="15"/>
        <v>705920</v>
      </c>
      <c r="F15" s="589">
        <f t="shared" si="10"/>
        <v>102557</v>
      </c>
      <c r="G15" s="160">
        <f t="shared" si="1"/>
        <v>0</v>
      </c>
      <c r="H15" s="547">
        <f t="shared" si="11"/>
        <v>357864</v>
      </c>
      <c r="I15" s="161">
        <f t="shared" si="2"/>
        <v>0</v>
      </c>
      <c r="J15" s="547">
        <f t="shared" si="12"/>
        <v>245498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4.9936464055028367</v>
      </c>
      <c r="P15" s="300">
        <f t="shared" si="21"/>
        <v>4.9936464055028367</v>
      </c>
      <c r="Q15" s="300" t="e">
        <f>SUM(-tanks!AX17*tanks!$AU$37)</f>
        <v>#DIV/0!</v>
      </c>
      <c r="R15" s="300" t="e">
        <f t="shared" si="22"/>
        <v>#DIV/0!</v>
      </c>
      <c r="S15" s="302">
        <f>SUM(ELEC!N14)</f>
        <v>0</v>
      </c>
      <c r="T15" s="339">
        <f t="shared" si="23"/>
        <v>0</v>
      </c>
      <c r="V15" s="579" t="str">
        <f>'[6]EDl log'!V32</f>
        <v>H Deg</v>
      </c>
      <c r="W15" s="577">
        <f>'[1]EDl log'!W32</f>
        <v>0</v>
      </c>
      <c r="X15" s="552">
        <f>'[9]EDl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.75" thickBot="1">
      <c r="A16" s="163">
        <f>ELEC!C15</f>
        <v>44178</v>
      </c>
      <c r="B16" s="547">
        <f t="shared" si="8"/>
        <v>705920</v>
      </c>
      <c r="C16" s="266">
        <f t="shared" si="0"/>
        <v>0</v>
      </c>
      <c r="D16" s="311">
        <f t="shared" si="9"/>
        <v>0</v>
      </c>
      <c r="E16" s="311">
        <f t="shared" si="15"/>
        <v>705920</v>
      </c>
      <c r="F16" s="589">
        <f t="shared" si="10"/>
        <v>102557</v>
      </c>
      <c r="G16" s="160">
        <f t="shared" si="1"/>
        <v>0</v>
      </c>
      <c r="H16" s="547">
        <f t="shared" si="11"/>
        <v>357864</v>
      </c>
      <c r="I16" s="161">
        <f t="shared" si="2"/>
        <v>0</v>
      </c>
      <c r="J16" s="547">
        <f t="shared" si="12"/>
        <v>245498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4.9936464055028367</v>
      </c>
      <c r="P16" s="300">
        <f t="shared" si="21"/>
        <v>4.9936464055028367</v>
      </c>
      <c r="Q16" s="300" t="e">
        <f>SUM(-tanks!AX18*tanks!$AU$37)</f>
        <v>#DIV/0!</v>
      </c>
      <c r="R16" s="300" t="e">
        <f t="shared" si="22"/>
        <v>#DIV/0!</v>
      </c>
      <c r="S16" s="302">
        <f>SUM(ELEC!N15)</f>
        <v>0</v>
      </c>
      <c r="T16" s="339">
        <f t="shared" si="23"/>
        <v>0</v>
      </c>
      <c r="V16" s="579" t="str">
        <f>'[6]EDl log'!V33</f>
        <v>C Deg</v>
      </c>
      <c r="W16" s="577">
        <f>'[1]EDl log'!W33</f>
        <v>307.69999999999982</v>
      </c>
      <c r="X16" s="552">
        <f>'[9]EDl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.75" thickBot="1">
      <c r="A17" s="163">
        <f>ELEC!C16</f>
        <v>44179</v>
      </c>
      <c r="B17" s="547">
        <f t="shared" si="8"/>
        <v>705920</v>
      </c>
      <c r="C17" s="266">
        <f t="shared" si="0"/>
        <v>0</v>
      </c>
      <c r="D17" s="311">
        <f t="shared" si="9"/>
        <v>0</v>
      </c>
      <c r="E17" s="311">
        <f t="shared" si="15"/>
        <v>705920</v>
      </c>
      <c r="F17" s="589">
        <f t="shared" si="10"/>
        <v>102557</v>
      </c>
      <c r="G17" s="160">
        <f t="shared" si="1"/>
        <v>0</v>
      </c>
      <c r="H17" s="547">
        <f t="shared" si="11"/>
        <v>357864</v>
      </c>
      <c r="I17" s="161">
        <f t="shared" si="2"/>
        <v>0</v>
      </c>
      <c r="J17" s="547">
        <f t="shared" si="12"/>
        <v>245498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4.9936464055028367</v>
      </c>
      <c r="P17" s="300">
        <f t="shared" si="21"/>
        <v>4.9936464055028367</v>
      </c>
      <c r="Q17" s="300" t="e">
        <f>SUM(-tanks!AX19*tanks!$AU$37)</f>
        <v>#DIV/0!</v>
      </c>
      <c r="R17" s="300" t="e">
        <f t="shared" si="22"/>
        <v>#DIV/0!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76">
        <f>'[1]EDl log'!AB34</f>
        <v>2266564.63</v>
      </c>
      <c r="AC17" s="576">
        <f>'[1]EDl log'!AC34</f>
        <v>0</v>
      </c>
    </row>
    <row r="18" spans="1:32" ht="15.75" thickBot="1">
      <c r="A18" s="163">
        <f>ELEC!C17</f>
        <v>44180</v>
      </c>
      <c r="B18" s="547">
        <f t="shared" si="8"/>
        <v>705920</v>
      </c>
      <c r="C18" s="266">
        <f t="shared" si="0"/>
        <v>0</v>
      </c>
      <c r="D18" s="311">
        <f t="shared" si="9"/>
        <v>0</v>
      </c>
      <c r="E18" s="311">
        <f t="shared" si="15"/>
        <v>705920</v>
      </c>
      <c r="F18" s="589">
        <f t="shared" si="10"/>
        <v>102557</v>
      </c>
      <c r="G18" s="160">
        <f t="shared" si="1"/>
        <v>0</v>
      </c>
      <c r="H18" s="547">
        <f t="shared" si="11"/>
        <v>357864</v>
      </c>
      <c r="I18" s="161">
        <f t="shared" si="2"/>
        <v>0</v>
      </c>
      <c r="J18" s="547">
        <f t="shared" si="12"/>
        <v>245498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4.9936464055028367</v>
      </c>
      <c r="P18" s="300">
        <f t="shared" si="13"/>
        <v>4.9936464055028367</v>
      </c>
      <c r="Q18" s="300" t="e">
        <f>SUM(-tanks!AX20*tanks!$AU$37)</f>
        <v>#DIV/0!</v>
      </c>
      <c r="R18" s="300" t="e">
        <f t="shared" si="14"/>
        <v>#DIV/0!</v>
      </c>
      <c r="S18" s="302">
        <f>SUM(ELEC!N17)</f>
        <v>0</v>
      </c>
      <c r="T18" s="339">
        <f t="shared" si="16"/>
        <v>0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22871697.629999999</v>
      </c>
      <c r="AC18" s="576">
        <f>'[1]EDl log'!AC35</f>
        <v>0</v>
      </c>
    </row>
    <row r="19" spans="1:32" ht="15.75" thickBot="1">
      <c r="A19" s="163">
        <f>ELEC!C18</f>
        <v>44181</v>
      </c>
      <c r="B19" s="547">
        <f t="shared" si="8"/>
        <v>705920</v>
      </c>
      <c r="C19" s="266">
        <f t="shared" si="0"/>
        <v>0</v>
      </c>
      <c r="D19" s="311">
        <f t="shared" si="9"/>
        <v>0</v>
      </c>
      <c r="E19" s="311">
        <f t="shared" si="15"/>
        <v>705920</v>
      </c>
      <c r="F19" s="589">
        <f t="shared" si="10"/>
        <v>102557</v>
      </c>
      <c r="G19" s="160">
        <f t="shared" si="1"/>
        <v>0</v>
      </c>
      <c r="H19" s="547">
        <f t="shared" si="11"/>
        <v>357864</v>
      </c>
      <c r="I19" s="161">
        <f t="shared" si="2"/>
        <v>0</v>
      </c>
      <c r="J19" s="547">
        <f t="shared" si="12"/>
        <v>245498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4.9936464055028367</v>
      </c>
      <c r="P19" s="300">
        <f t="shared" si="13"/>
        <v>4.9936464055028367</v>
      </c>
      <c r="Q19" s="300" t="e">
        <f>SUM(-tanks!AX21*tanks!$AU$37)</f>
        <v>#DIV/0!</v>
      </c>
      <c r="R19" s="300" t="e">
        <f t="shared" si="14"/>
        <v>#DIV/0!</v>
      </c>
      <c r="S19" s="302">
        <f>SUM(ELEC!N18)</f>
        <v>0</v>
      </c>
      <c r="T19" s="339">
        <f t="shared" si="16"/>
        <v>0</v>
      </c>
      <c r="V19" s="230"/>
      <c r="W19" s="231"/>
      <c r="X19" s="231"/>
      <c r="Y19" s="580"/>
      <c r="Z19" s="580"/>
      <c r="AA19" s="581"/>
      <c r="AB19" s="576">
        <f>'[1]EDl log'!AB36</f>
        <v>13668.413266998341</v>
      </c>
      <c r="AC19" s="576">
        <f>'[1]EDl log'!AC36</f>
        <v>0</v>
      </c>
    </row>
    <row r="20" spans="1:32" ht="15.75" thickBot="1">
      <c r="A20" s="163">
        <f>ELEC!C19</f>
        <v>44182</v>
      </c>
      <c r="B20" s="547">
        <f t="shared" si="8"/>
        <v>705920</v>
      </c>
      <c r="C20" s="266">
        <f t="shared" si="0"/>
        <v>0</v>
      </c>
      <c r="D20" s="311">
        <f t="shared" si="9"/>
        <v>0</v>
      </c>
      <c r="E20" s="311">
        <f t="shared" si="15"/>
        <v>705920</v>
      </c>
      <c r="F20" s="589">
        <f t="shared" si="10"/>
        <v>102557</v>
      </c>
      <c r="G20" s="160">
        <f t="shared" si="1"/>
        <v>0</v>
      </c>
      <c r="H20" s="547">
        <f t="shared" si="11"/>
        <v>357864</v>
      </c>
      <c r="I20" s="161">
        <f t="shared" si="2"/>
        <v>0</v>
      </c>
      <c r="J20" s="547">
        <f t="shared" si="12"/>
        <v>245498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4.9936464055028367</v>
      </c>
      <c r="P20" s="300">
        <f t="shared" si="13"/>
        <v>4.9936464055028367</v>
      </c>
      <c r="Q20" s="300" t="e">
        <f>SUM(-tanks!AX22*tanks!$AU$37)</f>
        <v>#DIV/0!</v>
      </c>
      <c r="R20" s="300" t="e">
        <f t="shared" si="14"/>
        <v>#DIV/0!</v>
      </c>
      <c r="S20" s="302">
        <f>SUM(ELEC!N19)</f>
        <v>0</v>
      </c>
      <c r="T20" s="339">
        <f t="shared" si="16"/>
        <v>0</v>
      </c>
      <c r="V20" t="s">
        <v>414</v>
      </c>
      <c r="AB20" s="578"/>
    </row>
    <row r="21" spans="1:32" ht="15.75" thickBot="1">
      <c r="A21" s="163">
        <f>ELEC!C20</f>
        <v>44183</v>
      </c>
      <c r="B21" s="547">
        <f t="shared" si="8"/>
        <v>705920</v>
      </c>
      <c r="C21" s="266">
        <f t="shared" si="0"/>
        <v>0</v>
      </c>
      <c r="D21" s="311">
        <f t="shared" si="9"/>
        <v>0</v>
      </c>
      <c r="E21" s="311">
        <f t="shared" si="15"/>
        <v>705920</v>
      </c>
      <c r="F21" s="589">
        <f t="shared" si="10"/>
        <v>102557</v>
      </c>
      <c r="G21" s="160">
        <f t="shared" si="1"/>
        <v>0</v>
      </c>
      <c r="H21" s="547">
        <f t="shared" si="11"/>
        <v>357864</v>
      </c>
      <c r="I21" s="161">
        <f t="shared" si="2"/>
        <v>0</v>
      </c>
      <c r="J21" s="547">
        <f t="shared" si="12"/>
        <v>245498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4.9936464055028367</v>
      </c>
      <c r="P21" s="300">
        <f t="shared" si="13"/>
        <v>4.9936464055028367</v>
      </c>
      <c r="Q21" s="300" t="e">
        <f>SUM(-tanks!AX23*tanks!$AU$37)</f>
        <v>#DIV/0!</v>
      </c>
      <c r="R21" s="300" t="e">
        <f t="shared" si="14"/>
        <v>#DIV/0!</v>
      </c>
      <c r="S21" s="302">
        <f>SUM(ELEC!N20)</f>
        <v>0</v>
      </c>
      <c r="T21" s="339">
        <f t="shared" si="16"/>
        <v>0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44184</v>
      </c>
      <c r="B22" s="547">
        <f t="shared" si="8"/>
        <v>705920</v>
      </c>
      <c r="C22" s="266">
        <f t="shared" si="0"/>
        <v>0</v>
      </c>
      <c r="D22" s="311">
        <f t="shared" si="9"/>
        <v>0</v>
      </c>
      <c r="E22" s="311">
        <f t="shared" si="15"/>
        <v>705920</v>
      </c>
      <c r="F22" s="589">
        <f t="shared" si="10"/>
        <v>102557</v>
      </c>
      <c r="G22" s="160">
        <f t="shared" si="1"/>
        <v>0</v>
      </c>
      <c r="H22" s="547">
        <f t="shared" si="11"/>
        <v>357864</v>
      </c>
      <c r="I22" s="161">
        <f t="shared" si="2"/>
        <v>0</v>
      </c>
      <c r="J22" s="547">
        <f t="shared" si="12"/>
        <v>245498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4.9936464055028367</v>
      </c>
      <c r="P22" s="300">
        <f t="shared" si="13"/>
        <v>4.9936464055028367</v>
      </c>
      <c r="Q22" s="300" t="e">
        <f>SUM(-tanks!AX24*tanks!$AU$37)</f>
        <v>#DIV/0!</v>
      </c>
      <c r="R22" s="300" t="e">
        <f t="shared" si="14"/>
        <v>#DIV/0!</v>
      </c>
      <c r="S22" s="302">
        <f>SUM(ELEC!N21)</f>
        <v>0</v>
      </c>
      <c r="T22" s="339">
        <f t="shared" si="16"/>
        <v>0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44185</v>
      </c>
      <c r="B23" s="547">
        <f t="shared" si="8"/>
        <v>705920</v>
      </c>
      <c r="C23" s="266">
        <f t="shared" si="0"/>
        <v>0</v>
      </c>
      <c r="D23" s="311">
        <f t="shared" si="9"/>
        <v>0</v>
      </c>
      <c r="E23" s="311">
        <f t="shared" si="15"/>
        <v>705920</v>
      </c>
      <c r="F23" s="589">
        <f t="shared" si="10"/>
        <v>102557</v>
      </c>
      <c r="G23" s="160">
        <f t="shared" si="1"/>
        <v>0</v>
      </c>
      <c r="H23" s="547">
        <f t="shared" si="11"/>
        <v>357864</v>
      </c>
      <c r="I23" s="161">
        <f t="shared" si="2"/>
        <v>0</v>
      </c>
      <c r="J23" s="547">
        <f t="shared" si="12"/>
        <v>245498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4.9936464055028367</v>
      </c>
      <c r="P23" s="300">
        <f t="shared" si="13"/>
        <v>4.9936464055028367</v>
      </c>
      <c r="Q23" s="300" t="e">
        <f>SUM(-tanks!AX25*tanks!$AU$37)</f>
        <v>#DIV/0!</v>
      </c>
      <c r="R23" s="300" t="e">
        <f t="shared" si="14"/>
        <v>#DIV/0!</v>
      </c>
      <c r="S23" s="302">
        <f>SUM(ELEC!N22)</f>
        <v>0</v>
      </c>
      <c r="T23" s="339">
        <f t="shared" si="16"/>
        <v>0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44186</v>
      </c>
      <c r="B24" s="547">
        <f t="shared" si="8"/>
        <v>705920</v>
      </c>
      <c r="C24" s="266">
        <f t="shared" si="0"/>
        <v>0</v>
      </c>
      <c r="D24" s="311">
        <f t="shared" si="9"/>
        <v>0</v>
      </c>
      <c r="E24" s="311">
        <f t="shared" si="15"/>
        <v>705920</v>
      </c>
      <c r="F24" s="589">
        <f t="shared" si="10"/>
        <v>102557</v>
      </c>
      <c r="G24" s="160">
        <f t="shared" si="1"/>
        <v>0</v>
      </c>
      <c r="H24" s="547">
        <f t="shared" si="11"/>
        <v>357864</v>
      </c>
      <c r="I24" s="161">
        <f t="shared" si="2"/>
        <v>0</v>
      </c>
      <c r="J24" s="547">
        <f t="shared" si="12"/>
        <v>245498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4.9936464055028367</v>
      </c>
      <c r="P24" s="300">
        <f t="shared" si="13"/>
        <v>4.9936464055028367</v>
      </c>
      <c r="Q24" s="300" t="e">
        <f>SUM(-tanks!AX26*tanks!$AU$37)</f>
        <v>#DIV/0!</v>
      </c>
      <c r="R24" s="300" t="e">
        <f t="shared" si="14"/>
        <v>#DIV/0!</v>
      </c>
      <c r="S24" s="302">
        <f>SUM(ELEC!N23)</f>
        <v>0</v>
      </c>
      <c r="T24" s="339">
        <f t="shared" si="16"/>
        <v>0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44187</v>
      </c>
      <c r="B25" s="547">
        <f t="shared" si="8"/>
        <v>705920</v>
      </c>
      <c r="C25" s="266">
        <f t="shared" si="0"/>
        <v>0</v>
      </c>
      <c r="D25" s="311">
        <f t="shared" si="9"/>
        <v>0</v>
      </c>
      <c r="E25" s="311">
        <f t="shared" si="15"/>
        <v>705920</v>
      </c>
      <c r="F25" s="589">
        <f t="shared" si="10"/>
        <v>102557</v>
      </c>
      <c r="G25" s="160">
        <f t="shared" si="1"/>
        <v>0</v>
      </c>
      <c r="H25" s="547">
        <f t="shared" si="11"/>
        <v>357864</v>
      </c>
      <c r="I25" s="161">
        <f t="shared" si="2"/>
        <v>0</v>
      </c>
      <c r="J25" s="547">
        <f t="shared" si="12"/>
        <v>245498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4.9936464055028367</v>
      </c>
      <c r="P25" s="300">
        <f t="shared" si="13"/>
        <v>4.9936464055028367</v>
      </c>
      <c r="Q25" s="300" t="e">
        <f>SUM(-tanks!AX27*tanks!$AU$37)</f>
        <v>#DIV/0!</v>
      </c>
      <c r="R25" s="300" t="e">
        <f t="shared" si="14"/>
        <v>#DIV/0!</v>
      </c>
      <c r="S25" s="302">
        <f>SUM(ELEC!N24)</f>
        <v>0</v>
      </c>
      <c r="T25" s="339">
        <f t="shared" si="16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7">
        <f t="shared" si="8"/>
        <v>705920</v>
      </c>
      <c r="C26" s="266">
        <f t="shared" si="0"/>
        <v>0</v>
      </c>
      <c r="D26" s="311">
        <f t="shared" si="9"/>
        <v>0</v>
      </c>
      <c r="E26" s="311">
        <f t="shared" si="15"/>
        <v>705920</v>
      </c>
      <c r="F26" s="589">
        <f t="shared" si="10"/>
        <v>102557</v>
      </c>
      <c r="G26" s="160">
        <f t="shared" si="1"/>
        <v>0</v>
      </c>
      <c r="H26" s="547">
        <f t="shared" si="11"/>
        <v>357864</v>
      </c>
      <c r="I26" s="161">
        <f t="shared" si="2"/>
        <v>0</v>
      </c>
      <c r="J26" s="547">
        <f t="shared" si="12"/>
        <v>245498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4.9936464055028367</v>
      </c>
      <c r="P26" s="300">
        <f t="shared" si="13"/>
        <v>4.9936464055028367</v>
      </c>
      <c r="Q26" s="300" t="e">
        <f>SUM(-tanks!AX28*tanks!$AU$37)</f>
        <v>#DIV/0!</v>
      </c>
      <c r="R26" s="300" t="e">
        <f t="shared" si="14"/>
        <v>#DIV/0!</v>
      </c>
      <c r="S26" s="302">
        <f>SUM(ELEC!N25)</f>
        <v>0</v>
      </c>
      <c r="T26" s="339">
        <f t="shared" si="16"/>
        <v>0</v>
      </c>
      <c r="V26" s="256">
        <f>W9</f>
        <v>244359</v>
      </c>
      <c r="W26" s="170">
        <f>J33</f>
        <v>245498</v>
      </c>
      <c r="X26" s="172" t="s">
        <v>199</v>
      </c>
      <c r="Y26" s="172">
        <v>80</v>
      </c>
      <c r="Z26" s="172">
        <v>1</v>
      </c>
      <c r="AA26" s="341">
        <f>(W26-V26)*Z26</f>
        <v>1139</v>
      </c>
      <c r="AB26" s="341">
        <f>AA26*Y26</f>
        <v>91120</v>
      </c>
      <c r="AC26" s="251">
        <f>AC9</f>
        <v>1033333</v>
      </c>
      <c r="AD26" s="213">
        <f>SUM(K36)</f>
        <v>0.38272849462365593</v>
      </c>
    </row>
    <row r="27" spans="1:32" ht="15.75" thickBot="1">
      <c r="A27" s="163">
        <f>ELEC!C26</f>
        <v>44189</v>
      </c>
      <c r="B27" s="547">
        <f t="shared" si="8"/>
        <v>705920</v>
      </c>
      <c r="C27" s="266">
        <f t="shared" si="0"/>
        <v>0</v>
      </c>
      <c r="D27" s="311">
        <f t="shared" si="9"/>
        <v>0</v>
      </c>
      <c r="E27" s="311">
        <f t="shared" si="15"/>
        <v>705920</v>
      </c>
      <c r="F27" s="589">
        <f t="shared" si="10"/>
        <v>102557</v>
      </c>
      <c r="G27" s="160">
        <f t="shared" si="1"/>
        <v>0</v>
      </c>
      <c r="H27" s="547">
        <f t="shared" si="11"/>
        <v>357864</v>
      </c>
      <c r="I27" s="161">
        <f t="shared" si="2"/>
        <v>0</v>
      </c>
      <c r="J27" s="547">
        <f t="shared" si="12"/>
        <v>245498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4.9936464055028367</v>
      </c>
      <c r="P27" s="300">
        <f t="shared" si="13"/>
        <v>4.9936464055028367</v>
      </c>
      <c r="Q27" s="300" t="e">
        <f>SUM(-tanks!AX29*tanks!$AU$37)</f>
        <v>#DIV/0!</v>
      </c>
      <c r="R27" s="300" t="e">
        <f t="shared" si="14"/>
        <v>#DIV/0!</v>
      </c>
      <c r="S27" s="302">
        <f>SUM(ELEC!N26)</f>
        <v>0</v>
      </c>
      <c r="T27" s="339">
        <f t="shared" si="16"/>
        <v>0</v>
      </c>
      <c r="V27" s="256">
        <f t="shared" ref="V27:V28" si="27">W10</f>
        <v>356272</v>
      </c>
      <c r="W27" s="170">
        <f>H33</f>
        <v>357864</v>
      </c>
      <c r="X27" s="172" t="s">
        <v>213</v>
      </c>
      <c r="Y27" s="172">
        <v>112</v>
      </c>
      <c r="Z27" s="172">
        <v>1</v>
      </c>
      <c r="AA27" s="341">
        <f>(W27-V27)*Z27</f>
        <v>1592</v>
      </c>
      <c r="AB27" s="341">
        <f>SUM(AA27*Y27)</f>
        <v>178304</v>
      </c>
      <c r="AC27" s="251">
        <f>AC10</f>
        <v>6200000</v>
      </c>
      <c r="AD27" s="213">
        <f>SUM(I36)</f>
        <v>0.53494623655913975</v>
      </c>
    </row>
    <row r="28" spans="1:32" ht="15.75" thickBot="1">
      <c r="A28" s="163">
        <f>ELEC!C27</f>
        <v>44190</v>
      </c>
      <c r="B28" s="547">
        <f t="shared" si="8"/>
        <v>705920</v>
      </c>
      <c r="C28" s="266">
        <f t="shared" si="0"/>
        <v>0</v>
      </c>
      <c r="D28" s="311">
        <f t="shared" si="9"/>
        <v>0</v>
      </c>
      <c r="E28" s="311">
        <f t="shared" si="15"/>
        <v>705920</v>
      </c>
      <c r="F28" s="589">
        <f t="shared" si="10"/>
        <v>102557</v>
      </c>
      <c r="G28" s="160">
        <f t="shared" si="1"/>
        <v>0</v>
      </c>
      <c r="H28" s="547">
        <f t="shared" si="11"/>
        <v>357864</v>
      </c>
      <c r="I28" s="161">
        <f t="shared" si="2"/>
        <v>0</v>
      </c>
      <c r="J28" s="547">
        <f t="shared" si="12"/>
        <v>245498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4.9936464055028367</v>
      </c>
      <c r="P28" s="300">
        <f t="shared" si="13"/>
        <v>4.9936464055028367</v>
      </c>
      <c r="Q28" s="300" t="e">
        <f>SUM(-tanks!AX30*tanks!$AU$37)</f>
        <v>#DIV/0!</v>
      </c>
      <c r="R28" s="300" t="e">
        <f t="shared" si="14"/>
        <v>#DIV/0!</v>
      </c>
      <c r="S28" s="302">
        <f>SUM(ELEC!N27)</f>
        <v>0</v>
      </c>
      <c r="T28" s="339">
        <f t="shared" si="16"/>
        <v>0</v>
      </c>
      <c r="V28" s="256">
        <f t="shared" si="27"/>
        <v>102312</v>
      </c>
      <c r="W28" s="170">
        <f>F33</f>
        <v>102557</v>
      </c>
      <c r="X28" s="172" t="s">
        <v>197</v>
      </c>
      <c r="Y28" s="172">
        <v>320</v>
      </c>
      <c r="Z28" s="172">
        <v>1</v>
      </c>
      <c r="AA28" s="341">
        <f>(W28-V28)*Z28</f>
        <v>245</v>
      </c>
      <c r="AB28" s="341">
        <f>SUM(AA28*Y28)</f>
        <v>78400</v>
      </c>
      <c r="AC28" s="251">
        <f>AC11</f>
        <v>1000</v>
      </c>
      <c r="AD28" s="213">
        <f>SUM(G36)</f>
        <v>8.2325268817204297E-2</v>
      </c>
      <c r="AE28" s="40">
        <f>SUM(AB28*5%)</f>
        <v>3920</v>
      </c>
      <c r="AF28" s="82">
        <f>SUM(AE28/7)*31</f>
        <v>17360</v>
      </c>
    </row>
    <row r="29" spans="1:32" ht="15.75" thickBot="1">
      <c r="A29" s="163">
        <f>ELEC!C28</f>
        <v>44191</v>
      </c>
      <c r="B29" s="547">
        <f t="shared" si="8"/>
        <v>705920</v>
      </c>
      <c r="C29" s="266">
        <f t="shared" si="0"/>
        <v>0</v>
      </c>
      <c r="D29" s="311">
        <f t="shared" si="9"/>
        <v>0</v>
      </c>
      <c r="E29" s="311">
        <f t="shared" si="15"/>
        <v>705920</v>
      </c>
      <c r="F29" s="589">
        <f t="shared" si="10"/>
        <v>102557</v>
      </c>
      <c r="G29" s="160">
        <f t="shared" si="1"/>
        <v>0</v>
      </c>
      <c r="H29" s="547">
        <f t="shared" si="11"/>
        <v>357864</v>
      </c>
      <c r="I29" s="161">
        <f t="shared" si="2"/>
        <v>0</v>
      </c>
      <c r="J29" s="547">
        <f t="shared" si="12"/>
        <v>245498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4.9936464055028367</v>
      </c>
      <c r="P29" s="300">
        <f t="shared" si="13"/>
        <v>4.9936464055028367</v>
      </c>
      <c r="Q29" s="300" t="e">
        <f>SUM(-tanks!AX31*tanks!$AU$37)</f>
        <v>#DIV/0!</v>
      </c>
      <c r="R29" s="300" t="e">
        <f t="shared" si="14"/>
        <v>#DIV/0!</v>
      </c>
      <c r="S29" s="302">
        <f>SUM(ELEC!N28)</f>
        <v>0</v>
      </c>
      <c r="T29" s="339">
        <f t="shared" si="16"/>
        <v>0</v>
      </c>
      <c r="V29" s="214"/>
      <c r="W29" s="215"/>
      <c r="X29" s="215"/>
      <c r="Y29" s="216"/>
      <c r="Z29" s="3"/>
      <c r="AA29" s="341">
        <f>SUM(AA26:AA28)</f>
        <v>2976</v>
      </c>
      <c r="AB29" s="341"/>
      <c r="AC29" s="251"/>
    </row>
    <row r="30" spans="1:32" ht="14.25" customHeight="1" thickBot="1">
      <c r="A30" s="163">
        <f>ELEC!C29</f>
        <v>44192</v>
      </c>
      <c r="B30" s="547">
        <f t="shared" si="8"/>
        <v>705920</v>
      </c>
      <c r="C30" s="266">
        <f t="shared" si="0"/>
        <v>0</v>
      </c>
      <c r="D30" s="311">
        <f t="shared" si="9"/>
        <v>0</v>
      </c>
      <c r="E30" s="311">
        <f t="shared" si="15"/>
        <v>705920</v>
      </c>
      <c r="F30" s="589">
        <f t="shared" si="10"/>
        <v>102557</v>
      </c>
      <c r="G30" s="160">
        <f t="shared" si="1"/>
        <v>0</v>
      </c>
      <c r="H30" s="547">
        <f t="shared" si="11"/>
        <v>357864</v>
      </c>
      <c r="I30" s="161">
        <f t="shared" si="2"/>
        <v>0</v>
      </c>
      <c r="J30" s="547">
        <f t="shared" si="12"/>
        <v>245498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4.9936464055028367</v>
      </c>
      <c r="P30" s="300">
        <f t="shared" si="13"/>
        <v>4.9936464055028367</v>
      </c>
      <c r="Q30" s="300" t="e">
        <f>SUM(-tanks!AX32*tanks!$AU$37)</f>
        <v>#DIV/0!</v>
      </c>
      <c r="R30" s="300" t="e">
        <f t="shared" si="14"/>
        <v>#DIV/0!</v>
      </c>
      <c r="S30" s="302">
        <f>SUM(ELEC!N29)</f>
        <v>0</v>
      </c>
      <c r="T30" s="339">
        <f t="shared" si="16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347824</v>
      </c>
      <c r="AC30" s="251">
        <f>SUM(AC26:AC29)/A37*A35</f>
        <v>233365.5806451613</v>
      </c>
    </row>
    <row r="31" spans="1:32" ht="15.75" thickBot="1">
      <c r="A31" s="163">
        <f>ELEC!C30</f>
        <v>44193</v>
      </c>
      <c r="B31" s="547">
        <f t="shared" si="8"/>
        <v>705920</v>
      </c>
      <c r="C31" s="266">
        <f t="shared" si="0"/>
        <v>0</v>
      </c>
      <c r="D31" s="311">
        <f t="shared" si="9"/>
        <v>0</v>
      </c>
      <c r="E31" s="311">
        <f t="shared" si="15"/>
        <v>705920</v>
      </c>
      <c r="F31" s="589">
        <f t="shared" si="10"/>
        <v>102557</v>
      </c>
      <c r="G31" s="160">
        <f t="shared" si="1"/>
        <v>0</v>
      </c>
      <c r="H31" s="547">
        <f t="shared" si="11"/>
        <v>357864</v>
      </c>
      <c r="I31" s="161">
        <f t="shared" si="2"/>
        <v>0</v>
      </c>
      <c r="J31" s="547">
        <f t="shared" si="12"/>
        <v>245498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4.9936464055028367</v>
      </c>
      <c r="P31" s="300">
        <f t="shared" si="13"/>
        <v>4.9936464055028367</v>
      </c>
      <c r="Q31" s="300" t="e">
        <f>SUM(-tanks!AX33*tanks!$AU$37)</f>
        <v>#DIV/0!</v>
      </c>
      <c r="R31" s="300" t="e">
        <f t="shared" si="14"/>
        <v>#DIV/0!</v>
      </c>
      <c r="S31" s="302">
        <f>SUM(ELEC!N30)</f>
        <v>0</v>
      </c>
      <c r="T31" s="339">
        <f t="shared" si="16"/>
        <v>0</v>
      </c>
      <c r="V31" s="217" t="s">
        <v>317</v>
      </c>
      <c r="W31" s="218">
        <f>SUM(GEN!U34)</f>
        <v>6</v>
      </c>
      <c r="X31" s="223">
        <f>SUM(W31/A35)</f>
        <v>6</v>
      </c>
      <c r="Y31" s="262">
        <f>SUM(X31/2)</f>
        <v>3</v>
      </c>
      <c r="Z31" s="3"/>
      <c r="AA31" s="3"/>
      <c r="AB31" s="550">
        <f>SUM(AB30+AC31)</f>
        <v>581189.58064516133</v>
      </c>
      <c r="AC31" s="251">
        <f>SUM(AC30)</f>
        <v>233365.5806451613</v>
      </c>
    </row>
    <row r="32" spans="1:32" ht="15.75" thickBot="1">
      <c r="A32" s="163">
        <f>ELEC!C31</f>
        <v>44194</v>
      </c>
      <c r="B32" s="547">
        <f t="shared" si="8"/>
        <v>705920</v>
      </c>
      <c r="C32" s="266">
        <f t="shared" si="0"/>
        <v>0</v>
      </c>
      <c r="D32" s="311">
        <f t="shared" si="9"/>
        <v>0</v>
      </c>
      <c r="E32" s="311">
        <f t="shared" si="15"/>
        <v>705920</v>
      </c>
      <c r="F32" s="589">
        <f t="shared" si="10"/>
        <v>102557</v>
      </c>
      <c r="G32" s="160">
        <f t="shared" si="1"/>
        <v>0</v>
      </c>
      <c r="H32" s="547">
        <f t="shared" si="11"/>
        <v>357864</v>
      </c>
      <c r="I32" s="161">
        <f t="shared" si="2"/>
        <v>0</v>
      </c>
      <c r="J32" s="547">
        <f t="shared" si="12"/>
        <v>245498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4.9936464055028367</v>
      </c>
      <c r="P32" s="300">
        <f t="shared" si="13"/>
        <v>4.9936464055028367</v>
      </c>
      <c r="Q32" s="300" t="e">
        <f>SUM(-tanks!AX34*tanks!$AU$37)</f>
        <v>#DIV/0!</v>
      </c>
      <c r="R32" s="300" t="e">
        <f t="shared" si="14"/>
        <v>#DIV/0!</v>
      </c>
      <c r="S32" s="302">
        <f>SUM(ELEC!N31)</f>
        <v>0</v>
      </c>
      <c r="T32" s="339">
        <f t="shared" si="16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7">
        <f t="shared" si="8"/>
        <v>705920</v>
      </c>
      <c r="C33" s="266">
        <f t="shared" si="0"/>
        <v>0</v>
      </c>
      <c r="D33" s="311">
        <f t="shared" si="9"/>
        <v>0</v>
      </c>
      <c r="E33" s="311">
        <f t="shared" si="15"/>
        <v>705920</v>
      </c>
      <c r="F33" s="589">
        <f t="shared" si="10"/>
        <v>102557</v>
      </c>
      <c r="G33" s="160">
        <f>F33-F32</f>
        <v>0</v>
      </c>
      <c r="H33" s="547">
        <f t="shared" si="11"/>
        <v>357864</v>
      </c>
      <c r="I33" s="161">
        <f t="shared" si="2"/>
        <v>0</v>
      </c>
      <c r="J33" s="547">
        <f t="shared" si="12"/>
        <v>245498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4.9936464055028367</v>
      </c>
      <c r="P33" s="300">
        <f>SUM(L33:O33)</f>
        <v>4.9936464055028367</v>
      </c>
      <c r="Q33" s="300" t="e">
        <f>SUM(-tanks!AX35*tanks!$AU$37)</f>
        <v>#DIV/0!</v>
      </c>
      <c r="R33" s="300" t="e">
        <f>SUM(P33:Q33)</f>
        <v>#DIV/0!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7">
        <f t="shared" si="8"/>
        <v>705920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705920</v>
      </c>
      <c r="F34" s="589">
        <f t="shared" si="10"/>
        <v>102557</v>
      </c>
      <c r="G34" s="160">
        <f>F34-F33</f>
        <v>0</v>
      </c>
      <c r="H34" s="547">
        <f t="shared" si="11"/>
        <v>357864</v>
      </c>
      <c r="I34" s="161">
        <f t="shared" ref="I34" si="31">H34-H33</f>
        <v>0</v>
      </c>
      <c r="J34" s="547">
        <f t="shared" si="12"/>
        <v>245498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4.9936464055028367</v>
      </c>
      <c r="P34" s="300">
        <f>SUM(L34:O34)</f>
        <v>4.9936464055028367</v>
      </c>
      <c r="Q34" s="300" t="e">
        <f>SUM(-tanks!AX36*tanks!$AU$37)</f>
        <v>#DIV/0!</v>
      </c>
      <c r="R34" s="300" t="e">
        <f>SUM(P34:Q34)</f>
        <v>#DIV/0!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63930.853870967745</v>
      </c>
      <c r="AC34" s="585"/>
    </row>
    <row r="35" spans="1:32" ht="15.75" thickBot="1">
      <c r="A35" s="546">
        <f>A37-COUNTIF(C4:C34,0)</f>
        <v>1</v>
      </c>
      <c r="C35" s="174">
        <f>SUM(C4:C34)/A35</f>
        <v>2976</v>
      </c>
      <c r="D35" s="174"/>
      <c r="E35" s="174"/>
      <c r="G35" s="174">
        <f>SUM(G4:G34)/A35</f>
        <v>245</v>
      </c>
      <c r="I35" s="174">
        <f>SUM(I4:I34)/A35</f>
        <v>1592</v>
      </c>
      <c r="K35" s="174">
        <f>SUM(K4:K34)/A35</f>
        <v>1139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7527.9219562955259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645120.43451612908</v>
      </c>
      <c r="AC35" s="585"/>
    </row>
    <row r="36" spans="1:32" ht="15.75" thickBot="1">
      <c r="A36" s="211"/>
      <c r="C36" s="213">
        <f>SUM(G36:K36)</f>
        <v>1</v>
      </c>
      <c r="G36" s="226">
        <f>IF(C35&gt;0,G35/C35,0)</f>
        <v>8.2325268817204297E-2</v>
      </c>
      <c r="H36" s="213"/>
      <c r="I36" s="226">
        <f>SUM(I35/C35)</f>
        <v>0.53494623655913975</v>
      </c>
      <c r="J36" s="213"/>
      <c r="K36" s="226">
        <f>SUM(K35/C35)</f>
        <v>0.38272849462365593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385.53206012946026</v>
      </c>
      <c r="AC36" s="587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154.80303857058792</v>
      </c>
      <c r="Z38" s="40"/>
      <c r="AA38" s="295" t="s">
        <v>215</v>
      </c>
      <c r="AB38" s="296">
        <f>SUM(AB36)</f>
        <v>385.53206012946026</v>
      </c>
    </row>
    <row r="39" spans="1:32">
      <c r="V39" s="218"/>
      <c r="W39" s="82">
        <f>(AB30+AB54)/1507.5</f>
        <v>230.72902155887232</v>
      </c>
      <c r="X39" s="551"/>
      <c r="Z39" s="297">
        <f>SUM(AB38)</f>
        <v>385.53206012946026</v>
      </c>
      <c r="AA39" s="296"/>
      <c r="AB39" s="296"/>
    </row>
    <row r="40" spans="1:32">
      <c r="V40" s="17"/>
      <c r="W40" s="82">
        <f>SUM(W38:W39)</f>
        <v>385.53206012946021</v>
      </c>
      <c r="X40" s="551"/>
      <c r="Y40" s="82"/>
      <c r="Z40" s="297" t="e">
        <f>SUM(-tanks!AX37)*tanks!AU37</f>
        <v>#DIV/0!</v>
      </c>
      <c r="AA40" s="101">
        <f>SUM(AB31/A35)</f>
        <v>581189.58064516133</v>
      </c>
      <c r="AB40" s="351">
        <f>SUM(AA40*A37)</f>
        <v>18016877</v>
      </c>
    </row>
    <row r="41" spans="1:32" ht="18.75">
      <c r="W41" s="82">
        <f>(AB30+AB54)/1507.5</f>
        <v>230.72902155887232</v>
      </c>
      <c r="Z41" s="278" t="e">
        <f>SUM(Z39:Z40)</f>
        <v>#DIV/0!</v>
      </c>
      <c r="AA41" s="296">
        <f>SUM(AA40/1507.5)</f>
        <v>385.53206012946026</v>
      </c>
      <c r="AB41" s="350">
        <f>SUM(AB40/1507.5)</f>
        <v>11951.493864013268</v>
      </c>
    </row>
    <row r="42" spans="1:32">
      <c r="D42" s="526"/>
      <c r="E42" s="526"/>
      <c r="F42" s="526"/>
      <c r="W42" s="82">
        <f>SUM(W40:W41)</f>
        <v>616.26108168833252</v>
      </c>
      <c r="Z42" s="298" t="e">
        <f>SUM(ELEC!#REF!)</f>
        <v>#REF!</v>
      </c>
    </row>
    <row r="43" spans="1:32">
      <c r="Z43" s="296" t="e">
        <f>Z41/Z42</f>
        <v>#DIV/0!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77"/>
      <c r="AC45" s="677"/>
      <c r="AD45" s="17"/>
      <c r="AE45" s="17"/>
      <c r="AF45" s="17"/>
    </row>
    <row r="46" spans="1:32">
      <c r="V46" s="677"/>
      <c r="W46" s="677"/>
      <c r="X46" s="677"/>
      <c r="Y46" s="677"/>
      <c r="Z46" s="555"/>
      <c r="AA46" s="555"/>
      <c r="AB46" s="677"/>
      <c r="AC46" s="677"/>
      <c r="AD46" s="17"/>
      <c r="AE46" s="17"/>
      <c r="AF46" s="17"/>
    </row>
    <row r="47" spans="1:32">
      <c r="V47" s="677"/>
      <c r="W47" s="677"/>
      <c r="X47" s="677"/>
      <c r="Y47" s="677"/>
      <c r="Z47" s="677"/>
      <c r="AA47" s="677"/>
      <c r="AB47" s="677"/>
      <c r="AC47" s="677"/>
      <c r="AD47" s="17"/>
      <c r="AE47" s="17"/>
      <c r="AF47" s="17"/>
    </row>
    <row r="48" spans="1:32">
      <c r="V48" s="678"/>
      <c r="W48" s="678"/>
      <c r="X48" s="679"/>
      <c r="Y48" s="679"/>
      <c r="Z48" s="679"/>
      <c r="AA48" s="556"/>
      <c r="AB48" s="677"/>
      <c r="AC48" s="677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7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J7" sqref="J7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320</v>
      </c>
      <c r="C1" s="693"/>
      <c r="D1" s="695"/>
      <c r="E1" s="692" t="s">
        <v>321</v>
      </c>
      <c r="F1" s="693"/>
      <c r="G1" s="694"/>
      <c r="H1" s="689" t="s">
        <v>326</v>
      </c>
      <c r="I1" s="686" t="s">
        <v>327</v>
      </c>
      <c r="J1" s="683" t="s">
        <v>43</v>
      </c>
    </row>
    <row r="2" spans="1:18" ht="38.25" thickBot="1">
      <c r="A2" s="68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90"/>
      <c r="I2" s="687"/>
      <c r="J2" s="684"/>
    </row>
    <row r="3" spans="1:18" ht="24" customHeight="1" thickBot="1">
      <c r="A3" s="68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91"/>
      <c r="I3" s="688"/>
      <c r="J3" s="685"/>
    </row>
    <row r="4" spans="1:18" ht="19.5" thickBot="1">
      <c r="A4" s="245"/>
      <c r="B4" s="515"/>
      <c r="C4" s="515"/>
      <c r="D4" s="515"/>
      <c r="E4" s="515"/>
      <c r="F4" s="515"/>
      <c r="G4" s="515"/>
      <c r="H4" s="604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8">
        <v>1.5</v>
      </c>
      <c r="C6" s="599">
        <v>7.8</v>
      </c>
      <c r="D6" s="599"/>
      <c r="E6" s="599">
        <v>1.4</v>
      </c>
      <c r="F6" s="599">
        <v>8</v>
      </c>
      <c r="G6" s="599">
        <v>0</v>
      </c>
      <c r="H6" s="597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600"/>
      <c r="C7" s="597"/>
      <c r="D7" s="597"/>
      <c r="E7" s="597"/>
      <c r="F7" s="597"/>
      <c r="G7" s="597"/>
      <c r="H7" s="597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600"/>
      <c r="C8" s="597"/>
      <c r="D8" s="597"/>
      <c r="E8" s="597"/>
      <c r="F8" s="597"/>
      <c r="G8" s="597"/>
      <c r="H8" s="597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600"/>
      <c r="C9" s="600"/>
      <c r="D9" s="600"/>
      <c r="E9" s="600"/>
      <c r="F9" s="600"/>
      <c r="G9" s="600"/>
      <c r="H9" s="597">
        <f t="shared" si="2"/>
        <v>6702</v>
      </c>
      <c r="I9" s="516">
        <f t="shared" si="3"/>
        <v>0</v>
      </c>
      <c r="J9" s="494">
        <v>0.29166666666666669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600"/>
      <c r="C10" s="597"/>
      <c r="D10" s="597"/>
      <c r="E10" s="597"/>
      <c r="F10" s="597"/>
      <c r="G10" s="597"/>
      <c r="H10" s="597">
        <f t="shared" si="2"/>
        <v>6702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/>
      <c r="C11" s="544"/>
      <c r="D11" s="544"/>
      <c r="E11" s="544"/>
      <c r="F11" s="544"/>
      <c r="G11" s="544"/>
      <c r="H11" s="597">
        <f t="shared" si="2"/>
        <v>6702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/>
      <c r="C12" s="544"/>
      <c r="D12" s="544"/>
      <c r="E12" s="544"/>
      <c r="F12" s="544"/>
      <c r="G12" s="544"/>
      <c r="H12" s="597">
        <f t="shared" si="2"/>
        <v>6702</v>
      </c>
      <c r="I12" s="516">
        <f t="shared" si="3"/>
        <v>0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/>
      <c r="C13" s="544"/>
      <c r="D13" s="544"/>
      <c r="E13" s="544"/>
      <c r="F13" s="544"/>
      <c r="G13" s="544"/>
      <c r="H13" s="597">
        <f t="shared" si="2"/>
        <v>6702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256"/>
      <c r="C14" s="601"/>
      <c r="D14" s="170"/>
      <c r="E14" s="170"/>
      <c r="F14" s="170"/>
      <c r="G14" s="170"/>
      <c r="H14" s="597">
        <f t="shared" si="2"/>
        <v>6702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256"/>
      <c r="C15" s="602"/>
      <c r="D15" s="170"/>
      <c r="E15" s="170"/>
      <c r="F15" s="170"/>
      <c r="G15" s="170"/>
      <c r="H15" s="597">
        <f t="shared" si="2"/>
        <v>6702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256"/>
      <c r="C16" s="603"/>
      <c r="D16" s="170"/>
      <c r="E16" s="170"/>
      <c r="F16" s="170"/>
      <c r="G16" s="170"/>
      <c r="H16" s="597">
        <f t="shared" si="2"/>
        <v>6702</v>
      </c>
      <c r="I16" s="516">
        <f t="shared" si="3"/>
        <v>0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/>
      <c r="C17" s="544"/>
      <c r="D17" s="544"/>
      <c r="E17" s="544"/>
      <c r="F17" s="544"/>
      <c r="G17" s="544"/>
      <c r="H17" s="597">
        <f t="shared" si="2"/>
        <v>6702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/>
      <c r="C18" s="544"/>
      <c r="D18" s="544"/>
      <c r="E18" s="544"/>
      <c r="F18" s="544"/>
      <c r="G18" s="544"/>
      <c r="H18" s="597">
        <f t="shared" si="2"/>
        <v>6702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/>
      <c r="C19" s="544"/>
      <c r="D19" s="544"/>
      <c r="E19" s="544"/>
      <c r="F19" s="544"/>
      <c r="G19" s="544"/>
      <c r="H19" s="597">
        <f t="shared" si="2"/>
        <v>6702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/>
      <c r="C20" s="544"/>
      <c r="D20" s="544"/>
      <c r="E20" s="544"/>
      <c r="F20" s="544"/>
      <c r="G20" s="544"/>
      <c r="H20" s="597">
        <f t="shared" si="2"/>
        <v>6702</v>
      </c>
      <c r="I20" s="516">
        <f t="shared" si="3"/>
        <v>0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/>
      <c r="C21" s="544"/>
      <c r="D21" s="544"/>
      <c r="E21" s="544"/>
      <c r="F21" s="544"/>
      <c r="G21" s="544"/>
      <c r="H21" s="597">
        <f t="shared" si="2"/>
        <v>6702</v>
      </c>
      <c r="I21" s="516">
        <f t="shared" si="3"/>
        <v>0</v>
      </c>
      <c r="J21" s="591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/>
      <c r="C22" s="544"/>
      <c r="D22" s="544"/>
      <c r="E22" s="544"/>
      <c r="F22" s="544"/>
      <c r="G22" s="544"/>
      <c r="H22" s="597">
        <f t="shared" si="2"/>
        <v>6702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/>
      <c r="C23" s="544"/>
      <c r="D23" s="544"/>
      <c r="E23" s="544"/>
      <c r="F23" s="544"/>
      <c r="G23" s="544"/>
      <c r="H23" s="597">
        <f t="shared" si="2"/>
        <v>6702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93"/>
      <c r="C24" s="592"/>
      <c r="D24" s="170"/>
      <c r="E24" s="170"/>
      <c r="F24" s="170"/>
      <c r="G24" s="170"/>
      <c r="H24" s="597">
        <f t="shared" si="2"/>
        <v>6702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3"/>
      <c r="C25" s="592"/>
      <c r="D25" s="170"/>
      <c r="E25" s="170"/>
      <c r="F25" s="170"/>
      <c r="G25" s="170"/>
      <c r="H25" s="597">
        <f t="shared" si="2"/>
        <v>6702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3"/>
      <c r="C26" s="594"/>
      <c r="D26" s="170"/>
      <c r="E26" s="170"/>
      <c r="F26" s="170"/>
      <c r="G26" s="170"/>
      <c r="H26" s="597">
        <f t="shared" si="2"/>
        <v>6702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/>
      <c r="C27" s="170"/>
      <c r="D27" s="170"/>
      <c r="E27" s="170"/>
      <c r="F27" s="170"/>
      <c r="G27" s="170"/>
      <c r="H27" s="597">
        <f t="shared" si="2"/>
        <v>6702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/>
      <c r="C28" s="595"/>
      <c r="D28" s="170"/>
      <c r="E28" s="170"/>
      <c r="F28" s="170"/>
      <c r="G28" s="170"/>
      <c r="H28" s="597">
        <f t="shared" si="2"/>
        <v>6702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/>
      <c r="C29" s="544"/>
      <c r="D29" s="544"/>
      <c r="E29" s="544"/>
      <c r="F29" s="544"/>
      <c r="G29" s="544"/>
      <c r="H29" s="597">
        <f t="shared" si="2"/>
        <v>6702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/>
      <c r="C30" s="516"/>
      <c r="D30" s="170"/>
      <c r="E30" s="170"/>
      <c r="F30" s="170"/>
      <c r="G30" s="170"/>
      <c r="H30" s="597">
        <f t="shared" si="2"/>
        <v>6702</v>
      </c>
      <c r="I30" s="516">
        <f t="shared" si="3"/>
        <v>0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/>
      <c r="C31" s="545"/>
      <c r="D31" s="170"/>
      <c r="E31" s="170"/>
      <c r="F31" s="170"/>
      <c r="G31" s="170"/>
      <c r="H31" s="597">
        <f t="shared" si="2"/>
        <v>6702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516"/>
      <c r="C32" s="516"/>
      <c r="D32" s="516"/>
      <c r="E32" s="516"/>
      <c r="F32" s="516"/>
      <c r="G32" s="516"/>
      <c r="H32" s="597">
        <f t="shared" si="2"/>
        <v>6702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7">
        <f t="shared" si="2"/>
        <v>6702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7">
        <f t="shared" si="2"/>
        <v>6702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7">
        <f t="shared" si="2"/>
        <v>6702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7">
        <f t="shared" si="2"/>
        <v>6702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39" zoomScale="80" zoomScaleNormal="80" workbookViewId="0">
      <selection activeCell="W48" sqref="W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411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0</v>
      </c>
      <c r="W49" s="274">
        <f>'General information '!C7</f>
        <v>0</v>
      </c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0</v>
      </c>
      <c r="W50" s="274">
        <f>'General information '!C8</f>
        <v>0</v>
      </c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0</v>
      </c>
      <c r="W51" s="274">
        <f>'General information '!C9</f>
        <v>0</v>
      </c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0</v>
      </c>
      <c r="W52" s="274">
        <f>'General information '!C10</f>
        <v>0</v>
      </c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0</v>
      </c>
      <c r="W53" s="274">
        <f>'General information '!C11</f>
        <v>0</v>
      </c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0</v>
      </c>
      <c r="W54" s="274">
        <f>'General information '!C12</f>
        <v>0</v>
      </c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0</v>
      </c>
      <c r="W55" s="274">
        <f>'General information '!C13</f>
        <v>0</v>
      </c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0</v>
      </c>
      <c r="W56" s="274">
        <f>'General information '!C14</f>
        <v>0</v>
      </c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0</v>
      </c>
      <c r="W57" s="274">
        <f>'General information '!C15</f>
        <v>0</v>
      </c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0</v>
      </c>
      <c r="W58" s="274">
        <f>'General information '!C16</f>
        <v>0</v>
      </c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0</v>
      </c>
      <c r="W59" s="274">
        <f>'General information '!C17</f>
        <v>0</v>
      </c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0</v>
      </c>
      <c r="W60" s="274">
        <f>'General information '!C18</f>
        <v>0</v>
      </c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0</v>
      </c>
      <c r="W61" s="274">
        <f>'General information '!C19</f>
        <v>0</v>
      </c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0</v>
      </c>
      <c r="W62" s="274">
        <f>'General information '!C20</f>
        <v>0</v>
      </c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0</v>
      </c>
      <c r="W63" s="274">
        <f>'General information '!C21</f>
        <v>0</v>
      </c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0</v>
      </c>
      <c r="W64" s="274">
        <f>'General information '!C22</f>
        <v>0</v>
      </c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0</v>
      </c>
      <c r="W65" s="274">
        <f>'General information '!C23</f>
        <v>0</v>
      </c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0</v>
      </c>
      <c r="W66" s="274">
        <f>'General information '!C24</f>
        <v>0</v>
      </c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0</v>
      </c>
      <c r="W67" s="274">
        <f>'General information '!C25</f>
        <v>0</v>
      </c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0</v>
      </c>
      <c r="W68" s="274">
        <f>'General information '!C26</f>
        <v>0</v>
      </c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0</v>
      </c>
      <c r="W69" s="274">
        <f>'General information '!C27</f>
        <v>0</v>
      </c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0</v>
      </c>
      <c r="W70" s="274">
        <f>'General information '!C28</f>
        <v>0</v>
      </c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0</v>
      </c>
      <c r="W71" s="274">
        <f>'General information '!C29</f>
        <v>0</v>
      </c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0</v>
      </c>
      <c r="W72" s="274">
        <f>'General information '!C30</f>
        <v>0</v>
      </c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0</v>
      </c>
      <c r="W73" s="274">
        <f>'General information '!C31</f>
        <v>0</v>
      </c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0</v>
      </c>
      <c r="W74" s="274">
        <f>'General information '!C32</f>
        <v>0</v>
      </c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0</v>
      </c>
      <c r="S75" s="274">
        <f>'[1]Degree Days 2020'!S75</f>
        <v>0</v>
      </c>
      <c r="T75" s="119">
        <f t="shared" si="13"/>
        <v>-18.3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0</v>
      </c>
      <c r="S76" s="274">
        <f>'[1]Degree Days 2020'!S76</f>
        <v>0</v>
      </c>
      <c r="T76" s="119">
        <f t="shared" si="13"/>
        <v>-18.3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0</v>
      </c>
      <c r="S77" s="274">
        <f>'[1]Degree Days 2020'!S77</f>
        <v>0</v>
      </c>
      <c r="T77" s="119">
        <f t="shared" si="13"/>
        <v>-18.3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-65.900000000000006</v>
      </c>
      <c r="S81" s="119">
        <f>SUMIF(T48:T78,"&gt;0")</f>
        <v>59.40000000000002</v>
      </c>
      <c r="T81" s="130"/>
      <c r="U81" s="129"/>
      <c r="V81" s="119">
        <f>SUMIF(X48:X78,"&lt;0")</f>
        <v>-549.80000000000007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-1055.3000000000002</v>
      </c>
      <c r="O86" s="142">
        <f>C43+G43+K43+O43+S43+W43+C81+G81+K81+O81+S81+W81</f>
        <v>1548.2999999999993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1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90">
        <f>10800-I7</f>
        <v>2600</v>
      </c>
      <c r="J6" s="278"/>
    </row>
    <row r="7" spans="1:11">
      <c r="A7" s="185" t="s">
        <v>218</v>
      </c>
      <c r="B7" s="353">
        <f>WATER!H37</f>
        <v>138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273.33333333333331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0</v>
      </c>
      <c r="C8" s="500" t="e">
        <f>SUM(tanks!AU37)</f>
        <v>#DIV/0!</v>
      </c>
      <c r="D8" s="192" t="e">
        <f>SUM(B8*C8)*D4</f>
        <v>#DIV/0!</v>
      </c>
      <c r="E8" s="193" t="e">
        <f>SUM(D8/D4/F4)</f>
        <v>#DIV/0!</v>
      </c>
      <c r="F8" s="193" t="e">
        <f>SUM(E8*F4)</f>
        <v>#DIV/0!</v>
      </c>
      <c r="G8" s="517" t="e">
        <f>E8*$F$4</f>
        <v>#DIV/0!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581189.58064516133</v>
      </c>
      <c r="E10" s="183">
        <f>SUM(D10/D4/F4)</f>
        <v>385.53206012946026</v>
      </c>
      <c r="F10" s="183">
        <f>SUM(E10*F4)</f>
        <v>385.53206012946026</v>
      </c>
      <c r="G10" s="517">
        <f>E10*$G$4</f>
        <v>11565.961803883807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 t="e">
        <f>SUM(E6:E11)</f>
        <v>#DIV/0!</v>
      </c>
      <c r="F12" s="181" t="e">
        <f>SUM(F6:F10)</f>
        <v>#DIV/0!</v>
      </c>
      <c r="G12" s="180" t="e">
        <f>SUM(G6:G10)</f>
        <v>#DIV/0!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 t="e">
        <f>SUM(G12-H12)</f>
        <v>#DIV/0!</v>
      </c>
      <c r="I14" s="427" t="e">
        <f>SUM(G12-I12)</f>
        <v>#DIV/0!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17.5</v>
      </c>
      <c r="C16" s="438">
        <f>'[10]Utility Cost '!C16</f>
        <v>16.241935483870968</v>
      </c>
      <c r="D16" s="438"/>
      <c r="E16" s="439">
        <f t="shared" si="0"/>
        <v>1.258064516129032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6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-114.30999999999949</v>
      </c>
      <c r="F18" s="535">
        <f>B18-D18</f>
        <v>-271.85866666666664</v>
      </c>
    </row>
    <row r="19" spans="1:10">
      <c r="A19" s="529" t="s">
        <v>413</v>
      </c>
      <c r="B19" s="527">
        <f>SUM(B18/$F$4)</f>
        <v>6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2020-12-02T08:13:08Z</dcterms:modified>
</cp:coreProperties>
</file>