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12540" windowHeight="6645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10" i="7" l="1"/>
  <c r="F10" i="7"/>
  <c r="BH9" i="7" l="1"/>
  <c r="AT9" i="7"/>
  <c r="CJ8" i="7" l="1"/>
  <c r="BX8" i="7" l="1"/>
  <c r="X8" i="7"/>
  <c r="Z8" i="7"/>
  <c r="AB8" i="7"/>
  <c r="V8" i="7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N6" i="6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<sst xmlns="http://schemas.openxmlformats.org/spreadsheetml/2006/main" count="296" uniqueCount="138">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</sst>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 t="e">
        <f>Submetering!E9+Submetering!F9+Submetering!G9+Submetering!H9-Submetering!AV9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 t="e">
        <f>'FS Desroches Daily'!#REF!</f>
        <v>#REF!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 t="str">
        <f>'FS Desroches Daily'!T7</f>
        <v/>
      </c>
      <c r="N5" s="35" t="str">
        <f>'FS Desroches Daily'!V7</f>
        <v/>
      </c>
      <c r="O5" s="35">
        <f>'FS Desroches Daily'!X7</f>
        <v>430.00000000000682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716851</v>
      </c>
      <c r="N6" s="35">
        <f>'FS Desroches Daily'!V8</f>
        <v>290165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 t="str">
        <f>'FS Desroches Daily'!T10</f>
        <v/>
      </c>
      <c r="N8" s="35" t="str">
        <f>'FS Desroches Daily'!V10</f>
        <v/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 t="str">
        <f>'FS Desroches Daily'!D11</f>
        <v>0</v>
      </c>
      <c r="F9" s="36" t="str">
        <f>'FS Desroches Daily'!F11</f>
        <v>0</v>
      </c>
      <c r="G9" s="35" t="str">
        <f>'FS Desroches Daily'!H11</f>
        <v>0</v>
      </c>
      <c r="H9" s="36" t="str">
        <f>'FS Desroches Daily'!J11</f>
        <v>0</v>
      </c>
      <c r="I9" s="35" t="str">
        <f>'FS Desroches Daily'!L11</f>
        <v>0</v>
      </c>
      <c r="J9" s="36" t="str">
        <f>'FS Desroches Daily'!N11</f>
        <v/>
      </c>
      <c r="K9" s="13" t="str">
        <f>'FS Desroches Daily'!P11</f>
        <v/>
      </c>
      <c r="L9" s="35" t="str">
        <f>'FS Desroches Daily'!R11</f>
        <v/>
      </c>
      <c r="M9" s="35">
        <f>'FS Desroches Daily'!T11</f>
        <v>0</v>
      </c>
      <c r="N9" s="35">
        <f>'FS Desroches Daily'!V11</f>
        <v>0</v>
      </c>
      <c r="O9" s="35" t="str">
        <f>'FS Desroches Daily'!X11</f>
        <v/>
      </c>
      <c r="P9" s="35" t="str">
        <f>'FS Desroches Daily'!Z11</f>
        <v/>
      </c>
      <c r="Q9" s="35" t="str">
        <f>'FS Desroches Daily'!AB11</f>
        <v/>
      </c>
      <c r="R9" s="35" t="str">
        <f>'FS Desroches Daily'!AD11</f>
        <v/>
      </c>
      <c r="S9" s="35" t="str">
        <f>'FS Desroches Daily'!AF11</f>
        <v/>
      </c>
      <c r="T9" s="35" t="str">
        <f>'FS Desroches Daily'!AH11</f>
        <v/>
      </c>
      <c r="U9" s="39" t="str">
        <f>'FS Desroches Daily'!AJ11</f>
        <v/>
      </c>
      <c r="V9" s="39" t="str">
        <f>'FS Desroches Daily'!AL11</f>
        <v/>
      </c>
      <c r="W9" s="39" t="str">
        <f>'FS Desroches Daily'!AN11</f>
        <v/>
      </c>
      <c r="X9" s="39" t="str">
        <f>'FS Desroches Daily'!AP11</f>
        <v/>
      </c>
      <c r="Y9" s="39" t="str">
        <f>'FS Desroches Daily'!AR11</f>
        <v/>
      </c>
      <c r="Z9" s="39" t="str">
        <f>'FS Desroches Daily'!AT11</f>
        <v/>
      </c>
      <c r="AA9" s="39" t="str">
        <f>'FS Desroches Daily'!AT11</f>
        <v/>
      </c>
      <c r="AB9" s="39" t="str">
        <f>'FS Desroches Daily'!AV11</f>
        <v/>
      </c>
      <c r="AC9" s="39" t="str">
        <f>'FS Desroches Daily'!AZ11</f>
        <v/>
      </c>
      <c r="AD9" s="39" t="str">
        <f>'FS Desroches Daily'!BB11</f>
        <v/>
      </c>
      <c r="AE9" s="39" t="str">
        <f>'FS Desroches Daily'!BD11</f>
        <v/>
      </c>
      <c r="AF9" s="35" t="str">
        <f>'FS Desroches Daily'!BF11</f>
        <v/>
      </c>
      <c r="AG9" s="36" t="str">
        <f>'FS Desroches Daily'!BH11</f>
        <v/>
      </c>
      <c r="AH9" s="36" t="str">
        <f>'FS Desroches Daily'!BJ11</f>
        <v/>
      </c>
      <c r="AI9" s="36" t="str">
        <f>'FS Desroches Daily'!BL11</f>
        <v/>
      </c>
      <c r="AJ9" s="36" t="str">
        <f>'FS Desroches Daily'!BN11</f>
        <v/>
      </c>
      <c r="AK9" s="36" t="str">
        <f>'FS Desroches Daily'!BP11</f>
        <v/>
      </c>
      <c r="AL9" s="36" t="str">
        <f>'FS Desroches Daily'!BR11</f>
        <v/>
      </c>
      <c r="AM9" s="36" t="str">
        <f>'FS Desroches Daily'!BT11</f>
        <v/>
      </c>
      <c r="AN9" s="36" t="str">
        <f>'FS Desroches Daily'!BV11</f>
        <v/>
      </c>
      <c r="AO9" s="36" t="str">
        <f>'FS Desroches Daily'!BX11</f>
        <v/>
      </c>
      <c r="AP9" s="36" t="str">
        <f>'FS Desroches Daily'!BZ11</f>
        <v/>
      </c>
      <c r="AQ9" s="35" t="str">
        <f>'FS Desroches Daily'!CB11</f>
        <v/>
      </c>
      <c r="AR9" s="35" t="str">
        <f>'FS Desroches Daily'!CD11</f>
        <v/>
      </c>
      <c r="AS9" s="35" t="str">
        <f>'FS Desroches Daily'!CF11</f>
        <v/>
      </c>
      <c r="AT9" s="35" t="str">
        <f>'FS Desroches Daily'!CH11</f>
        <v/>
      </c>
      <c r="AU9" s="35" t="str">
        <f>'FS Desroches Daily'!CJ11</f>
        <v/>
      </c>
      <c r="AV9" s="35" t="str">
        <f>'FS Desroches Daily'!CL11</f>
        <v/>
      </c>
      <c r="AW9" s="35">
        <f>'FS Desroches Daily'!CM11</f>
        <v>0</v>
      </c>
      <c r="AX9" s="35" t="str">
        <f>IF(LPG!F16-LPG!F15&lt;0,"0",(LPG!F16-LPG!F15)*1.8315)</f>
        <v>0</v>
      </c>
      <c r="AY9" s="35" t="str">
        <f>IF(LPG!H16-LPG!H15&lt;0,"0",(LPG!H16-LPG!H15)*1.8315)</f>
        <v>0</v>
      </c>
      <c r="AZ9" s="35" t="str">
        <f>IF(LPG!J16-LPG!J15&lt;0,"0",(LPG!J16-LPG!J15)*1.8315)</f>
        <v>0</v>
      </c>
      <c r="BA9" s="35" t="str">
        <f>IF(LPG!M16-LPG!M15&lt;0,"0",(LPG!M16-LPG!M15)*1.8315)</f>
        <v>0</v>
      </c>
      <c r="BB9" s="35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19300.000000000095</v>
      </c>
      <c r="F33" s="17">
        <f t="shared" ref="F33:BC33" si="1">SUM(F2:F32)</f>
        <v>26200.000000000222</v>
      </c>
      <c r="G33" s="17">
        <f t="shared" si="1"/>
        <v>24699.99999999972</v>
      </c>
      <c r="H33" s="17">
        <f t="shared" si="1"/>
        <v>11800.000000000031</v>
      </c>
      <c r="I33" s="17">
        <f t="shared" si="1"/>
        <v>19599.99999999984</v>
      </c>
      <c r="J33" s="17">
        <f t="shared" si="1"/>
        <v>11370.000000000004</v>
      </c>
      <c r="K33" s="17">
        <f t="shared" si="1"/>
        <v>146</v>
      </c>
      <c r="L33" s="17">
        <f t="shared" si="1"/>
        <v>59</v>
      </c>
      <c r="M33" s="17">
        <f t="shared" si="1"/>
        <v>722716</v>
      </c>
      <c r="N33" s="17">
        <f t="shared" si="1"/>
        <v>292491.3</v>
      </c>
      <c r="O33" s="17" t="e">
        <f t="shared" si="1"/>
        <v>#REF!</v>
      </c>
      <c r="P33" s="17">
        <f t="shared" si="1"/>
        <v>22800.000000000149</v>
      </c>
      <c r="Q33" s="17">
        <f t="shared" si="1"/>
        <v>3209.9999999999795</v>
      </c>
      <c r="R33" s="17">
        <f t="shared" si="1"/>
        <v>2310.0000000000023</v>
      </c>
      <c r="S33" s="17">
        <f t="shared" si="1"/>
        <v>5060.0000000000018</v>
      </c>
      <c r="T33" s="17">
        <f t="shared" si="1"/>
        <v>12.600000000000023</v>
      </c>
      <c r="U33" s="39">
        <f t="shared" si="1"/>
        <v>3839.999999999975</v>
      </c>
      <c r="V33" s="39">
        <f t="shared" si="1"/>
        <v>1.2399999999999949</v>
      </c>
      <c r="W33" s="39">
        <f t="shared" si="1"/>
        <v>1.2800000000000011</v>
      </c>
      <c r="X33" s="39">
        <f t="shared" si="1"/>
        <v>1.1499999999999915</v>
      </c>
      <c r="Y33" s="39">
        <f t="shared" si="1"/>
        <v>1580.0000000000125</v>
      </c>
      <c r="Z33" s="39">
        <f t="shared" si="1"/>
        <v>1750</v>
      </c>
      <c r="AA33" s="39">
        <f t="shared" si="1"/>
        <v>1750</v>
      </c>
      <c r="AB33" s="39">
        <f t="shared" si="1"/>
        <v>1469.9999999999989</v>
      </c>
      <c r="AC33" s="39">
        <f t="shared" si="1"/>
        <v>290.00000000002046</v>
      </c>
      <c r="AD33" s="39">
        <f t="shared" si="1"/>
        <v>1389.9999999999864</v>
      </c>
      <c r="AE33" s="39">
        <f t="shared" si="1"/>
        <v>1620.0000000000045</v>
      </c>
      <c r="AF33" s="17">
        <f t="shared" si="1"/>
        <v>449</v>
      </c>
      <c r="AG33" s="36">
        <f t="shared" si="1"/>
        <v>289.99999999999204</v>
      </c>
      <c r="AH33" s="36">
        <f t="shared" si="1"/>
        <v>379.99999999999545</v>
      </c>
      <c r="AI33" s="36">
        <f t="shared" si="1"/>
        <v>359.99999999998522</v>
      </c>
      <c r="AJ33" s="36">
        <f t="shared" si="1"/>
        <v>289.99999999999204</v>
      </c>
      <c r="AK33" s="36">
        <f t="shared" si="1"/>
        <v>349.99999999996589</v>
      </c>
      <c r="AL33" s="36">
        <f t="shared" si="1"/>
        <v>291</v>
      </c>
      <c r="AM33" s="36">
        <f t="shared" si="1"/>
        <v>329.99999999998408</v>
      </c>
      <c r="AN33" s="36">
        <f t="shared" si="1"/>
        <v>293</v>
      </c>
      <c r="AO33" s="36">
        <f t="shared" si="1"/>
        <v>330.00000000001251</v>
      </c>
      <c r="AP33" s="36">
        <f t="shared" si="1"/>
        <v>491</v>
      </c>
      <c r="AQ33" s="17">
        <f t="shared" si="1"/>
        <v>334.79999999999927</v>
      </c>
      <c r="AR33" s="17">
        <f t="shared" si="1"/>
        <v>89.700000000000728</v>
      </c>
      <c r="AS33" s="17">
        <f t="shared" si="1"/>
        <v>51.199999999999818</v>
      </c>
      <c r="AT33" s="17">
        <f t="shared" si="1"/>
        <v>522.80000000000291</v>
      </c>
      <c r="AU33" s="17">
        <f t="shared" si="1"/>
        <v>2096</v>
      </c>
      <c r="AV33" s="17">
        <f t="shared" si="1"/>
        <v>4920.0000000000164</v>
      </c>
      <c r="AW33" s="17">
        <f t="shared" si="1"/>
        <v>659.1</v>
      </c>
      <c r="AX33" s="17">
        <f t="shared" si="1"/>
        <v>108.0585</v>
      </c>
      <c r="AY33" s="17">
        <f t="shared" si="1"/>
        <v>29.303999999999995</v>
      </c>
      <c r="AZ33" s="17">
        <f t="shared" si="1"/>
        <v>5.4944999999999995</v>
      </c>
      <c r="BA33" s="17">
        <f t="shared" si="1"/>
        <v>27.472499999999997</v>
      </c>
      <c r="BB33" s="17">
        <f t="shared" si="1"/>
        <v>40.292999999999999</v>
      </c>
      <c r="BC33" s="17">
        <f t="shared" si="1"/>
        <v>192</v>
      </c>
    </row>
    <row r="35" spans="5:55" x14ac:dyDescent="0.25">
      <c r="E35" s="42">
        <f>E33/E37</f>
        <v>0.22838074501822406</v>
      </c>
      <c r="G35" s="33">
        <f>G33-M36</f>
        <v>-990507.30000000028</v>
      </c>
      <c r="AE35" s="39">
        <f>SUM(U33:AE33)</f>
        <v>13693.669999999995</v>
      </c>
      <c r="AG35" s="36">
        <f>SUM(AG33:AP33)</f>
        <v>3404.9999999999272</v>
      </c>
    </row>
    <row r="36" spans="5:55" x14ac:dyDescent="0.25">
      <c r="G36" s="33">
        <f>G35-633*14</f>
        <v>-999369.30000000028</v>
      </c>
      <c r="M36" s="33">
        <f>M33+N33</f>
        <v>1015207.3</v>
      </c>
    </row>
    <row r="37" spans="5:55" x14ac:dyDescent="0.25">
      <c r="E37" s="17">
        <f>E33+F33+G33+H33+J33-633*14</f>
        <v>84508.000000000073</v>
      </c>
      <c r="G37" s="41">
        <f>M36/E37</f>
        <v>12.013150234297335</v>
      </c>
      <c r="M37" s="39">
        <f>AE35</f>
        <v>13693.669999999995</v>
      </c>
    </row>
    <row r="38" spans="5:55" x14ac:dyDescent="0.25">
      <c r="L38" s="31">
        <f>M38/E37</f>
        <v>4.0292043356841063E-2</v>
      </c>
      <c r="M38" s="33">
        <f>AG35</f>
        <v>3404.9999999999272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S10" sqref="S10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7">
        <f t="shared" ref="T5:T34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7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/>
      <c r="T7" s="77" t="str">
        <f t="shared" si="8"/>
        <v/>
      </c>
      <c r="U7" s="65"/>
      <c r="V7" s="77" t="str">
        <f t="shared" si="9"/>
        <v/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7">
        <f t="shared" si="8"/>
        <v>716851</v>
      </c>
      <c r="U8" s="65">
        <v>290165</v>
      </c>
      <c r="V8" s="77">
        <f t="shared" si="9"/>
        <v>290165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7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/>
      <c r="T10" s="77" t="str">
        <f t="shared" si="8"/>
        <v/>
      </c>
      <c r="U10" s="65"/>
      <c r="V10" s="77" t="str">
        <f t="shared" si="9"/>
        <v/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/>
      <c r="D11" s="76" t="str">
        <f t="shared" si="3"/>
        <v>0</v>
      </c>
      <c r="E11" s="65"/>
      <c r="F11" s="76" t="str">
        <f t="shared" si="4"/>
        <v>0</v>
      </c>
      <c r="G11" s="65"/>
      <c r="H11" s="76" t="str">
        <f t="shared" si="5"/>
        <v>0</v>
      </c>
      <c r="I11" s="65"/>
      <c r="J11" s="76" t="str">
        <f t="shared" si="43"/>
        <v>0</v>
      </c>
      <c r="K11" s="65"/>
      <c r="L11" s="76" t="str">
        <f t="shared" si="0"/>
        <v>0</v>
      </c>
      <c r="M11" s="65"/>
      <c r="N11" s="77" t="str">
        <f t="shared" si="22"/>
        <v/>
      </c>
      <c r="O11" s="65"/>
      <c r="P11" s="77" t="str">
        <f t="shared" si="6"/>
        <v/>
      </c>
      <c r="Q11" s="65"/>
      <c r="R11" s="77" t="str">
        <f t="shared" si="7"/>
        <v/>
      </c>
      <c r="S11" s="65"/>
      <c r="T11" s="77">
        <f t="shared" si="8"/>
        <v>0</v>
      </c>
      <c r="U11" s="65"/>
      <c r="V11" s="77">
        <f t="shared" si="9"/>
        <v>0</v>
      </c>
      <c r="W11" s="65"/>
      <c r="X11" s="77" t="str">
        <f t="shared" si="23"/>
        <v/>
      </c>
      <c r="Y11" s="65"/>
      <c r="Z11" s="77" t="str">
        <f t="shared" si="24"/>
        <v/>
      </c>
      <c r="AA11" s="65"/>
      <c r="AB11" s="77" t="str">
        <f t="shared" si="25"/>
        <v/>
      </c>
      <c r="AC11" s="65"/>
      <c r="AD11" s="77" t="str">
        <f t="shared" si="26"/>
        <v/>
      </c>
      <c r="AE11" s="65"/>
      <c r="AF11" s="77" t="str">
        <f t="shared" si="27"/>
        <v/>
      </c>
      <c r="AG11" s="65"/>
      <c r="AH11" s="77" t="str">
        <f t="shared" si="10"/>
        <v/>
      </c>
      <c r="AI11" s="65"/>
      <c r="AJ11" s="77" t="str">
        <f t="shared" si="28"/>
        <v/>
      </c>
      <c r="AK11" s="65"/>
      <c r="AL11" s="77" t="str">
        <f t="shared" si="11"/>
        <v/>
      </c>
      <c r="AM11" s="65"/>
      <c r="AN11" s="77" t="str">
        <f t="shared" si="12"/>
        <v/>
      </c>
      <c r="AO11" s="65"/>
      <c r="AP11" s="77" t="str">
        <f t="shared" si="13"/>
        <v/>
      </c>
      <c r="AQ11" s="65"/>
      <c r="AR11" s="77" t="str">
        <f t="shared" si="29"/>
        <v/>
      </c>
      <c r="AS11" s="65"/>
      <c r="AT11" s="77" t="str">
        <f t="shared" si="30"/>
        <v/>
      </c>
      <c r="AU11" s="65"/>
      <c r="AV11" s="77" t="str">
        <f t="shared" si="31"/>
        <v/>
      </c>
      <c r="AW11" s="65"/>
      <c r="AX11" s="77" t="str">
        <f t="shared" si="32"/>
        <v/>
      </c>
      <c r="AY11" s="65"/>
      <c r="AZ11" s="77" t="str">
        <f t="shared" si="33"/>
        <v/>
      </c>
      <c r="BA11" s="65"/>
      <c r="BB11" s="77" t="str">
        <f t="shared" si="34"/>
        <v/>
      </c>
      <c r="BC11" s="65"/>
      <c r="BD11" s="77" t="str">
        <f t="shared" si="35"/>
        <v/>
      </c>
      <c r="BE11" s="70"/>
      <c r="BF11" s="77" t="str">
        <f t="shared" si="14"/>
        <v/>
      </c>
      <c r="BG11" s="71"/>
      <c r="BH11" s="77" t="str">
        <f t="shared" si="36"/>
        <v/>
      </c>
      <c r="BI11" s="70"/>
      <c r="BJ11" s="77" t="str">
        <f t="shared" si="37"/>
        <v/>
      </c>
      <c r="BK11" s="70"/>
      <c r="BL11" s="77" t="str">
        <f t="shared" si="38"/>
        <v/>
      </c>
      <c r="BM11" s="70"/>
      <c r="BN11" s="77" t="str">
        <f t="shared" si="39"/>
        <v/>
      </c>
      <c r="BO11" s="70"/>
      <c r="BP11" s="77" t="str">
        <f t="shared" si="40"/>
        <v/>
      </c>
      <c r="BQ11" s="70"/>
      <c r="BR11" s="77" t="str">
        <f t="shared" si="15"/>
        <v/>
      </c>
      <c r="BS11" s="70"/>
      <c r="BT11" s="77" t="str">
        <f t="shared" si="41"/>
        <v/>
      </c>
      <c r="BU11" s="70"/>
      <c r="BV11" s="77" t="str">
        <f t="shared" si="1"/>
        <v/>
      </c>
      <c r="BW11" s="70"/>
      <c r="BX11" s="77" t="str">
        <f t="shared" si="42"/>
        <v/>
      </c>
      <c r="BY11" s="72"/>
      <c r="BZ11" s="77" t="str">
        <f t="shared" si="16"/>
        <v/>
      </c>
      <c r="CA11" s="65"/>
      <c r="CB11" s="77" t="str">
        <f t="shared" si="17"/>
        <v/>
      </c>
      <c r="CC11" s="65"/>
      <c r="CD11" s="77" t="str">
        <f t="shared" si="18"/>
        <v/>
      </c>
      <c r="CE11" s="65"/>
      <c r="CF11" s="77" t="str">
        <f t="shared" si="19"/>
        <v/>
      </c>
      <c r="CG11" s="65"/>
      <c r="CH11" s="77" t="str">
        <f t="shared" si="20"/>
        <v/>
      </c>
      <c r="CI11" s="65"/>
      <c r="CJ11" s="77" t="str">
        <f t="shared" si="2"/>
        <v/>
      </c>
      <c r="CK11" s="65"/>
      <c r="CL11" s="76" t="str">
        <f t="shared" si="21"/>
        <v/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43"/>
        <v>0</v>
      </c>
      <c r="K12" s="65"/>
      <c r="L12" s="76">
        <f t="shared" si="0"/>
        <v>0</v>
      </c>
      <c r="M12" s="65"/>
      <c r="N12" s="77">
        <f t="shared" si="22"/>
        <v>0</v>
      </c>
      <c r="O12" s="65"/>
      <c r="P12" s="77">
        <f t="shared" si="6"/>
        <v>0</v>
      </c>
      <c r="Q12" s="65"/>
      <c r="R12" s="77">
        <f t="shared" si="7"/>
        <v>0</v>
      </c>
      <c r="S12" s="65"/>
      <c r="T12" s="77">
        <f t="shared" si="8"/>
        <v>0</v>
      </c>
      <c r="U12" s="65"/>
      <c r="V12" s="77">
        <f t="shared" si="9"/>
        <v>0</v>
      </c>
      <c r="W12" s="65"/>
      <c r="X12" s="77">
        <f t="shared" si="2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0"/>
        <v>0</v>
      </c>
      <c r="AI12" s="65"/>
      <c r="AJ12" s="77">
        <f t="shared" si="28"/>
        <v>0</v>
      </c>
      <c r="AK12" s="65"/>
      <c r="AL12" s="77">
        <f t="shared" si="11"/>
        <v>0</v>
      </c>
      <c r="AM12" s="65"/>
      <c r="AN12" s="77">
        <f t="shared" si="12"/>
        <v>0</v>
      </c>
      <c r="AO12" s="65"/>
      <c r="AP12" s="77">
        <f t="shared" si="13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4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5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6"/>
        <v>0</v>
      </c>
      <c r="CA12" s="65"/>
      <c r="CB12" s="77">
        <f t="shared" si="17"/>
        <v>0</v>
      </c>
      <c r="CC12" s="65"/>
      <c r="CD12" s="77">
        <f t="shared" si="18"/>
        <v>0</v>
      </c>
      <c r="CE12" s="65"/>
      <c r="CF12" s="77">
        <f t="shared" si="19"/>
        <v>0</v>
      </c>
      <c r="CG12" s="65"/>
      <c r="CH12" s="77">
        <f t="shared" si="20"/>
        <v>0</v>
      </c>
      <c r="CI12" s="65"/>
      <c r="CJ12" s="77">
        <f t="shared" si="2"/>
        <v>0</v>
      </c>
      <c r="CK12" s="65"/>
      <c r="CL12" s="76">
        <f t="shared" si="21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43"/>
        <v>0</v>
      </c>
      <c r="K13" s="65"/>
      <c r="L13" s="76">
        <f t="shared" si="0"/>
        <v>0</v>
      </c>
      <c r="M13" s="65"/>
      <c r="N13" s="77">
        <f t="shared" si="22"/>
        <v>0</v>
      </c>
      <c r="O13" s="65"/>
      <c r="P13" s="77">
        <f t="shared" si="6"/>
        <v>0</v>
      </c>
      <c r="Q13" s="65"/>
      <c r="R13" s="77">
        <f t="shared" si="7"/>
        <v>0</v>
      </c>
      <c r="S13" s="65"/>
      <c r="T13" s="77">
        <f t="shared" si="8"/>
        <v>0</v>
      </c>
      <c r="U13" s="65"/>
      <c r="V13" s="77">
        <f t="shared" si="9"/>
        <v>0</v>
      </c>
      <c r="W13" s="65"/>
      <c r="X13" s="77">
        <f t="shared" si="2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0"/>
        <v>0</v>
      </c>
      <c r="AI13" s="65"/>
      <c r="AJ13" s="77">
        <f t="shared" si="28"/>
        <v>0</v>
      </c>
      <c r="AK13" s="65"/>
      <c r="AL13" s="77">
        <f t="shared" si="11"/>
        <v>0</v>
      </c>
      <c r="AM13" s="65"/>
      <c r="AN13" s="77">
        <f t="shared" si="12"/>
        <v>0</v>
      </c>
      <c r="AO13" s="65"/>
      <c r="AP13" s="77">
        <f t="shared" si="13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4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5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6"/>
        <v>0</v>
      </c>
      <c r="CA13" s="65"/>
      <c r="CB13" s="77">
        <f t="shared" si="17"/>
        <v>0</v>
      </c>
      <c r="CC13" s="65"/>
      <c r="CD13" s="77">
        <f t="shared" si="18"/>
        <v>0</v>
      </c>
      <c r="CE13" s="65"/>
      <c r="CF13" s="77">
        <f t="shared" si="19"/>
        <v>0</v>
      </c>
      <c r="CG13" s="65"/>
      <c r="CH13" s="77">
        <f t="shared" si="20"/>
        <v>0</v>
      </c>
      <c r="CI13" s="65"/>
      <c r="CJ13" s="77">
        <f t="shared" si="2"/>
        <v>0</v>
      </c>
      <c r="CK13" s="65"/>
      <c r="CL13" s="76">
        <f t="shared" si="21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43"/>
        <v>0</v>
      </c>
      <c r="K14" s="65"/>
      <c r="L14" s="76">
        <f t="shared" si="0"/>
        <v>0</v>
      </c>
      <c r="M14" s="65"/>
      <c r="N14" s="77">
        <f t="shared" si="22"/>
        <v>0</v>
      </c>
      <c r="O14" s="65"/>
      <c r="P14" s="77">
        <f t="shared" si="6"/>
        <v>0</v>
      </c>
      <c r="Q14" s="65"/>
      <c r="R14" s="77">
        <f t="shared" si="7"/>
        <v>0</v>
      </c>
      <c r="S14" s="65"/>
      <c r="T14" s="77">
        <f t="shared" si="8"/>
        <v>0</v>
      </c>
      <c r="U14" s="65"/>
      <c r="V14" s="77">
        <f t="shared" si="9"/>
        <v>0</v>
      </c>
      <c r="W14" s="65"/>
      <c r="X14" s="77">
        <f t="shared" si="2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0"/>
        <v>0</v>
      </c>
      <c r="AI14" s="65"/>
      <c r="AJ14" s="77">
        <f t="shared" si="28"/>
        <v>0</v>
      </c>
      <c r="AK14" s="65"/>
      <c r="AL14" s="77">
        <f t="shared" si="11"/>
        <v>0</v>
      </c>
      <c r="AM14" s="65"/>
      <c r="AN14" s="77">
        <f t="shared" si="12"/>
        <v>0</v>
      </c>
      <c r="AO14" s="65"/>
      <c r="AP14" s="77">
        <f t="shared" si="13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4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5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6"/>
        <v>0</v>
      </c>
      <c r="CA14" s="65"/>
      <c r="CB14" s="77">
        <f t="shared" si="17"/>
        <v>0</v>
      </c>
      <c r="CC14" s="65"/>
      <c r="CD14" s="77">
        <f t="shared" si="18"/>
        <v>0</v>
      </c>
      <c r="CE14" s="65"/>
      <c r="CF14" s="77">
        <f t="shared" si="19"/>
        <v>0</v>
      </c>
      <c r="CG14" s="65"/>
      <c r="CH14" s="77">
        <f t="shared" si="20"/>
        <v>0</v>
      </c>
      <c r="CI14" s="65"/>
      <c r="CJ14" s="77">
        <f t="shared" si="2"/>
        <v>0</v>
      </c>
      <c r="CK14" s="65"/>
      <c r="CL14" s="76">
        <f t="shared" si="21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43"/>
        <v>0</v>
      </c>
      <c r="K15" s="65"/>
      <c r="L15" s="76">
        <f t="shared" si="0"/>
        <v>0</v>
      </c>
      <c r="M15" s="65"/>
      <c r="N15" s="77">
        <f t="shared" si="22"/>
        <v>0</v>
      </c>
      <c r="O15" s="65"/>
      <c r="P15" s="77">
        <f t="shared" si="6"/>
        <v>0</v>
      </c>
      <c r="Q15" s="65"/>
      <c r="R15" s="77">
        <f t="shared" si="7"/>
        <v>0</v>
      </c>
      <c r="S15" s="65"/>
      <c r="T15" s="77">
        <f t="shared" si="8"/>
        <v>0</v>
      </c>
      <c r="U15" s="65"/>
      <c r="V15" s="77">
        <f t="shared" si="9"/>
        <v>0</v>
      </c>
      <c r="W15" s="65"/>
      <c r="X15" s="77">
        <f t="shared" si="2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0"/>
        <v>0</v>
      </c>
      <c r="AI15" s="65"/>
      <c r="AJ15" s="77">
        <f t="shared" si="28"/>
        <v>0</v>
      </c>
      <c r="AK15" s="65"/>
      <c r="AL15" s="77">
        <f t="shared" si="11"/>
        <v>0</v>
      </c>
      <c r="AM15" s="65"/>
      <c r="AN15" s="77">
        <f t="shared" si="12"/>
        <v>0</v>
      </c>
      <c r="AO15" s="65"/>
      <c r="AP15" s="77">
        <f t="shared" si="13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4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5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6"/>
        <v>0</v>
      </c>
      <c r="CA15" s="65"/>
      <c r="CB15" s="77">
        <f t="shared" si="17"/>
        <v>0</v>
      </c>
      <c r="CC15" s="65"/>
      <c r="CD15" s="77">
        <f t="shared" si="18"/>
        <v>0</v>
      </c>
      <c r="CE15" s="65"/>
      <c r="CF15" s="77">
        <f t="shared" si="19"/>
        <v>0</v>
      </c>
      <c r="CG15" s="65"/>
      <c r="CH15" s="77">
        <f t="shared" si="20"/>
        <v>0</v>
      </c>
      <c r="CI15" s="65"/>
      <c r="CJ15" s="77">
        <f t="shared" si="2"/>
        <v>0</v>
      </c>
      <c r="CK15" s="65"/>
      <c r="CL15" s="76">
        <f t="shared" si="21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8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8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8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8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8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8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8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8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8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8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8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8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8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8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8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8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8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8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8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146</v>
      </c>
      <c r="R35" s="81">
        <f>SUM(R4:R33)</f>
        <v>59</v>
      </c>
      <c r="AX35" s="77">
        <f t="shared" si="32"/>
        <v>0</v>
      </c>
      <c r="BF35" s="81">
        <f>SUM(BF4:BF33)</f>
        <v>449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15" sqref="Q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101" t="s">
        <v>0</v>
      </c>
      <c r="B4" s="104" t="s">
        <v>53</v>
      </c>
      <c r="C4" s="104" t="s">
        <v>54</v>
      </c>
      <c r="D4" s="107" t="s">
        <v>55</v>
      </c>
      <c r="E4" s="90" t="s">
        <v>56</v>
      </c>
      <c r="F4" s="110"/>
      <c r="G4" s="110"/>
      <c r="H4" s="110"/>
      <c r="I4" s="110"/>
      <c r="J4" s="91"/>
      <c r="K4" s="98" t="s">
        <v>57</v>
      </c>
      <c r="L4" s="99"/>
      <c r="M4" s="100"/>
      <c r="N4" s="89" t="s">
        <v>36</v>
      </c>
      <c r="O4" s="89"/>
      <c r="P4" s="89"/>
      <c r="Q4" s="89"/>
    </row>
    <row r="5" spans="1:17" ht="33.75" customHeight="1" x14ac:dyDescent="0.25">
      <c r="A5" s="102"/>
      <c r="B5" s="105"/>
      <c r="C5" s="105"/>
      <c r="D5" s="108"/>
      <c r="E5" s="90" t="s">
        <v>58</v>
      </c>
      <c r="F5" s="91"/>
      <c r="G5" s="90" t="s">
        <v>59</v>
      </c>
      <c r="H5" s="91"/>
      <c r="I5" s="90" t="s">
        <v>60</v>
      </c>
      <c r="J5" s="91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103"/>
      <c r="B6" s="106"/>
      <c r="C6" s="106"/>
      <c r="D6" s="10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2020-01-08T03:17:34Z</dcterms:modified>
</cp:coreProperties>
</file>