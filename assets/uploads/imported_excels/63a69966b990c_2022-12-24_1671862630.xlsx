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2" i="3" l="1"/>
  <c r="D41" i="9" l="1"/>
  <c r="C41" i="9"/>
  <c r="K5" i="8" l="1"/>
  <c r="K6" i="8"/>
  <c r="K7" i="8"/>
  <c r="K8" i="8"/>
  <c r="K9" i="8"/>
  <c r="K10" i="8"/>
  <c r="K11" i="8"/>
  <c r="K12" i="8"/>
  <c r="K13" i="8"/>
  <c r="K14" i="8"/>
  <c r="K15" i="8"/>
  <c r="K16" i="8"/>
  <c r="K17" i="8"/>
  <c r="K18" i="8"/>
  <c r="K19" i="8"/>
  <c r="K20" i="8"/>
  <c r="K21" i="8"/>
  <c r="K22" i="8"/>
  <c r="K23" i="8"/>
  <c r="K24" i="8"/>
  <c r="K25" i="8"/>
  <c r="K26" i="8"/>
  <c r="K27" i="8"/>
  <c r="K28" i="8"/>
  <c r="K29" i="8"/>
  <c r="K30" i="8"/>
  <c r="K31" i="8"/>
  <c r="K32" i="8"/>
  <c r="K4" i="8"/>
  <c r="H32" i="8"/>
  <c r="H5" i="8"/>
  <c r="H6" i="8"/>
  <c r="H7" i="8"/>
  <c r="H8" i="8"/>
  <c r="H9" i="8"/>
  <c r="H10" i="8"/>
  <c r="H11" i="8"/>
  <c r="H12" i="8"/>
  <c r="H13" i="8"/>
  <c r="H14" i="8"/>
  <c r="H15" i="8"/>
  <c r="H16" i="8"/>
  <c r="H17" i="8"/>
  <c r="H18" i="8"/>
  <c r="H19" i="8"/>
  <c r="H20" i="8"/>
  <c r="H21" i="8"/>
  <c r="H22" i="8"/>
  <c r="H23" i="8"/>
  <c r="H24" i="8"/>
  <c r="H25" i="8"/>
  <c r="H26" i="8"/>
  <c r="H27" i="8"/>
  <c r="H28" i="8"/>
  <c r="H29" i="8"/>
  <c r="H30" i="8"/>
  <c r="H31" i="8"/>
  <c r="I7" i="4"/>
  <c r="I8" i="4" s="1"/>
  <c r="I9" i="4" s="1"/>
  <c r="I10" i="4" s="1"/>
  <c r="I11" i="4" s="1"/>
  <c r="I12" i="4" s="1"/>
  <c r="I13" i="4" s="1"/>
  <c r="G8" i="4"/>
  <c r="G9" i="4" s="1"/>
  <c r="G7" i="4"/>
  <c r="A6" i="4"/>
  <c r="H9" i="4" l="1"/>
  <c r="G10" i="4"/>
  <c r="H8" i="4"/>
  <c r="H10" i="4" l="1"/>
  <c r="G11" i="4"/>
  <c r="H11" i="4" l="1"/>
  <c r="G12" i="4"/>
  <c r="G13" i="4" l="1"/>
  <c r="H13" i="4" s="1"/>
  <c r="H12" i="4"/>
  <c r="A36" i="4" l="1"/>
  <c r="D36" i="4"/>
  <c r="F36" i="4"/>
  <c r="H36" i="4"/>
  <c r="R36" i="4" s="1"/>
  <c r="J36" i="4"/>
  <c r="L36" i="4"/>
  <c r="M36" i="4"/>
  <c r="N36" i="4"/>
  <c r="P36" i="4"/>
  <c r="S36" i="4"/>
  <c r="AP11" i="5" l="1"/>
  <c r="AN11" i="5"/>
  <c r="AD11" i="5"/>
  <c r="X11" i="5"/>
  <c r="V11" i="5"/>
  <c r="T11" i="5"/>
  <c r="R11" i="5"/>
  <c r="P11" i="5"/>
  <c r="N11" i="5"/>
  <c r="L11" i="5"/>
  <c r="J11" i="5"/>
  <c r="H11" i="5"/>
  <c r="D11" i="5"/>
  <c r="E11" i="5"/>
  <c r="AJ11" i="5"/>
  <c r="AF11" i="5"/>
  <c r="AD10" i="5"/>
  <c r="AD9" i="5"/>
  <c r="AI35" i="5"/>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N35" i="4"/>
  <c r="M35" i="4"/>
  <c r="N34" i="4"/>
  <c r="M34" i="4"/>
  <c r="N33" i="4"/>
  <c r="M33" i="4"/>
  <c r="N32" i="4"/>
  <c r="M32" i="4"/>
  <c r="N31" i="4"/>
  <c r="M31" i="4"/>
  <c r="N30" i="4"/>
  <c r="M30" i="4"/>
  <c r="N29" i="4"/>
  <c r="M29" i="4"/>
  <c r="N28" i="4"/>
  <c r="M28" i="4"/>
  <c r="N27" i="4"/>
  <c r="M27" i="4"/>
  <c r="N26" i="4"/>
  <c r="M26" i="4"/>
  <c r="N25" i="4"/>
  <c r="M25" i="4"/>
  <c r="N24" i="4"/>
  <c r="M24" i="4"/>
  <c r="N23" i="4"/>
  <c r="M23" i="4"/>
  <c r="N22" i="4"/>
  <c r="M22" i="4"/>
  <c r="N21" i="4"/>
  <c r="M21" i="4"/>
  <c r="N20" i="4"/>
  <c r="M20" i="4"/>
  <c r="N19" i="4"/>
  <c r="M19" i="4"/>
  <c r="N18" i="4"/>
  <c r="M18" i="4"/>
  <c r="N17" i="4"/>
  <c r="M17" i="4"/>
  <c r="N16" i="4"/>
  <c r="M16" i="4"/>
  <c r="N15" i="4"/>
  <c r="M15" i="4"/>
  <c r="N14" i="4"/>
  <c r="M14" i="4"/>
  <c r="N13" i="4"/>
  <c r="M13" i="4"/>
  <c r="N12" i="4"/>
  <c r="M12" i="4"/>
  <c r="N11" i="4"/>
  <c r="M11" i="4"/>
  <c r="N10" i="4"/>
  <c r="M10" i="4"/>
  <c r="N9" i="4"/>
  <c r="M9" i="4"/>
  <c r="N8" i="4"/>
  <c r="M8" i="4"/>
  <c r="N7"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M7" i="4" s="1"/>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5" i="4"/>
  <c r="H34" i="4"/>
  <c r="H33" i="4"/>
  <c r="H32" i="4"/>
  <c r="H31" i="4"/>
  <c r="H30" i="4"/>
  <c r="H29" i="4"/>
  <c r="H28" i="4"/>
  <c r="H27" i="4"/>
  <c r="H26" i="4"/>
  <c r="H25" i="4"/>
  <c r="H24" i="4"/>
  <c r="H23" i="4"/>
  <c r="H22" i="4"/>
  <c r="H21" i="4"/>
  <c r="H20" i="4"/>
  <c r="H19" i="4"/>
  <c r="H18" i="4"/>
  <c r="H17" i="4"/>
  <c r="H16" i="4"/>
  <c r="H15" i="4"/>
  <c r="H14" i="4"/>
  <c r="H7"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AL37" i="3"/>
  <c r="AL36" i="3"/>
  <c r="AL35" i="3"/>
  <c r="AL34" i="3"/>
  <c r="AL33" i="3"/>
  <c r="AL32" i="3"/>
  <c r="AL31" i="3"/>
  <c r="AK31" i="3"/>
  <c r="AL30" i="3"/>
  <c r="AK30" i="3"/>
  <c r="AL29" i="3"/>
  <c r="AK29" i="3"/>
  <c r="AL28" i="3"/>
  <c r="AK28" i="3"/>
  <c r="AL27" i="3"/>
  <c r="AK27" i="3"/>
  <c r="AL26" i="3"/>
  <c r="AK26" i="3"/>
  <c r="AL25" i="3"/>
  <c r="AK25" i="3"/>
  <c r="AL24" i="3"/>
  <c r="AK24" i="3"/>
  <c r="AL23" i="3"/>
  <c r="AK23" i="3"/>
  <c r="AL22" i="3"/>
  <c r="AK22" i="3"/>
  <c r="AL21" i="3"/>
  <c r="AK21" i="3"/>
  <c r="AL20" i="3"/>
  <c r="AK20" i="3"/>
  <c r="AL19" i="3"/>
  <c r="AK19" i="3"/>
  <c r="AL18" i="3"/>
  <c r="AK18" i="3"/>
  <c r="AL17" i="3"/>
  <c r="AK17" i="3"/>
  <c r="AL16" i="3"/>
  <c r="AK16" i="3"/>
  <c r="AL15" i="3"/>
  <c r="AK15" i="3"/>
  <c r="AL14" i="3"/>
  <c r="AK14" i="3"/>
  <c r="AL13" i="3"/>
  <c r="AK13" i="3"/>
  <c r="AK12" i="3"/>
  <c r="AL11" i="3"/>
  <c r="AK11" i="3"/>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L12" i="3" s="1"/>
  <c r="AC11" i="3"/>
  <c r="AC10" i="3"/>
  <c r="AC9"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X37" i="3"/>
  <c r="Y37" i="3" s="1"/>
  <c r="X36" i="3"/>
  <c r="Y36" i="3" s="1"/>
  <c r="X35" i="3"/>
  <c r="Y35" i="3" s="1"/>
  <c r="X34" i="3"/>
  <c r="Y34" i="3" s="1"/>
  <c r="X33" i="3"/>
  <c r="Y33" i="3" s="1"/>
  <c r="X32" i="3"/>
  <c r="Y32" i="3" s="1"/>
  <c r="X31" i="3"/>
  <c r="Y31" i="3" s="1"/>
  <c r="X30" i="3"/>
  <c r="Y30" i="3" s="1"/>
  <c r="X29" i="3"/>
  <c r="Y29" i="3" s="1"/>
  <c r="X28" i="3"/>
  <c r="Y28" i="3" s="1"/>
  <c r="X27" i="3"/>
  <c r="Y27" i="3" s="1"/>
  <c r="X26" i="3"/>
  <c r="Y26" i="3" s="1"/>
  <c r="X25" i="3"/>
  <c r="Y25" i="3" s="1"/>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U37" i="3"/>
  <c r="V37" i="3" s="1"/>
  <c r="U36" i="3"/>
  <c r="V36" i="3" s="1"/>
  <c r="U35" i="3"/>
  <c r="V35" i="3" s="1"/>
  <c r="U34" i="3"/>
  <c r="V34" i="3" s="1"/>
  <c r="U33" i="3"/>
  <c r="V33" i="3" s="1"/>
  <c r="U32" i="3"/>
  <c r="V32" i="3" s="1"/>
  <c r="U31" i="3"/>
  <c r="V31" i="3" s="1"/>
  <c r="U30" i="3"/>
  <c r="V30" i="3" s="1"/>
  <c r="U29" i="3"/>
  <c r="V29" i="3" s="1"/>
  <c r="U28" i="3"/>
  <c r="V28" i="3" s="1"/>
  <c r="U27" i="3"/>
  <c r="V27" i="3" s="1"/>
  <c r="U26" i="3"/>
  <c r="V26" i="3" s="1"/>
  <c r="U25" i="3"/>
  <c r="V25" i="3" s="1"/>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37" i="3"/>
  <c r="S37" i="3" s="1"/>
  <c r="R36" i="3"/>
  <c r="S36" i="3" s="1"/>
  <c r="R35" i="3"/>
  <c r="S35" i="3" s="1"/>
  <c r="R34" i="3"/>
  <c r="S34" i="3" s="1"/>
  <c r="R33" i="3"/>
  <c r="S33" i="3" s="1"/>
  <c r="R32" i="3"/>
  <c r="S32" i="3" s="1"/>
  <c r="R31" i="3"/>
  <c r="S31" i="3" s="1"/>
  <c r="R30" i="3"/>
  <c r="S30" i="3" s="1"/>
  <c r="R29" i="3"/>
  <c r="S29" i="3" s="1"/>
  <c r="R28" i="3"/>
  <c r="S28" i="3" s="1"/>
  <c r="R27" i="3"/>
  <c r="S27" i="3" s="1"/>
  <c r="R26" i="3"/>
  <c r="S26" i="3" s="1"/>
  <c r="R25" i="3"/>
  <c r="S25"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P37" i="3"/>
  <c r="O37" i="3"/>
  <c r="O36" i="3"/>
  <c r="P36" i="3" s="1"/>
  <c r="P35" i="3"/>
  <c r="O35" i="3"/>
  <c r="O34" i="3"/>
  <c r="P34" i="3" s="1"/>
  <c r="P33" i="3"/>
  <c r="O33" i="3"/>
  <c r="O32" i="3"/>
  <c r="P32" i="3" s="1"/>
  <c r="P31" i="3"/>
  <c r="O31" i="3"/>
  <c r="O30" i="3"/>
  <c r="P30" i="3" s="1"/>
  <c r="P29" i="3"/>
  <c r="O29" i="3"/>
  <c r="O28" i="3"/>
  <c r="P28" i="3" s="1"/>
  <c r="P27" i="3"/>
  <c r="O27" i="3"/>
  <c r="O26" i="3"/>
  <c r="P26" i="3" s="1"/>
  <c r="P25" i="3"/>
  <c r="O25" i="3"/>
  <c r="O24" i="3"/>
  <c r="P24" i="3" s="1"/>
  <c r="P23" i="3"/>
  <c r="O23" i="3"/>
  <c r="O22" i="3"/>
  <c r="P22" i="3" s="1"/>
  <c r="P21" i="3"/>
  <c r="O21" i="3"/>
  <c r="O20" i="3"/>
  <c r="P20" i="3" s="1"/>
  <c r="P19" i="3"/>
  <c r="O19" i="3"/>
  <c r="O18" i="3"/>
  <c r="P18" i="3" s="1"/>
  <c r="P17" i="3"/>
  <c r="O17" i="3"/>
  <c r="O16" i="3"/>
  <c r="P16" i="3" s="1"/>
  <c r="P15" i="3"/>
  <c r="O15" i="3"/>
  <c r="O14" i="3"/>
  <c r="P14" i="3" s="1"/>
  <c r="P13" i="3"/>
  <c r="O13" i="3"/>
  <c r="O12" i="3"/>
  <c r="P12" i="3" s="1"/>
  <c r="P11" i="3"/>
  <c r="O11" i="3"/>
  <c r="O10" i="3"/>
  <c r="P10" i="3" s="1"/>
  <c r="AL10" i="3" s="1"/>
  <c r="P9" i="3"/>
  <c r="AK9" i="3" s="1"/>
  <c r="O9"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H37" i="3"/>
  <c r="I37" i="3" s="1"/>
  <c r="H36" i="3"/>
  <c r="I36" i="3" s="1"/>
  <c r="H35" i="3"/>
  <c r="I35" i="3" s="1"/>
  <c r="H34" i="3"/>
  <c r="I34" i="3" s="1"/>
  <c r="H33" i="3"/>
  <c r="I33" i="3" s="1"/>
  <c r="H32" i="3"/>
  <c r="I32" i="3" s="1"/>
  <c r="H31" i="3"/>
  <c r="I31" i="3" s="1"/>
  <c r="H30" i="3"/>
  <c r="I30" i="3" s="1"/>
  <c r="H29" i="3"/>
  <c r="I29" i="3" s="1"/>
  <c r="H28" i="3"/>
  <c r="I28" i="3" s="1"/>
  <c r="H27" i="3"/>
  <c r="I27" i="3" s="1"/>
  <c r="H26" i="3"/>
  <c r="I26" i="3" s="1"/>
  <c r="H25" i="3"/>
  <c r="I25" i="3" s="1"/>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D37" i="3"/>
  <c r="D36" i="3"/>
  <c r="AK36" i="3" s="1"/>
  <c r="D35" i="3"/>
  <c r="D34" i="3"/>
  <c r="AK34" i="3" s="1"/>
  <c r="D33" i="3"/>
  <c r="D32" i="3"/>
  <c r="D31" i="3"/>
  <c r="D30" i="3"/>
  <c r="D29" i="3"/>
  <c r="D28" i="3"/>
  <c r="D27" i="3"/>
  <c r="D26" i="3"/>
  <c r="D25" i="3"/>
  <c r="D24" i="3"/>
  <c r="D23" i="3"/>
  <c r="D22" i="3"/>
  <c r="D21" i="3"/>
  <c r="D20" i="3"/>
  <c r="D19" i="3"/>
  <c r="D18" i="3"/>
  <c r="D17" i="3"/>
  <c r="D16" i="3"/>
  <c r="D15" i="3"/>
  <c r="D14" i="3"/>
  <c r="D13" i="3"/>
  <c r="D12" i="3"/>
  <c r="D11" i="3"/>
  <c r="D10" i="3"/>
  <c r="D9" i="3"/>
  <c r="AI8" i="3"/>
  <c r="AG8" i="3"/>
  <c r="AE8" i="3"/>
  <c r="AC8" i="3"/>
  <c r="AA8" i="3"/>
  <c r="Y8" i="3"/>
  <c r="X8" i="3"/>
  <c r="U8" i="3"/>
  <c r="V8" i="3" s="1"/>
  <c r="S8" i="3"/>
  <c r="R8" i="3"/>
  <c r="O8" i="3"/>
  <c r="P8" i="3" s="1"/>
  <c r="M8" i="3"/>
  <c r="K8" i="3"/>
  <c r="H8" i="3"/>
  <c r="I8" i="3" s="1"/>
  <c r="F8" i="3"/>
  <c r="D8" i="3"/>
  <c r="AK32" i="3" l="1"/>
  <c r="AK35" i="3"/>
  <c r="AK33" i="3"/>
  <c r="AK37" i="3"/>
  <c r="AL9" i="3"/>
  <c r="AK10" i="3"/>
  <c r="AD27" i="5" l="1"/>
  <c r="R7" i="4" l="1"/>
  <c r="R8" i="4"/>
  <c r="S8" i="4"/>
  <c r="R9" i="4"/>
  <c r="R10" i="4"/>
  <c r="S10" i="4"/>
  <c r="R11" i="4"/>
  <c r="R12" i="4"/>
  <c r="S12" i="4"/>
  <c r="R13" i="4"/>
  <c r="R14" i="4"/>
  <c r="S14" i="4"/>
  <c r="R15" i="4"/>
  <c r="S15" i="4" l="1"/>
  <c r="S13" i="4"/>
  <c r="S11" i="4"/>
  <c r="S9" i="4"/>
  <c r="S7" i="4"/>
  <c r="AP22" i="5" l="1"/>
  <c r="L31" i="5" l="1"/>
  <c r="T9" i="5" l="1"/>
  <c r="N9" i="5"/>
  <c r="L9" i="5"/>
  <c r="J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0" i="5"/>
  <c r="N38" i="5"/>
  <c r="N37" i="5"/>
  <c r="N36" i="5"/>
  <c r="N35" i="5"/>
  <c r="N34" i="5"/>
  <c r="N33" i="5"/>
  <c r="N32" i="5"/>
  <c r="N31" i="5"/>
  <c r="N30" i="5"/>
  <c r="N29" i="5"/>
  <c r="N28" i="5"/>
  <c r="N27" i="5"/>
  <c r="N26" i="5"/>
  <c r="N25" i="5"/>
  <c r="N24" i="5"/>
  <c r="N23" i="5"/>
  <c r="N22" i="5"/>
  <c r="N21" i="5"/>
  <c r="N20" i="5"/>
  <c r="N19" i="5"/>
  <c r="N18" i="5"/>
  <c r="N17" i="5"/>
  <c r="N16" i="5"/>
  <c r="N15" i="5"/>
  <c r="N14" i="5"/>
  <c r="N13" i="5"/>
  <c r="N12" i="5"/>
  <c r="N10" i="5"/>
  <c r="L38" i="5"/>
  <c r="L37" i="5"/>
  <c r="L36" i="5"/>
  <c r="L35" i="5"/>
  <c r="L34" i="5"/>
  <c r="L33" i="5"/>
  <c r="L32" i="5"/>
  <c r="L30" i="5"/>
  <c r="L29" i="5"/>
  <c r="L28" i="5"/>
  <c r="L27" i="5"/>
  <c r="L26" i="5"/>
  <c r="L25" i="5"/>
  <c r="L24" i="5"/>
  <c r="L23" i="5"/>
  <c r="L22" i="5"/>
  <c r="L21" i="5"/>
  <c r="L20" i="5"/>
  <c r="L19" i="5"/>
  <c r="L18" i="5"/>
  <c r="L17" i="5"/>
  <c r="L16" i="5"/>
  <c r="L15" i="5"/>
  <c r="L14" i="5"/>
  <c r="L13" i="5"/>
  <c r="L12" i="5"/>
  <c r="L10" i="5"/>
  <c r="J38" i="5"/>
  <c r="J37" i="5"/>
  <c r="J36" i="5"/>
  <c r="J35" i="5"/>
  <c r="J34" i="5"/>
  <c r="J33" i="5"/>
  <c r="J32" i="5"/>
  <c r="J31" i="5"/>
  <c r="J30" i="5"/>
  <c r="J29" i="5"/>
  <c r="J28" i="5"/>
  <c r="J27" i="5"/>
  <c r="J26" i="5"/>
  <c r="J25" i="5"/>
  <c r="J24" i="5"/>
  <c r="J23" i="5"/>
  <c r="J22" i="5"/>
  <c r="J21" i="5"/>
  <c r="J20" i="5"/>
  <c r="J19" i="5"/>
  <c r="J18" i="5"/>
  <c r="J17" i="5"/>
  <c r="J16" i="5"/>
  <c r="J15" i="5"/>
  <c r="J14" i="5"/>
  <c r="J13" i="5"/>
  <c r="J12" i="5"/>
  <c r="J10"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H14" i="5" l="1"/>
  <c r="BF10" i="5"/>
  <c r="BD10" i="5"/>
  <c r="BB10" i="5"/>
  <c r="AZ10" i="5"/>
  <c r="AR10" i="5"/>
  <c r="AT10" i="5"/>
  <c r="AV10" i="5"/>
  <c r="AX10" i="5"/>
  <c r="AP10" i="5"/>
  <c r="AN10" i="5"/>
  <c r="AL10" i="5"/>
  <c r="AJ10" i="5"/>
  <c r="AH10" i="5"/>
  <c r="AF10" i="5"/>
  <c r="AB10" i="5"/>
  <c r="Z10" i="5"/>
  <c r="X10" i="5"/>
  <c r="V10" i="5"/>
  <c r="R10" i="5"/>
  <c r="P10" i="5"/>
  <c r="H10" i="5"/>
  <c r="D10" i="5"/>
  <c r="S35" i="4" l="1"/>
  <c r="F10" i="5"/>
  <c r="BI10" i="5" s="1"/>
  <c r="E10" i="5"/>
  <c r="BH10" i="5" s="1"/>
  <c r="R35" i="4"/>
  <c r="AZ22" i="5"/>
  <c r="AZ21" i="5"/>
  <c r="AZ20" i="5"/>
  <c r="AZ19" i="5"/>
  <c r="AZ18" i="5"/>
  <c r="AZ23" i="5"/>
  <c r="AD19" i="5"/>
  <c r="AR17" i="5" l="1"/>
  <c r="AR16" i="5"/>
  <c r="AT36" i="5" l="1"/>
  <c r="AJ33" i="5" l="1"/>
  <c r="AT30" i="5" l="1"/>
  <c r="V9" i="5" l="1"/>
  <c r="BF38" i="5" l="1"/>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J35" i="5"/>
  <c r="AH35" i="5"/>
  <c r="AF35" i="5"/>
  <c r="AD35" i="5"/>
  <c r="AB35" i="5"/>
  <c r="Z35" i="5"/>
  <c r="X35" i="5"/>
  <c r="V35" i="5"/>
  <c r="R35" i="5"/>
  <c r="P35" i="5"/>
  <c r="H35" i="5"/>
  <c r="D35" i="5"/>
  <c r="E35" i="5" s="1"/>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X31" i="5"/>
  <c r="V31" i="5"/>
  <c r="R31" i="5"/>
  <c r="P31" i="5"/>
  <c r="H31" i="5"/>
  <c r="D31" i="5"/>
  <c r="E31" i="5" s="1"/>
  <c r="BF30" i="5"/>
  <c r="BD30" i="5"/>
  <c r="BB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E27" i="5" s="1"/>
  <c r="BF26" i="5"/>
  <c r="BD26" i="5"/>
  <c r="BB26" i="5"/>
  <c r="AZ26" i="5"/>
  <c r="AX26" i="5"/>
  <c r="AV26" i="5"/>
  <c r="AT26" i="5"/>
  <c r="AR26" i="5"/>
  <c r="AP26" i="5"/>
  <c r="AN26" i="5"/>
  <c r="AL26" i="5"/>
  <c r="AJ26" i="5"/>
  <c r="AH26" i="5"/>
  <c r="AF26" i="5"/>
  <c r="AD26" i="5"/>
  <c r="AB26" i="5"/>
  <c r="Z26" i="5"/>
  <c r="X26" i="5"/>
  <c r="V26" i="5"/>
  <c r="R26" i="5"/>
  <c r="P26" i="5"/>
  <c r="H26" i="5"/>
  <c r="D26" i="5"/>
  <c r="E26" i="5" s="1"/>
  <c r="BF25" i="5"/>
  <c r="BD25" i="5"/>
  <c r="BB25" i="5"/>
  <c r="AZ25" i="5"/>
  <c r="AX25" i="5"/>
  <c r="AV25" i="5"/>
  <c r="AT25" i="5"/>
  <c r="AR25" i="5"/>
  <c r="AP25" i="5"/>
  <c r="AN25" i="5"/>
  <c r="AL25" i="5"/>
  <c r="AJ25" i="5"/>
  <c r="AH25" i="5"/>
  <c r="AF25" i="5"/>
  <c r="AD25" i="5"/>
  <c r="AB25" i="5"/>
  <c r="Z25" i="5"/>
  <c r="X25" i="5"/>
  <c r="V25" i="5"/>
  <c r="R25" i="5"/>
  <c r="P25" i="5"/>
  <c r="H25" i="5"/>
  <c r="D25" i="5"/>
  <c r="E25" i="5" s="1"/>
  <c r="BF24" i="5"/>
  <c r="BD24" i="5"/>
  <c r="BB24" i="5"/>
  <c r="AZ24" i="5"/>
  <c r="AX24" i="5"/>
  <c r="AV24" i="5"/>
  <c r="AT24" i="5"/>
  <c r="AR24" i="5"/>
  <c r="AP24" i="5"/>
  <c r="AN24" i="5"/>
  <c r="AL24" i="5"/>
  <c r="AJ24" i="5"/>
  <c r="AH24" i="5"/>
  <c r="AF24" i="5"/>
  <c r="AD24" i="5"/>
  <c r="AB24" i="5"/>
  <c r="Z24" i="5"/>
  <c r="X24" i="5"/>
  <c r="V24" i="5"/>
  <c r="R24" i="5"/>
  <c r="P24" i="5"/>
  <c r="H24" i="5"/>
  <c r="D24" i="5"/>
  <c r="BF23" i="5"/>
  <c r="BD23" i="5"/>
  <c r="BB23" i="5"/>
  <c r="AX23" i="5"/>
  <c r="AV23" i="5"/>
  <c r="AT23" i="5"/>
  <c r="AR23" i="5"/>
  <c r="AP23" i="5"/>
  <c r="AN23" i="5"/>
  <c r="AL23" i="5"/>
  <c r="AJ23" i="5"/>
  <c r="AH23" i="5"/>
  <c r="AF23" i="5"/>
  <c r="AD23" i="5"/>
  <c r="AB23" i="5"/>
  <c r="Z23" i="5"/>
  <c r="X23" i="5"/>
  <c r="V23" i="5"/>
  <c r="R23" i="5"/>
  <c r="P23" i="5"/>
  <c r="H23" i="5"/>
  <c r="D23" i="5"/>
  <c r="E23" i="5" s="1"/>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E19" i="5" s="1"/>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E17" i="5" s="1"/>
  <c r="BF16" i="5"/>
  <c r="BD16" i="5"/>
  <c r="BB16" i="5"/>
  <c r="AZ16" i="5"/>
  <c r="AX16" i="5"/>
  <c r="AV16" i="5"/>
  <c r="AT16" i="5"/>
  <c r="AP16" i="5"/>
  <c r="AN16" i="5"/>
  <c r="AL16" i="5"/>
  <c r="AJ16" i="5"/>
  <c r="AH16" i="5"/>
  <c r="AF16" i="5"/>
  <c r="AD16" i="5"/>
  <c r="AB16" i="5"/>
  <c r="Z16" i="5"/>
  <c r="X16" i="5"/>
  <c r="V16" i="5"/>
  <c r="R16" i="5"/>
  <c r="P16" i="5"/>
  <c r="H16" i="5"/>
  <c r="D16" i="5"/>
  <c r="BF15" i="5"/>
  <c r="BD15" i="5"/>
  <c r="BB15" i="5"/>
  <c r="AZ15" i="5"/>
  <c r="AX15" i="5"/>
  <c r="AV15" i="5"/>
  <c r="AT15" i="5"/>
  <c r="AR15" i="5"/>
  <c r="AP15" i="5"/>
  <c r="AN15" i="5"/>
  <c r="AL15" i="5"/>
  <c r="AJ15" i="5"/>
  <c r="AH15" i="5"/>
  <c r="AF15" i="5"/>
  <c r="AD15" i="5"/>
  <c r="AB15" i="5"/>
  <c r="Z15" i="5"/>
  <c r="X15" i="5"/>
  <c r="V15" i="5"/>
  <c r="R15" i="5"/>
  <c r="P15" i="5"/>
  <c r="H15" i="5"/>
  <c r="D15" i="5"/>
  <c r="E15" i="5" s="1"/>
  <c r="BF14" i="5"/>
  <c r="BD14" i="5"/>
  <c r="BB14" i="5"/>
  <c r="AZ14" i="5"/>
  <c r="AX14" i="5"/>
  <c r="AV14" i="5"/>
  <c r="AT14" i="5"/>
  <c r="AR14" i="5"/>
  <c r="AP14" i="5"/>
  <c r="AN14" i="5"/>
  <c r="AL14" i="5"/>
  <c r="AJ14" i="5"/>
  <c r="AH14" i="5"/>
  <c r="AF14" i="5"/>
  <c r="AD14" i="5"/>
  <c r="AB14" i="5"/>
  <c r="Z14" i="5"/>
  <c r="X14" i="5"/>
  <c r="V14" i="5"/>
  <c r="R14" i="5"/>
  <c r="P14" i="5"/>
  <c r="D14" i="5"/>
  <c r="BF13" i="5"/>
  <c r="BD13" i="5"/>
  <c r="BB13" i="5"/>
  <c r="AZ13" i="5"/>
  <c r="AX13" i="5"/>
  <c r="AV13" i="5"/>
  <c r="AT13" i="5"/>
  <c r="AR13" i="5"/>
  <c r="AN13" i="5"/>
  <c r="AL13" i="5"/>
  <c r="AJ13" i="5"/>
  <c r="AH13" i="5"/>
  <c r="AF13" i="5"/>
  <c r="AD13" i="5"/>
  <c r="AB13" i="5"/>
  <c r="Z13" i="5"/>
  <c r="X13" i="5"/>
  <c r="V13" i="5"/>
  <c r="R13" i="5"/>
  <c r="P13" i="5"/>
  <c r="H13" i="5"/>
  <c r="D13" i="5"/>
  <c r="E13" i="5" s="1"/>
  <c r="BF12" i="5"/>
  <c r="BD12" i="5"/>
  <c r="BB12" i="5"/>
  <c r="AZ12" i="5"/>
  <c r="AX12" i="5"/>
  <c r="AV12" i="5"/>
  <c r="AT12" i="5"/>
  <c r="AR12" i="5"/>
  <c r="AP12" i="5"/>
  <c r="AN12" i="5"/>
  <c r="AL12" i="5"/>
  <c r="AJ12" i="5"/>
  <c r="AH12" i="5"/>
  <c r="AF12" i="5"/>
  <c r="AD12" i="5"/>
  <c r="AB12" i="5"/>
  <c r="Z12" i="5"/>
  <c r="X12" i="5"/>
  <c r="V12" i="5"/>
  <c r="R12" i="5"/>
  <c r="P12" i="5"/>
  <c r="H12" i="5"/>
  <c r="D12" i="5"/>
  <c r="BF11" i="5"/>
  <c r="BD11" i="5"/>
  <c r="BB11" i="5"/>
  <c r="AZ11" i="5"/>
  <c r="AX11" i="5"/>
  <c r="AV11" i="5"/>
  <c r="AT11" i="5"/>
  <c r="AR11" i="5"/>
  <c r="AL11" i="5"/>
  <c r="AH11" i="5"/>
  <c r="AB11" i="5"/>
  <c r="Z11" i="5"/>
  <c r="BF9" i="5"/>
  <c r="BD9" i="5"/>
  <c r="BB9" i="5"/>
  <c r="AZ9" i="5"/>
  <c r="AX9" i="5"/>
  <c r="AV9" i="5"/>
  <c r="AT9" i="5"/>
  <c r="AR9" i="5"/>
  <c r="AP9" i="5"/>
  <c r="AN9" i="5"/>
  <c r="AL9" i="5"/>
  <c r="AJ9" i="5"/>
  <c r="AH9" i="5"/>
  <c r="AF9" i="5"/>
  <c r="AB9" i="5"/>
  <c r="Z9" i="5"/>
  <c r="X9" i="5"/>
  <c r="R9" i="5"/>
  <c r="P9" i="5"/>
  <c r="H9" i="5"/>
  <c r="D9" i="5"/>
  <c r="F28" i="5" l="1"/>
  <c r="E28" i="5"/>
  <c r="F34" i="5"/>
  <c r="BI34" i="5" s="1"/>
  <c r="E34" i="5"/>
  <c r="BH34" i="5" s="1"/>
  <c r="F36" i="5"/>
  <c r="BI36" i="5" s="1"/>
  <c r="E36" i="5"/>
  <c r="BH36" i="5" s="1"/>
  <c r="F38" i="5"/>
  <c r="BI38" i="5" s="1"/>
  <c r="E38" i="5"/>
  <c r="BH38" i="5" s="1"/>
  <c r="F9" i="5"/>
  <c r="BI9" i="5" s="1"/>
  <c r="E9" i="5"/>
  <c r="BH9" i="5" s="1"/>
  <c r="F26" i="5"/>
  <c r="BI26" i="5" s="1"/>
  <c r="BH26" i="5"/>
  <c r="F30" i="5"/>
  <c r="BI30" i="5" s="1"/>
  <c r="E30" i="5"/>
  <c r="BH30" i="5" s="1"/>
  <c r="F33" i="5"/>
  <c r="BI33" i="5" s="1"/>
  <c r="E33" i="5"/>
  <c r="BH33" i="5" s="1"/>
  <c r="F37" i="5"/>
  <c r="BI37" i="5" s="1"/>
  <c r="E37" i="5"/>
  <c r="BH37" i="5" s="1"/>
  <c r="F25" i="5"/>
  <c r="BI25" i="5" s="1"/>
  <c r="BH25" i="5"/>
  <c r="F29" i="5"/>
  <c r="BI29" i="5" s="1"/>
  <c r="E29" i="5"/>
  <c r="F32" i="5"/>
  <c r="BI32" i="5" s="1"/>
  <c r="E32" i="5"/>
  <c r="BH32" i="5" s="1"/>
  <c r="F24" i="5"/>
  <c r="BI24" i="5" s="1"/>
  <c r="E24" i="5"/>
  <c r="F22" i="5"/>
  <c r="E22" i="5"/>
  <c r="BH22" i="5" s="1"/>
  <c r="F21" i="5"/>
  <c r="BI21" i="5" s="1"/>
  <c r="E21" i="5"/>
  <c r="BH21" i="5" s="1"/>
  <c r="F20" i="5"/>
  <c r="BI20" i="5" s="1"/>
  <c r="E20" i="5"/>
  <c r="BH20" i="5" s="1"/>
  <c r="F18" i="5"/>
  <c r="BI18" i="5" s="1"/>
  <c r="E18" i="5"/>
  <c r="BH18" i="5" s="1"/>
  <c r="F16" i="5"/>
  <c r="BI16" i="5" s="1"/>
  <c r="E16" i="5"/>
  <c r="BH16" i="5" s="1"/>
  <c r="F14" i="5"/>
  <c r="BI14" i="5" s="1"/>
  <c r="E14" i="5"/>
  <c r="BH14" i="5" s="1"/>
  <c r="F12" i="5"/>
  <c r="BI12" i="5" s="1"/>
  <c r="E12" i="5"/>
  <c r="BH12" i="5" s="1"/>
  <c r="S32" i="4"/>
  <c r="S33" i="4"/>
  <c r="S31" i="4"/>
  <c r="S28" i="4"/>
  <c r="S26" i="4"/>
  <c r="S18" i="4"/>
  <c r="S23" i="4"/>
  <c r="S25" i="4"/>
  <c r="S30" i="4"/>
  <c r="R32" i="4"/>
  <c r="R34" i="4"/>
  <c r="R16" i="4"/>
  <c r="R22" i="4"/>
  <c r="AL8" i="3"/>
  <c r="S34" i="4"/>
  <c r="R33" i="4"/>
  <c r="R30" i="4"/>
  <c r="R31" i="4"/>
  <c r="R29" i="4"/>
  <c r="S29" i="4"/>
  <c r="R28" i="4"/>
  <c r="S27" i="4"/>
  <c r="R27" i="4"/>
  <c r="R26" i="4"/>
  <c r="R25" i="4"/>
  <c r="F27" i="5"/>
  <c r="BI27" i="5" s="1"/>
  <c r="S24" i="4"/>
  <c r="R23" i="4"/>
  <c r="R24" i="4"/>
  <c r="S21" i="4"/>
  <c r="S22" i="4"/>
  <c r="S20" i="4"/>
  <c r="S19" i="4"/>
  <c r="R21" i="4"/>
  <c r="R20" i="4"/>
  <c r="R19" i="4"/>
  <c r="R18" i="4"/>
  <c r="F35" i="5"/>
  <c r="BI35" i="5" s="1"/>
  <c r="BI22" i="5"/>
  <c r="BH23" i="5"/>
  <c r="S17" i="4"/>
  <c r="R17" i="4"/>
  <c r="F11" i="5"/>
  <c r="BI11" i="5" s="1"/>
  <c r="F15" i="5"/>
  <c r="BI15" i="5" s="1"/>
  <c r="F23" i="5"/>
  <c r="BI23" i="5" s="1"/>
  <c r="BH27" i="5"/>
  <c r="BI28" i="5"/>
  <c r="F31" i="5"/>
  <c r="BI31" i="5" s="1"/>
  <c r="BH35" i="5"/>
  <c r="BH31" i="5"/>
  <c r="BH19" i="5"/>
  <c r="F19" i="5"/>
  <c r="BI19" i="5" s="1"/>
  <c r="BH17" i="5"/>
  <c r="BH15" i="5"/>
  <c r="P38" i="4"/>
  <c r="J38" i="4"/>
  <c r="D38" i="4"/>
  <c r="BH11" i="5"/>
  <c r="BH13" i="5"/>
  <c r="F38" i="4"/>
  <c r="H38" i="4"/>
  <c r="BH29" i="5"/>
  <c r="F13" i="5"/>
  <c r="BI13" i="5" s="1"/>
  <c r="F17" i="5"/>
  <c r="BI17" i="5" s="1"/>
  <c r="BH24" i="5"/>
  <c r="BH28" i="5"/>
  <c r="S16" i="4"/>
  <c r="L38" i="4"/>
  <c r="AK8" i="3"/>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H33" i="8" l="1"/>
  <c r="G40" i="9" l="1"/>
  <c r="G39" i="9"/>
  <c r="G38" i="9"/>
  <c r="G37" i="9"/>
  <c r="G36" i="9"/>
  <c r="G35" i="9"/>
  <c r="G20" i="9"/>
  <c r="G19" i="9"/>
  <c r="G18" i="9"/>
  <c r="G17" i="9"/>
  <c r="G16" i="9"/>
  <c r="G15" i="9"/>
  <c r="N32" i="8" l="1"/>
  <c r="G41" i="9"/>
  <c r="H14" i="9"/>
  <c r="G14" i="9"/>
  <c r="H13" i="9"/>
  <c r="G13" i="9"/>
  <c r="H12" i="9"/>
  <c r="G12" i="9"/>
  <c r="H11" i="9"/>
  <c r="G11" i="9"/>
  <c r="H10" i="9"/>
  <c r="G10" i="9"/>
  <c r="N33" i="8" l="1"/>
  <c r="K32" i="10" s="1"/>
  <c r="K31" i="10"/>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O32" i="8" l="1"/>
  <c r="L31" i="10" s="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J18" i="1" l="1"/>
  <c r="E32" i="1"/>
  <c r="J30" i="1"/>
  <c r="H4" i="8"/>
  <c r="I31" i="6"/>
  <c r="J31" i="1"/>
  <c r="G31" i="1"/>
  <c r="H31" i="1" s="1"/>
  <c r="G30" i="1"/>
  <c r="H30" i="1" s="1"/>
  <c r="G31" i="6"/>
  <c r="I30" i="6"/>
  <c r="H3" i="8"/>
  <c r="E31" i="1"/>
  <c r="E31" i="6"/>
  <c r="E30" i="6"/>
  <c r="E30" i="1"/>
  <c r="J23" i="1" l="1"/>
  <c r="J19" i="1"/>
  <c r="J20" i="8"/>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alcChain>
</file>

<file path=xl/sharedStrings.xml><?xml version="1.0" encoding="utf-8"?>
<sst xmlns="http://schemas.openxmlformats.org/spreadsheetml/2006/main" count="1419" uniqueCount="403">
  <si>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</si>
  <si>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</si>
  <si>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</si>
  <si>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</si>
  <si>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</si>
  <si>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</si>
  <si>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</si>
  <si>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</si>
  <si>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</si>
  <si>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</si>
  <si>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</si>
  <si>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</si>
  <si>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</si>
  <si>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</si>
  <si>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</si>
  <si>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</si>
  <si>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</si>
  <si>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</si>
  <si>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</si>
  <si>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</si>
  <si>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</si>
  <si>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</si>
  <si>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</si>
  <si>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</si>
  <si>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</si>
  <si>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</si>
  <si>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</si>
  <si>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</si>
  <si>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</si>
  <si>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</si>
  <si>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</si>
  <si>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</si>
  <si>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</si>
  <si>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</si>
  <si>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</si>
  <si>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</si>
  <si>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</si>
  <si>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</si>
  <si>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</si>
  <si>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</si>
  <si>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</si>
  <si>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</si>
  <si>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</si>
  <si>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</si>
  <si>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</si>
  <si>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</si>
  <si>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</si>
  <si>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</si>
  <si>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</si>
  <si>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</si>
  <si>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</si>
  <si>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</si>
  <si>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</si>
  <si>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</si>
  <si>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</si>
  <si>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</si>
  <si>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</si>
  <si>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</si>
  <si>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</si>
  <si>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</si>
  <si>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</si>
  <si>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</si>
  <si>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</si>
  <si>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</si>
  <si>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</si>
  <si>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</si>
  <si>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</si>
  <si>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</si>
  <si>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</si>
  <si>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</si>
  <si>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</si>
  <si>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</si>
  <si>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</si>
  <si>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</si>
  <si>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</si>
  <si>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</si>
  <si>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</si>
  <si>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</si>
  <si>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</si>
  <si>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</si>
  <si>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</si>
  <si>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</si>
  <si>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</si>
  <si>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</si>
  <si>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</si>
  <si>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</si>
  <si>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</si>
  <si>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</si>
  <si>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</si>
  <si>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</si>
  <si>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</si>
  <si>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</si>
  <si>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</si>
  <si>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</si>
  <si>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</si>
  <si>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</si>
  <si>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</si>
  <si>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</si>
  <si>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</si>
  <si>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</si>
  <si>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</si>
  <si>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</si>
  <si>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</si>
  <si>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</si>
  <si>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</si>
  <si>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</si>
  <si>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</si>
  <si>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</si>
  <si>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</si>
  <si>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</si>
  <si>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</si>
  <si>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</si>
  <si>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</si>
  <si>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</si>
  <si>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</si>
  <si>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</si>
  <si>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</si>
  <si>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</si>
  <si>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</si>
  <si>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</si>
  <si>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</si>
  <si>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</si>
  <si>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</si>
  <si>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</si>
  <si>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</si>
  <si>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</si>
  <si>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</si>
  <si>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</si>
  <si>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</si>
  <si>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</si>
  <si>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</si>
  <si>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</si>
  <si>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</si>
  <si>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</si>
  <si>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</si>
  <si>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</si>
  <si>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</si>
  <si>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</si>
  <si>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</si>
  <si>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</si>
  <si>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</si>
  <si>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</si>
  <si>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</si>
  <si>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</si>
  <si>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</si>
  <si>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</si>
  <si>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</si>
  <si>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</si>
  <si>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</si>
  <si>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</si>
  <si>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</si>
  <si>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</si>
  <si>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</si>
  <si>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</si>
  <si>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</si>
  <si>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</si>
  <si>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</si>
  <si>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</si>
  <si>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</si>
  <si>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</si>
  <si>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</si>
  <si>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</si>
  <si>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</si>
  <si>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</si>
  <si>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</si>
  <si>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</si>
  <si>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</si>
  <si>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</si>
  <si>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</si>
  <si>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</si>
  <si>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</si>
  <si>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</si>
  <si>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</si>
  <si>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</si>
  <si>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</si>
  <si>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</si>
  <si>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</si>
  <si>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</si>
  <si>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</si>
  <si>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</si>
  <si>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</si>
  <si>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</si>
  <si>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</si>
  <si>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</si>
  <si>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</si>
  <si>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</si>
  <si>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</si>
  <si>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</si>
  <si>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</si>
  <si>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</si>
  <si>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</si>
  <si>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</si>
  <si>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</si>
  <si>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</si>
  <si>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</si>
  <si>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</si>
  <si>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</si>
  <si>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</si>
  <si>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</si>
  <si>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</si>
  <si>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</si>
  <si>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</si>
  <si>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</si>
  <si>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</si>
  <si>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</si>
  <si>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</si>
  <si>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</si>
  <si>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</si>
  <si>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</si>
  <si>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</si>
  <si>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</si>
  <si>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</si>
  <si>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</si>
  <si>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</si>
  <si>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</si>
  <si>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</si>
  <si>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</si>
  <si>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</si>
  <si>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</si>
  <si>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</si>
  <si>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</si>
  <si>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</si>
  <si>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</si>
  <si>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</si>
  <si>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</si>
  <si>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</si>
  <si>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</si>
  <si>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</si>
  <si>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</si>
  <si>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</si>
  <si>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</si>
  <si>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</si>
  <si>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</si>
  <si>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</si>
  <si>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</si>
  <si>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</si>
  <si>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</si>
  <si>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</si>
  <si>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</si>
  <si>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</si>
  <si>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</si>
  <si>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</si>
  <si>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</si>
  <si>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</si>
  <si>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</si>
  <si>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</si>
  <si>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</si>
  <si>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</si>
  <si>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</si>
  <si>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</si>
  <si>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</si>
  <si>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</si>
  <si>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</si>
  <si>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</si>
  <si>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</si>
  <si>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</si>
  <si>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</si>
  <si>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</si>
  <si>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</si>
  <si>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</si>
  <si>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</si>
  <si>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</si>
  <si>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</si>
  <si>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</si>
  <si>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</si>
  <si>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</si>
  <si>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</si>
  <si>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</si>
  <si>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</si>
  <si>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</si>
  <si>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</si>
  <si>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</si>
  <si>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</si>
  <si>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</si>
  <si>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</si>
  <si>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</si>
  <si>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</si>
  <si>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</si>
  <si>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</si>
  <si>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</si>
  <si>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</si>
  <si>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</si>
  <si>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</si>
  <si>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</si>
  <si>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</si>
  <si>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</si>
  <si>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</si>
  <si>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</si>
  <si>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</si>
  <si>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</si>
  <si>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</si>
  <si>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</si>
  <si>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</si>
  <si>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</si>
  <si>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</si>
  <si>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</si>
  <si>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</si>
  <si>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</si>
  <si>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</si>
  <si>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</si>
  <si>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</si>
  <si>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</si>
  <si>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</si>
  <si>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</si>
  <si>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</si>
  <si>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</si>
  <si>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</si>
  <si>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</si>
  <si>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</si>
  <si>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</si>
  <si>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</si>
  <si>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</si>
  <si>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</si>
  <si>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</si>
  <si>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</si>
  <si>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</si>
  <si>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</si>
  <si>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</si>
  <si>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</si>
  <si>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</si>
  <si>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</si>
  <si>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</si>
  <si>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</si>
  <si>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</si>
  <si>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</si>
  <si>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</si>
  <si>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</si>
  <si>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</si>
  <si>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</si>
  <si>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</si>
  <si>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</si>
  <si>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</si>
  <si>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</si>
  <si>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</si>
  <si>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</si>
  <si>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</si>
  <si>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</si>
  <si>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</si>
  <si>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</si>
  <si>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</si>
  <si>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</si>
  <si>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</si>
  <si>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</si>
  <si>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</si>
  <si>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</si>
  <si>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</si>
  <si>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</si>
  <si>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</si>
  <si>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</si>
  <si>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</si>
  <si>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</si>
  <si>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</si>
  <si>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</si>
  <si>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</si>
  <si>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</si>
  <si>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</si>
  <si>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</si>
  <si>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</si>
  <si>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</si>
  <si>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</si>
  <si>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</si>
  <si>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</si>
  <si>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</si>
  <si>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</si>
  <si>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</si>
  <si>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</si>
  <si>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</si>
  <si>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</si>
  <si>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</si>
  <si>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</si>
  <si>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</si>
  <si>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</si>
  <si>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</si>
  <si>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</si>
  <si>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</si>
  <si>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</si>
  <si>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</si>
  <si>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</si>
  <si>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</si>
  <si>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</si>
  <si>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</si>
  <si>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</si>
  <si>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</si>
  <si>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</si>
  <si>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</si>
  <si>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</si>
  <si>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</si>
  <si>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</si>
  <si>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</si>
  <si>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</si>
  <si>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</si>
  <si>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</si>
  <si>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</si>
  <si>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</si>
  <si>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</si>
  <si>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</si>
  <si>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</si>
  <si>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</si>
  <si>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</si>
  <si>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</si>
  <si>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</si>
  <si>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</si>
  <si>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September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</si>
</sst>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5">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22" fillId="4" borderId="2" xfId="0" applyNumberFormat="1" applyFont="1" applyFill="1" applyBorder="1" applyAlignment="1" applyProtection="1">
      <alignment horizontal="center" vertical="center"/>
      <protection locked="0"/>
    </xf>
    <xf numFmtId="1" fontId="22" fillId="4" borderId="2" xfId="0" applyNumberFormat="1" applyFont="1" applyFill="1" applyBorder="1" applyAlignment="1" applyProtection="1">
      <alignment horizontal="center" vertical="center"/>
      <protection locked="0"/>
    </xf>
    <xf numFmtId="0" fontId="50" fillId="0" borderId="0" xfId="0" applyFont="1" applyFill="1" applyBorder="1" applyAlignment="1" applyProtection="1">
      <alignment horizontal="center" vertical="center"/>
      <protection locked="0"/>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abSelected="1" workbookViewId="0">
      <selection activeCell="J2" sqref="J2:J3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9" t="s">
        <v>3</v>
      </c>
      <c r="B1" s="179" t="s">
        <v>4</v>
      </c>
      <c r="C1" s="180" t="s">
        <v>5</v>
      </c>
      <c r="D1" s="179" t="s">
        <v>63</v>
      </c>
      <c r="E1" s="181" t="s">
        <v>394</v>
      </c>
      <c r="F1" s="182" t="s">
        <v>395</v>
      </c>
      <c r="G1" s="181" t="s">
        <v>401</v>
      </c>
      <c r="H1" s="182" t="s">
        <v>396</v>
      </c>
      <c r="I1" s="181" t="s">
        <v>397</v>
      </c>
      <c r="J1" s="183" t="s">
        <v>398</v>
      </c>
      <c r="K1" s="181" t="s">
        <v>399</v>
      </c>
      <c r="L1" s="181" t="s">
        <v>62</v>
      </c>
    </row>
    <row r="2" spans="1:12">
      <c r="A2" s="184" t="s">
        <v>400</v>
      </c>
      <c r="B2" s="185">
        <v>1</v>
      </c>
      <c r="C2" s="186">
        <v>9</v>
      </c>
      <c r="D2" s="185">
        <v>2022</v>
      </c>
      <c r="E2" s="117">
        <f>Combine!G3</f>
        <v>49360</v>
      </c>
      <c r="F2" s="187">
        <v>1.7178356307898033</v>
      </c>
      <c r="G2" s="117">
        <f>Combine!M3</f>
        <v>2927.7389277389279</v>
      </c>
      <c r="H2" s="188">
        <v>10.0185</v>
      </c>
      <c r="I2" s="117">
        <f>Combine!J3</f>
        <v>503.375</v>
      </c>
      <c r="J2" s="187">
        <v>8.2863635765972266</v>
      </c>
      <c r="K2" s="117">
        <f>Combine!N3</f>
        <v>143</v>
      </c>
      <c r="L2" s="117">
        <f>Combine!O3</f>
        <v>261</v>
      </c>
    </row>
    <row r="3" spans="1:12">
      <c r="A3" s="184" t="s">
        <v>400</v>
      </c>
      <c r="B3" s="185">
        <v>2</v>
      </c>
      <c r="C3" s="186">
        <v>9</v>
      </c>
      <c r="D3" s="185">
        <v>2022</v>
      </c>
      <c r="E3" s="117">
        <f>Combine!G4</f>
        <v>48895</v>
      </c>
      <c r="F3" s="187">
        <v>1.7178356307898033</v>
      </c>
      <c r="G3" s="117">
        <f>Combine!M4</f>
        <v>2864.3356643356642</v>
      </c>
      <c r="H3" s="188">
        <v>10.0185</v>
      </c>
      <c r="I3" s="117">
        <f>Combine!J4</f>
        <v>472.828125</v>
      </c>
      <c r="J3" s="187">
        <v>8.2863635765972266</v>
      </c>
      <c r="K3" s="117">
        <f>Combine!N4</f>
        <v>172</v>
      </c>
      <c r="L3" s="117">
        <f>Combine!O4</f>
        <v>337</v>
      </c>
    </row>
    <row r="4" spans="1:12">
      <c r="A4" s="184" t="s">
        <v>400</v>
      </c>
      <c r="B4" s="185">
        <v>3</v>
      </c>
      <c r="C4" s="186">
        <v>9</v>
      </c>
      <c r="D4" s="185">
        <v>2022</v>
      </c>
      <c r="E4" s="117">
        <f>Combine!G5</f>
        <v>46965</v>
      </c>
      <c r="F4" s="187">
        <v>1.7178356307898033</v>
      </c>
      <c r="G4" s="117">
        <f>Combine!M5</f>
        <v>3239.7824397824397</v>
      </c>
      <c r="H4" s="188">
        <v>10.0185</v>
      </c>
      <c r="I4" s="117">
        <f>Combine!J5</f>
        <v>532.474609375</v>
      </c>
      <c r="J4" s="187">
        <v>8.2863635765972266</v>
      </c>
      <c r="K4" s="117">
        <f>Combine!N5</f>
        <v>182</v>
      </c>
      <c r="L4" s="117">
        <f>Combine!O5</f>
        <v>371</v>
      </c>
    </row>
    <row r="5" spans="1:12">
      <c r="A5" s="184" t="s">
        <v>400</v>
      </c>
      <c r="B5" s="185">
        <v>4</v>
      </c>
      <c r="C5" s="186">
        <v>9</v>
      </c>
      <c r="D5" s="185">
        <v>2022</v>
      </c>
      <c r="E5" s="117">
        <f>Combine!G6</f>
        <v>45600</v>
      </c>
      <c r="F5" s="187">
        <v>1.7178356307898033</v>
      </c>
      <c r="G5" s="117">
        <f>Combine!M6</f>
        <v>3088.8578088578088</v>
      </c>
      <c r="H5" s="188">
        <v>10.0185</v>
      </c>
      <c r="I5" s="117">
        <f>Combine!J6</f>
        <v>521.040283203125</v>
      </c>
      <c r="J5" s="187">
        <v>8.2863635765972266</v>
      </c>
      <c r="K5" s="117">
        <f>Combine!N6</f>
        <v>121</v>
      </c>
      <c r="L5" s="117">
        <f>Combine!O6</f>
        <v>224</v>
      </c>
    </row>
    <row r="6" spans="1:12">
      <c r="A6" s="184" t="s">
        <v>400</v>
      </c>
      <c r="B6" s="185">
        <v>5</v>
      </c>
      <c r="C6" s="186">
        <v>9</v>
      </c>
      <c r="D6" s="185">
        <v>2022</v>
      </c>
      <c r="E6" s="117">
        <f>Combine!G7</f>
        <v>46765</v>
      </c>
      <c r="F6" s="187">
        <v>1.7178356307898033</v>
      </c>
      <c r="G6" s="117">
        <f>Combine!M7</f>
        <v>3043.6052836052836</v>
      </c>
      <c r="H6" s="188">
        <v>10.0185</v>
      </c>
      <c r="I6" s="117">
        <f>Combine!J7</f>
        <v>487.16024780273438</v>
      </c>
      <c r="J6" s="187">
        <v>8.2863635765972266</v>
      </c>
      <c r="K6" s="117">
        <f>Combine!N7</f>
        <v>113</v>
      </c>
      <c r="L6" s="117">
        <f>Combine!O7</f>
        <v>199</v>
      </c>
    </row>
    <row r="7" spans="1:12">
      <c r="A7" s="184" t="s">
        <v>400</v>
      </c>
      <c r="B7" s="185">
        <v>6</v>
      </c>
      <c r="C7" s="186">
        <v>9</v>
      </c>
      <c r="D7" s="185">
        <v>2022</v>
      </c>
      <c r="E7" s="117">
        <f>Combine!G8</f>
        <v>47800</v>
      </c>
      <c r="F7" s="187">
        <v>1.7178356307898033</v>
      </c>
      <c r="G7" s="117">
        <f>Combine!M8</f>
        <v>2981.1965811965811</v>
      </c>
      <c r="H7" s="188">
        <v>10.0185</v>
      </c>
      <c r="I7" s="117">
        <f>Combine!J8</f>
        <v>416.89021682739258</v>
      </c>
      <c r="J7" s="187">
        <v>8.2863635765972266</v>
      </c>
      <c r="K7" s="117">
        <f>Combine!N8</f>
        <v>102</v>
      </c>
      <c r="L7" s="117">
        <f>Combine!O8</f>
        <v>175</v>
      </c>
    </row>
    <row r="8" spans="1:12">
      <c r="A8" s="184" t="s">
        <v>400</v>
      </c>
      <c r="B8" s="185">
        <v>7</v>
      </c>
      <c r="C8" s="186">
        <v>9</v>
      </c>
      <c r="D8" s="185">
        <v>2022</v>
      </c>
      <c r="E8" s="117">
        <f>Combine!G9</f>
        <v>48390</v>
      </c>
      <c r="F8" s="187">
        <v>1.7178356307898033</v>
      </c>
      <c r="G8" s="117">
        <f>Combine!M9</f>
        <v>2934.9494949494947</v>
      </c>
      <c r="H8" s="188">
        <v>10.0185</v>
      </c>
      <c r="I8" s="117">
        <f>Combine!J9</f>
        <v>417.65393972396851</v>
      </c>
      <c r="J8" s="187">
        <v>8.2863635765972266</v>
      </c>
      <c r="K8" s="117">
        <f>Combine!N9</f>
        <v>99</v>
      </c>
      <c r="L8" s="117">
        <f>Combine!O9</f>
        <v>165</v>
      </c>
    </row>
    <row r="9" spans="1:12">
      <c r="A9" s="184" t="s">
        <v>400</v>
      </c>
      <c r="B9" s="185">
        <v>8</v>
      </c>
      <c r="C9" s="186">
        <v>9</v>
      </c>
      <c r="D9" s="185">
        <v>2022</v>
      </c>
      <c r="E9" s="117">
        <f>Combine!G10</f>
        <v>48680</v>
      </c>
      <c r="F9" s="187">
        <v>1.7178356307898033</v>
      </c>
      <c r="G9" s="117">
        <f>Combine!M10</f>
        <v>3011.2820512820513</v>
      </c>
      <c r="H9" s="188">
        <v>10.0185</v>
      </c>
      <c r="I9" s="117">
        <f>Combine!J10</f>
        <v>405.57757806777954</v>
      </c>
      <c r="J9" s="187">
        <v>8.2863635765972266</v>
      </c>
      <c r="K9" s="117">
        <f>Combine!N10</f>
        <v>129</v>
      </c>
      <c r="L9" s="117">
        <f>Combine!O10</f>
        <v>228</v>
      </c>
    </row>
    <row r="10" spans="1:12">
      <c r="A10" s="184" t="s">
        <v>400</v>
      </c>
      <c r="B10" s="185">
        <v>9</v>
      </c>
      <c r="C10" s="186">
        <v>9</v>
      </c>
      <c r="D10" s="185">
        <v>2022</v>
      </c>
      <c r="E10" s="117">
        <f>Combine!G11</f>
        <v>46290</v>
      </c>
      <c r="F10" s="187">
        <v>1.7178356307898033</v>
      </c>
      <c r="G10" s="117">
        <f>Combine!M11</f>
        <v>2922.0202020202019</v>
      </c>
      <c r="H10" s="188">
        <v>10.0185</v>
      </c>
      <c r="I10" s="117">
        <f>Combine!J11</f>
        <v>408</v>
      </c>
      <c r="J10" s="187">
        <v>8.2863635765972266</v>
      </c>
      <c r="K10" s="117">
        <f>Combine!N11</f>
        <v>152</v>
      </c>
      <c r="L10" s="117">
        <f>Combine!O11</f>
        <v>294</v>
      </c>
    </row>
    <row r="11" spans="1:12">
      <c r="A11" s="184" t="s">
        <v>400</v>
      </c>
      <c r="B11" s="185">
        <v>10</v>
      </c>
      <c r="C11" s="186">
        <v>9</v>
      </c>
      <c r="D11" s="185">
        <v>2022</v>
      </c>
      <c r="E11" s="117">
        <f>Combine!G12</f>
        <v>51030</v>
      </c>
      <c r="F11" s="187">
        <v>1.7178356307898033</v>
      </c>
      <c r="G11" s="117">
        <f>Combine!M12</f>
        <v>3030.9246309246309</v>
      </c>
      <c r="H11" s="188">
        <v>10.0185</v>
      </c>
      <c r="I11" s="117">
        <f>Combine!J12</f>
        <v>481</v>
      </c>
      <c r="J11" s="187">
        <v>8.2863635765972266</v>
      </c>
      <c r="K11" s="117">
        <f>Combine!N12</f>
        <v>192</v>
      </c>
      <c r="L11" s="117">
        <f>Combine!O12</f>
        <v>395</v>
      </c>
    </row>
    <row r="12" spans="1:12">
      <c r="A12" s="184" t="s">
        <v>400</v>
      </c>
      <c r="B12" s="185">
        <v>11</v>
      </c>
      <c r="C12" s="186">
        <v>9</v>
      </c>
      <c r="D12" s="185">
        <v>2022</v>
      </c>
      <c r="E12" s="117">
        <f>Combine!G13</f>
        <v>52700</v>
      </c>
      <c r="F12" s="187">
        <v>1.7178356307898033</v>
      </c>
      <c r="G12" s="117">
        <f>Combine!M13</f>
        <v>3242.2688422688425</v>
      </c>
      <c r="H12" s="188">
        <v>10.0185</v>
      </c>
      <c r="I12" s="117">
        <f>Combine!J13</f>
        <v>530</v>
      </c>
      <c r="J12" s="187">
        <v>8.2863635765972266</v>
      </c>
      <c r="K12" s="117">
        <f>Combine!N13</f>
        <v>297</v>
      </c>
      <c r="L12" s="117">
        <f>Combine!O13</f>
        <v>637</v>
      </c>
    </row>
    <row r="13" spans="1:12">
      <c r="A13" s="184" t="s">
        <v>400</v>
      </c>
      <c r="B13" s="185">
        <v>12</v>
      </c>
      <c r="C13" s="186">
        <v>9</v>
      </c>
      <c r="D13" s="185">
        <v>2022</v>
      </c>
      <c r="E13" s="117">
        <f>Combine!G14</f>
        <v>49395</v>
      </c>
      <c r="F13" s="187">
        <v>1.7178356307898033</v>
      </c>
      <c r="G13" s="117">
        <f>Combine!M14</f>
        <v>3224.6153846153843</v>
      </c>
      <c r="H13" s="188">
        <v>10.0185</v>
      </c>
      <c r="I13" s="117">
        <f>Combine!J14</f>
        <v>573</v>
      </c>
      <c r="J13" s="187">
        <v>8.2863635765972266</v>
      </c>
      <c r="K13" s="117">
        <f>Combine!N14</f>
        <v>144</v>
      </c>
      <c r="L13" s="117">
        <f>Combine!O14</f>
        <v>271</v>
      </c>
    </row>
    <row r="14" spans="1:12">
      <c r="A14" s="184" t="s">
        <v>400</v>
      </c>
      <c r="B14" s="185">
        <v>13</v>
      </c>
      <c r="C14" s="186">
        <v>9</v>
      </c>
      <c r="D14" s="185">
        <v>2022</v>
      </c>
      <c r="E14" s="117">
        <f>Combine!G15</f>
        <v>51105</v>
      </c>
      <c r="F14" s="187">
        <v>1.7178356307898033</v>
      </c>
      <c r="G14" s="117">
        <f>Combine!M15</f>
        <v>3205.4700854700855</v>
      </c>
      <c r="H14" s="188">
        <v>10.0185</v>
      </c>
      <c r="I14" s="117">
        <f>Combine!J15</f>
        <v>493</v>
      </c>
      <c r="J14" s="187">
        <v>8.2863635765972266</v>
      </c>
      <c r="K14" s="117">
        <f>Combine!N15</f>
        <v>130</v>
      </c>
      <c r="L14" s="117">
        <f>Combine!O15</f>
        <v>230</v>
      </c>
    </row>
    <row r="15" spans="1:12">
      <c r="A15" s="184" t="s">
        <v>400</v>
      </c>
      <c r="B15" s="185">
        <v>14</v>
      </c>
      <c r="C15" s="186">
        <v>9</v>
      </c>
      <c r="D15" s="185">
        <v>2022</v>
      </c>
      <c r="E15" s="117">
        <f>Combine!G16</f>
        <v>45770</v>
      </c>
      <c r="F15" s="187">
        <v>1.7178356307898033</v>
      </c>
      <c r="G15" s="117">
        <f>Combine!M16</f>
        <v>2956.556332556333</v>
      </c>
      <c r="H15" s="188">
        <v>10.0185</v>
      </c>
      <c r="I15" s="117">
        <f>Combine!J16</f>
        <v>461</v>
      </c>
      <c r="J15" s="187">
        <v>8.2863635765972266</v>
      </c>
      <c r="K15" s="117">
        <f>Combine!N16</f>
        <v>118</v>
      </c>
      <c r="L15" s="117">
        <f>Combine!O16</f>
        <v>203</v>
      </c>
    </row>
    <row r="16" spans="1:12">
      <c r="A16" s="184" t="s">
        <v>400</v>
      </c>
      <c r="B16" s="185">
        <v>15</v>
      </c>
      <c r="C16" s="186">
        <v>9</v>
      </c>
      <c r="D16" s="185">
        <v>2022</v>
      </c>
      <c r="E16" s="117">
        <f>Combine!G17</f>
        <v>46645</v>
      </c>
      <c r="F16" s="187">
        <v>1.7178356307898033</v>
      </c>
      <c r="G16" s="117">
        <f>Combine!M17</f>
        <v>2899.0135198135195</v>
      </c>
      <c r="H16" s="188">
        <v>10.0185</v>
      </c>
      <c r="I16" s="117">
        <f>Combine!J17</f>
        <v>446</v>
      </c>
      <c r="J16" s="187">
        <v>8.2863635765972266</v>
      </c>
      <c r="K16" s="117">
        <f>Combine!N17</f>
        <v>148</v>
      </c>
      <c r="L16" s="117">
        <f>Combine!O17</f>
        <v>266</v>
      </c>
    </row>
    <row r="17" spans="1:12">
      <c r="A17" s="184" t="s">
        <v>400</v>
      </c>
      <c r="B17" s="185">
        <v>16</v>
      </c>
      <c r="C17" s="186">
        <v>9</v>
      </c>
      <c r="D17" s="185">
        <v>2022</v>
      </c>
      <c r="E17" s="117">
        <f>Combine!G18</f>
        <v>50535</v>
      </c>
      <c r="F17" s="187">
        <v>1.7178356307898033</v>
      </c>
      <c r="G17" s="117">
        <f>Combine!M18</f>
        <v>3263.0377622377619</v>
      </c>
      <c r="H17" s="188">
        <v>10.0185</v>
      </c>
      <c r="I17" s="117">
        <f>Combine!J18</f>
        <v>436</v>
      </c>
      <c r="J17" s="187">
        <v>8.2863635765972266</v>
      </c>
      <c r="K17" s="117">
        <f>Combine!N18</f>
        <v>135</v>
      </c>
      <c r="L17" s="117">
        <f>Combine!O18</f>
        <v>250</v>
      </c>
    </row>
    <row r="18" spans="1:12">
      <c r="A18" s="184" t="s">
        <v>400</v>
      </c>
      <c r="B18" s="185">
        <v>17</v>
      </c>
      <c r="C18" s="186">
        <v>9</v>
      </c>
      <c r="D18" s="185">
        <v>2022</v>
      </c>
      <c r="E18" s="117">
        <f>Combine!G19</f>
        <v>53825</v>
      </c>
      <c r="F18" s="187">
        <v>1.7178356307898033</v>
      </c>
      <c r="G18" s="117">
        <f>Combine!M19</f>
        <v>2720.1168609168622</v>
      </c>
      <c r="H18" s="188">
        <v>10.0185</v>
      </c>
      <c r="I18" s="117">
        <f>Combine!J19</f>
        <v>472</v>
      </c>
      <c r="J18" s="187">
        <v>8.2863635765972266</v>
      </c>
      <c r="K18" s="117">
        <f>Combine!N19</f>
        <v>229</v>
      </c>
      <c r="L18" s="117">
        <f>Combine!O19</f>
        <v>481</v>
      </c>
    </row>
    <row r="19" spans="1:12">
      <c r="A19" s="184" t="s">
        <v>400</v>
      </c>
      <c r="B19" s="185">
        <v>18</v>
      </c>
      <c r="C19" s="186">
        <v>9</v>
      </c>
      <c r="D19" s="185">
        <v>2022</v>
      </c>
      <c r="E19" s="117">
        <f>Combine!G20</f>
        <v>54730</v>
      </c>
      <c r="F19" s="187">
        <v>1.7178356307898033</v>
      </c>
      <c r="G19" s="117">
        <f>Combine!M20</f>
        <v>3699.9608391608381</v>
      </c>
      <c r="H19" s="188">
        <v>10.0185</v>
      </c>
      <c r="I19" s="117">
        <f>Combine!J20</f>
        <v>555</v>
      </c>
      <c r="J19" s="187">
        <v>8.2863635765972266</v>
      </c>
      <c r="K19" s="117">
        <f>Combine!N20</f>
        <v>149</v>
      </c>
      <c r="L19" s="117">
        <f>Combine!O20</f>
        <v>282</v>
      </c>
    </row>
    <row r="20" spans="1:12">
      <c r="A20" s="184" t="s">
        <v>400</v>
      </c>
      <c r="B20" s="185">
        <v>19</v>
      </c>
      <c r="C20" s="186">
        <v>9</v>
      </c>
      <c r="D20" s="185">
        <v>2022</v>
      </c>
      <c r="E20" s="117">
        <f>Combine!G21</f>
        <v>67275</v>
      </c>
      <c r="F20" s="187">
        <v>1.7178356307898033</v>
      </c>
      <c r="G20" s="117">
        <f>Combine!M21</f>
        <v>2714.2439782439787</v>
      </c>
      <c r="H20" s="188">
        <v>10.0185</v>
      </c>
      <c r="I20" s="117">
        <f>Combine!J21</f>
        <v>535</v>
      </c>
      <c r="J20" s="187">
        <v>8.2863635765972266</v>
      </c>
      <c r="K20" s="117">
        <f>Combine!N21</f>
        <v>118</v>
      </c>
      <c r="L20" s="117">
        <f>Combine!O21</f>
        <v>205</v>
      </c>
    </row>
    <row r="21" spans="1:12">
      <c r="A21" s="184" t="s">
        <v>400</v>
      </c>
      <c r="B21" s="185">
        <v>20</v>
      </c>
      <c r="C21" s="186">
        <v>9</v>
      </c>
      <c r="D21" s="185">
        <v>2022</v>
      </c>
      <c r="E21" s="117">
        <f>Combine!G22</f>
        <v>29790</v>
      </c>
      <c r="F21" s="187">
        <v>1.7178356307898033</v>
      </c>
      <c r="G21" s="117">
        <f>Combine!M22</f>
        <v>2965.8057498057497</v>
      </c>
      <c r="H21" s="188">
        <v>10.0185</v>
      </c>
      <c r="I21" s="117">
        <f>Combine!J22</f>
        <v>400</v>
      </c>
      <c r="J21" s="187">
        <v>8.2863635765972266</v>
      </c>
      <c r="K21" s="117">
        <f>Combine!N22</f>
        <v>101</v>
      </c>
      <c r="L21" s="117">
        <f>Combine!O22</f>
        <v>174</v>
      </c>
    </row>
    <row r="22" spans="1:12">
      <c r="A22" s="184" t="s">
        <v>400</v>
      </c>
      <c r="B22" s="185">
        <v>21</v>
      </c>
      <c r="C22" s="186">
        <v>9</v>
      </c>
      <c r="D22" s="185">
        <v>2022</v>
      </c>
      <c r="E22" s="117">
        <f>Combine!G23</f>
        <v>46870</v>
      </c>
      <c r="F22" s="187">
        <v>1.7178356307898033</v>
      </c>
      <c r="G22" s="117">
        <f>Combine!M23</f>
        <v>2988.2331002331002</v>
      </c>
      <c r="H22" s="188">
        <v>10.0185</v>
      </c>
      <c r="I22" s="117">
        <f>Combine!J23</f>
        <v>420</v>
      </c>
      <c r="J22" s="187">
        <v>8.2863635765972266</v>
      </c>
      <c r="K22" s="117">
        <f>Combine!N23</f>
        <v>111</v>
      </c>
      <c r="L22" s="117">
        <f>Combine!O23</f>
        <v>192</v>
      </c>
    </row>
    <row r="23" spans="1:12">
      <c r="A23" s="184" t="s">
        <v>400</v>
      </c>
      <c r="B23" s="185">
        <v>22</v>
      </c>
      <c r="C23" s="186">
        <v>9</v>
      </c>
      <c r="D23" s="185">
        <v>2022</v>
      </c>
      <c r="E23" s="117">
        <f>Combine!G24</f>
        <v>47245</v>
      </c>
      <c r="F23" s="187">
        <v>1.7178356307898033</v>
      </c>
      <c r="G23" s="117">
        <f>Combine!M24</f>
        <v>2967.5213675213681</v>
      </c>
      <c r="H23" s="188">
        <v>10.0185</v>
      </c>
      <c r="I23" s="117">
        <f>Combine!J24</f>
        <v>416</v>
      </c>
      <c r="J23" s="187">
        <v>8.2863635765972266</v>
      </c>
      <c r="K23" s="117">
        <f>Combine!N24</f>
        <v>127</v>
      </c>
      <c r="L23" s="117">
        <f>Combine!O24</f>
        <v>231</v>
      </c>
    </row>
    <row r="24" spans="1:12">
      <c r="A24" s="184" t="s">
        <v>400</v>
      </c>
      <c r="B24" s="185">
        <v>23</v>
      </c>
      <c r="C24" s="186">
        <v>9</v>
      </c>
      <c r="D24" s="185">
        <v>2022</v>
      </c>
      <c r="E24" s="117">
        <f>Combine!G25</f>
        <v>50240</v>
      </c>
      <c r="F24" s="187">
        <v>1.7178356307898033</v>
      </c>
      <c r="G24" s="117">
        <f>Combine!M25</f>
        <v>2979.3939393939386</v>
      </c>
      <c r="H24" s="188">
        <v>10.0185</v>
      </c>
      <c r="I24" s="117">
        <f>Combine!J25</f>
        <v>447</v>
      </c>
      <c r="J24" s="187">
        <v>8.2863635765972266</v>
      </c>
      <c r="K24" s="117">
        <f>Combine!N25</f>
        <v>155</v>
      </c>
      <c r="L24" s="117">
        <f>Combine!O25</f>
        <v>301</v>
      </c>
    </row>
    <row r="25" spans="1:12">
      <c r="A25" s="184" t="s">
        <v>400</v>
      </c>
      <c r="B25" s="185">
        <v>24</v>
      </c>
      <c r="C25" s="186">
        <v>9</v>
      </c>
      <c r="D25" s="185">
        <v>2022</v>
      </c>
      <c r="E25" s="117">
        <f>Combine!G26</f>
        <v>49500</v>
      </c>
      <c r="F25" s="187">
        <v>1.7178356307898033</v>
      </c>
      <c r="G25" s="117">
        <f>Combine!M26</f>
        <v>2942.0854700854707</v>
      </c>
      <c r="H25" s="188">
        <v>10.0185</v>
      </c>
      <c r="I25" s="117">
        <f>Combine!J26</f>
        <v>478</v>
      </c>
      <c r="J25" s="187">
        <v>8.2863635765972266</v>
      </c>
      <c r="K25" s="117">
        <f>Combine!N26</f>
        <v>239</v>
      </c>
      <c r="L25" s="117">
        <f>Combine!O26</f>
        <v>501</v>
      </c>
    </row>
    <row r="26" spans="1:12">
      <c r="A26" s="184" t="s">
        <v>400</v>
      </c>
      <c r="B26" s="185">
        <v>25</v>
      </c>
      <c r="C26" s="186">
        <v>9</v>
      </c>
      <c r="D26" s="185">
        <v>2022</v>
      </c>
      <c r="E26" s="117">
        <f>Combine!G27</f>
        <v>48675</v>
      </c>
      <c r="F26" s="187">
        <v>1.7178356307898033</v>
      </c>
      <c r="G26" s="117">
        <f>Combine!M27</f>
        <v>3181.4874902874899</v>
      </c>
      <c r="H26" s="188">
        <v>10.0185</v>
      </c>
      <c r="I26" s="117">
        <f>Combine!J27</f>
        <v>554</v>
      </c>
      <c r="J26" s="187">
        <v>8.2863635765972266</v>
      </c>
      <c r="K26" s="117">
        <f>Combine!N27</f>
        <v>145</v>
      </c>
      <c r="L26" s="117">
        <f>Combine!O27</f>
        <v>270</v>
      </c>
    </row>
    <row r="27" spans="1:12">
      <c r="A27" s="184" t="s">
        <v>400</v>
      </c>
      <c r="B27" s="185">
        <v>26</v>
      </c>
      <c r="C27" s="186">
        <v>9</v>
      </c>
      <c r="D27" s="185">
        <v>2022</v>
      </c>
      <c r="E27" s="117">
        <f>Combine!G28</f>
        <v>47520</v>
      </c>
      <c r="F27" s="187">
        <v>1.7178356307898033</v>
      </c>
      <c r="G27" s="117">
        <f>Combine!M28</f>
        <v>2977.0604506604509</v>
      </c>
      <c r="H27" s="188">
        <v>10.0185</v>
      </c>
      <c r="I27" s="117">
        <f>Combine!J28</f>
        <v>488</v>
      </c>
      <c r="J27" s="187">
        <v>8.2863635765972266</v>
      </c>
      <c r="K27" s="117">
        <f>Combine!N28</f>
        <v>127</v>
      </c>
      <c r="L27" s="117">
        <f>Combine!O28</f>
        <v>218</v>
      </c>
    </row>
    <row r="28" spans="1:12">
      <c r="A28" s="184" t="s">
        <v>400</v>
      </c>
      <c r="B28" s="185">
        <v>27</v>
      </c>
      <c r="C28" s="186">
        <v>9</v>
      </c>
      <c r="D28" s="185">
        <v>2022</v>
      </c>
      <c r="E28" s="117">
        <f>Combine!G29</f>
        <v>51530</v>
      </c>
      <c r="F28" s="187">
        <v>1.7178356307898033</v>
      </c>
      <c r="G28" s="117">
        <f>Combine!M29</f>
        <v>3059.5779331779331</v>
      </c>
      <c r="H28" s="188">
        <v>10.0185</v>
      </c>
      <c r="I28" s="117">
        <f>Combine!J29</f>
        <v>410</v>
      </c>
      <c r="J28" s="187">
        <v>8.2863635765972266</v>
      </c>
      <c r="K28" s="117">
        <f>Combine!N29</f>
        <v>118</v>
      </c>
      <c r="L28" s="117">
        <f>Combine!O29</f>
        <v>198</v>
      </c>
    </row>
    <row r="29" spans="1:12">
      <c r="A29" s="184" t="s">
        <v>400</v>
      </c>
      <c r="B29" s="185">
        <v>28</v>
      </c>
      <c r="C29" s="186">
        <v>9</v>
      </c>
      <c r="D29" s="185">
        <v>2022</v>
      </c>
      <c r="E29" s="117">
        <f>Combine!G30</f>
        <v>46495</v>
      </c>
      <c r="F29" s="187">
        <v>1.7178356307898033</v>
      </c>
      <c r="G29" s="117">
        <f>Combine!M30</f>
        <v>2851.9036519036517</v>
      </c>
      <c r="H29" s="188">
        <v>10.0185</v>
      </c>
      <c r="I29" s="117">
        <f>Combine!J30</f>
        <v>408</v>
      </c>
      <c r="J29" s="187">
        <v>8.2863635765972266</v>
      </c>
      <c r="K29" s="117">
        <f>Combine!N30</f>
        <v>133</v>
      </c>
      <c r="L29" s="117">
        <f>Combine!O30</f>
        <v>233</v>
      </c>
    </row>
    <row r="30" spans="1:12">
      <c r="A30" s="184" t="s">
        <v>400</v>
      </c>
      <c r="B30" s="185">
        <v>29</v>
      </c>
      <c r="C30" s="186">
        <v>9</v>
      </c>
      <c r="D30" s="185">
        <v>2022</v>
      </c>
      <c r="E30" s="117">
        <f>Combine!G31</f>
        <v>48960</v>
      </c>
      <c r="F30" s="187">
        <v>1.7178356307898033</v>
      </c>
      <c r="G30" s="117">
        <f>Combine!M31</f>
        <v>2944.1491841491843</v>
      </c>
      <c r="H30" s="188">
        <v>10.0185</v>
      </c>
      <c r="I30" s="117">
        <f>Combine!J31</f>
        <v>424</v>
      </c>
      <c r="J30" s="187">
        <v>8.2863635765972266</v>
      </c>
      <c r="K30" s="117">
        <f>Combine!N31</f>
        <v>162</v>
      </c>
      <c r="L30" s="117">
        <f>Combine!O31</f>
        <v>295</v>
      </c>
    </row>
    <row r="31" spans="1:12">
      <c r="A31" s="184" t="s">
        <v>400</v>
      </c>
      <c r="B31" s="185">
        <v>30</v>
      </c>
      <c r="C31" s="186">
        <v>9</v>
      </c>
      <c r="D31" s="185">
        <v>2022</v>
      </c>
      <c r="E31" s="117">
        <f>Combine!G32</f>
        <v>48755</v>
      </c>
      <c r="F31" s="187">
        <v>1.7178356307898033</v>
      </c>
      <c r="G31" s="117">
        <f>Combine!M32</f>
        <v>2955.2348096348092</v>
      </c>
      <c r="H31" s="188">
        <v>10.0185</v>
      </c>
      <c r="I31" s="117">
        <f>Combine!J32</f>
        <v>458</v>
      </c>
      <c r="J31" s="187">
        <v>8.2863635765972266</v>
      </c>
      <c r="K31" s="117">
        <f>Combine!N32</f>
        <v>193</v>
      </c>
      <c r="L31" s="117">
        <f>Combine!O32</f>
        <v>373</v>
      </c>
    </row>
    <row r="32" spans="1:12">
      <c r="A32" s="184" t="s">
        <v>400</v>
      </c>
      <c r="B32" s="185"/>
      <c r="C32" s="186">
        <v>9</v>
      </c>
      <c r="D32" s="185">
        <v>2022</v>
      </c>
      <c r="E32" s="117">
        <f>Combine!G33</f>
        <v>0</v>
      </c>
      <c r="F32" s="187">
        <v>1.7178356307898033</v>
      </c>
      <c r="G32" s="117">
        <f>Combine!M33</f>
        <v>0</v>
      </c>
      <c r="H32" s="188">
        <v>10.0185</v>
      </c>
      <c r="I32" s="117">
        <f>Combine!J33</f>
        <v>0</v>
      </c>
      <c r="J32" s="187">
        <v>8.2863635765972266</v>
      </c>
      <c r="K32" s="117">
        <f>Combine!N33</f>
        <v>0</v>
      </c>
      <c r="L32" s="117">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G3" activePane="bottomRight" state="frozen"/>
      <selection activeCell="B1" sqref="B1"/>
      <selection pane="topRight" activeCell="E1" sqref="E1"/>
      <selection pane="bottomLeft" activeCell="B3" sqref="B3"/>
      <selection pane="bottomRight" activeCell="O14" sqref="O14"/>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3" t="s">
        <v>65</v>
      </c>
      <c r="O1" s="204"/>
      <c r="P1" s="205"/>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393</v>
      </c>
    </row>
    <row r="3" spans="1:17" ht="15.75">
      <c r="A3" s="7" t="s">
        <v>14</v>
      </c>
      <c r="B3" s="7">
        <v>1</v>
      </c>
      <c r="C3" s="7">
        <v>9</v>
      </c>
      <c r="D3" s="116">
        <v>2022</v>
      </c>
      <c r="E3" s="146">
        <f>'Athens Daily - EL'!AK8</f>
        <v>49360</v>
      </c>
      <c r="F3" s="148"/>
      <c r="G3" s="127">
        <f>SUM(E3,F3)</f>
        <v>49360</v>
      </c>
      <c r="H3" s="146">
        <f>'Athens Daily - Water'!R7</f>
        <v>503.375</v>
      </c>
      <c r="I3" s="117"/>
      <c r="J3" s="123">
        <f t="shared" ref="J3:J33" si="0">SUM(H3,I3)</f>
        <v>503.375</v>
      </c>
      <c r="K3" s="146">
        <f>'Athens Daily - Gas'!BH9</f>
        <v>113040</v>
      </c>
      <c r="L3" s="117"/>
      <c r="M3" s="127">
        <f>SUM(K3,L3)/38.61</f>
        <v>2927.7389277389279</v>
      </c>
      <c r="N3" s="155">
        <f>Occ!G10</f>
        <v>143</v>
      </c>
      <c r="O3" s="100">
        <f>Occ!H10</f>
        <v>261</v>
      </c>
      <c r="P3" s="154">
        <v>918</v>
      </c>
      <c r="Q3" s="163"/>
    </row>
    <row r="4" spans="1:17" ht="15.75">
      <c r="A4" s="7" t="s">
        <v>14</v>
      </c>
      <c r="B4" s="7">
        <v>2</v>
      </c>
      <c r="C4" s="7">
        <v>9</v>
      </c>
      <c r="D4" s="116">
        <v>2022</v>
      </c>
      <c r="E4" s="146">
        <f>'Athens Daily - EL'!AK9</f>
        <v>48895</v>
      </c>
      <c r="F4" s="148"/>
      <c r="G4" s="127">
        <f t="shared" ref="G4:G33" si="1">SUM(E4,F4)</f>
        <v>48895</v>
      </c>
      <c r="H4" s="146">
        <f>'Athens Daily - Water'!R8</f>
        <v>472.828125</v>
      </c>
      <c r="I4" s="117"/>
      <c r="J4" s="123">
        <f t="shared" si="0"/>
        <v>472.828125</v>
      </c>
      <c r="K4" s="146">
        <f>'Athens Daily - Gas'!BH10</f>
        <v>110592</v>
      </c>
      <c r="L4" s="117"/>
      <c r="M4" s="127">
        <f t="shared" ref="M4:M33" si="2">SUM(K4,L4)/38.61</f>
        <v>2864.3356643356642</v>
      </c>
      <c r="N4" s="155">
        <f>Occ!G11</f>
        <v>172</v>
      </c>
      <c r="O4" s="100">
        <f>Occ!H11</f>
        <v>337</v>
      </c>
      <c r="P4" s="154">
        <v>918</v>
      </c>
      <c r="Q4" s="163"/>
    </row>
    <row r="5" spans="1:17" ht="15.75">
      <c r="A5" s="7" t="s">
        <v>14</v>
      </c>
      <c r="B5" s="7">
        <v>3</v>
      </c>
      <c r="C5" s="7">
        <v>9</v>
      </c>
      <c r="D5" s="116">
        <v>2022</v>
      </c>
      <c r="E5" s="146">
        <f>'Athens Daily - EL'!AK10</f>
        <v>46965</v>
      </c>
      <c r="F5" s="148"/>
      <c r="G5" s="127">
        <f t="shared" si="1"/>
        <v>46965</v>
      </c>
      <c r="H5" s="146">
        <f>'Athens Daily - Water'!R9</f>
        <v>532.474609375</v>
      </c>
      <c r="I5" s="117"/>
      <c r="J5" s="123">
        <f t="shared" si="0"/>
        <v>532.474609375</v>
      </c>
      <c r="K5" s="146">
        <f>'Athens Daily - Gas'!BH11</f>
        <v>125088</v>
      </c>
      <c r="L5" s="117"/>
      <c r="M5" s="127">
        <f t="shared" si="2"/>
        <v>3239.7824397824397</v>
      </c>
      <c r="N5" s="155">
        <f>Occ!G12</f>
        <v>182</v>
      </c>
      <c r="O5" s="100">
        <f>Occ!H12</f>
        <v>371</v>
      </c>
      <c r="P5" s="154">
        <v>918</v>
      </c>
      <c r="Q5" s="163"/>
    </row>
    <row r="6" spans="1:17" ht="15.75">
      <c r="A6" s="7" t="s">
        <v>14</v>
      </c>
      <c r="B6" s="7">
        <v>4</v>
      </c>
      <c r="C6" s="7">
        <v>9</v>
      </c>
      <c r="D6" s="116">
        <v>2022</v>
      </c>
      <c r="E6" s="146">
        <f>'Athens Daily - EL'!AK11</f>
        <v>45600</v>
      </c>
      <c r="F6" s="148"/>
      <c r="G6" s="127">
        <f t="shared" si="1"/>
        <v>45600</v>
      </c>
      <c r="H6" s="146">
        <f>'Athens Daily - Water'!R10</f>
        <v>521.040283203125</v>
      </c>
      <c r="I6" s="117"/>
      <c r="J6" s="123">
        <f t="shared" si="0"/>
        <v>521.040283203125</v>
      </c>
      <c r="K6" s="146">
        <f>'Athens Daily - Gas'!BH12</f>
        <v>119260.79999999999</v>
      </c>
      <c r="L6" s="117"/>
      <c r="M6" s="127">
        <f t="shared" si="2"/>
        <v>3088.8578088578088</v>
      </c>
      <c r="N6" s="155">
        <f>Occ!G13</f>
        <v>121</v>
      </c>
      <c r="O6" s="100">
        <f>Occ!H13</f>
        <v>224</v>
      </c>
      <c r="P6" s="154">
        <v>918</v>
      </c>
      <c r="Q6" s="163"/>
    </row>
    <row r="7" spans="1:17" ht="15.75">
      <c r="A7" s="7" t="s">
        <v>14</v>
      </c>
      <c r="B7" s="7">
        <v>5</v>
      </c>
      <c r="C7" s="7">
        <v>9</v>
      </c>
      <c r="D7" s="116">
        <v>2022</v>
      </c>
      <c r="E7" s="146">
        <f>'Athens Daily - EL'!AK12</f>
        <v>46765</v>
      </c>
      <c r="F7" s="148"/>
      <c r="G7" s="127">
        <f t="shared" si="1"/>
        <v>46765</v>
      </c>
      <c r="H7" s="146">
        <f>'Athens Daily - Water'!R11</f>
        <v>487.16024780273438</v>
      </c>
      <c r="I7" s="117"/>
      <c r="J7" s="123">
        <f t="shared" si="0"/>
        <v>487.16024780273438</v>
      </c>
      <c r="K7" s="146">
        <f>'Athens Daily - Gas'!BH13</f>
        <v>117513.59999999999</v>
      </c>
      <c r="L7" s="117"/>
      <c r="M7" s="127">
        <f t="shared" si="2"/>
        <v>3043.6052836052836</v>
      </c>
      <c r="N7" s="155">
        <f>Occ!G14</f>
        <v>113</v>
      </c>
      <c r="O7" s="100">
        <f>Occ!H14</f>
        <v>199</v>
      </c>
      <c r="P7" s="154">
        <v>918</v>
      </c>
      <c r="Q7" s="163"/>
    </row>
    <row r="8" spans="1:17" ht="15.75">
      <c r="A8" s="7" t="s">
        <v>14</v>
      </c>
      <c r="B8" s="7">
        <v>6</v>
      </c>
      <c r="C8" s="7">
        <v>9</v>
      </c>
      <c r="D8" s="116">
        <v>2022</v>
      </c>
      <c r="E8" s="146">
        <f>'Athens Daily - EL'!AK13</f>
        <v>47800</v>
      </c>
      <c r="F8" s="148"/>
      <c r="G8" s="127">
        <f t="shared" si="1"/>
        <v>47800</v>
      </c>
      <c r="H8" s="146">
        <f>'Athens Daily - Water'!R12</f>
        <v>416.89021682739258</v>
      </c>
      <c r="I8" s="117"/>
      <c r="J8" s="123">
        <f t="shared" si="0"/>
        <v>416.89021682739258</v>
      </c>
      <c r="K8" s="146">
        <f>'Athens Daily - Gas'!BH14</f>
        <v>115104</v>
      </c>
      <c r="L8" s="117"/>
      <c r="M8" s="127">
        <f t="shared" si="2"/>
        <v>2981.1965811965811</v>
      </c>
      <c r="N8" s="155">
        <f>Occ!G15</f>
        <v>102</v>
      </c>
      <c r="O8" s="100">
        <f>Occ!H15</f>
        <v>175</v>
      </c>
      <c r="P8" s="154">
        <v>918</v>
      </c>
      <c r="Q8" s="163"/>
    </row>
    <row r="9" spans="1:17" ht="15.75">
      <c r="A9" s="7" t="s">
        <v>14</v>
      </c>
      <c r="B9" s="7">
        <v>7</v>
      </c>
      <c r="C9" s="7">
        <v>9</v>
      </c>
      <c r="D9" s="116">
        <v>2022</v>
      </c>
      <c r="E9" s="146">
        <f>'Athens Daily - EL'!AK14</f>
        <v>48390</v>
      </c>
      <c r="F9" s="148"/>
      <c r="G9" s="127">
        <f t="shared" si="1"/>
        <v>48390</v>
      </c>
      <c r="H9" s="146">
        <f>'Athens Daily - Water'!R13</f>
        <v>417.65393972396851</v>
      </c>
      <c r="I9" s="117"/>
      <c r="J9" s="123">
        <f t="shared" si="0"/>
        <v>417.65393972396851</v>
      </c>
      <c r="K9" s="146">
        <f>'Athens Daily - Gas'!BH15</f>
        <v>113318.39999999999</v>
      </c>
      <c r="L9" s="117"/>
      <c r="M9" s="127">
        <f t="shared" si="2"/>
        <v>2934.9494949494947</v>
      </c>
      <c r="N9" s="155">
        <f>Occ!G16</f>
        <v>99</v>
      </c>
      <c r="O9" s="100">
        <f>Occ!H16</f>
        <v>165</v>
      </c>
      <c r="P9" s="154">
        <v>918</v>
      </c>
      <c r="Q9" s="163"/>
    </row>
    <row r="10" spans="1:17">
      <c r="A10" s="7" t="s">
        <v>14</v>
      </c>
      <c r="B10" s="7">
        <v>8</v>
      </c>
      <c r="C10" s="7">
        <v>9</v>
      </c>
      <c r="D10" s="116">
        <v>2022</v>
      </c>
      <c r="E10" s="146">
        <f>'Athens Daily - EL'!AK15</f>
        <v>48680</v>
      </c>
      <c r="F10" s="148"/>
      <c r="G10" s="127">
        <f t="shared" si="1"/>
        <v>48680</v>
      </c>
      <c r="H10" s="146">
        <f>'Athens Daily - Water'!R14</f>
        <v>405.57757806777954</v>
      </c>
      <c r="I10" s="117"/>
      <c r="J10" s="123">
        <f t="shared" si="0"/>
        <v>405.57757806777954</v>
      </c>
      <c r="K10" s="146">
        <f>'Athens Daily - Gas'!BH16</f>
        <v>116265.59999999999</v>
      </c>
      <c r="L10" s="117"/>
      <c r="M10" s="127">
        <f t="shared" si="2"/>
        <v>3011.2820512820513</v>
      </c>
      <c r="N10" s="155">
        <f>Occ!G17</f>
        <v>129</v>
      </c>
      <c r="O10" s="100">
        <f>Occ!H17</f>
        <v>228</v>
      </c>
      <c r="P10" s="154">
        <v>918</v>
      </c>
      <c r="Q10" s="98"/>
    </row>
    <row r="11" spans="1:17">
      <c r="A11" s="7" t="s">
        <v>14</v>
      </c>
      <c r="B11" s="7">
        <v>9</v>
      </c>
      <c r="C11" s="7">
        <v>9</v>
      </c>
      <c r="D11" s="116">
        <v>2022</v>
      </c>
      <c r="E11" s="146">
        <f>'Athens Daily - EL'!AK16</f>
        <v>46290</v>
      </c>
      <c r="F11" s="148"/>
      <c r="G11" s="127">
        <f t="shared" si="1"/>
        <v>46290</v>
      </c>
      <c r="H11" s="146">
        <f>'Athens Daily - Water'!R15</f>
        <v>408</v>
      </c>
      <c r="I11" s="117"/>
      <c r="J11" s="123">
        <f t="shared" si="0"/>
        <v>408</v>
      </c>
      <c r="K11" s="146">
        <f>'Athens Daily - Gas'!BH17</f>
        <v>112819.2</v>
      </c>
      <c r="L11" s="117"/>
      <c r="M11" s="127">
        <f t="shared" si="2"/>
        <v>2922.0202020202019</v>
      </c>
      <c r="N11" s="155">
        <f>Occ!G18</f>
        <v>152</v>
      </c>
      <c r="O11" s="100">
        <f>Occ!H18</f>
        <v>294</v>
      </c>
      <c r="P11" s="154">
        <v>918</v>
      </c>
      <c r="Q11" s="98"/>
    </row>
    <row r="12" spans="1:17" ht="15.75">
      <c r="A12" s="7" t="s">
        <v>14</v>
      </c>
      <c r="B12" s="7">
        <v>10</v>
      </c>
      <c r="C12" s="7">
        <v>9</v>
      </c>
      <c r="D12" s="116">
        <v>2022</v>
      </c>
      <c r="E12" s="146">
        <f>'Athens Daily - EL'!AK17</f>
        <v>51030</v>
      </c>
      <c r="F12" s="148"/>
      <c r="G12" s="127">
        <f t="shared" si="1"/>
        <v>51030</v>
      </c>
      <c r="H12" s="146">
        <f>'Athens Daily - Water'!R16</f>
        <v>481</v>
      </c>
      <c r="I12" s="117"/>
      <c r="J12" s="123">
        <f t="shared" si="0"/>
        <v>481</v>
      </c>
      <c r="K12" s="146">
        <f>'Athens Daily - Gas'!BH18</f>
        <v>117024</v>
      </c>
      <c r="L12" s="117"/>
      <c r="M12" s="127">
        <f t="shared" si="2"/>
        <v>3030.9246309246309</v>
      </c>
      <c r="N12" s="155">
        <f>Occ!G19</f>
        <v>192</v>
      </c>
      <c r="O12" s="100">
        <f>Occ!H19</f>
        <v>395</v>
      </c>
      <c r="P12" s="154">
        <v>918</v>
      </c>
      <c r="Q12" s="163"/>
    </row>
    <row r="13" spans="1:17" ht="15.75">
      <c r="A13" s="7" t="s">
        <v>14</v>
      </c>
      <c r="B13" s="7">
        <v>11</v>
      </c>
      <c r="C13" s="7">
        <v>9</v>
      </c>
      <c r="D13" s="116">
        <v>2022</v>
      </c>
      <c r="E13" s="146">
        <f>'Athens Daily - EL'!AK18</f>
        <v>52700</v>
      </c>
      <c r="F13" s="148"/>
      <c r="G13" s="127">
        <f t="shared" si="1"/>
        <v>52700</v>
      </c>
      <c r="H13" s="146">
        <f>'Athens Daily - Water'!R17</f>
        <v>530</v>
      </c>
      <c r="I13" s="117"/>
      <c r="J13" s="123">
        <f t="shared" si="0"/>
        <v>530</v>
      </c>
      <c r="K13" s="146">
        <f>'Athens Daily - Gas'!BH19</f>
        <v>125184</v>
      </c>
      <c r="L13" s="117"/>
      <c r="M13" s="127">
        <f t="shared" si="2"/>
        <v>3242.2688422688425</v>
      </c>
      <c r="N13" s="155">
        <f>Occ!G20</f>
        <v>297</v>
      </c>
      <c r="O13" s="100">
        <f>Occ!H20</f>
        <v>637</v>
      </c>
      <c r="P13" s="154">
        <v>918</v>
      </c>
      <c r="Q13" s="163"/>
    </row>
    <row r="14" spans="1:17" ht="15.75">
      <c r="A14" s="7" t="s">
        <v>14</v>
      </c>
      <c r="B14" s="7">
        <v>12</v>
      </c>
      <c r="C14" s="7">
        <v>9</v>
      </c>
      <c r="D14" s="116">
        <v>2022</v>
      </c>
      <c r="E14" s="146">
        <f>'Athens Daily - EL'!AK19</f>
        <v>49395</v>
      </c>
      <c r="F14" s="148"/>
      <c r="G14" s="127">
        <f t="shared" si="1"/>
        <v>49395</v>
      </c>
      <c r="H14" s="146">
        <f>'Athens Daily - Water'!R18</f>
        <v>573</v>
      </c>
      <c r="I14" s="117"/>
      <c r="J14" s="123">
        <f t="shared" si="0"/>
        <v>573</v>
      </c>
      <c r="K14" s="146">
        <f>'Athens Daily - Gas'!BH20</f>
        <v>124502.39999999999</v>
      </c>
      <c r="L14" s="117"/>
      <c r="M14" s="127">
        <f t="shared" si="2"/>
        <v>3224.6153846153843</v>
      </c>
      <c r="N14" s="155">
        <f>Occ!G21</f>
        <v>144</v>
      </c>
      <c r="O14" s="100">
        <f>Occ!H21</f>
        <v>271</v>
      </c>
      <c r="P14" s="154">
        <v>918</v>
      </c>
      <c r="Q14" s="163"/>
    </row>
    <row r="15" spans="1:17">
      <c r="A15" s="7" t="s">
        <v>14</v>
      </c>
      <c r="B15" s="7">
        <v>13</v>
      </c>
      <c r="C15" s="7">
        <v>9</v>
      </c>
      <c r="D15" s="116">
        <v>2022</v>
      </c>
      <c r="E15" s="146">
        <f>'Athens Daily - EL'!AK20</f>
        <v>51105</v>
      </c>
      <c r="F15" s="164"/>
      <c r="G15" s="127">
        <f t="shared" si="1"/>
        <v>51105</v>
      </c>
      <c r="H15" s="146">
        <f>'Athens Daily - Water'!R19</f>
        <v>493</v>
      </c>
      <c r="I15" s="117"/>
      <c r="J15" s="123">
        <f t="shared" si="0"/>
        <v>493</v>
      </c>
      <c r="K15" s="146">
        <f>'Athens Daily - Gas'!BH21</f>
        <v>123763.2</v>
      </c>
      <c r="L15" s="117"/>
      <c r="M15" s="127">
        <f t="shared" si="2"/>
        <v>3205.4700854700855</v>
      </c>
      <c r="N15" s="155">
        <f>Occ!G22</f>
        <v>130</v>
      </c>
      <c r="O15" s="100">
        <f>Occ!H22</f>
        <v>230</v>
      </c>
      <c r="P15" s="154">
        <v>918</v>
      </c>
      <c r="Q15" s="160"/>
    </row>
    <row r="16" spans="1:17">
      <c r="A16" s="7" t="s">
        <v>14</v>
      </c>
      <c r="B16" s="7">
        <v>14</v>
      </c>
      <c r="C16" s="7">
        <v>9</v>
      </c>
      <c r="D16" s="116">
        <v>2022</v>
      </c>
      <c r="E16" s="146">
        <f>'Athens Daily - EL'!AK21</f>
        <v>45770</v>
      </c>
      <c r="F16" s="148"/>
      <c r="G16" s="127">
        <f t="shared" si="1"/>
        <v>45770</v>
      </c>
      <c r="H16" s="146">
        <f>'Athens Daily - Water'!R20</f>
        <v>461</v>
      </c>
      <c r="I16" s="117"/>
      <c r="J16" s="123">
        <f t="shared" si="0"/>
        <v>461</v>
      </c>
      <c r="K16" s="146">
        <f>'Athens Daily - Gas'!BH22</f>
        <v>114152.64000000001</v>
      </c>
      <c r="L16" s="117"/>
      <c r="M16" s="127">
        <f t="shared" si="2"/>
        <v>2956.556332556333</v>
      </c>
      <c r="N16" s="155">
        <f>Occ!G23</f>
        <v>118</v>
      </c>
      <c r="O16" s="100">
        <f>Occ!H23</f>
        <v>203</v>
      </c>
      <c r="P16" s="154">
        <v>918</v>
      </c>
      <c r="Q16" s="160"/>
    </row>
    <row r="17" spans="1:17">
      <c r="A17" s="7" t="s">
        <v>14</v>
      </c>
      <c r="B17" s="7">
        <v>15</v>
      </c>
      <c r="C17" s="7">
        <v>9</v>
      </c>
      <c r="D17" s="116">
        <v>2022</v>
      </c>
      <c r="E17" s="146">
        <f>'Athens Daily - EL'!AK22</f>
        <v>46645</v>
      </c>
      <c r="F17" s="148"/>
      <c r="G17" s="127">
        <f t="shared" si="1"/>
        <v>46645</v>
      </c>
      <c r="H17" s="146">
        <f>'Athens Daily - Water'!R21</f>
        <v>446</v>
      </c>
      <c r="I17" s="117"/>
      <c r="J17" s="123">
        <f t="shared" si="0"/>
        <v>446</v>
      </c>
      <c r="K17" s="146">
        <f>'Athens Daily - Gas'!BH23</f>
        <v>111930.91199999998</v>
      </c>
      <c r="L17" s="117"/>
      <c r="M17" s="127">
        <f t="shared" si="2"/>
        <v>2899.0135198135195</v>
      </c>
      <c r="N17" s="155">
        <f>Occ!G24</f>
        <v>148</v>
      </c>
      <c r="O17" s="100">
        <f>Occ!H24</f>
        <v>266</v>
      </c>
      <c r="P17" s="154">
        <v>918</v>
      </c>
      <c r="Q17" s="160"/>
    </row>
    <row r="18" spans="1:17">
      <c r="A18" s="7" t="s">
        <v>14</v>
      </c>
      <c r="B18" s="7">
        <v>16</v>
      </c>
      <c r="C18" s="7">
        <v>9</v>
      </c>
      <c r="D18" s="116">
        <v>2022</v>
      </c>
      <c r="E18" s="146">
        <f>'Athens Daily - EL'!AK23</f>
        <v>50535</v>
      </c>
      <c r="F18" s="148"/>
      <c r="G18" s="127">
        <f t="shared" si="1"/>
        <v>50535</v>
      </c>
      <c r="H18" s="146">
        <f>'Athens Daily - Water'!R22</f>
        <v>436</v>
      </c>
      <c r="I18" s="117"/>
      <c r="J18" s="123">
        <f t="shared" si="0"/>
        <v>436</v>
      </c>
      <c r="K18" s="146">
        <f>'Athens Daily - Gas'!BH24</f>
        <v>125985.88799999999</v>
      </c>
      <c r="L18" s="117"/>
      <c r="M18" s="127">
        <f t="shared" si="2"/>
        <v>3263.0377622377619</v>
      </c>
      <c r="N18" s="155">
        <f>Occ!G25</f>
        <v>135</v>
      </c>
      <c r="O18" s="100">
        <f>Occ!H25</f>
        <v>250</v>
      </c>
      <c r="P18" s="154">
        <v>918</v>
      </c>
      <c r="Q18" s="159"/>
    </row>
    <row r="19" spans="1:17">
      <c r="A19" s="7" t="s">
        <v>14</v>
      </c>
      <c r="B19" s="7">
        <v>17</v>
      </c>
      <c r="C19" s="7">
        <v>9</v>
      </c>
      <c r="D19" s="116">
        <v>2022</v>
      </c>
      <c r="E19" s="146">
        <f>'Athens Daily - EL'!AK24</f>
        <v>53825</v>
      </c>
      <c r="F19" s="148"/>
      <c r="G19" s="127">
        <f t="shared" si="1"/>
        <v>53825</v>
      </c>
      <c r="H19" s="146">
        <f>'Athens Daily - Water'!R23</f>
        <v>472</v>
      </c>
      <c r="I19" s="117"/>
      <c r="J19" s="123">
        <f t="shared" si="0"/>
        <v>472</v>
      </c>
      <c r="K19" s="146">
        <f>'Athens Daily - Gas'!BH25</f>
        <v>105023.71200000004</v>
      </c>
      <c r="L19" s="117"/>
      <c r="M19" s="127">
        <f t="shared" si="2"/>
        <v>2720.1168609168622</v>
      </c>
      <c r="N19" s="155">
        <f>Occ!G26</f>
        <v>229</v>
      </c>
      <c r="O19" s="100">
        <f>Occ!H26</f>
        <v>481</v>
      </c>
      <c r="P19" s="154">
        <v>918</v>
      </c>
      <c r="Q19" s="159"/>
    </row>
    <row r="20" spans="1:17">
      <c r="A20" s="7" t="s">
        <v>14</v>
      </c>
      <c r="B20" s="7">
        <v>18</v>
      </c>
      <c r="C20" s="7">
        <v>9</v>
      </c>
      <c r="D20" s="116">
        <v>2022</v>
      </c>
      <c r="E20" s="146">
        <f>'Athens Daily - EL'!AK25</f>
        <v>54730</v>
      </c>
      <c r="F20" s="148"/>
      <c r="G20" s="127">
        <f t="shared" si="1"/>
        <v>54730</v>
      </c>
      <c r="H20" s="146">
        <f>'Athens Daily - Water'!R24</f>
        <v>555</v>
      </c>
      <c r="I20" s="117"/>
      <c r="J20" s="123">
        <f t="shared" si="0"/>
        <v>555</v>
      </c>
      <c r="K20" s="146">
        <f>'Athens Daily - Gas'!BH26</f>
        <v>142855.48799999995</v>
      </c>
      <c r="L20" s="117"/>
      <c r="M20" s="127">
        <f t="shared" si="2"/>
        <v>3699.9608391608381</v>
      </c>
      <c r="N20" s="155">
        <f>Occ!G27</f>
        <v>149</v>
      </c>
      <c r="O20" s="100">
        <f>Occ!H27</f>
        <v>282</v>
      </c>
      <c r="P20" s="154">
        <v>918</v>
      </c>
      <c r="Q20" s="159"/>
    </row>
    <row r="21" spans="1:17">
      <c r="A21" s="7" t="s">
        <v>14</v>
      </c>
      <c r="B21" s="7">
        <v>19</v>
      </c>
      <c r="C21" s="7">
        <v>9</v>
      </c>
      <c r="D21" s="116">
        <v>2022</v>
      </c>
      <c r="E21" s="146">
        <f>'Athens Daily - EL'!AK26</f>
        <v>67275</v>
      </c>
      <c r="F21" s="148"/>
      <c r="G21" s="127">
        <f t="shared" si="1"/>
        <v>67275</v>
      </c>
      <c r="H21" s="146">
        <f>'Athens Daily - Water'!R25</f>
        <v>535</v>
      </c>
      <c r="I21" s="117"/>
      <c r="J21" s="123">
        <f t="shared" si="0"/>
        <v>535</v>
      </c>
      <c r="K21" s="146">
        <f>'Athens Daily - Gas'!BH27</f>
        <v>104796.96000000002</v>
      </c>
      <c r="L21" s="167"/>
      <c r="M21" s="127">
        <f t="shared" si="2"/>
        <v>2714.2439782439787</v>
      </c>
      <c r="N21" s="155">
        <f>Occ!G28</f>
        <v>118</v>
      </c>
      <c r="O21" s="100">
        <f>Occ!H28</f>
        <v>205</v>
      </c>
      <c r="P21" s="154">
        <v>918</v>
      </c>
      <c r="Q21" s="159"/>
    </row>
    <row r="22" spans="1:17">
      <c r="A22" s="7" t="s">
        <v>14</v>
      </c>
      <c r="B22" s="7">
        <v>20</v>
      </c>
      <c r="C22" s="7">
        <v>9</v>
      </c>
      <c r="D22" s="116">
        <v>2022</v>
      </c>
      <c r="E22" s="146">
        <f>'Athens Daily - EL'!AK27</f>
        <v>29790</v>
      </c>
      <c r="F22" s="148"/>
      <c r="G22" s="127">
        <f t="shared" si="1"/>
        <v>29790</v>
      </c>
      <c r="H22" s="146">
        <f>'Athens Daily - Water'!R26</f>
        <v>400</v>
      </c>
      <c r="I22" s="117"/>
      <c r="J22" s="123">
        <f t="shared" si="0"/>
        <v>400</v>
      </c>
      <c r="K22" s="146">
        <f>'Athens Daily - Gas'!BH28</f>
        <v>114509.75999999999</v>
      </c>
      <c r="L22" s="117"/>
      <c r="M22" s="127">
        <f t="shared" si="2"/>
        <v>2965.8057498057497</v>
      </c>
      <c r="N22" s="155">
        <f>Occ!G29</f>
        <v>101</v>
      </c>
      <c r="O22" s="100">
        <f>Occ!H29</f>
        <v>174</v>
      </c>
      <c r="P22" s="154">
        <v>918</v>
      </c>
      <c r="Q22" s="160"/>
    </row>
    <row r="23" spans="1:17">
      <c r="A23" s="7" t="s">
        <v>14</v>
      </c>
      <c r="B23" s="7">
        <v>21</v>
      </c>
      <c r="C23" s="7">
        <v>9</v>
      </c>
      <c r="D23" s="116">
        <v>2022</v>
      </c>
      <c r="E23" s="146">
        <f>'Athens Daily - EL'!AK28</f>
        <v>46870</v>
      </c>
      <c r="F23" s="148"/>
      <c r="G23" s="127">
        <f t="shared" si="1"/>
        <v>46870</v>
      </c>
      <c r="H23" s="146">
        <f>'Athens Daily - Water'!R27</f>
        <v>420</v>
      </c>
      <c r="I23" s="167"/>
      <c r="J23" s="123">
        <f t="shared" si="0"/>
        <v>420</v>
      </c>
      <c r="K23" s="146">
        <f>'Athens Daily - Gas'!BH29</f>
        <v>115375.67999999999</v>
      </c>
      <c r="L23" s="117"/>
      <c r="M23" s="127">
        <f t="shared" si="2"/>
        <v>2988.2331002331002</v>
      </c>
      <c r="N23" s="155">
        <f>Occ!G30</f>
        <v>111</v>
      </c>
      <c r="O23" s="100">
        <f>Occ!H30</f>
        <v>192</v>
      </c>
      <c r="P23" s="154">
        <v>918</v>
      </c>
      <c r="Q23" s="160"/>
    </row>
    <row r="24" spans="1:17">
      <c r="A24" s="7" t="s">
        <v>14</v>
      </c>
      <c r="B24" s="7">
        <v>22</v>
      </c>
      <c r="C24" s="7">
        <v>9</v>
      </c>
      <c r="D24" s="116">
        <v>2022</v>
      </c>
      <c r="E24" s="146">
        <f>'Athens Daily - EL'!AK29</f>
        <v>47245</v>
      </c>
      <c r="F24" s="148"/>
      <c r="G24" s="127">
        <f t="shared" si="1"/>
        <v>47245</v>
      </c>
      <c r="H24" s="146">
        <f>'Athens Daily - Water'!R28</f>
        <v>416</v>
      </c>
      <c r="I24" s="167"/>
      <c r="J24" s="123">
        <f t="shared" si="0"/>
        <v>416</v>
      </c>
      <c r="K24" s="146">
        <f>'Athens Daily - Gas'!BH30</f>
        <v>114576.00000000001</v>
      </c>
      <c r="L24" s="117"/>
      <c r="M24" s="127">
        <f t="shared" si="2"/>
        <v>2967.5213675213681</v>
      </c>
      <c r="N24" s="155">
        <f>Occ!G31</f>
        <v>127</v>
      </c>
      <c r="O24" s="100">
        <f>Occ!H31</f>
        <v>231</v>
      </c>
      <c r="P24" s="154">
        <v>918</v>
      </c>
      <c r="Q24" s="160"/>
    </row>
    <row r="25" spans="1:17">
      <c r="A25" s="7" t="s">
        <v>14</v>
      </c>
      <c r="B25" s="7">
        <v>23</v>
      </c>
      <c r="C25" s="7">
        <v>9</v>
      </c>
      <c r="D25" s="116">
        <v>2022</v>
      </c>
      <c r="E25" s="146">
        <f>'Athens Daily - EL'!AK30</f>
        <v>50240</v>
      </c>
      <c r="F25" s="148"/>
      <c r="G25" s="127">
        <f t="shared" si="1"/>
        <v>50240</v>
      </c>
      <c r="H25" s="146">
        <f>'Athens Daily - Water'!R29</f>
        <v>447</v>
      </c>
      <c r="I25" s="167"/>
      <c r="J25" s="123">
        <f t="shared" si="0"/>
        <v>447</v>
      </c>
      <c r="K25" s="146">
        <f>'Athens Daily - Gas'!BH31</f>
        <v>115034.39999999997</v>
      </c>
      <c r="L25" s="117"/>
      <c r="M25" s="127">
        <f t="shared" si="2"/>
        <v>2979.3939393939386</v>
      </c>
      <c r="N25" s="155">
        <f>Occ!G32</f>
        <v>155</v>
      </c>
      <c r="O25" s="100">
        <f>Occ!H32</f>
        <v>301</v>
      </c>
      <c r="P25" s="154">
        <v>918</v>
      </c>
      <c r="Q25" s="160"/>
    </row>
    <row r="26" spans="1:17">
      <c r="A26" s="7" t="s">
        <v>14</v>
      </c>
      <c r="B26" s="7">
        <v>24</v>
      </c>
      <c r="C26" s="7">
        <v>9</v>
      </c>
      <c r="D26" s="116">
        <v>2022</v>
      </c>
      <c r="E26" s="146">
        <f>'Athens Daily - EL'!AK31</f>
        <v>49500</v>
      </c>
      <c r="F26" s="148"/>
      <c r="G26" s="127">
        <f t="shared" si="1"/>
        <v>49500</v>
      </c>
      <c r="H26" s="146">
        <f>'Athens Daily - Water'!R30</f>
        <v>478</v>
      </c>
      <c r="I26" s="167"/>
      <c r="J26" s="123">
        <f t="shared" si="0"/>
        <v>478</v>
      </c>
      <c r="K26" s="146">
        <f>'Athens Daily - Gas'!BH32</f>
        <v>113593.92000000001</v>
      </c>
      <c r="L26" s="117"/>
      <c r="M26" s="127">
        <f t="shared" si="2"/>
        <v>2942.0854700854707</v>
      </c>
      <c r="N26" s="155">
        <f>Occ!G33</f>
        <v>239</v>
      </c>
      <c r="O26" s="100">
        <f>Occ!H33</f>
        <v>501</v>
      </c>
      <c r="P26" s="154">
        <v>918</v>
      </c>
      <c r="Q26" s="160"/>
    </row>
    <row r="27" spans="1:17">
      <c r="A27" s="7" t="s">
        <v>14</v>
      </c>
      <c r="B27" s="7">
        <v>25</v>
      </c>
      <c r="C27" s="7">
        <v>9</v>
      </c>
      <c r="D27" s="116">
        <v>2022</v>
      </c>
      <c r="E27" s="146">
        <f>'Athens Daily - EL'!AK32</f>
        <v>48675</v>
      </c>
      <c r="F27" s="148"/>
      <c r="G27" s="127">
        <f t="shared" si="1"/>
        <v>48675</v>
      </c>
      <c r="H27" s="146">
        <f>'Athens Daily - Water'!R31</f>
        <v>554</v>
      </c>
      <c r="I27" s="117"/>
      <c r="J27" s="123">
        <f t="shared" si="0"/>
        <v>554</v>
      </c>
      <c r="K27" s="146">
        <f>'Athens Daily - Gas'!BH33</f>
        <v>122837.23199999997</v>
      </c>
      <c r="L27" s="117"/>
      <c r="M27" s="127">
        <f t="shared" si="2"/>
        <v>3181.4874902874899</v>
      </c>
      <c r="N27" s="155">
        <f>Occ!G34</f>
        <v>145</v>
      </c>
      <c r="O27" s="100">
        <f>Occ!H34</f>
        <v>270</v>
      </c>
      <c r="P27" s="154">
        <v>918</v>
      </c>
      <c r="Q27" s="158"/>
    </row>
    <row r="28" spans="1:17">
      <c r="A28" s="7" t="s">
        <v>14</v>
      </c>
      <c r="B28" s="7">
        <v>26</v>
      </c>
      <c r="C28" s="7">
        <v>9</v>
      </c>
      <c r="D28" s="116">
        <v>2022</v>
      </c>
      <c r="E28" s="146">
        <f>'Athens Daily - EL'!AK33</f>
        <v>47520</v>
      </c>
      <c r="F28" s="148"/>
      <c r="G28" s="127">
        <f t="shared" si="1"/>
        <v>47520</v>
      </c>
      <c r="H28" s="146">
        <f>'Athens Daily - Water'!R32</f>
        <v>488</v>
      </c>
      <c r="I28" s="117"/>
      <c r="J28" s="123">
        <f t="shared" si="0"/>
        <v>488</v>
      </c>
      <c r="K28" s="146">
        <f>'Athens Daily - Gas'!BH34</f>
        <v>114944.304</v>
      </c>
      <c r="L28" s="117"/>
      <c r="M28" s="127">
        <f t="shared" si="2"/>
        <v>2977.0604506604509</v>
      </c>
      <c r="N28" s="155">
        <f>Occ!G35</f>
        <v>127</v>
      </c>
      <c r="O28" s="100">
        <f>Occ!H35</f>
        <v>218</v>
      </c>
      <c r="P28" s="154">
        <v>918</v>
      </c>
      <c r="Q28" s="158"/>
    </row>
    <row r="29" spans="1:17">
      <c r="A29" s="7" t="s">
        <v>14</v>
      </c>
      <c r="B29" s="7">
        <v>27</v>
      </c>
      <c r="C29" s="7">
        <v>9</v>
      </c>
      <c r="D29" s="116">
        <v>2022</v>
      </c>
      <c r="E29" s="146">
        <f>'Athens Daily - EL'!AK34</f>
        <v>51530</v>
      </c>
      <c r="F29" s="148"/>
      <c r="G29" s="127">
        <f t="shared" si="1"/>
        <v>51530</v>
      </c>
      <c r="H29" s="146">
        <f>'Athens Daily - Water'!R33</f>
        <v>410</v>
      </c>
      <c r="I29" s="117"/>
      <c r="J29" s="123">
        <f t="shared" si="0"/>
        <v>410</v>
      </c>
      <c r="K29" s="146">
        <f>'Athens Daily - Gas'!BH35</f>
        <v>118130.304</v>
      </c>
      <c r="L29" s="117"/>
      <c r="M29" s="127">
        <f t="shared" si="2"/>
        <v>3059.5779331779331</v>
      </c>
      <c r="N29" s="155">
        <f>Occ!G36</f>
        <v>118</v>
      </c>
      <c r="O29" s="100">
        <f>Occ!H36</f>
        <v>198</v>
      </c>
      <c r="P29" s="154">
        <v>918</v>
      </c>
      <c r="Q29" s="158"/>
    </row>
    <row r="30" spans="1:17">
      <c r="A30" s="7" t="s">
        <v>14</v>
      </c>
      <c r="B30" s="7">
        <v>28</v>
      </c>
      <c r="C30" s="7">
        <v>9</v>
      </c>
      <c r="D30" s="116">
        <v>2022</v>
      </c>
      <c r="E30" s="146">
        <f>'Athens Daily - EL'!AK35</f>
        <v>46495</v>
      </c>
      <c r="F30" s="148"/>
      <c r="G30" s="127">
        <f t="shared" si="1"/>
        <v>46495</v>
      </c>
      <c r="H30" s="146">
        <f>'Athens Daily - Water'!R34</f>
        <v>408</v>
      </c>
      <c r="I30" s="117"/>
      <c r="J30" s="123">
        <f t="shared" si="0"/>
        <v>408</v>
      </c>
      <c r="K30" s="146">
        <f>'Athens Daily - Gas'!BH36</f>
        <v>110112</v>
      </c>
      <c r="L30" s="117"/>
      <c r="M30" s="127">
        <f t="shared" si="2"/>
        <v>2851.9036519036517</v>
      </c>
      <c r="N30" s="155">
        <f>Occ!G37</f>
        <v>133</v>
      </c>
      <c r="O30" s="100">
        <f>Occ!H37</f>
        <v>233</v>
      </c>
      <c r="P30" s="154">
        <v>918</v>
      </c>
      <c r="Q30" s="158"/>
    </row>
    <row r="31" spans="1:17">
      <c r="A31" s="7" t="s">
        <v>14</v>
      </c>
      <c r="B31" s="7">
        <v>29</v>
      </c>
      <c r="C31" s="7">
        <v>9</v>
      </c>
      <c r="D31" s="116">
        <v>2022</v>
      </c>
      <c r="E31" s="146">
        <f>'Athens Daily - EL'!AK36</f>
        <v>48960</v>
      </c>
      <c r="F31" s="148"/>
      <c r="G31" s="127">
        <f t="shared" si="1"/>
        <v>48960</v>
      </c>
      <c r="H31" s="146">
        <f>'Athens Daily - Water'!R35</f>
        <v>424</v>
      </c>
      <c r="I31" s="117"/>
      <c r="J31" s="123">
        <f t="shared" si="0"/>
        <v>424</v>
      </c>
      <c r="K31" s="146">
        <f>'Athens Daily - Gas'!BH37</f>
        <v>113673.60000000001</v>
      </c>
      <c r="L31" s="117"/>
      <c r="M31" s="127">
        <f t="shared" si="2"/>
        <v>2944.1491841491843</v>
      </c>
      <c r="N31" s="155">
        <f>Occ!G38</f>
        <v>162</v>
      </c>
      <c r="O31" s="100">
        <f>Occ!H38</f>
        <v>295</v>
      </c>
      <c r="P31" s="154">
        <v>918</v>
      </c>
      <c r="Q31" s="158"/>
    </row>
    <row r="32" spans="1:17">
      <c r="A32" s="7" t="s">
        <v>14</v>
      </c>
      <c r="B32" s="7">
        <v>30</v>
      </c>
      <c r="C32" s="7">
        <v>9</v>
      </c>
      <c r="D32" s="116">
        <v>2022</v>
      </c>
      <c r="E32" s="146">
        <f>'Athens Daily - EL'!AK37</f>
        <v>48755</v>
      </c>
      <c r="F32" s="148"/>
      <c r="G32" s="127">
        <f t="shared" si="1"/>
        <v>48755</v>
      </c>
      <c r="H32" s="146">
        <f>'Athens Daily - Water'!R36</f>
        <v>458</v>
      </c>
      <c r="I32" s="117"/>
      <c r="J32" s="123">
        <f t="shared" si="0"/>
        <v>458</v>
      </c>
      <c r="K32" s="146">
        <f>'Athens Daily - Gas'!BH38</f>
        <v>114101.61599999998</v>
      </c>
      <c r="L32" s="117"/>
      <c r="M32" s="127">
        <f t="shared" si="2"/>
        <v>2955.2348096348092</v>
      </c>
      <c r="N32" s="155">
        <f>Occ!G39</f>
        <v>193</v>
      </c>
      <c r="O32" s="100">
        <f>Occ!H39</f>
        <v>373</v>
      </c>
      <c r="P32" s="154">
        <v>918</v>
      </c>
      <c r="Q32" s="158"/>
    </row>
    <row r="33" spans="1:17" ht="15.75" thickBot="1">
      <c r="A33" s="7" t="s">
        <v>14</v>
      </c>
      <c r="B33" s="7">
        <v>31</v>
      </c>
      <c r="C33" s="7">
        <v>9</v>
      </c>
      <c r="D33" s="116">
        <v>2022</v>
      </c>
      <c r="E33" s="147">
        <f>'Athens Daily - EL'!AK38</f>
        <v>0</v>
      </c>
      <c r="F33" s="149"/>
      <c r="G33" s="128">
        <f t="shared" si="1"/>
        <v>0</v>
      </c>
      <c r="H33" s="147">
        <f>'Athens Daily - Water'!R38</f>
        <v>0</v>
      </c>
      <c r="I33" s="121"/>
      <c r="J33" s="124">
        <f t="shared" si="0"/>
        <v>0</v>
      </c>
      <c r="K33" s="147">
        <f>'Athens Daily - Gas'!BH40</f>
        <v>0</v>
      </c>
      <c r="L33" s="121"/>
      <c r="M33" s="128">
        <f t="shared" si="2"/>
        <v>0</v>
      </c>
      <c r="N33" s="162">
        <f>Occ!G40</f>
        <v>0</v>
      </c>
      <c r="O33" s="153">
        <f>Occ!H40</f>
        <v>0</v>
      </c>
      <c r="P33" s="152">
        <v>918</v>
      </c>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24" sqref="E2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402</v>
      </c>
      <c r="D7" s="130"/>
      <c r="E7" s="130"/>
      <c r="F7" s="130"/>
      <c r="G7" s="130"/>
      <c r="H7" s="130"/>
      <c r="I7" s="130"/>
      <c r="J7" s="129"/>
      <c r="K7" s="129"/>
      <c r="L7" s="129"/>
      <c r="M7" s="129"/>
      <c r="N7" s="129"/>
    </row>
    <row r="8" spans="1:14" ht="15.75" thickBot="1">
      <c r="A8" s="129"/>
      <c r="B8" s="129" t="s">
        <v>21</v>
      </c>
      <c r="C8" s="133"/>
      <c r="D8" s="133"/>
      <c r="E8" s="133"/>
      <c r="F8" s="133"/>
      <c r="G8" s="206" t="s">
        <v>22</v>
      </c>
      <c r="H8" s="207"/>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39">
        <v>143</v>
      </c>
      <c r="D10" s="140">
        <v>261</v>
      </c>
      <c r="E10" s="139"/>
      <c r="F10" s="140"/>
      <c r="G10" s="161">
        <f>SUM(C10+E10)</f>
        <v>143</v>
      </c>
      <c r="H10" s="140">
        <f>D10+F10</f>
        <v>261</v>
      </c>
      <c r="I10" s="137">
        <v>918</v>
      </c>
      <c r="J10" s="129"/>
      <c r="K10" s="129"/>
      <c r="L10" s="129"/>
      <c r="M10" s="129"/>
      <c r="N10" s="129"/>
    </row>
    <row r="11" spans="1:14">
      <c r="A11" s="129"/>
      <c r="B11" s="138" t="s">
        <v>29</v>
      </c>
      <c r="C11" s="139">
        <v>172</v>
      </c>
      <c r="D11" s="140">
        <v>337</v>
      </c>
      <c r="E11" s="139"/>
      <c r="F11" s="140"/>
      <c r="G11" s="161">
        <f t="shared" ref="G11:G40" si="0">SUM(C11+E11)</f>
        <v>172</v>
      </c>
      <c r="H11" s="140">
        <f t="shared" ref="H11:H14" si="1">D11+F11</f>
        <v>337</v>
      </c>
      <c r="I11" s="137">
        <v>918</v>
      </c>
      <c r="J11" s="129"/>
      <c r="K11" s="129"/>
      <c r="L11" s="129"/>
      <c r="M11" s="129"/>
      <c r="N11" s="129"/>
    </row>
    <row r="12" spans="1:14">
      <c r="A12" s="129"/>
      <c r="B12" s="138" t="s">
        <v>30</v>
      </c>
      <c r="C12" s="139">
        <v>182</v>
      </c>
      <c r="D12" s="140">
        <v>371</v>
      </c>
      <c r="E12" s="139"/>
      <c r="F12" s="140"/>
      <c r="G12" s="161">
        <f t="shared" si="0"/>
        <v>182</v>
      </c>
      <c r="H12" s="140">
        <f t="shared" si="1"/>
        <v>371</v>
      </c>
      <c r="I12" s="137">
        <v>918</v>
      </c>
      <c r="J12" s="129"/>
      <c r="K12" s="129"/>
      <c r="L12" s="129"/>
      <c r="M12" s="129"/>
      <c r="N12" s="129"/>
    </row>
    <row r="13" spans="1:14">
      <c r="A13" s="129"/>
      <c r="B13" s="138" t="s">
        <v>31</v>
      </c>
      <c r="C13" s="139">
        <v>121</v>
      </c>
      <c r="D13" s="140">
        <v>224</v>
      </c>
      <c r="E13" s="139"/>
      <c r="F13" s="140"/>
      <c r="G13" s="161">
        <f t="shared" si="0"/>
        <v>121</v>
      </c>
      <c r="H13" s="140">
        <f t="shared" si="1"/>
        <v>224</v>
      </c>
      <c r="I13" s="137">
        <v>918</v>
      </c>
      <c r="J13" s="129"/>
      <c r="K13" s="129"/>
      <c r="L13" s="129"/>
      <c r="M13" s="129"/>
      <c r="N13" s="129"/>
    </row>
    <row r="14" spans="1:14">
      <c r="A14" s="129"/>
      <c r="B14" s="138" t="s">
        <v>32</v>
      </c>
      <c r="C14" s="139">
        <v>113</v>
      </c>
      <c r="D14" s="140">
        <v>199</v>
      </c>
      <c r="E14" s="139"/>
      <c r="F14" s="140"/>
      <c r="G14" s="161">
        <f t="shared" si="0"/>
        <v>113</v>
      </c>
      <c r="H14" s="140">
        <f t="shared" si="1"/>
        <v>199</v>
      </c>
      <c r="I14" s="137">
        <v>918</v>
      </c>
      <c r="J14" s="129"/>
      <c r="K14" s="129"/>
      <c r="L14" s="129"/>
      <c r="M14" s="129"/>
      <c r="N14" s="129"/>
    </row>
    <row r="15" spans="1:14">
      <c r="A15" s="129"/>
      <c r="B15" s="138" t="s">
        <v>33</v>
      </c>
      <c r="C15" s="139">
        <v>102</v>
      </c>
      <c r="D15" s="140">
        <v>175</v>
      </c>
      <c r="E15" s="139"/>
      <c r="F15" s="140"/>
      <c r="G15" s="161">
        <f t="shared" si="0"/>
        <v>102</v>
      </c>
      <c r="H15" s="140">
        <f t="shared" ref="H15:H40" si="2">D15+F15</f>
        <v>175</v>
      </c>
      <c r="I15" s="137">
        <v>918</v>
      </c>
      <c r="J15" s="129"/>
      <c r="K15" s="129"/>
      <c r="L15" s="129"/>
      <c r="M15" s="129"/>
      <c r="N15" s="129"/>
    </row>
    <row r="16" spans="1:14">
      <c r="A16" s="129"/>
      <c r="B16" s="138" t="s">
        <v>34</v>
      </c>
      <c r="C16" s="139">
        <v>99</v>
      </c>
      <c r="D16" s="140">
        <v>165</v>
      </c>
      <c r="E16" s="139"/>
      <c r="F16" s="140"/>
      <c r="G16" s="161">
        <f t="shared" si="0"/>
        <v>99</v>
      </c>
      <c r="H16" s="140">
        <f t="shared" si="2"/>
        <v>165</v>
      </c>
      <c r="I16" s="137">
        <v>918</v>
      </c>
      <c r="J16" s="129"/>
      <c r="K16" s="129"/>
      <c r="L16" s="129"/>
      <c r="M16" s="129"/>
      <c r="N16" s="129"/>
    </row>
    <row r="17" spans="1:14">
      <c r="A17" s="129"/>
      <c r="B17" s="138" t="s">
        <v>35</v>
      </c>
      <c r="C17" s="139">
        <v>129</v>
      </c>
      <c r="D17" s="140">
        <v>228</v>
      </c>
      <c r="E17" s="139"/>
      <c r="F17" s="140"/>
      <c r="G17" s="161">
        <f t="shared" si="0"/>
        <v>129</v>
      </c>
      <c r="H17" s="140">
        <f t="shared" si="2"/>
        <v>228</v>
      </c>
      <c r="I17" s="137">
        <v>918</v>
      </c>
      <c r="J17" s="129"/>
      <c r="K17" s="129"/>
      <c r="L17" s="129"/>
      <c r="M17" s="129"/>
      <c r="N17" s="129"/>
    </row>
    <row r="18" spans="1:14">
      <c r="A18" s="129"/>
      <c r="B18" s="138" t="s">
        <v>36</v>
      </c>
      <c r="C18" s="139">
        <v>152</v>
      </c>
      <c r="D18" s="140">
        <v>294</v>
      </c>
      <c r="E18" s="139"/>
      <c r="F18" s="140"/>
      <c r="G18" s="161">
        <f t="shared" si="0"/>
        <v>152</v>
      </c>
      <c r="H18" s="140">
        <f t="shared" si="2"/>
        <v>294</v>
      </c>
      <c r="I18" s="137">
        <v>918</v>
      </c>
      <c r="J18" s="129"/>
      <c r="K18" s="129"/>
      <c r="L18" s="129"/>
      <c r="M18" s="129"/>
      <c r="N18" s="129"/>
    </row>
    <row r="19" spans="1:14">
      <c r="A19" s="129"/>
      <c r="B19" s="138" t="s">
        <v>37</v>
      </c>
      <c r="C19" s="139">
        <v>192</v>
      </c>
      <c r="D19" s="140">
        <v>395</v>
      </c>
      <c r="E19" s="139"/>
      <c r="F19" s="140"/>
      <c r="G19" s="161">
        <f t="shared" si="0"/>
        <v>192</v>
      </c>
      <c r="H19" s="140">
        <f t="shared" si="2"/>
        <v>395</v>
      </c>
      <c r="I19" s="137">
        <v>918</v>
      </c>
      <c r="J19" s="129"/>
      <c r="K19" s="129"/>
      <c r="L19" s="129"/>
      <c r="M19" s="129"/>
      <c r="N19" s="129"/>
    </row>
    <row r="20" spans="1:14">
      <c r="A20" s="129"/>
      <c r="B20" s="138" t="s">
        <v>38</v>
      </c>
      <c r="C20" s="139">
        <v>297</v>
      </c>
      <c r="D20" s="140">
        <v>637</v>
      </c>
      <c r="E20" s="139"/>
      <c r="F20" s="140"/>
      <c r="G20" s="161">
        <f t="shared" si="0"/>
        <v>297</v>
      </c>
      <c r="H20" s="140">
        <f t="shared" si="2"/>
        <v>637</v>
      </c>
      <c r="I20" s="137">
        <v>918</v>
      </c>
      <c r="J20" s="129"/>
      <c r="K20" s="129"/>
      <c r="L20" s="129"/>
      <c r="M20" s="129"/>
      <c r="N20" s="129"/>
    </row>
    <row r="21" spans="1:14">
      <c r="A21" s="129"/>
      <c r="B21" s="138" t="s">
        <v>39</v>
      </c>
      <c r="C21" s="139">
        <v>144</v>
      </c>
      <c r="D21" s="140">
        <v>271</v>
      </c>
      <c r="E21" s="161"/>
      <c r="F21" s="140"/>
      <c r="G21" s="161">
        <f t="shared" ref="G21:G34" si="3">SUM(C21+E21)</f>
        <v>144</v>
      </c>
      <c r="H21" s="140">
        <f t="shared" ref="H21:H34" si="4">D21+F21</f>
        <v>271</v>
      </c>
      <c r="I21" s="137">
        <v>918</v>
      </c>
      <c r="J21" s="129"/>
      <c r="K21" s="129"/>
      <c r="L21" s="129"/>
      <c r="M21" s="129"/>
      <c r="N21" s="129"/>
    </row>
    <row r="22" spans="1:14">
      <c r="A22" s="129"/>
      <c r="B22" s="138" t="s">
        <v>40</v>
      </c>
      <c r="C22" s="170">
        <v>130</v>
      </c>
      <c r="D22" s="171">
        <v>230</v>
      </c>
      <c r="E22" s="161"/>
      <c r="F22" s="140"/>
      <c r="G22" s="161">
        <f t="shared" si="3"/>
        <v>130</v>
      </c>
      <c r="H22" s="140">
        <f t="shared" si="4"/>
        <v>230</v>
      </c>
      <c r="I22" s="137">
        <v>918</v>
      </c>
      <c r="J22" s="129"/>
      <c r="K22" s="129"/>
      <c r="L22" s="129"/>
      <c r="M22" s="129"/>
      <c r="N22" s="129"/>
    </row>
    <row r="23" spans="1:14">
      <c r="A23" s="129"/>
      <c r="B23" s="138" t="s">
        <v>41</v>
      </c>
      <c r="C23" s="170">
        <v>118</v>
      </c>
      <c r="D23" s="171">
        <v>203</v>
      </c>
      <c r="E23" s="161"/>
      <c r="F23" s="140"/>
      <c r="G23" s="161">
        <f t="shared" si="3"/>
        <v>118</v>
      </c>
      <c r="H23" s="140">
        <f t="shared" si="4"/>
        <v>203</v>
      </c>
      <c r="I23" s="137">
        <v>918</v>
      </c>
      <c r="J23" s="129"/>
      <c r="K23" s="129"/>
      <c r="L23" s="129"/>
      <c r="M23" s="129"/>
      <c r="N23" s="129"/>
    </row>
    <row r="24" spans="1:14">
      <c r="A24" s="129"/>
      <c r="B24" s="138" t="s">
        <v>42</v>
      </c>
      <c r="C24" s="170">
        <v>148</v>
      </c>
      <c r="D24" s="171">
        <v>266</v>
      </c>
      <c r="E24" s="161"/>
      <c r="F24" s="140"/>
      <c r="G24" s="161">
        <f t="shared" si="3"/>
        <v>148</v>
      </c>
      <c r="H24" s="140">
        <f t="shared" si="4"/>
        <v>266</v>
      </c>
      <c r="I24" s="137">
        <v>918</v>
      </c>
      <c r="J24" s="129"/>
      <c r="K24" s="129"/>
      <c r="L24" s="129"/>
      <c r="M24" s="129"/>
      <c r="N24" s="129"/>
    </row>
    <row r="25" spans="1:14">
      <c r="A25" s="129"/>
      <c r="B25" s="138" t="s">
        <v>43</v>
      </c>
      <c r="C25" s="170">
        <v>135</v>
      </c>
      <c r="D25" s="171">
        <v>250</v>
      </c>
      <c r="E25" s="161"/>
      <c r="F25" s="140"/>
      <c r="G25" s="161">
        <f t="shared" si="3"/>
        <v>135</v>
      </c>
      <c r="H25" s="140">
        <f t="shared" si="4"/>
        <v>250</v>
      </c>
      <c r="I25" s="137">
        <v>918</v>
      </c>
      <c r="J25" s="129"/>
      <c r="K25" s="129"/>
      <c r="L25" s="129"/>
      <c r="M25" s="129"/>
      <c r="N25" s="129"/>
    </row>
    <row r="26" spans="1:14">
      <c r="A26" s="129"/>
      <c r="B26" s="138" t="s">
        <v>44</v>
      </c>
      <c r="C26" s="170">
        <v>229</v>
      </c>
      <c r="D26" s="171">
        <v>481</v>
      </c>
      <c r="E26" s="161"/>
      <c r="F26" s="140"/>
      <c r="G26" s="161">
        <f t="shared" si="3"/>
        <v>229</v>
      </c>
      <c r="H26" s="140">
        <f t="shared" si="4"/>
        <v>481</v>
      </c>
      <c r="I26" s="137">
        <v>918</v>
      </c>
      <c r="J26" s="129"/>
      <c r="K26" s="129"/>
      <c r="L26" s="129"/>
      <c r="M26" s="129"/>
      <c r="N26" s="129"/>
    </row>
    <row r="27" spans="1:14">
      <c r="A27" s="129"/>
      <c r="B27" s="138" t="s">
        <v>45</v>
      </c>
      <c r="C27" s="170">
        <v>149</v>
      </c>
      <c r="D27" s="171">
        <v>282</v>
      </c>
      <c r="E27" s="161"/>
      <c r="F27" s="140"/>
      <c r="G27" s="161">
        <f t="shared" si="3"/>
        <v>149</v>
      </c>
      <c r="H27" s="140">
        <f t="shared" si="4"/>
        <v>282</v>
      </c>
      <c r="I27" s="137">
        <v>918</v>
      </c>
      <c r="J27" s="129"/>
      <c r="K27" s="129"/>
      <c r="L27" s="129"/>
      <c r="M27" s="129"/>
      <c r="N27" s="129"/>
    </row>
    <row r="28" spans="1:14">
      <c r="A28" s="129"/>
      <c r="B28" s="138" t="s">
        <v>46</v>
      </c>
      <c r="C28" s="139">
        <v>118</v>
      </c>
      <c r="D28" s="140">
        <v>205</v>
      </c>
      <c r="E28" s="161"/>
      <c r="F28" s="140"/>
      <c r="G28" s="161">
        <f t="shared" si="3"/>
        <v>118</v>
      </c>
      <c r="H28" s="140">
        <f t="shared" si="4"/>
        <v>205</v>
      </c>
      <c r="I28" s="137">
        <v>918</v>
      </c>
      <c r="J28" s="129"/>
      <c r="K28" s="129"/>
      <c r="L28" s="129"/>
      <c r="M28" s="129"/>
      <c r="N28" s="129"/>
    </row>
    <row r="29" spans="1:14">
      <c r="A29" s="129"/>
      <c r="B29" s="138" t="s">
        <v>47</v>
      </c>
      <c r="C29" s="139">
        <v>101</v>
      </c>
      <c r="D29" s="140">
        <v>174</v>
      </c>
      <c r="E29" s="161"/>
      <c r="F29" s="140"/>
      <c r="G29" s="161">
        <f t="shared" si="3"/>
        <v>101</v>
      </c>
      <c r="H29" s="140">
        <f t="shared" si="4"/>
        <v>174</v>
      </c>
      <c r="I29" s="137">
        <v>918</v>
      </c>
      <c r="J29" s="129"/>
      <c r="K29" s="129"/>
      <c r="L29" s="129"/>
      <c r="M29" s="129"/>
      <c r="N29" s="129"/>
    </row>
    <row r="30" spans="1:14">
      <c r="A30" s="129"/>
      <c r="B30" s="138" t="s">
        <v>48</v>
      </c>
      <c r="C30" s="139">
        <v>111</v>
      </c>
      <c r="D30" s="140">
        <v>192</v>
      </c>
      <c r="E30" s="161"/>
      <c r="F30" s="140"/>
      <c r="G30" s="161">
        <f t="shared" si="3"/>
        <v>111</v>
      </c>
      <c r="H30" s="140">
        <f t="shared" si="4"/>
        <v>192</v>
      </c>
      <c r="I30" s="137">
        <v>918</v>
      </c>
      <c r="J30" s="129"/>
      <c r="K30" s="129"/>
      <c r="L30" s="129"/>
      <c r="M30" s="129"/>
      <c r="N30" s="129"/>
    </row>
    <row r="31" spans="1:14">
      <c r="A31" s="129"/>
      <c r="B31" s="138" t="s">
        <v>49</v>
      </c>
      <c r="C31" s="139">
        <v>127</v>
      </c>
      <c r="D31" s="140">
        <v>231</v>
      </c>
      <c r="E31" s="161"/>
      <c r="F31" s="140"/>
      <c r="G31" s="161">
        <f t="shared" si="3"/>
        <v>127</v>
      </c>
      <c r="H31" s="140">
        <f t="shared" si="4"/>
        <v>231</v>
      </c>
      <c r="I31" s="137">
        <v>918</v>
      </c>
      <c r="J31" s="129"/>
      <c r="K31" s="129"/>
      <c r="L31" s="129"/>
      <c r="M31" s="129"/>
      <c r="N31" s="129"/>
    </row>
    <row r="32" spans="1:14">
      <c r="A32" s="129"/>
      <c r="B32" s="138" t="s">
        <v>50</v>
      </c>
      <c r="C32" s="139">
        <v>155</v>
      </c>
      <c r="D32" s="140">
        <v>301</v>
      </c>
      <c r="E32" s="161"/>
      <c r="F32" s="140"/>
      <c r="G32" s="161">
        <f t="shared" si="3"/>
        <v>155</v>
      </c>
      <c r="H32" s="140">
        <f t="shared" si="4"/>
        <v>301</v>
      </c>
      <c r="I32" s="137">
        <v>918</v>
      </c>
      <c r="J32" s="129"/>
      <c r="K32" s="129"/>
      <c r="L32" s="129"/>
      <c r="M32" s="129"/>
      <c r="N32" s="129"/>
    </row>
    <row r="33" spans="1:14">
      <c r="A33" s="129"/>
      <c r="B33" s="138" t="s">
        <v>51</v>
      </c>
      <c r="C33" s="139">
        <v>239</v>
      </c>
      <c r="D33" s="140">
        <v>501</v>
      </c>
      <c r="E33" s="161"/>
      <c r="F33" s="140"/>
      <c r="G33" s="161">
        <f t="shared" si="3"/>
        <v>239</v>
      </c>
      <c r="H33" s="140">
        <f t="shared" si="4"/>
        <v>501</v>
      </c>
      <c r="I33" s="137">
        <v>918</v>
      </c>
      <c r="J33" s="129"/>
      <c r="K33" s="129"/>
      <c r="L33" s="129"/>
      <c r="M33" s="129"/>
      <c r="N33" s="129"/>
    </row>
    <row r="34" spans="1:14">
      <c r="A34" s="129"/>
      <c r="B34" s="138" t="s">
        <v>52</v>
      </c>
      <c r="C34" s="139">
        <v>145</v>
      </c>
      <c r="D34" s="140">
        <v>270</v>
      </c>
      <c r="E34" s="161"/>
      <c r="F34" s="140"/>
      <c r="G34" s="161">
        <f t="shared" si="3"/>
        <v>145</v>
      </c>
      <c r="H34" s="140">
        <f t="shared" si="4"/>
        <v>270</v>
      </c>
      <c r="I34" s="137">
        <v>918</v>
      </c>
      <c r="J34" s="129"/>
      <c r="K34" s="129"/>
      <c r="L34" s="129"/>
      <c r="M34" s="129"/>
      <c r="N34" s="129"/>
    </row>
    <row r="35" spans="1:14">
      <c r="A35" s="129"/>
      <c r="B35" s="138" t="s">
        <v>53</v>
      </c>
      <c r="C35" s="139">
        <v>127</v>
      </c>
      <c r="D35" s="140">
        <v>218</v>
      </c>
      <c r="E35" s="139"/>
      <c r="F35" s="140"/>
      <c r="G35" s="161">
        <f t="shared" si="0"/>
        <v>127</v>
      </c>
      <c r="H35" s="140">
        <f t="shared" si="2"/>
        <v>218</v>
      </c>
      <c r="I35" s="137">
        <v>918</v>
      </c>
      <c r="J35" s="129"/>
      <c r="K35" s="129"/>
      <c r="L35" s="129"/>
      <c r="M35" s="129"/>
      <c r="N35" s="129"/>
    </row>
    <row r="36" spans="1:14">
      <c r="A36" s="129"/>
      <c r="B36" s="138" t="s">
        <v>54</v>
      </c>
      <c r="C36" s="139">
        <v>118</v>
      </c>
      <c r="D36" s="140">
        <v>198</v>
      </c>
      <c r="E36" s="139"/>
      <c r="F36" s="140"/>
      <c r="G36" s="161">
        <f t="shared" si="0"/>
        <v>118</v>
      </c>
      <c r="H36" s="140">
        <f t="shared" si="2"/>
        <v>198</v>
      </c>
      <c r="I36" s="137">
        <v>918</v>
      </c>
      <c r="J36" s="129"/>
      <c r="K36" s="129"/>
      <c r="L36" s="129"/>
      <c r="M36" s="129"/>
      <c r="N36" s="129"/>
    </row>
    <row r="37" spans="1:14">
      <c r="A37" s="129"/>
      <c r="B37" s="138" t="s">
        <v>55</v>
      </c>
      <c r="C37" s="139">
        <v>133</v>
      </c>
      <c r="D37" s="140">
        <v>233</v>
      </c>
      <c r="E37" s="139"/>
      <c r="F37" s="140"/>
      <c r="G37" s="161">
        <f t="shared" si="0"/>
        <v>133</v>
      </c>
      <c r="H37" s="140">
        <f t="shared" si="2"/>
        <v>233</v>
      </c>
      <c r="I37" s="137">
        <v>918</v>
      </c>
      <c r="J37" s="129"/>
      <c r="K37" s="129"/>
      <c r="L37" s="129"/>
      <c r="M37" s="129"/>
      <c r="N37" s="129"/>
    </row>
    <row r="38" spans="1:14" s="174" customFormat="1">
      <c r="A38" s="168"/>
      <c r="B38" s="169" t="s">
        <v>56</v>
      </c>
      <c r="C38" s="170">
        <v>162</v>
      </c>
      <c r="D38" s="140">
        <v>295</v>
      </c>
      <c r="E38" s="170"/>
      <c r="F38" s="171"/>
      <c r="G38" s="172">
        <f t="shared" si="0"/>
        <v>162</v>
      </c>
      <c r="H38" s="171">
        <f t="shared" si="2"/>
        <v>295</v>
      </c>
      <c r="I38" s="173">
        <v>918</v>
      </c>
      <c r="J38" s="168"/>
      <c r="K38" s="168"/>
      <c r="L38" s="168"/>
      <c r="M38" s="168"/>
      <c r="N38" s="168"/>
    </row>
    <row r="39" spans="1:14" s="174" customFormat="1">
      <c r="A39" s="168"/>
      <c r="B39" s="169" t="s">
        <v>57</v>
      </c>
      <c r="C39" s="170">
        <v>193</v>
      </c>
      <c r="D39" s="171">
        <v>373</v>
      </c>
      <c r="E39" s="170"/>
      <c r="F39" s="171"/>
      <c r="G39" s="172">
        <f t="shared" si="0"/>
        <v>193</v>
      </c>
      <c r="H39" s="171">
        <f t="shared" si="2"/>
        <v>373</v>
      </c>
      <c r="I39" s="173">
        <v>918</v>
      </c>
      <c r="J39" s="168"/>
      <c r="K39" s="168"/>
      <c r="L39" s="168"/>
      <c r="M39" s="168"/>
      <c r="N39" s="168"/>
    </row>
    <row r="40" spans="1:14" s="174" customFormat="1" ht="15.75" thickBot="1">
      <c r="A40" s="168"/>
      <c r="B40" s="169"/>
      <c r="C40" s="175"/>
      <c r="D40" s="176"/>
      <c r="E40" s="175"/>
      <c r="F40" s="176"/>
      <c r="G40" s="177">
        <f t="shared" si="0"/>
        <v>0</v>
      </c>
      <c r="H40" s="176">
        <f t="shared" si="2"/>
        <v>0</v>
      </c>
      <c r="I40" s="173">
        <v>918</v>
      </c>
      <c r="J40" s="168"/>
      <c r="K40" s="168"/>
      <c r="L40" s="168"/>
      <c r="M40" s="168"/>
      <c r="N40" s="168"/>
    </row>
    <row r="41" spans="1:14">
      <c r="C41" s="3">
        <f>SUM(C10:C40)</f>
        <v>4484</v>
      </c>
      <c r="D41" s="114">
        <f>SUM(D10:D40)</f>
        <v>8460</v>
      </c>
      <c r="G41" s="114">
        <f>SUM(G10:G40)</f>
        <v>4484</v>
      </c>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100">
        <f>'Athens Daily - EL'!AK8</f>
        <v>49360</v>
      </c>
      <c r="F2" s="100"/>
      <c r="G2" s="100">
        <f>'Athens Daily - Gas'!BH9</f>
        <v>113040</v>
      </c>
      <c r="H2" s="100">
        <f>G2/38.3</f>
        <v>2951.4360313315929</v>
      </c>
      <c r="I2" s="100"/>
      <c r="J2" s="100">
        <f>'Athens Daily - Water'!R7</f>
        <v>503.375</v>
      </c>
      <c r="K2" s="100"/>
      <c r="L2" s="101">
        <v>142</v>
      </c>
      <c r="M2" s="100">
        <f>L2*2</f>
        <v>284</v>
      </c>
      <c r="N2" s="98">
        <v>10</v>
      </c>
    </row>
    <row r="3" spans="1:14">
      <c r="A3" s="7" t="s">
        <v>14</v>
      </c>
      <c r="B3" s="7">
        <v>2</v>
      </c>
      <c r="C3" s="7">
        <v>1</v>
      </c>
      <c r="D3" s="7">
        <v>2021</v>
      </c>
      <c r="E3" s="100">
        <f>'Athens Daily - EL'!AK9</f>
        <v>48895</v>
      </c>
      <c r="F3" s="100"/>
      <c r="G3" s="100">
        <f>'Athens Daily - Gas'!BH11</f>
        <v>125088</v>
      </c>
      <c r="H3" s="100">
        <f t="shared" ref="H3:H32" si="0">G3/38.3</f>
        <v>3266.0052219321151</v>
      </c>
      <c r="I3" s="100"/>
      <c r="J3" s="100">
        <f>'Athens Daily - Water'!R8</f>
        <v>472.828125</v>
      </c>
      <c r="K3" s="100"/>
      <c r="L3" s="101">
        <v>102</v>
      </c>
      <c r="M3" s="100">
        <f t="shared" ref="M3:M32" si="1">L3*2</f>
        <v>204</v>
      </c>
      <c r="N3" s="98">
        <v>12</v>
      </c>
    </row>
    <row r="4" spans="1:14">
      <c r="A4" s="7" t="s">
        <v>14</v>
      </c>
      <c r="B4" s="7">
        <v>3</v>
      </c>
      <c r="C4" s="7">
        <v>1</v>
      </c>
      <c r="D4" s="7">
        <v>2021</v>
      </c>
      <c r="E4" s="100">
        <f>'Athens Daily - EL'!AK10</f>
        <v>46965</v>
      </c>
      <c r="F4" s="100"/>
      <c r="G4" s="100">
        <f>'Athens Daily - Gas'!BH12</f>
        <v>119260.79999999999</v>
      </c>
      <c r="H4" s="100">
        <f t="shared" si="0"/>
        <v>3113.859007832898</v>
      </c>
      <c r="I4" s="100"/>
      <c r="J4" s="100">
        <f>'Athens Daily - Water'!R9</f>
        <v>532.474609375</v>
      </c>
      <c r="K4" s="100"/>
      <c r="L4" s="101">
        <v>55</v>
      </c>
      <c r="M4" s="100">
        <f t="shared" si="1"/>
        <v>110</v>
      </c>
      <c r="N4" s="98">
        <v>15</v>
      </c>
    </row>
    <row r="5" spans="1:14">
      <c r="A5" s="7" t="s">
        <v>14</v>
      </c>
      <c r="B5" s="7">
        <v>4</v>
      </c>
      <c r="C5" s="7">
        <v>1</v>
      </c>
      <c r="D5" s="7">
        <v>2021</v>
      </c>
      <c r="E5" s="100">
        <f>'Athens Daily - EL'!AK11</f>
        <v>45600</v>
      </c>
      <c r="F5" s="100"/>
      <c r="G5" s="100">
        <f>'Athens Daily - Gas'!BH13</f>
        <v>117513.59999999999</v>
      </c>
      <c r="H5" s="100">
        <f t="shared" si="0"/>
        <v>3068.2402088772847</v>
      </c>
      <c r="I5" s="100"/>
      <c r="J5" s="100">
        <f>'Athens Daily - Water'!R10</f>
        <v>521.040283203125</v>
      </c>
      <c r="K5" s="100"/>
      <c r="L5" s="101">
        <v>45</v>
      </c>
      <c r="M5" s="100">
        <f t="shared" si="1"/>
        <v>90</v>
      </c>
      <c r="N5" s="98">
        <v>17</v>
      </c>
    </row>
    <row r="6" spans="1:14">
      <c r="A6" s="7" t="s">
        <v>14</v>
      </c>
      <c r="B6" s="7">
        <v>5</v>
      </c>
      <c r="C6" s="7">
        <v>1</v>
      </c>
      <c r="D6" s="7">
        <v>2021</v>
      </c>
      <c r="E6" s="100">
        <f>'Athens Daily - EL'!AK12</f>
        <v>46765</v>
      </c>
      <c r="F6" s="100"/>
      <c r="G6" s="100">
        <f>'Athens Daily - Gas'!BH14</f>
        <v>115104</v>
      </c>
      <c r="H6" s="100">
        <f t="shared" si="0"/>
        <v>3005.3263707571805</v>
      </c>
      <c r="I6" s="100"/>
      <c r="J6" s="100">
        <f>'Athens Daily - Water'!R11</f>
        <v>487.16024780273438</v>
      </c>
      <c r="K6" s="100"/>
      <c r="L6" s="101">
        <v>34</v>
      </c>
      <c r="M6" s="100">
        <f t="shared" si="1"/>
        <v>68</v>
      </c>
      <c r="N6" s="98">
        <v>15</v>
      </c>
    </row>
    <row r="7" spans="1:14">
      <c r="A7" s="7" t="s">
        <v>14</v>
      </c>
      <c r="B7" s="7">
        <v>6</v>
      </c>
      <c r="C7" s="7">
        <v>1</v>
      </c>
      <c r="D7" s="7">
        <v>2021</v>
      </c>
      <c r="E7" s="100">
        <f>'Athens Daily - EL'!AK13</f>
        <v>47800</v>
      </c>
      <c r="F7" s="100"/>
      <c r="G7" s="100">
        <f>'Athens Daily - Gas'!BH15</f>
        <v>113318.39999999999</v>
      </c>
      <c r="H7" s="100">
        <f t="shared" si="0"/>
        <v>2958.7049608355092</v>
      </c>
      <c r="I7" s="100"/>
      <c r="J7" s="100">
        <f>'Athens Daily - Water'!R12</f>
        <v>416.89021682739258</v>
      </c>
      <c r="K7" s="100"/>
      <c r="L7" s="101">
        <v>36</v>
      </c>
      <c r="M7" s="100">
        <f t="shared" si="1"/>
        <v>72</v>
      </c>
      <c r="N7" s="98"/>
    </row>
    <row r="8" spans="1:14">
      <c r="A8" s="7" t="s">
        <v>14</v>
      </c>
      <c r="B8" s="7">
        <v>7</v>
      </c>
      <c r="C8" s="7">
        <v>1</v>
      </c>
      <c r="D8" s="7">
        <v>2021</v>
      </c>
      <c r="E8" s="100">
        <f>'Athens Daily - EL'!AK14</f>
        <v>48390</v>
      </c>
      <c r="F8" s="100"/>
      <c r="G8" s="100">
        <f>'Athens Daily - Gas'!BH16</f>
        <v>116265.59999999999</v>
      </c>
      <c r="H8" s="100">
        <f t="shared" si="0"/>
        <v>3035.6553524804176</v>
      </c>
      <c r="I8" s="100"/>
      <c r="J8" s="100">
        <f>'Athens Daily - Water'!R13</f>
        <v>417.65393972396851</v>
      </c>
      <c r="K8" s="100"/>
      <c r="L8" s="101">
        <v>60</v>
      </c>
      <c r="M8" s="100">
        <f t="shared" si="1"/>
        <v>120</v>
      </c>
      <c r="N8" s="98"/>
    </row>
    <row r="9" spans="1:14">
      <c r="A9" s="7" t="s">
        <v>14</v>
      </c>
      <c r="B9" s="7">
        <v>8</v>
      </c>
      <c r="C9" s="7">
        <v>1</v>
      </c>
      <c r="D9" s="7">
        <v>2021</v>
      </c>
      <c r="E9" s="100">
        <f>'Athens Daily - EL'!AK15</f>
        <v>48680</v>
      </c>
      <c r="F9" s="100"/>
      <c r="G9" s="100">
        <f>'Athens Daily - Gas'!BH17</f>
        <v>112819.2</v>
      </c>
      <c r="H9" s="100">
        <f t="shared" si="0"/>
        <v>2945.6710182767624</v>
      </c>
      <c r="I9" s="100"/>
      <c r="J9" s="100">
        <f>'Athens Daily - Water'!R14</f>
        <v>405.57757806777954</v>
      </c>
      <c r="K9" s="100"/>
      <c r="L9" s="101">
        <v>64</v>
      </c>
      <c r="M9" s="100">
        <f t="shared" si="1"/>
        <v>128</v>
      </c>
      <c r="N9" s="98"/>
    </row>
    <row r="10" spans="1:14">
      <c r="A10" s="7" t="s">
        <v>14</v>
      </c>
      <c r="B10" s="7">
        <v>9</v>
      </c>
      <c r="C10" s="7">
        <v>1</v>
      </c>
      <c r="D10" s="7">
        <v>2021</v>
      </c>
      <c r="E10" s="100">
        <f>'Athens Daily - EL'!AK16</f>
        <v>46290</v>
      </c>
      <c r="F10" s="100"/>
      <c r="G10" s="100">
        <f>'Athens Daily - Gas'!BH18</f>
        <v>117024</v>
      </c>
      <c r="H10" s="100">
        <f t="shared" si="0"/>
        <v>3055.4569190600523</v>
      </c>
      <c r="I10" s="100"/>
      <c r="J10" s="100">
        <f>'Athens Daily - Water'!R15</f>
        <v>408</v>
      </c>
      <c r="K10" s="100"/>
      <c r="L10" s="101">
        <v>100</v>
      </c>
      <c r="M10" s="100">
        <f t="shared" si="1"/>
        <v>200</v>
      </c>
      <c r="N10" s="98">
        <v>9</v>
      </c>
    </row>
    <row r="11" spans="1:14">
      <c r="A11" s="7" t="s">
        <v>14</v>
      </c>
      <c r="B11" s="7">
        <v>10</v>
      </c>
      <c r="C11" s="7">
        <v>1</v>
      </c>
      <c r="D11" s="7">
        <v>2021</v>
      </c>
      <c r="E11" s="100">
        <f>'Athens Daily - EL'!AK17</f>
        <v>51030</v>
      </c>
      <c r="F11" s="100"/>
      <c r="G11" s="100">
        <f>'Athens Daily - Gas'!BH19</f>
        <v>125184</v>
      </c>
      <c r="H11" s="100">
        <f t="shared" si="0"/>
        <v>3268.5117493472585</v>
      </c>
      <c r="I11" s="100"/>
      <c r="J11" s="100">
        <f>'Athens Daily - Water'!R16</f>
        <v>481</v>
      </c>
      <c r="K11" s="100"/>
      <c r="L11" s="101">
        <v>63</v>
      </c>
      <c r="M11" s="100">
        <f t="shared" si="1"/>
        <v>126</v>
      </c>
      <c r="N11" s="98">
        <v>12</v>
      </c>
    </row>
    <row r="12" spans="1:14">
      <c r="A12" s="7" t="s">
        <v>14</v>
      </c>
      <c r="B12" s="7">
        <v>11</v>
      </c>
      <c r="C12" s="7">
        <v>1</v>
      </c>
      <c r="D12" s="7">
        <v>2021</v>
      </c>
      <c r="E12" s="100">
        <f>'Athens Daily - EL'!AK18</f>
        <v>52700</v>
      </c>
      <c r="F12" s="100"/>
      <c r="G12" s="100">
        <f>'Athens Daily - Gas'!BH20</f>
        <v>124502.39999999999</v>
      </c>
      <c r="H12" s="100">
        <f t="shared" si="0"/>
        <v>3250.7154046997389</v>
      </c>
      <c r="I12" s="100"/>
      <c r="J12" s="100">
        <f>'Athens Daily - Water'!R17</f>
        <v>530</v>
      </c>
      <c r="K12" s="100"/>
      <c r="L12" s="101">
        <v>39</v>
      </c>
      <c r="M12" s="100">
        <f t="shared" si="1"/>
        <v>78</v>
      </c>
      <c r="N12" s="98">
        <v>12</v>
      </c>
    </row>
    <row r="13" spans="1:14">
      <c r="A13" s="7" t="s">
        <v>14</v>
      </c>
      <c r="B13" s="7">
        <v>12</v>
      </c>
      <c r="C13" s="7">
        <v>1</v>
      </c>
      <c r="D13" s="7">
        <v>2021</v>
      </c>
      <c r="E13" s="100">
        <f>'Athens Daily - EL'!AK19</f>
        <v>49395</v>
      </c>
      <c r="F13" s="100"/>
      <c r="G13" s="100">
        <f>'Athens Daily - Gas'!BH21</f>
        <v>123763.2</v>
      </c>
      <c r="H13" s="100">
        <f t="shared" si="0"/>
        <v>3231.4151436031334</v>
      </c>
      <c r="I13" s="100"/>
      <c r="J13" s="100">
        <f>'Athens Daily - Water'!R18</f>
        <v>573</v>
      </c>
      <c r="K13" s="100"/>
      <c r="L13" s="101">
        <v>43</v>
      </c>
      <c r="M13" s="100">
        <f t="shared" si="1"/>
        <v>86</v>
      </c>
      <c r="N13" s="98">
        <v>10</v>
      </c>
    </row>
    <row r="14" spans="1:14">
      <c r="A14" s="7" t="s">
        <v>14</v>
      </c>
      <c r="B14" s="7">
        <v>13</v>
      </c>
      <c r="C14" s="7">
        <v>1</v>
      </c>
      <c r="D14" s="7">
        <v>2021</v>
      </c>
      <c r="E14" s="100">
        <f>'Athens Daily - EL'!AK20</f>
        <v>51105</v>
      </c>
      <c r="F14" s="100"/>
      <c r="G14" s="100">
        <f>'Athens Daily - Gas'!BH22</f>
        <v>114152.64000000001</v>
      </c>
      <c r="H14" s="100">
        <f t="shared" si="0"/>
        <v>2980.4866840731074</v>
      </c>
      <c r="I14" s="100"/>
      <c r="J14" s="100">
        <f>'Athens Daily - Water'!R19</f>
        <v>493</v>
      </c>
      <c r="K14" s="100"/>
      <c r="L14" s="101">
        <v>46</v>
      </c>
      <c r="M14" s="100">
        <f t="shared" si="1"/>
        <v>92</v>
      </c>
      <c r="N14" s="98">
        <v>12</v>
      </c>
    </row>
    <row r="15" spans="1:14">
      <c r="A15" s="7" t="s">
        <v>14</v>
      </c>
      <c r="B15" s="7">
        <v>14</v>
      </c>
      <c r="C15" s="7">
        <v>1</v>
      </c>
      <c r="D15" s="7">
        <v>2021</v>
      </c>
      <c r="E15" s="100">
        <f>'Athens Daily - EL'!AK21</f>
        <v>45770</v>
      </c>
      <c r="F15" s="100"/>
      <c r="G15" s="100">
        <f>'Athens Daily - Gas'!BH23</f>
        <v>111930.91199999998</v>
      </c>
      <c r="H15" s="100">
        <f t="shared" si="0"/>
        <v>2922.4781201044384</v>
      </c>
      <c r="I15" s="100"/>
      <c r="J15" s="100">
        <f>'Athens Daily - Water'!R20</f>
        <v>461</v>
      </c>
      <c r="K15" s="100"/>
      <c r="L15" s="101">
        <v>55</v>
      </c>
      <c r="M15" s="100">
        <f t="shared" si="1"/>
        <v>110</v>
      </c>
      <c r="N15" s="98">
        <v>13</v>
      </c>
    </row>
    <row r="16" spans="1:14">
      <c r="A16" s="7" t="s">
        <v>14</v>
      </c>
      <c r="B16" s="7">
        <v>15</v>
      </c>
      <c r="C16" s="7">
        <v>1</v>
      </c>
      <c r="D16" s="7">
        <v>2021</v>
      </c>
      <c r="E16" s="100">
        <f>'Athens Daily - EL'!AK22</f>
        <v>46645</v>
      </c>
      <c r="F16" s="100"/>
      <c r="G16" s="100">
        <f>'Athens Daily - Gas'!BH24</f>
        <v>125985.88799999999</v>
      </c>
      <c r="H16" s="100">
        <f t="shared" si="0"/>
        <v>3289.448772845953</v>
      </c>
      <c r="I16" s="100"/>
      <c r="J16" s="100">
        <f>'Athens Daily - Water'!R21</f>
        <v>446</v>
      </c>
      <c r="K16" s="100"/>
      <c r="L16" s="101">
        <v>74</v>
      </c>
      <c r="M16" s="100">
        <f t="shared" si="1"/>
        <v>148</v>
      </c>
      <c r="N16" s="98">
        <v>13</v>
      </c>
    </row>
    <row r="17" spans="1:14">
      <c r="A17" s="7" t="s">
        <v>14</v>
      </c>
      <c r="B17" s="7">
        <v>16</v>
      </c>
      <c r="C17" s="7">
        <v>1</v>
      </c>
      <c r="D17" s="7">
        <v>2021</v>
      </c>
      <c r="E17" s="100">
        <f>'Athens Daily - EL'!AK23</f>
        <v>50535</v>
      </c>
      <c r="F17" s="100"/>
      <c r="G17" s="100">
        <f>'Athens Daily - Gas'!BH25</f>
        <v>105023.71200000004</v>
      </c>
      <c r="H17" s="100">
        <f t="shared" si="0"/>
        <v>2742.1334725848578</v>
      </c>
      <c r="I17" s="100"/>
      <c r="J17" s="100">
        <f>'Athens Daily - Water'!R22</f>
        <v>436</v>
      </c>
      <c r="K17" s="100"/>
      <c r="L17" s="101">
        <v>149</v>
      </c>
      <c r="M17" s="100">
        <f t="shared" si="1"/>
        <v>298</v>
      </c>
      <c r="N17" s="102"/>
    </row>
    <row r="18" spans="1:14">
      <c r="A18" s="7" t="s">
        <v>14</v>
      </c>
      <c r="B18" s="7">
        <v>17</v>
      </c>
      <c r="C18" s="7">
        <v>1</v>
      </c>
      <c r="D18" s="7">
        <v>2021</v>
      </c>
      <c r="E18" s="100">
        <f>'Athens Daily - EL'!AK24</f>
        <v>53825</v>
      </c>
      <c r="F18" s="100"/>
      <c r="G18" s="100">
        <f>'Athens Daily - Gas'!BH26</f>
        <v>142855.48799999995</v>
      </c>
      <c r="H18" s="100">
        <f t="shared" si="0"/>
        <v>3729.9083028720615</v>
      </c>
      <c r="I18" s="100"/>
      <c r="J18" s="100">
        <f>'Athens Daily - Water'!R23</f>
        <v>472</v>
      </c>
      <c r="K18" s="100"/>
      <c r="L18" s="101">
        <v>64</v>
      </c>
      <c r="M18" s="100">
        <f t="shared" si="1"/>
        <v>128</v>
      </c>
      <c r="N18" s="102"/>
    </row>
    <row r="19" spans="1:14">
      <c r="A19" s="7" t="s">
        <v>14</v>
      </c>
      <c r="B19" s="7">
        <v>18</v>
      </c>
      <c r="C19" s="7">
        <v>1</v>
      </c>
      <c r="D19" s="7">
        <v>2021</v>
      </c>
      <c r="E19" s="100">
        <f>'Athens Daily - EL'!AK25</f>
        <v>54730</v>
      </c>
      <c r="F19" s="100"/>
      <c r="G19" s="100">
        <f>'Athens Daily - Gas'!BH27</f>
        <v>104796.96000000002</v>
      </c>
      <c r="H19" s="100">
        <f t="shared" si="0"/>
        <v>2736.213054830288</v>
      </c>
      <c r="I19" s="100"/>
      <c r="J19" s="100">
        <f>'Athens Daily - Water'!R24</f>
        <v>555</v>
      </c>
      <c r="K19" s="100"/>
      <c r="L19" s="101">
        <v>58</v>
      </c>
      <c r="M19" s="100">
        <f t="shared" si="1"/>
        <v>116</v>
      </c>
      <c r="N19" s="102"/>
    </row>
    <row r="20" spans="1:14">
      <c r="A20" s="7" t="s">
        <v>14</v>
      </c>
      <c r="B20" s="7">
        <v>19</v>
      </c>
      <c r="C20" s="7">
        <v>1</v>
      </c>
      <c r="D20" s="7">
        <v>2021</v>
      </c>
      <c r="E20" s="100">
        <f>'Athens Daily - EL'!AK26</f>
        <v>67275</v>
      </c>
      <c r="F20" s="100"/>
      <c r="G20" s="100">
        <f>'Athens Daily - Gas'!BH28</f>
        <v>114509.75999999999</v>
      </c>
      <c r="H20" s="100">
        <f t="shared" si="0"/>
        <v>2989.8109660574414</v>
      </c>
      <c r="I20" s="100"/>
      <c r="J20" s="100">
        <f>'Athens Daily - Water'!R25</f>
        <v>535</v>
      </c>
      <c r="K20" s="100"/>
      <c r="L20" s="101">
        <v>69</v>
      </c>
      <c r="M20" s="100">
        <f t="shared" si="1"/>
        <v>138</v>
      </c>
      <c r="N20" s="102"/>
    </row>
    <row r="21" spans="1:14">
      <c r="A21" s="7" t="s">
        <v>14</v>
      </c>
      <c r="B21" s="7">
        <v>20</v>
      </c>
      <c r="C21" s="7">
        <v>1</v>
      </c>
      <c r="D21" s="7">
        <v>2021</v>
      </c>
      <c r="E21" s="100">
        <f>'Athens Daily - EL'!AK27</f>
        <v>29790</v>
      </c>
      <c r="F21" s="100"/>
      <c r="G21" s="100">
        <f>'Athens Daily - Gas'!BH29</f>
        <v>115375.67999999999</v>
      </c>
      <c r="H21" s="100">
        <f t="shared" si="0"/>
        <v>3012.4198433420365</v>
      </c>
      <c r="I21" s="100"/>
      <c r="J21" s="100">
        <f>'Athens Daily - Water'!R26</f>
        <v>400</v>
      </c>
      <c r="K21" s="100"/>
      <c r="L21" s="101">
        <v>42</v>
      </c>
      <c r="M21" s="100">
        <f t="shared" si="1"/>
        <v>84</v>
      </c>
      <c r="N21" s="98"/>
    </row>
    <row r="22" spans="1:14">
      <c r="A22" s="7" t="s">
        <v>14</v>
      </c>
      <c r="B22" s="7">
        <v>21</v>
      </c>
      <c r="C22" s="7">
        <v>1</v>
      </c>
      <c r="D22" s="7">
        <v>2021</v>
      </c>
      <c r="E22" s="100">
        <f>'Athens Daily - EL'!AK28</f>
        <v>46870</v>
      </c>
      <c r="F22" s="100"/>
      <c r="G22" s="100">
        <f>'Athens Daily - Gas'!BH30</f>
        <v>114576.00000000001</v>
      </c>
      <c r="H22" s="100">
        <f t="shared" si="0"/>
        <v>2991.540469973891</v>
      </c>
      <c r="I22" s="100"/>
      <c r="J22" s="100">
        <f>'Athens Daily - Water'!R27</f>
        <v>420</v>
      </c>
      <c r="K22" s="100"/>
      <c r="L22" s="101">
        <v>45</v>
      </c>
      <c r="M22" s="100">
        <f t="shared" si="1"/>
        <v>90</v>
      </c>
      <c r="N22" s="98"/>
    </row>
    <row r="23" spans="1:14">
      <c r="A23" s="7" t="s">
        <v>14</v>
      </c>
      <c r="B23" s="7">
        <v>22</v>
      </c>
      <c r="C23" s="7">
        <v>1</v>
      </c>
      <c r="D23" s="7">
        <v>2021</v>
      </c>
      <c r="E23" s="100">
        <f>'Athens Daily - EL'!AK29</f>
        <v>47245</v>
      </c>
      <c r="F23" s="100"/>
      <c r="G23" s="100">
        <f>'Athens Daily - Gas'!BH31</f>
        <v>115034.39999999997</v>
      </c>
      <c r="H23" s="100">
        <f t="shared" si="0"/>
        <v>3003.5091383812005</v>
      </c>
      <c r="I23" s="100"/>
      <c r="J23" s="100">
        <f>'Athens Daily - Water'!R28</f>
        <v>416</v>
      </c>
      <c r="K23" s="100"/>
      <c r="L23" s="101">
        <v>82</v>
      </c>
      <c r="M23" s="100">
        <f t="shared" si="1"/>
        <v>164</v>
      </c>
      <c r="N23" s="98">
        <v>19</v>
      </c>
    </row>
    <row r="24" spans="1:14">
      <c r="A24" s="7" t="s">
        <v>14</v>
      </c>
      <c r="B24" s="7">
        <v>23</v>
      </c>
      <c r="C24" s="7">
        <v>1</v>
      </c>
      <c r="D24" s="7">
        <v>2021</v>
      </c>
      <c r="E24" s="100">
        <f>'Athens Daily - EL'!AK30</f>
        <v>50240</v>
      </c>
      <c r="F24" s="100"/>
      <c r="G24" s="100">
        <f>'Athens Daily - Gas'!BH32</f>
        <v>113593.92000000001</v>
      </c>
      <c r="H24" s="100">
        <f t="shared" si="0"/>
        <v>2965.8986945169718</v>
      </c>
      <c r="I24" s="100"/>
      <c r="J24" s="100">
        <f>'Athens Daily - Water'!R29</f>
        <v>447</v>
      </c>
      <c r="K24" s="100"/>
      <c r="L24" s="101">
        <v>170</v>
      </c>
      <c r="M24" s="100">
        <f t="shared" si="1"/>
        <v>340</v>
      </c>
      <c r="N24" s="98">
        <v>20</v>
      </c>
    </row>
    <row r="25" spans="1:14">
      <c r="A25" s="7" t="s">
        <v>14</v>
      </c>
      <c r="B25" s="7">
        <v>24</v>
      </c>
      <c r="C25" s="7">
        <v>1</v>
      </c>
      <c r="D25" s="7">
        <v>2021</v>
      </c>
      <c r="E25" s="100">
        <f>'Athens Daily - EL'!AK31</f>
        <v>49500</v>
      </c>
      <c r="F25" s="100"/>
      <c r="G25" s="100">
        <f>'Athens Daily - Gas'!BH33</f>
        <v>122837.23199999997</v>
      </c>
      <c r="H25" s="100">
        <f t="shared" si="0"/>
        <v>3207.2384334203653</v>
      </c>
      <c r="I25" s="100"/>
      <c r="J25" s="100">
        <f>'Athens Daily - Water'!R30</f>
        <v>478</v>
      </c>
      <c r="K25" s="100"/>
      <c r="L25" s="101">
        <v>91</v>
      </c>
      <c r="M25" s="100">
        <f t="shared" si="1"/>
        <v>182</v>
      </c>
      <c r="N25" s="98">
        <v>19</v>
      </c>
    </row>
    <row r="26" spans="1:14">
      <c r="A26" s="7" t="s">
        <v>14</v>
      </c>
      <c r="B26" s="7">
        <v>25</v>
      </c>
      <c r="C26" s="7">
        <v>1</v>
      </c>
      <c r="D26" s="7">
        <v>2021</v>
      </c>
      <c r="E26" s="100">
        <f>'Athens Daily - EL'!AK32</f>
        <v>48675</v>
      </c>
      <c r="F26" s="100"/>
      <c r="G26" s="100">
        <f>'Athens Daily - Gas'!BH34</f>
        <v>114944.304</v>
      </c>
      <c r="H26" s="100">
        <f t="shared" si="0"/>
        <v>3001.156762402089</v>
      </c>
      <c r="I26" s="100"/>
      <c r="J26" s="100">
        <f>'Athens Daily - Water'!R31</f>
        <v>554</v>
      </c>
      <c r="K26" s="100"/>
      <c r="L26" s="101">
        <v>56</v>
      </c>
      <c r="M26" s="100">
        <f t="shared" si="1"/>
        <v>112</v>
      </c>
      <c r="N26" s="99"/>
    </row>
    <row r="27" spans="1:14">
      <c r="A27" s="7" t="s">
        <v>14</v>
      </c>
      <c r="B27" s="7">
        <v>26</v>
      </c>
      <c r="C27" s="7">
        <v>1</v>
      </c>
      <c r="D27" s="7">
        <v>2021</v>
      </c>
      <c r="E27" s="100">
        <f>'Athens Daily - EL'!AK33</f>
        <v>47520</v>
      </c>
      <c r="F27" s="100"/>
      <c r="G27" s="100">
        <f>'Athens Daily - Gas'!BH35</f>
        <v>118130.304</v>
      </c>
      <c r="H27" s="100">
        <f t="shared" si="0"/>
        <v>3084.3421409921675</v>
      </c>
      <c r="I27" s="100"/>
      <c r="J27" s="100">
        <f>'Athens Daily - Water'!R32</f>
        <v>488</v>
      </c>
      <c r="K27" s="100"/>
      <c r="L27" s="100"/>
      <c r="M27" s="100">
        <f t="shared" si="1"/>
        <v>0</v>
      </c>
      <c r="N27" s="99"/>
    </row>
    <row r="28" spans="1:14">
      <c r="A28" s="7" t="s">
        <v>14</v>
      </c>
      <c r="B28" s="7">
        <v>27</v>
      </c>
      <c r="C28" s="7">
        <v>1</v>
      </c>
      <c r="D28" s="7">
        <v>2021</v>
      </c>
      <c r="E28" s="100">
        <f>'Athens Daily - EL'!AK34</f>
        <v>51530</v>
      </c>
      <c r="F28" s="100"/>
      <c r="G28" s="100">
        <f>'Athens Daily - Gas'!BH36</f>
        <v>110112</v>
      </c>
      <c r="H28" s="100">
        <f t="shared" si="0"/>
        <v>2874.9869451697132</v>
      </c>
      <c r="I28" s="100"/>
      <c r="J28" s="100">
        <f>'Athens Daily - Water'!R33</f>
        <v>410</v>
      </c>
      <c r="K28" s="100"/>
      <c r="L28" s="100"/>
      <c r="M28" s="100">
        <f t="shared" si="1"/>
        <v>0</v>
      </c>
      <c r="N28" s="99"/>
    </row>
    <row r="29" spans="1:14">
      <c r="A29" s="7" t="s">
        <v>14</v>
      </c>
      <c r="B29" s="7">
        <v>28</v>
      </c>
      <c r="C29" s="7">
        <v>1</v>
      </c>
      <c r="D29" s="7">
        <v>2021</v>
      </c>
      <c r="E29" s="100">
        <f>'Athens Daily - EL'!AK35</f>
        <v>46495</v>
      </c>
      <c r="F29" s="100"/>
      <c r="G29" s="100">
        <f>'Athens Daily - Gas'!BH37</f>
        <v>113673.60000000001</v>
      </c>
      <c r="H29" s="100">
        <f t="shared" si="0"/>
        <v>2967.979112271541</v>
      </c>
      <c r="I29" s="100"/>
      <c r="J29" s="100">
        <f>'Athens Daily - Water'!R34</f>
        <v>408</v>
      </c>
      <c r="K29" s="100"/>
      <c r="L29" s="100"/>
      <c r="M29" s="100">
        <f t="shared" si="1"/>
        <v>0</v>
      </c>
      <c r="N29" s="99"/>
    </row>
    <row r="30" spans="1:14">
      <c r="A30" s="7" t="s">
        <v>14</v>
      </c>
      <c r="B30" s="7">
        <v>29</v>
      </c>
      <c r="C30" s="7">
        <v>1</v>
      </c>
      <c r="D30" s="7">
        <v>2021</v>
      </c>
      <c r="E30" s="100">
        <f>'Athens Daily - EL'!AK36</f>
        <v>48960</v>
      </c>
      <c r="F30" s="100"/>
      <c r="G30" s="100">
        <f>'Athens Daily - Gas'!BH38</f>
        <v>114101.61599999998</v>
      </c>
      <c r="H30" s="100">
        <f t="shared" si="0"/>
        <v>2979.1544647519581</v>
      </c>
      <c r="I30" s="100"/>
      <c r="J30" s="100">
        <f>'Athens Daily - Water'!R36</f>
        <v>458</v>
      </c>
      <c r="K30" s="100"/>
      <c r="L30" s="100"/>
      <c r="M30" s="100">
        <f t="shared" si="1"/>
        <v>0</v>
      </c>
      <c r="N30" s="99"/>
    </row>
    <row r="31" spans="1:14">
      <c r="A31" s="7" t="s">
        <v>14</v>
      </c>
      <c r="B31" s="7">
        <v>30</v>
      </c>
      <c r="C31" s="7">
        <v>1</v>
      </c>
      <c r="D31" s="7">
        <v>2021</v>
      </c>
      <c r="E31" s="100">
        <f>'Athens Daily - EL'!AK37</f>
        <v>48755</v>
      </c>
      <c r="F31" s="100"/>
      <c r="G31" s="100">
        <f>'Athens Daily - Gas'!BH39</f>
        <v>0</v>
      </c>
      <c r="H31" s="100">
        <f t="shared" si="0"/>
        <v>0</v>
      </c>
      <c r="I31" s="100"/>
      <c r="J31" s="100">
        <f>'Athens Daily - Water'!R38</f>
        <v>0</v>
      </c>
      <c r="K31" s="100"/>
      <c r="L31" s="100"/>
      <c r="M31" s="100">
        <f t="shared" si="1"/>
        <v>0</v>
      </c>
      <c r="N31" s="99"/>
    </row>
    <row r="32" spans="1:14">
      <c r="A32" s="7" t="s">
        <v>14</v>
      </c>
      <c r="B32" s="7">
        <v>31</v>
      </c>
      <c r="C32" s="7">
        <v>1</v>
      </c>
      <c r="D32" s="7">
        <v>2021</v>
      </c>
      <c r="E32" s="100">
        <f>'Athens Daily - EL'!AK38</f>
        <v>0</v>
      </c>
      <c r="F32" s="100"/>
      <c r="G32" s="100">
        <f>'Athens Daily - Gas'!BH40</f>
        <v>0</v>
      </c>
      <c r="H32" s="100">
        <f t="shared" si="0"/>
        <v>0</v>
      </c>
      <c r="I32" s="100"/>
      <c r="J32" s="100">
        <f>'Athens Daily - Water'!R39</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16487</v>
      </c>
      <c r="F2" s="7"/>
      <c r="G2" s="38">
        <f>'Athens Daily - Gas'!BI9</f>
        <v>65328</v>
      </c>
      <c r="H2" s="7"/>
      <c r="I2" s="39">
        <f>'Athens Daily - Water'!S7</f>
        <v>239.55</v>
      </c>
      <c r="J2" s="7"/>
      <c r="K2" s="7">
        <v>286</v>
      </c>
      <c r="L2" s="7">
        <v>2</v>
      </c>
    </row>
    <row r="3" spans="1:12">
      <c r="A3" s="7" t="s">
        <v>14</v>
      </c>
      <c r="B3" s="7">
        <v>2</v>
      </c>
      <c r="C3" s="7">
        <v>1</v>
      </c>
      <c r="D3" s="7">
        <v>2021</v>
      </c>
      <c r="E3" s="7">
        <f>'Athens Daily - EL'!AL9</f>
        <v>14267</v>
      </c>
      <c r="F3" s="7"/>
      <c r="G3" s="38">
        <f>'Athens Daily - Gas'!BI11</f>
        <v>74016</v>
      </c>
      <c r="H3" s="7"/>
      <c r="I3" s="39">
        <f>'Athens Daily - Water'!S8</f>
        <v>225.35000000000002</v>
      </c>
      <c r="J3" s="7"/>
      <c r="K3" s="7">
        <v>285</v>
      </c>
      <c r="L3" s="7">
        <v>2</v>
      </c>
    </row>
    <row r="4" spans="1:12">
      <c r="A4" s="7" t="s">
        <v>14</v>
      </c>
      <c r="B4" s="7">
        <v>3</v>
      </c>
      <c r="C4" s="7">
        <v>1</v>
      </c>
      <c r="D4" s="7">
        <v>2021</v>
      </c>
      <c r="E4" s="7">
        <f>'Athens Daily - EL'!AL10</f>
        <v>11845</v>
      </c>
      <c r="F4" s="7"/>
      <c r="G4" s="38">
        <f>'Athens Daily - Gas'!BI12</f>
        <v>60979.200000000004</v>
      </c>
      <c r="H4" s="7"/>
      <c r="I4" s="39">
        <f>'Athens Daily - Water'!S9</f>
        <v>229.45</v>
      </c>
      <c r="J4" s="7"/>
      <c r="K4" s="7">
        <v>282</v>
      </c>
      <c r="L4" s="7">
        <v>2</v>
      </c>
    </row>
    <row r="5" spans="1:12">
      <c r="A5" s="7" t="s">
        <v>14</v>
      </c>
      <c r="B5" s="7">
        <v>4</v>
      </c>
      <c r="C5" s="7">
        <v>1</v>
      </c>
      <c r="D5" s="7">
        <v>2021</v>
      </c>
      <c r="E5" s="7">
        <f>'Athens Daily - EL'!AL11</f>
        <v>15502</v>
      </c>
      <c r="F5" s="7"/>
      <c r="G5" s="38">
        <f>'Athens Daily - Gas'!BI13</f>
        <v>64886.400000000001</v>
      </c>
      <c r="H5" s="7"/>
      <c r="I5" s="39">
        <f>'Athens Daily - Water'!S10</f>
        <v>435.6</v>
      </c>
      <c r="J5" s="7"/>
      <c r="K5" s="7">
        <v>284</v>
      </c>
      <c r="L5" s="7">
        <v>2</v>
      </c>
    </row>
    <row r="6" spans="1:12">
      <c r="A6" s="7" t="s">
        <v>14</v>
      </c>
      <c r="B6" s="7">
        <v>5</v>
      </c>
      <c r="C6" s="7">
        <v>1</v>
      </c>
      <c r="D6" s="7">
        <v>2021</v>
      </c>
      <c r="E6" s="7">
        <f>'Athens Daily - EL'!AL12</f>
        <v>18534</v>
      </c>
      <c r="F6" s="7"/>
      <c r="G6" s="38">
        <f>'Athens Daily - Gas'!BI14</f>
        <v>62592</v>
      </c>
      <c r="H6" s="7"/>
      <c r="I6" s="39">
        <f>'Athens Daily - Water'!S11</f>
        <v>34.049999999999997</v>
      </c>
      <c r="J6" s="7"/>
      <c r="K6" s="7">
        <v>286</v>
      </c>
      <c r="L6" s="7">
        <v>2</v>
      </c>
    </row>
    <row r="7" spans="1:12">
      <c r="A7" s="7" t="s">
        <v>14</v>
      </c>
      <c r="B7" s="7">
        <v>6</v>
      </c>
      <c r="C7" s="7">
        <v>1</v>
      </c>
      <c r="D7" s="7">
        <v>2021</v>
      </c>
      <c r="E7" s="7">
        <f>'Athens Daily - EL'!AL13</f>
        <v>19264</v>
      </c>
      <c r="F7" s="7"/>
      <c r="G7" s="38">
        <f>'Athens Daily - Gas'!BI15</f>
        <v>62265.600000000006</v>
      </c>
      <c r="H7" s="7"/>
      <c r="I7" s="39">
        <f>'Athens Daily - Water'!S12</f>
        <v>228.85000000000002</v>
      </c>
      <c r="J7" s="7"/>
      <c r="K7" s="7">
        <v>288</v>
      </c>
      <c r="L7" s="7">
        <v>2</v>
      </c>
    </row>
    <row r="8" spans="1:12">
      <c r="A8" s="7" t="s">
        <v>14</v>
      </c>
      <c r="B8" s="7">
        <v>7</v>
      </c>
      <c r="C8" s="7">
        <v>1</v>
      </c>
      <c r="D8" s="7">
        <v>2021</v>
      </c>
      <c r="E8" s="7">
        <f>'Athens Daily - EL'!AL14</f>
        <v>20708</v>
      </c>
      <c r="F8" s="7"/>
      <c r="G8" s="38">
        <f>'Athens Daily - Gas'!BI16</f>
        <v>65606.399999999994</v>
      </c>
      <c r="H8" s="7"/>
      <c r="I8" s="39">
        <f>'Athens Daily - Water'!S13</f>
        <v>228.4</v>
      </c>
      <c r="J8" s="7"/>
      <c r="K8" s="7">
        <v>286</v>
      </c>
      <c r="L8" s="7">
        <v>2</v>
      </c>
    </row>
    <row r="9" spans="1:12">
      <c r="A9" s="7" t="s">
        <v>14</v>
      </c>
      <c r="B9" s="7">
        <v>8</v>
      </c>
      <c r="C9" s="7">
        <v>1</v>
      </c>
      <c r="D9" s="7">
        <v>2021</v>
      </c>
      <c r="E9" s="7">
        <f>'Athens Daily - EL'!AL15</f>
        <v>20202</v>
      </c>
      <c r="F9" s="7"/>
      <c r="G9" s="38">
        <f>'Athens Daily - Gas'!BI17</f>
        <v>63148.800000000003</v>
      </c>
      <c r="H9" s="7"/>
      <c r="I9" s="39">
        <f>'Athens Daily - Water'!S14</f>
        <v>227.05</v>
      </c>
      <c r="J9" s="7"/>
      <c r="K9" s="7">
        <v>287</v>
      </c>
      <c r="L9" s="7">
        <v>2</v>
      </c>
    </row>
    <row r="10" spans="1:12">
      <c r="A10" s="7" t="s">
        <v>14</v>
      </c>
      <c r="B10" s="7">
        <v>9</v>
      </c>
      <c r="C10" s="7">
        <v>1</v>
      </c>
      <c r="D10" s="7">
        <v>2021</v>
      </c>
      <c r="E10" s="7">
        <f>'Athens Daily - EL'!AL16</f>
        <v>17578</v>
      </c>
      <c r="F10" s="7"/>
      <c r="G10" s="38">
        <f>'Athens Daily - Gas'!BI18</f>
        <v>61440</v>
      </c>
      <c r="H10" s="7"/>
      <c r="I10" s="39">
        <f>'Athens Daily - Water'!S15</f>
        <v>212.4</v>
      </c>
      <c r="J10" s="7"/>
      <c r="K10" s="7">
        <v>284</v>
      </c>
      <c r="L10" s="7">
        <v>2</v>
      </c>
    </row>
    <row r="11" spans="1:12">
      <c r="A11" s="7" t="s">
        <v>14</v>
      </c>
      <c r="B11" s="7">
        <v>10</v>
      </c>
      <c r="C11" s="7">
        <v>1</v>
      </c>
      <c r="D11" s="7">
        <v>2021</v>
      </c>
      <c r="E11" s="7">
        <f>'Athens Daily - EL'!AL17</f>
        <v>20998</v>
      </c>
      <c r="F11" s="7"/>
      <c r="G11" s="38">
        <f>'Athens Daily - Gas'!BI19</f>
        <v>66816</v>
      </c>
      <c r="H11" s="7"/>
      <c r="I11" s="39">
        <f>'Athens Daily - Water'!S16</f>
        <v>224.60000000000002</v>
      </c>
      <c r="J11" s="7"/>
      <c r="K11" s="7">
        <v>284</v>
      </c>
      <c r="L11" s="7">
        <v>2</v>
      </c>
    </row>
    <row r="12" spans="1:12">
      <c r="A12" s="7" t="s">
        <v>14</v>
      </c>
      <c r="B12" s="7">
        <v>11</v>
      </c>
      <c r="C12" s="7">
        <v>1</v>
      </c>
      <c r="D12" s="7">
        <v>2021</v>
      </c>
      <c r="E12" s="7">
        <f>'Athens Daily - EL'!AL18</f>
        <v>23137</v>
      </c>
      <c r="F12" s="7"/>
      <c r="G12" s="38">
        <f>'Athens Daily - Gas'!BI20</f>
        <v>69657.600000000006</v>
      </c>
      <c r="H12" s="7"/>
      <c r="I12" s="39">
        <f>'Athens Daily - Water'!S17</f>
        <v>223.4</v>
      </c>
      <c r="J12" s="7"/>
      <c r="K12" s="7">
        <v>284</v>
      </c>
      <c r="L12" s="7">
        <v>2</v>
      </c>
    </row>
    <row r="13" spans="1:12">
      <c r="A13" s="7" t="s">
        <v>14</v>
      </c>
      <c r="B13" s="7">
        <v>12</v>
      </c>
      <c r="C13" s="7">
        <v>1</v>
      </c>
      <c r="D13" s="7">
        <v>2021</v>
      </c>
      <c r="E13" s="7">
        <f>'Athens Daily - EL'!AL19</f>
        <v>21174</v>
      </c>
      <c r="F13" s="7"/>
      <c r="G13" s="38">
        <f>'Athens Daily - Gas'!BI21</f>
        <v>64540.800000000003</v>
      </c>
      <c r="H13" s="7"/>
      <c r="I13" s="39">
        <f>'Athens Daily - Water'!S18</f>
        <v>226.15</v>
      </c>
      <c r="J13" s="7"/>
      <c r="K13" s="7">
        <v>286</v>
      </c>
      <c r="L13" s="7">
        <v>2</v>
      </c>
    </row>
    <row r="14" spans="1:12">
      <c r="A14" s="7" t="s">
        <v>14</v>
      </c>
      <c r="B14" s="7">
        <v>13</v>
      </c>
      <c r="C14" s="7">
        <v>1</v>
      </c>
      <c r="D14" s="7">
        <v>2021</v>
      </c>
      <c r="E14" s="7">
        <f>'Athens Daily - EL'!AL20</f>
        <v>17554</v>
      </c>
      <c r="F14" s="7"/>
      <c r="G14" s="38">
        <f>'Athens Daily - Gas'!BI22</f>
        <v>65904</v>
      </c>
      <c r="H14" s="7"/>
      <c r="I14" s="39">
        <f>'Athens Daily - Water'!S19</f>
        <v>241.85000000000002</v>
      </c>
      <c r="J14" s="7"/>
      <c r="K14" s="7">
        <v>287</v>
      </c>
      <c r="L14" s="7">
        <v>2</v>
      </c>
    </row>
    <row r="15" spans="1:12">
      <c r="A15" s="7" t="s">
        <v>14</v>
      </c>
      <c r="B15" s="7">
        <v>14</v>
      </c>
      <c r="C15" s="7">
        <v>1</v>
      </c>
      <c r="D15" s="7">
        <v>2021</v>
      </c>
      <c r="E15" s="7">
        <f>'Athens Daily - EL'!AL21</f>
        <v>12777</v>
      </c>
      <c r="F15" s="7"/>
      <c r="G15" s="38">
        <f>'Athens Daily - Gas'!BI23</f>
        <v>61478.400000000001</v>
      </c>
      <c r="H15" s="7"/>
      <c r="I15" s="39">
        <f>'Athens Daily - Water'!S20</f>
        <v>226.5</v>
      </c>
      <c r="J15" s="7"/>
      <c r="K15" s="7">
        <v>287</v>
      </c>
      <c r="L15" s="7">
        <v>2</v>
      </c>
    </row>
    <row r="16" spans="1:12">
      <c r="A16" s="7" t="s">
        <v>14</v>
      </c>
      <c r="B16" s="7">
        <v>15</v>
      </c>
      <c r="C16" s="7">
        <v>1</v>
      </c>
      <c r="D16" s="7">
        <v>2021</v>
      </c>
      <c r="E16" s="7">
        <f>'Athens Daily - EL'!AL22</f>
        <v>12958</v>
      </c>
      <c r="F16" s="7"/>
      <c r="G16" s="38">
        <f>'Athens Daily - Gas'!BI24</f>
        <v>70819.200000000012</v>
      </c>
      <c r="H16" s="7"/>
      <c r="I16" s="39">
        <f>'Athens Daily - Water'!S21</f>
        <v>178.35000000000002</v>
      </c>
      <c r="J16" s="7"/>
      <c r="K16" s="7">
        <v>288</v>
      </c>
      <c r="L16" s="7">
        <v>2</v>
      </c>
    </row>
    <row r="17" spans="1:12">
      <c r="A17" s="7" t="s">
        <v>14</v>
      </c>
      <c r="B17" s="7">
        <v>16</v>
      </c>
      <c r="C17" s="7">
        <v>1</v>
      </c>
      <c r="D17" s="7">
        <v>2021</v>
      </c>
      <c r="E17" s="7">
        <f>'Athens Daily - EL'!AL23</f>
        <v>15248</v>
      </c>
      <c r="F17" s="7"/>
      <c r="G17" s="38">
        <f>'Athens Daily - Gas'!BI25</f>
        <v>56342.400000000001</v>
      </c>
      <c r="H17" s="7"/>
      <c r="I17" s="39">
        <f>'Athens Daily - Water'!S22</f>
        <v>189.25</v>
      </c>
      <c r="J17" s="7"/>
      <c r="K17" s="7">
        <v>288</v>
      </c>
      <c r="L17" s="7">
        <v>2</v>
      </c>
    </row>
    <row r="18" spans="1:12">
      <c r="A18" s="7" t="s">
        <v>14</v>
      </c>
      <c r="B18" s="7">
        <v>17</v>
      </c>
      <c r="C18" s="7">
        <v>1</v>
      </c>
      <c r="D18" s="7">
        <v>2021</v>
      </c>
      <c r="E18" s="7">
        <f>'Athens Daily - EL'!AL24</f>
        <v>17771</v>
      </c>
      <c r="F18" s="7"/>
      <c r="G18" s="38">
        <f>'Athens Daily - Gas'!BI26</f>
        <v>82358.399999999994</v>
      </c>
      <c r="H18" s="7"/>
      <c r="I18" s="39">
        <f>'Athens Daily - Water'!S23</f>
        <v>180.85000000000002</v>
      </c>
      <c r="J18" s="7"/>
      <c r="K18" s="7">
        <v>288</v>
      </c>
      <c r="L18" s="7">
        <v>2</v>
      </c>
    </row>
    <row r="19" spans="1:12">
      <c r="A19" s="7" t="s">
        <v>14</v>
      </c>
      <c r="B19" s="7">
        <v>18</v>
      </c>
      <c r="C19" s="7">
        <v>1</v>
      </c>
      <c r="D19" s="7">
        <v>2021</v>
      </c>
      <c r="E19" s="7">
        <f>'Athens Daily - EL'!AL25</f>
        <v>18458</v>
      </c>
      <c r="F19" s="7"/>
      <c r="G19" s="38">
        <f>'Athens Daily - Gas'!BI27</f>
        <v>50016</v>
      </c>
      <c r="H19" s="7"/>
      <c r="I19" s="39">
        <f>'Athens Daily - Water'!S24</f>
        <v>214.2</v>
      </c>
      <c r="J19" s="7"/>
      <c r="K19" s="7">
        <v>291</v>
      </c>
      <c r="L19" s="7">
        <v>2</v>
      </c>
    </row>
    <row r="20" spans="1:12">
      <c r="A20" s="7" t="s">
        <v>14</v>
      </c>
      <c r="B20" s="7">
        <v>19</v>
      </c>
      <c r="C20" s="7">
        <v>1</v>
      </c>
      <c r="D20" s="7">
        <v>2021</v>
      </c>
      <c r="E20" s="7">
        <f>'Athens Daily - EL'!AL26</f>
        <v>17053</v>
      </c>
      <c r="F20" s="7"/>
      <c r="G20" s="38">
        <f>'Athens Daily - Gas'!BI28</f>
        <v>67728</v>
      </c>
      <c r="H20" s="7"/>
      <c r="I20" s="39">
        <f>'Athens Daily - Water'!S25</f>
        <v>180.05</v>
      </c>
      <c r="J20" s="7"/>
      <c r="K20" s="7">
        <v>290</v>
      </c>
      <c r="L20" s="7">
        <v>2</v>
      </c>
    </row>
    <row r="21" spans="1:12">
      <c r="A21" s="7" t="s">
        <v>14</v>
      </c>
      <c r="B21" s="7">
        <v>20</v>
      </c>
      <c r="C21" s="7">
        <v>1</v>
      </c>
      <c r="D21" s="7">
        <v>2021</v>
      </c>
      <c r="E21" s="7">
        <f>'Athens Daily - EL'!AL27</f>
        <v>15701</v>
      </c>
      <c r="F21" s="7"/>
      <c r="G21" s="38">
        <f>'Athens Daily - Gas'!BI29</f>
        <v>64320</v>
      </c>
      <c r="H21" s="7"/>
      <c r="I21" s="39">
        <f>'Athens Daily - Water'!S26</f>
        <v>193.45</v>
      </c>
      <c r="J21" s="7"/>
      <c r="K21" s="7">
        <v>292</v>
      </c>
      <c r="L21" s="7">
        <v>2</v>
      </c>
    </row>
    <row r="22" spans="1:12">
      <c r="A22" s="7" t="s">
        <v>14</v>
      </c>
      <c r="B22" s="7">
        <v>21</v>
      </c>
      <c r="C22" s="7">
        <v>1</v>
      </c>
      <c r="D22" s="7">
        <v>2021</v>
      </c>
      <c r="E22" s="7">
        <f>'Athens Daily - EL'!AL28</f>
        <v>12974</v>
      </c>
      <c r="F22" s="7"/>
      <c r="G22" s="38">
        <f>'Athens Daily - Gas'!BI30</f>
        <v>64291.200000000004</v>
      </c>
      <c r="H22" s="7"/>
      <c r="I22" s="39">
        <f>'Athens Daily - Water'!S27</f>
        <v>193.65</v>
      </c>
      <c r="J22" s="7"/>
      <c r="K22" s="7">
        <v>293</v>
      </c>
      <c r="L22" s="7">
        <v>2</v>
      </c>
    </row>
    <row r="23" spans="1:12">
      <c r="A23" s="7" t="s">
        <v>14</v>
      </c>
      <c r="B23" s="7">
        <v>22</v>
      </c>
      <c r="C23" s="7">
        <v>1</v>
      </c>
      <c r="D23" s="7">
        <v>2021</v>
      </c>
      <c r="E23" s="7">
        <f>'Athens Daily - EL'!AL29</f>
        <v>9432</v>
      </c>
      <c r="F23" s="7"/>
      <c r="G23" s="38">
        <f>'Athens Daily - Gas'!BI31</f>
        <v>66038.399999999994</v>
      </c>
      <c r="H23" s="7"/>
      <c r="I23" s="39">
        <f>'Athens Daily - Water'!S28</f>
        <v>181.35000000000002</v>
      </c>
      <c r="J23" s="7"/>
      <c r="K23" s="7">
        <v>293</v>
      </c>
      <c r="L23" s="7">
        <v>2</v>
      </c>
    </row>
    <row r="24" spans="1:12">
      <c r="A24" s="7" t="s">
        <v>14</v>
      </c>
      <c r="B24" s="7">
        <v>23</v>
      </c>
      <c r="C24" s="7">
        <v>1</v>
      </c>
      <c r="D24" s="7">
        <v>2021</v>
      </c>
      <c r="E24" s="7">
        <f>'Athens Daily - EL'!AL30</f>
        <v>18980</v>
      </c>
      <c r="F24" s="7"/>
      <c r="G24" s="38">
        <f>'Athens Daily - Gas'!BI32</f>
        <v>62755.200000000004</v>
      </c>
      <c r="H24" s="7"/>
      <c r="I24" s="39">
        <f>'Athens Daily - Water'!S29</f>
        <v>197.5</v>
      </c>
      <c r="J24" s="7"/>
      <c r="K24" s="7">
        <v>294</v>
      </c>
      <c r="L24" s="7">
        <v>2</v>
      </c>
    </row>
    <row r="25" spans="1:12">
      <c r="A25" s="7" t="s">
        <v>14</v>
      </c>
      <c r="B25" s="7">
        <v>24</v>
      </c>
      <c r="C25" s="7">
        <v>1</v>
      </c>
      <c r="D25" s="7">
        <v>2021</v>
      </c>
      <c r="E25" s="7">
        <f>'Athens Daily - EL'!AL31</f>
        <v>13473</v>
      </c>
      <c r="F25" s="7"/>
      <c r="G25" s="38">
        <f>'Athens Daily - Gas'!BI33</f>
        <v>66614.399999999994</v>
      </c>
      <c r="H25" s="7"/>
      <c r="I25" s="39">
        <f>'Athens Daily - Water'!S30</f>
        <v>188.55</v>
      </c>
      <c r="J25" s="7"/>
      <c r="K25" s="7">
        <v>294</v>
      </c>
      <c r="L25" s="7">
        <v>2</v>
      </c>
    </row>
    <row r="26" spans="1:12">
      <c r="A26" s="7" t="s">
        <v>14</v>
      </c>
      <c r="B26" s="7">
        <v>25</v>
      </c>
      <c r="C26" s="7">
        <v>1</v>
      </c>
      <c r="D26" s="7">
        <v>2021</v>
      </c>
      <c r="E26" s="7">
        <f>'Athens Daily - EL'!AL32</f>
        <v>13408</v>
      </c>
      <c r="F26" s="7"/>
      <c r="G26" s="38">
        <f>'Athens Daily - Gas'!BI34</f>
        <v>62246.400000000001</v>
      </c>
      <c r="H26" s="7"/>
      <c r="I26" s="39">
        <f>'Athens Daily - Water'!S31</f>
        <v>183.2</v>
      </c>
      <c r="J26" s="7"/>
      <c r="K26" s="7">
        <v>291</v>
      </c>
      <c r="L26" s="7">
        <v>2</v>
      </c>
    </row>
    <row r="27" spans="1:12">
      <c r="A27" s="7" t="s">
        <v>14</v>
      </c>
      <c r="B27" s="7">
        <v>26</v>
      </c>
      <c r="C27" s="7">
        <v>1</v>
      </c>
      <c r="D27" s="7">
        <v>2021</v>
      </c>
      <c r="E27" s="7">
        <f>'Athens Daily - EL'!AL33</f>
        <v>13744</v>
      </c>
      <c r="F27" s="7"/>
      <c r="G27" s="38">
        <f>'Athens Daily - Gas'!BI35</f>
        <v>66460.800000000003</v>
      </c>
      <c r="H27" s="7"/>
      <c r="I27" s="39">
        <f>'Athens Daily - Water'!S32</f>
        <v>184.05</v>
      </c>
      <c r="J27" s="7"/>
      <c r="K27" s="7">
        <v>291</v>
      </c>
      <c r="L27" s="7">
        <v>2</v>
      </c>
    </row>
    <row r="28" spans="1:12">
      <c r="A28" s="7" t="s">
        <v>14</v>
      </c>
      <c r="B28" s="7">
        <v>27</v>
      </c>
      <c r="C28" s="7">
        <v>1</v>
      </c>
      <c r="D28" s="7">
        <v>2021</v>
      </c>
      <c r="E28" s="7">
        <f>'Athens Daily - EL'!AL34</f>
        <v>17235</v>
      </c>
      <c r="F28" s="7"/>
      <c r="G28" s="38">
        <f>'Athens Daily - Gas'!BI36</f>
        <v>61008</v>
      </c>
      <c r="H28" s="7"/>
      <c r="I28" s="39">
        <f>'Athens Daily - Water'!S33</f>
        <v>212.15</v>
      </c>
      <c r="J28" s="7"/>
      <c r="K28" s="7">
        <v>288</v>
      </c>
      <c r="L28" s="7">
        <v>2</v>
      </c>
    </row>
    <row r="29" spans="1:12">
      <c r="A29" s="7" t="s">
        <v>14</v>
      </c>
      <c r="B29" s="7">
        <v>28</v>
      </c>
      <c r="C29" s="7">
        <v>1</v>
      </c>
      <c r="D29" s="7">
        <v>2021</v>
      </c>
      <c r="E29" s="7">
        <f>'Athens Daily - EL'!AL35</f>
        <v>12543</v>
      </c>
      <c r="F29" s="7"/>
      <c r="G29" s="38">
        <f>'Athens Daily - Gas'!BI37</f>
        <v>63158.400000000001</v>
      </c>
      <c r="H29" s="7"/>
      <c r="I29" s="39">
        <f>'Athens Daily - Water'!S34</f>
        <v>190.05</v>
      </c>
      <c r="J29" s="7"/>
      <c r="K29" s="7">
        <v>290</v>
      </c>
      <c r="L29" s="7">
        <v>2</v>
      </c>
    </row>
    <row r="30" spans="1:12">
      <c r="A30" s="7" t="s">
        <v>14</v>
      </c>
      <c r="B30" s="7">
        <v>29</v>
      </c>
      <c r="C30" s="7">
        <v>1</v>
      </c>
      <c r="D30" s="7">
        <v>2021</v>
      </c>
      <c r="E30" s="7">
        <f>'Athens Daily - EL'!AL36</f>
        <v>14903</v>
      </c>
      <c r="F30" s="7"/>
      <c r="G30" s="38">
        <f>'Athens Daily - Gas'!BI38</f>
        <v>64540.800000000003</v>
      </c>
      <c r="H30" s="7"/>
      <c r="I30" s="39">
        <f>'Athens Daily - Water'!S36</f>
        <v>190.5</v>
      </c>
      <c r="J30" s="7"/>
      <c r="K30" s="7">
        <v>291</v>
      </c>
      <c r="L30" s="7">
        <v>2</v>
      </c>
    </row>
    <row r="31" spans="1:12">
      <c r="A31" s="7" t="s">
        <v>14</v>
      </c>
      <c r="B31" s="7">
        <v>30</v>
      </c>
      <c r="C31" s="7">
        <v>1</v>
      </c>
      <c r="D31" s="7">
        <v>2021</v>
      </c>
      <c r="E31" s="7">
        <f>'Athens Daily - EL'!AL37</f>
        <v>13981</v>
      </c>
      <c r="F31" s="7"/>
      <c r="G31" s="38">
        <f>'Athens Daily - Gas'!BI39</f>
        <v>0</v>
      </c>
      <c r="H31" s="7"/>
      <c r="I31" s="39">
        <f>'Athens Daily - Water'!S38</f>
        <v>0</v>
      </c>
      <c r="J31" s="7"/>
      <c r="K31" s="7">
        <v>290</v>
      </c>
      <c r="L31" s="7">
        <v>2</v>
      </c>
    </row>
    <row r="32" spans="1:12">
      <c r="A32" s="7" t="s">
        <v>14</v>
      </c>
      <c r="B32" s="7">
        <v>31</v>
      </c>
      <c r="C32" s="7">
        <v>1</v>
      </c>
      <c r="D32" s="7">
        <v>2021</v>
      </c>
      <c r="E32" s="7">
        <f>'Athens Daily - EL'!AL38</f>
        <v>0</v>
      </c>
      <c r="F32" s="7"/>
      <c r="G32" s="38">
        <f>'Athens Daily - Gas'!BI40</f>
        <v>0</v>
      </c>
      <c r="H32" s="7"/>
      <c r="I32" s="39">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89"/>
  <sheetViews>
    <sheetView topLeftCell="A2" zoomScale="60" zoomScaleNormal="60" workbookViewId="0">
      <pane xSplit="2" ySplit="5" topLeftCell="C28" activePane="bottomRight" state="frozen"/>
      <selection pane="topRight" activeCell="C2" sqref="C2"/>
      <selection pane="bottomLeft" activeCell="A7" sqref="A7"/>
      <selection pane="bottomRight" activeCell="E44" sqref="E44"/>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45" s="12" customFormat="1" ht="49.5" customHeight="1">
      <c r="A1" s="195"/>
      <c r="B1" s="195"/>
      <c r="C1" s="210" t="s">
        <v>64</v>
      </c>
      <c r="D1" s="210"/>
      <c r="E1" s="210" t="s">
        <v>64</v>
      </c>
      <c r="F1" s="210"/>
      <c r="G1" s="210" t="s">
        <v>64</v>
      </c>
      <c r="H1" s="210"/>
      <c r="I1" s="195"/>
      <c r="J1" s="210" t="s">
        <v>64</v>
      </c>
      <c r="K1" s="210"/>
      <c r="L1" s="210" t="s">
        <v>64</v>
      </c>
      <c r="M1" s="210"/>
      <c r="N1" s="223" t="s">
        <v>65</v>
      </c>
      <c r="O1" s="224"/>
      <c r="P1" s="225"/>
      <c r="Q1" s="223" t="s">
        <v>65</v>
      </c>
      <c r="R1" s="224"/>
      <c r="S1" s="225"/>
      <c r="T1" s="223" t="s">
        <v>65</v>
      </c>
      <c r="U1" s="224"/>
      <c r="V1" s="225"/>
      <c r="W1" s="223" t="s">
        <v>65</v>
      </c>
      <c r="X1" s="224"/>
      <c r="Y1" s="225"/>
      <c r="Z1" s="210" t="s">
        <v>66</v>
      </c>
      <c r="AA1" s="210"/>
      <c r="AB1" s="210" t="s">
        <v>66</v>
      </c>
      <c r="AC1" s="210"/>
      <c r="AD1" s="210" t="s">
        <v>66</v>
      </c>
      <c r="AE1" s="210"/>
      <c r="AF1" s="210" t="s">
        <v>66</v>
      </c>
      <c r="AG1" s="210"/>
      <c r="AH1" s="210" t="s">
        <v>66</v>
      </c>
      <c r="AI1" s="210"/>
    </row>
    <row r="2" spans="1:45" s="114" customFormat="1" ht="113.25" customHeight="1">
      <c r="A2" s="13"/>
      <c r="B2" s="14"/>
      <c r="C2" s="209" t="s">
        <v>67</v>
      </c>
      <c r="D2" s="209"/>
      <c r="E2" s="209" t="s">
        <v>68</v>
      </c>
      <c r="F2" s="209"/>
      <c r="G2" s="214" t="s">
        <v>69</v>
      </c>
      <c r="H2" s="215"/>
      <c r="I2" s="216"/>
      <c r="J2" s="209" t="s">
        <v>70</v>
      </c>
      <c r="K2" s="209"/>
      <c r="L2" s="209" t="s">
        <v>71</v>
      </c>
      <c r="M2" s="209"/>
      <c r="N2" s="214" t="s">
        <v>72</v>
      </c>
      <c r="O2" s="215"/>
      <c r="P2" s="216"/>
      <c r="Q2" s="214" t="s">
        <v>73</v>
      </c>
      <c r="R2" s="215"/>
      <c r="S2" s="216"/>
      <c r="T2" s="214" t="s">
        <v>74</v>
      </c>
      <c r="U2" s="215"/>
      <c r="V2" s="216"/>
      <c r="W2" s="214" t="s">
        <v>75</v>
      </c>
      <c r="X2" s="215"/>
      <c r="Y2" s="216"/>
      <c r="Z2" s="209" t="s">
        <v>76</v>
      </c>
      <c r="AA2" s="209"/>
      <c r="AB2" s="209" t="s">
        <v>77</v>
      </c>
      <c r="AC2" s="209"/>
      <c r="AD2" s="209" t="s">
        <v>78</v>
      </c>
      <c r="AE2" s="209"/>
      <c r="AF2" s="209" t="s">
        <v>77</v>
      </c>
      <c r="AG2" s="209"/>
      <c r="AH2" s="209" t="s">
        <v>79</v>
      </c>
      <c r="AI2" s="209"/>
    </row>
    <row r="3" spans="1:45" s="24" customFormat="1" ht="30" customHeight="1">
      <c r="A3" s="194"/>
      <c r="B3" s="48"/>
      <c r="C3" s="211">
        <v>5065546</v>
      </c>
      <c r="D3" s="213"/>
      <c r="E3" s="211">
        <v>5065547</v>
      </c>
      <c r="F3" s="213"/>
      <c r="G3" s="211">
        <v>5008272</v>
      </c>
      <c r="H3" s="212"/>
      <c r="I3" s="213"/>
      <c r="J3" s="211">
        <v>5065548</v>
      </c>
      <c r="K3" s="213"/>
      <c r="L3" s="211">
        <v>5465545</v>
      </c>
      <c r="M3" s="213"/>
      <c r="N3" s="211">
        <v>5008273</v>
      </c>
      <c r="O3" s="212"/>
      <c r="P3" s="213"/>
      <c r="Q3" s="211">
        <v>5018351</v>
      </c>
      <c r="R3" s="212"/>
      <c r="S3" s="213"/>
      <c r="T3" s="211">
        <v>5018354</v>
      </c>
      <c r="U3" s="212"/>
      <c r="V3" s="213"/>
      <c r="W3" s="211">
        <v>5018350</v>
      </c>
      <c r="X3" s="212"/>
      <c r="Y3" s="213"/>
      <c r="Z3" s="211">
        <v>5065543</v>
      </c>
      <c r="AA3" s="213"/>
      <c r="AB3" s="211">
        <v>5065544</v>
      </c>
      <c r="AC3" s="213"/>
      <c r="AD3" s="211">
        <v>5065541</v>
      </c>
      <c r="AE3" s="213"/>
      <c r="AF3" s="211">
        <v>5065542</v>
      </c>
      <c r="AG3" s="213"/>
      <c r="AH3" s="211">
        <v>5065540</v>
      </c>
      <c r="AI3" s="213"/>
      <c r="AK3" s="208" t="s">
        <v>80</v>
      </c>
      <c r="AL3" s="208"/>
    </row>
    <row r="4" spans="1:45" s="23" customFormat="1" ht="30" customHeight="1">
      <c r="A4" s="194"/>
      <c r="B4" s="197"/>
      <c r="C4" s="219" t="s">
        <v>81</v>
      </c>
      <c r="D4" s="220"/>
      <c r="E4" s="219" t="s">
        <v>82</v>
      </c>
      <c r="F4" s="220"/>
      <c r="G4" s="219" t="s">
        <v>83</v>
      </c>
      <c r="H4" s="221"/>
      <c r="I4" s="220"/>
      <c r="J4" s="219" t="s">
        <v>84</v>
      </c>
      <c r="K4" s="220"/>
      <c r="L4" s="219" t="s">
        <v>85</v>
      </c>
      <c r="M4" s="220"/>
      <c r="N4" s="219" t="s">
        <v>86</v>
      </c>
      <c r="O4" s="221"/>
      <c r="P4" s="220"/>
      <c r="Q4" s="219" t="s">
        <v>87</v>
      </c>
      <c r="R4" s="221"/>
      <c r="S4" s="220"/>
      <c r="T4" s="219" t="s">
        <v>88</v>
      </c>
      <c r="U4" s="221"/>
      <c r="V4" s="220"/>
      <c r="W4" s="219" t="s">
        <v>89</v>
      </c>
      <c r="X4" s="221"/>
      <c r="Y4" s="220"/>
      <c r="Z4" s="219" t="s">
        <v>90</v>
      </c>
      <c r="AA4" s="220"/>
      <c r="AB4" s="219" t="s">
        <v>91</v>
      </c>
      <c r="AC4" s="220"/>
      <c r="AD4" s="219" t="s">
        <v>92</v>
      </c>
      <c r="AE4" s="220"/>
      <c r="AF4" s="219" t="s">
        <v>93</v>
      </c>
      <c r="AG4" s="220"/>
      <c r="AH4" s="219" t="s">
        <v>94</v>
      </c>
      <c r="AI4" s="220"/>
      <c r="AK4" s="208"/>
      <c r="AL4" s="208"/>
    </row>
    <row r="5" spans="1:45" s="8" customFormat="1" ht="30" customHeight="1">
      <c r="A5" s="194" t="s">
        <v>95</v>
      </c>
      <c r="B5" s="49"/>
      <c r="C5" s="217" t="s">
        <v>96</v>
      </c>
      <c r="D5" s="218"/>
      <c r="E5" s="217" t="s">
        <v>96</v>
      </c>
      <c r="F5" s="218"/>
      <c r="G5" s="217" t="s">
        <v>96</v>
      </c>
      <c r="H5" s="222"/>
      <c r="I5" s="218"/>
      <c r="J5" s="49" t="s">
        <v>96</v>
      </c>
      <c r="K5" s="49"/>
      <c r="L5" s="217" t="s">
        <v>96</v>
      </c>
      <c r="M5" s="218"/>
      <c r="N5" s="217" t="s">
        <v>96</v>
      </c>
      <c r="O5" s="222"/>
      <c r="P5" s="218"/>
      <c r="Q5" s="217" t="s">
        <v>97</v>
      </c>
      <c r="R5" s="222"/>
      <c r="S5" s="218"/>
      <c r="T5" s="217" t="s">
        <v>97</v>
      </c>
      <c r="U5" s="222"/>
      <c r="V5" s="218"/>
      <c r="W5" s="217" t="s">
        <v>97</v>
      </c>
      <c r="X5" s="222"/>
      <c r="Y5" s="218"/>
      <c r="Z5" s="217" t="s">
        <v>96</v>
      </c>
      <c r="AA5" s="218"/>
      <c r="AB5" s="217" t="s">
        <v>96</v>
      </c>
      <c r="AC5" s="218"/>
      <c r="AD5" s="217" t="s">
        <v>96</v>
      </c>
      <c r="AE5" s="218"/>
      <c r="AF5" s="217" t="s">
        <v>96</v>
      </c>
      <c r="AG5" s="218"/>
      <c r="AH5" s="217" t="s">
        <v>96</v>
      </c>
      <c r="AI5" s="218"/>
    </row>
    <row r="6" spans="1:45" s="10" customFormat="1" ht="50.1" customHeight="1">
      <c r="A6" s="194" t="s">
        <v>98</v>
      </c>
      <c r="B6" s="194"/>
      <c r="C6" s="194" t="s">
        <v>99</v>
      </c>
      <c r="D6" s="194" t="s">
        <v>100</v>
      </c>
      <c r="E6" s="194" t="s">
        <v>99</v>
      </c>
      <c r="F6" s="194" t="s">
        <v>100</v>
      </c>
      <c r="G6" s="194" t="s">
        <v>99</v>
      </c>
      <c r="H6" s="194" t="s">
        <v>100</v>
      </c>
      <c r="I6" s="194" t="s">
        <v>101</v>
      </c>
      <c r="J6" s="194" t="s">
        <v>99</v>
      </c>
      <c r="K6" s="194" t="s">
        <v>100</v>
      </c>
      <c r="L6" s="194" t="s">
        <v>99</v>
      </c>
      <c r="M6" s="194" t="s">
        <v>100</v>
      </c>
      <c r="N6" s="194" t="s">
        <v>99</v>
      </c>
      <c r="O6" s="194" t="s">
        <v>100</v>
      </c>
      <c r="P6" s="194" t="s">
        <v>101</v>
      </c>
      <c r="Q6" s="194" t="s">
        <v>99</v>
      </c>
      <c r="R6" s="194" t="s">
        <v>100</v>
      </c>
      <c r="S6" s="194" t="s">
        <v>101</v>
      </c>
      <c r="T6" s="194" t="s">
        <v>99</v>
      </c>
      <c r="U6" s="194" t="s">
        <v>100</v>
      </c>
      <c r="V6" s="194" t="s">
        <v>101</v>
      </c>
      <c r="W6" s="194" t="s">
        <v>99</v>
      </c>
      <c r="X6" s="194" t="s">
        <v>100</v>
      </c>
      <c r="Y6" s="194" t="s">
        <v>101</v>
      </c>
      <c r="Z6" s="194" t="s">
        <v>99</v>
      </c>
      <c r="AA6" s="194" t="s">
        <v>100</v>
      </c>
      <c r="AB6" s="194" t="s">
        <v>99</v>
      </c>
      <c r="AC6" s="194" t="s">
        <v>100</v>
      </c>
      <c r="AD6" s="194" t="s">
        <v>99</v>
      </c>
      <c r="AE6" s="194" t="s">
        <v>100</v>
      </c>
      <c r="AF6" s="194" t="s">
        <v>99</v>
      </c>
      <c r="AG6" s="194" t="s">
        <v>100</v>
      </c>
      <c r="AH6" s="194" t="s">
        <v>99</v>
      </c>
      <c r="AI6" s="194" t="s">
        <v>100</v>
      </c>
      <c r="AK6" s="194" t="s">
        <v>64</v>
      </c>
      <c r="AL6" s="194" t="s">
        <v>66</v>
      </c>
    </row>
    <row r="7" spans="1:45" ht="39.950000000000003" customHeight="1">
      <c r="A7" s="189">
        <v>44804</v>
      </c>
      <c r="B7" s="16"/>
      <c r="C7" s="190">
        <v>299477</v>
      </c>
      <c r="D7" s="17"/>
      <c r="E7" s="190">
        <v>510210</v>
      </c>
      <c r="F7" s="17"/>
      <c r="G7" s="190">
        <v>286449</v>
      </c>
      <c r="H7" s="192"/>
      <c r="I7" s="17"/>
      <c r="J7" s="192">
        <v>437996</v>
      </c>
      <c r="K7" s="17"/>
      <c r="L7" s="192">
        <v>695926</v>
      </c>
      <c r="M7" s="17"/>
      <c r="N7" s="17">
        <v>399970</v>
      </c>
      <c r="O7" s="192"/>
      <c r="P7" s="17"/>
      <c r="Q7" s="192">
        <v>450889</v>
      </c>
      <c r="R7" s="17"/>
      <c r="S7" s="192"/>
      <c r="T7" s="17">
        <v>219678</v>
      </c>
      <c r="U7" s="17"/>
      <c r="V7" s="192"/>
      <c r="W7" s="17">
        <v>290376</v>
      </c>
      <c r="X7" s="17"/>
      <c r="Y7" s="192"/>
      <c r="Z7" s="17">
        <v>84260</v>
      </c>
      <c r="AA7" s="17"/>
      <c r="AB7" s="192">
        <v>159863</v>
      </c>
      <c r="AC7" s="17"/>
      <c r="AD7" s="17">
        <v>286521</v>
      </c>
      <c r="AE7" s="192"/>
      <c r="AF7" s="17">
        <v>145567</v>
      </c>
      <c r="AG7" s="192"/>
      <c r="AH7" s="17">
        <v>765380</v>
      </c>
      <c r="AI7" s="192"/>
      <c r="AJ7" s="17"/>
      <c r="AK7" s="192"/>
      <c r="AL7" s="17"/>
      <c r="AM7" s="10"/>
      <c r="AN7" s="10"/>
      <c r="AO7" s="19"/>
      <c r="AP7" s="19"/>
      <c r="AQ7" s="19"/>
      <c r="AR7" s="19"/>
      <c r="AS7" s="19"/>
    </row>
    <row r="8" spans="1:45" s="2" customFormat="1" ht="39.950000000000003" customHeight="1">
      <c r="A8" s="189">
        <v>44805</v>
      </c>
      <c r="B8" s="15"/>
      <c r="C8" s="191">
        <v>299906</v>
      </c>
      <c r="D8" s="17">
        <f t="shared" ref="D8:D37" si="0">(C8-C7)*10</f>
        <v>4290</v>
      </c>
      <c r="E8" s="191">
        <v>510966</v>
      </c>
      <c r="F8" s="17">
        <f>(E8-E7)*10</f>
        <v>7560</v>
      </c>
      <c r="G8" s="191">
        <v>287692</v>
      </c>
      <c r="H8" s="17">
        <f>(G8-G7)*10</f>
        <v>12430</v>
      </c>
      <c r="I8" s="17">
        <f>H8*50%</f>
        <v>6215</v>
      </c>
      <c r="J8" s="191">
        <v>438618</v>
      </c>
      <c r="K8" s="17">
        <f>(J8-J7)*10</f>
        <v>6220</v>
      </c>
      <c r="L8" s="191">
        <v>696980</v>
      </c>
      <c r="M8" s="17">
        <f>(L8-L7)*10</f>
        <v>10540</v>
      </c>
      <c r="N8" s="191">
        <v>401428</v>
      </c>
      <c r="O8" s="17">
        <f t="shared" ref="O8" si="1">(N8-N7)*10</f>
        <v>14580</v>
      </c>
      <c r="P8" s="17">
        <f>O8*50%</f>
        <v>7290</v>
      </c>
      <c r="Q8" s="191">
        <v>451993</v>
      </c>
      <c r="R8" s="17">
        <f t="shared" ref="R8" si="2">(Q8-Q7)*10</f>
        <v>11040</v>
      </c>
      <c r="S8" s="17">
        <f>R8*50%</f>
        <v>5520</v>
      </c>
      <c r="T8" s="191">
        <v>219680</v>
      </c>
      <c r="U8" s="17">
        <f>(T8-T7)*10</f>
        <v>20</v>
      </c>
      <c r="V8" s="17">
        <f>U8*50%</f>
        <v>10</v>
      </c>
      <c r="W8" s="191">
        <v>290719</v>
      </c>
      <c r="X8" s="17">
        <f>(W8-W7)*10</f>
        <v>3430</v>
      </c>
      <c r="Y8" s="17">
        <f>X8*50%</f>
        <v>1715</v>
      </c>
      <c r="Z8" s="191">
        <v>84390</v>
      </c>
      <c r="AA8" s="17">
        <f>Z8-Z7</f>
        <v>130</v>
      </c>
      <c r="AB8" s="191">
        <v>160102</v>
      </c>
      <c r="AC8" s="17">
        <f>AB8-AB7</f>
        <v>239</v>
      </c>
      <c r="AD8" s="191">
        <v>286910</v>
      </c>
      <c r="AE8" s="17">
        <f>AD8-AD7</f>
        <v>389</v>
      </c>
      <c r="AF8" s="191">
        <v>145750</v>
      </c>
      <c r="AG8" s="17">
        <f>AF8-AF7</f>
        <v>183</v>
      </c>
      <c r="AH8" s="191">
        <v>766391</v>
      </c>
      <c r="AI8" s="17">
        <f>AH8-AH7</f>
        <v>1011</v>
      </c>
      <c r="AK8" s="96">
        <f>SUM(D8,F8,I8,K8,M8,P8,S8,V8,Y8)</f>
        <v>49360</v>
      </c>
      <c r="AL8" s="97">
        <f>SUM(P8,S8,V8,Y8,AA8,AC8,AE8,AG8,AI8)</f>
        <v>16487</v>
      </c>
    </row>
    <row r="9" spans="1:45" ht="39.950000000000003" customHeight="1">
      <c r="A9" s="189">
        <f>SUM(A8+1)</f>
        <v>44806</v>
      </c>
      <c r="B9" s="16"/>
      <c r="C9" s="191">
        <v>300351</v>
      </c>
      <c r="D9" s="17">
        <f t="shared" si="0"/>
        <v>4450</v>
      </c>
      <c r="E9" s="191">
        <v>511805</v>
      </c>
      <c r="F9" s="17">
        <f t="shared" ref="F9:F37" si="3">(E9-E8)*10</f>
        <v>8390</v>
      </c>
      <c r="G9" s="191">
        <v>288890</v>
      </c>
      <c r="H9" s="17">
        <f t="shared" ref="H9:H37" si="4">(G9-G8)*10</f>
        <v>11980</v>
      </c>
      <c r="I9" s="17">
        <f t="shared" ref="I9:I37" si="5">H9*50%</f>
        <v>5990</v>
      </c>
      <c r="J9" s="191">
        <v>439300</v>
      </c>
      <c r="K9" s="17">
        <f t="shared" ref="K9:K37" si="6">(J9-J8)*10</f>
        <v>6820</v>
      </c>
      <c r="L9" s="191">
        <v>698084</v>
      </c>
      <c r="M9" s="17">
        <f t="shared" ref="M9:M37" si="7">(L9-L8)*10</f>
        <v>11040</v>
      </c>
      <c r="N9" s="191">
        <v>402816</v>
      </c>
      <c r="O9" s="17">
        <f t="shared" ref="O9:O37" si="8">(N9-N8)*10</f>
        <v>13880</v>
      </c>
      <c r="P9" s="17">
        <f t="shared" ref="P9:P37" si="9">O9*50%</f>
        <v>6940</v>
      </c>
      <c r="Q9" s="191">
        <v>453040</v>
      </c>
      <c r="R9" s="17">
        <f t="shared" ref="R9:R37" si="10">(Q9-Q8)*10</f>
        <v>10470</v>
      </c>
      <c r="S9" s="17">
        <f t="shared" ref="S9:S37" si="11">R9*50%</f>
        <v>5235</v>
      </c>
      <c r="T9" s="191">
        <v>219682</v>
      </c>
      <c r="U9" s="17">
        <f t="shared" ref="U9:U37" si="12">(T9-T8)*10</f>
        <v>20</v>
      </c>
      <c r="V9" s="17">
        <f t="shared" ref="V9:V37" si="13">U9*50%</f>
        <v>10</v>
      </c>
      <c r="W9" s="191">
        <v>290723</v>
      </c>
      <c r="X9" s="17">
        <f t="shared" ref="X9:X37" si="14">(W9-W8)*10</f>
        <v>40</v>
      </c>
      <c r="Y9" s="17">
        <f t="shared" ref="Y9:Y37" si="15">X9*50%</f>
        <v>20</v>
      </c>
      <c r="Z9" s="191">
        <v>84520</v>
      </c>
      <c r="AA9" s="17">
        <f t="shared" ref="AA9:AA37" si="16">Z9-Z8</f>
        <v>130</v>
      </c>
      <c r="AB9" s="191">
        <v>160351</v>
      </c>
      <c r="AC9" s="17">
        <f t="shared" ref="AC9:AC37" si="17">AB9-AB8</f>
        <v>249</v>
      </c>
      <c r="AD9" s="191">
        <v>287327</v>
      </c>
      <c r="AE9" s="17">
        <f t="shared" ref="AE9:AE37" si="18">AD9-AD8</f>
        <v>417</v>
      </c>
      <c r="AF9" s="191">
        <v>145949</v>
      </c>
      <c r="AG9" s="17">
        <f t="shared" ref="AG9:AG37" si="19">AF9-AF8</f>
        <v>199</v>
      </c>
      <c r="AH9" s="191">
        <v>767458</v>
      </c>
      <c r="AI9" s="17">
        <f t="shared" ref="AI9:AI37" si="20">AH9-AH8</f>
        <v>1067</v>
      </c>
      <c r="AK9" s="96">
        <f t="shared" ref="AK9:AK37" si="21">SUM(D9,F9,I9,K9,M9,P9,S9,V9,Y9)</f>
        <v>48895</v>
      </c>
      <c r="AL9" s="97">
        <f t="shared" ref="AL9:AL37" si="22">SUM(P9,S9,V9,Y9,AA9,AC9,AE9,AG9,AI9)</f>
        <v>14267</v>
      </c>
    </row>
    <row r="10" spans="1:45" ht="39.950000000000003" customHeight="1">
      <c r="A10" s="189">
        <f t="shared" ref="A10:A38" si="23">SUM(A9+1)</f>
        <v>44807</v>
      </c>
      <c r="B10" s="16"/>
      <c r="C10" s="191">
        <v>300781</v>
      </c>
      <c r="D10" s="17">
        <f t="shared" si="0"/>
        <v>4300</v>
      </c>
      <c r="E10" s="191">
        <v>512621</v>
      </c>
      <c r="F10" s="17">
        <f t="shared" si="3"/>
        <v>8160</v>
      </c>
      <c r="G10" s="191">
        <v>290243</v>
      </c>
      <c r="H10" s="17">
        <f t="shared" si="4"/>
        <v>13530</v>
      </c>
      <c r="I10" s="17">
        <f t="shared" si="5"/>
        <v>6765</v>
      </c>
      <c r="J10" s="191">
        <v>439961</v>
      </c>
      <c r="K10" s="17">
        <f t="shared" si="6"/>
        <v>6610</v>
      </c>
      <c r="L10" s="191">
        <v>699198</v>
      </c>
      <c r="M10" s="17">
        <f t="shared" si="7"/>
        <v>11140</v>
      </c>
      <c r="N10" s="191">
        <v>404135</v>
      </c>
      <c r="O10" s="17">
        <f t="shared" si="8"/>
        <v>13190</v>
      </c>
      <c r="P10" s="17">
        <f t="shared" si="9"/>
        <v>6595</v>
      </c>
      <c r="Q10" s="191">
        <v>453061</v>
      </c>
      <c r="R10" s="17">
        <f t="shared" si="10"/>
        <v>210</v>
      </c>
      <c r="S10" s="17">
        <f t="shared" si="11"/>
        <v>105</v>
      </c>
      <c r="T10" s="191">
        <v>219684</v>
      </c>
      <c r="U10" s="17">
        <f t="shared" si="12"/>
        <v>20</v>
      </c>
      <c r="V10" s="17">
        <f t="shared" si="13"/>
        <v>10</v>
      </c>
      <c r="W10" s="191">
        <v>291379</v>
      </c>
      <c r="X10" s="17">
        <f t="shared" si="14"/>
        <v>6560</v>
      </c>
      <c r="Y10" s="17">
        <f t="shared" si="15"/>
        <v>3280</v>
      </c>
      <c r="Z10" s="191">
        <v>84654</v>
      </c>
      <c r="AA10" s="17">
        <f t="shared" si="16"/>
        <v>134</v>
      </c>
      <c r="AB10" s="191">
        <v>160561</v>
      </c>
      <c r="AC10" s="17">
        <f t="shared" si="17"/>
        <v>210</v>
      </c>
      <c r="AD10" s="191">
        <v>287702</v>
      </c>
      <c r="AE10" s="17">
        <f t="shared" si="18"/>
        <v>375</v>
      </c>
      <c r="AF10" s="191">
        <v>146129</v>
      </c>
      <c r="AG10" s="17">
        <f t="shared" si="19"/>
        <v>180</v>
      </c>
      <c r="AH10" s="191">
        <v>768414</v>
      </c>
      <c r="AI10" s="17">
        <f t="shared" si="20"/>
        <v>956</v>
      </c>
      <c r="AK10" s="96">
        <f t="shared" si="21"/>
        <v>46965</v>
      </c>
      <c r="AL10" s="97">
        <f t="shared" si="22"/>
        <v>11845</v>
      </c>
    </row>
    <row r="11" spans="1:45" ht="39.950000000000003" customHeight="1">
      <c r="A11" s="189">
        <f t="shared" si="23"/>
        <v>44808</v>
      </c>
      <c r="B11" s="16"/>
      <c r="C11" s="191">
        <v>301202</v>
      </c>
      <c r="D11" s="17">
        <f t="shared" si="0"/>
        <v>4210</v>
      </c>
      <c r="E11" s="191">
        <v>513385</v>
      </c>
      <c r="F11" s="17">
        <f t="shared" si="3"/>
        <v>7640</v>
      </c>
      <c r="G11" s="191">
        <v>290962</v>
      </c>
      <c r="H11" s="17">
        <f t="shared" si="4"/>
        <v>7190</v>
      </c>
      <c r="I11" s="17">
        <f t="shared" si="5"/>
        <v>3595</v>
      </c>
      <c r="J11" s="191">
        <v>440589</v>
      </c>
      <c r="K11" s="17">
        <f t="shared" si="6"/>
        <v>6280</v>
      </c>
      <c r="L11" s="191">
        <v>700238</v>
      </c>
      <c r="M11" s="17">
        <f t="shared" si="7"/>
        <v>10400</v>
      </c>
      <c r="N11" s="191">
        <v>405459</v>
      </c>
      <c r="O11" s="17">
        <f t="shared" si="8"/>
        <v>13240</v>
      </c>
      <c r="P11" s="17">
        <f t="shared" si="9"/>
        <v>6620</v>
      </c>
      <c r="Q11" s="191">
        <v>453759</v>
      </c>
      <c r="R11" s="17">
        <f t="shared" si="10"/>
        <v>6980</v>
      </c>
      <c r="S11" s="17">
        <f t="shared" si="11"/>
        <v>3490</v>
      </c>
      <c r="T11" s="191">
        <v>219687</v>
      </c>
      <c r="U11" s="17">
        <f t="shared" si="12"/>
        <v>30</v>
      </c>
      <c r="V11" s="17">
        <f t="shared" si="13"/>
        <v>15</v>
      </c>
      <c r="W11" s="191">
        <v>292049</v>
      </c>
      <c r="X11" s="17">
        <f t="shared" si="14"/>
        <v>6700</v>
      </c>
      <c r="Y11" s="17">
        <f t="shared" si="15"/>
        <v>3350</v>
      </c>
      <c r="Z11" s="191">
        <v>84780</v>
      </c>
      <c r="AA11" s="17">
        <f t="shared" si="16"/>
        <v>126</v>
      </c>
      <c r="AB11" s="191">
        <v>160789</v>
      </c>
      <c r="AC11" s="17">
        <f t="shared" si="17"/>
        <v>228</v>
      </c>
      <c r="AD11" s="191">
        <v>288106</v>
      </c>
      <c r="AE11" s="17">
        <f t="shared" si="18"/>
        <v>404</v>
      </c>
      <c r="AF11" s="191">
        <v>146326</v>
      </c>
      <c r="AG11" s="17">
        <f t="shared" si="19"/>
        <v>197</v>
      </c>
      <c r="AH11" s="191">
        <v>769486</v>
      </c>
      <c r="AI11" s="17">
        <f t="shared" si="20"/>
        <v>1072</v>
      </c>
      <c r="AK11" s="96">
        <f t="shared" si="21"/>
        <v>45600</v>
      </c>
      <c r="AL11" s="97">
        <f t="shared" si="22"/>
        <v>15502</v>
      </c>
    </row>
    <row r="12" spans="1:45" ht="39.950000000000003" customHeight="1">
      <c r="A12" s="189">
        <f t="shared" si="23"/>
        <v>44809</v>
      </c>
      <c r="B12" s="16"/>
      <c r="C12" s="191">
        <v>301634</v>
      </c>
      <c r="D12" s="17">
        <f t="shared" si="0"/>
        <v>4320</v>
      </c>
      <c r="E12" s="191">
        <v>514157</v>
      </c>
      <c r="F12" s="17">
        <f t="shared" si="3"/>
        <v>7720</v>
      </c>
      <c r="G12" s="191">
        <v>291288</v>
      </c>
      <c r="H12" s="17">
        <f t="shared" si="4"/>
        <v>3260</v>
      </c>
      <c r="I12" s="17">
        <f t="shared" si="5"/>
        <v>1630</v>
      </c>
      <c r="J12" s="191">
        <v>441231</v>
      </c>
      <c r="K12" s="17">
        <f t="shared" si="6"/>
        <v>6420</v>
      </c>
      <c r="L12" s="191">
        <v>701249</v>
      </c>
      <c r="M12" s="17">
        <f t="shared" si="7"/>
        <v>10110</v>
      </c>
      <c r="N12" s="191">
        <v>406915</v>
      </c>
      <c r="O12" s="17">
        <f t="shared" si="8"/>
        <v>14560</v>
      </c>
      <c r="P12" s="17">
        <f t="shared" si="9"/>
        <v>7280</v>
      </c>
      <c r="Q12" s="191">
        <v>454474</v>
      </c>
      <c r="R12" s="17">
        <f t="shared" si="10"/>
        <v>7150</v>
      </c>
      <c r="S12" s="17">
        <f t="shared" si="11"/>
        <v>3575</v>
      </c>
      <c r="T12" s="191">
        <v>220165</v>
      </c>
      <c r="U12" s="17">
        <f t="shared" si="12"/>
        <v>4780</v>
      </c>
      <c r="V12" s="17">
        <f t="shared" si="13"/>
        <v>2390</v>
      </c>
      <c r="W12" s="191">
        <v>292713</v>
      </c>
      <c r="X12" s="17">
        <f t="shared" si="14"/>
        <v>6640</v>
      </c>
      <c r="Y12" s="17">
        <f t="shared" si="15"/>
        <v>3320</v>
      </c>
      <c r="Z12" s="191">
        <v>84914</v>
      </c>
      <c r="AA12" s="17">
        <f t="shared" si="16"/>
        <v>134</v>
      </c>
      <c r="AB12" s="191">
        <v>161017</v>
      </c>
      <c r="AC12" s="17">
        <f t="shared" si="17"/>
        <v>228</v>
      </c>
      <c r="AD12" s="191">
        <v>288495</v>
      </c>
      <c r="AE12" s="17">
        <f t="shared" si="18"/>
        <v>389</v>
      </c>
      <c r="AF12" s="191">
        <v>146518</v>
      </c>
      <c r="AG12" s="17">
        <f t="shared" si="19"/>
        <v>192</v>
      </c>
      <c r="AH12" s="191">
        <v>770512</v>
      </c>
      <c r="AI12" s="17">
        <f t="shared" si="20"/>
        <v>1026</v>
      </c>
      <c r="AK12" s="96">
        <f t="shared" si="21"/>
        <v>46765</v>
      </c>
      <c r="AL12" s="97">
        <f t="shared" si="22"/>
        <v>18534</v>
      </c>
    </row>
    <row r="13" spans="1:45" ht="39.950000000000003" customHeight="1">
      <c r="A13" s="189">
        <f t="shared" si="23"/>
        <v>44810</v>
      </c>
      <c r="B13" s="16"/>
      <c r="C13" s="191">
        <v>302057</v>
      </c>
      <c r="D13" s="17">
        <f t="shared" si="0"/>
        <v>4230</v>
      </c>
      <c r="E13" s="191">
        <v>514913</v>
      </c>
      <c r="F13" s="17">
        <f t="shared" si="3"/>
        <v>7560</v>
      </c>
      <c r="G13" s="191">
        <v>291624</v>
      </c>
      <c r="H13" s="17">
        <f t="shared" si="4"/>
        <v>3360</v>
      </c>
      <c r="I13" s="17">
        <f t="shared" si="5"/>
        <v>1680</v>
      </c>
      <c r="J13" s="191">
        <v>441857</v>
      </c>
      <c r="K13" s="17">
        <f t="shared" si="6"/>
        <v>6260</v>
      </c>
      <c r="L13" s="191">
        <v>702331</v>
      </c>
      <c r="M13" s="17">
        <f t="shared" si="7"/>
        <v>10820</v>
      </c>
      <c r="N13" s="191">
        <v>408447</v>
      </c>
      <c r="O13" s="17">
        <f t="shared" si="8"/>
        <v>15320</v>
      </c>
      <c r="P13" s="17">
        <f t="shared" si="9"/>
        <v>7660</v>
      </c>
      <c r="Q13" s="191">
        <v>455636</v>
      </c>
      <c r="R13" s="17">
        <f t="shared" si="10"/>
        <v>11620</v>
      </c>
      <c r="S13" s="17">
        <f t="shared" si="11"/>
        <v>5810</v>
      </c>
      <c r="T13" s="191">
        <v>220884</v>
      </c>
      <c r="U13" s="17">
        <f t="shared" si="12"/>
        <v>7190</v>
      </c>
      <c r="V13" s="17">
        <f t="shared" si="13"/>
        <v>3595</v>
      </c>
      <c r="W13" s="191">
        <v>292750</v>
      </c>
      <c r="X13" s="17">
        <f t="shared" si="14"/>
        <v>370</v>
      </c>
      <c r="Y13" s="17">
        <f t="shared" si="15"/>
        <v>185</v>
      </c>
      <c r="Z13" s="191">
        <v>85049</v>
      </c>
      <c r="AA13" s="17">
        <f t="shared" si="16"/>
        <v>135</v>
      </c>
      <c r="AB13" s="191">
        <v>161246</v>
      </c>
      <c r="AC13" s="17">
        <f t="shared" si="17"/>
        <v>229</v>
      </c>
      <c r="AD13" s="191">
        <v>288888</v>
      </c>
      <c r="AE13" s="17">
        <f t="shared" si="18"/>
        <v>393</v>
      </c>
      <c r="AF13" s="191">
        <v>146713</v>
      </c>
      <c r="AG13" s="17">
        <f t="shared" si="19"/>
        <v>195</v>
      </c>
      <c r="AH13" s="191">
        <v>771574</v>
      </c>
      <c r="AI13" s="17">
        <f t="shared" si="20"/>
        <v>1062</v>
      </c>
      <c r="AK13" s="96">
        <f t="shared" si="21"/>
        <v>47800</v>
      </c>
      <c r="AL13" s="97">
        <f t="shared" si="22"/>
        <v>19264</v>
      </c>
    </row>
    <row r="14" spans="1:45" ht="39.950000000000003" customHeight="1">
      <c r="A14" s="189">
        <f t="shared" si="23"/>
        <v>44811</v>
      </c>
      <c r="B14" s="16"/>
      <c r="C14" s="191">
        <v>302464</v>
      </c>
      <c r="D14" s="17">
        <f t="shared" si="0"/>
        <v>4070</v>
      </c>
      <c r="E14" s="191">
        <v>515617</v>
      </c>
      <c r="F14" s="17">
        <f t="shared" si="3"/>
        <v>7040</v>
      </c>
      <c r="G14" s="191">
        <v>291955</v>
      </c>
      <c r="H14" s="17">
        <f t="shared" si="4"/>
        <v>3310</v>
      </c>
      <c r="I14" s="17">
        <f t="shared" si="5"/>
        <v>1655</v>
      </c>
      <c r="J14" s="191">
        <v>442484</v>
      </c>
      <c r="K14" s="17">
        <f t="shared" si="6"/>
        <v>6270</v>
      </c>
      <c r="L14" s="191">
        <v>703407</v>
      </c>
      <c r="M14" s="17">
        <f t="shared" si="7"/>
        <v>10760</v>
      </c>
      <c r="N14" s="191">
        <v>410067</v>
      </c>
      <c r="O14" s="17">
        <f t="shared" si="8"/>
        <v>16200</v>
      </c>
      <c r="P14" s="17">
        <f t="shared" si="9"/>
        <v>8100</v>
      </c>
      <c r="Q14" s="191">
        <v>456859</v>
      </c>
      <c r="R14" s="17">
        <f t="shared" si="10"/>
        <v>12230</v>
      </c>
      <c r="S14" s="17">
        <f t="shared" si="11"/>
        <v>6115</v>
      </c>
      <c r="T14" s="191">
        <v>220901</v>
      </c>
      <c r="U14" s="17">
        <f t="shared" si="12"/>
        <v>170</v>
      </c>
      <c r="V14" s="17">
        <f t="shared" si="13"/>
        <v>85</v>
      </c>
      <c r="W14" s="191">
        <v>293609</v>
      </c>
      <c r="X14" s="17">
        <f t="shared" si="14"/>
        <v>8590</v>
      </c>
      <c r="Y14" s="17">
        <f t="shared" si="15"/>
        <v>4295</v>
      </c>
      <c r="Z14" s="191">
        <v>85180</v>
      </c>
      <c r="AA14" s="17">
        <f t="shared" si="16"/>
        <v>131</v>
      </c>
      <c r="AB14" s="191">
        <v>161504</v>
      </c>
      <c r="AC14" s="17">
        <f t="shared" si="17"/>
        <v>258</v>
      </c>
      <c r="AD14" s="191">
        <v>289303</v>
      </c>
      <c r="AE14" s="17">
        <f t="shared" si="18"/>
        <v>415</v>
      </c>
      <c r="AF14" s="191">
        <v>146918</v>
      </c>
      <c r="AG14" s="17">
        <f t="shared" si="19"/>
        <v>205</v>
      </c>
      <c r="AH14" s="191">
        <v>772678</v>
      </c>
      <c r="AI14" s="17">
        <f t="shared" si="20"/>
        <v>1104</v>
      </c>
      <c r="AK14" s="96">
        <f t="shared" si="21"/>
        <v>48390</v>
      </c>
      <c r="AL14" s="97">
        <f t="shared" si="22"/>
        <v>20708</v>
      </c>
    </row>
    <row r="15" spans="1:45" ht="39.950000000000003" customHeight="1">
      <c r="A15" s="189">
        <f t="shared" si="23"/>
        <v>44812</v>
      </c>
      <c r="B15" s="16"/>
      <c r="C15" s="191">
        <v>302885</v>
      </c>
      <c r="D15" s="17">
        <f t="shared" si="0"/>
        <v>4210</v>
      </c>
      <c r="E15" s="191">
        <v>516362</v>
      </c>
      <c r="F15" s="17">
        <f t="shared" si="3"/>
        <v>7450</v>
      </c>
      <c r="G15" s="191">
        <v>292288</v>
      </c>
      <c r="H15" s="17">
        <f t="shared" si="4"/>
        <v>3330</v>
      </c>
      <c r="I15" s="17">
        <f t="shared" si="5"/>
        <v>1665</v>
      </c>
      <c r="J15" s="191">
        <v>443121</v>
      </c>
      <c r="K15" s="17">
        <f t="shared" si="6"/>
        <v>6370</v>
      </c>
      <c r="L15" s="191">
        <v>704488</v>
      </c>
      <c r="M15" s="17">
        <f t="shared" si="7"/>
        <v>10810</v>
      </c>
      <c r="N15" s="191">
        <v>411670</v>
      </c>
      <c r="O15" s="17">
        <f t="shared" si="8"/>
        <v>16030</v>
      </c>
      <c r="P15" s="17">
        <f t="shared" si="9"/>
        <v>8015</v>
      </c>
      <c r="Q15" s="191">
        <v>458031</v>
      </c>
      <c r="R15" s="17">
        <f t="shared" si="10"/>
        <v>11720</v>
      </c>
      <c r="S15" s="17">
        <f t="shared" si="11"/>
        <v>5860</v>
      </c>
      <c r="T15" s="191">
        <v>220903</v>
      </c>
      <c r="U15" s="17">
        <f t="shared" si="12"/>
        <v>20</v>
      </c>
      <c r="V15" s="17">
        <f t="shared" si="13"/>
        <v>10</v>
      </c>
      <c r="W15" s="191">
        <v>294467</v>
      </c>
      <c r="X15" s="17">
        <f t="shared" si="14"/>
        <v>8580</v>
      </c>
      <c r="Y15" s="17">
        <f t="shared" si="15"/>
        <v>4290</v>
      </c>
      <c r="Z15" s="191">
        <v>85313</v>
      </c>
      <c r="AA15" s="17">
        <f t="shared" si="16"/>
        <v>133</v>
      </c>
      <c r="AB15" s="191">
        <v>161746</v>
      </c>
      <c r="AC15" s="17">
        <f t="shared" si="17"/>
        <v>242</v>
      </c>
      <c r="AD15" s="191">
        <v>289704</v>
      </c>
      <c r="AE15" s="17">
        <f t="shared" si="18"/>
        <v>401</v>
      </c>
      <c r="AF15" s="191">
        <v>147109</v>
      </c>
      <c r="AG15" s="17">
        <f t="shared" si="19"/>
        <v>191</v>
      </c>
      <c r="AH15" s="191">
        <v>773738</v>
      </c>
      <c r="AI15" s="17">
        <f t="shared" si="20"/>
        <v>1060</v>
      </c>
      <c r="AK15" s="96">
        <f t="shared" si="21"/>
        <v>48680</v>
      </c>
      <c r="AL15" s="97">
        <f t="shared" si="22"/>
        <v>20202</v>
      </c>
    </row>
    <row r="16" spans="1:45" ht="39.950000000000003" customHeight="1">
      <c r="A16" s="189">
        <f t="shared" si="23"/>
        <v>44813</v>
      </c>
      <c r="B16" s="16"/>
      <c r="C16" s="191">
        <v>303304</v>
      </c>
      <c r="D16" s="17">
        <f t="shared" si="0"/>
        <v>4190</v>
      </c>
      <c r="E16" s="191">
        <v>517138</v>
      </c>
      <c r="F16" s="17">
        <f t="shared" si="3"/>
        <v>7760</v>
      </c>
      <c r="G16" s="191">
        <v>292604</v>
      </c>
      <c r="H16" s="17">
        <f t="shared" si="4"/>
        <v>3160</v>
      </c>
      <c r="I16" s="17">
        <f t="shared" si="5"/>
        <v>1580</v>
      </c>
      <c r="J16" s="191">
        <v>443761</v>
      </c>
      <c r="K16" s="17">
        <f t="shared" si="6"/>
        <v>6400</v>
      </c>
      <c r="L16" s="191">
        <v>705569</v>
      </c>
      <c r="M16" s="17">
        <f t="shared" si="7"/>
        <v>10810</v>
      </c>
      <c r="N16" s="191">
        <v>412944</v>
      </c>
      <c r="O16" s="17">
        <f t="shared" si="8"/>
        <v>12740</v>
      </c>
      <c r="P16" s="17">
        <f t="shared" si="9"/>
        <v>6370</v>
      </c>
      <c r="Q16" s="191">
        <v>458796</v>
      </c>
      <c r="R16" s="17">
        <f t="shared" si="10"/>
        <v>7650</v>
      </c>
      <c r="S16" s="17">
        <f t="shared" si="11"/>
        <v>3825</v>
      </c>
      <c r="T16" s="191">
        <v>221822</v>
      </c>
      <c r="U16" s="17">
        <f t="shared" si="12"/>
        <v>9190</v>
      </c>
      <c r="V16" s="17">
        <f t="shared" si="13"/>
        <v>4595</v>
      </c>
      <c r="W16" s="191">
        <v>294619</v>
      </c>
      <c r="X16" s="17">
        <f t="shared" si="14"/>
        <v>1520</v>
      </c>
      <c r="Y16" s="17">
        <f t="shared" si="15"/>
        <v>760</v>
      </c>
      <c r="Z16" s="191">
        <v>85451</v>
      </c>
      <c r="AA16" s="17">
        <f t="shared" si="16"/>
        <v>138</v>
      </c>
      <c r="AB16" s="191">
        <v>161987</v>
      </c>
      <c r="AC16" s="17">
        <f t="shared" si="17"/>
        <v>241</v>
      </c>
      <c r="AD16" s="191">
        <v>290110</v>
      </c>
      <c r="AE16" s="17">
        <f t="shared" si="18"/>
        <v>406</v>
      </c>
      <c r="AF16" s="191">
        <v>147303</v>
      </c>
      <c r="AG16" s="17">
        <f t="shared" si="19"/>
        <v>194</v>
      </c>
      <c r="AH16" s="191">
        <v>774787</v>
      </c>
      <c r="AI16" s="17">
        <f t="shared" si="20"/>
        <v>1049</v>
      </c>
      <c r="AK16" s="96">
        <f t="shared" si="21"/>
        <v>46290</v>
      </c>
      <c r="AL16" s="97">
        <f t="shared" si="22"/>
        <v>17578</v>
      </c>
    </row>
    <row r="17" spans="1:38" ht="39.950000000000003" customHeight="1">
      <c r="A17" s="189">
        <f t="shared" si="23"/>
        <v>44814</v>
      </c>
      <c r="B17" s="16"/>
      <c r="C17" s="191">
        <v>303762</v>
      </c>
      <c r="D17" s="17">
        <f t="shared" si="0"/>
        <v>4580</v>
      </c>
      <c r="E17" s="191">
        <v>517966</v>
      </c>
      <c r="F17" s="17">
        <f t="shared" si="3"/>
        <v>8280</v>
      </c>
      <c r="G17" s="191">
        <v>292951</v>
      </c>
      <c r="H17" s="17">
        <f t="shared" si="4"/>
        <v>3470</v>
      </c>
      <c r="I17" s="17">
        <f t="shared" si="5"/>
        <v>1735</v>
      </c>
      <c r="J17" s="191">
        <v>444394</v>
      </c>
      <c r="K17" s="17">
        <f t="shared" si="6"/>
        <v>6330</v>
      </c>
      <c r="L17" s="191">
        <v>706680</v>
      </c>
      <c r="M17" s="17">
        <f t="shared" si="7"/>
        <v>11110</v>
      </c>
      <c r="N17" s="191">
        <v>414464</v>
      </c>
      <c r="O17" s="17">
        <f t="shared" si="8"/>
        <v>15200</v>
      </c>
      <c r="P17" s="17">
        <f t="shared" si="9"/>
        <v>7600</v>
      </c>
      <c r="Q17" s="191">
        <v>459820</v>
      </c>
      <c r="R17" s="17">
        <f t="shared" si="10"/>
        <v>10240</v>
      </c>
      <c r="S17" s="17">
        <f t="shared" si="11"/>
        <v>5120</v>
      </c>
      <c r="T17" s="191">
        <v>222229</v>
      </c>
      <c r="U17" s="17">
        <f t="shared" si="12"/>
        <v>4070</v>
      </c>
      <c r="V17" s="17">
        <f t="shared" si="13"/>
        <v>2035</v>
      </c>
      <c r="W17" s="191">
        <v>295467</v>
      </c>
      <c r="X17" s="17">
        <f t="shared" si="14"/>
        <v>8480</v>
      </c>
      <c r="Y17" s="17">
        <f t="shared" si="15"/>
        <v>4240</v>
      </c>
      <c r="Z17" s="191">
        <v>85582</v>
      </c>
      <c r="AA17" s="17">
        <f t="shared" si="16"/>
        <v>131</v>
      </c>
      <c r="AB17" s="191">
        <v>162222</v>
      </c>
      <c r="AC17" s="17">
        <f t="shared" si="17"/>
        <v>235</v>
      </c>
      <c r="AD17" s="191">
        <v>290500</v>
      </c>
      <c r="AE17" s="17">
        <f t="shared" si="18"/>
        <v>390</v>
      </c>
      <c r="AF17" s="191">
        <v>147498</v>
      </c>
      <c r="AG17" s="17">
        <f t="shared" si="19"/>
        <v>195</v>
      </c>
      <c r="AH17" s="191">
        <v>775839</v>
      </c>
      <c r="AI17" s="17">
        <f t="shared" si="20"/>
        <v>1052</v>
      </c>
      <c r="AK17" s="96">
        <f t="shared" si="21"/>
        <v>51030</v>
      </c>
      <c r="AL17" s="97">
        <f t="shared" si="22"/>
        <v>20998</v>
      </c>
    </row>
    <row r="18" spans="1:38" ht="39.950000000000003" customHeight="1">
      <c r="A18" s="189">
        <f t="shared" si="23"/>
        <v>44815</v>
      </c>
      <c r="B18" s="16"/>
      <c r="C18" s="191">
        <v>304225</v>
      </c>
      <c r="D18" s="17">
        <f t="shared" si="0"/>
        <v>4630</v>
      </c>
      <c r="E18" s="191">
        <v>518803</v>
      </c>
      <c r="F18" s="17">
        <f t="shared" si="3"/>
        <v>8370</v>
      </c>
      <c r="G18" s="191">
        <v>293260</v>
      </c>
      <c r="H18" s="17">
        <f t="shared" si="4"/>
        <v>3090</v>
      </c>
      <c r="I18" s="17">
        <f t="shared" si="5"/>
        <v>1545</v>
      </c>
      <c r="J18" s="191">
        <v>445030</v>
      </c>
      <c r="K18" s="17">
        <f t="shared" si="6"/>
        <v>6360</v>
      </c>
      <c r="L18" s="191">
        <v>707775</v>
      </c>
      <c r="M18" s="17">
        <f t="shared" si="7"/>
        <v>10950</v>
      </c>
      <c r="N18" s="191">
        <v>416000</v>
      </c>
      <c r="O18" s="17">
        <f t="shared" si="8"/>
        <v>15360</v>
      </c>
      <c r="P18" s="17">
        <f t="shared" si="9"/>
        <v>7680</v>
      </c>
      <c r="Q18" s="191">
        <v>460344</v>
      </c>
      <c r="R18" s="17">
        <f t="shared" si="10"/>
        <v>5240</v>
      </c>
      <c r="S18" s="17">
        <f t="shared" si="11"/>
        <v>2620</v>
      </c>
      <c r="T18" s="191">
        <v>223324</v>
      </c>
      <c r="U18" s="17">
        <f t="shared" si="12"/>
        <v>10950</v>
      </c>
      <c r="V18" s="17">
        <f t="shared" si="13"/>
        <v>5475</v>
      </c>
      <c r="W18" s="191">
        <v>296481</v>
      </c>
      <c r="X18" s="17">
        <f t="shared" si="14"/>
        <v>10140</v>
      </c>
      <c r="Y18" s="17">
        <f t="shared" si="15"/>
        <v>5070</v>
      </c>
      <c r="Z18" s="191">
        <v>85715</v>
      </c>
      <c r="AA18" s="17">
        <f t="shared" si="16"/>
        <v>133</v>
      </c>
      <c r="AB18" s="191">
        <v>162458</v>
      </c>
      <c r="AC18" s="17">
        <f t="shared" si="17"/>
        <v>236</v>
      </c>
      <c r="AD18" s="191">
        <v>290888</v>
      </c>
      <c r="AE18" s="17">
        <f t="shared" si="18"/>
        <v>388</v>
      </c>
      <c r="AF18" s="191">
        <v>147961</v>
      </c>
      <c r="AG18" s="17">
        <f t="shared" si="19"/>
        <v>463</v>
      </c>
      <c r="AH18" s="191">
        <v>776911</v>
      </c>
      <c r="AI18" s="17">
        <f t="shared" si="20"/>
        <v>1072</v>
      </c>
      <c r="AK18" s="96">
        <f t="shared" si="21"/>
        <v>52700</v>
      </c>
      <c r="AL18" s="97">
        <f t="shared" si="22"/>
        <v>23137</v>
      </c>
    </row>
    <row r="19" spans="1:38" ht="39.950000000000003" customHeight="1">
      <c r="A19" s="189">
        <f t="shared" si="23"/>
        <v>44816</v>
      </c>
      <c r="B19" s="16"/>
      <c r="C19" s="191">
        <v>304617</v>
      </c>
      <c r="D19" s="17">
        <f t="shared" si="0"/>
        <v>3920</v>
      </c>
      <c r="E19" s="191">
        <v>519635</v>
      </c>
      <c r="F19" s="17">
        <f t="shared" si="3"/>
        <v>8320</v>
      </c>
      <c r="G19" s="191">
        <v>293527</v>
      </c>
      <c r="H19" s="17">
        <f t="shared" si="4"/>
        <v>2670</v>
      </c>
      <c r="I19" s="17">
        <f t="shared" si="5"/>
        <v>1335</v>
      </c>
      <c r="J19" s="191">
        <v>445668</v>
      </c>
      <c r="K19" s="17">
        <f t="shared" si="6"/>
        <v>6380</v>
      </c>
      <c r="L19" s="191">
        <v>708774</v>
      </c>
      <c r="M19" s="17">
        <f t="shared" si="7"/>
        <v>9990</v>
      </c>
      <c r="N19" s="191">
        <v>417449</v>
      </c>
      <c r="O19" s="17">
        <f t="shared" si="8"/>
        <v>14490</v>
      </c>
      <c r="P19" s="17">
        <f t="shared" si="9"/>
        <v>7245</v>
      </c>
      <c r="Q19" s="191">
        <v>460946</v>
      </c>
      <c r="R19" s="17">
        <f t="shared" si="10"/>
        <v>6020</v>
      </c>
      <c r="S19" s="17">
        <f t="shared" si="11"/>
        <v>3010</v>
      </c>
      <c r="T19" s="191">
        <v>224230</v>
      </c>
      <c r="U19" s="17">
        <f t="shared" si="12"/>
        <v>9060</v>
      </c>
      <c r="V19" s="17">
        <f t="shared" si="13"/>
        <v>4530</v>
      </c>
      <c r="W19" s="191">
        <v>297414</v>
      </c>
      <c r="X19" s="17">
        <f t="shared" si="14"/>
        <v>9330</v>
      </c>
      <c r="Y19" s="17">
        <f t="shared" si="15"/>
        <v>4665</v>
      </c>
      <c r="Z19" s="191">
        <v>85848</v>
      </c>
      <c r="AA19" s="17">
        <f t="shared" si="16"/>
        <v>133</v>
      </c>
      <c r="AB19" s="191">
        <v>162683</v>
      </c>
      <c r="AC19" s="17">
        <f t="shared" si="17"/>
        <v>225</v>
      </c>
      <c r="AD19" s="191">
        <v>291276</v>
      </c>
      <c r="AE19" s="17">
        <f t="shared" si="18"/>
        <v>388</v>
      </c>
      <c r="AF19" s="191">
        <v>147886</v>
      </c>
      <c r="AG19" s="17">
        <f t="shared" si="19"/>
        <v>-75</v>
      </c>
      <c r="AH19" s="191">
        <v>777964</v>
      </c>
      <c r="AI19" s="17">
        <f t="shared" si="20"/>
        <v>1053</v>
      </c>
      <c r="AK19" s="96">
        <f t="shared" si="21"/>
        <v>49395</v>
      </c>
      <c r="AL19" s="97">
        <f t="shared" si="22"/>
        <v>21174</v>
      </c>
    </row>
    <row r="20" spans="1:38" ht="39.950000000000003" customHeight="1">
      <c r="A20" s="189">
        <f t="shared" si="23"/>
        <v>44817</v>
      </c>
      <c r="B20" s="16"/>
      <c r="C20" s="191">
        <v>305120</v>
      </c>
      <c r="D20" s="17">
        <f t="shared" si="0"/>
        <v>5030</v>
      </c>
      <c r="E20" s="191">
        <v>520424</v>
      </c>
      <c r="F20" s="17">
        <f t="shared" si="3"/>
        <v>7890</v>
      </c>
      <c r="G20" s="191">
        <v>294498</v>
      </c>
      <c r="H20" s="17">
        <f t="shared" si="4"/>
        <v>9710</v>
      </c>
      <c r="I20" s="17">
        <f t="shared" si="5"/>
        <v>4855</v>
      </c>
      <c r="J20" s="191">
        <v>446335</v>
      </c>
      <c r="K20" s="17">
        <f t="shared" si="6"/>
        <v>6670</v>
      </c>
      <c r="L20" s="191">
        <v>709898</v>
      </c>
      <c r="M20" s="17">
        <f t="shared" si="7"/>
        <v>11240</v>
      </c>
      <c r="N20" s="191">
        <v>418979</v>
      </c>
      <c r="O20" s="17">
        <f t="shared" si="8"/>
        <v>15300</v>
      </c>
      <c r="P20" s="17">
        <f t="shared" si="9"/>
        <v>7650</v>
      </c>
      <c r="Q20" s="191">
        <v>461623</v>
      </c>
      <c r="R20" s="17">
        <f t="shared" si="10"/>
        <v>6770</v>
      </c>
      <c r="S20" s="17">
        <f t="shared" si="11"/>
        <v>3385</v>
      </c>
      <c r="T20" s="191">
        <v>224232</v>
      </c>
      <c r="U20" s="17">
        <f t="shared" si="12"/>
        <v>20</v>
      </c>
      <c r="V20" s="17">
        <f t="shared" si="13"/>
        <v>10</v>
      </c>
      <c r="W20" s="191">
        <v>298289</v>
      </c>
      <c r="X20" s="17">
        <f t="shared" si="14"/>
        <v>8750</v>
      </c>
      <c r="Y20" s="17">
        <f t="shared" si="15"/>
        <v>4375</v>
      </c>
      <c r="Z20" s="191">
        <v>85988</v>
      </c>
      <c r="AA20" s="17">
        <f t="shared" si="16"/>
        <v>140</v>
      </c>
      <c r="AB20" s="191">
        <v>162934</v>
      </c>
      <c r="AC20" s="17">
        <f t="shared" si="17"/>
        <v>251</v>
      </c>
      <c r="AD20" s="191">
        <v>291689</v>
      </c>
      <c r="AE20" s="17">
        <f t="shared" si="18"/>
        <v>413</v>
      </c>
      <c r="AF20" s="191">
        <v>148092</v>
      </c>
      <c r="AG20" s="17">
        <f t="shared" si="19"/>
        <v>206</v>
      </c>
      <c r="AH20" s="191">
        <v>779088</v>
      </c>
      <c r="AI20" s="17">
        <f t="shared" si="20"/>
        <v>1124</v>
      </c>
      <c r="AK20" s="96">
        <f t="shared" si="21"/>
        <v>51105</v>
      </c>
      <c r="AL20" s="97">
        <f t="shared" si="22"/>
        <v>17554</v>
      </c>
    </row>
    <row r="21" spans="1:38" ht="39.950000000000003" customHeight="1">
      <c r="A21" s="189">
        <f t="shared" si="23"/>
        <v>44818</v>
      </c>
      <c r="B21" s="16"/>
      <c r="C21" s="191">
        <v>305546</v>
      </c>
      <c r="D21" s="17">
        <f t="shared" si="0"/>
        <v>4260</v>
      </c>
      <c r="E21" s="191">
        <v>521144</v>
      </c>
      <c r="F21" s="17">
        <f t="shared" si="3"/>
        <v>7200</v>
      </c>
      <c r="G21" s="191">
        <v>295853</v>
      </c>
      <c r="H21" s="17">
        <f t="shared" si="4"/>
        <v>13550</v>
      </c>
      <c r="I21" s="17">
        <f t="shared" si="5"/>
        <v>6775</v>
      </c>
      <c r="J21" s="191">
        <v>446950</v>
      </c>
      <c r="K21" s="17">
        <f t="shared" si="6"/>
        <v>6150</v>
      </c>
      <c r="L21" s="191">
        <v>710961</v>
      </c>
      <c r="M21" s="17">
        <f t="shared" si="7"/>
        <v>10630</v>
      </c>
      <c r="N21" s="191">
        <v>420191</v>
      </c>
      <c r="O21" s="17">
        <f t="shared" si="8"/>
        <v>12120</v>
      </c>
      <c r="P21" s="17">
        <f t="shared" si="9"/>
        <v>6060</v>
      </c>
      <c r="Q21" s="198">
        <v>461770</v>
      </c>
      <c r="R21" s="17">
        <f t="shared" si="10"/>
        <v>1470</v>
      </c>
      <c r="S21" s="17">
        <f t="shared" si="11"/>
        <v>735</v>
      </c>
      <c r="T21" s="191">
        <v>224676</v>
      </c>
      <c r="U21" s="17">
        <f t="shared" si="12"/>
        <v>4440</v>
      </c>
      <c r="V21" s="17">
        <f t="shared" si="13"/>
        <v>2220</v>
      </c>
      <c r="W21" s="191">
        <v>298637</v>
      </c>
      <c r="X21" s="17">
        <f t="shared" si="14"/>
        <v>3480</v>
      </c>
      <c r="Y21" s="17">
        <f t="shared" si="15"/>
        <v>1740</v>
      </c>
      <c r="Z21" s="191">
        <v>86117</v>
      </c>
      <c r="AA21" s="17">
        <f t="shared" si="16"/>
        <v>129</v>
      </c>
      <c r="AB21" s="191">
        <v>163172</v>
      </c>
      <c r="AC21" s="17">
        <f t="shared" si="17"/>
        <v>238</v>
      </c>
      <c r="AD21" s="191">
        <v>292091</v>
      </c>
      <c r="AE21" s="17">
        <f t="shared" si="18"/>
        <v>402</v>
      </c>
      <c r="AF21" s="191">
        <v>148284</v>
      </c>
      <c r="AG21" s="17">
        <f t="shared" si="19"/>
        <v>192</v>
      </c>
      <c r="AH21" s="191">
        <v>780149</v>
      </c>
      <c r="AI21" s="17">
        <f t="shared" si="20"/>
        <v>1061</v>
      </c>
      <c r="AK21" s="96">
        <f t="shared" si="21"/>
        <v>45770</v>
      </c>
      <c r="AL21" s="97">
        <f t="shared" si="22"/>
        <v>12777</v>
      </c>
    </row>
    <row r="22" spans="1:38" ht="39.950000000000003" customHeight="1">
      <c r="A22" s="189">
        <f t="shared" si="23"/>
        <v>44819</v>
      </c>
      <c r="B22" s="16"/>
      <c r="C22" s="191">
        <v>305958</v>
      </c>
      <c r="D22" s="17">
        <f t="shared" si="0"/>
        <v>4120</v>
      </c>
      <c r="E22" s="191">
        <v>521895</v>
      </c>
      <c r="F22" s="17">
        <f t="shared" si="3"/>
        <v>7510</v>
      </c>
      <c r="G22" s="191">
        <v>297312</v>
      </c>
      <c r="H22" s="17">
        <f t="shared" si="4"/>
        <v>14590</v>
      </c>
      <c r="I22" s="17">
        <f t="shared" si="5"/>
        <v>7295</v>
      </c>
      <c r="J22" s="191">
        <v>447568</v>
      </c>
      <c r="K22" s="17">
        <f t="shared" si="6"/>
        <v>6180</v>
      </c>
      <c r="L22" s="191">
        <v>712020</v>
      </c>
      <c r="M22" s="17">
        <f t="shared" si="7"/>
        <v>10590</v>
      </c>
      <c r="N22" s="191">
        <v>421539</v>
      </c>
      <c r="O22" s="17">
        <f t="shared" si="8"/>
        <v>13480</v>
      </c>
      <c r="P22" s="17">
        <f t="shared" si="9"/>
        <v>6740</v>
      </c>
      <c r="Q22" s="191">
        <v>461792</v>
      </c>
      <c r="R22" s="17">
        <f t="shared" si="10"/>
        <v>220</v>
      </c>
      <c r="S22" s="17">
        <f t="shared" si="11"/>
        <v>110</v>
      </c>
      <c r="T22" s="191">
        <v>224800</v>
      </c>
      <c r="U22" s="17">
        <f t="shared" si="12"/>
        <v>1240</v>
      </c>
      <c r="V22" s="17">
        <f t="shared" si="13"/>
        <v>620</v>
      </c>
      <c r="W22" s="191">
        <v>299333</v>
      </c>
      <c r="X22" s="17">
        <f t="shared" si="14"/>
        <v>6960</v>
      </c>
      <c r="Y22" s="17">
        <f t="shared" si="15"/>
        <v>3480</v>
      </c>
      <c r="Z22" s="191">
        <v>86244</v>
      </c>
      <c r="AA22" s="17">
        <f t="shared" si="16"/>
        <v>127</v>
      </c>
      <c r="AB22" s="191">
        <v>163408</v>
      </c>
      <c r="AC22" s="17">
        <f t="shared" si="17"/>
        <v>236</v>
      </c>
      <c r="AD22" s="191">
        <v>292492</v>
      </c>
      <c r="AE22" s="17">
        <f t="shared" si="18"/>
        <v>401</v>
      </c>
      <c r="AF22" s="191">
        <v>148477</v>
      </c>
      <c r="AG22" s="17">
        <f t="shared" si="19"/>
        <v>193</v>
      </c>
      <c r="AH22" s="191">
        <v>781200</v>
      </c>
      <c r="AI22" s="17">
        <f t="shared" si="20"/>
        <v>1051</v>
      </c>
      <c r="AK22" s="96">
        <f t="shared" si="21"/>
        <v>46645</v>
      </c>
      <c r="AL22" s="97">
        <f t="shared" si="22"/>
        <v>12958</v>
      </c>
    </row>
    <row r="23" spans="1:38" ht="39.950000000000003" customHeight="1">
      <c r="A23" s="189">
        <f t="shared" si="23"/>
        <v>44820</v>
      </c>
      <c r="B23" s="16"/>
      <c r="C23" s="191">
        <v>306403</v>
      </c>
      <c r="D23" s="17">
        <f t="shared" si="0"/>
        <v>4450</v>
      </c>
      <c r="E23" s="191">
        <v>522647</v>
      </c>
      <c r="F23" s="17">
        <f t="shared" si="3"/>
        <v>7520</v>
      </c>
      <c r="G23" s="191">
        <v>298834</v>
      </c>
      <c r="H23" s="17">
        <f t="shared" si="4"/>
        <v>15220</v>
      </c>
      <c r="I23" s="17">
        <f t="shared" si="5"/>
        <v>7610</v>
      </c>
      <c r="J23" s="191">
        <v>448238</v>
      </c>
      <c r="K23" s="17">
        <f t="shared" si="6"/>
        <v>6700</v>
      </c>
      <c r="L23" s="191">
        <v>713137</v>
      </c>
      <c r="M23" s="17">
        <f t="shared" si="7"/>
        <v>11170</v>
      </c>
      <c r="N23" s="191">
        <v>423022</v>
      </c>
      <c r="O23" s="17">
        <f t="shared" si="8"/>
        <v>14830</v>
      </c>
      <c r="P23" s="17">
        <f t="shared" si="9"/>
        <v>7415</v>
      </c>
      <c r="Q23" s="191">
        <v>461794</v>
      </c>
      <c r="R23" s="17">
        <f t="shared" si="10"/>
        <v>20</v>
      </c>
      <c r="S23" s="17">
        <f t="shared" si="11"/>
        <v>10</v>
      </c>
      <c r="T23" s="191">
        <v>225238</v>
      </c>
      <c r="U23" s="17">
        <f t="shared" si="12"/>
        <v>4380</v>
      </c>
      <c r="V23" s="17">
        <f t="shared" si="13"/>
        <v>2190</v>
      </c>
      <c r="W23" s="191">
        <v>300027</v>
      </c>
      <c r="X23" s="17">
        <f t="shared" si="14"/>
        <v>6940</v>
      </c>
      <c r="Y23" s="17">
        <f t="shared" si="15"/>
        <v>3470</v>
      </c>
      <c r="Z23" s="191">
        <v>86387</v>
      </c>
      <c r="AA23" s="17">
        <f t="shared" si="16"/>
        <v>143</v>
      </c>
      <c r="AB23" s="191">
        <v>163655</v>
      </c>
      <c r="AC23" s="17">
        <f t="shared" si="17"/>
        <v>247</v>
      </c>
      <c r="AD23" s="191">
        <v>292915</v>
      </c>
      <c r="AE23" s="17">
        <f t="shared" si="18"/>
        <v>423</v>
      </c>
      <c r="AF23" s="191">
        <v>148682</v>
      </c>
      <c r="AG23" s="17">
        <f t="shared" si="19"/>
        <v>205</v>
      </c>
      <c r="AH23" s="191">
        <v>782345</v>
      </c>
      <c r="AI23" s="17">
        <f t="shared" si="20"/>
        <v>1145</v>
      </c>
      <c r="AK23" s="96">
        <f t="shared" si="21"/>
        <v>50535</v>
      </c>
      <c r="AL23" s="97">
        <f t="shared" si="22"/>
        <v>15248</v>
      </c>
    </row>
    <row r="24" spans="1:38" ht="39.950000000000003" customHeight="1">
      <c r="A24" s="189">
        <f t="shared" si="23"/>
        <v>44821</v>
      </c>
      <c r="B24" s="16"/>
      <c r="C24" s="191">
        <v>306863</v>
      </c>
      <c r="D24" s="17">
        <f t="shared" si="0"/>
        <v>4600</v>
      </c>
      <c r="E24" s="191">
        <v>523460</v>
      </c>
      <c r="F24" s="17">
        <f t="shared" si="3"/>
        <v>8130</v>
      </c>
      <c r="G24" s="191">
        <v>300402</v>
      </c>
      <c r="H24" s="17">
        <f t="shared" si="4"/>
        <v>15680</v>
      </c>
      <c r="I24" s="17">
        <f t="shared" si="5"/>
        <v>7840</v>
      </c>
      <c r="J24" s="191">
        <v>448878</v>
      </c>
      <c r="K24" s="17">
        <f t="shared" si="6"/>
        <v>6400</v>
      </c>
      <c r="L24" s="191">
        <v>714239</v>
      </c>
      <c r="M24" s="17">
        <f t="shared" si="7"/>
        <v>11020</v>
      </c>
      <c r="N24" s="191">
        <v>424281</v>
      </c>
      <c r="O24" s="17">
        <f t="shared" si="8"/>
        <v>12590</v>
      </c>
      <c r="P24" s="17">
        <f t="shared" si="9"/>
        <v>6295</v>
      </c>
      <c r="Q24" s="191">
        <v>461796</v>
      </c>
      <c r="R24" s="17">
        <f t="shared" si="10"/>
        <v>20</v>
      </c>
      <c r="S24" s="17">
        <f t="shared" si="11"/>
        <v>10</v>
      </c>
      <c r="T24" s="191">
        <v>226269</v>
      </c>
      <c r="U24" s="17">
        <f t="shared" si="12"/>
        <v>10310</v>
      </c>
      <c r="V24" s="17">
        <f t="shared" si="13"/>
        <v>5155</v>
      </c>
      <c r="W24" s="191">
        <v>300902</v>
      </c>
      <c r="X24" s="17">
        <f t="shared" si="14"/>
        <v>8750</v>
      </c>
      <c r="Y24" s="17">
        <f t="shared" si="15"/>
        <v>4375</v>
      </c>
      <c r="Z24" s="191">
        <v>86523</v>
      </c>
      <c r="AA24" s="17">
        <f t="shared" si="16"/>
        <v>136</v>
      </c>
      <c r="AB24" s="191">
        <v>163781</v>
      </c>
      <c r="AC24" s="17">
        <f t="shared" si="17"/>
        <v>126</v>
      </c>
      <c r="AD24" s="191">
        <v>293313</v>
      </c>
      <c r="AE24" s="17">
        <f t="shared" si="18"/>
        <v>398</v>
      </c>
      <c r="AF24" s="191">
        <v>148880</v>
      </c>
      <c r="AG24" s="17">
        <f t="shared" si="19"/>
        <v>198</v>
      </c>
      <c r="AH24" s="191">
        <v>783423</v>
      </c>
      <c r="AI24" s="17">
        <f t="shared" si="20"/>
        <v>1078</v>
      </c>
      <c r="AK24" s="96">
        <f t="shared" si="21"/>
        <v>53825</v>
      </c>
      <c r="AL24" s="97">
        <f t="shared" si="22"/>
        <v>17771</v>
      </c>
    </row>
    <row r="25" spans="1:38" ht="39.950000000000003" customHeight="1">
      <c r="A25" s="189">
        <f t="shared" si="23"/>
        <v>44822</v>
      </c>
      <c r="B25" s="16"/>
      <c r="C25" s="191">
        <v>307340</v>
      </c>
      <c r="D25" s="17">
        <f t="shared" si="0"/>
        <v>4770</v>
      </c>
      <c r="E25" s="191">
        <v>524273</v>
      </c>
      <c r="F25" s="17">
        <f t="shared" si="3"/>
        <v>8130</v>
      </c>
      <c r="G25" s="191">
        <v>302118</v>
      </c>
      <c r="H25" s="17">
        <f t="shared" si="4"/>
        <v>17160</v>
      </c>
      <c r="I25" s="17">
        <f t="shared" si="5"/>
        <v>8580</v>
      </c>
      <c r="J25" s="191">
        <v>449489</v>
      </c>
      <c r="K25" s="17">
        <f t="shared" si="6"/>
        <v>6110</v>
      </c>
      <c r="L25" s="191">
        <v>715323</v>
      </c>
      <c r="M25" s="17">
        <f t="shared" si="7"/>
        <v>10840</v>
      </c>
      <c r="N25" s="191">
        <v>425731</v>
      </c>
      <c r="O25" s="17">
        <f t="shared" si="8"/>
        <v>14500</v>
      </c>
      <c r="P25" s="17">
        <f t="shared" si="9"/>
        <v>7250</v>
      </c>
      <c r="Q25" s="191">
        <v>461867</v>
      </c>
      <c r="R25" s="17">
        <f t="shared" si="10"/>
        <v>710</v>
      </c>
      <c r="S25" s="17">
        <f t="shared" si="11"/>
        <v>355</v>
      </c>
      <c r="T25" s="191">
        <v>226792</v>
      </c>
      <c r="U25" s="17">
        <f t="shared" si="12"/>
        <v>5230</v>
      </c>
      <c r="V25" s="17">
        <f t="shared" si="13"/>
        <v>2615</v>
      </c>
      <c r="W25" s="191">
        <v>302118</v>
      </c>
      <c r="X25" s="17">
        <f t="shared" si="14"/>
        <v>12160</v>
      </c>
      <c r="Y25" s="17">
        <f t="shared" si="15"/>
        <v>6080</v>
      </c>
      <c r="Z25" s="191">
        <v>86660</v>
      </c>
      <c r="AA25" s="17">
        <f t="shared" si="16"/>
        <v>137</v>
      </c>
      <c r="AB25" s="191">
        <v>164125</v>
      </c>
      <c r="AC25" s="17">
        <f t="shared" si="17"/>
        <v>344</v>
      </c>
      <c r="AD25" s="191">
        <v>293710</v>
      </c>
      <c r="AE25" s="17">
        <f t="shared" si="18"/>
        <v>397</v>
      </c>
      <c r="AF25" s="191">
        <v>149077</v>
      </c>
      <c r="AG25" s="17">
        <f t="shared" si="19"/>
        <v>197</v>
      </c>
      <c r="AH25" s="191">
        <v>784506</v>
      </c>
      <c r="AI25" s="17">
        <f t="shared" si="20"/>
        <v>1083</v>
      </c>
      <c r="AK25" s="96">
        <f t="shared" si="21"/>
        <v>54730</v>
      </c>
      <c r="AL25" s="97">
        <f t="shared" si="22"/>
        <v>18458</v>
      </c>
    </row>
    <row r="26" spans="1:38" ht="39.950000000000003" customHeight="1">
      <c r="A26" s="189">
        <f t="shared" si="23"/>
        <v>44823</v>
      </c>
      <c r="B26" s="16"/>
      <c r="C26" s="191">
        <v>307768</v>
      </c>
      <c r="D26" s="17">
        <f t="shared" si="0"/>
        <v>4280</v>
      </c>
      <c r="E26" s="191">
        <v>524999</v>
      </c>
      <c r="F26" s="17">
        <f t="shared" si="3"/>
        <v>7260</v>
      </c>
      <c r="G26" s="191">
        <v>303167</v>
      </c>
      <c r="H26" s="17">
        <f t="shared" si="4"/>
        <v>10490</v>
      </c>
      <c r="I26" s="17">
        <f t="shared" si="5"/>
        <v>5245</v>
      </c>
      <c r="J26" s="191">
        <v>450090</v>
      </c>
      <c r="K26" s="17">
        <f t="shared" si="6"/>
        <v>6010</v>
      </c>
      <c r="L26" s="191">
        <v>718266</v>
      </c>
      <c r="M26" s="17">
        <f t="shared" si="7"/>
        <v>29430</v>
      </c>
      <c r="N26" s="191">
        <v>426663</v>
      </c>
      <c r="O26" s="17">
        <f t="shared" si="8"/>
        <v>9320</v>
      </c>
      <c r="P26" s="17">
        <f t="shared" si="9"/>
        <v>4660</v>
      </c>
      <c r="Q26" s="191">
        <v>461907</v>
      </c>
      <c r="R26" s="17">
        <f t="shared" si="10"/>
        <v>400</v>
      </c>
      <c r="S26" s="17">
        <f t="shared" si="11"/>
        <v>200</v>
      </c>
      <c r="T26" s="191">
        <v>227868</v>
      </c>
      <c r="U26" s="17">
        <f t="shared" si="12"/>
        <v>10760</v>
      </c>
      <c r="V26" s="17">
        <f t="shared" si="13"/>
        <v>5380</v>
      </c>
      <c r="W26" s="191">
        <v>303080</v>
      </c>
      <c r="X26" s="17">
        <f t="shared" si="14"/>
        <v>9620</v>
      </c>
      <c r="Y26" s="17">
        <f t="shared" si="15"/>
        <v>4810</v>
      </c>
      <c r="Z26" s="191">
        <v>86791</v>
      </c>
      <c r="AA26" s="17">
        <f t="shared" si="16"/>
        <v>131</v>
      </c>
      <c r="AB26" s="191">
        <v>164367</v>
      </c>
      <c r="AC26" s="17">
        <f t="shared" si="17"/>
        <v>242</v>
      </c>
      <c r="AD26" s="191">
        <v>294108</v>
      </c>
      <c r="AE26" s="17">
        <f t="shared" si="18"/>
        <v>398</v>
      </c>
      <c r="AF26" s="191">
        <v>149270</v>
      </c>
      <c r="AG26" s="17">
        <f t="shared" si="19"/>
        <v>193</v>
      </c>
      <c r="AH26" s="191">
        <v>785545</v>
      </c>
      <c r="AI26" s="17">
        <f t="shared" si="20"/>
        <v>1039</v>
      </c>
      <c r="AK26" s="96">
        <f t="shared" si="21"/>
        <v>67275</v>
      </c>
      <c r="AL26" s="97">
        <f t="shared" si="22"/>
        <v>17053</v>
      </c>
    </row>
    <row r="27" spans="1:38" ht="39.950000000000003" customHeight="1">
      <c r="A27" s="189">
        <f t="shared" si="23"/>
        <v>44824</v>
      </c>
      <c r="B27" s="16"/>
      <c r="C27" s="191">
        <v>308187</v>
      </c>
      <c r="D27" s="17">
        <f t="shared" si="0"/>
        <v>4190</v>
      </c>
      <c r="E27" s="191">
        <v>525734</v>
      </c>
      <c r="F27" s="17">
        <f t="shared" si="3"/>
        <v>7350</v>
      </c>
      <c r="G27" s="191">
        <v>304692</v>
      </c>
      <c r="H27" s="17">
        <f t="shared" si="4"/>
        <v>15250</v>
      </c>
      <c r="I27" s="17">
        <f t="shared" si="5"/>
        <v>7625</v>
      </c>
      <c r="J27" s="191">
        <v>450716</v>
      </c>
      <c r="K27" s="17">
        <f t="shared" si="6"/>
        <v>6260</v>
      </c>
      <c r="L27" s="191">
        <v>717336</v>
      </c>
      <c r="M27" s="17">
        <f t="shared" si="7"/>
        <v>-9300</v>
      </c>
      <c r="N27" s="191">
        <v>427856</v>
      </c>
      <c r="O27" s="17">
        <f t="shared" si="8"/>
        <v>11930</v>
      </c>
      <c r="P27" s="17">
        <f t="shared" si="9"/>
        <v>5965</v>
      </c>
      <c r="Q27" s="191">
        <v>461909</v>
      </c>
      <c r="R27" s="17">
        <f t="shared" si="10"/>
        <v>20</v>
      </c>
      <c r="S27" s="17">
        <f t="shared" si="11"/>
        <v>10</v>
      </c>
      <c r="T27" s="191">
        <v>228968</v>
      </c>
      <c r="U27" s="17">
        <f t="shared" si="12"/>
        <v>11000</v>
      </c>
      <c r="V27" s="17">
        <f t="shared" si="13"/>
        <v>5500</v>
      </c>
      <c r="W27" s="191">
        <v>303518</v>
      </c>
      <c r="X27" s="17">
        <f t="shared" si="14"/>
        <v>4380</v>
      </c>
      <c r="Y27" s="17">
        <f t="shared" si="15"/>
        <v>2190</v>
      </c>
      <c r="Z27" s="191">
        <v>86922</v>
      </c>
      <c r="AA27" s="17">
        <f t="shared" si="16"/>
        <v>131</v>
      </c>
      <c r="AB27" s="191">
        <v>164610</v>
      </c>
      <c r="AC27" s="17">
        <f t="shared" si="17"/>
        <v>243</v>
      </c>
      <c r="AD27" s="191">
        <v>294520</v>
      </c>
      <c r="AE27" s="17">
        <f t="shared" si="18"/>
        <v>412</v>
      </c>
      <c r="AF27" s="191">
        <v>149467</v>
      </c>
      <c r="AG27" s="17">
        <f t="shared" si="19"/>
        <v>197</v>
      </c>
      <c r="AH27" s="191">
        <v>786598</v>
      </c>
      <c r="AI27" s="17">
        <f t="shared" si="20"/>
        <v>1053</v>
      </c>
      <c r="AK27" s="96">
        <f t="shared" si="21"/>
        <v>29790</v>
      </c>
      <c r="AL27" s="97">
        <f t="shared" si="22"/>
        <v>15701</v>
      </c>
    </row>
    <row r="28" spans="1:38" ht="39.950000000000003" customHeight="1">
      <c r="A28" s="189">
        <f t="shared" si="23"/>
        <v>44825</v>
      </c>
      <c r="B28" s="16"/>
      <c r="C28" s="191">
        <v>308597</v>
      </c>
      <c r="D28" s="17">
        <f t="shared" si="0"/>
        <v>4100</v>
      </c>
      <c r="E28" s="191">
        <v>526466</v>
      </c>
      <c r="F28" s="17">
        <f t="shared" si="3"/>
        <v>7320</v>
      </c>
      <c r="G28" s="191">
        <v>306193</v>
      </c>
      <c r="H28" s="17">
        <f t="shared" si="4"/>
        <v>15010</v>
      </c>
      <c r="I28" s="17">
        <f t="shared" si="5"/>
        <v>7505</v>
      </c>
      <c r="J28" s="191">
        <v>451337</v>
      </c>
      <c r="K28" s="17">
        <f t="shared" si="6"/>
        <v>6210</v>
      </c>
      <c r="L28" s="191">
        <v>718411</v>
      </c>
      <c r="M28" s="17">
        <f t="shared" si="7"/>
        <v>10750</v>
      </c>
      <c r="N28" s="191">
        <v>429198</v>
      </c>
      <c r="O28" s="17">
        <f t="shared" si="8"/>
        <v>13420</v>
      </c>
      <c r="P28" s="17">
        <f t="shared" si="9"/>
        <v>6710</v>
      </c>
      <c r="Q28" s="191">
        <v>461911</v>
      </c>
      <c r="R28" s="17">
        <f t="shared" si="10"/>
        <v>20</v>
      </c>
      <c r="S28" s="17">
        <f t="shared" si="11"/>
        <v>10</v>
      </c>
      <c r="T28" s="191">
        <v>229764</v>
      </c>
      <c r="U28" s="17">
        <f t="shared" si="12"/>
        <v>7960</v>
      </c>
      <c r="V28" s="17">
        <f t="shared" si="13"/>
        <v>3980</v>
      </c>
      <c r="W28" s="191">
        <v>303575</v>
      </c>
      <c r="X28" s="17">
        <f t="shared" si="14"/>
        <v>570</v>
      </c>
      <c r="Y28" s="17">
        <f t="shared" si="15"/>
        <v>285</v>
      </c>
      <c r="Z28" s="191">
        <v>87053</v>
      </c>
      <c r="AA28" s="17">
        <f t="shared" si="16"/>
        <v>131</v>
      </c>
      <c r="AB28" s="191">
        <v>164851</v>
      </c>
      <c r="AC28" s="17">
        <f t="shared" si="17"/>
        <v>241</v>
      </c>
      <c r="AD28" s="191">
        <v>294928</v>
      </c>
      <c r="AE28" s="17">
        <f t="shared" si="18"/>
        <v>408</v>
      </c>
      <c r="AF28" s="191">
        <v>149661</v>
      </c>
      <c r="AG28" s="17">
        <f t="shared" si="19"/>
        <v>194</v>
      </c>
      <c r="AH28" s="191">
        <v>787613</v>
      </c>
      <c r="AI28" s="17">
        <f t="shared" si="20"/>
        <v>1015</v>
      </c>
      <c r="AK28" s="96">
        <f t="shared" si="21"/>
        <v>46870</v>
      </c>
      <c r="AL28" s="97">
        <f t="shared" si="22"/>
        <v>12974</v>
      </c>
    </row>
    <row r="29" spans="1:38" ht="39.950000000000003" customHeight="1">
      <c r="A29" s="189">
        <f t="shared" si="23"/>
        <v>44826</v>
      </c>
      <c r="B29" s="16"/>
      <c r="C29" s="191">
        <v>309003</v>
      </c>
      <c r="D29" s="17">
        <f t="shared" si="0"/>
        <v>4060</v>
      </c>
      <c r="E29" s="191">
        <v>527202</v>
      </c>
      <c r="F29" s="17">
        <f t="shared" si="3"/>
        <v>7360</v>
      </c>
      <c r="G29" s="191">
        <v>307647</v>
      </c>
      <c r="H29" s="17">
        <f t="shared" si="4"/>
        <v>14540</v>
      </c>
      <c r="I29" s="17">
        <f t="shared" si="5"/>
        <v>7270</v>
      </c>
      <c r="J29" s="191">
        <v>451958</v>
      </c>
      <c r="K29" s="17">
        <f t="shared" si="6"/>
        <v>6210</v>
      </c>
      <c r="L29" s="191">
        <v>719503</v>
      </c>
      <c r="M29" s="17">
        <f t="shared" si="7"/>
        <v>10920</v>
      </c>
      <c r="N29" s="191">
        <v>430315</v>
      </c>
      <c r="O29" s="17">
        <f t="shared" si="8"/>
        <v>11170</v>
      </c>
      <c r="P29" s="17">
        <f t="shared" si="9"/>
        <v>5585</v>
      </c>
      <c r="Q29" s="191">
        <v>461914</v>
      </c>
      <c r="R29" s="17">
        <f t="shared" si="10"/>
        <v>30</v>
      </c>
      <c r="S29" s="17">
        <f t="shared" si="11"/>
        <v>15</v>
      </c>
      <c r="T29" s="191">
        <v>230853</v>
      </c>
      <c r="U29" s="17">
        <f t="shared" si="12"/>
        <v>10890</v>
      </c>
      <c r="V29" s="17">
        <f t="shared" si="13"/>
        <v>5445</v>
      </c>
      <c r="W29" s="191">
        <v>303651</v>
      </c>
      <c r="X29" s="17">
        <f t="shared" si="14"/>
        <v>760</v>
      </c>
      <c r="Y29" s="17">
        <f t="shared" si="15"/>
        <v>380</v>
      </c>
      <c r="Z29" s="191">
        <v>87176</v>
      </c>
      <c r="AA29" s="17">
        <f t="shared" si="16"/>
        <v>123</v>
      </c>
      <c r="AB29" s="191">
        <v>161093</v>
      </c>
      <c r="AC29" s="17">
        <f t="shared" si="17"/>
        <v>-3758</v>
      </c>
      <c r="AD29" s="191">
        <v>295336</v>
      </c>
      <c r="AE29" s="17">
        <f t="shared" si="18"/>
        <v>408</v>
      </c>
      <c r="AF29" s="191">
        <v>149856</v>
      </c>
      <c r="AG29" s="17">
        <f t="shared" si="19"/>
        <v>195</v>
      </c>
      <c r="AH29" s="191">
        <v>788652</v>
      </c>
      <c r="AI29" s="17">
        <f t="shared" si="20"/>
        <v>1039</v>
      </c>
      <c r="AK29" s="96">
        <f t="shared" si="21"/>
        <v>47245</v>
      </c>
      <c r="AL29" s="97">
        <f t="shared" si="22"/>
        <v>9432</v>
      </c>
    </row>
    <row r="30" spans="1:38" ht="39.950000000000003" customHeight="1">
      <c r="A30" s="189">
        <f t="shared" si="23"/>
        <v>44827</v>
      </c>
      <c r="B30" s="16"/>
      <c r="C30" s="191">
        <v>309425</v>
      </c>
      <c r="D30" s="17">
        <f t="shared" si="0"/>
        <v>4220</v>
      </c>
      <c r="E30" s="191">
        <v>528002</v>
      </c>
      <c r="F30" s="17">
        <f t="shared" si="3"/>
        <v>8000</v>
      </c>
      <c r="G30" s="191">
        <v>309142</v>
      </c>
      <c r="H30" s="17">
        <f t="shared" si="4"/>
        <v>14950</v>
      </c>
      <c r="I30" s="17">
        <f t="shared" si="5"/>
        <v>7475</v>
      </c>
      <c r="J30" s="191">
        <v>452604</v>
      </c>
      <c r="K30" s="17">
        <f t="shared" si="6"/>
        <v>6460</v>
      </c>
      <c r="L30" s="191">
        <v>720616</v>
      </c>
      <c r="M30" s="17">
        <f t="shared" si="7"/>
        <v>11130</v>
      </c>
      <c r="N30" s="191">
        <v>431447</v>
      </c>
      <c r="O30" s="17">
        <f t="shared" si="8"/>
        <v>11320</v>
      </c>
      <c r="P30" s="17">
        <f t="shared" si="9"/>
        <v>5660</v>
      </c>
      <c r="Q30" s="191">
        <v>461916</v>
      </c>
      <c r="R30" s="17">
        <f t="shared" si="10"/>
        <v>20</v>
      </c>
      <c r="S30" s="17">
        <f t="shared" si="11"/>
        <v>10</v>
      </c>
      <c r="T30" s="191">
        <v>231687</v>
      </c>
      <c r="U30" s="17">
        <f t="shared" si="12"/>
        <v>8340</v>
      </c>
      <c r="V30" s="17">
        <f t="shared" si="13"/>
        <v>4170</v>
      </c>
      <c r="W30" s="191">
        <v>304274</v>
      </c>
      <c r="X30" s="17">
        <f t="shared" si="14"/>
        <v>6230</v>
      </c>
      <c r="Y30" s="17">
        <f t="shared" si="15"/>
        <v>3115</v>
      </c>
      <c r="Z30" s="191">
        <v>87308</v>
      </c>
      <c r="AA30" s="17">
        <f t="shared" si="16"/>
        <v>132</v>
      </c>
      <c r="AB30" s="191">
        <v>165339</v>
      </c>
      <c r="AC30" s="17">
        <f t="shared" si="17"/>
        <v>4246</v>
      </c>
      <c r="AD30" s="191">
        <v>295746</v>
      </c>
      <c r="AE30" s="17">
        <f t="shared" si="18"/>
        <v>410</v>
      </c>
      <c r="AF30" s="191">
        <v>150048</v>
      </c>
      <c r="AG30" s="17">
        <f t="shared" si="19"/>
        <v>192</v>
      </c>
      <c r="AH30" s="191">
        <v>789697</v>
      </c>
      <c r="AI30" s="17">
        <f t="shared" si="20"/>
        <v>1045</v>
      </c>
      <c r="AK30" s="96">
        <f t="shared" si="21"/>
        <v>50240</v>
      </c>
      <c r="AL30" s="97">
        <f t="shared" si="22"/>
        <v>18980</v>
      </c>
    </row>
    <row r="31" spans="1:38" ht="39.950000000000003" customHeight="1">
      <c r="A31" s="189">
        <f t="shared" si="23"/>
        <v>44828</v>
      </c>
      <c r="B31" s="16"/>
      <c r="C31" s="191">
        <v>309859</v>
      </c>
      <c r="D31" s="17">
        <f t="shared" si="0"/>
        <v>4340</v>
      </c>
      <c r="E31" s="191">
        <v>528842</v>
      </c>
      <c r="F31" s="17">
        <f t="shared" si="3"/>
        <v>8400</v>
      </c>
      <c r="G31" s="191">
        <v>310631</v>
      </c>
      <c r="H31" s="17">
        <f t="shared" si="4"/>
        <v>14890</v>
      </c>
      <c r="I31" s="17">
        <f t="shared" si="5"/>
        <v>7445</v>
      </c>
      <c r="J31" s="191">
        <v>453257</v>
      </c>
      <c r="K31" s="17">
        <f t="shared" si="6"/>
        <v>6530</v>
      </c>
      <c r="L31" s="191">
        <v>721748</v>
      </c>
      <c r="M31" s="17">
        <f t="shared" si="7"/>
        <v>11320</v>
      </c>
      <c r="N31" s="191">
        <v>432605</v>
      </c>
      <c r="O31" s="17">
        <f t="shared" si="8"/>
        <v>11580</v>
      </c>
      <c r="P31" s="17">
        <f t="shared" si="9"/>
        <v>5790</v>
      </c>
      <c r="Q31" s="191">
        <v>461918</v>
      </c>
      <c r="R31" s="17">
        <f t="shared" si="10"/>
        <v>20</v>
      </c>
      <c r="S31" s="17">
        <f t="shared" si="11"/>
        <v>10</v>
      </c>
      <c r="T31" s="191">
        <v>232744</v>
      </c>
      <c r="U31" s="17">
        <f t="shared" si="12"/>
        <v>10570</v>
      </c>
      <c r="V31" s="17">
        <f t="shared" si="13"/>
        <v>5285</v>
      </c>
      <c r="W31" s="191">
        <v>304350</v>
      </c>
      <c r="X31" s="17">
        <f t="shared" si="14"/>
        <v>760</v>
      </c>
      <c r="Y31" s="17">
        <f t="shared" si="15"/>
        <v>380</v>
      </c>
      <c r="Z31" s="191">
        <v>87442</v>
      </c>
      <c r="AA31" s="17">
        <f t="shared" si="16"/>
        <v>134</v>
      </c>
      <c r="AB31" s="191">
        <v>165582</v>
      </c>
      <c r="AC31" s="17">
        <f t="shared" si="17"/>
        <v>243</v>
      </c>
      <c r="AD31" s="191">
        <v>296152</v>
      </c>
      <c r="AE31" s="17">
        <f t="shared" si="18"/>
        <v>406</v>
      </c>
      <c r="AF31" s="191">
        <v>150245</v>
      </c>
      <c r="AG31" s="17">
        <f t="shared" si="19"/>
        <v>197</v>
      </c>
      <c r="AH31" s="191">
        <v>790725</v>
      </c>
      <c r="AI31" s="17">
        <f t="shared" si="20"/>
        <v>1028</v>
      </c>
      <c r="AK31" s="96">
        <f t="shared" si="21"/>
        <v>49500</v>
      </c>
      <c r="AL31" s="97">
        <f t="shared" si="22"/>
        <v>13473</v>
      </c>
    </row>
    <row r="32" spans="1:38" ht="39.950000000000003" customHeight="1">
      <c r="A32" s="189">
        <f t="shared" si="23"/>
        <v>44829</v>
      </c>
      <c r="B32" s="16"/>
      <c r="C32" s="190">
        <v>310264</v>
      </c>
      <c r="D32" s="17">
        <f t="shared" si="0"/>
        <v>4050</v>
      </c>
      <c r="E32" s="190">
        <v>529666</v>
      </c>
      <c r="F32" s="17">
        <f t="shared" si="3"/>
        <v>8240</v>
      </c>
      <c r="G32" s="190">
        <f>(G33+G31)/2</f>
        <v>312180</v>
      </c>
      <c r="H32" s="17">
        <f t="shared" si="4"/>
        <v>15490</v>
      </c>
      <c r="I32" s="17">
        <f t="shared" si="5"/>
        <v>7745</v>
      </c>
      <c r="J32" s="190">
        <v>453887</v>
      </c>
      <c r="K32" s="17">
        <f t="shared" si="6"/>
        <v>6300</v>
      </c>
      <c r="L32" s="190">
        <v>722837</v>
      </c>
      <c r="M32" s="17">
        <f t="shared" si="7"/>
        <v>10890</v>
      </c>
      <c r="N32" s="190">
        <v>434049</v>
      </c>
      <c r="O32" s="17">
        <f t="shared" si="8"/>
        <v>14440</v>
      </c>
      <c r="P32" s="17">
        <f t="shared" si="9"/>
        <v>7220</v>
      </c>
      <c r="Q32" s="190">
        <v>461920</v>
      </c>
      <c r="R32" s="17">
        <f t="shared" si="10"/>
        <v>20</v>
      </c>
      <c r="S32" s="17">
        <f t="shared" si="11"/>
        <v>10</v>
      </c>
      <c r="T32" s="190">
        <v>233534</v>
      </c>
      <c r="U32" s="17">
        <f t="shared" si="12"/>
        <v>7900</v>
      </c>
      <c r="V32" s="17">
        <f t="shared" si="13"/>
        <v>3950</v>
      </c>
      <c r="W32" s="190">
        <v>304404</v>
      </c>
      <c r="X32" s="17">
        <f t="shared" si="14"/>
        <v>540</v>
      </c>
      <c r="Y32" s="17">
        <f t="shared" si="15"/>
        <v>270</v>
      </c>
      <c r="Z32" s="190">
        <v>87571</v>
      </c>
      <c r="AA32" s="17">
        <f t="shared" si="16"/>
        <v>129</v>
      </c>
      <c r="AB32" s="190">
        <v>165816</v>
      </c>
      <c r="AC32" s="17">
        <f t="shared" si="17"/>
        <v>234</v>
      </c>
      <c r="AD32" s="190">
        <v>296549</v>
      </c>
      <c r="AE32" s="17">
        <f t="shared" si="18"/>
        <v>397</v>
      </c>
      <c r="AF32" s="190">
        <v>150437</v>
      </c>
      <c r="AG32" s="17">
        <f t="shared" si="19"/>
        <v>192</v>
      </c>
      <c r="AH32" s="190">
        <v>791731</v>
      </c>
      <c r="AI32" s="17">
        <f t="shared" si="20"/>
        <v>1006</v>
      </c>
      <c r="AK32" s="96">
        <f t="shared" si="21"/>
        <v>48675</v>
      </c>
      <c r="AL32" s="97">
        <f t="shared" si="22"/>
        <v>13408</v>
      </c>
    </row>
    <row r="33" spans="1:38" ht="39.950000000000003" customHeight="1">
      <c r="A33" s="189">
        <f t="shared" si="23"/>
        <v>44830</v>
      </c>
      <c r="B33" s="16"/>
      <c r="C33" s="190">
        <v>310717</v>
      </c>
      <c r="D33" s="17">
        <f t="shared" si="0"/>
        <v>4530</v>
      </c>
      <c r="E33" s="190">
        <v>530420</v>
      </c>
      <c r="F33" s="17">
        <f t="shared" si="3"/>
        <v>7540</v>
      </c>
      <c r="G33" s="190">
        <v>313729</v>
      </c>
      <c r="H33" s="17">
        <f t="shared" si="4"/>
        <v>15490</v>
      </c>
      <c r="I33" s="17">
        <f t="shared" si="5"/>
        <v>7745</v>
      </c>
      <c r="J33" s="190">
        <v>454500</v>
      </c>
      <c r="K33" s="17">
        <f t="shared" si="6"/>
        <v>6130</v>
      </c>
      <c r="L33" s="190">
        <v>723821</v>
      </c>
      <c r="M33" s="17">
        <f t="shared" si="7"/>
        <v>9840</v>
      </c>
      <c r="N33" s="190">
        <v>435515</v>
      </c>
      <c r="O33" s="17">
        <f t="shared" si="8"/>
        <v>14660</v>
      </c>
      <c r="P33" s="17">
        <f t="shared" si="9"/>
        <v>7330</v>
      </c>
      <c r="Q33" s="190">
        <v>461922</v>
      </c>
      <c r="R33" s="17">
        <f t="shared" si="10"/>
        <v>20</v>
      </c>
      <c r="S33" s="17">
        <f t="shared" si="11"/>
        <v>10</v>
      </c>
      <c r="T33" s="190">
        <v>233555</v>
      </c>
      <c r="U33" s="17">
        <f t="shared" si="12"/>
        <v>210</v>
      </c>
      <c r="V33" s="17">
        <f t="shared" si="13"/>
        <v>105</v>
      </c>
      <c r="W33" s="190">
        <v>305262</v>
      </c>
      <c r="X33" s="17">
        <f t="shared" si="14"/>
        <v>8580</v>
      </c>
      <c r="Y33" s="17">
        <f t="shared" si="15"/>
        <v>4290</v>
      </c>
      <c r="Z33" s="190">
        <v>87696</v>
      </c>
      <c r="AA33" s="17">
        <f t="shared" si="16"/>
        <v>125</v>
      </c>
      <c r="AB33" s="190">
        <v>166057</v>
      </c>
      <c r="AC33" s="17">
        <f t="shared" si="17"/>
        <v>241</v>
      </c>
      <c r="AD33" s="190">
        <v>296958</v>
      </c>
      <c r="AE33" s="17">
        <f t="shared" si="18"/>
        <v>409</v>
      </c>
      <c r="AF33" s="190">
        <v>150634</v>
      </c>
      <c r="AG33" s="17">
        <f t="shared" si="19"/>
        <v>197</v>
      </c>
      <c r="AH33" s="190">
        <v>792768</v>
      </c>
      <c r="AI33" s="17">
        <f t="shared" si="20"/>
        <v>1037</v>
      </c>
      <c r="AK33" s="96">
        <f t="shared" si="21"/>
        <v>47520</v>
      </c>
      <c r="AL33" s="97">
        <f t="shared" si="22"/>
        <v>13744</v>
      </c>
    </row>
    <row r="34" spans="1:38" ht="39.950000000000003" customHeight="1">
      <c r="A34" s="189">
        <f t="shared" si="23"/>
        <v>44831</v>
      </c>
      <c r="B34" s="16"/>
      <c r="C34" s="190">
        <v>311126</v>
      </c>
      <c r="D34" s="17">
        <f t="shared" si="0"/>
        <v>4090</v>
      </c>
      <c r="E34" s="190">
        <v>531167</v>
      </c>
      <c r="F34" s="17">
        <f t="shared" si="3"/>
        <v>7470</v>
      </c>
      <c r="G34" s="190">
        <v>315267</v>
      </c>
      <c r="H34" s="17">
        <f t="shared" si="4"/>
        <v>15380</v>
      </c>
      <c r="I34" s="17">
        <f t="shared" si="5"/>
        <v>7690</v>
      </c>
      <c r="J34" s="190">
        <v>455120</v>
      </c>
      <c r="K34" s="17">
        <f t="shared" si="6"/>
        <v>6200</v>
      </c>
      <c r="L34" s="190">
        <v>724904</v>
      </c>
      <c r="M34" s="17">
        <f t="shared" si="7"/>
        <v>10830</v>
      </c>
      <c r="N34" s="190">
        <v>437265</v>
      </c>
      <c r="O34" s="17">
        <f t="shared" si="8"/>
        <v>17500</v>
      </c>
      <c r="P34" s="17">
        <f t="shared" si="9"/>
        <v>8750</v>
      </c>
      <c r="Q34" s="190">
        <v>461924</v>
      </c>
      <c r="R34" s="17">
        <f t="shared" si="10"/>
        <v>20</v>
      </c>
      <c r="S34" s="17">
        <f t="shared" si="11"/>
        <v>10</v>
      </c>
      <c r="T34" s="190">
        <v>234371</v>
      </c>
      <c r="U34" s="17">
        <f t="shared" si="12"/>
        <v>8160</v>
      </c>
      <c r="V34" s="17">
        <f t="shared" si="13"/>
        <v>4080</v>
      </c>
      <c r="W34" s="190">
        <v>305744</v>
      </c>
      <c r="X34" s="17">
        <f t="shared" si="14"/>
        <v>4820</v>
      </c>
      <c r="Y34" s="17">
        <f t="shared" si="15"/>
        <v>2410</v>
      </c>
      <c r="Z34" s="190">
        <v>87829</v>
      </c>
      <c r="AA34" s="17">
        <f t="shared" si="16"/>
        <v>133</v>
      </c>
      <c r="AB34" s="190">
        <v>166295</v>
      </c>
      <c r="AC34" s="17">
        <f t="shared" si="17"/>
        <v>238</v>
      </c>
      <c r="AD34" s="190">
        <v>297361</v>
      </c>
      <c r="AE34" s="17">
        <f t="shared" si="18"/>
        <v>403</v>
      </c>
      <c r="AF34" s="190">
        <v>150827</v>
      </c>
      <c r="AG34" s="17">
        <f t="shared" si="19"/>
        <v>193</v>
      </c>
      <c r="AH34" s="190">
        <v>793786</v>
      </c>
      <c r="AI34" s="17">
        <f t="shared" si="20"/>
        <v>1018</v>
      </c>
      <c r="AK34" s="96">
        <f t="shared" si="21"/>
        <v>51530</v>
      </c>
      <c r="AL34" s="97">
        <f t="shared" si="22"/>
        <v>17235</v>
      </c>
    </row>
    <row r="35" spans="1:38" ht="39.950000000000003" customHeight="1">
      <c r="A35" s="189">
        <f t="shared" si="23"/>
        <v>44832</v>
      </c>
      <c r="B35" s="16"/>
      <c r="C35" s="190">
        <v>311547</v>
      </c>
      <c r="D35" s="17">
        <f t="shared" si="0"/>
        <v>4210</v>
      </c>
      <c r="E35" s="190">
        <v>531926</v>
      </c>
      <c r="F35" s="17">
        <f t="shared" si="3"/>
        <v>7590</v>
      </c>
      <c r="G35" s="190">
        <v>316747</v>
      </c>
      <c r="H35" s="17">
        <f t="shared" si="4"/>
        <v>14800</v>
      </c>
      <c r="I35" s="17">
        <f t="shared" si="5"/>
        <v>7400</v>
      </c>
      <c r="J35" s="190">
        <v>455733</v>
      </c>
      <c r="K35" s="17">
        <f t="shared" si="6"/>
        <v>6130</v>
      </c>
      <c r="L35" s="190">
        <v>725962</v>
      </c>
      <c r="M35" s="17">
        <f t="shared" si="7"/>
        <v>10580</v>
      </c>
      <c r="N35" s="190">
        <v>437351</v>
      </c>
      <c r="O35" s="17">
        <f t="shared" si="8"/>
        <v>860</v>
      </c>
      <c r="P35" s="17">
        <f t="shared" si="9"/>
        <v>430</v>
      </c>
      <c r="Q35" s="190">
        <v>461926</v>
      </c>
      <c r="R35" s="17">
        <f t="shared" si="10"/>
        <v>20</v>
      </c>
      <c r="S35" s="17">
        <f t="shared" si="11"/>
        <v>10</v>
      </c>
      <c r="T35" s="190">
        <v>235454</v>
      </c>
      <c r="U35" s="17">
        <f t="shared" si="12"/>
        <v>10830</v>
      </c>
      <c r="V35" s="17">
        <f t="shared" si="13"/>
        <v>5415</v>
      </c>
      <c r="W35" s="190">
        <v>306690</v>
      </c>
      <c r="X35" s="17">
        <f t="shared" si="14"/>
        <v>9460</v>
      </c>
      <c r="Y35" s="17">
        <f t="shared" si="15"/>
        <v>4730</v>
      </c>
      <c r="Z35" s="190">
        <v>87959</v>
      </c>
      <c r="AA35" s="17">
        <f t="shared" si="16"/>
        <v>130</v>
      </c>
      <c r="AB35" s="190">
        <v>166530</v>
      </c>
      <c r="AC35" s="17">
        <f t="shared" si="17"/>
        <v>235</v>
      </c>
      <c r="AD35" s="190">
        <v>297761</v>
      </c>
      <c r="AE35" s="17">
        <f t="shared" si="18"/>
        <v>400</v>
      </c>
      <c r="AF35" s="190">
        <v>151017</v>
      </c>
      <c r="AG35" s="17">
        <f t="shared" si="19"/>
        <v>190</v>
      </c>
      <c r="AH35" s="190">
        <v>794789</v>
      </c>
      <c r="AI35" s="17">
        <f t="shared" si="20"/>
        <v>1003</v>
      </c>
      <c r="AK35" s="96">
        <f t="shared" si="21"/>
        <v>46495</v>
      </c>
      <c r="AL35" s="97">
        <f t="shared" si="22"/>
        <v>12543</v>
      </c>
    </row>
    <row r="36" spans="1:38" ht="39.950000000000003" customHeight="1">
      <c r="A36" s="189">
        <f t="shared" si="23"/>
        <v>44833</v>
      </c>
      <c r="B36" s="16"/>
      <c r="C36" s="190">
        <v>311960</v>
      </c>
      <c r="D36" s="17">
        <f t="shared" si="0"/>
        <v>4130</v>
      </c>
      <c r="E36" s="190">
        <v>532685</v>
      </c>
      <c r="F36" s="17">
        <f t="shared" si="3"/>
        <v>7590</v>
      </c>
      <c r="G36" s="190">
        <v>318183</v>
      </c>
      <c r="H36" s="17">
        <f t="shared" si="4"/>
        <v>14360</v>
      </c>
      <c r="I36" s="17">
        <f t="shared" si="5"/>
        <v>7180</v>
      </c>
      <c r="J36" s="190">
        <v>456361</v>
      </c>
      <c r="K36" s="17">
        <f t="shared" si="6"/>
        <v>6280</v>
      </c>
      <c r="L36" s="190">
        <v>727057</v>
      </c>
      <c r="M36" s="17">
        <f t="shared" si="7"/>
        <v>10950</v>
      </c>
      <c r="N36" s="190">
        <v>437847</v>
      </c>
      <c r="O36" s="17">
        <f t="shared" si="8"/>
        <v>4960</v>
      </c>
      <c r="P36" s="17">
        <f t="shared" si="9"/>
        <v>2480</v>
      </c>
      <c r="Q36" s="190">
        <v>461928</v>
      </c>
      <c r="R36" s="17">
        <f t="shared" si="10"/>
        <v>20</v>
      </c>
      <c r="S36" s="17">
        <f t="shared" si="11"/>
        <v>10</v>
      </c>
      <c r="T36" s="190">
        <v>236572</v>
      </c>
      <c r="U36" s="17">
        <f t="shared" si="12"/>
        <v>11180</v>
      </c>
      <c r="V36" s="17">
        <f t="shared" si="13"/>
        <v>5590</v>
      </c>
      <c r="W36" s="190">
        <v>307640</v>
      </c>
      <c r="X36" s="17">
        <f t="shared" si="14"/>
        <v>9500</v>
      </c>
      <c r="Y36" s="17">
        <f t="shared" si="15"/>
        <v>4750</v>
      </c>
      <c r="Z36" s="190">
        <v>88087</v>
      </c>
      <c r="AA36" s="17">
        <f t="shared" si="16"/>
        <v>128</v>
      </c>
      <c r="AB36" s="190">
        <v>166783</v>
      </c>
      <c r="AC36" s="17">
        <f t="shared" si="17"/>
        <v>253</v>
      </c>
      <c r="AD36" s="190">
        <v>298188</v>
      </c>
      <c r="AE36" s="17">
        <f t="shared" si="18"/>
        <v>427</v>
      </c>
      <c r="AF36" s="190">
        <v>151220</v>
      </c>
      <c r="AG36" s="17">
        <f t="shared" si="19"/>
        <v>203</v>
      </c>
      <c r="AH36" s="190">
        <v>795851</v>
      </c>
      <c r="AI36" s="17">
        <f t="shared" si="20"/>
        <v>1062</v>
      </c>
      <c r="AK36" s="96">
        <f t="shared" si="21"/>
        <v>48960</v>
      </c>
      <c r="AL36" s="97">
        <f t="shared" si="22"/>
        <v>14903</v>
      </c>
    </row>
    <row r="37" spans="1:38" ht="39.950000000000003" customHeight="1">
      <c r="A37" s="189">
        <f t="shared" si="23"/>
        <v>44834</v>
      </c>
      <c r="B37" s="16"/>
      <c r="C37" s="190">
        <v>312383</v>
      </c>
      <c r="D37" s="17">
        <f t="shared" si="0"/>
        <v>4230</v>
      </c>
      <c r="E37" s="190">
        <v>533487</v>
      </c>
      <c r="F37" s="17">
        <f t="shared" si="3"/>
        <v>8020</v>
      </c>
      <c r="G37" s="190">
        <v>319680</v>
      </c>
      <c r="H37" s="17">
        <f t="shared" si="4"/>
        <v>14970</v>
      </c>
      <c r="I37" s="17">
        <f t="shared" si="5"/>
        <v>7485</v>
      </c>
      <c r="J37" s="190">
        <v>456979</v>
      </c>
      <c r="K37" s="17">
        <f t="shared" si="6"/>
        <v>6180</v>
      </c>
      <c r="L37" s="190">
        <v>728135</v>
      </c>
      <c r="M37" s="17">
        <f t="shared" si="7"/>
        <v>10780</v>
      </c>
      <c r="N37" s="190">
        <v>438372</v>
      </c>
      <c r="O37" s="17">
        <f t="shared" si="8"/>
        <v>5250</v>
      </c>
      <c r="P37" s="17">
        <f t="shared" si="9"/>
        <v>2625</v>
      </c>
      <c r="Q37" s="190">
        <v>461930</v>
      </c>
      <c r="R37" s="17">
        <f t="shared" si="10"/>
        <v>20</v>
      </c>
      <c r="S37" s="17">
        <f t="shared" si="11"/>
        <v>10</v>
      </c>
      <c r="T37" s="190">
        <v>237601</v>
      </c>
      <c r="U37" s="17">
        <f t="shared" si="12"/>
        <v>10290</v>
      </c>
      <c r="V37" s="17">
        <f t="shared" si="13"/>
        <v>5145</v>
      </c>
      <c r="W37" s="190">
        <v>308496</v>
      </c>
      <c r="X37" s="17">
        <f t="shared" si="14"/>
        <v>8560</v>
      </c>
      <c r="Y37" s="17">
        <f t="shared" si="15"/>
        <v>4280</v>
      </c>
      <c r="Z37" s="190">
        <v>88221</v>
      </c>
      <c r="AA37" s="17">
        <f t="shared" si="16"/>
        <v>134</v>
      </c>
      <c r="AB37" s="190">
        <v>167027</v>
      </c>
      <c r="AC37" s="17">
        <f t="shared" si="17"/>
        <v>244</v>
      </c>
      <c r="AD37" s="190">
        <v>298586</v>
      </c>
      <c r="AE37" s="17">
        <f t="shared" si="18"/>
        <v>398</v>
      </c>
      <c r="AF37" s="190">
        <v>151415</v>
      </c>
      <c r="AG37" s="17">
        <f t="shared" si="19"/>
        <v>195</v>
      </c>
      <c r="AH37" s="190">
        <v>796801</v>
      </c>
      <c r="AI37" s="17">
        <f t="shared" si="20"/>
        <v>950</v>
      </c>
      <c r="AK37" s="96">
        <f t="shared" si="21"/>
        <v>48755</v>
      </c>
      <c r="AL37" s="97">
        <f t="shared" si="22"/>
        <v>13981</v>
      </c>
    </row>
    <row r="38" spans="1:38" s="144" customFormat="1" ht="39.950000000000003" customHeight="1">
      <c r="A38" s="189">
        <f t="shared" si="23"/>
        <v>44835</v>
      </c>
      <c r="B38" s="143"/>
      <c r="C38" s="192"/>
      <c r="D38" s="17"/>
      <c r="E38" s="192"/>
      <c r="F38" s="17"/>
      <c r="G38" s="192"/>
      <c r="H38" s="17"/>
      <c r="I38" s="17"/>
      <c r="J38" s="192"/>
      <c r="K38" s="17"/>
      <c r="L38" s="192"/>
      <c r="M38" s="17"/>
      <c r="N38" s="192"/>
      <c r="O38" s="17"/>
      <c r="P38" s="17"/>
      <c r="Q38" s="192"/>
      <c r="R38" s="17"/>
      <c r="S38" s="17"/>
      <c r="T38" s="192"/>
      <c r="U38" s="17"/>
      <c r="V38" s="17"/>
      <c r="W38" s="192"/>
      <c r="X38" s="17"/>
      <c r="Y38" s="17"/>
      <c r="Z38" s="192"/>
      <c r="AA38" s="17"/>
      <c r="AB38" s="192"/>
      <c r="AC38" s="17"/>
      <c r="AD38" s="192"/>
      <c r="AE38" s="17"/>
      <c r="AF38" s="192"/>
      <c r="AG38" s="17"/>
      <c r="AH38" s="192"/>
      <c r="AI38" s="17"/>
      <c r="AK38" s="96"/>
      <c r="AL38" s="97"/>
    </row>
    <row r="39" spans="1:38" s="19" customFormat="1" ht="39.950000000000003" customHeight="1">
      <c r="A39" s="18"/>
      <c r="D39" s="20"/>
    </row>
    <row r="40" spans="1:38" s="19" customFormat="1" ht="39.950000000000003" customHeight="1">
      <c r="A40" s="18"/>
      <c r="D40" s="20"/>
    </row>
    <row r="41" spans="1:38" ht="39.950000000000003" customHeight="1">
      <c r="A41" s="11"/>
      <c r="C41" s="42"/>
    </row>
    <row r="42" spans="1:38">
      <c r="A42" s="11"/>
      <c r="C42" s="202"/>
    </row>
    <row r="43" spans="1:38">
      <c r="A43" s="11"/>
      <c r="C43" s="202"/>
    </row>
    <row r="44" spans="1:38">
      <c r="A44" s="11"/>
      <c r="C44" s="202"/>
    </row>
    <row r="45" spans="1:38">
      <c r="A45" s="11"/>
      <c r="C45" s="202"/>
    </row>
    <row r="46" spans="1:38">
      <c r="A46" s="11"/>
      <c r="C46" s="202"/>
    </row>
    <row r="47" spans="1:38">
      <c r="A47" s="11"/>
      <c r="C47" s="202"/>
    </row>
    <row r="48" spans="1:38">
      <c r="A48" s="11"/>
      <c r="C48" s="42"/>
    </row>
    <row r="49" spans="1:3">
      <c r="A49" s="11"/>
      <c r="C49" s="42"/>
    </row>
    <row r="50" spans="1:3">
      <c r="A50" s="11"/>
      <c r="C50" s="42"/>
    </row>
    <row r="51" spans="1:3">
      <c r="A51" s="11"/>
      <c r="C51" s="42"/>
    </row>
    <row r="52" spans="1:3">
      <c r="A52" s="11"/>
    </row>
    <row r="53" spans="1:3">
      <c r="A53" s="11"/>
    </row>
    <row r="54" spans="1:3">
      <c r="A54" s="11"/>
    </row>
    <row r="55" spans="1:3">
      <c r="A55" s="11"/>
    </row>
    <row r="56" spans="1:3">
      <c r="A56" s="11"/>
    </row>
    <row r="57" spans="1:3">
      <c r="A57" s="11"/>
    </row>
    <row r="58" spans="1:3">
      <c r="A58" s="11"/>
    </row>
    <row r="59" spans="1:3">
      <c r="A59" s="11"/>
    </row>
    <row r="60" spans="1:3">
      <c r="A60" s="11"/>
    </row>
    <row r="61" spans="1:3">
      <c r="A61" s="11"/>
    </row>
    <row r="62" spans="1:3">
      <c r="A62" s="11"/>
    </row>
    <row r="63" spans="1:3">
      <c r="A63" s="11"/>
    </row>
    <row r="64" spans="1:3">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L14" activePane="bottomRight" state="frozen"/>
      <selection pane="topRight" activeCell="C1" sqref="C1"/>
      <selection pane="bottomLeft" activeCell="A5" sqref="A5"/>
      <selection pane="bottomRight" activeCell="R36" sqref="R36"/>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5"/>
      <c r="B1" s="195"/>
      <c r="C1" s="210" t="s">
        <v>64</v>
      </c>
      <c r="D1" s="210"/>
      <c r="E1" s="210" t="s">
        <v>64</v>
      </c>
      <c r="F1" s="210"/>
      <c r="G1" s="210" t="s">
        <v>64</v>
      </c>
      <c r="H1" s="210"/>
      <c r="I1" s="210" t="s">
        <v>64</v>
      </c>
      <c r="J1" s="210"/>
      <c r="K1" s="223" t="s">
        <v>65</v>
      </c>
      <c r="L1" s="224"/>
      <c r="M1" s="224"/>
      <c r="N1" s="225"/>
      <c r="O1" s="210" t="s">
        <v>66</v>
      </c>
      <c r="P1" s="210"/>
    </row>
    <row r="2" spans="1:19" s="26" customFormat="1" ht="113.25" customHeight="1">
      <c r="A2" s="25"/>
      <c r="B2" s="25"/>
      <c r="C2" s="226" t="s">
        <v>102</v>
      </c>
      <c r="D2" s="227"/>
      <c r="E2" s="226" t="s">
        <v>103</v>
      </c>
      <c r="F2" s="227"/>
      <c r="G2" s="226" t="s">
        <v>104</v>
      </c>
      <c r="H2" s="227"/>
      <c r="I2" s="226" t="s">
        <v>105</v>
      </c>
      <c r="J2" s="227"/>
      <c r="K2" s="235" t="s">
        <v>106</v>
      </c>
      <c r="L2" s="236"/>
      <c r="M2" s="236"/>
      <c r="N2" s="237"/>
      <c r="O2" s="226" t="s">
        <v>107</v>
      </c>
      <c r="P2" s="227"/>
    </row>
    <row r="3" spans="1:19" s="31" customFormat="1" ht="50.1" customHeight="1">
      <c r="A3" s="40"/>
      <c r="B3" s="40"/>
      <c r="C3" s="230" t="s">
        <v>108</v>
      </c>
      <c r="D3" s="231"/>
      <c r="E3" s="228" t="s">
        <v>109</v>
      </c>
      <c r="F3" s="229"/>
      <c r="G3" s="228" t="s">
        <v>110</v>
      </c>
      <c r="H3" s="229"/>
      <c r="I3" s="228" t="s">
        <v>111</v>
      </c>
      <c r="J3" s="229"/>
      <c r="K3" s="232" t="s">
        <v>112</v>
      </c>
      <c r="L3" s="233"/>
      <c r="M3" s="233"/>
      <c r="N3" s="234"/>
      <c r="O3" s="230" t="s">
        <v>113</v>
      </c>
      <c r="P3" s="231"/>
      <c r="R3" s="208" t="s">
        <v>80</v>
      </c>
      <c r="S3" s="208"/>
    </row>
    <row r="4" spans="1:19" s="8" customFormat="1" ht="30" customHeight="1">
      <c r="A4" s="194" t="s">
        <v>95</v>
      </c>
      <c r="B4" s="49"/>
      <c r="C4" s="217"/>
      <c r="D4" s="218"/>
      <c r="E4" s="217"/>
      <c r="F4" s="218"/>
      <c r="G4" s="217"/>
      <c r="H4" s="218"/>
      <c r="I4" s="217"/>
      <c r="J4" s="218"/>
      <c r="K4" s="217"/>
      <c r="L4" s="222"/>
      <c r="M4" s="222"/>
      <c r="N4" s="218"/>
      <c r="O4" s="49"/>
      <c r="P4" s="49"/>
      <c r="R4" s="208"/>
      <c r="S4" s="208"/>
    </row>
    <row r="5" spans="1:19" s="10" customFormat="1" ht="50.1" customHeight="1">
      <c r="A5" s="194" t="s">
        <v>98</v>
      </c>
      <c r="B5" s="194"/>
      <c r="C5" s="194" t="s">
        <v>114</v>
      </c>
      <c r="D5" s="194" t="s">
        <v>115</v>
      </c>
      <c r="E5" s="194" t="s">
        <v>114</v>
      </c>
      <c r="F5" s="194" t="s">
        <v>115</v>
      </c>
      <c r="G5" s="194" t="s">
        <v>114</v>
      </c>
      <c r="H5" s="194" t="s">
        <v>115</v>
      </c>
      <c r="I5" s="194" t="s">
        <v>114</v>
      </c>
      <c r="J5" s="194" t="s">
        <v>115</v>
      </c>
      <c r="K5" s="194" t="s">
        <v>114</v>
      </c>
      <c r="L5" s="194" t="s">
        <v>115</v>
      </c>
      <c r="M5" s="194" t="s">
        <v>64</v>
      </c>
      <c r="N5" s="194" t="s">
        <v>66</v>
      </c>
      <c r="O5" s="194" t="s">
        <v>114</v>
      </c>
      <c r="P5" s="194" t="s">
        <v>115</v>
      </c>
      <c r="R5" s="194"/>
      <c r="S5" s="194"/>
    </row>
    <row r="6" spans="1:19" ht="39.950000000000003" customHeight="1">
      <c r="A6" s="189" t="e">
        <f t="shared" ref="A6" si="0">SUM(A5+1)</f>
        <v>#VALUE!</v>
      </c>
      <c r="B6" s="81"/>
      <c r="C6" s="73">
        <v>78888</v>
      </c>
      <c r="D6" s="74"/>
      <c r="E6" s="73">
        <v>124087</v>
      </c>
      <c r="F6" s="74"/>
      <c r="G6" s="82">
        <v>9832</v>
      </c>
      <c r="H6" s="75"/>
      <c r="I6" s="82">
        <v>21517</v>
      </c>
      <c r="J6" s="74"/>
      <c r="K6" s="73">
        <v>39586</v>
      </c>
      <c r="L6" s="74"/>
      <c r="M6" s="75"/>
      <c r="N6" s="75"/>
      <c r="O6" s="73">
        <v>42765</v>
      </c>
      <c r="P6" s="74"/>
      <c r="R6" s="96"/>
      <c r="S6" s="97"/>
    </row>
    <row r="7" spans="1:19" s="2" customFormat="1" ht="39.950000000000003" customHeight="1">
      <c r="A7" s="189">
        <v>44805</v>
      </c>
      <c r="B7" s="15"/>
      <c r="C7" s="72">
        <v>79043</v>
      </c>
      <c r="D7" s="74">
        <f>C7-C6</f>
        <v>155</v>
      </c>
      <c r="E7" s="72">
        <v>124428</v>
      </c>
      <c r="F7" s="74">
        <f t="shared" ref="F7:H36" si="1">E7-E6</f>
        <v>341</v>
      </c>
      <c r="G7" s="83">
        <f>(G14-G6)/8+G6</f>
        <v>9839.375</v>
      </c>
      <c r="H7" s="178">
        <f t="shared" si="1"/>
        <v>7.375</v>
      </c>
      <c r="I7" s="83">
        <f>(I14-I6)/8+I6</f>
        <v>21544.75</v>
      </c>
      <c r="J7" s="178">
        <f t="shared" ref="J7" si="2">I7-I6</f>
        <v>27.75</v>
      </c>
      <c r="K7" s="72">
        <v>39765</v>
      </c>
      <c r="L7" s="74">
        <f t="shared" ref="L7" si="3">K7-K6</f>
        <v>179</v>
      </c>
      <c r="M7" s="178">
        <f>L7*55%</f>
        <v>98.45</v>
      </c>
      <c r="N7" s="178">
        <f>L7*45%</f>
        <v>80.55</v>
      </c>
      <c r="O7" s="72">
        <v>42924</v>
      </c>
      <c r="P7" s="74">
        <f t="shared" ref="P7:P36" si="4">O7-O6</f>
        <v>159</v>
      </c>
      <c r="R7" s="106">
        <f t="shared" ref="R7:R34" si="5">SUM(D7,F7,M71,H7)</f>
        <v>503.375</v>
      </c>
      <c r="S7" s="97">
        <f>SUM(N7,P7)</f>
        <v>239.55</v>
      </c>
    </row>
    <row r="8" spans="1:19" ht="39.950000000000003" customHeight="1">
      <c r="A8" s="189">
        <f>SUM(A7+1)</f>
        <v>44806</v>
      </c>
      <c r="B8" s="16"/>
      <c r="C8" s="72">
        <v>79179</v>
      </c>
      <c r="D8" s="74">
        <f t="shared" ref="D8:D36" si="6">C8-C7</f>
        <v>136</v>
      </c>
      <c r="E8" s="72">
        <v>124758</v>
      </c>
      <c r="F8" s="74">
        <f t="shared" si="1"/>
        <v>330</v>
      </c>
      <c r="G8" s="83">
        <f t="shared" ref="G8:I13" si="7">(G15-G7)/8+G7</f>
        <v>9846.203125</v>
      </c>
      <c r="H8" s="178">
        <f t="shared" ref="H8" si="8">G8-G7</f>
        <v>6.828125</v>
      </c>
      <c r="I8" s="83">
        <f t="shared" si="7"/>
        <v>21572.15625</v>
      </c>
      <c r="J8" s="178">
        <f t="shared" ref="J8" si="9">I8-I7</f>
        <v>27.40625</v>
      </c>
      <c r="K8" s="72">
        <v>39928</v>
      </c>
      <c r="L8" s="74">
        <f t="shared" ref="L8" si="10">K8-K7</f>
        <v>163</v>
      </c>
      <c r="M8" s="178">
        <f t="shared" ref="M8:M36" si="11">L8*55%</f>
        <v>89.65</v>
      </c>
      <c r="N8" s="178">
        <f t="shared" ref="N8:N36" si="12">L8*45%</f>
        <v>73.350000000000009</v>
      </c>
      <c r="O8" s="72">
        <v>43076</v>
      </c>
      <c r="P8" s="74">
        <f t="shared" si="4"/>
        <v>152</v>
      </c>
      <c r="R8" s="106">
        <f t="shared" si="5"/>
        <v>472.828125</v>
      </c>
      <c r="S8" s="97">
        <f t="shared" ref="S8:S36" si="13">SUM(N8,P8)</f>
        <v>225.35000000000002</v>
      </c>
    </row>
    <row r="9" spans="1:19" ht="39.950000000000003" customHeight="1">
      <c r="A9" s="189">
        <f t="shared" ref="A9:A36" si="14">SUM(A8+1)</f>
        <v>44807</v>
      </c>
      <c r="B9" s="16"/>
      <c r="C9" s="72">
        <v>79356</v>
      </c>
      <c r="D9" s="74">
        <f t="shared" si="6"/>
        <v>177</v>
      </c>
      <c r="E9" s="72">
        <v>125107</v>
      </c>
      <c r="F9" s="74">
        <f t="shared" si="1"/>
        <v>349</v>
      </c>
      <c r="G9" s="83">
        <f t="shared" si="7"/>
        <v>9852.677734375</v>
      </c>
      <c r="H9" s="178">
        <f t="shared" ref="H9" si="15">G9-G8</f>
        <v>6.474609375</v>
      </c>
      <c r="I9" s="83">
        <f t="shared" si="7"/>
        <v>21599.63671875</v>
      </c>
      <c r="J9" s="178">
        <f t="shared" ref="J9" si="16">I9-I8</f>
        <v>27.48046875</v>
      </c>
      <c r="K9" s="72">
        <v>40109</v>
      </c>
      <c r="L9" s="74">
        <f t="shared" ref="L9" si="17">K9-K8</f>
        <v>181</v>
      </c>
      <c r="M9" s="178">
        <f t="shared" si="11"/>
        <v>99.550000000000011</v>
      </c>
      <c r="N9" s="178">
        <f t="shared" si="12"/>
        <v>81.45</v>
      </c>
      <c r="O9" s="72">
        <v>43224</v>
      </c>
      <c r="P9" s="74">
        <f t="shared" si="4"/>
        <v>148</v>
      </c>
      <c r="R9" s="106">
        <f t="shared" si="5"/>
        <v>532.474609375</v>
      </c>
      <c r="S9" s="97">
        <f t="shared" si="13"/>
        <v>229.45</v>
      </c>
    </row>
    <row r="10" spans="1:19" ht="39.950000000000003" customHeight="1">
      <c r="A10" s="189">
        <f t="shared" si="14"/>
        <v>44808</v>
      </c>
      <c r="B10" s="16"/>
      <c r="C10" s="72">
        <v>79537</v>
      </c>
      <c r="D10" s="74">
        <f t="shared" si="6"/>
        <v>181</v>
      </c>
      <c r="E10" s="72">
        <v>125441</v>
      </c>
      <c r="F10" s="74">
        <f t="shared" si="1"/>
        <v>334</v>
      </c>
      <c r="G10" s="83">
        <f t="shared" si="7"/>
        <v>9858.718017578125</v>
      </c>
      <c r="H10" s="178">
        <f t="shared" ref="H10" si="18">G10-G9</f>
        <v>6.040283203125</v>
      </c>
      <c r="I10" s="83">
        <f t="shared" si="7"/>
        <v>21627.43212890625</v>
      </c>
      <c r="J10" s="178">
        <f t="shared" ref="J10" si="19">I10-I9</f>
        <v>27.79541015625</v>
      </c>
      <c r="K10" s="72">
        <v>40297</v>
      </c>
      <c r="L10" s="74">
        <f t="shared" ref="L10" si="20">K10-K9</f>
        <v>188</v>
      </c>
      <c r="M10" s="178">
        <f t="shared" si="11"/>
        <v>103.4</v>
      </c>
      <c r="N10" s="178">
        <f t="shared" si="12"/>
        <v>84.600000000000009</v>
      </c>
      <c r="O10" s="72">
        <v>43575</v>
      </c>
      <c r="P10" s="74">
        <f t="shared" si="4"/>
        <v>351</v>
      </c>
      <c r="R10" s="106">
        <f t="shared" si="5"/>
        <v>521.040283203125</v>
      </c>
      <c r="S10" s="97">
        <f t="shared" si="13"/>
        <v>435.6</v>
      </c>
    </row>
    <row r="11" spans="1:19" ht="39.950000000000003" customHeight="1">
      <c r="A11" s="189">
        <f t="shared" si="14"/>
        <v>44809</v>
      </c>
      <c r="B11" s="16"/>
      <c r="C11" s="72">
        <v>79721</v>
      </c>
      <c r="D11" s="74">
        <f t="shared" si="6"/>
        <v>184</v>
      </c>
      <c r="E11" s="72">
        <v>125738</v>
      </c>
      <c r="F11" s="74">
        <f t="shared" si="1"/>
        <v>297</v>
      </c>
      <c r="G11" s="83">
        <f t="shared" si="7"/>
        <v>9864.8782653808594</v>
      </c>
      <c r="H11" s="178">
        <f t="shared" ref="H11" si="21">G11-G10</f>
        <v>6.160247802734375</v>
      </c>
      <c r="I11" s="83">
        <f t="shared" si="7"/>
        <v>21654.878112792969</v>
      </c>
      <c r="J11" s="178">
        <f t="shared" ref="J11" si="22">I11-I10</f>
        <v>27.44598388671875</v>
      </c>
      <c r="K11" s="72">
        <v>40486</v>
      </c>
      <c r="L11" s="74">
        <f t="shared" ref="L11" si="23">K11-K10</f>
        <v>189</v>
      </c>
      <c r="M11" s="178">
        <f t="shared" si="11"/>
        <v>103.95</v>
      </c>
      <c r="N11" s="178">
        <f t="shared" si="12"/>
        <v>85.05</v>
      </c>
      <c r="O11" s="72">
        <v>43524</v>
      </c>
      <c r="P11" s="74">
        <f t="shared" si="4"/>
        <v>-51</v>
      </c>
      <c r="R11" s="106">
        <f t="shared" si="5"/>
        <v>487.16024780273438</v>
      </c>
      <c r="S11" s="97">
        <f t="shared" si="13"/>
        <v>34.049999999999997</v>
      </c>
    </row>
    <row r="12" spans="1:19" ht="39.950000000000003" customHeight="1">
      <c r="A12" s="189">
        <f t="shared" si="14"/>
        <v>44810</v>
      </c>
      <c r="B12" s="16"/>
      <c r="C12" s="72">
        <v>79863</v>
      </c>
      <c r="D12" s="74">
        <f t="shared" si="6"/>
        <v>142</v>
      </c>
      <c r="E12" s="72">
        <v>126007</v>
      </c>
      <c r="F12" s="74">
        <f t="shared" si="1"/>
        <v>269</v>
      </c>
      <c r="G12" s="83">
        <f t="shared" si="7"/>
        <v>9870.768482208252</v>
      </c>
      <c r="H12" s="178">
        <f t="shared" ref="H12" si="24">G12-G11</f>
        <v>5.8902168273925781</v>
      </c>
      <c r="I12" s="83">
        <f t="shared" si="7"/>
        <v>21684.518348693848</v>
      </c>
      <c r="J12" s="178">
        <f t="shared" ref="J12" si="25">I12-I11</f>
        <v>29.640235900878906</v>
      </c>
      <c r="K12" s="72">
        <v>40659</v>
      </c>
      <c r="L12" s="74">
        <f t="shared" ref="L12" si="26">K12-K11</f>
        <v>173</v>
      </c>
      <c r="M12" s="178">
        <f t="shared" si="11"/>
        <v>95.15</v>
      </c>
      <c r="N12" s="178">
        <f t="shared" si="12"/>
        <v>77.850000000000009</v>
      </c>
      <c r="O12" s="72">
        <v>43675</v>
      </c>
      <c r="P12" s="74">
        <f t="shared" si="4"/>
        <v>151</v>
      </c>
      <c r="R12" s="106">
        <f t="shared" si="5"/>
        <v>416.89021682739258</v>
      </c>
      <c r="S12" s="97">
        <f t="shared" si="13"/>
        <v>228.85000000000002</v>
      </c>
    </row>
    <row r="13" spans="1:19" ht="39.950000000000003" customHeight="1">
      <c r="A13" s="189">
        <f t="shared" si="14"/>
        <v>44811</v>
      </c>
      <c r="B13" s="16"/>
      <c r="C13" s="72">
        <v>79984</v>
      </c>
      <c r="D13" s="74">
        <f t="shared" si="6"/>
        <v>121</v>
      </c>
      <c r="E13" s="72">
        <v>126298</v>
      </c>
      <c r="F13" s="74">
        <f t="shared" si="1"/>
        <v>291</v>
      </c>
      <c r="G13" s="83">
        <f t="shared" si="7"/>
        <v>9876.4224219322205</v>
      </c>
      <c r="H13" s="178">
        <f t="shared" ref="H13" si="27">G13-G12</f>
        <v>5.6539397239685059</v>
      </c>
      <c r="I13" s="83">
        <f t="shared" si="7"/>
        <v>21715.078555107117</v>
      </c>
      <c r="J13" s="178">
        <f t="shared" ref="J13" si="28">I13-I12</f>
        <v>30.560206413269043</v>
      </c>
      <c r="K13" s="72">
        <v>40831</v>
      </c>
      <c r="L13" s="74">
        <f t="shared" ref="L13" si="29">K13-K12</f>
        <v>172</v>
      </c>
      <c r="M13" s="178">
        <f t="shared" si="11"/>
        <v>94.600000000000009</v>
      </c>
      <c r="N13" s="178">
        <f t="shared" si="12"/>
        <v>77.400000000000006</v>
      </c>
      <c r="O13" s="72">
        <v>43826</v>
      </c>
      <c r="P13" s="74">
        <f t="shared" si="4"/>
        <v>151</v>
      </c>
      <c r="R13" s="106">
        <f t="shared" si="5"/>
        <v>417.65393972396851</v>
      </c>
      <c r="S13" s="97">
        <f t="shared" si="13"/>
        <v>228.4</v>
      </c>
    </row>
    <row r="14" spans="1:19" ht="39.950000000000003" customHeight="1">
      <c r="A14" s="189">
        <f t="shared" si="14"/>
        <v>44812</v>
      </c>
      <c r="B14" s="16"/>
      <c r="C14" s="72">
        <v>80110</v>
      </c>
      <c r="D14" s="74">
        <f t="shared" si="6"/>
        <v>126</v>
      </c>
      <c r="E14" s="72">
        <v>126563</v>
      </c>
      <c r="F14" s="74">
        <f t="shared" si="1"/>
        <v>265</v>
      </c>
      <c r="G14" s="83">
        <v>9891</v>
      </c>
      <c r="H14" s="178">
        <f t="shared" si="1"/>
        <v>14.577578067779541</v>
      </c>
      <c r="I14" s="83">
        <v>21739</v>
      </c>
      <c r="J14" s="178">
        <f t="shared" ref="J14" si="30">I14-I13</f>
        <v>23.921444892883301</v>
      </c>
      <c r="K14" s="72">
        <v>41000</v>
      </c>
      <c r="L14" s="74">
        <f t="shared" ref="L14" si="31">K14-K13</f>
        <v>169</v>
      </c>
      <c r="M14" s="178">
        <f t="shared" si="11"/>
        <v>92.95</v>
      </c>
      <c r="N14" s="178">
        <f t="shared" si="12"/>
        <v>76.05</v>
      </c>
      <c r="O14" s="72">
        <v>43977</v>
      </c>
      <c r="P14" s="74">
        <f t="shared" si="4"/>
        <v>151</v>
      </c>
      <c r="R14" s="106">
        <f t="shared" si="5"/>
        <v>405.57757806777954</v>
      </c>
      <c r="S14" s="97">
        <f t="shared" si="13"/>
        <v>227.05</v>
      </c>
    </row>
    <row r="15" spans="1:19" ht="39.950000000000003" customHeight="1">
      <c r="A15" s="189">
        <f t="shared" si="14"/>
        <v>44813</v>
      </c>
      <c r="B15" s="16"/>
      <c r="C15" s="72">
        <v>80237</v>
      </c>
      <c r="D15" s="74">
        <f t="shared" si="6"/>
        <v>127</v>
      </c>
      <c r="E15" s="72">
        <v>126841</v>
      </c>
      <c r="F15" s="74">
        <f t="shared" si="1"/>
        <v>278</v>
      </c>
      <c r="G15" s="83">
        <v>9894</v>
      </c>
      <c r="H15" s="74">
        <f t="shared" si="1"/>
        <v>3</v>
      </c>
      <c r="I15" s="83">
        <v>21764</v>
      </c>
      <c r="J15" s="74">
        <f t="shared" ref="J15" si="32">I15-I14</f>
        <v>25</v>
      </c>
      <c r="K15" s="72">
        <v>41152</v>
      </c>
      <c r="L15" s="74">
        <f t="shared" ref="L15" si="33">K15-K14</f>
        <v>152</v>
      </c>
      <c r="M15" s="178">
        <f t="shared" si="11"/>
        <v>83.600000000000009</v>
      </c>
      <c r="N15" s="178">
        <f t="shared" si="12"/>
        <v>68.400000000000006</v>
      </c>
      <c r="O15" s="72">
        <v>44121</v>
      </c>
      <c r="P15" s="74">
        <f t="shared" si="4"/>
        <v>144</v>
      </c>
      <c r="R15" s="106">
        <f t="shared" si="5"/>
        <v>408</v>
      </c>
      <c r="S15" s="97">
        <f t="shared" si="13"/>
        <v>212.4</v>
      </c>
    </row>
    <row r="16" spans="1:19" ht="39.950000000000003" customHeight="1">
      <c r="A16" s="189">
        <f t="shared" si="14"/>
        <v>44814</v>
      </c>
      <c r="B16" s="16"/>
      <c r="C16" s="83">
        <v>80397</v>
      </c>
      <c r="D16" s="74">
        <f t="shared" si="6"/>
        <v>160</v>
      </c>
      <c r="E16" s="83">
        <v>127158</v>
      </c>
      <c r="F16" s="74">
        <f t="shared" si="1"/>
        <v>317</v>
      </c>
      <c r="G16" s="83">
        <v>9898</v>
      </c>
      <c r="H16" s="74">
        <f t="shared" si="1"/>
        <v>4</v>
      </c>
      <c r="I16" s="72">
        <v>21792</v>
      </c>
      <c r="J16" s="74">
        <f t="shared" ref="J16" si="34">I16-I15</f>
        <v>28</v>
      </c>
      <c r="K16" s="72">
        <v>41300</v>
      </c>
      <c r="L16" s="74">
        <f t="shared" ref="L16" si="35">K16-K15</f>
        <v>148</v>
      </c>
      <c r="M16" s="178">
        <f t="shared" si="11"/>
        <v>81.400000000000006</v>
      </c>
      <c r="N16" s="178">
        <f t="shared" si="12"/>
        <v>66.600000000000009</v>
      </c>
      <c r="O16" s="72">
        <v>44279</v>
      </c>
      <c r="P16" s="74">
        <f t="shared" si="4"/>
        <v>158</v>
      </c>
      <c r="R16" s="106">
        <f t="shared" si="5"/>
        <v>481</v>
      </c>
      <c r="S16" s="97">
        <f t="shared" si="13"/>
        <v>224.60000000000002</v>
      </c>
    </row>
    <row r="17" spans="1:19" ht="39.950000000000003" customHeight="1">
      <c r="A17" s="189">
        <f t="shared" si="14"/>
        <v>44815</v>
      </c>
      <c r="B17" s="16"/>
      <c r="C17" s="72">
        <v>80577</v>
      </c>
      <c r="D17" s="74">
        <f t="shared" si="6"/>
        <v>180</v>
      </c>
      <c r="E17" s="72">
        <v>127505</v>
      </c>
      <c r="F17" s="74">
        <f t="shared" si="1"/>
        <v>347</v>
      </c>
      <c r="G17" s="83">
        <v>9901</v>
      </c>
      <c r="H17" s="74">
        <f t="shared" si="1"/>
        <v>3</v>
      </c>
      <c r="I17" s="72">
        <v>21822</v>
      </c>
      <c r="J17" s="74">
        <f t="shared" ref="J17" si="36">I17-I16</f>
        <v>30</v>
      </c>
      <c r="K17" s="72">
        <v>41472</v>
      </c>
      <c r="L17" s="74">
        <f t="shared" ref="L17" si="37">K17-K16</f>
        <v>172</v>
      </c>
      <c r="M17" s="178">
        <f t="shared" si="11"/>
        <v>94.600000000000009</v>
      </c>
      <c r="N17" s="178">
        <f t="shared" si="12"/>
        <v>77.400000000000006</v>
      </c>
      <c r="O17" s="72">
        <v>44425</v>
      </c>
      <c r="P17" s="74">
        <f t="shared" si="4"/>
        <v>146</v>
      </c>
      <c r="R17" s="106">
        <f t="shared" si="5"/>
        <v>530</v>
      </c>
      <c r="S17" s="97">
        <f t="shared" si="13"/>
        <v>223.4</v>
      </c>
    </row>
    <row r="18" spans="1:19" ht="39.950000000000003" customHeight="1">
      <c r="A18" s="189">
        <f t="shared" si="14"/>
        <v>44816</v>
      </c>
      <c r="B18" s="16"/>
      <c r="C18" s="72">
        <v>80821</v>
      </c>
      <c r="D18" s="74">
        <f t="shared" si="6"/>
        <v>244</v>
      </c>
      <c r="E18" s="72">
        <v>127827</v>
      </c>
      <c r="F18" s="74">
        <f t="shared" si="1"/>
        <v>322</v>
      </c>
      <c r="G18" s="83">
        <v>9908</v>
      </c>
      <c r="H18" s="74">
        <f t="shared" si="1"/>
        <v>7</v>
      </c>
      <c r="I18" s="72">
        <v>21847</v>
      </c>
      <c r="J18" s="74">
        <f t="shared" ref="J18" si="38">I18-I17</f>
        <v>25</v>
      </c>
      <c r="K18" s="72">
        <v>41639</v>
      </c>
      <c r="L18" s="74">
        <f t="shared" ref="L18" si="39">K18-K17</f>
        <v>167</v>
      </c>
      <c r="M18" s="178">
        <f t="shared" si="11"/>
        <v>91.850000000000009</v>
      </c>
      <c r="N18" s="178">
        <f t="shared" si="12"/>
        <v>75.150000000000006</v>
      </c>
      <c r="O18" s="72">
        <v>44576</v>
      </c>
      <c r="P18" s="74">
        <f t="shared" si="4"/>
        <v>151</v>
      </c>
      <c r="R18" s="106">
        <f t="shared" si="5"/>
        <v>573</v>
      </c>
      <c r="S18" s="97">
        <f t="shared" si="13"/>
        <v>226.15</v>
      </c>
    </row>
    <row r="19" spans="1:19" s="78" customFormat="1" ht="39.950000000000003" customHeight="1">
      <c r="A19" s="189">
        <f t="shared" si="14"/>
        <v>44817</v>
      </c>
      <c r="B19" s="81"/>
      <c r="C19" s="72">
        <v>81020</v>
      </c>
      <c r="D19" s="74">
        <f t="shared" si="6"/>
        <v>199</v>
      </c>
      <c r="E19" s="72">
        <v>128117</v>
      </c>
      <c r="F19" s="74">
        <f t="shared" si="1"/>
        <v>290</v>
      </c>
      <c r="G19" s="83">
        <v>9912</v>
      </c>
      <c r="H19" s="74">
        <f t="shared" si="1"/>
        <v>4</v>
      </c>
      <c r="I19" s="72">
        <v>21892</v>
      </c>
      <c r="J19" s="74">
        <f t="shared" ref="J19" si="40">I19-I18</f>
        <v>45</v>
      </c>
      <c r="K19" s="72">
        <v>41832</v>
      </c>
      <c r="L19" s="74">
        <f t="shared" ref="L19" si="41">K19-K18</f>
        <v>193</v>
      </c>
      <c r="M19" s="178">
        <f t="shared" si="11"/>
        <v>106.15</v>
      </c>
      <c r="N19" s="178">
        <f t="shared" si="12"/>
        <v>86.850000000000009</v>
      </c>
      <c r="O19" s="72">
        <v>44731</v>
      </c>
      <c r="P19" s="74">
        <f t="shared" si="4"/>
        <v>155</v>
      </c>
      <c r="R19" s="165">
        <f t="shared" si="5"/>
        <v>493</v>
      </c>
      <c r="S19" s="105">
        <f t="shared" si="13"/>
        <v>241.85000000000002</v>
      </c>
    </row>
    <row r="20" spans="1:19" s="78" customFormat="1" ht="39.950000000000003" customHeight="1">
      <c r="A20" s="189">
        <f t="shared" si="14"/>
        <v>44818</v>
      </c>
      <c r="B20" s="81"/>
      <c r="C20" s="72">
        <v>81183</v>
      </c>
      <c r="D20" s="74">
        <f t="shared" si="6"/>
        <v>163</v>
      </c>
      <c r="E20" s="72">
        <v>128411</v>
      </c>
      <c r="F20" s="74">
        <f t="shared" si="1"/>
        <v>294</v>
      </c>
      <c r="G20" s="83">
        <v>9916</v>
      </c>
      <c r="H20" s="74">
        <f t="shared" si="1"/>
        <v>4</v>
      </c>
      <c r="I20" s="72">
        <v>21929</v>
      </c>
      <c r="J20" s="74">
        <f t="shared" ref="J20" si="42">I20-I19</f>
        <v>37</v>
      </c>
      <c r="K20" s="72">
        <v>42022</v>
      </c>
      <c r="L20" s="74">
        <f t="shared" ref="L20" si="43">K20-K19</f>
        <v>190</v>
      </c>
      <c r="M20" s="178">
        <f t="shared" si="11"/>
        <v>104.50000000000001</v>
      </c>
      <c r="N20" s="178">
        <f t="shared" si="12"/>
        <v>85.5</v>
      </c>
      <c r="O20" s="72">
        <v>44872</v>
      </c>
      <c r="P20" s="74">
        <f t="shared" si="4"/>
        <v>141</v>
      </c>
      <c r="R20" s="165">
        <f t="shared" si="5"/>
        <v>461</v>
      </c>
      <c r="S20" s="105">
        <f t="shared" si="13"/>
        <v>226.5</v>
      </c>
    </row>
    <row r="21" spans="1:19" s="78" customFormat="1" ht="39.950000000000003" customHeight="1">
      <c r="A21" s="189">
        <f t="shared" si="14"/>
        <v>44819</v>
      </c>
      <c r="B21" s="81"/>
      <c r="C21" s="73">
        <v>81321</v>
      </c>
      <c r="D21" s="74">
        <f t="shared" si="6"/>
        <v>138</v>
      </c>
      <c r="E21" s="73">
        <v>128715</v>
      </c>
      <c r="F21" s="74">
        <f t="shared" si="1"/>
        <v>304</v>
      </c>
      <c r="G21" s="82">
        <v>9920</v>
      </c>
      <c r="H21" s="74">
        <f t="shared" si="1"/>
        <v>4</v>
      </c>
      <c r="I21" s="72">
        <v>21968</v>
      </c>
      <c r="J21" s="74">
        <f t="shared" ref="J21" si="44">I21-I20</f>
        <v>39</v>
      </c>
      <c r="K21" s="73">
        <v>42185</v>
      </c>
      <c r="L21" s="74">
        <f t="shared" ref="L21" si="45">K21-K20</f>
        <v>163</v>
      </c>
      <c r="M21" s="178">
        <f t="shared" si="11"/>
        <v>89.65</v>
      </c>
      <c r="N21" s="178">
        <f t="shared" si="12"/>
        <v>73.350000000000009</v>
      </c>
      <c r="O21" s="73">
        <v>44977</v>
      </c>
      <c r="P21" s="74">
        <f t="shared" si="4"/>
        <v>105</v>
      </c>
      <c r="R21" s="165">
        <f t="shared" si="5"/>
        <v>446</v>
      </c>
      <c r="S21" s="105">
        <f t="shared" si="13"/>
        <v>178.35000000000002</v>
      </c>
    </row>
    <row r="22" spans="1:19" s="78" customFormat="1" ht="39.950000000000003" customHeight="1">
      <c r="A22" s="189">
        <f t="shared" si="14"/>
        <v>44820</v>
      </c>
      <c r="B22" s="81"/>
      <c r="C22" s="73">
        <v>81467</v>
      </c>
      <c r="D22" s="74">
        <f t="shared" si="6"/>
        <v>146</v>
      </c>
      <c r="E22" s="73">
        <v>129002</v>
      </c>
      <c r="F22" s="74">
        <f t="shared" si="1"/>
        <v>287</v>
      </c>
      <c r="G22" s="82">
        <v>9923</v>
      </c>
      <c r="H22" s="74">
        <f t="shared" si="1"/>
        <v>3</v>
      </c>
      <c r="I22" s="83">
        <v>22007</v>
      </c>
      <c r="J22" s="74">
        <f t="shared" ref="J22" si="46">I22-I21</f>
        <v>39</v>
      </c>
      <c r="K22" s="73">
        <v>42350</v>
      </c>
      <c r="L22" s="74">
        <f t="shared" ref="L22" si="47">K22-K21</f>
        <v>165</v>
      </c>
      <c r="M22" s="178">
        <f t="shared" si="11"/>
        <v>90.750000000000014</v>
      </c>
      <c r="N22" s="178">
        <f t="shared" si="12"/>
        <v>74.25</v>
      </c>
      <c r="O22" s="73">
        <v>45092</v>
      </c>
      <c r="P22" s="74">
        <f t="shared" si="4"/>
        <v>115</v>
      </c>
      <c r="R22" s="165">
        <f t="shared" si="5"/>
        <v>436</v>
      </c>
      <c r="S22" s="105">
        <f t="shared" si="13"/>
        <v>189.25</v>
      </c>
    </row>
    <row r="23" spans="1:19" s="78" customFormat="1" ht="39.950000000000003" customHeight="1">
      <c r="A23" s="189">
        <f t="shared" si="14"/>
        <v>44821</v>
      </c>
      <c r="B23" s="81"/>
      <c r="C23" s="73">
        <v>81624</v>
      </c>
      <c r="D23" s="74">
        <f t="shared" si="6"/>
        <v>157</v>
      </c>
      <c r="E23" s="73">
        <v>129315</v>
      </c>
      <c r="F23" s="74">
        <f t="shared" si="1"/>
        <v>313</v>
      </c>
      <c r="G23" s="82">
        <v>9925</v>
      </c>
      <c r="H23" s="74">
        <f t="shared" si="1"/>
        <v>2</v>
      </c>
      <c r="I23" s="72">
        <v>22041</v>
      </c>
      <c r="J23" s="74">
        <f t="shared" ref="J23" si="48">I23-I22</f>
        <v>34</v>
      </c>
      <c r="K23" s="73">
        <v>42523</v>
      </c>
      <c r="L23" s="74">
        <f t="shared" ref="L23" si="49">K23-K22</f>
        <v>173</v>
      </c>
      <c r="M23" s="178">
        <f t="shared" si="11"/>
        <v>95.15</v>
      </c>
      <c r="N23" s="178">
        <f t="shared" si="12"/>
        <v>77.850000000000009</v>
      </c>
      <c r="O23" s="73">
        <v>45195</v>
      </c>
      <c r="P23" s="74">
        <f t="shared" si="4"/>
        <v>103</v>
      </c>
      <c r="R23" s="165">
        <f t="shared" si="5"/>
        <v>472</v>
      </c>
      <c r="S23" s="105">
        <f t="shared" si="13"/>
        <v>180.85000000000002</v>
      </c>
    </row>
    <row r="24" spans="1:19" s="78" customFormat="1" ht="39.950000000000003" customHeight="1">
      <c r="A24" s="189">
        <f t="shared" si="14"/>
        <v>44822</v>
      </c>
      <c r="B24" s="81"/>
      <c r="C24" s="73">
        <v>81840</v>
      </c>
      <c r="D24" s="74">
        <f t="shared" si="6"/>
        <v>216</v>
      </c>
      <c r="E24" s="73">
        <v>129651</v>
      </c>
      <c r="F24" s="74">
        <f t="shared" si="1"/>
        <v>336</v>
      </c>
      <c r="G24" s="82">
        <v>9928</v>
      </c>
      <c r="H24" s="74">
        <f t="shared" si="1"/>
        <v>3</v>
      </c>
      <c r="I24" s="72">
        <v>22076</v>
      </c>
      <c r="J24" s="74">
        <f t="shared" ref="J24" si="50">I24-I23</f>
        <v>35</v>
      </c>
      <c r="K24" s="73">
        <v>42719</v>
      </c>
      <c r="L24" s="74">
        <f t="shared" ref="L24" si="51">K24-K23</f>
        <v>196</v>
      </c>
      <c r="M24" s="178">
        <f t="shared" si="11"/>
        <v>107.80000000000001</v>
      </c>
      <c r="N24" s="178">
        <f t="shared" si="12"/>
        <v>88.2</v>
      </c>
      <c r="O24" s="73">
        <v>45321</v>
      </c>
      <c r="P24" s="74">
        <f t="shared" si="4"/>
        <v>126</v>
      </c>
      <c r="R24" s="165">
        <f t="shared" si="5"/>
        <v>555</v>
      </c>
      <c r="S24" s="105">
        <f t="shared" si="13"/>
        <v>214.2</v>
      </c>
    </row>
    <row r="25" spans="1:19" s="78" customFormat="1" ht="39.950000000000003" customHeight="1">
      <c r="A25" s="189">
        <f t="shared" si="14"/>
        <v>44823</v>
      </c>
      <c r="B25" s="81"/>
      <c r="C25" s="73">
        <v>82045</v>
      </c>
      <c r="D25" s="74">
        <f t="shared" si="6"/>
        <v>205</v>
      </c>
      <c r="E25" s="73">
        <v>129978</v>
      </c>
      <c r="F25" s="74">
        <f t="shared" si="1"/>
        <v>327</v>
      </c>
      <c r="G25" s="82">
        <v>9931</v>
      </c>
      <c r="H25" s="74">
        <f t="shared" si="1"/>
        <v>3</v>
      </c>
      <c r="I25" s="72">
        <v>22102</v>
      </c>
      <c r="J25" s="74">
        <f t="shared" ref="J25" si="52">I25-I24</f>
        <v>26</v>
      </c>
      <c r="K25" s="73">
        <v>42908</v>
      </c>
      <c r="L25" s="74">
        <f t="shared" ref="L25" si="53">K25-K24</f>
        <v>189</v>
      </c>
      <c r="M25" s="178">
        <f t="shared" si="11"/>
        <v>103.95</v>
      </c>
      <c r="N25" s="178">
        <f t="shared" si="12"/>
        <v>85.05</v>
      </c>
      <c r="O25" s="73">
        <v>45416</v>
      </c>
      <c r="P25" s="74">
        <f t="shared" si="4"/>
        <v>95</v>
      </c>
      <c r="R25" s="165">
        <f t="shared" si="5"/>
        <v>535</v>
      </c>
      <c r="S25" s="105">
        <f t="shared" si="13"/>
        <v>180.05</v>
      </c>
    </row>
    <row r="26" spans="1:19" ht="39.950000000000003" customHeight="1">
      <c r="A26" s="189">
        <f t="shared" si="14"/>
        <v>44824</v>
      </c>
      <c r="B26" s="81"/>
      <c r="C26" s="73">
        <v>82183</v>
      </c>
      <c r="D26" s="74">
        <f t="shared" si="6"/>
        <v>138</v>
      </c>
      <c r="E26" s="73">
        <v>130237</v>
      </c>
      <c r="F26" s="74">
        <f t="shared" si="1"/>
        <v>259</v>
      </c>
      <c r="G26" s="82">
        <v>9934</v>
      </c>
      <c r="H26" s="74">
        <f t="shared" si="1"/>
        <v>3</v>
      </c>
      <c r="I26" s="72">
        <v>22132</v>
      </c>
      <c r="J26" s="74">
        <f t="shared" ref="J26" si="54">I26-I25</f>
        <v>30</v>
      </c>
      <c r="K26" s="73">
        <v>43089</v>
      </c>
      <c r="L26" s="74">
        <f t="shared" ref="L26" si="55">K26-K25</f>
        <v>181</v>
      </c>
      <c r="M26" s="178">
        <f t="shared" si="11"/>
        <v>99.550000000000011</v>
      </c>
      <c r="N26" s="178">
        <f t="shared" si="12"/>
        <v>81.45</v>
      </c>
      <c r="O26" s="73">
        <v>45528</v>
      </c>
      <c r="P26" s="74">
        <f t="shared" si="4"/>
        <v>112</v>
      </c>
      <c r="R26" s="106">
        <f t="shared" si="5"/>
        <v>400</v>
      </c>
      <c r="S26" s="97">
        <f t="shared" si="13"/>
        <v>193.45</v>
      </c>
    </row>
    <row r="27" spans="1:19" ht="39.950000000000003" customHeight="1">
      <c r="A27" s="189">
        <f t="shared" si="14"/>
        <v>44825</v>
      </c>
      <c r="B27" s="81"/>
      <c r="C27" s="73">
        <v>82324</v>
      </c>
      <c r="D27" s="74">
        <f t="shared" si="6"/>
        <v>141</v>
      </c>
      <c r="E27" s="73">
        <v>130513</v>
      </c>
      <c r="F27" s="74">
        <f t="shared" si="1"/>
        <v>276</v>
      </c>
      <c r="G27" s="82">
        <v>9937</v>
      </c>
      <c r="H27" s="74">
        <f t="shared" si="1"/>
        <v>3</v>
      </c>
      <c r="I27" s="72">
        <v>22153</v>
      </c>
      <c r="J27" s="74">
        <f t="shared" ref="J27" si="56">I27-I26</f>
        <v>21</v>
      </c>
      <c r="K27" s="73">
        <v>43246</v>
      </c>
      <c r="L27" s="74">
        <f t="shared" ref="L27" si="57">K27-K26</f>
        <v>157</v>
      </c>
      <c r="M27" s="178">
        <f t="shared" si="11"/>
        <v>86.350000000000009</v>
      </c>
      <c r="N27" s="178">
        <f t="shared" si="12"/>
        <v>70.650000000000006</v>
      </c>
      <c r="O27" s="73">
        <v>45651</v>
      </c>
      <c r="P27" s="74">
        <f t="shared" si="4"/>
        <v>123</v>
      </c>
      <c r="R27" s="106">
        <f t="shared" si="5"/>
        <v>420</v>
      </c>
      <c r="S27" s="97">
        <f t="shared" si="13"/>
        <v>193.65</v>
      </c>
    </row>
    <row r="28" spans="1:19" ht="39.950000000000003" customHeight="1">
      <c r="A28" s="189">
        <f t="shared" si="14"/>
        <v>44826</v>
      </c>
      <c r="B28" s="81"/>
      <c r="C28" s="73">
        <v>82459</v>
      </c>
      <c r="D28" s="74">
        <f t="shared" si="6"/>
        <v>135</v>
      </c>
      <c r="E28" s="73">
        <v>130792</v>
      </c>
      <c r="F28" s="74">
        <f t="shared" si="1"/>
        <v>279</v>
      </c>
      <c r="G28" s="82">
        <v>9939</v>
      </c>
      <c r="H28" s="74">
        <f t="shared" si="1"/>
        <v>2</v>
      </c>
      <c r="I28" s="73">
        <v>22136</v>
      </c>
      <c r="J28" s="74">
        <f t="shared" ref="J28" si="58">I28-I27</f>
        <v>-17</v>
      </c>
      <c r="K28" s="73">
        <v>43409</v>
      </c>
      <c r="L28" s="74">
        <f t="shared" ref="L28" si="59">K28-K27</f>
        <v>163</v>
      </c>
      <c r="M28" s="178">
        <f t="shared" si="11"/>
        <v>89.65</v>
      </c>
      <c r="N28" s="178">
        <f t="shared" si="12"/>
        <v>73.350000000000009</v>
      </c>
      <c r="O28" s="73">
        <v>45759</v>
      </c>
      <c r="P28" s="74">
        <f t="shared" si="4"/>
        <v>108</v>
      </c>
      <c r="R28" s="106">
        <f t="shared" si="5"/>
        <v>416</v>
      </c>
      <c r="S28" s="97">
        <f t="shared" si="13"/>
        <v>181.35000000000002</v>
      </c>
    </row>
    <row r="29" spans="1:19" ht="39.950000000000003" customHeight="1">
      <c r="A29" s="189">
        <f t="shared" si="14"/>
        <v>44827</v>
      </c>
      <c r="B29" s="81"/>
      <c r="C29" s="73">
        <v>82604</v>
      </c>
      <c r="D29" s="74">
        <f t="shared" si="6"/>
        <v>145</v>
      </c>
      <c r="E29" s="73">
        <v>131091</v>
      </c>
      <c r="F29" s="74">
        <f t="shared" si="1"/>
        <v>299</v>
      </c>
      <c r="G29" s="82">
        <v>9942</v>
      </c>
      <c r="H29" s="74">
        <f t="shared" si="1"/>
        <v>3</v>
      </c>
      <c r="I29" s="73">
        <v>22239</v>
      </c>
      <c r="J29" s="74">
        <f t="shared" ref="J29" si="60">I29-I28</f>
        <v>103</v>
      </c>
      <c r="K29" s="73">
        <v>43599</v>
      </c>
      <c r="L29" s="74">
        <f t="shared" ref="L29" si="61">K29-K28</f>
        <v>190</v>
      </c>
      <c r="M29" s="178">
        <f t="shared" si="11"/>
        <v>104.50000000000001</v>
      </c>
      <c r="N29" s="178">
        <f t="shared" si="12"/>
        <v>85.5</v>
      </c>
      <c r="O29" s="73">
        <v>45871</v>
      </c>
      <c r="P29" s="74">
        <f t="shared" si="4"/>
        <v>112</v>
      </c>
      <c r="R29" s="106">
        <f t="shared" si="5"/>
        <v>447</v>
      </c>
      <c r="S29" s="97">
        <f t="shared" si="13"/>
        <v>197.5</v>
      </c>
    </row>
    <row r="30" spans="1:19" ht="39.950000000000003" customHeight="1">
      <c r="A30" s="189">
        <f t="shared" si="14"/>
        <v>44828</v>
      </c>
      <c r="B30" s="81"/>
      <c r="C30" s="73">
        <v>82754</v>
      </c>
      <c r="D30" s="74">
        <f t="shared" si="6"/>
        <v>150</v>
      </c>
      <c r="E30" s="73">
        <v>131417</v>
      </c>
      <c r="F30" s="74">
        <f t="shared" si="1"/>
        <v>326</v>
      </c>
      <c r="G30" s="82">
        <v>9944</v>
      </c>
      <c r="H30" s="74">
        <f t="shared" si="1"/>
        <v>2</v>
      </c>
      <c r="I30" s="73">
        <v>22274</v>
      </c>
      <c r="J30" s="74">
        <f t="shared" ref="J30" si="62">I30-I29</f>
        <v>35</v>
      </c>
      <c r="K30" s="73">
        <v>43758</v>
      </c>
      <c r="L30" s="74">
        <f t="shared" ref="L30" si="63">K30-K29</f>
        <v>159</v>
      </c>
      <c r="M30" s="178">
        <f t="shared" si="11"/>
        <v>87.45</v>
      </c>
      <c r="N30" s="178">
        <f t="shared" si="12"/>
        <v>71.55</v>
      </c>
      <c r="O30" s="73">
        <v>45988</v>
      </c>
      <c r="P30" s="74">
        <f t="shared" si="4"/>
        <v>117</v>
      </c>
      <c r="R30" s="106">
        <f t="shared" si="5"/>
        <v>478</v>
      </c>
      <c r="S30" s="97">
        <f t="shared" si="13"/>
        <v>188.55</v>
      </c>
    </row>
    <row r="31" spans="1:19" ht="39.950000000000003" customHeight="1">
      <c r="A31" s="189">
        <f t="shared" si="14"/>
        <v>44829</v>
      </c>
      <c r="B31" s="81"/>
      <c r="C31" s="73">
        <v>82963</v>
      </c>
      <c r="D31" s="74">
        <f t="shared" si="6"/>
        <v>209</v>
      </c>
      <c r="E31" s="73">
        <v>131760</v>
      </c>
      <c r="F31" s="74">
        <f t="shared" si="1"/>
        <v>343</v>
      </c>
      <c r="G31" s="82">
        <v>9946</v>
      </c>
      <c r="H31" s="74">
        <f t="shared" si="1"/>
        <v>2</v>
      </c>
      <c r="I31" s="200">
        <v>22310</v>
      </c>
      <c r="J31" s="74">
        <f t="shared" ref="J31" si="64">I31-I30</f>
        <v>36</v>
      </c>
      <c r="K31" s="73">
        <v>43934</v>
      </c>
      <c r="L31" s="74">
        <f t="shared" ref="L31" si="65">K31-K30</f>
        <v>176</v>
      </c>
      <c r="M31" s="178">
        <f t="shared" si="11"/>
        <v>96.800000000000011</v>
      </c>
      <c r="N31" s="178">
        <f t="shared" si="12"/>
        <v>79.2</v>
      </c>
      <c r="O31" s="73">
        <v>46092</v>
      </c>
      <c r="P31" s="74">
        <f t="shared" si="4"/>
        <v>104</v>
      </c>
      <c r="R31" s="106">
        <f t="shared" si="5"/>
        <v>554</v>
      </c>
      <c r="S31" s="97">
        <f t="shared" si="13"/>
        <v>183.2</v>
      </c>
    </row>
    <row r="32" spans="1:19" ht="39.950000000000003" customHeight="1">
      <c r="A32" s="189">
        <f t="shared" si="14"/>
        <v>44830</v>
      </c>
      <c r="B32" s="81"/>
      <c r="C32" s="73">
        <v>83143</v>
      </c>
      <c r="D32" s="74">
        <f t="shared" si="6"/>
        <v>180</v>
      </c>
      <c r="E32" s="73">
        <v>132066</v>
      </c>
      <c r="F32" s="74">
        <f t="shared" si="1"/>
        <v>306</v>
      </c>
      <c r="G32" s="82">
        <v>9948</v>
      </c>
      <c r="H32" s="74">
        <f t="shared" si="1"/>
        <v>2</v>
      </c>
      <c r="I32" s="200">
        <v>22365</v>
      </c>
      <c r="J32" s="74">
        <f t="shared" ref="J32" si="66">I32-I31</f>
        <v>55</v>
      </c>
      <c r="K32" s="73">
        <v>44103</v>
      </c>
      <c r="L32" s="74">
        <f t="shared" ref="L32" si="67">K32-K31</f>
        <v>169</v>
      </c>
      <c r="M32" s="178">
        <f t="shared" si="11"/>
        <v>92.95</v>
      </c>
      <c r="N32" s="178">
        <f t="shared" si="12"/>
        <v>76.05</v>
      </c>
      <c r="O32" s="73">
        <v>46200</v>
      </c>
      <c r="P32" s="74">
        <f t="shared" si="4"/>
        <v>108</v>
      </c>
      <c r="R32" s="106">
        <f t="shared" si="5"/>
        <v>488</v>
      </c>
      <c r="S32" s="97">
        <f t="shared" si="13"/>
        <v>184.05</v>
      </c>
    </row>
    <row r="33" spans="1:19" ht="39.950000000000003" customHeight="1">
      <c r="A33" s="189">
        <f t="shared" si="14"/>
        <v>44831</v>
      </c>
      <c r="B33" s="81"/>
      <c r="C33" s="73">
        <v>83283</v>
      </c>
      <c r="D33" s="74">
        <f t="shared" si="6"/>
        <v>140</v>
      </c>
      <c r="E33" s="73">
        <v>132331</v>
      </c>
      <c r="F33" s="74">
        <f t="shared" si="1"/>
        <v>265</v>
      </c>
      <c r="G33" s="201">
        <v>9953</v>
      </c>
      <c r="H33" s="74">
        <f t="shared" si="1"/>
        <v>5</v>
      </c>
      <c r="I33" s="200">
        <v>22404</v>
      </c>
      <c r="J33" s="74">
        <f t="shared" ref="J33" si="68">I33-I32</f>
        <v>39</v>
      </c>
      <c r="K33" s="73">
        <v>44270</v>
      </c>
      <c r="L33" s="74">
        <f t="shared" ref="L33" si="69">K33-K32</f>
        <v>167</v>
      </c>
      <c r="M33" s="178">
        <f t="shared" si="11"/>
        <v>91.850000000000009</v>
      </c>
      <c r="N33" s="178">
        <f t="shared" si="12"/>
        <v>75.150000000000006</v>
      </c>
      <c r="O33" s="73">
        <v>46337</v>
      </c>
      <c r="P33" s="74">
        <f t="shared" si="4"/>
        <v>137</v>
      </c>
      <c r="R33" s="106">
        <f t="shared" si="5"/>
        <v>410</v>
      </c>
      <c r="S33" s="97">
        <f t="shared" si="13"/>
        <v>212.15</v>
      </c>
    </row>
    <row r="34" spans="1:19" ht="39.950000000000003" customHeight="1">
      <c r="A34" s="189">
        <f t="shared" si="14"/>
        <v>44832</v>
      </c>
      <c r="B34" s="81"/>
      <c r="C34" s="73">
        <v>83403</v>
      </c>
      <c r="D34" s="74">
        <f t="shared" si="6"/>
        <v>120</v>
      </c>
      <c r="E34" s="73">
        <v>132616</v>
      </c>
      <c r="F34" s="74">
        <f t="shared" si="1"/>
        <v>285</v>
      </c>
      <c r="G34" s="201">
        <v>9956</v>
      </c>
      <c r="H34" s="74">
        <f t="shared" si="1"/>
        <v>3</v>
      </c>
      <c r="I34" s="200">
        <v>22450</v>
      </c>
      <c r="J34" s="74">
        <f t="shared" ref="J34" si="70">I34-I33</f>
        <v>46</v>
      </c>
      <c r="K34" s="73">
        <v>44419</v>
      </c>
      <c r="L34" s="74">
        <f t="shared" ref="L34" si="71">K34-K33</f>
        <v>149</v>
      </c>
      <c r="M34" s="178">
        <f t="shared" si="11"/>
        <v>81.95</v>
      </c>
      <c r="N34" s="178">
        <f t="shared" si="12"/>
        <v>67.05</v>
      </c>
      <c r="O34" s="73">
        <v>46460</v>
      </c>
      <c r="P34" s="74">
        <f t="shared" si="4"/>
        <v>123</v>
      </c>
      <c r="R34" s="106">
        <f t="shared" si="5"/>
        <v>408</v>
      </c>
      <c r="S34" s="97">
        <f t="shared" si="13"/>
        <v>190.05</v>
      </c>
    </row>
    <row r="35" spans="1:19" ht="39.950000000000003" customHeight="1">
      <c r="A35" s="189">
        <f t="shared" si="14"/>
        <v>44833</v>
      </c>
      <c r="B35" s="81"/>
      <c r="C35" s="73">
        <v>83538</v>
      </c>
      <c r="D35" s="74">
        <f t="shared" si="6"/>
        <v>135</v>
      </c>
      <c r="E35" s="73">
        <v>132905</v>
      </c>
      <c r="F35" s="74">
        <f t="shared" si="1"/>
        <v>289</v>
      </c>
      <c r="G35" s="201">
        <v>9956</v>
      </c>
      <c r="H35" s="74">
        <f t="shared" si="1"/>
        <v>0</v>
      </c>
      <c r="I35" s="200">
        <v>22450</v>
      </c>
      <c r="J35" s="74">
        <f t="shared" ref="J35" si="72">I35-I34</f>
        <v>0</v>
      </c>
      <c r="K35" s="73">
        <v>44561</v>
      </c>
      <c r="L35" s="74">
        <f t="shared" ref="L35" si="73">K35-K34</f>
        <v>142</v>
      </c>
      <c r="M35" s="178">
        <f t="shared" si="11"/>
        <v>78.100000000000009</v>
      </c>
      <c r="N35" s="178">
        <f t="shared" si="12"/>
        <v>63.9</v>
      </c>
      <c r="O35" s="73">
        <v>46594</v>
      </c>
      <c r="P35" s="74">
        <f t="shared" si="4"/>
        <v>134</v>
      </c>
      <c r="R35" s="106">
        <f t="shared" ref="R35" si="74">SUM(D35,F35,M99,H35)</f>
        <v>424</v>
      </c>
      <c r="S35" s="97">
        <f t="shared" ref="S35" si="75">SUM(N35,P35)</f>
        <v>197.9</v>
      </c>
    </row>
    <row r="36" spans="1:19" ht="39.950000000000003" customHeight="1">
      <c r="A36" s="189">
        <f t="shared" si="14"/>
        <v>44834</v>
      </c>
      <c r="B36" s="81"/>
      <c r="C36" s="82">
        <v>83701</v>
      </c>
      <c r="D36" s="74">
        <f t="shared" si="6"/>
        <v>163</v>
      </c>
      <c r="E36" s="82">
        <v>133200</v>
      </c>
      <c r="F36" s="74">
        <f t="shared" si="1"/>
        <v>295</v>
      </c>
      <c r="G36" s="201">
        <v>9956</v>
      </c>
      <c r="H36" s="74">
        <f t="shared" si="1"/>
        <v>0</v>
      </c>
      <c r="I36" s="200">
        <v>22450</v>
      </c>
      <c r="J36" s="74">
        <f t="shared" ref="J36" si="76">I36-I35</f>
        <v>0</v>
      </c>
      <c r="K36" s="82">
        <v>44711</v>
      </c>
      <c r="L36" s="74">
        <f t="shared" ref="L36" si="77">K36-K35</f>
        <v>150</v>
      </c>
      <c r="M36" s="178">
        <f t="shared" si="11"/>
        <v>82.5</v>
      </c>
      <c r="N36" s="178">
        <f t="shared" si="12"/>
        <v>67.5</v>
      </c>
      <c r="O36" s="82">
        <v>46717</v>
      </c>
      <c r="P36" s="74">
        <f t="shared" si="4"/>
        <v>123</v>
      </c>
      <c r="R36" s="106">
        <f t="shared" ref="R36" si="78">SUM(D36,F36,M99,H36)</f>
        <v>458</v>
      </c>
      <c r="S36" s="97">
        <f t="shared" si="13"/>
        <v>190.5</v>
      </c>
    </row>
    <row r="37" spans="1:19" s="2" customFormat="1" ht="39.950000000000003" customHeight="1">
      <c r="A37" s="189"/>
      <c r="B37" s="15"/>
      <c r="C37" s="72"/>
      <c r="D37" s="74"/>
      <c r="E37" s="72"/>
      <c r="F37" s="74"/>
      <c r="G37" s="83"/>
      <c r="H37" s="178"/>
      <c r="I37" s="72"/>
      <c r="J37" s="74"/>
      <c r="K37" s="72"/>
      <c r="L37" s="74"/>
      <c r="M37" s="75"/>
      <c r="N37" s="75"/>
      <c r="O37" s="72"/>
      <c r="P37" s="74"/>
      <c r="R37" s="96"/>
      <c r="S37" s="97"/>
    </row>
    <row r="38" spans="1:19" s="21" customFormat="1" ht="39.950000000000003" customHeight="1">
      <c r="A38" s="18"/>
      <c r="D38" s="22">
        <f>SUM(D7:D37)</f>
        <v>4813</v>
      </c>
      <c r="F38" s="22">
        <f>SUM(F7:F37)</f>
        <v>9113</v>
      </c>
      <c r="H38" s="22">
        <f>SUM(H7:H37)</f>
        <v>124</v>
      </c>
      <c r="J38" s="22">
        <f>SUM(J7:J37)</f>
        <v>933</v>
      </c>
      <c r="L38" s="22">
        <f>SUM(L7:L37)</f>
        <v>5125</v>
      </c>
      <c r="M38" s="22"/>
      <c r="N38" s="22"/>
      <c r="P38" s="22">
        <f>SUM(P7:P37)</f>
        <v>3952</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62" zoomScaleNormal="62" workbookViewId="0">
      <pane xSplit="2" ySplit="7" topLeftCell="BD29" activePane="bottomRight" state="frozen"/>
      <selection activeCell="V61" sqref="V61"/>
      <selection pane="topRight" activeCell="V61" sqref="V61"/>
      <selection pane="bottomLeft" activeCell="V61" sqref="V61"/>
      <selection pane="bottomRight" activeCell="BH9" sqref="BH9"/>
    </sheetView>
  </sheetViews>
  <sheetFormatPr defaultRowHeight="31.5"/>
  <cols>
    <col min="1" max="1" width="16.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5"/>
      <c r="B1" s="195"/>
      <c r="C1" s="210" t="s">
        <v>65</v>
      </c>
      <c r="D1" s="210"/>
      <c r="E1" s="210"/>
      <c r="F1" s="210"/>
      <c r="G1" s="210" t="s">
        <v>64</v>
      </c>
      <c r="H1" s="210"/>
      <c r="I1" s="210" t="s">
        <v>64</v>
      </c>
      <c r="J1" s="210"/>
      <c r="K1" s="210" t="s">
        <v>64</v>
      </c>
      <c r="L1" s="210"/>
      <c r="M1" s="210" t="s">
        <v>64</v>
      </c>
      <c r="N1" s="210"/>
      <c r="O1" s="210" t="s">
        <v>64</v>
      </c>
      <c r="P1" s="210"/>
      <c r="Q1" s="223" t="s">
        <v>64</v>
      </c>
      <c r="R1" s="224"/>
      <c r="S1" s="223" t="s">
        <v>64</v>
      </c>
      <c r="T1" s="224"/>
      <c r="U1" s="223" t="s">
        <v>64</v>
      </c>
      <c r="V1" s="224"/>
      <c r="W1" s="223" t="s">
        <v>64</v>
      </c>
      <c r="X1" s="225"/>
      <c r="Y1" s="210" t="s">
        <v>64</v>
      </c>
      <c r="Z1" s="210"/>
      <c r="AA1" s="223" t="s">
        <v>64</v>
      </c>
      <c r="AB1" s="224"/>
      <c r="AC1" s="210" t="s">
        <v>64</v>
      </c>
      <c r="AD1" s="210"/>
      <c r="AE1" s="210" t="s">
        <v>64</v>
      </c>
      <c r="AF1" s="210"/>
      <c r="AG1" s="210" t="s">
        <v>64</v>
      </c>
      <c r="AH1" s="210"/>
      <c r="AI1" s="210" t="s">
        <v>64</v>
      </c>
      <c r="AJ1" s="210"/>
      <c r="AK1" s="210" t="s">
        <v>64</v>
      </c>
      <c r="AL1" s="210"/>
      <c r="AM1" s="210" t="s">
        <v>66</v>
      </c>
      <c r="AN1" s="210"/>
      <c r="AO1" s="210" t="s">
        <v>66</v>
      </c>
      <c r="AP1" s="210"/>
      <c r="AQ1" s="210" t="s">
        <v>66</v>
      </c>
      <c r="AR1" s="210"/>
      <c r="AS1" s="210" t="s">
        <v>66</v>
      </c>
      <c r="AT1" s="210"/>
      <c r="AU1" s="210" t="s">
        <v>66</v>
      </c>
      <c r="AV1" s="210"/>
      <c r="AW1" s="210" t="s">
        <v>66</v>
      </c>
      <c r="AX1" s="210"/>
      <c r="AY1" s="210" t="s">
        <v>66</v>
      </c>
      <c r="AZ1" s="210"/>
      <c r="BA1" s="210" t="s">
        <v>66</v>
      </c>
      <c r="BB1" s="210"/>
      <c r="BC1" s="210" t="s">
        <v>66</v>
      </c>
      <c r="BD1" s="210"/>
      <c r="BE1" s="210" t="s">
        <v>66</v>
      </c>
      <c r="BF1" s="210"/>
      <c r="BH1" s="32"/>
      <c r="BI1" s="32"/>
    </row>
    <row r="2" spans="1:61" s="24" customFormat="1" ht="75.75" customHeight="1">
      <c r="A2" s="48"/>
      <c r="B2" s="48"/>
      <c r="C2" s="245" t="s">
        <v>116</v>
      </c>
      <c r="D2" s="245"/>
      <c r="E2" s="245"/>
      <c r="F2" s="245"/>
      <c r="G2" s="245" t="s">
        <v>117</v>
      </c>
      <c r="H2" s="245"/>
      <c r="I2" s="245" t="s">
        <v>118</v>
      </c>
      <c r="J2" s="245"/>
      <c r="K2" s="245" t="s">
        <v>119</v>
      </c>
      <c r="L2" s="245"/>
      <c r="M2" s="245" t="s">
        <v>120</v>
      </c>
      <c r="N2" s="245"/>
      <c r="O2" s="250" t="s">
        <v>121</v>
      </c>
      <c r="P2" s="252"/>
      <c r="Q2" s="250" t="s">
        <v>122</v>
      </c>
      <c r="R2" s="252"/>
      <c r="S2" s="250" t="s">
        <v>123</v>
      </c>
      <c r="T2" s="252"/>
      <c r="U2" s="250" t="s">
        <v>124</v>
      </c>
      <c r="V2" s="252"/>
      <c r="W2" s="250" t="s">
        <v>125</v>
      </c>
      <c r="X2" s="251"/>
      <c r="Y2" s="245" t="s">
        <v>126</v>
      </c>
      <c r="Z2" s="245"/>
      <c r="AA2" s="250" t="s">
        <v>127</v>
      </c>
      <c r="AB2" s="252"/>
      <c r="AC2" s="245" t="s">
        <v>128</v>
      </c>
      <c r="AD2" s="245"/>
      <c r="AE2" s="245" t="s">
        <v>129</v>
      </c>
      <c r="AF2" s="245"/>
      <c r="AG2" s="245" t="s">
        <v>129</v>
      </c>
      <c r="AH2" s="245"/>
      <c r="AI2" s="245" t="s">
        <v>129</v>
      </c>
      <c r="AJ2" s="245"/>
      <c r="AK2" s="245" t="s">
        <v>129</v>
      </c>
      <c r="AL2" s="245"/>
      <c r="AM2" s="245" t="s">
        <v>130</v>
      </c>
      <c r="AN2" s="245"/>
      <c r="AO2" s="245" t="s">
        <v>131</v>
      </c>
      <c r="AP2" s="245"/>
      <c r="AQ2" s="245" t="s">
        <v>132</v>
      </c>
      <c r="AR2" s="245"/>
      <c r="AS2" s="245" t="s">
        <v>132</v>
      </c>
      <c r="AT2" s="245"/>
      <c r="AU2" s="245" t="s">
        <v>133</v>
      </c>
      <c r="AV2" s="245"/>
      <c r="AW2" s="245" t="s">
        <v>134</v>
      </c>
      <c r="AX2" s="245"/>
      <c r="AY2" s="245" t="s">
        <v>135</v>
      </c>
      <c r="AZ2" s="245"/>
      <c r="BA2" s="245" t="s">
        <v>135</v>
      </c>
      <c r="BB2" s="245"/>
      <c r="BC2" s="245" t="s">
        <v>136</v>
      </c>
      <c r="BD2" s="245"/>
      <c r="BE2" s="245" t="s">
        <v>136</v>
      </c>
      <c r="BF2" s="245"/>
      <c r="BH2" s="32"/>
      <c r="BI2" s="32"/>
    </row>
    <row r="3" spans="1:61" s="10" customFormat="1" ht="87.75" customHeight="1">
      <c r="A3" s="194"/>
      <c r="B3" s="194"/>
      <c r="C3" s="238" t="s">
        <v>137</v>
      </c>
      <c r="D3" s="239"/>
      <c r="E3" s="194" t="s">
        <v>64</v>
      </c>
      <c r="F3" s="195" t="s">
        <v>66</v>
      </c>
      <c r="G3" s="242" t="s">
        <v>138</v>
      </c>
      <c r="H3" s="243"/>
      <c r="I3" s="242" t="s">
        <v>138</v>
      </c>
      <c r="J3" s="243"/>
      <c r="K3" s="242" t="s">
        <v>138</v>
      </c>
      <c r="L3" s="243"/>
      <c r="M3" s="240" t="s">
        <v>139</v>
      </c>
      <c r="N3" s="241"/>
      <c r="O3" s="242" t="s">
        <v>138</v>
      </c>
      <c r="P3" s="243"/>
      <c r="Q3" s="242" t="s">
        <v>138</v>
      </c>
      <c r="R3" s="243"/>
      <c r="S3" s="248" t="s">
        <v>138</v>
      </c>
      <c r="T3" s="249"/>
      <c r="U3" s="242" t="s">
        <v>138</v>
      </c>
      <c r="V3" s="243"/>
      <c r="W3" s="242" t="s">
        <v>138</v>
      </c>
      <c r="X3" s="243"/>
      <c r="Y3" s="244" t="s">
        <v>140</v>
      </c>
      <c r="Z3" s="243"/>
      <c r="AA3" s="242" t="s">
        <v>141</v>
      </c>
      <c r="AB3" s="243"/>
      <c r="AC3" s="242" t="s">
        <v>142</v>
      </c>
      <c r="AD3" s="243"/>
      <c r="AE3" s="242" t="s">
        <v>142</v>
      </c>
      <c r="AF3" s="243"/>
      <c r="AG3" s="244" t="s">
        <v>143</v>
      </c>
      <c r="AH3" s="243"/>
      <c r="AI3" s="242" t="s">
        <v>144</v>
      </c>
      <c r="AJ3" s="243"/>
      <c r="AK3" s="244" t="s">
        <v>145</v>
      </c>
      <c r="AL3" s="243"/>
      <c r="AM3" s="242" t="s">
        <v>146</v>
      </c>
      <c r="AN3" s="243"/>
      <c r="AO3" s="242" t="s">
        <v>146</v>
      </c>
      <c r="AP3" s="243"/>
      <c r="AQ3" s="244" t="s">
        <v>147</v>
      </c>
      <c r="AR3" s="243"/>
      <c r="AS3" s="242" t="s">
        <v>148</v>
      </c>
      <c r="AT3" s="243"/>
      <c r="AU3" s="244" t="s">
        <v>149</v>
      </c>
      <c r="AV3" s="243"/>
      <c r="AW3" s="244" t="s">
        <v>149</v>
      </c>
      <c r="AX3" s="243"/>
      <c r="AY3" s="242" t="s">
        <v>144</v>
      </c>
      <c r="AZ3" s="243"/>
      <c r="BA3" s="244" t="s">
        <v>145</v>
      </c>
      <c r="BB3" s="243"/>
      <c r="BC3" s="242" t="s">
        <v>144</v>
      </c>
      <c r="BD3" s="243"/>
      <c r="BE3" s="244" t="s">
        <v>145</v>
      </c>
      <c r="BF3" s="243"/>
      <c r="BH3" s="32"/>
      <c r="BI3" s="32"/>
    </row>
    <row r="4" spans="1:61" s="24" customFormat="1" ht="50.1" customHeight="1">
      <c r="A4" s="194"/>
      <c r="B4" s="48"/>
      <c r="C4" s="211" t="s">
        <v>150</v>
      </c>
      <c r="D4" s="213"/>
      <c r="E4" s="246" t="s">
        <v>151</v>
      </c>
      <c r="F4" s="247"/>
      <c r="G4" s="211" t="s">
        <v>152</v>
      </c>
      <c r="H4" s="213"/>
      <c r="I4" s="211" t="s">
        <v>153</v>
      </c>
      <c r="J4" s="213"/>
      <c r="K4" s="211" t="s">
        <v>154</v>
      </c>
      <c r="L4" s="213"/>
      <c r="M4" s="211">
        <v>7092801222</v>
      </c>
      <c r="N4" s="213"/>
      <c r="O4" s="211" t="s">
        <v>155</v>
      </c>
      <c r="P4" s="212"/>
      <c r="Q4" s="211" t="s">
        <v>156</v>
      </c>
      <c r="R4" s="212"/>
      <c r="S4" s="211" t="s">
        <v>157</v>
      </c>
      <c r="T4" s="212"/>
      <c r="U4" s="211" t="s">
        <v>158</v>
      </c>
      <c r="V4" s="212"/>
      <c r="W4" s="211" t="s">
        <v>159</v>
      </c>
      <c r="X4" s="213"/>
      <c r="Y4" s="211" t="s">
        <v>160</v>
      </c>
      <c r="Z4" s="213"/>
      <c r="AA4" s="211" t="s">
        <v>161</v>
      </c>
      <c r="AB4" s="212"/>
      <c r="AC4" s="211" t="s">
        <v>162</v>
      </c>
      <c r="AD4" s="213"/>
      <c r="AE4" s="211" t="s">
        <v>163</v>
      </c>
      <c r="AF4" s="213"/>
      <c r="AG4" s="211" t="s">
        <v>164</v>
      </c>
      <c r="AH4" s="213"/>
      <c r="AI4" s="211">
        <v>7105826734</v>
      </c>
      <c r="AJ4" s="213"/>
      <c r="AK4" s="211">
        <v>7105825932</v>
      </c>
      <c r="AL4" s="213"/>
      <c r="AM4" s="211" t="s">
        <v>165</v>
      </c>
      <c r="AN4" s="213"/>
      <c r="AO4" s="211" t="s">
        <v>166</v>
      </c>
      <c r="AP4" s="213"/>
      <c r="AQ4" s="211" t="s">
        <v>167</v>
      </c>
      <c r="AR4" s="213"/>
      <c r="AS4" s="211" t="s">
        <v>168</v>
      </c>
      <c r="AT4" s="213"/>
      <c r="AU4" s="211" t="s">
        <v>169</v>
      </c>
      <c r="AV4" s="213"/>
      <c r="AW4" s="211" t="s">
        <v>170</v>
      </c>
      <c r="AX4" s="213"/>
      <c r="AY4" s="211">
        <v>7111912486</v>
      </c>
      <c r="AZ4" s="213"/>
      <c r="BA4" s="211">
        <v>7111911842</v>
      </c>
      <c r="BB4" s="213"/>
      <c r="BC4" s="211">
        <v>7111913281</v>
      </c>
      <c r="BD4" s="213"/>
      <c r="BE4" s="211">
        <v>7111912723</v>
      </c>
      <c r="BF4" s="213"/>
      <c r="BH4" s="208" t="s">
        <v>80</v>
      </c>
      <c r="BI4" s="208"/>
    </row>
    <row r="5" spans="1:61" s="24" customFormat="1" ht="50.1" customHeight="1">
      <c r="A5" s="48" t="s">
        <v>171</v>
      </c>
      <c r="B5" s="48"/>
      <c r="C5" s="211" t="s">
        <v>172</v>
      </c>
      <c r="D5" s="213"/>
      <c r="E5" s="79">
        <v>0.6</v>
      </c>
      <c r="F5" s="30">
        <v>0.4</v>
      </c>
      <c r="G5" s="211" t="s">
        <v>173</v>
      </c>
      <c r="H5" s="213"/>
      <c r="I5" s="211" t="s">
        <v>174</v>
      </c>
      <c r="J5" s="213"/>
      <c r="K5" s="211" t="s">
        <v>175</v>
      </c>
      <c r="L5" s="213"/>
      <c r="M5" s="211" t="s">
        <v>176</v>
      </c>
      <c r="N5" s="213"/>
      <c r="O5" s="211" t="s">
        <v>177</v>
      </c>
      <c r="P5" s="212"/>
      <c r="Q5" s="211" t="s">
        <v>178</v>
      </c>
      <c r="R5" s="212"/>
      <c r="S5" s="211" t="s">
        <v>179</v>
      </c>
      <c r="T5" s="212"/>
      <c r="U5" s="211" t="s">
        <v>180</v>
      </c>
      <c r="V5" s="212"/>
      <c r="W5" s="211" t="s">
        <v>181</v>
      </c>
      <c r="X5" s="213"/>
      <c r="Y5" s="211" t="s">
        <v>182</v>
      </c>
      <c r="Z5" s="213"/>
      <c r="AA5" s="211" t="s">
        <v>183</v>
      </c>
      <c r="AB5" s="212"/>
      <c r="AC5" s="211" t="s">
        <v>184</v>
      </c>
      <c r="AD5" s="213"/>
      <c r="AE5" s="211" t="s">
        <v>185</v>
      </c>
      <c r="AF5" s="213"/>
      <c r="AG5" s="211" t="s">
        <v>186</v>
      </c>
      <c r="AH5" s="213"/>
      <c r="AI5" s="211" t="s">
        <v>187</v>
      </c>
      <c r="AJ5" s="213"/>
      <c r="AK5" s="211" t="s">
        <v>188</v>
      </c>
      <c r="AL5" s="213"/>
      <c r="AM5" s="211" t="s">
        <v>189</v>
      </c>
      <c r="AN5" s="213"/>
      <c r="AO5" s="211" t="s">
        <v>190</v>
      </c>
      <c r="AP5" s="213"/>
      <c r="AQ5" s="211" t="s">
        <v>191</v>
      </c>
      <c r="AR5" s="213"/>
      <c r="AS5" s="211" t="s">
        <v>192</v>
      </c>
      <c r="AT5" s="213"/>
      <c r="AU5" s="211" t="s">
        <v>193</v>
      </c>
      <c r="AV5" s="213"/>
      <c r="AW5" s="211" t="s">
        <v>194</v>
      </c>
      <c r="AX5" s="213"/>
      <c r="AY5" s="211">
        <v>744483</v>
      </c>
      <c r="AZ5" s="213"/>
      <c r="BA5" s="211">
        <v>119314</v>
      </c>
      <c r="BB5" s="213"/>
      <c r="BC5" s="211">
        <v>1053229</v>
      </c>
      <c r="BD5" s="213"/>
      <c r="BE5" s="211">
        <v>1053215</v>
      </c>
      <c r="BF5" s="213"/>
      <c r="BH5" s="208"/>
      <c r="BI5" s="208"/>
    </row>
    <row r="6" spans="1:61" s="8" customFormat="1" ht="30" customHeight="1">
      <c r="A6" s="194" t="s">
        <v>95</v>
      </c>
      <c r="B6" s="49"/>
      <c r="C6" s="217"/>
      <c r="D6" s="218"/>
      <c r="E6" s="80"/>
      <c r="F6" s="196"/>
      <c r="G6" s="194"/>
      <c r="H6" s="49"/>
      <c r="I6" s="217"/>
      <c r="J6" s="218"/>
      <c r="K6" s="217"/>
      <c r="L6" s="218"/>
      <c r="M6" s="217"/>
      <c r="N6" s="218"/>
      <c r="O6" s="217"/>
      <c r="P6" s="222"/>
      <c r="Q6" s="217"/>
      <c r="R6" s="222"/>
      <c r="S6" s="217"/>
      <c r="T6" s="222"/>
      <c r="U6" s="217"/>
      <c r="V6" s="222"/>
      <c r="W6" s="217"/>
      <c r="X6" s="218"/>
      <c r="Y6" s="217"/>
      <c r="Z6" s="218"/>
      <c r="AA6" s="217"/>
      <c r="AB6" s="222"/>
      <c r="AC6" s="217"/>
      <c r="AD6" s="218"/>
      <c r="AE6" s="217"/>
      <c r="AF6" s="218"/>
      <c r="AG6" s="217"/>
      <c r="AH6" s="218"/>
      <c r="AI6" s="217"/>
      <c r="AJ6" s="218"/>
      <c r="AK6" s="217"/>
      <c r="AL6" s="218"/>
      <c r="AM6" s="217"/>
      <c r="AN6" s="218"/>
      <c r="AO6" s="217"/>
      <c r="AP6" s="218"/>
      <c r="AQ6" s="217"/>
      <c r="AR6" s="218"/>
      <c r="AS6" s="217"/>
      <c r="AT6" s="218"/>
      <c r="AU6" s="217"/>
      <c r="AV6" s="218"/>
      <c r="AW6" s="217"/>
      <c r="AX6" s="218"/>
      <c r="AY6" s="217"/>
      <c r="AZ6" s="218"/>
      <c r="BA6" s="217"/>
      <c r="BB6" s="218"/>
      <c r="BC6" s="217"/>
      <c r="BD6" s="218"/>
      <c r="BE6" s="217"/>
      <c r="BF6" s="218"/>
      <c r="BH6" s="32"/>
      <c r="BI6" s="32"/>
    </row>
    <row r="7" spans="1:61" s="10" customFormat="1" ht="50.1" customHeight="1">
      <c r="A7" s="194" t="s">
        <v>98</v>
      </c>
      <c r="B7" s="194"/>
      <c r="C7" s="199" t="s">
        <v>114</v>
      </c>
      <c r="D7" s="199" t="s">
        <v>195</v>
      </c>
      <c r="E7" s="199" t="s">
        <v>195</v>
      </c>
      <c r="F7" s="199" t="s">
        <v>195</v>
      </c>
      <c r="G7" s="199" t="s">
        <v>114</v>
      </c>
      <c r="H7" s="199" t="s">
        <v>195</v>
      </c>
      <c r="I7" s="199" t="s">
        <v>114</v>
      </c>
      <c r="J7" s="199" t="s">
        <v>195</v>
      </c>
      <c r="K7" s="199" t="s">
        <v>114</v>
      </c>
      <c r="L7" s="199" t="s">
        <v>195</v>
      </c>
      <c r="M7" s="199" t="s">
        <v>114</v>
      </c>
      <c r="N7" s="199" t="s">
        <v>195</v>
      </c>
      <c r="O7" s="199" t="s">
        <v>114</v>
      </c>
      <c r="P7" s="199" t="s">
        <v>195</v>
      </c>
      <c r="Q7" s="199" t="s">
        <v>114</v>
      </c>
      <c r="R7" s="199" t="s">
        <v>195</v>
      </c>
      <c r="S7" s="199" t="s">
        <v>114</v>
      </c>
      <c r="T7" s="199" t="s">
        <v>195</v>
      </c>
      <c r="U7" s="199" t="s">
        <v>114</v>
      </c>
      <c r="V7" s="199" t="s">
        <v>195</v>
      </c>
      <c r="W7" s="199" t="s">
        <v>114</v>
      </c>
      <c r="X7" s="199" t="s">
        <v>195</v>
      </c>
      <c r="Y7" s="199" t="s">
        <v>114</v>
      </c>
      <c r="Z7" s="199" t="s">
        <v>195</v>
      </c>
      <c r="AA7" s="199" t="s">
        <v>114</v>
      </c>
      <c r="AB7" s="199" t="s">
        <v>195</v>
      </c>
      <c r="AC7" s="199" t="s">
        <v>114</v>
      </c>
      <c r="AD7" s="199" t="s">
        <v>195</v>
      </c>
      <c r="AE7" s="13" t="s">
        <v>114</v>
      </c>
      <c r="AF7" s="199" t="s">
        <v>195</v>
      </c>
      <c r="AG7" s="13" t="s">
        <v>114</v>
      </c>
      <c r="AH7" s="199" t="s">
        <v>195</v>
      </c>
      <c r="AI7" s="13" t="s">
        <v>114</v>
      </c>
      <c r="AJ7" s="199" t="s">
        <v>195</v>
      </c>
      <c r="AK7" s="13" t="s">
        <v>114</v>
      </c>
      <c r="AL7" s="199" t="s">
        <v>195</v>
      </c>
      <c r="AM7" s="13" t="s">
        <v>114</v>
      </c>
      <c r="AN7" s="199" t="s">
        <v>195</v>
      </c>
      <c r="AO7" s="13" t="s">
        <v>114</v>
      </c>
      <c r="AP7" s="199" t="s">
        <v>195</v>
      </c>
      <c r="AQ7" s="13" t="s">
        <v>114</v>
      </c>
      <c r="AR7" s="199" t="s">
        <v>195</v>
      </c>
      <c r="AS7" s="13" t="s">
        <v>114</v>
      </c>
      <c r="AT7" s="199" t="s">
        <v>195</v>
      </c>
      <c r="AU7" s="13" t="s">
        <v>114</v>
      </c>
      <c r="AV7" s="199" t="s">
        <v>195</v>
      </c>
      <c r="AW7" s="13" t="s">
        <v>114</v>
      </c>
      <c r="AX7" s="199" t="s">
        <v>195</v>
      </c>
      <c r="AY7" s="13" t="s">
        <v>114</v>
      </c>
      <c r="AZ7" s="199" t="s">
        <v>195</v>
      </c>
      <c r="BA7" s="13" t="s">
        <v>114</v>
      </c>
      <c r="BB7" s="199" t="s">
        <v>195</v>
      </c>
      <c r="BC7" s="13" t="s">
        <v>114</v>
      </c>
      <c r="BD7" s="199" t="s">
        <v>195</v>
      </c>
      <c r="BE7" s="13" t="s">
        <v>114</v>
      </c>
      <c r="BF7" s="199" t="s">
        <v>195</v>
      </c>
      <c r="BH7" s="194" t="s">
        <v>64</v>
      </c>
      <c r="BI7" s="194" t="s">
        <v>66</v>
      </c>
    </row>
    <row r="8" spans="1:61" s="35" customFormat="1" ht="39.950000000000003" customHeight="1">
      <c r="A8" s="189">
        <v>44804</v>
      </c>
      <c r="B8" s="34"/>
      <c r="C8" s="77">
        <v>7136950</v>
      </c>
      <c r="D8" s="103"/>
      <c r="E8" s="104"/>
      <c r="F8" s="103"/>
      <c r="G8" s="77">
        <v>299147</v>
      </c>
      <c r="H8" s="103"/>
      <c r="I8" s="77">
        <v>203654</v>
      </c>
      <c r="J8" s="37"/>
      <c r="K8" s="77">
        <v>272434</v>
      </c>
      <c r="L8" s="103"/>
      <c r="M8" s="77">
        <v>25481</v>
      </c>
      <c r="N8" s="37"/>
      <c r="O8" s="77">
        <v>349995</v>
      </c>
      <c r="P8" s="37"/>
      <c r="Q8" s="77">
        <v>485493</v>
      </c>
      <c r="R8" s="103"/>
      <c r="S8" s="77">
        <v>777469</v>
      </c>
      <c r="T8" s="103"/>
      <c r="U8" s="82">
        <v>6785</v>
      </c>
      <c r="V8" s="103"/>
      <c r="W8" s="77">
        <v>86347</v>
      </c>
      <c r="X8" s="103"/>
      <c r="Y8" s="77">
        <v>1523120</v>
      </c>
      <c r="Z8" s="103"/>
      <c r="AA8" s="77">
        <v>13886</v>
      </c>
      <c r="AB8" s="103"/>
      <c r="AC8" s="77">
        <v>514272</v>
      </c>
      <c r="AD8" s="103"/>
      <c r="AE8" s="77">
        <v>584250</v>
      </c>
      <c r="AF8" s="103"/>
      <c r="AG8" s="77">
        <v>49813</v>
      </c>
      <c r="AH8" s="103"/>
      <c r="AI8" s="77">
        <v>455628</v>
      </c>
      <c r="AJ8" s="103"/>
      <c r="AK8" s="77">
        <v>102770</v>
      </c>
      <c r="AL8" s="103"/>
      <c r="AM8" s="77">
        <v>621037</v>
      </c>
      <c r="AN8" s="103"/>
      <c r="AO8" s="77">
        <v>10120</v>
      </c>
      <c r="AP8" s="103"/>
      <c r="AQ8" s="77">
        <v>92545</v>
      </c>
      <c r="AR8" s="103"/>
      <c r="AS8" s="77">
        <v>2462</v>
      </c>
      <c r="AT8" s="103"/>
      <c r="AU8" s="77">
        <v>939</v>
      </c>
      <c r="AV8" s="103"/>
      <c r="AW8" s="77">
        <v>3110</v>
      </c>
      <c r="AX8" s="103"/>
      <c r="AY8" s="77">
        <v>356780</v>
      </c>
      <c r="AZ8" s="103"/>
      <c r="BA8" s="77">
        <v>161101</v>
      </c>
      <c r="BB8" s="103"/>
      <c r="BC8" s="77">
        <v>240422</v>
      </c>
      <c r="BD8" s="103"/>
      <c r="BE8" s="77">
        <v>5350</v>
      </c>
      <c r="BF8" s="103"/>
      <c r="BH8" s="105"/>
      <c r="BI8" s="105"/>
    </row>
    <row r="9" spans="1:61" s="28" customFormat="1" ht="39.950000000000003" customHeight="1">
      <c r="A9" s="189">
        <v>44805</v>
      </c>
      <c r="B9" s="27"/>
      <c r="C9" s="77">
        <v>7139240</v>
      </c>
      <c r="D9" s="37">
        <f>(+C9-+C8)*48</f>
        <v>109920</v>
      </c>
      <c r="E9" s="104">
        <f>D9*0.6</f>
        <v>65952</v>
      </c>
      <c r="F9" s="37">
        <f>D9*0.4</f>
        <v>43968</v>
      </c>
      <c r="G9" s="77">
        <v>299184</v>
      </c>
      <c r="H9" s="37">
        <f>(+G9-+G8)*48</f>
        <v>1776</v>
      </c>
      <c r="I9" s="77">
        <v>203826</v>
      </c>
      <c r="J9" s="37">
        <f>(+I9-+I8)*48</f>
        <v>8256</v>
      </c>
      <c r="K9" s="77">
        <v>272460</v>
      </c>
      <c r="L9" s="37">
        <f>(+K9-+K8)*48</f>
        <v>1248</v>
      </c>
      <c r="M9" s="77">
        <v>25481</v>
      </c>
      <c r="N9" s="37">
        <f>(+M9-+M8)*48</f>
        <v>0</v>
      </c>
      <c r="O9" s="77">
        <v>350203</v>
      </c>
      <c r="P9" s="37">
        <f>(+O9-+O8)*48</f>
        <v>9984</v>
      </c>
      <c r="Q9" s="77">
        <v>485512</v>
      </c>
      <c r="R9" s="37">
        <f>(+Q9-+Q8)*48</f>
        <v>912</v>
      </c>
      <c r="S9" s="77">
        <v>777597</v>
      </c>
      <c r="T9" s="37">
        <f>(+S9-+S8)*48</f>
        <v>6144</v>
      </c>
      <c r="U9" s="82">
        <v>6807</v>
      </c>
      <c r="V9" s="103">
        <f>(+U9-+U8)*48</f>
        <v>1056</v>
      </c>
      <c r="W9" s="77">
        <v>86367</v>
      </c>
      <c r="X9" s="37">
        <f>(+W9-+W8)*48</f>
        <v>960</v>
      </c>
      <c r="Y9" s="77">
        <v>1523120</v>
      </c>
      <c r="Z9" s="37">
        <f>(+Y9-+Y8)*48</f>
        <v>0</v>
      </c>
      <c r="AA9" s="77">
        <v>13886</v>
      </c>
      <c r="AB9" s="37">
        <f>(+AA9-+AA8)*48</f>
        <v>0</v>
      </c>
      <c r="AC9" s="77">
        <v>514396</v>
      </c>
      <c r="AD9" s="37">
        <f t="shared" ref="AD9:AD11" si="0">(+AC9-+AC8)*48</f>
        <v>5952</v>
      </c>
      <c r="AE9" s="77">
        <v>584370</v>
      </c>
      <c r="AF9" s="37">
        <f>(+AE9-+AE8)*48</f>
        <v>5760</v>
      </c>
      <c r="AG9" s="77">
        <v>49813</v>
      </c>
      <c r="AH9" s="37">
        <f>(+AG9-+AG8)*48</f>
        <v>0</v>
      </c>
      <c r="AI9" s="77">
        <v>455733</v>
      </c>
      <c r="AJ9" s="37">
        <f>(+AI9-+AI8)*48</f>
        <v>5040</v>
      </c>
      <c r="AK9" s="77">
        <v>102770</v>
      </c>
      <c r="AL9" s="37">
        <f>(+AK9-+AK8)*48</f>
        <v>0</v>
      </c>
      <c r="AM9" s="77">
        <v>621159</v>
      </c>
      <c r="AN9" s="37">
        <f>(+AM9-+AM8)*48</f>
        <v>5856</v>
      </c>
      <c r="AO9" s="77">
        <v>10300</v>
      </c>
      <c r="AP9" s="37">
        <f>(+AO9-+AO8)*48</f>
        <v>8640</v>
      </c>
      <c r="AQ9" s="77">
        <v>92545</v>
      </c>
      <c r="AR9" s="37">
        <f>(+AQ9-+AQ8)*48</f>
        <v>0</v>
      </c>
      <c r="AS9" s="77">
        <v>2462</v>
      </c>
      <c r="AT9" s="37">
        <f>(+AS9-+AS8)*48</f>
        <v>0</v>
      </c>
      <c r="AU9" s="77">
        <v>939</v>
      </c>
      <c r="AV9" s="37">
        <f>(+AU9-+AU8)*48</f>
        <v>0</v>
      </c>
      <c r="AW9" s="77">
        <v>3110</v>
      </c>
      <c r="AX9" s="37">
        <f>(+AW9-+AW8)*48</f>
        <v>0</v>
      </c>
      <c r="AY9" s="77">
        <v>356867</v>
      </c>
      <c r="AZ9" s="37">
        <f>(+AY9-+AY8)*48</f>
        <v>4176</v>
      </c>
      <c r="BA9" s="77">
        <v>161101</v>
      </c>
      <c r="BB9" s="37">
        <f>(+BA9-+BA8)*48</f>
        <v>0</v>
      </c>
      <c r="BC9" s="77">
        <v>240478</v>
      </c>
      <c r="BD9" s="37">
        <f>(+BC9-+BC8)*48</f>
        <v>2688</v>
      </c>
      <c r="BE9" s="77">
        <v>5350</v>
      </c>
      <c r="BF9" s="37">
        <f>(+BE9-+BE8)*48</f>
        <v>0</v>
      </c>
      <c r="BH9" s="105">
        <f t="shared" ref="BH9:BH38" si="1">SUM(E9,J9,P9,H9,L9,R9,T9,V9,X9,N9,AB9,Z9,AD9,AF9,AH9,AL9,AJ9)</f>
        <v>113040</v>
      </c>
      <c r="BI9" s="105">
        <f t="shared" ref="BI9:BI38" si="2">SUM(F9,AN9,AP9,AT9,AV9,AX9,AR9,AZ9,BB9,BD9,BF9)</f>
        <v>65328</v>
      </c>
    </row>
    <row r="10" spans="1:61" s="28" customFormat="1" ht="39.950000000000003" customHeight="1">
      <c r="A10" s="189">
        <f>SUM(A9+1)</f>
        <v>44806</v>
      </c>
      <c r="B10" s="27"/>
      <c r="C10" s="77">
        <v>7141345</v>
      </c>
      <c r="D10" s="37">
        <f>(+C10-+C9)*48</f>
        <v>101040</v>
      </c>
      <c r="E10" s="104">
        <f t="shared" ref="E10:E38" si="3">D10*0.6</f>
        <v>60624</v>
      </c>
      <c r="F10" s="37">
        <f>D10*0.4</f>
        <v>40416</v>
      </c>
      <c r="G10" s="77">
        <v>299224</v>
      </c>
      <c r="H10" s="37">
        <f>(+G10-+G9)*48</f>
        <v>1920</v>
      </c>
      <c r="I10" s="77">
        <v>203993</v>
      </c>
      <c r="J10" s="37">
        <f>(+I10-+I9)*48</f>
        <v>8016</v>
      </c>
      <c r="K10" s="77">
        <v>272505</v>
      </c>
      <c r="L10" s="37">
        <f>(+K10-+K9)*48</f>
        <v>2160</v>
      </c>
      <c r="M10" s="77">
        <v>25481</v>
      </c>
      <c r="N10" s="37">
        <f>(+M10-+M9)*48</f>
        <v>0</v>
      </c>
      <c r="O10" s="77">
        <v>350401</v>
      </c>
      <c r="P10" s="37">
        <f>(+O10-+O9)*48</f>
        <v>9504</v>
      </c>
      <c r="Q10" s="77">
        <v>485581</v>
      </c>
      <c r="R10" s="37">
        <f>(+Q10-+Q9)*48</f>
        <v>3312</v>
      </c>
      <c r="S10" s="77">
        <v>777725</v>
      </c>
      <c r="T10" s="37">
        <f>(+S10-+S9)*48</f>
        <v>6144</v>
      </c>
      <c r="U10" s="82">
        <v>6820</v>
      </c>
      <c r="V10" s="37">
        <f>(+U10-+U9)*48</f>
        <v>624</v>
      </c>
      <c r="W10" s="77">
        <v>86383</v>
      </c>
      <c r="X10" s="37">
        <f>(+W10-+W9)*48</f>
        <v>768</v>
      </c>
      <c r="Y10" s="77">
        <v>1523120</v>
      </c>
      <c r="Z10" s="37">
        <f>(+Y10-+Y9)*48</f>
        <v>0</v>
      </c>
      <c r="AA10" s="77">
        <v>13886</v>
      </c>
      <c r="AB10" s="37">
        <f>(+AA10-+AA9)*48</f>
        <v>0</v>
      </c>
      <c r="AC10" s="77">
        <v>514520</v>
      </c>
      <c r="AD10" s="37">
        <f t="shared" si="0"/>
        <v>5952</v>
      </c>
      <c r="AE10" s="77">
        <v>584511</v>
      </c>
      <c r="AF10" s="37">
        <f>(+AE10-+AE9)*48</f>
        <v>6768</v>
      </c>
      <c r="AG10" s="77">
        <v>49813</v>
      </c>
      <c r="AH10" s="37">
        <f>(+AG10-+AG9)*48</f>
        <v>0</v>
      </c>
      <c r="AI10" s="77">
        <v>455833</v>
      </c>
      <c r="AJ10" s="37">
        <f>(+AI10-+AI9)*48</f>
        <v>4800</v>
      </c>
      <c r="AK10" s="77">
        <v>102770</v>
      </c>
      <c r="AL10" s="37">
        <f>(+AK10-+AK9)*48</f>
        <v>0</v>
      </c>
      <c r="AM10" s="77">
        <v>621264</v>
      </c>
      <c r="AN10" s="37">
        <f>(+AM10-+AM9)*48</f>
        <v>5040</v>
      </c>
      <c r="AO10" s="77">
        <v>10460</v>
      </c>
      <c r="AP10" s="37">
        <f>(+AO10-+AO9)*48</f>
        <v>7680</v>
      </c>
      <c r="AQ10" s="77">
        <v>92545</v>
      </c>
      <c r="AR10" s="37">
        <f>(+AQ10-+AQ9)*48</f>
        <v>0</v>
      </c>
      <c r="AS10" s="77">
        <v>2462</v>
      </c>
      <c r="AT10" s="37">
        <f>(+AS10-+AS9)*48</f>
        <v>0</v>
      </c>
      <c r="AU10" s="77">
        <v>939</v>
      </c>
      <c r="AV10" s="37">
        <f>(+AU10-+AU9)*48</f>
        <v>0</v>
      </c>
      <c r="AW10" s="77">
        <v>3110</v>
      </c>
      <c r="AX10" s="37">
        <f>(+AW10-+AW9)*48</f>
        <v>0</v>
      </c>
      <c r="AY10" s="77">
        <v>356945</v>
      </c>
      <c r="AZ10" s="37">
        <f>(+AY10-+AY9)*48</f>
        <v>3744</v>
      </c>
      <c r="BA10" s="77">
        <v>161101</v>
      </c>
      <c r="BB10" s="37">
        <f>(+BA10-+BA9)*48</f>
        <v>0</v>
      </c>
      <c r="BC10" s="77">
        <v>240524</v>
      </c>
      <c r="BD10" s="37">
        <f>(+BC10-+BC9)*48</f>
        <v>2208</v>
      </c>
      <c r="BE10" s="77">
        <v>5350</v>
      </c>
      <c r="BF10" s="37">
        <f>(+BE10-+BE9)*48</f>
        <v>0</v>
      </c>
      <c r="BH10" s="105">
        <f t="shared" ref="BH10" si="4">SUM(E10,J10,P10,H10,L10,R10,T10,V10,X10,N10,AB10,Z10,AD10,AF10,AH10,AL10,AJ10)</f>
        <v>110592</v>
      </c>
      <c r="BI10" s="105">
        <f t="shared" ref="BI10" si="5">SUM(F10,AN10,AP10,AT10,AV10,AX10,AR10,AZ10,BB10,BD10,BF10)</f>
        <v>59088</v>
      </c>
    </row>
    <row r="11" spans="1:61" s="35" customFormat="1" ht="39.950000000000003" customHeight="1">
      <c r="A11" s="189">
        <f t="shared" ref="A11:A38" si="6">SUM(A10+1)</f>
        <v>44807</v>
      </c>
      <c r="B11" s="34"/>
      <c r="C11" s="77">
        <v>7143835</v>
      </c>
      <c r="D11" s="37">
        <f>(+C11-+C10)*48</f>
        <v>119520</v>
      </c>
      <c r="E11" s="104">
        <f t="shared" si="3"/>
        <v>71712</v>
      </c>
      <c r="F11" s="103">
        <f t="shared" ref="F11:F38" si="7">D11*0.4</f>
        <v>47808</v>
      </c>
      <c r="G11" s="77">
        <v>299275</v>
      </c>
      <c r="H11" s="37">
        <f>(+G11-+G10)*48</f>
        <v>2448</v>
      </c>
      <c r="I11" s="77">
        <v>204170</v>
      </c>
      <c r="J11" s="37">
        <f>(+I11-+I10)*48</f>
        <v>8496</v>
      </c>
      <c r="K11" s="77">
        <v>272568</v>
      </c>
      <c r="L11" s="37">
        <f>(+K11-+K10)*48</f>
        <v>3024</v>
      </c>
      <c r="M11" s="77">
        <v>25486</v>
      </c>
      <c r="N11" s="37">
        <f>(+M11-+M10)*48</f>
        <v>240</v>
      </c>
      <c r="O11" s="77">
        <v>350600</v>
      </c>
      <c r="P11" s="37">
        <f>(+O11-+O10)*48</f>
        <v>9552</v>
      </c>
      <c r="Q11" s="77">
        <v>485652</v>
      </c>
      <c r="R11" s="37">
        <f>(+Q11-+Q10)*48</f>
        <v>3408</v>
      </c>
      <c r="S11" s="77">
        <v>777860</v>
      </c>
      <c r="T11" s="37">
        <f>(+S11-+S10)*48</f>
        <v>6480</v>
      </c>
      <c r="U11" s="77">
        <v>6839</v>
      </c>
      <c r="V11" s="37">
        <f>(+U11-+U10)*48</f>
        <v>912</v>
      </c>
      <c r="W11" s="77">
        <v>86402</v>
      </c>
      <c r="X11" s="37">
        <f>(+W11-+W10)*48</f>
        <v>912</v>
      </c>
      <c r="Y11" s="77">
        <v>1523120</v>
      </c>
      <c r="Z11" s="37">
        <f>(+Y11-+Y9)*48</f>
        <v>0</v>
      </c>
      <c r="AA11" s="77">
        <v>13886</v>
      </c>
      <c r="AB11" s="37">
        <f>(+AA11-+AA9)*48</f>
        <v>0</v>
      </c>
      <c r="AC11" s="77">
        <v>514642</v>
      </c>
      <c r="AD11" s="37">
        <f t="shared" si="0"/>
        <v>5856</v>
      </c>
      <c r="AE11" s="77">
        <v>584653</v>
      </c>
      <c r="AF11" s="37">
        <f>(+AE11-+AE10)*48</f>
        <v>6816</v>
      </c>
      <c r="AG11" s="77">
        <v>49813</v>
      </c>
      <c r="AH11" s="37">
        <f>(+AG11-+AG9)*48</f>
        <v>0</v>
      </c>
      <c r="AI11" s="77">
        <v>455942</v>
      </c>
      <c r="AJ11" s="37">
        <f>(+AI11-+AI10)*48</f>
        <v>5232</v>
      </c>
      <c r="AK11" s="77">
        <v>102770</v>
      </c>
      <c r="AL11" s="37">
        <f>(+AK11-+AK9)*48</f>
        <v>0</v>
      </c>
      <c r="AM11" s="77">
        <v>621379</v>
      </c>
      <c r="AN11" s="37">
        <f>(+AM11-+AM10)*48</f>
        <v>5520</v>
      </c>
      <c r="AO11" s="77">
        <v>10634</v>
      </c>
      <c r="AP11" s="37">
        <f>(+AO11-+AO10)*48</f>
        <v>8352</v>
      </c>
      <c r="AQ11" s="77">
        <v>92545</v>
      </c>
      <c r="AR11" s="37">
        <f>(+AQ16-+AQ9)*48</f>
        <v>0</v>
      </c>
      <c r="AS11" s="77">
        <v>2462</v>
      </c>
      <c r="AT11" s="37">
        <f>(+AS11-+AS9)*48</f>
        <v>0</v>
      </c>
      <c r="AU11" s="77">
        <v>939</v>
      </c>
      <c r="AV11" s="37">
        <f>(+AU11-+AU9)*48</f>
        <v>0</v>
      </c>
      <c r="AW11" s="77">
        <v>3110</v>
      </c>
      <c r="AX11" s="37">
        <f>(+AW11-+AW9)*48</f>
        <v>0</v>
      </c>
      <c r="AY11" s="77">
        <v>357028</v>
      </c>
      <c r="AZ11" s="37">
        <f>(+AY11-+AY9)*48</f>
        <v>7728</v>
      </c>
      <c r="BA11" s="77">
        <v>161101</v>
      </c>
      <c r="BB11" s="37">
        <f>(+BA11-+BA9)*48</f>
        <v>0</v>
      </c>
      <c r="BC11" s="77">
        <v>240574</v>
      </c>
      <c r="BD11" s="37">
        <f>(+BC11-+BC9)*48</f>
        <v>4608</v>
      </c>
      <c r="BE11" s="77">
        <v>5350</v>
      </c>
      <c r="BF11" s="37">
        <f>(+BE11-+BE9)*48</f>
        <v>0</v>
      </c>
      <c r="BH11" s="105">
        <f t="shared" si="1"/>
        <v>125088</v>
      </c>
      <c r="BI11" s="105">
        <f t="shared" si="2"/>
        <v>74016</v>
      </c>
    </row>
    <row r="12" spans="1:61" s="35" customFormat="1" ht="39.950000000000003" customHeight="1">
      <c r="A12" s="189">
        <f t="shared" si="6"/>
        <v>44808</v>
      </c>
      <c r="B12" s="34"/>
      <c r="C12" s="77">
        <v>7146026</v>
      </c>
      <c r="D12" s="37">
        <f t="shared" ref="D12:D38" si="8">(+C12-+C11)*48</f>
        <v>105168</v>
      </c>
      <c r="E12" s="104">
        <f t="shared" si="3"/>
        <v>63100.799999999996</v>
      </c>
      <c r="F12" s="103">
        <f t="shared" si="7"/>
        <v>42067.200000000004</v>
      </c>
      <c r="G12" s="77">
        <v>299329</v>
      </c>
      <c r="H12" s="37">
        <f t="shared" ref="H12:N38" si="9">(+G12-+G11)*48</f>
        <v>2592</v>
      </c>
      <c r="I12" s="77">
        <v>204341</v>
      </c>
      <c r="J12" s="37">
        <f t="shared" si="9"/>
        <v>8208</v>
      </c>
      <c r="K12" s="77">
        <v>272647</v>
      </c>
      <c r="L12" s="37">
        <f t="shared" si="9"/>
        <v>3792</v>
      </c>
      <c r="M12" s="77">
        <v>25502</v>
      </c>
      <c r="N12" s="37">
        <f t="shared" si="9"/>
        <v>768</v>
      </c>
      <c r="O12" s="77">
        <v>350824</v>
      </c>
      <c r="P12" s="37">
        <f t="shared" ref="P12:P38" si="10">(+O12-+O11)*48</f>
        <v>10752</v>
      </c>
      <c r="Q12" s="77">
        <v>485734</v>
      </c>
      <c r="R12" s="37">
        <f t="shared" ref="R12:R38" si="11">(+Q12-+Q11)*48</f>
        <v>3936</v>
      </c>
      <c r="S12" s="77">
        <v>777994</v>
      </c>
      <c r="T12" s="37">
        <f t="shared" ref="T12:T38" si="12">(+S12-+S11)*48</f>
        <v>6432</v>
      </c>
      <c r="U12" s="193">
        <v>6857</v>
      </c>
      <c r="V12" s="103">
        <f t="shared" ref="V12:V14" si="13">(+U12-+U11)*48</f>
        <v>864</v>
      </c>
      <c r="W12" s="77">
        <v>86421</v>
      </c>
      <c r="X12" s="37">
        <f t="shared" ref="X12:X38" si="14">(+W12-+W11)*48</f>
        <v>912</v>
      </c>
      <c r="Y12" s="77">
        <v>1523120</v>
      </c>
      <c r="Z12" s="37">
        <f t="shared" ref="Z12:Z35" si="15">(+Y12-+Y11)*48</f>
        <v>0</v>
      </c>
      <c r="AA12" s="77">
        <v>13886</v>
      </c>
      <c r="AB12" s="37">
        <f t="shared" ref="AB12:AB38" si="16">(+AA12-+AA11)*48</f>
        <v>0</v>
      </c>
      <c r="AC12" s="77">
        <v>514762</v>
      </c>
      <c r="AD12" s="37">
        <f t="shared" ref="AD12:AF37" si="17">(+AC12-+AC11)*48</f>
        <v>5760</v>
      </c>
      <c r="AE12" s="77">
        <v>584791</v>
      </c>
      <c r="AF12" s="37">
        <f t="shared" si="17"/>
        <v>6624</v>
      </c>
      <c r="AG12" s="77">
        <v>49813</v>
      </c>
      <c r="AH12" s="37">
        <f t="shared" ref="AH12:AH37" si="18">(+AG12-+AG11)*48</f>
        <v>0</v>
      </c>
      <c r="AI12" s="77">
        <v>456057</v>
      </c>
      <c r="AJ12" s="37">
        <f t="shared" ref="AJ12:AJ38" si="19">(+AI12-+AI11)*48</f>
        <v>5520</v>
      </c>
      <c r="AK12" s="77">
        <v>102770</v>
      </c>
      <c r="AL12" s="37">
        <f t="shared" ref="AL12:AL38" si="20">(+AK12-+AK11)*48</f>
        <v>0</v>
      </c>
      <c r="AM12" s="77">
        <v>621471</v>
      </c>
      <c r="AN12" s="37">
        <f t="shared" ref="AN12:AN38" si="21">(+AM12-+AM11)*48</f>
        <v>4416</v>
      </c>
      <c r="AO12" s="77">
        <v>10801</v>
      </c>
      <c r="AP12" s="37">
        <f t="shared" ref="AP12:AP38" si="22">(+AO12-+AO11)*48</f>
        <v>8016</v>
      </c>
      <c r="AQ12" s="77">
        <v>92545</v>
      </c>
      <c r="AR12" s="37">
        <f>(+AQ12-+AQ16)*48</f>
        <v>0</v>
      </c>
      <c r="AS12" s="77">
        <v>2462</v>
      </c>
      <c r="AT12" s="37">
        <f t="shared" ref="AT12:AT34" si="23">(+AS12-+AS11)*48</f>
        <v>0</v>
      </c>
      <c r="AU12" s="77">
        <v>939</v>
      </c>
      <c r="AV12" s="37">
        <f t="shared" ref="AV12:AV38" si="24">(+AU12-+AU11)*48</f>
        <v>0</v>
      </c>
      <c r="AW12" s="77">
        <v>3110</v>
      </c>
      <c r="AX12" s="37">
        <f t="shared" ref="AX12:AX33" si="25">(+AW12-+AW11)*48</f>
        <v>0</v>
      </c>
      <c r="AY12" s="77">
        <v>357112</v>
      </c>
      <c r="AZ12" s="37">
        <f t="shared" ref="AZ12:AZ26" si="26">(+AY12-+AY11)*48</f>
        <v>4032</v>
      </c>
      <c r="BA12" s="77">
        <v>161101</v>
      </c>
      <c r="BB12" s="37">
        <f>(+BA12-+BA11)*48</f>
        <v>0</v>
      </c>
      <c r="BC12" s="77">
        <v>240625</v>
      </c>
      <c r="BD12" s="37">
        <f t="shared" ref="BD12:BD38" si="27">(+BC12-+BC11)*48</f>
        <v>2448</v>
      </c>
      <c r="BE12" s="77">
        <v>5350</v>
      </c>
      <c r="BF12" s="37">
        <f t="shared" ref="BF12:BF38" si="28">(+BE12-+BE11)*48</f>
        <v>0</v>
      </c>
      <c r="BH12" s="105">
        <f t="shared" si="1"/>
        <v>119260.79999999999</v>
      </c>
      <c r="BI12" s="105">
        <f t="shared" si="2"/>
        <v>60979.200000000004</v>
      </c>
    </row>
    <row r="13" spans="1:61" s="35" customFormat="1" ht="39.950000000000003" customHeight="1">
      <c r="A13" s="189">
        <f t="shared" si="6"/>
        <v>44809</v>
      </c>
      <c r="B13" s="34"/>
      <c r="C13" s="77">
        <v>7148408</v>
      </c>
      <c r="D13" s="37">
        <f t="shared" si="8"/>
        <v>114336</v>
      </c>
      <c r="E13" s="104">
        <f t="shared" si="3"/>
        <v>68601.599999999991</v>
      </c>
      <c r="F13" s="103">
        <f t="shared" si="7"/>
        <v>45734.400000000001</v>
      </c>
      <c r="G13" s="77">
        <v>299367</v>
      </c>
      <c r="H13" s="37">
        <f t="shared" si="9"/>
        <v>1824</v>
      </c>
      <c r="I13" s="77">
        <v>204511</v>
      </c>
      <c r="J13" s="37">
        <f t="shared" si="9"/>
        <v>8160</v>
      </c>
      <c r="K13" s="77">
        <v>272670</v>
      </c>
      <c r="L13" s="37">
        <f t="shared" si="9"/>
        <v>1104</v>
      </c>
      <c r="M13" s="77">
        <v>25503</v>
      </c>
      <c r="N13" s="37">
        <f t="shared" si="9"/>
        <v>48</v>
      </c>
      <c r="O13" s="77">
        <v>351027</v>
      </c>
      <c r="P13" s="37">
        <f t="shared" si="10"/>
        <v>9744</v>
      </c>
      <c r="Q13" s="77">
        <v>485785</v>
      </c>
      <c r="R13" s="37">
        <f t="shared" si="11"/>
        <v>2448</v>
      </c>
      <c r="S13" s="77">
        <v>778122</v>
      </c>
      <c r="T13" s="37">
        <f t="shared" si="12"/>
        <v>6144</v>
      </c>
      <c r="U13" s="193">
        <v>6877</v>
      </c>
      <c r="V13" s="103">
        <f t="shared" si="13"/>
        <v>960</v>
      </c>
      <c r="W13" s="77">
        <v>86441</v>
      </c>
      <c r="X13" s="37">
        <f t="shared" si="14"/>
        <v>960</v>
      </c>
      <c r="Y13" s="77">
        <v>1523120</v>
      </c>
      <c r="Z13" s="37">
        <f t="shared" si="15"/>
        <v>0</v>
      </c>
      <c r="AA13" s="77">
        <v>13886</v>
      </c>
      <c r="AB13" s="37">
        <f t="shared" si="16"/>
        <v>0</v>
      </c>
      <c r="AC13" s="77">
        <v>514878</v>
      </c>
      <c r="AD13" s="37">
        <f t="shared" si="17"/>
        <v>5568</v>
      </c>
      <c r="AE13" s="77">
        <v>584927</v>
      </c>
      <c r="AF13" s="37">
        <f t="shared" si="17"/>
        <v>6528</v>
      </c>
      <c r="AG13" s="77">
        <v>49813</v>
      </c>
      <c r="AH13" s="37">
        <f t="shared" si="18"/>
        <v>0</v>
      </c>
      <c r="AI13" s="77">
        <v>456170</v>
      </c>
      <c r="AJ13" s="37">
        <f t="shared" si="19"/>
        <v>5424</v>
      </c>
      <c r="AK13" s="77">
        <v>102770</v>
      </c>
      <c r="AL13" s="37">
        <f t="shared" si="20"/>
        <v>0</v>
      </c>
      <c r="AM13" s="77">
        <v>621572</v>
      </c>
      <c r="AN13" s="37">
        <f t="shared" si="21"/>
        <v>4848</v>
      </c>
      <c r="AO13" s="77">
        <v>10970</v>
      </c>
      <c r="AP13" s="37">
        <f t="shared" si="22"/>
        <v>8112</v>
      </c>
      <c r="AQ13" s="77">
        <v>92545</v>
      </c>
      <c r="AR13" s="37">
        <f t="shared" ref="AR13:AR38" si="29">(+AQ13-+AQ12)*48</f>
        <v>0</v>
      </c>
      <c r="AS13" s="77">
        <v>2462</v>
      </c>
      <c r="AT13" s="37">
        <f t="shared" si="23"/>
        <v>0</v>
      </c>
      <c r="AU13" s="77">
        <v>939</v>
      </c>
      <c r="AV13" s="37">
        <f t="shared" si="24"/>
        <v>0</v>
      </c>
      <c r="AW13" s="77">
        <v>3110</v>
      </c>
      <c r="AX13" s="37">
        <f t="shared" si="25"/>
        <v>0</v>
      </c>
      <c r="AY13" s="77">
        <v>357192</v>
      </c>
      <c r="AZ13" s="37">
        <f t="shared" si="26"/>
        <v>3840</v>
      </c>
      <c r="BA13" s="77">
        <v>161101</v>
      </c>
      <c r="BB13" s="37">
        <f t="shared" ref="BB13:BB22" si="30">(+BA13-+BA12)*48</f>
        <v>0</v>
      </c>
      <c r="BC13" s="77">
        <v>240674</v>
      </c>
      <c r="BD13" s="37">
        <f t="shared" si="27"/>
        <v>2352</v>
      </c>
      <c r="BE13" s="77">
        <v>5350</v>
      </c>
      <c r="BF13" s="37">
        <f t="shared" si="28"/>
        <v>0</v>
      </c>
      <c r="BH13" s="105">
        <f t="shared" si="1"/>
        <v>117513.59999999999</v>
      </c>
      <c r="BI13" s="105">
        <f t="shared" si="2"/>
        <v>64886.400000000001</v>
      </c>
    </row>
    <row r="14" spans="1:61" s="35" customFormat="1" ht="39.950000000000003" customHeight="1">
      <c r="A14" s="189">
        <f t="shared" si="6"/>
        <v>44810</v>
      </c>
      <c r="B14" s="34"/>
      <c r="C14" s="77">
        <v>7150723</v>
      </c>
      <c r="D14" s="37">
        <f t="shared" si="8"/>
        <v>111120</v>
      </c>
      <c r="E14" s="104">
        <f t="shared" si="3"/>
        <v>66672</v>
      </c>
      <c r="F14" s="103">
        <f t="shared" si="7"/>
        <v>44448</v>
      </c>
      <c r="G14" s="77">
        <v>299401</v>
      </c>
      <c r="H14" s="37">
        <f t="shared" si="9"/>
        <v>1632</v>
      </c>
      <c r="I14" s="77">
        <v>204678</v>
      </c>
      <c r="J14" s="37">
        <f t="shared" si="9"/>
        <v>8016</v>
      </c>
      <c r="K14" s="77">
        <v>272701</v>
      </c>
      <c r="L14" s="37">
        <f t="shared" si="9"/>
        <v>1488</v>
      </c>
      <c r="M14" s="77">
        <v>25510</v>
      </c>
      <c r="N14" s="37">
        <f t="shared" si="9"/>
        <v>336</v>
      </c>
      <c r="O14" s="77">
        <v>351227</v>
      </c>
      <c r="P14" s="37">
        <f t="shared" si="10"/>
        <v>9600</v>
      </c>
      <c r="Q14" s="77">
        <v>485865</v>
      </c>
      <c r="R14" s="37">
        <f t="shared" si="11"/>
        <v>3840</v>
      </c>
      <c r="S14" s="77">
        <v>778256</v>
      </c>
      <c r="T14" s="37">
        <f t="shared" si="12"/>
        <v>6432</v>
      </c>
      <c r="U14" s="193">
        <v>6896</v>
      </c>
      <c r="V14" s="103">
        <f t="shared" si="13"/>
        <v>912</v>
      </c>
      <c r="W14" s="77">
        <v>86441</v>
      </c>
      <c r="X14" s="37">
        <f t="shared" si="14"/>
        <v>0</v>
      </c>
      <c r="Y14" s="77">
        <v>1523120</v>
      </c>
      <c r="Z14" s="37">
        <f>(+Y14-+Y13)*48</f>
        <v>0</v>
      </c>
      <c r="AA14" s="77">
        <v>13886</v>
      </c>
      <c r="AB14" s="37">
        <f>(+AA14-+AA13)*48</f>
        <v>0</v>
      </c>
      <c r="AC14" s="77">
        <v>514991</v>
      </c>
      <c r="AD14" s="37">
        <f t="shared" si="17"/>
        <v>5424</v>
      </c>
      <c r="AE14" s="77">
        <v>585061</v>
      </c>
      <c r="AF14" s="37">
        <f t="shared" si="17"/>
        <v>6432</v>
      </c>
      <c r="AG14" s="77">
        <v>49813</v>
      </c>
      <c r="AH14" s="37">
        <f t="shared" si="18"/>
        <v>0</v>
      </c>
      <c r="AI14" s="77">
        <v>456260</v>
      </c>
      <c r="AJ14" s="37">
        <f t="shared" si="19"/>
        <v>4320</v>
      </c>
      <c r="AK14" s="77">
        <v>102770</v>
      </c>
      <c r="AL14" s="37">
        <f t="shared" si="20"/>
        <v>0</v>
      </c>
      <c r="AM14" s="77">
        <v>621662</v>
      </c>
      <c r="AN14" s="37">
        <f t="shared" si="21"/>
        <v>4320</v>
      </c>
      <c r="AO14" s="77">
        <v>11129</v>
      </c>
      <c r="AP14" s="37">
        <f t="shared" si="22"/>
        <v>7632</v>
      </c>
      <c r="AQ14" s="77">
        <v>92545</v>
      </c>
      <c r="AR14" s="37">
        <f t="shared" si="29"/>
        <v>0</v>
      </c>
      <c r="AS14" s="77">
        <v>2462</v>
      </c>
      <c r="AT14" s="37">
        <f t="shared" si="23"/>
        <v>0</v>
      </c>
      <c r="AU14" s="77">
        <v>939</v>
      </c>
      <c r="AV14" s="37">
        <f>(+AU14-+AU13)*48</f>
        <v>0</v>
      </c>
      <c r="AW14" s="77">
        <v>3110</v>
      </c>
      <c r="AX14" s="37">
        <f t="shared" si="25"/>
        <v>0</v>
      </c>
      <c r="AY14" s="77">
        <v>357273</v>
      </c>
      <c r="AZ14" s="37">
        <f t="shared" si="26"/>
        <v>3888</v>
      </c>
      <c r="BA14" s="77">
        <v>161101</v>
      </c>
      <c r="BB14" s="37">
        <f t="shared" si="30"/>
        <v>0</v>
      </c>
      <c r="BC14" s="77">
        <v>240722</v>
      </c>
      <c r="BD14" s="37">
        <f t="shared" si="27"/>
        <v>2304</v>
      </c>
      <c r="BE14" s="77">
        <v>5350</v>
      </c>
      <c r="BF14" s="37">
        <f t="shared" si="28"/>
        <v>0</v>
      </c>
      <c r="BH14" s="105">
        <f>SUM(E14,J14,P14,H14,L14,R14,T14,V14,X14,N14,AB14,Z14,AD14,AF14,AH14,AL14,AJ14)</f>
        <v>115104</v>
      </c>
      <c r="BI14" s="105">
        <f t="shared" si="2"/>
        <v>62592</v>
      </c>
    </row>
    <row r="15" spans="1:61" s="35" customFormat="1" ht="39.950000000000003" customHeight="1">
      <c r="A15" s="189">
        <f t="shared" si="6"/>
        <v>44811</v>
      </c>
      <c r="B15" s="34"/>
      <c r="C15" s="77">
        <v>7152976</v>
      </c>
      <c r="D15" s="37">
        <f t="shared" si="8"/>
        <v>108144</v>
      </c>
      <c r="E15" s="104">
        <f t="shared" si="3"/>
        <v>64886.399999999994</v>
      </c>
      <c r="F15" s="103">
        <f t="shared" si="7"/>
        <v>43257.600000000006</v>
      </c>
      <c r="G15" s="77">
        <v>299437</v>
      </c>
      <c r="H15" s="37">
        <f t="shared" si="9"/>
        <v>1728</v>
      </c>
      <c r="I15" s="77">
        <v>204845</v>
      </c>
      <c r="J15" s="37">
        <f t="shared" si="9"/>
        <v>8016</v>
      </c>
      <c r="K15" s="77">
        <v>272717</v>
      </c>
      <c r="L15" s="37">
        <f t="shared" si="9"/>
        <v>768</v>
      </c>
      <c r="M15" s="77">
        <v>25511</v>
      </c>
      <c r="N15" s="37">
        <f t="shared" si="9"/>
        <v>48</v>
      </c>
      <c r="O15" s="77">
        <v>351432</v>
      </c>
      <c r="P15" s="37">
        <f t="shared" si="10"/>
        <v>9840</v>
      </c>
      <c r="Q15" s="77">
        <v>485939</v>
      </c>
      <c r="R15" s="37">
        <f t="shared" si="11"/>
        <v>3552</v>
      </c>
      <c r="S15" s="77">
        <v>778384</v>
      </c>
      <c r="T15" s="37">
        <f t="shared" si="12"/>
        <v>6144</v>
      </c>
      <c r="U15" s="193">
        <v>6917</v>
      </c>
      <c r="V15" s="103">
        <f>(+U15-+U14)*48</f>
        <v>1008</v>
      </c>
      <c r="W15" s="77">
        <v>86457</v>
      </c>
      <c r="X15" s="37">
        <f t="shared" si="14"/>
        <v>768</v>
      </c>
      <c r="Y15" s="77">
        <v>1523120</v>
      </c>
      <c r="Z15" s="37">
        <f>(+Y15-+Y14)*48</f>
        <v>0</v>
      </c>
      <c r="AA15" s="77">
        <v>13886</v>
      </c>
      <c r="AB15" s="37">
        <f>(+AA15-+AA14)*48</f>
        <v>0</v>
      </c>
      <c r="AC15" s="77">
        <v>515109</v>
      </c>
      <c r="AD15" s="37">
        <f t="shared" si="17"/>
        <v>5664</v>
      </c>
      <c r="AE15" s="77">
        <v>585198</v>
      </c>
      <c r="AF15" s="37">
        <f t="shared" si="17"/>
        <v>6576</v>
      </c>
      <c r="AG15" s="77">
        <v>49813</v>
      </c>
      <c r="AH15" s="37">
        <f t="shared" si="18"/>
        <v>0</v>
      </c>
      <c r="AI15" s="77">
        <v>456350</v>
      </c>
      <c r="AJ15" s="37">
        <f t="shared" si="19"/>
        <v>4320</v>
      </c>
      <c r="AK15" s="77">
        <v>102770</v>
      </c>
      <c r="AL15" s="37">
        <f t="shared" si="20"/>
        <v>0</v>
      </c>
      <c r="AM15" s="77">
        <v>621761</v>
      </c>
      <c r="AN15" s="37">
        <f t="shared" si="21"/>
        <v>4752</v>
      </c>
      <c r="AO15" s="77">
        <v>11298</v>
      </c>
      <c r="AP15" s="37">
        <f t="shared" si="22"/>
        <v>8112</v>
      </c>
      <c r="AQ15" s="77">
        <v>92545</v>
      </c>
      <c r="AR15" s="37">
        <f t="shared" si="29"/>
        <v>0</v>
      </c>
      <c r="AS15" s="77">
        <v>2462</v>
      </c>
      <c r="AT15" s="37">
        <f>(+AS15-+AS14)*48</f>
        <v>0</v>
      </c>
      <c r="AU15" s="77">
        <v>939</v>
      </c>
      <c r="AV15" s="37">
        <f>(+AU15-+AU14)*48</f>
        <v>0</v>
      </c>
      <c r="AW15" s="77">
        <v>3110</v>
      </c>
      <c r="AX15" s="37">
        <f t="shared" si="25"/>
        <v>0</v>
      </c>
      <c r="AY15" s="77">
        <v>357355</v>
      </c>
      <c r="AZ15" s="37">
        <f t="shared" si="26"/>
        <v>3936</v>
      </c>
      <c r="BA15" s="77">
        <v>161101</v>
      </c>
      <c r="BB15" s="37">
        <f t="shared" si="30"/>
        <v>0</v>
      </c>
      <c r="BC15" s="77">
        <v>240768</v>
      </c>
      <c r="BD15" s="37">
        <f t="shared" si="27"/>
        <v>2208</v>
      </c>
      <c r="BE15" s="77">
        <v>5350</v>
      </c>
      <c r="BF15" s="37">
        <f t="shared" si="28"/>
        <v>0</v>
      </c>
      <c r="BH15" s="105">
        <f t="shared" si="1"/>
        <v>113318.39999999999</v>
      </c>
      <c r="BI15" s="105">
        <f t="shared" si="2"/>
        <v>62265.600000000006</v>
      </c>
    </row>
    <row r="16" spans="1:61" s="35" customFormat="1" ht="39.950000000000003" customHeight="1">
      <c r="A16" s="189">
        <f t="shared" si="6"/>
        <v>44812</v>
      </c>
      <c r="B16" s="34"/>
      <c r="C16" s="77">
        <v>7155328</v>
      </c>
      <c r="D16" s="37">
        <f t="shared" si="8"/>
        <v>112896</v>
      </c>
      <c r="E16" s="104">
        <f t="shared" si="3"/>
        <v>67737.599999999991</v>
      </c>
      <c r="F16" s="103">
        <f t="shared" si="7"/>
        <v>45158.400000000001</v>
      </c>
      <c r="G16" s="77">
        <v>299476</v>
      </c>
      <c r="H16" s="37">
        <f t="shared" si="9"/>
        <v>1872</v>
      </c>
      <c r="I16" s="77">
        <v>205012</v>
      </c>
      <c r="J16" s="37">
        <f t="shared" si="9"/>
        <v>8016</v>
      </c>
      <c r="K16" s="77">
        <v>272732</v>
      </c>
      <c r="L16" s="37">
        <f t="shared" si="9"/>
        <v>720</v>
      </c>
      <c r="M16" s="77">
        <v>25511</v>
      </c>
      <c r="N16" s="37">
        <f t="shared" si="9"/>
        <v>0</v>
      </c>
      <c r="O16" s="77">
        <v>351622</v>
      </c>
      <c r="P16" s="37">
        <f t="shared" si="10"/>
        <v>9120</v>
      </c>
      <c r="Q16" s="77">
        <v>485990</v>
      </c>
      <c r="R16" s="37">
        <f t="shared" si="11"/>
        <v>2448</v>
      </c>
      <c r="S16" s="77">
        <v>778516</v>
      </c>
      <c r="T16" s="37">
        <f t="shared" si="12"/>
        <v>6336</v>
      </c>
      <c r="U16" s="193">
        <v>6938</v>
      </c>
      <c r="V16" s="103">
        <f t="shared" ref="V16:V38" si="31">(+U16-+U15)*48</f>
        <v>1008</v>
      </c>
      <c r="W16" s="77">
        <v>86476</v>
      </c>
      <c r="X16" s="37">
        <f t="shared" si="14"/>
        <v>912</v>
      </c>
      <c r="Y16" s="77">
        <v>1523120</v>
      </c>
      <c r="Z16" s="37">
        <f>(+Y16-+Y15)*48</f>
        <v>0</v>
      </c>
      <c r="AA16" s="77">
        <v>13886</v>
      </c>
      <c r="AB16" s="37">
        <f>(+AA16-+AA15)*48</f>
        <v>0</v>
      </c>
      <c r="AC16" s="82">
        <v>515237</v>
      </c>
      <c r="AD16" s="37">
        <f t="shared" si="17"/>
        <v>6144</v>
      </c>
      <c r="AE16" s="77">
        <v>585349</v>
      </c>
      <c r="AF16" s="37">
        <f t="shared" si="17"/>
        <v>7248</v>
      </c>
      <c r="AG16" s="77">
        <v>49813</v>
      </c>
      <c r="AH16" s="37">
        <f t="shared" si="18"/>
        <v>0</v>
      </c>
      <c r="AI16" s="77">
        <v>456448</v>
      </c>
      <c r="AJ16" s="37">
        <f t="shared" si="19"/>
        <v>4704</v>
      </c>
      <c r="AK16" s="77">
        <v>102770</v>
      </c>
      <c r="AL16" s="37">
        <f t="shared" si="20"/>
        <v>0</v>
      </c>
      <c r="AM16" s="77">
        <v>621879</v>
      </c>
      <c r="AN16" s="37">
        <f t="shared" si="21"/>
        <v>5664</v>
      </c>
      <c r="AO16" s="77">
        <v>11473</v>
      </c>
      <c r="AP16" s="37">
        <f t="shared" si="22"/>
        <v>8400</v>
      </c>
      <c r="AQ16" s="77">
        <v>92545</v>
      </c>
      <c r="AR16" s="37">
        <f t="shared" si="29"/>
        <v>0</v>
      </c>
      <c r="AS16" s="77">
        <v>2462</v>
      </c>
      <c r="AT16" s="37">
        <f>(+AS16-+AS15)*48</f>
        <v>0</v>
      </c>
      <c r="AU16" s="77">
        <v>939</v>
      </c>
      <c r="AV16" s="37">
        <f>(+AU16-+AU15)*48</f>
        <v>0</v>
      </c>
      <c r="AW16" s="77">
        <v>3110</v>
      </c>
      <c r="AX16" s="37">
        <f t="shared" si="25"/>
        <v>0</v>
      </c>
      <c r="AY16" s="77">
        <v>357440</v>
      </c>
      <c r="AZ16" s="37">
        <f t="shared" si="26"/>
        <v>4080</v>
      </c>
      <c r="BA16" s="77">
        <v>161101</v>
      </c>
      <c r="BB16" s="37">
        <f t="shared" si="30"/>
        <v>0</v>
      </c>
      <c r="BC16" s="77">
        <v>240816</v>
      </c>
      <c r="BD16" s="37">
        <f t="shared" si="27"/>
        <v>2304</v>
      </c>
      <c r="BE16" s="77">
        <v>5350</v>
      </c>
      <c r="BF16" s="37">
        <f t="shared" si="28"/>
        <v>0</v>
      </c>
      <c r="BH16" s="105">
        <f t="shared" si="1"/>
        <v>116265.59999999999</v>
      </c>
      <c r="BI16" s="105">
        <f t="shared" si="2"/>
        <v>65606.399999999994</v>
      </c>
    </row>
    <row r="17" spans="1:61" s="35" customFormat="1" ht="39.950000000000003" customHeight="1">
      <c r="A17" s="189">
        <f t="shared" si="6"/>
        <v>44813</v>
      </c>
      <c r="B17" s="34"/>
      <c r="C17" s="77">
        <v>7157532</v>
      </c>
      <c r="D17" s="37">
        <f t="shared" si="8"/>
        <v>105792</v>
      </c>
      <c r="E17" s="104">
        <f t="shared" si="3"/>
        <v>63475.199999999997</v>
      </c>
      <c r="F17" s="103">
        <f t="shared" si="7"/>
        <v>42316.800000000003</v>
      </c>
      <c r="G17" s="77">
        <v>299518</v>
      </c>
      <c r="H17" s="37">
        <f t="shared" si="9"/>
        <v>2016</v>
      </c>
      <c r="I17" s="77">
        <v>205180</v>
      </c>
      <c r="J17" s="37">
        <f t="shared" si="9"/>
        <v>8064</v>
      </c>
      <c r="K17" s="77">
        <v>272753</v>
      </c>
      <c r="L17" s="37">
        <f t="shared" si="9"/>
        <v>1008</v>
      </c>
      <c r="M17" s="77">
        <v>25511</v>
      </c>
      <c r="N17" s="37">
        <f t="shared" si="9"/>
        <v>0</v>
      </c>
      <c r="O17" s="77">
        <v>351808</v>
      </c>
      <c r="P17" s="37">
        <f t="shared" si="10"/>
        <v>8928</v>
      </c>
      <c r="Q17" s="77">
        <v>486032</v>
      </c>
      <c r="R17" s="37">
        <f t="shared" si="11"/>
        <v>2016</v>
      </c>
      <c r="S17" s="77">
        <v>778671</v>
      </c>
      <c r="T17" s="37">
        <f t="shared" si="12"/>
        <v>7440</v>
      </c>
      <c r="U17" s="193">
        <v>6956</v>
      </c>
      <c r="V17" s="103">
        <f t="shared" si="31"/>
        <v>864</v>
      </c>
      <c r="W17" s="77">
        <v>86494</v>
      </c>
      <c r="X17" s="37">
        <f t="shared" si="14"/>
        <v>864</v>
      </c>
      <c r="Y17" s="77">
        <v>1523120</v>
      </c>
      <c r="Z17" s="103">
        <f t="shared" si="15"/>
        <v>0</v>
      </c>
      <c r="AA17" s="77">
        <v>13886</v>
      </c>
      <c r="AB17" s="37">
        <f t="shared" si="16"/>
        <v>0</v>
      </c>
      <c r="AC17" s="82">
        <v>515362</v>
      </c>
      <c r="AD17" s="37">
        <f t="shared" si="17"/>
        <v>6000</v>
      </c>
      <c r="AE17" s="77">
        <v>585507</v>
      </c>
      <c r="AF17" s="37">
        <f t="shared" si="17"/>
        <v>7584</v>
      </c>
      <c r="AG17" s="77">
        <v>49813</v>
      </c>
      <c r="AH17" s="37">
        <f>(+AG17-+AG16)*48</f>
        <v>0</v>
      </c>
      <c r="AI17" s="77">
        <v>456543</v>
      </c>
      <c r="AJ17" s="37">
        <f t="shared" si="19"/>
        <v>4560</v>
      </c>
      <c r="AK17" s="77">
        <v>102770</v>
      </c>
      <c r="AL17" s="37">
        <f t="shared" si="20"/>
        <v>0</v>
      </c>
      <c r="AM17" s="77">
        <v>621994</v>
      </c>
      <c r="AN17" s="37">
        <f t="shared" si="21"/>
        <v>5520</v>
      </c>
      <c r="AO17" s="77">
        <v>11653</v>
      </c>
      <c r="AP17" s="37">
        <f t="shared" si="22"/>
        <v>8640</v>
      </c>
      <c r="AQ17" s="77">
        <v>92545</v>
      </c>
      <c r="AR17" s="37">
        <f t="shared" si="29"/>
        <v>0</v>
      </c>
      <c r="AS17" s="77">
        <v>2463</v>
      </c>
      <c r="AT17" s="37">
        <f>(+AS17-+AS16)*48</f>
        <v>48</v>
      </c>
      <c r="AU17" s="77">
        <v>939</v>
      </c>
      <c r="AV17" s="37">
        <f t="shared" si="24"/>
        <v>0</v>
      </c>
      <c r="AW17" s="77">
        <v>3110</v>
      </c>
      <c r="AX17" s="37">
        <f t="shared" si="25"/>
        <v>0</v>
      </c>
      <c r="AY17" s="77">
        <v>357526</v>
      </c>
      <c r="AZ17" s="37">
        <f t="shared" si="26"/>
        <v>4128</v>
      </c>
      <c r="BA17" s="77">
        <v>161101</v>
      </c>
      <c r="BB17" s="37">
        <f t="shared" si="30"/>
        <v>0</v>
      </c>
      <c r="BC17" s="82">
        <v>240868</v>
      </c>
      <c r="BD17" s="103">
        <f t="shared" si="27"/>
        <v>2496</v>
      </c>
      <c r="BE17" s="77">
        <v>5350</v>
      </c>
      <c r="BF17" s="37">
        <f>(+BE17-+BE16)*48</f>
        <v>0</v>
      </c>
      <c r="BH17" s="105">
        <f t="shared" si="1"/>
        <v>112819.2</v>
      </c>
      <c r="BI17" s="105">
        <f t="shared" si="2"/>
        <v>63148.800000000003</v>
      </c>
    </row>
    <row r="18" spans="1:61" s="35" customFormat="1" ht="39.950000000000003" customHeight="1">
      <c r="A18" s="189">
        <f t="shared" si="6"/>
        <v>44814</v>
      </c>
      <c r="B18" s="34"/>
      <c r="C18" s="77">
        <v>7159777</v>
      </c>
      <c r="D18" s="37">
        <f t="shared" si="8"/>
        <v>107760</v>
      </c>
      <c r="E18" s="104">
        <f t="shared" si="3"/>
        <v>64656</v>
      </c>
      <c r="F18" s="103">
        <f t="shared" si="7"/>
        <v>43104</v>
      </c>
      <c r="G18" s="77">
        <v>299575</v>
      </c>
      <c r="H18" s="37">
        <f t="shared" si="9"/>
        <v>2736</v>
      </c>
      <c r="I18" s="77">
        <v>205347</v>
      </c>
      <c r="J18" s="37">
        <f t="shared" si="9"/>
        <v>8016</v>
      </c>
      <c r="K18" s="77">
        <v>272796</v>
      </c>
      <c r="L18" s="37">
        <f t="shared" si="9"/>
        <v>2064</v>
      </c>
      <c r="M18" s="77">
        <v>25515</v>
      </c>
      <c r="N18" s="37">
        <f t="shared" si="9"/>
        <v>192</v>
      </c>
      <c r="O18" s="77">
        <v>352016</v>
      </c>
      <c r="P18" s="37">
        <f t="shared" si="10"/>
        <v>9984</v>
      </c>
      <c r="Q18" s="77">
        <v>486094</v>
      </c>
      <c r="R18" s="37">
        <f t="shared" si="11"/>
        <v>2976</v>
      </c>
      <c r="S18" s="77">
        <v>778809</v>
      </c>
      <c r="T18" s="37">
        <f t="shared" si="12"/>
        <v>6624</v>
      </c>
      <c r="U18" s="193">
        <v>6976</v>
      </c>
      <c r="V18" s="103">
        <f t="shared" si="31"/>
        <v>960</v>
      </c>
      <c r="W18" s="77">
        <v>86511</v>
      </c>
      <c r="X18" s="37">
        <f t="shared" si="14"/>
        <v>816</v>
      </c>
      <c r="Y18" s="77">
        <v>1523120</v>
      </c>
      <c r="Z18" s="103">
        <f t="shared" si="15"/>
        <v>0</v>
      </c>
      <c r="AA18" s="77">
        <v>13886</v>
      </c>
      <c r="AB18" s="37">
        <f t="shared" si="16"/>
        <v>0</v>
      </c>
      <c r="AC18" s="77">
        <v>515482</v>
      </c>
      <c r="AD18" s="37">
        <f t="shared" si="17"/>
        <v>5760</v>
      </c>
      <c r="AE18" s="77">
        <v>585660</v>
      </c>
      <c r="AF18" s="37">
        <f t="shared" si="17"/>
        <v>7344</v>
      </c>
      <c r="AG18" s="77">
        <v>49813</v>
      </c>
      <c r="AH18" s="37">
        <f>(+AG18-+AG17)*48</f>
        <v>0</v>
      </c>
      <c r="AI18" s="77">
        <v>456645</v>
      </c>
      <c r="AJ18" s="37">
        <f t="shared" si="19"/>
        <v>4896</v>
      </c>
      <c r="AK18" s="77">
        <v>102770</v>
      </c>
      <c r="AL18" s="37">
        <f t="shared" si="20"/>
        <v>0</v>
      </c>
      <c r="AM18" s="77">
        <v>622083</v>
      </c>
      <c r="AN18" s="37">
        <f t="shared" si="21"/>
        <v>4272</v>
      </c>
      <c r="AO18" s="77">
        <v>11814</v>
      </c>
      <c r="AP18" s="37">
        <f t="shared" si="22"/>
        <v>7728</v>
      </c>
      <c r="AQ18" s="77">
        <v>92545</v>
      </c>
      <c r="AR18" s="37">
        <f t="shared" si="29"/>
        <v>0</v>
      </c>
      <c r="AS18" s="77">
        <v>2463</v>
      </c>
      <c r="AT18" s="37">
        <f t="shared" si="23"/>
        <v>0</v>
      </c>
      <c r="AU18" s="77">
        <v>939</v>
      </c>
      <c r="AV18" s="37">
        <f t="shared" si="24"/>
        <v>0</v>
      </c>
      <c r="AW18" s="77">
        <v>3110</v>
      </c>
      <c r="AX18" s="37">
        <f t="shared" si="25"/>
        <v>0</v>
      </c>
      <c r="AY18" s="77">
        <v>357608</v>
      </c>
      <c r="AZ18" s="37">
        <f t="shared" si="26"/>
        <v>3936</v>
      </c>
      <c r="BA18" s="77">
        <v>161101</v>
      </c>
      <c r="BB18" s="37">
        <f t="shared" si="30"/>
        <v>0</v>
      </c>
      <c r="BC18" s="82">
        <v>240918</v>
      </c>
      <c r="BD18" s="103">
        <f t="shared" si="27"/>
        <v>2400</v>
      </c>
      <c r="BE18" s="77">
        <v>5350</v>
      </c>
      <c r="BF18" s="37">
        <f>(+BE18-+BE17)*48</f>
        <v>0</v>
      </c>
      <c r="BH18" s="105">
        <f t="shared" si="1"/>
        <v>117024</v>
      </c>
      <c r="BI18" s="105">
        <f t="shared" si="2"/>
        <v>61440</v>
      </c>
    </row>
    <row r="19" spans="1:61" s="35" customFormat="1" ht="39.950000000000003" customHeight="1">
      <c r="A19" s="189">
        <f t="shared" si="6"/>
        <v>44815</v>
      </c>
      <c r="B19" s="34"/>
      <c r="C19" s="77">
        <v>7162172</v>
      </c>
      <c r="D19" s="37">
        <f t="shared" si="8"/>
        <v>114960</v>
      </c>
      <c r="E19" s="104">
        <f t="shared" si="3"/>
        <v>68976</v>
      </c>
      <c r="F19" s="103">
        <f t="shared" si="7"/>
        <v>45984</v>
      </c>
      <c r="G19" s="77">
        <v>299630</v>
      </c>
      <c r="H19" s="37">
        <f t="shared" si="9"/>
        <v>2640</v>
      </c>
      <c r="I19" s="77">
        <v>205520</v>
      </c>
      <c r="J19" s="37">
        <f t="shared" si="9"/>
        <v>8304</v>
      </c>
      <c r="K19" s="77">
        <v>272866</v>
      </c>
      <c r="L19" s="37">
        <f t="shared" si="9"/>
        <v>3360</v>
      </c>
      <c r="M19" s="77">
        <v>25520</v>
      </c>
      <c r="N19" s="37">
        <f t="shared" si="9"/>
        <v>240</v>
      </c>
      <c r="O19" s="77">
        <v>352230</v>
      </c>
      <c r="P19" s="37">
        <f t="shared" si="10"/>
        <v>10272</v>
      </c>
      <c r="Q19" s="77">
        <v>486152</v>
      </c>
      <c r="R19" s="37">
        <f t="shared" si="11"/>
        <v>2784</v>
      </c>
      <c r="S19" s="77">
        <v>778953</v>
      </c>
      <c r="T19" s="37">
        <f t="shared" si="12"/>
        <v>6912</v>
      </c>
      <c r="U19" s="193">
        <v>6999</v>
      </c>
      <c r="V19" s="103">
        <f t="shared" si="31"/>
        <v>1104</v>
      </c>
      <c r="W19" s="77">
        <v>86526</v>
      </c>
      <c r="X19" s="37">
        <f t="shared" si="14"/>
        <v>720</v>
      </c>
      <c r="Y19" s="77">
        <v>1523120</v>
      </c>
      <c r="Z19" s="37">
        <f t="shared" si="15"/>
        <v>0</v>
      </c>
      <c r="AA19" s="77">
        <v>13886</v>
      </c>
      <c r="AB19" s="37">
        <f t="shared" si="16"/>
        <v>0</v>
      </c>
      <c r="AC19" s="77">
        <v>515622</v>
      </c>
      <c r="AD19" s="37">
        <f t="shared" si="17"/>
        <v>6720</v>
      </c>
      <c r="AE19" s="77">
        <v>585819</v>
      </c>
      <c r="AF19" s="37">
        <f t="shared" si="17"/>
        <v>7632</v>
      </c>
      <c r="AG19" s="77">
        <v>49813</v>
      </c>
      <c r="AH19" s="37">
        <f>(+AG19-+AG18)*48</f>
        <v>0</v>
      </c>
      <c r="AI19" s="77">
        <v>456760</v>
      </c>
      <c r="AJ19" s="37">
        <f t="shared" si="19"/>
        <v>5520</v>
      </c>
      <c r="AK19" s="77">
        <v>102770</v>
      </c>
      <c r="AL19" s="37">
        <f t="shared" si="20"/>
        <v>0</v>
      </c>
      <c r="AM19" s="77">
        <v>622197</v>
      </c>
      <c r="AN19" s="37">
        <f t="shared" si="21"/>
        <v>5472</v>
      </c>
      <c r="AO19" s="77">
        <v>11998</v>
      </c>
      <c r="AP19" s="37">
        <f t="shared" si="22"/>
        <v>8832</v>
      </c>
      <c r="AQ19" s="77">
        <v>92550</v>
      </c>
      <c r="AR19" s="37">
        <f t="shared" si="29"/>
        <v>240</v>
      </c>
      <c r="AS19" s="77">
        <v>2463</v>
      </c>
      <c r="AT19" s="37">
        <f t="shared" si="23"/>
        <v>0</v>
      </c>
      <c r="AU19" s="77">
        <v>939</v>
      </c>
      <c r="AV19" s="37">
        <f t="shared" si="24"/>
        <v>0</v>
      </c>
      <c r="AW19" s="77">
        <v>3110</v>
      </c>
      <c r="AX19" s="37">
        <f>(+AW19-+AW18)*48</f>
        <v>0</v>
      </c>
      <c r="AY19" s="77">
        <v>357689</v>
      </c>
      <c r="AZ19" s="37">
        <f t="shared" si="26"/>
        <v>3888</v>
      </c>
      <c r="BA19" s="77">
        <v>161101</v>
      </c>
      <c r="BB19" s="37">
        <f t="shared" si="30"/>
        <v>0</v>
      </c>
      <c r="BC19" s="82">
        <v>240968</v>
      </c>
      <c r="BD19" s="37">
        <f t="shared" si="27"/>
        <v>2400</v>
      </c>
      <c r="BE19" s="77">
        <v>5350</v>
      </c>
      <c r="BF19" s="37">
        <f>(+BE19-+BE18)*48</f>
        <v>0</v>
      </c>
      <c r="BH19" s="105">
        <f t="shared" si="1"/>
        <v>125184</v>
      </c>
      <c r="BI19" s="105">
        <f t="shared" si="2"/>
        <v>66816</v>
      </c>
    </row>
    <row r="20" spans="1:61" s="35" customFormat="1" ht="39.950000000000003" customHeight="1">
      <c r="A20" s="189">
        <f t="shared" si="6"/>
        <v>44816</v>
      </c>
      <c r="B20" s="34"/>
      <c r="C20" s="77">
        <v>7164695</v>
      </c>
      <c r="D20" s="37">
        <f t="shared" si="8"/>
        <v>121104</v>
      </c>
      <c r="E20" s="104">
        <f t="shared" si="3"/>
        <v>72662.399999999994</v>
      </c>
      <c r="F20" s="103">
        <f t="shared" si="7"/>
        <v>48441.600000000006</v>
      </c>
      <c r="G20" s="77">
        <v>299666</v>
      </c>
      <c r="H20" s="37">
        <f t="shared" si="9"/>
        <v>1728</v>
      </c>
      <c r="I20" s="77">
        <v>205703</v>
      </c>
      <c r="J20" s="37">
        <f t="shared" si="9"/>
        <v>8784</v>
      </c>
      <c r="K20" s="77">
        <v>272898</v>
      </c>
      <c r="L20" s="37">
        <f t="shared" si="9"/>
        <v>1536</v>
      </c>
      <c r="M20" s="77">
        <v>25521</v>
      </c>
      <c r="N20" s="37">
        <f t="shared" si="9"/>
        <v>48</v>
      </c>
      <c r="O20" s="77">
        <v>352429</v>
      </c>
      <c r="P20" s="37">
        <f t="shared" si="10"/>
        <v>9552</v>
      </c>
      <c r="Q20" s="77">
        <v>486217</v>
      </c>
      <c r="R20" s="37">
        <f t="shared" si="11"/>
        <v>3120</v>
      </c>
      <c r="S20" s="77">
        <v>779072</v>
      </c>
      <c r="T20" s="37">
        <f t="shared" si="12"/>
        <v>5712</v>
      </c>
      <c r="U20" s="193">
        <v>7018</v>
      </c>
      <c r="V20" s="103">
        <f t="shared" si="31"/>
        <v>912</v>
      </c>
      <c r="W20" s="77">
        <v>86543</v>
      </c>
      <c r="X20" s="37">
        <f t="shared" si="14"/>
        <v>816</v>
      </c>
      <c r="Y20" s="77">
        <v>1523120</v>
      </c>
      <c r="Z20" s="37">
        <f t="shared" si="15"/>
        <v>0</v>
      </c>
      <c r="AA20" s="77">
        <v>13886</v>
      </c>
      <c r="AB20" s="37">
        <f t="shared" si="16"/>
        <v>0</v>
      </c>
      <c r="AC20" s="77">
        <v>515737</v>
      </c>
      <c r="AD20" s="37">
        <f t="shared" si="17"/>
        <v>5520</v>
      </c>
      <c r="AE20" s="77">
        <v>585977</v>
      </c>
      <c r="AF20" s="37">
        <f t="shared" si="17"/>
        <v>7584</v>
      </c>
      <c r="AG20" s="77">
        <v>49813</v>
      </c>
      <c r="AH20" s="37">
        <f>(+AG20-+AG19)*48</f>
        <v>0</v>
      </c>
      <c r="AI20" s="77">
        <v>456896</v>
      </c>
      <c r="AJ20" s="37">
        <f t="shared" si="19"/>
        <v>6528</v>
      </c>
      <c r="AK20" s="77">
        <v>102770</v>
      </c>
      <c r="AL20" s="37">
        <f t="shared" si="20"/>
        <v>0</v>
      </c>
      <c r="AM20" s="77">
        <v>622312</v>
      </c>
      <c r="AN20" s="37">
        <f t="shared" si="21"/>
        <v>5520</v>
      </c>
      <c r="AO20" s="77">
        <v>12186</v>
      </c>
      <c r="AP20" s="37">
        <f t="shared" si="22"/>
        <v>9024</v>
      </c>
      <c r="AQ20" s="77">
        <v>92550</v>
      </c>
      <c r="AR20" s="37">
        <f t="shared" si="29"/>
        <v>0</v>
      </c>
      <c r="AS20" s="77">
        <v>2463</v>
      </c>
      <c r="AT20" s="37">
        <f t="shared" si="23"/>
        <v>0</v>
      </c>
      <c r="AU20" s="77">
        <v>939</v>
      </c>
      <c r="AV20" s="37">
        <f t="shared" si="24"/>
        <v>0</v>
      </c>
      <c r="AW20" s="77">
        <v>3110</v>
      </c>
      <c r="AX20" s="37">
        <f>(+AW20-+AW19)*48</f>
        <v>0</v>
      </c>
      <c r="AY20" s="77">
        <v>357777</v>
      </c>
      <c r="AZ20" s="37">
        <f t="shared" si="26"/>
        <v>4224</v>
      </c>
      <c r="BA20" s="77">
        <v>161101</v>
      </c>
      <c r="BB20" s="37">
        <f t="shared" si="30"/>
        <v>0</v>
      </c>
      <c r="BC20" s="82">
        <v>241019</v>
      </c>
      <c r="BD20" s="37">
        <f t="shared" si="27"/>
        <v>2448</v>
      </c>
      <c r="BE20" s="77">
        <v>5350</v>
      </c>
      <c r="BF20" s="37">
        <f t="shared" si="28"/>
        <v>0</v>
      </c>
      <c r="BH20" s="166">
        <f t="shared" si="1"/>
        <v>124502.39999999999</v>
      </c>
      <c r="BI20" s="166">
        <f t="shared" si="2"/>
        <v>69657.600000000006</v>
      </c>
    </row>
    <row r="21" spans="1:61" s="35" customFormat="1" ht="39.950000000000003" customHeight="1">
      <c r="A21" s="189">
        <f t="shared" si="6"/>
        <v>44817</v>
      </c>
      <c r="B21" s="34"/>
      <c r="C21" s="77">
        <v>7167074</v>
      </c>
      <c r="D21" s="37">
        <f t="shared" si="8"/>
        <v>114192</v>
      </c>
      <c r="E21" s="104">
        <f t="shared" si="3"/>
        <v>68515.199999999997</v>
      </c>
      <c r="F21" s="103">
        <f t="shared" si="7"/>
        <v>45676.800000000003</v>
      </c>
      <c r="G21" s="77">
        <v>299723</v>
      </c>
      <c r="H21" s="37">
        <f t="shared" si="9"/>
        <v>2736</v>
      </c>
      <c r="I21" s="77">
        <v>205870</v>
      </c>
      <c r="J21" s="37">
        <f t="shared" si="9"/>
        <v>8016</v>
      </c>
      <c r="K21" s="77">
        <v>272978</v>
      </c>
      <c r="L21" s="37">
        <f t="shared" si="9"/>
        <v>3840</v>
      </c>
      <c r="M21" s="77">
        <v>25529</v>
      </c>
      <c r="N21" s="37">
        <f t="shared" si="9"/>
        <v>384</v>
      </c>
      <c r="O21" s="77">
        <v>352630</v>
      </c>
      <c r="P21" s="37">
        <f t="shared" si="10"/>
        <v>9648</v>
      </c>
      <c r="Q21" s="77">
        <v>486272</v>
      </c>
      <c r="R21" s="37">
        <f t="shared" si="11"/>
        <v>2640</v>
      </c>
      <c r="S21" s="77">
        <v>779210</v>
      </c>
      <c r="T21" s="37">
        <f t="shared" si="12"/>
        <v>6624</v>
      </c>
      <c r="U21" s="193">
        <v>7039</v>
      </c>
      <c r="V21" s="103">
        <f t="shared" si="31"/>
        <v>1008</v>
      </c>
      <c r="W21" s="77">
        <v>86543</v>
      </c>
      <c r="X21" s="37">
        <f t="shared" si="14"/>
        <v>0</v>
      </c>
      <c r="Y21" s="77">
        <v>1523120</v>
      </c>
      <c r="Z21" s="37">
        <f t="shared" si="15"/>
        <v>0</v>
      </c>
      <c r="AA21" s="77">
        <v>13886</v>
      </c>
      <c r="AB21" s="37">
        <f t="shared" si="16"/>
        <v>0</v>
      </c>
      <c r="AC21" s="76">
        <v>515882</v>
      </c>
      <c r="AD21" s="37">
        <f t="shared" si="17"/>
        <v>6960</v>
      </c>
      <c r="AE21" s="76">
        <v>586125</v>
      </c>
      <c r="AF21" s="37">
        <f t="shared" si="17"/>
        <v>7104</v>
      </c>
      <c r="AG21" s="76">
        <v>49813</v>
      </c>
      <c r="AH21" s="37">
        <f t="shared" si="18"/>
        <v>0</v>
      </c>
      <c r="AI21" s="76">
        <v>457027</v>
      </c>
      <c r="AJ21" s="37">
        <f t="shared" si="19"/>
        <v>6288</v>
      </c>
      <c r="AK21" s="77">
        <v>102770</v>
      </c>
      <c r="AL21" s="37">
        <f t="shared" si="20"/>
        <v>0</v>
      </c>
      <c r="AM21" s="77">
        <v>622409</v>
      </c>
      <c r="AN21" s="37">
        <f t="shared" si="21"/>
        <v>4656</v>
      </c>
      <c r="AO21" s="77">
        <v>12358</v>
      </c>
      <c r="AP21" s="37">
        <f t="shared" si="22"/>
        <v>8256</v>
      </c>
      <c r="AQ21" s="77">
        <v>92550</v>
      </c>
      <c r="AR21" s="37">
        <f t="shared" si="29"/>
        <v>0</v>
      </c>
      <c r="AS21" s="77">
        <v>2463</v>
      </c>
      <c r="AT21" s="37">
        <f t="shared" si="23"/>
        <v>0</v>
      </c>
      <c r="AU21" s="77">
        <v>939</v>
      </c>
      <c r="AV21" s="37">
        <f t="shared" si="24"/>
        <v>0</v>
      </c>
      <c r="AW21" s="77">
        <v>3110</v>
      </c>
      <c r="AX21" s="37">
        <f>(+AW21-+AW20)*48</f>
        <v>0</v>
      </c>
      <c r="AY21" s="77">
        <v>357855</v>
      </c>
      <c r="AZ21" s="37">
        <f t="shared" si="26"/>
        <v>3744</v>
      </c>
      <c r="BA21" s="77">
        <v>161101</v>
      </c>
      <c r="BB21" s="37">
        <f t="shared" si="30"/>
        <v>0</v>
      </c>
      <c r="BC21" s="82">
        <v>241065</v>
      </c>
      <c r="BD21" s="37">
        <f t="shared" si="27"/>
        <v>2208</v>
      </c>
      <c r="BE21" s="77">
        <v>5350</v>
      </c>
      <c r="BF21" s="37">
        <f t="shared" si="28"/>
        <v>0</v>
      </c>
      <c r="BH21" s="166">
        <f t="shared" si="1"/>
        <v>123763.2</v>
      </c>
      <c r="BI21" s="166">
        <f t="shared" si="2"/>
        <v>64540.800000000003</v>
      </c>
    </row>
    <row r="22" spans="1:61" s="35" customFormat="1" ht="39.950000000000003" customHeight="1">
      <c r="A22" s="189">
        <f t="shared" si="6"/>
        <v>44818</v>
      </c>
      <c r="B22" s="34"/>
      <c r="C22" s="77">
        <v>7169454</v>
      </c>
      <c r="D22" s="37">
        <f t="shared" si="8"/>
        <v>114240</v>
      </c>
      <c r="E22" s="104">
        <f t="shared" si="3"/>
        <v>68544</v>
      </c>
      <c r="F22" s="103">
        <f t="shared" si="7"/>
        <v>45696</v>
      </c>
      <c r="G22" s="77">
        <v>299758</v>
      </c>
      <c r="H22" s="37">
        <f t="shared" si="9"/>
        <v>1680</v>
      </c>
      <c r="I22" s="77">
        <v>206031</v>
      </c>
      <c r="J22" s="37">
        <f t="shared" si="9"/>
        <v>7728</v>
      </c>
      <c r="K22" s="77">
        <v>273019</v>
      </c>
      <c r="L22" s="37">
        <f t="shared" si="9"/>
        <v>1968</v>
      </c>
      <c r="M22" s="77">
        <v>25529</v>
      </c>
      <c r="N22" s="37">
        <f t="shared" si="9"/>
        <v>0</v>
      </c>
      <c r="O22" s="77">
        <v>352817</v>
      </c>
      <c r="P22" s="37">
        <f t="shared" si="10"/>
        <v>8976</v>
      </c>
      <c r="Q22" s="77">
        <v>486326</v>
      </c>
      <c r="R22" s="37">
        <f t="shared" si="11"/>
        <v>2592</v>
      </c>
      <c r="S22" s="77">
        <v>779327</v>
      </c>
      <c r="T22" s="37">
        <f t="shared" si="12"/>
        <v>5616</v>
      </c>
      <c r="U22" s="193">
        <v>7060.18</v>
      </c>
      <c r="V22" s="103">
        <f t="shared" si="31"/>
        <v>1016.640000000014</v>
      </c>
      <c r="W22" s="77">
        <v>86555</v>
      </c>
      <c r="X22" s="37">
        <f t="shared" si="14"/>
        <v>576</v>
      </c>
      <c r="Y22" s="77">
        <v>1523120</v>
      </c>
      <c r="Z22" s="37">
        <f>(+Y22-+Y21)*48</f>
        <v>0</v>
      </c>
      <c r="AA22" s="77">
        <v>13886</v>
      </c>
      <c r="AB22" s="37">
        <f t="shared" si="16"/>
        <v>0</v>
      </c>
      <c r="AC22" s="77">
        <v>515963</v>
      </c>
      <c r="AD22" s="37">
        <f t="shared" si="17"/>
        <v>3888</v>
      </c>
      <c r="AE22" s="77">
        <v>586273</v>
      </c>
      <c r="AF22" s="37">
        <f t="shared" si="17"/>
        <v>7104</v>
      </c>
      <c r="AG22" s="76">
        <v>49813</v>
      </c>
      <c r="AH22" s="37">
        <f t="shared" si="18"/>
        <v>0</v>
      </c>
      <c r="AI22" s="77">
        <v>457120</v>
      </c>
      <c r="AJ22" s="37">
        <f t="shared" si="19"/>
        <v>4464</v>
      </c>
      <c r="AK22" s="77">
        <v>102770</v>
      </c>
      <c r="AL22" s="37">
        <f t="shared" si="20"/>
        <v>0</v>
      </c>
      <c r="AM22" s="76">
        <v>622504</v>
      </c>
      <c r="AN22" s="37">
        <f t="shared" si="21"/>
        <v>4560</v>
      </c>
      <c r="AO22" s="76">
        <v>12534</v>
      </c>
      <c r="AP22" s="37">
        <f t="shared" si="22"/>
        <v>8448</v>
      </c>
      <c r="AQ22" s="77">
        <v>92550</v>
      </c>
      <c r="AR22" s="37">
        <f t="shared" si="29"/>
        <v>0</v>
      </c>
      <c r="AS22" s="77">
        <v>2463</v>
      </c>
      <c r="AT22" s="37">
        <f t="shared" si="23"/>
        <v>0</v>
      </c>
      <c r="AU22" s="77">
        <v>939</v>
      </c>
      <c r="AV22" s="37">
        <f t="shared" si="24"/>
        <v>0</v>
      </c>
      <c r="AW22" s="77">
        <v>3110</v>
      </c>
      <c r="AX22" s="37">
        <f t="shared" si="25"/>
        <v>0</v>
      </c>
      <c r="AY22" s="77">
        <v>357942</v>
      </c>
      <c r="AZ22" s="37">
        <f t="shared" si="26"/>
        <v>4176</v>
      </c>
      <c r="BA22" s="77">
        <v>161101</v>
      </c>
      <c r="BB22" s="37">
        <f t="shared" si="30"/>
        <v>0</v>
      </c>
      <c r="BC22" s="77">
        <v>241128</v>
      </c>
      <c r="BD22" s="37">
        <f t="shared" si="27"/>
        <v>3024</v>
      </c>
      <c r="BE22" s="77">
        <v>5350</v>
      </c>
      <c r="BF22" s="37">
        <f t="shared" si="28"/>
        <v>0</v>
      </c>
      <c r="BH22" s="166">
        <f t="shared" si="1"/>
        <v>114152.64000000001</v>
      </c>
      <c r="BI22" s="166">
        <f t="shared" si="2"/>
        <v>65904</v>
      </c>
    </row>
    <row r="23" spans="1:61" s="35" customFormat="1" ht="39.950000000000003" customHeight="1">
      <c r="A23" s="189">
        <f t="shared" si="6"/>
        <v>44819</v>
      </c>
      <c r="B23" s="34"/>
      <c r="C23" s="77">
        <v>7171716</v>
      </c>
      <c r="D23" s="37">
        <f t="shared" si="8"/>
        <v>108576</v>
      </c>
      <c r="E23" s="104">
        <f t="shared" si="3"/>
        <v>65145.599999999999</v>
      </c>
      <c r="F23" s="103">
        <f t="shared" si="7"/>
        <v>43430.400000000001</v>
      </c>
      <c r="G23" s="77">
        <v>299795</v>
      </c>
      <c r="H23" s="37">
        <f t="shared" si="9"/>
        <v>1776</v>
      </c>
      <c r="I23" s="77">
        <v>206191</v>
      </c>
      <c r="J23" s="37">
        <f t="shared" si="9"/>
        <v>7680</v>
      </c>
      <c r="K23" s="77">
        <v>273051</v>
      </c>
      <c r="L23" s="37">
        <f t="shared" si="9"/>
        <v>1536</v>
      </c>
      <c r="M23" s="77">
        <v>25529</v>
      </c>
      <c r="N23" s="37">
        <f t="shared" si="9"/>
        <v>0</v>
      </c>
      <c r="O23" s="77">
        <v>353006</v>
      </c>
      <c r="P23" s="37">
        <f t="shared" si="10"/>
        <v>9072</v>
      </c>
      <c r="Q23" s="77">
        <v>486395</v>
      </c>
      <c r="R23" s="37">
        <f t="shared" si="11"/>
        <v>3312</v>
      </c>
      <c r="S23" s="77">
        <v>779435</v>
      </c>
      <c r="T23" s="37">
        <f t="shared" si="12"/>
        <v>5184</v>
      </c>
      <c r="U23" s="193">
        <v>7078.8739999999998</v>
      </c>
      <c r="V23" s="103">
        <f t="shared" si="31"/>
        <v>897.31199999997625</v>
      </c>
      <c r="W23" s="77">
        <v>86571</v>
      </c>
      <c r="X23" s="37">
        <f t="shared" si="14"/>
        <v>768</v>
      </c>
      <c r="Y23" s="77">
        <v>1523120</v>
      </c>
      <c r="Z23" s="37">
        <f>(+Y23-+Y22)*48</f>
        <v>0</v>
      </c>
      <c r="AA23" s="77">
        <v>13886</v>
      </c>
      <c r="AB23" s="37">
        <f t="shared" si="16"/>
        <v>0</v>
      </c>
      <c r="AC23" s="77">
        <v>516070</v>
      </c>
      <c r="AD23" s="37">
        <f t="shared" si="17"/>
        <v>5136</v>
      </c>
      <c r="AE23" s="77">
        <v>586415</v>
      </c>
      <c r="AF23" s="37">
        <f t="shared" si="17"/>
        <v>6816</v>
      </c>
      <c r="AG23" s="76">
        <v>49813</v>
      </c>
      <c r="AH23" s="37">
        <f t="shared" si="18"/>
        <v>0</v>
      </c>
      <c r="AI23" s="77">
        <v>457216</v>
      </c>
      <c r="AJ23" s="37">
        <f t="shared" si="19"/>
        <v>4608</v>
      </c>
      <c r="AK23" s="77">
        <v>102770</v>
      </c>
      <c r="AL23" s="37">
        <f t="shared" si="20"/>
        <v>0</v>
      </c>
      <c r="AM23" s="77">
        <v>622580</v>
      </c>
      <c r="AN23" s="37">
        <f t="shared" si="21"/>
        <v>3648</v>
      </c>
      <c r="AO23" s="77">
        <v>12694</v>
      </c>
      <c r="AP23" s="37">
        <f t="shared" si="22"/>
        <v>7680</v>
      </c>
      <c r="AQ23" s="77">
        <v>92550</v>
      </c>
      <c r="AR23" s="37">
        <f t="shared" si="29"/>
        <v>0</v>
      </c>
      <c r="AS23" s="77">
        <v>2463</v>
      </c>
      <c r="AT23" s="37">
        <f t="shared" si="23"/>
        <v>0</v>
      </c>
      <c r="AU23" s="77">
        <v>939</v>
      </c>
      <c r="AV23" s="37">
        <f t="shared" si="24"/>
        <v>0</v>
      </c>
      <c r="AW23" s="77">
        <v>3110</v>
      </c>
      <c r="AX23" s="37">
        <f t="shared" si="25"/>
        <v>0</v>
      </c>
      <c r="AY23" s="77">
        <v>358028</v>
      </c>
      <c r="AZ23" s="103">
        <f t="shared" si="26"/>
        <v>4128</v>
      </c>
      <c r="BA23" s="77">
        <v>161101</v>
      </c>
      <c r="BB23" s="37">
        <f>(+BA24-+BA22)*48</f>
        <v>0</v>
      </c>
      <c r="BC23" s="77">
        <v>241182</v>
      </c>
      <c r="BD23" s="37">
        <f t="shared" si="27"/>
        <v>2592</v>
      </c>
      <c r="BE23" s="77">
        <v>5350</v>
      </c>
      <c r="BF23" s="37">
        <f t="shared" si="28"/>
        <v>0</v>
      </c>
      <c r="BH23" s="166">
        <f t="shared" si="1"/>
        <v>111930.91199999998</v>
      </c>
      <c r="BI23" s="166">
        <f t="shared" si="2"/>
        <v>61478.400000000001</v>
      </c>
    </row>
    <row r="24" spans="1:61" s="35" customFormat="1" ht="39.950000000000003" customHeight="1">
      <c r="A24" s="189">
        <f t="shared" si="6"/>
        <v>44820</v>
      </c>
      <c r="B24" s="34"/>
      <c r="C24" s="77">
        <v>7174432</v>
      </c>
      <c r="D24" s="37">
        <f t="shared" si="8"/>
        <v>130368</v>
      </c>
      <c r="E24" s="104">
        <f t="shared" si="3"/>
        <v>78220.800000000003</v>
      </c>
      <c r="F24" s="103">
        <f t="shared" si="7"/>
        <v>52147.200000000004</v>
      </c>
      <c r="G24" s="77">
        <v>299838</v>
      </c>
      <c r="H24" s="37">
        <f t="shared" si="9"/>
        <v>2064</v>
      </c>
      <c r="I24" s="77">
        <v>206356</v>
      </c>
      <c r="J24" s="37">
        <f t="shared" si="9"/>
        <v>7920</v>
      </c>
      <c r="K24" s="77">
        <v>273072</v>
      </c>
      <c r="L24" s="37">
        <f t="shared" si="9"/>
        <v>1008</v>
      </c>
      <c r="M24" s="77">
        <v>25529</v>
      </c>
      <c r="N24" s="37">
        <f t="shared" si="9"/>
        <v>0</v>
      </c>
      <c r="O24" s="77">
        <v>353205</v>
      </c>
      <c r="P24" s="37">
        <f t="shared" si="10"/>
        <v>9552</v>
      </c>
      <c r="Q24" s="77">
        <v>486446</v>
      </c>
      <c r="R24" s="37">
        <f t="shared" si="11"/>
        <v>2448</v>
      </c>
      <c r="S24" s="77">
        <v>779555</v>
      </c>
      <c r="T24" s="37">
        <f t="shared" si="12"/>
        <v>5760</v>
      </c>
      <c r="U24" s="193">
        <v>7098.98</v>
      </c>
      <c r="V24" s="103">
        <f t="shared" si="31"/>
        <v>965.08799999998882</v>
      </c>
      <c r="W24" s="77">
        <v>86583</v>
      </c>
      <c r="X24" s="37">
        <f t="shared" si="14"/>
        <v>576</v>
      </c>
      <c r="Y24" s="77">
        <v>1523120</v>
      </c>
      <c r="Z24" s="37">
        <f>(+Y24-+Y23)*48</f>
        <v>0</v>
      </c>
      <c r="AA24" s="77">
        <v>13886</v>
      </c>
      <c r="AB24" s="37">
        <f t="shared" si="16"/>
        <v>0</v>
      </c>
      <c r="AC24" s="77">
        <v>516188</v>
      </c>
      <c r="AD24" s="37">
        <f t="shared" si="17"/>
        <v>5664</v>
      </c>
      <c r="AE24" s="77">
        <v>586555</v>
      </c>
      <c r="AF24" s="37">
        <f t="shared" si="17"/>
        <v>6720</v>
      </c>
      <c r="AG24" s="76">
        <v>49813</v>
      </c>
      <c r="AH24" s="37">
        <f t="shared" si="18"/>
        <v>0</v>
      </c>
      <c r="AI24" s="77">
        <v>457322</v>
      </c>
      <c r="AJ24" s="37">
        <f t="shared" si="19"/>
        <v>5088</v>
      </c>
      <c r="AK24" s="77">
        <v>102770</v>
      </c>
      <c r="AL24" s="37">
        <f t="shared" si="20"/>
        <v>0</v>
      </c>
      <c r="AM24" s="77">
        <v>622664</v>
      </c>
      <c r="AN24" s="37">
        <f t="shared" si="21"/>
        <v>4032</v>
      </c>
      <c r="AO24" s="77">
        <v>12860</v>
      </c>
      <c r="AP24" s="37">
        <f t="shared" si="22"/>
        <v>7968</v>
      </c>
      <c r="AQ24" s="77">
        <v>92550</v>
      </c>
      <c r="AR24" s="37">
        <f t="shared" si="29"/>
        <v>0</v>
      </c>
      <c r="AS24" s="77">
        <v>2463</v>
      </c>
      <c r="AT24" s="37">
        <f t="shared" si="23"/>
        <v>0</v>
      </c>
      <c r="AU24" s="77">
        <v>939</v>
      </c>
      <c r="AV24" s="37">
        <f t="shared" si="24"/>
        <v>0</v>
      </c>
      <c r="AW24" s="77">
        <v>3110</v>
      </c>
      <c r="AX24" s="37">
        <f t="shared" si="25"/>
        <v>0</v>
      </c>
      <c r="AY24" s="77">
        <v>358111</v>
      </c>
      <c r="AZ24" s="37">
        <f t="shared" si="26"/>
        <v>3984</v>
      </c>
      <c r="BA24" s="77">
        <v>161101</v>
      </c>
      <c r="BB24" s="103">
        <f t="shared" ref="BB24:BB26" si="32">(+BA24-+BA23)*48</f>
        <v>0</v>
      </c>
      <c r="BC24" s="77">
        <v>241238</v>
      </c>
      <c r="BD24" s="37">
        <f t="shared" si="27"/>
        <v>2688</v>
      </c>
      <c r="BE24" s="77">
        <v>5350</v>
      </c>
      <c r="BF24" s="37">
        <f t="shared" si="28"/>
        <v>0</v>
      </c>
      <c r="BH24" s="105">
        <f t="shared" si="1"/>
        <v>125985.88799999999</v>
      </c>
      <c r="BI24" s="105">
        <f t="shared" si="2"/>
        <v>70819.200000000012</v>
      </c>
    </row>
    <row r="25" spans="1:61" s="35" customFormat="1" ht="39.950000000000003" customHeight="1">
      <c r="A25" s="189">
        <f t="shared" si="6"/>
        <v>44821</v>
      </c>
      <c r="B25" s="34"/>
      <c r="C25" s="77">
        <v>7176294</v>
      </c>
      <c r="D25" s="103">
        <f t="shared" si="8"/>
        <v>89376</v>
      </c>
      <c r="E25" s="104">
        <f t="shared" si="3"/>
        <v>53625.599999999999</v>
      </c>
      <c r="F25" s="103">
        <f t="shared" si="7"/>
        <v>35750.400000000001</v>
      </c>
      <c r="G25" s="77">
        <v>299881</v>
      </c>
      <c r="H25" s="103">
        <f t="shared" si="9"/>
        <v>2064</v>
      </c>
      <c r="I25" s="77">
        <v>206526</v>
      </c>
      <c r="J25" s="103">
        <f t="shared" si="9"/>
        <v>8160</v>
      </c>
      <c r="K25" s="77">
        <v>273115</v>
      </c>
      <c r="L25" s="103">
        <f t="shared" si="9"/>
        <v>2064</v>
      </c>
      <c r="M25" s="77">
        <v>25529</v>
      </c>
      <c r="N25" s="103">
        <f t="shared" si="9"/>
        <v>0</v>
      </c>
      <c r="O25" s="77">
        <v>353389</v>
      </c>
      <c r="P25" s="103">
        <f t="shared" si="10"/>
        <v>8832</v>
      </c>
      <c r="Q25" s="77">
        <v>486513</v>
      </c>
      <c r="R25" s="103">
        <f t="shared" si="11"/>
        <v>3216</v>
      </c>
      <c r="S25" s="77">
        <v>779697</v>
      </c>
      <c r="T25" s="103">
        <f t="shared" si="12"/>
        <v>6816</v>
      </c>
      <c r="U25" s="193">
        <v>7120.7740000000003</v>
      </c>
      <c r="V25" s="103">
        <f t="shared" si="31"/>
        <v>1046.1120000000374</v>
      </c>
      <c r="W25" s="77">
        <v>86596</v>
      </c>
      <c r="X25" s="103">
        <f t="shared" si="14"/>
        <v>624</v>
      </c>
      <c r="Y25" s="77">
        <v>1523120</v>
      </c>
      <c r="Z25" s="103">
        <f t="shared" si="15"/>
        <v>0</v>
      </c>
      <c r="AA25" s="77">
        <v>13886</v>
      </c>
      <c r="AB25" s="103">
        <f t="shared" si="16"/>
        <v>0</v>
      </c>
      <c r="AC25" s="77">
        <v>516309</v>
      </c>
      <c r="AD25" s="103">
        <f t="shared" si="17"/>
        <v>5808</v>
      </c>
      <c r="AE25" s="77">
        <v>586717</v>
      </c>
      <c r="AF25" s="103">
        <f t="shared" si="17"/>
        <v>7776</v>
      </c>
      <c r="AG25" s="76">
        <v>49813</v>
      </c>
      <c r="AH25" s="103">
        <f t="shared" si="18"/>
        <v>0</v>
      </c>
      <c r="AI25" s="77">
        <v>457426</v>
      </c>
      <c r="AJ25" s="103">
        <f t="shared" si="19"/>
        <v>4992</v>
      </c>
      <c r="AK25" s="77">
        <v>102770</v>
      </c>
      <c r="AL25" s="103">
        <f t="shared" si="20"/>
        <v>0</v>
      </c>
      <c r="AM25" s="77">
        <v>622770</v>
      </c>
      <c r="AN25" s="103">
        <f t="shared" si="21"/>
        <v>5088</v>
      </c>
      <c r="AO25" s="77">
        <v>13026</v>
      </c>
      <c r="AP25" s="103">
        <f t="shared" si="22"/>
        <v>7968</v>
      </c>
      <c r="AQ25" s="77">
        <v>92550</v>
      </c>
      <c r="AR25" s="103">
        <f t="shared" si="29"/>
        <v>0</v>
      </c>
      <c r="AS25" s="77">
        <v>2463</v>
      </c>
      <c r="AT25" s="103">
        <f t="shared" si="23"/>
        <v>0</v>
      </c>
      <c r="AU25" s="77">
        <v>939</v>
      </c>
      <c r="AV25" s="103">
        <f t="shared" si="24"/>
        <v>0</v>
      </c>
      <c r="AW25" s="77">
        <v>3110</v>
      </c>
      <c r="AX25" s="103">
        <f t="shared" si="25"/>
        <v>0</v>
      </c>
      <c r="AY25" s="77">
        <v>358205</v>
      </c>
      <c r="AZ25" s="103">
        <f t="shared" si="26"/>
        <v>4512</v>
      </c>
      <c r="BA25" s="77">
        <v>161101</v>
      </c>
      <c r="BB25" s="103">
        <f t="shared" si="32"/>
        <v>0</v>
      </c>
      <c r="BC25" s="77">
        <v>241301</v>
      </c>
      <c r="BD25" s="103">
        <f t="shared" si="27"/>
        <v>3024</v>
      </c>
      <c r="BE25" s="77">
        <v>5350</v>
      </c>
      <c r="BF25" s="103">
        <f t="shared" si="28"/>
        <v>0</v>
      </c>
      <c r="BH25" s="105">
        <f t="shared" si="1"/>
        <v>105023.71200000004</v>
      </c>
      <c r="BI25" s="105">
        <f t="shared" si="2"/>
        <v>56342.400000000001</v>
      </c>
    </row>
    <row r="26" spans="1:61" s="35" customFormat="1" ht="39.950000000000003" customHeight="1">
      <c r="A26" s="189">
        <f t="shared" si="6"/>
        <v>44822</v>
      </c>
      <c r="B26" s="34"/>
      <c r="C26" s="77">
        <v>7179206</v>
      </c>
      <c r="D26" s="103">
        <f t="shared" si="8"/>
        <v>139776</v>
      </c>
      <c r="E26" s="104">
        <f t="shared" si="3"/>
        <v>83865.599999999991</v>
      </c>
      <c r="F26" s="103">
        <f t="shared" si="7"/>
        <v>55910.400000000001</v>
      </c>
      <c r="G26" s="77">
        <v>299937</v>
      </c>
      <c r="H26" s="103">
        <f t="shared" si="9"/>
        <v>2688</v>
      </c>
      <c r="I26" s="77">
        <v>206693</v>
      </c>
      <c r="J26" s="103">
        <f t="shared" si="9"/>
        <v>8016</v>
      </c>
      <c r="K26" s="77">
        <v>273183</v>
      </c>
      <c r="L26" s="103">
        <f t="shared" si="9"/>
        <v>3264</v>
      </c>
      <c r="M26" s="77">
        <v>25537</v>
      </c>
      <c r="N26" s="103">
        <f t="shared" si="9"/>
        <v>384</v>
      </c>
      <c r="O26" s="77">
        <v>353599</v>
      </c>
      <c r="P26" s="103">
        <f t="shared" si="10"/>
        <v>10080</v>
      </c>
      <c r="Q26" s="77">
        <v>486589</v>
      </c>
      <c r="R26" s="103">
        <f t="shared" si="11"/>
        <v>3648</v>
      </c>
      <c r="S26" s="77">
        <v>779824</v>
      </c>
      <c r="T26" s="103">
        <f t="shared" si="12"/>
        <v>6096</v>
      </c>
      <c r="U26" s="193">
        <v>7143.73</v>
      </c>
      <c r="V26" s="103">
        <f t="shared" si="31"/>
        <v>1101.8879999999626</v>
      </c>
      <c r="W26" s="77">
        <v>86621</v>
      </c>
      <c r="X26" s="103">
        <f t="shared" si="14"/>
        <v>1200</v>
      </c>
      <c r="Y26" s="77">
        <v>1523120</v>
      </c>
      <c r="Z26" s="103">
        <f t="shared" si="15"/>
        <v>0</v>
      </c>
      <c r="AA26" s="77">
        <v>13886</v>
      </c>
      <c r="AB26" s="103">
        <f t="shared" si="16"/>
        <v>0</v>
      </c>
      <c r="AC26" s="77">
        <v>516457</v>
      </c>
      <c r="AD26" s="103">
        <f t="shared" si="17"/>
        <v>7104</v>
      </c>
      <c r="AE26" s="77">
        <v>586901</v>
      </c>
      <c r="AF26" s="103">
        <f t="shared" si="17"/>
        <v>8832</v>
      </c>
      <c r="AG26" s="76">
        <v>49813</v>
      </c>
      <c r="AH26" s="103">
        <f t="shared" si="18"/>
        <v>0</v>
      </c>
      <c r="AI26" s="77">
        <v>457563</v>
      </c>
      <c r="AJ26" s="103">
        <f t="shared" si="19"/>
        <v>6576</v>
      </c>
      <c r="AK26" s="77">
        <v>102770</v>
      </c>
      <c r="AL26" s="103">
        <f t="shared" si="20"/>
        <v>0</v>
      </c>
      <c r="AM26" s="77">
        <v>622903</v>
      </c>
      <c r="AN26" s="103">
        <f t="shared" si="21"/>
        <v>6384</v>
      </c>
      <c r="AO26" s="77">
        <v>13267</v>
      </c>
      <c r="AP26" s="103">
        <f t="shared" si="22"/>
        <v>11568</v>
      </c>
      <c r="AQ26" s="77">
        <v>92550</v>
      </c>
      <c r="AR26" s="103">
        <f t="shared" si="29"/>
        <v>0</v>
      </c>
      <c r="AS26" s="77">
        <v>2463</v>
      </c>
      <c r="AT26" s="103">
        <f t="shared" si="23"/>
        <v>0</v>
      </c>
      <c r="AU26" s="77">
        <v>939</v>
      </c>
      <c r="AV26" s="103">
        <f t="shared" si="24"/>
        <v>0</v>
      </c>
      <c r="AW26" s="77">
        <v>3110</v>
      </c>
      <c r="AX26" s="103">
        <f t="shared" si="25"/>
        <v>0</v>
      </c>
      <c r="AY26" s="77">
        <v>358313</v>
      </c>
      <c r="AZ26" s="103">
        <f t="shared" si="26"/>
        <v>5184</v>
      </c>
      <c r="BA26" s="77">
        <v>161101</v>
      </c>
      <c r="BB26" s="103">
        <f t="shared" si="32"/>
        <v>0</v>
      </c>
      <c r="BC26" s="77">
        <v>241370</v>
      </c>
      <c r="BD26" s="103">
        <f t="shared" si="27"/>
        <v>3312</v>
      </c>
      <c r="BE26" s="77">
        <v>5350</v>
      </c>
      <c r="BF26" s="103">
        <f t="shared" si="28"/>
        <v>0</v>
      </c>
      <c r="BH26" s="105">
        <f t="shared" si="1"/>
        <v>142855.48799999995</v>
      </c>
      <c r="BI26" s="105">
        <f t="shared" si="2"/>
        <v>82358.399999999994</v>
      </c>
    </row>
    <row r="27" spans="1:61" s="35" customFormat="1" ht="39.950000000000003" customHeight="1">
      <c r="A27" s="189">
        <f t="shared" si="6"/>
        <v>44823</v>
      </c>
      <c r="B27" s="34"/>
      <c r="C27" s="77">
        <v>7181071</v>
      </c>
      <c r="D27" s="103">
        <f t="shared" si="8"/>
        <v>89520</v>
      </c>
      <c r="E27" s="104">
        <f t="shared" si="3"/>
        <v>53712</v>
      </c>
      <c r="F27" s="103">
        <f t="shared" si="7"/>
        <v>35808</v>
      </c>
      <c r="G27" s="77">
        <v>299985</v>
      </c>
      <c r="H27" s="103">
        <f t="shared" si="9"/>
        <v>2304</v>
      </c>
      <c r="I27" s="77">
        <v>206886</v>
      </c>
      <c r="J27" s="103">
        <f t="shared" si="9"/>
        <v>9264</v>
      </c>
      <c r="K27" s="77">
        <v>273244</v>
      </c>
      <c r="L27" s="103">
        <f t="shared" si="9"/>
        <v>2928</v>
      </c>
      <c r="M27" s="77">
        <v>25543</v>
      </c>
      <c r="N27" s="103">
        <f t="shared" si="9"/>
        <v>288</v>
      </c>
      <c r="O27" s="77">
        <v>353811</v>
      </c>
      <c r="P27" s="103">
        <f t="shared" si="10"/>
        <v>10176</v>
      </c>
      <c r="Q27" s="77">
        <v>486656</v>
      </c>
      <c r="R27" s="103">
        <f t="shared" si="11"/>
        <v>3216</v>
      </c>
      <c r="S27" s="77">
        <v>779956</v>
      </c>
      <c r="T27" s="103">
        <f t="shared" si="12"/>
        <v>6336</v>
      </c>
      <c r="U27" s="193">
        <v>7166</v>
      </c>
      <c r="V27" s="103">
        <f t="shared" si="31"/>
        <v>1068.960000000021</v>
      </c>
      <c r="W27" s="77">
        <v>86637</v>
      </c>
      <c r="X27" s="103">
        <f t="shared" si="14"/>
        <v>768</v>
      </c>
      <c r="Y27" s="77">
        <v>1523120</v>
      </c>
      <c r="Z27" s="103">
        <f t="shared" si="15"/>
        <v>0</v>
      </c>
      <c r="AA27" s="77">
        <v>13886</v>
      </c>
      <c r="AB27" s="103">
        <f t="shared" si="16"/>
        <v>0</v>
      </c>
      <c r="AC27" s="77">
        <v>516552</v>
      </c>
      <c r="AD27" s="103">
        <f t="shared" si="17"/>
        <v>4560</v>
      </c>
      <c r="AE27" s="77">
        <v>587016</v>
      </c>
      <c r="AF27" s="103">
        <f t="shared" si="17"/>
        <v>5520</v>
      </c>
      <c r="AG27" s="76">
        <v>49813</v>
      </c>
      <c r="AH27" s="103">
        <f t="shared" si="18"/>
        <v>0</v>
      </c>
      <c r="AI27" s="77">
        <v>457660</v>
      </c>
      <c r="AJ27" s="103">
        <f t="shared" si="19"/>
        <v>4656</v>
      </c>
      <c r="AK27" s="77">
        <v>102770</v>
      </c>
      <c r="AL27" s="103">
        <f t="shared" si="20"/>
        <v>0</v>
      </c>
      <c r="AM27" s="77">
        <v>622963</v>
      </c>
      <c r="AN27" s="103">
        <f t="shared" si="21"/>
        <v>2880</v>
      </c>
      <c r="AO27" s="77">
        <v>13398</v>
      </c>
      <c r="AP27" s="103">
        <f t="shared" si="22"/>
        <v>6288</v>
      </c>
      <c r="AQ27" s="77">
        <v>92550</v>
      </c>
      <c r="AR27" s="103">
        <f t="shared" si="29"/>
        <v>0</v>
      </c>
      <c r="AS27" s="77">
        <v>2463</v>
      </c>
      <c r="AT27" s="103">
        <f t="shared" si="23"/>
        <v>0</v>
      </c>
      <c r="AU27" s="77">
        <v>939</v>
      </c>
      <c r="AV27" s="103">
        <f t="shared" si="24"/>
        <v>0</v>
      </c>
      <c r="AW27" s="77">
        <v>3110</v>
      </c>
      <c r="AX27" s="103">
        <f t="shared" si="25"/>
        <v>0</v>
      </c>
      <c r="AY27" s="77">
        <v>358378</v>
      </c>
      <c r="AZ27" s="103">
        <f>(+AY27-+AY26)*48</f>
        <v>3120</v>
      </c>
      <c r="BA27" s="77">
        <v>161101</v>
      </c>
      <c r="BB27" s="103">
        <f>(+BA27-+BA26)*48</f>
        <v>0</v>
      </c>
      <c r="BC27" s="77">
        <v>241410</v>
      </c>
      <c r="BD27" s="103">
        <f t="shared" si="27"/>
        <v>1920</v>
      </c>
      <c r="BE27" s="77">
        <v>5350</v>
      </c>
      <c r="BF27" s="103">
        <f t="shared" si="28"/>
        <v>0</v>
      </c>
      <c r="BH27" s="105">
        <f t="shared" si="1"/>
        <v>104796.96000000002</v>
      </c>
      <c r="BI27" s="105">
        <f t="shared" si="2"/>
        <v>50016</v>
      </c>
    </row>
    <row r="28" spans="1:61" s="35" customFormat="1" ht="39.950000000000003" customHeight="1">
      <c r="A28" s="189">
        <f t="shared" si="6"/>
        <v>44824</v>
      </c>
      <c r="B28" s="34"/>
      <c r="C28" s="77">
        <v>7183476</v>
      </c>
      <c r="D28" s="103">
        <f t="shared" si="8"/>
        <v>115440</v>
      </c>
      <c r="E28" s="104">
        <f t="shared" si="3"/>
        <v>69264</v>
      </c>
      <c r="F28" s="103">
        <f t="shared" si="7"/>
        <v>46176</v>
      </c>
      <c r="G28" s="77">
        <v>300016</v>
      </c>
      <c r="H28" s="103">
        <f t="shared" si="9"/>
        <v>1488</v>
      </c>
      <c r="I28" s="77">
        <v>207027</v>
      </c>
      <c r="J28" s="103">
        <f t="shared" si="9"/>
        <v>6768</v>
      </c>
      <c r="K28" s="77">
        <v>273253</v>
      </c>
      <c r="L28" s="103">
        <f t="shared" si="9"/>
        <v>432</v>
      </c>
      <c r="M28" s="77">
        <v>25545</v>
      </c>
      <c r="N28" s="103">
        <f t="shared" si="9"/>
        <v>96</v>
      </c>
      <c r="O28" s="77">
        <v>353988</v>
      </c>
      <c r="P28" s="103">
        <f t="shared" si="10"/>
        <v>8496</v>
      </c>
      <c r="Q28" s="77">
        <v>486704</v>
      </c>
      <c r="R28" s="103">
        <f t="shared" si="11"/>
        <v>2304</v>
      </c>
      <c r="S28" s="77">
        <v>780086</v>
      </c>
      <c r="T28" s="103">
        <f t="shared" si="12"/>
        <v>6240</v>
      </c>
      <c r="U28" s="193">
        <v>7187.62</v>
      </c>
      <c r="V28" s="103">
        <f t="shared" si="31"/>
        <v>1037.7599999999948</v>
      </c>
      <c r="W28" s="77">
        <v>86637</v>
      </c>
      <c r="X28" s="103">
        <f t="shared" si="14"/>
        <v>0</v>
      </c>
      <c r="Y28" s="77">
        <v>1523120</v>
      </c>
      <c r="Z28" s="103">
        <f t="shared" si="15"/>
        <v>0</v>
      </c>
      <c r="AA28" s="77">
        <v>13886</v>
      </c>
      <c r="AB28" s="103">
        <f t="shared" si="16"/>
        <v>0</v>
      </c>
      <c r="AC28" s="77">
        <v>516676</v>
      </c>
      <c r="AD28" s="103">
        <f t="shared" si="17"/>
        <v>5952</v>
      </c>
      <c r="AE28" s="77">
        <v>587172</v>
      </c>
      <c r="AF28" s="103">
        <f t="shared" si="17"/>
        <v>7488</v>
      </c>
      <c r="AG28" s="76">
        <v>49813</v>
      </c>
      <c r="AH28" s="103">
        <f t="shared" si="18"/>
        <v>0</v>
      </c>
      <c r="AI28" s="77">
        <v>457763</v>
      </c>
      <c r="AJ28" s="103">
        <f t="shared" si="19"/>
        <v>4944</v>
      </c>
      <c r="AK28" s="77">
        <v>102770</v>
      </c>
      <c r="AL28" s="103">
        <f t="shared" si="20"/>
        <v>0</v>
      </c>
      <c r="AM28" s="77">
        <v>623090</v>
      </c>
      <c r="AN28" s="103">
        <f t="shared" si="21"/>
        <v>6096</v>
      </c>
      <c r="AO28" s="77">
        <v>13577</v>
      </c>
      <c r="AP28" s="103">
        <f t="shared" si="22"/>
        <v>8592</v>
      </c>
      <c r="AQ28" s="77">
        <v>92550</v>
      </c>
      <c r="AR28" s="103">
        <f t="shared" si="29"/>
        <v>0</v>
      </c>
      <c r="AS28" s="77">
        <v>2463</v>
      </c>
      <c r="AT28" s="103">
        <f t="shared" si="23"/>
        <v>0</v>
      </c>
      <c r="AU28" s="77">
        <v>939</v>
      </c>
      <c r="AV28" s="103">
        <f t="shared" si="24"/>
        <v>0</v>
      </c>
      <c r="AW28" s="77">
        <v>3110</v>
      </c>
      <c r="AX28" s="103">
        <f t="shared" si="25"/>
        <v>0</v>
      </c>
      <c r="AY28" s="77">
        <v>358465</v>
      </c>
      <c r="AZ28" s="103">
        <f t="shared" ref="AZ28:AZ38" si="33">(+AY28-+AY27)*48</f>
        <v>4176</v>
      </c>
      <c r="BA28" s="77">
        <v>161101</v>
      </c>
      <c r="BB28" s="103">
        <f>(+BA28-+BA27)*48</f>
        <v>0</v>
      </c>
      <c r="BC28" s="77">
        <v>241466</v>
      </c>
      <c r="BD28" s="103">
        <f t="shared" si="27"/>
        <v>2688</v>
      </c>
      <c r="BE28" s="77">
        <v>5350</v>
      </c>
      <c r="BF28" s="103">
        <f t="shared" si="28"/>
        <v>0</v>
      </c>
      <c r="BH28" s="105">
        <f t="shared" si="1"/>
        <v>114509.75999999999</v>
      </c>
      <c r="BI28" s="105">
        <f t="shared" si="2"/>
        <v>67728</v>
      </c>
    </row>
    <row r="29" spans="1:61" s="35" customFormat="1" ht="39.950000000000003" customHeight="1">
      <c r="A29" s="189">
        <f t="shared" si="6"/>
        <v>44825</v>
      </c>
      <c r="B29" s="34"/>
      <c r="C29" s="77">
        <v>7185716</v>
      </c>
      <c r="D29" s="103">
        <f t="shared" si="8"/>
        <v>107520</v>
      </c>
      <c r="E29" s="104">
        <f t="shared" si="3"/>
        <v>64512</v>
      </c>
      <c r="F29" s="103">
        <f t="shared" si="7"/>
        <v>43008</v>
      </c>
      <c r="G29" s="77">
        <v>300052</v>
      </c>
      <c r="H29" s="103">
        <f t="shared" si="9"/>
        <v>1728</v>
      </c>
      <c r="I29" s="77">
        <v>207188</v>
      </c>
      <c r="J29" s="103">
        <f t="shared" si="9"/>
        <v>7728</v>
      </c>
      <c r="K29" s="77">
        <v>273313</v>
      </c>
      <c r="L29" s="103">
        <f t="shared" si="9"/>
        <v>2880</v>
      </c>
      <c r="M29" s="77">
        <v>25545</v>
      </c>
      <c r="N29" s="103">
        <f t="shared" si="9"/>
        <v>0</v>
      </c>
      <c r="O29" s="77">
        <v>354167</v>
      </c>
      <c r="P29" s="103">
        <f t="shared" si="10"/>
        <v>8592</v>
      </c>
      <c r="Q29" s="77">
        <v>486761</v>
      </c>
      <c r="R29" s="103">
        <f t="shared" si="11"/>
        <v>2736</v>
      </c>
      <c r="S29" s="76">
        <v>780232</v>
      </c>
      <c r="T29" s="103">
        <f t="shared" si="12"/>
        <v>7008</v>
      </c>
      <c r="U29" s="76">
        <v>7209.28</v>
      </c>
      <c r="V29" s="103">
        <f t="shared" si="31"/>
        <v>1039.679999999993</v>
      </c>
      <c r="W29" s="77">
        <v>86653</v>
      </c>
      <c r="X29" s="103">
        <f t="shared" si="14"/>
        <v>768</v>
      </c>
      <c r="Y29" s="77">
        <v>1523120</v>
      </c>
      <c r="Z29" s="103">
        <f t="shared" si="15"/>
        <v>0</v>
      </c>
      <c r="AA29" s="77">
        <v>13886</v>
      </c>
      <c r="AB29" s="103">
        <f t="shared" si="16"/>
        <v>0</v>
      </c>
      <c r="AC29" s="77">
        <v>516804</v>
      </c>
      <c r="AD29" s="103">
        <f t="shared" si="17"/>
        <v>6144</v>
      </c>
      <c r="AE29" s="77">
        <v>587328</v>
      </c>
      <c r="AF29" s="103">
        <f t="shared" si="17"/>
        <v>7488</v>
      </c>
      <c r="AG29" s="76">
        <v>49813</v>
      </c>
      <c r="AH29" s="103">
        <f t="shared" si="18"/>
        <v>0</v>
      </c>
      <c r="AI29" s="77">
        <v>457862</v>
      </c>
      <c r="AJ29" s="103">
        <f t="shared" si="19"/>
        <v>4752</v>
      </c>
      <c r="AK29" s="77">
        <v>102770</v>
      </c>
      <c r="AL29" s="103">
        <f t="shared" si="20"/>
        <v>0</v>
      </c>
      <c r="AM29" s="77">
        <v>623204</v>
      </c>
      <c r="AN29" s="103">
        <f t="shared" si="21"/>
        <v>5472</v>
      </c>
      <c r="AO29" s="77">
        <v>13762</v>
      </c>
      <c r="AP29" s="103">
        <f t="shared" si="22"/>
        <v>8880</v>
      </c>
      <c r="AQ29" s="77">
        <v>92550</v>
      </c>
      <c r="AR29" s="103">
        <f t="shared" si="29"/>
        <v>0</v>
      </c>
      <c r="AS29" s="77">
        <v>2463</v>
      </c>
      <c r="AT29" s="103">
        <f t="shared" si="23"/>
        <v>0</v>
      </c>
      <c r="AU29" s="77">
        <v>939</v>
      </c>
      <c r="AV29" s="103">
        <f t="shared" si="24"/>
        <v>0</v>
      </c>
      <c r="AW29" s="77">
        <v>3110</v>
      </c>
      <c r="AX29" s="103">
        <f t="shared" si="25"/>
        <v>0</v>
      </c>
      <c r="AY29" s="77">
        <v>358555</v>
      </c>
      <c r="AZ29" s="103">
        <f t="shared" si="33"/>
        <v>4320</v>
      </c>
      <c r="BA29" s="77">
        <v>161101</v>
      </c>
      <c r="BB29" s="103">
        <f t="shared" ref="BB29:BB38" si="34">(+BA29-+BA28)*48</f>
        <v>0</v>
      </c>
      <c r="BC29" s="77">
        <v>241521</v>
      </c>
      <c r="BD29" s="103">
        <f t="shared" si="27"/>
        <v>2640</v>
      </c>
      <c r="BE29" s="77">
        <v>5350</v>
      </c>
      <c r="BF29" s="103">
        <f t="shared" si="28"/>
        <v>0</v>
      </c>
      <c r="BH29" s="105">
        <f t="shared" si="1"/>
        <v>115375.67999999999</v>
      </c>
      <c r="BI29" s="105">
        <f t="shared" si="2"/>
        <v>64320</v>
      </c>
    </row>
    <row r="30" spans="1:61" s="35" customFormat="1" ht="39.950000000000003" customHeight="1">
      <c r="A30" s="189">
        <f t="shared" si="6"/>
        <v>44826</v>
      </c>
      <c r="B30" s="34"/>
      <c r="C30" s="77">
        <v>7187967</v>
      </c>
      <c r="D30" s="103">
        <f t="shared" si="8"/>
        <v>108048</v>
      </c>
      <c r="E30" s="104">
        <f t="shared" si="3"/>
        <v>64828.799999999996</v>
      </c>
      <c r="F30" s="103">
        <f t="shared" si="7"/>
        <v>43219.200000000004</v>
      </c>
      <c r="G30" s="77">
        <v>300083</v>
      </c>
      <c r="H30" s="103">
        <f t="shared" si="9"/>
        <v>1488</v>
      </c>
      <c r="I30" s="77">
        <v>207356</v>
      </c>
      <c r="J30" s="103">
        <f t="shared" si="9"/>
        <v>8064</v>
      </c>
      <c r="K30" s="77">
        <v>273347</v>
      </c>
      <c r="L30" s="103">
        <f t="shared" si="9"/>
        <v>1632</v>
      </c>
      <c r="M30" s="77">
        <v>25545</v>
      </c>
      <c r="N30" s="103">
        <f t="shared" si="9"/>
        <v>0</v>
      </c>
      <c r="O30" s="77">
        <v>354349</v>
      </c>
      <c r="P30" s="103">
        <f t="shared" si="10"/>
        <v>8736</v>
      </c>
      <c r="Q30" s="77">
        <v>486815</v>
      </c>
      <c r="R30" s="103">
        <f t="shared" si="11"/>
        <v>2592</v>
      </c>
      <c r="S30" s="77">
        <v>780376</v>
      </c>
      <c r="T30" s="103">
        <f t="shared" si="12"/>
        <v>6912</v>
      </c>
      <c r="U30" s="193">
        <v>7229.68</v>
      </c>
      <c r="V30" s="103">
        <f t="shared" si="31"/>
        <v>979.20000000002619</v>
      </c>
      <c r="W30" s="77">
        <v>86671</v>
      </c>
      <c r="X30" s="103">
        <f t="shared" si="14"/>
        <v>864</v>
      </c>
      <c r="Y30" s="77">
        <v>1523120</v>
      </c>
      <c r="Z30" s="103">
        <f t="shared" si="15"/>
        <v>0</v>
      </c>
      <c r="AA30" s="77">
        <v>13886</v>
      </c>
      <c r="AB30" s="103">
        <f t="shared" si="16"/>
        <v>0</v>
      </c>
      <c r="AC30" s="77">
        <v>516937</v>
      </c>
      <c r="AD30" s="103">
        <f t="shared" si="17"/>
        <v>6384</v>
      </c>
      <c r="AE30" s="77">
        <v>587486</v>
      </c>
      <c r="AF30" s="103">
        <f t="shared" si="17"/>
        <v>7584</v>
      </c>
      <c r="AG30" s="76">
        <v>49813</v>
      </c>
      <c r="AH30" s="103">
        <f t="shared" si="18"/>
        <v>0</v>
      </c>
      <c r="AI30" s="77">
        <v>457956</v>
      </c>
      <c r="AJ30" s="103">
        <f t="shared" si="19"/>
        <v>4512</v>
      </c>
      <c r="AK30" s="77">
        <v>102770</v>
      </c>
      <c r="AL30" s="103">
        <f t="shared" si="20"/>
        <v>0</v>
      </c>
      <c r="AM30" s="77">
        <v>623316</v>
      </c>
      <c r="AN30" s="103">
        <f t="shared" si="21"/>
        <v>5376</v>
      </c>
      <c r="AO30" s="77">
        <v>13946</v>
      </c>
      <c r="AP30" s="103">
        <f t="shared" si="22"/>
        <v>8832</v>
      </c>
      <c r="AQ30" s="77">
        <v>92550</v>
      </c>
      <c r="AR30" s="103">
        <f t="shared" si="29"/>
        <v>0</v>
      </c>
      <c r="AS30" s="77">
        <v>2463</v>
      </c>
      <c r="AT30" s="103">
        <f t="shared" si="23"/>
        <v>0</v>
      </c>
      <c r="AU30" s="77">
        <v>939</v>
      </c>
      <c r="AV30" s="103">
        <f t="shared" si="24"/>
        <v>0</v>
      </c>
      <c r="AW30" s="77">
        <v>3110</v>
      </c>
      <c r="AX30" s="103">
        <f t="shared" si="25"/>
        <v>0</v>
      </c>
      <c r="AY30" s="77">
        <v>358642</v>
      </c>
      <c r="AZ30" s="103">
        <f t="shared" si="33"/>
        <v>4176</v>
      </c>
      <c r="BA30" s="77">
        <v>161101</v>
      </c>
      <c r="BB30" s="103">
        <f t="shared" si="34"/>
        <v>0</v>
      </c>
      <c r="BC30" s="77">
        <v>241577</v>
      </c>
      <c r="BD30" s="103">
        <f t="shared" si="27"/>
        <v>2688</v>
      </c>
      <c r="BE30" s="77">
        <v>5350</v>
      </c>
      <c r="BF30" s="103">
        <f t="shared" si="28"/>
        <v>0</v>
      </c>
      <c r="BH30" s="105">
        <f t="shared" si="1"/>
        <v>114576.00000000001</v>
      </c>
      <c r="BI30" s="105">
        <f t="shared" si="2"/>
        <v>64291.200000000004</v>
      </c>
    </row>
    <row r="31" spans="1:61" s="35" customFormat="1" ht="39.950000000000003" customHeight="1">
      <c r="A31" s="189">
        <f t="shared" si="6"/>
        <v>44827</v>
      </c>
      <c r="B31" s="34"/>
      <c r="C31" s="77">
        <v>7190289</v>
      </c>
      <c r="D31" s="103">
        <f t="shared" si="8"/>
        <v>111456</v>
      </c>
      <c r="E31" s="104">
        <f t="shared" si="3"/>
        <v>66873.599999999991</v>
      </c>
      <c r="F31" s="103">
        <f t="shared" si="7"/>
        <v>44582.400000000001</v>
      </c>
      <c r="G31" s="77">
        <v>300119</v>
      </c>
      <c r="H31" s="103">
        <f t="shared" si="9"/>
        <v>1728</v>
      </c>
      <c r="I31" s="77">
        <v>207516</v>
      </c>
      <c r="J31" s="103">
        <f t="shared" si="9"/>
        <v>7680</v>
      </c>
      <c r="K31" s="77">
        <v>273381</v>
      </c>
      <c r="L31" s="103">
        <f t="shared" si="9"/>
        <v>1632</v>
      </c>
      <c r="M31" s="77">
        <v>25545</v>
      </c>
      <c r="N31" s="103">
        <f t="shared" si="9"/>
        <v>0</v>
      </c>
      <c r="O31" s="77">
        <v>354550</v>
      </c>
      <c r="P31" s="103">
        <f t="shared" si="10"/>
        <v>9648</v>
      </c>
      <c r="Q31" s="77">
        <v>486871</v>
      </c>
      <c r="R31" s="103">
        <f t="shared" si="11"/>
        <v>2688</v>
      </c>
      <c r="S31" s="77">
        <v>780505</v>
      </c>
      <c r="T31" s="103">
        <f t="shared" si="12"/>
        <v>6192</v>
      </c>
      <c r="U31" s="77">
        <v>7251.03</v>
      </c>
      <c r="V31" s="103">
        <f t="shared" si="31"/>
        <v>1024.7999999999738</v>
      </c>
      <c r="W31" s="77">
        <v>86688</v>
      </c>
      <c r="X31" s="103">
        <f t="shared" si="14"/>
        <v>816</v>
      </c>
      <c r="Y31" s="77">
        <v>1523120</v>
      </c>
      <c r="Z31" s="103">
        <f t="shared" si="15"/>
        <v>0</v>
      </c>
      <c r="AA31" s="77">
        <v>13886</v>
      </c>
      <c r="AB31" s="103">
        <f t="shared" si="16"/>
        <v>0</v>
      </c>
      <c r="AC31" s="77">
        <v>517053</v>
      </c>
      <c r="AD31" s="103">
        <f t="shared" si="17"/>
        <v>5568</v>
      </c>
      <c r="AE31" s="77">
        <v>587642</v>
      </c>
      <c r="AF31" s="103">
        <f t="shared" si="17"/>
        <v>7488</v>
      </c>
      <c r="AG31" s="76">
        <v>49813</v>
      </c>
      <c r="AH31" s="103">
        <f t="shared" si="18"/>
        <v>0</v>
      </c>
      <c r="AI31" s="77">
        <v>458033</v>
      </c>
      <c r="AJ31" s="103">
        <f t="shared" si="19"/>
        <v>3696</v>
      </c>
      <c r="AK31" s="77">
        <v>102770</v>
      </c>
      <c r="AL31" s="103">
        <f t="shared" si="20"/>
        <v>0</v>
      </c>
      <c r="AM31" s="77">
        <v>623427</v>
      </c>
      <c r="AN31" s="103">
        <f t="shared" si="21"/>
        <v>5328</v>
      </c>
      <c r="AO31" s="77">
        <v>14127</v>
      </c>
      <c r="AP31" s="103">
        <f t="shared" si="22"/>
        <v>8688</v>
      </c>
      <c r="AQ31" s="77">
        <v>92550</v>
      </c>
      <c r="AR31" s="103">
        <f t="shared" si="29"/>
        <v>0</v>
      </c>
      <c r="AS31" s="77">
        <v>2463</v>
      </c>
      <c r="AT31" s="103">
        <f t="shared" si="23"/>
        <v>0</v>
      </c>
      <c r="AU31" s="77">
        <v>939</v>
      </c>
      <c r="AV31" s="103">
        <f t="shared" si="24"/>
        <v>0</v>
      </c>
      <c r="AW31" s="77">
        <v>3110</v>
      </c>
      <c r="AX31" s="103">
        <f t="shared" si="25"/>
        <v>0</v>
      </c>
      <c r="AY31" s="77">
        <v>358731</v>
      </c>
      <c r="AZ31" s="103">
        <f t="shared" si="33"/>
        <v>4272</v>
      </c>
      <c r="BA31" s="77">
        <v>161101</v>
      </c>
      <c r="BB31" s="103">
        <f t="shared" si="34"/>
        <v>0</v>
      </c>
      <c r="BC31" s="77">
        <v>241643</v>
      </c>
      <c r="BD31" s="103">
        <f t="shared" si="27"/>
        <v>3168</v>
      </c>
      <c r="BE31" s="77">
        <v>5350</v>
      </c>
      <c r="BF31" s="103">
        <f t="shared" si="28"/>
        <v>0</v>
      </c>
      <c r="BH31" s="105">
        <f t="shared" si="1"/>
        <v>115034.39999999997</v>
      </c>
      <c r="BI31" s="105">
        <f t="shared" si="2"/>
        <v>66038.399999999994</v>
      </c>
    </row>
    <row r="32" spans="1:61" s="35" customFormat="1" ht="39.950000000000003" customHeight="1">
      <c r="A32" s="189">
        <f t="shared" si="6"/>
        <v>44828</v>
      </c>
      <c r="B32" s="34"/>
      <c r="C32" s="77">
        <v>7192445</v>
      </c>
      <c r="D32" s="103">
        <f t="shared" si="8"/>
        <v>103488</v>
      </c>
      <c r="E32" s="104">
        <f t="shared" si="3"/>
        <v>62092.799999999996</v>
      </c>
      <c r="F32" s="103">
        <f t="shared" si="7"/>
        <v>41395.200000000004</v>
      </c>
      <c r="G32" s="77">
        <v>300160</v>
      </c>
      <c r="H32" s="103">
        <f t="shared" si="9"/>
        <v>1968</v>
      </c>
      <c r="I32" s="77">
        <v>207682</v>
      </c>
      <c r="J32" s="103">
        <f t="shared" si="9"/>
        <v>7968</v>
      </c>
      <c r="K32" s="77">
        <v>273440</v>
      </c>
      <c r="L32" s="103">
        <f t="shared" si="9"/>
        <v>2832</v>
      </c>
      <c r="M32" s="77">
        <v>25551</v>
      </c>
      <c r="N32" s="103">
        <f t="shared" si="9"/>
        <v>288</v>
      </c>
      <c r="O32" s="77">
        <v>354736</v>
      </c>
      <c r="P32" s="103">
        <f t="shared" si="10"/>
        <v>8928</v>
      </c>
      <c r="Q32" s="77">
        <v>486924</v>
      </c>
      <c r="R32" s="103">
        <f t="shared" si="11"/>
        <v>2544</v>
      </c>
      <c r="S32" s="77">
        <v>780655</v>
      </c>
      <c r="T32" s="103">
        <f t="shared" si="12"/>
        <v>7200</v>
      </c>
      <c r="U32" s="77">
        <v>7271.97</v>
      </c>
      <c r="V32" s="103">
        <f t="shared" si="31"/>
        <v>1005.1200000000244</v>
      </c>
      <c r="W32" s="77">
        <v>86707</v>
      </c>
      <c r="X32" s="103">
        <f t="shared" si="14"/>
        <v>912</v>
      </c>
      <c r="Y32" s="77">
        <v>1523120</v>
      </c>
      <c r="Z32" s="103">
        <f t="shared" si="15"/>
        <v>0</v>
      </c>
      <c r="AA32" s="77">
        <v>13886</v>
      </c>
      <c r="AB32" s="103">
        <f t="shared" si="16"/>
        <v>0</v>
      </c>
      <c r="AC32" s="77">
        <v>517181</v>
      </c>
      <c r="AD32" s="103">
        <f t="shared" si="17"/>
        <v>6144</v>
      </c>
      <c r="AE32" s="77">
        <v>587800</v>
      </c>
      <c r="AF32" s="103">
        <f t="shared" si="17"/>
        <v>7584</v>
      </c>
      <c r="AG32" s="76">
        <v>49813</v>
      </c>
      <c r="AH32" s="103">
        <f>(+AG32-+AG31)*48</f>
        <v>0</v>
      </c>
      <c r="AI32" s="77">
        <v>458119</v>
      </c>
      <c r="AJ32" s="103">
        <f t="shared" si="19"/>
        <v>4128</v>
      </c>
      <c r="AK32" s="77">
        <v>102770</v>
      </c>
      <c r="AL32" s="103">
        <f t="shared" si="20"/>
        <v>0</v>
      </c>
      <c r="AM32" s="77">
        <v>623540</v>
      </c>
      <c r="AN32" s="103">
        <f t="shared" si="21"/>
        <v>5424</v>
      </c>
      <c r="AO32" s="77">
        <v>14308</v>
      </c>
      <c r="AP32" s="103">
        <f t="shared" si="22"/>
        <v>8688</v>
      </c>
      <c r="AQ32" s="77">
        <v>92550</v>
      </c>
      <c r="AR32" s="103">
        <f t="shared" si="29"/>
        <v>0</v>
      </c>
      <c r="AS32" s="77">
        <v>2463</v>
      </c>
      <c r="AT32" s="103">
        <f t="shared" si="23"/>
        <v>0</v>
      </c>
      <c r="AU32" s="77">
        <v>939</v>
      </c>
      <c r="AV32" s="103">
        <f t="shared" si="24"/>
        <v>0</v>
      </c>
      <c r="AW32" s="77">
        <v>3110</v>
      </c>
      <c r="AX32" s="103">
        <f t="shared" si="25"/>
        <v>0</v>
      </c>
      <c r="AY32" s="77">
        <v>358822</v>
      </c>
      <c r="AZ32" s="103">
        <f t="shared" si="33"/>
        <v>4368</v>
      </c>
      <c r="BA32" s="77">
        <v>161101</v>
      </c>
      <c r="BB32" s="103">
        <f t="shared" si="34"/>
        <v>0</v>
      </c>
      <c r="BC32" s="77">
        <v>241703</v>
      </c>
      <c r="BD32" s="103">
        <f t="shared" si="27"/>
        <v>2880</v>
      </c>
      <c r="BE32" s="77">
        <v>5350</v>
      </c>
      <c r="BF32" s="103">
        <f t="shared" si="28"/>
        <v>0</v>
      </c>
      <c r="BH32" s="105">
        <f t="shared" si="1"/>
        <v>113593.92000000001</v>
      </c>
      <c r="BI32" s="105">
        <f t="shared" si="2"/>
        <v>62755.200000000004</v>
      </c>
    </row>
    <row r="33" spans="1:61" s="35" customFormat="1" ht="39.950000000000003" customHeight="1">
      <c r="A33" s="189">
        <f t="shared" si="6"/>
        <v>44829</v>
      </c>
      <c r="B33" s="34"/>
      <c r="C33" s="77">
        <v>7194817</v>
      </c>
      <c r="D33" s="103">
        <f t="shared" si="8"/>
        <v>113856</v>
      </c>
      <c r="E33" s="104">
        <f t="shared" si="3"/>
        <v>68313.599999999991</v>
      </c>
      <c r="F33" s="103">
        <f t="shared" si="7"/>
        <v>45542.400000000001</v>
      </c>
      <c r="G33" s="77">
        <v>300218</v>
      </c>
      <c r="H33" s="37">
        <f t="shared" si="9"/>
        <v>2784</v>
      </c>
      <c r="I33" s="77">
        <v>207851</v>
      </c>
      <c r="J33" s="37">
        <f t="shared" si="9"/>
        <v>8112</v>
      </c>
      <c r="K33" s="77">
        <v>273524</v>
      </c>
      <c r="L33" s="37">
        <f t="shared" si="9"/>
        <v>4032</v>
      </c>
      <c r="M33" s="77">
        <v>25555</v>
      </c>
      <c r="N33" s="37">
        <f t="shared" si="9"/>
        <v>192</v>
      </c>
      <c r="O33" s="77">
        <v>354944</v>
      </c>
      <c r="P33" s="37">
        <f t="shared" si="10"/>
        <v>9984</v>
      </c>
      <c r="Q33" s="77">
        <v>486985</v>
      </c>
      <c r="R33" s="103">
        <f t="shared" si="11"/>
        <v>2928</v>
      </c>
      <c r="S33" s="77">
        <v>780788</v>
      </c>
      <c r="T33" s="37">
        <f t="shared" si="12"/>
        <v>6384</v>
      </c>
      <c r="U33" s="77">
        <v>7290.8789999999999</v>
      </c>
      <c r="V33" s="103">
        <f t="shared" si="31"/>
        <v>907.63199999998324</v>
      </c>
      <c r="W33" s="77">
        <v>86727</v>
      </c>
      <c r="X33" s="103">
        <f t="shared" si="14"/>
        <v>960</v>
      </c>
      <c r="Y33" s="77">
        <v>1523120</v>
      </c>
      <c r="Z33" s="103">
        <f t="shared" si="15"/>
        <v>0</v>
      </c>
      <c r="AA33" s="77">
        <v>13886</v>
      </c>
      <c r="AB33" s="103">
        <f t="shared" si="16"/>
        <v>0</v>
      </c>
      <c r="AC33" s="77">
        <v>517307</v>
      </c>
      <c r="AD33" s="103">
        <f t="shared" si="17"/>
        <v>6048</v>
      </c>
      <c r="AE33" s="77">
        <v>587951</v>
      </c>
      <c r="AF33" s="103">
        <f t="shared" si="17"/>
        <v>7248</v>
      </c>
      <c r="AG33" s="76">
        <v>49813</v>
      </c>
      <c r="AH33" s="103">
        <f>(+AG33-+AG32)*48</f>
        <v>0</v>
      </c>
      <c r="AI33" s="77">
        <v>458222</v>
      </c>
      <c r="AJ33" s="103">
        <f t="shared" si="19"/>
        <v>4944</v>
      </c>
      <c r="AK33" s="77">
        <v>102770</v>
      </c>
      <c r="AL33" s="103">
        <f>(+AK33-+AK32)*48</f>
        <v>0</v>
      </c>
      <c r="AM33" s="77">
        <v>623651</v>
      </c>
      <c r="AN33" s="103">
        <f t="shared" si="21"/>
        <v>5328</v>
      </c>
      <c r="AO33" s="77">
        <v>14485</v>
      </c>
      <c r="AP33" s="103">
        <f t="shared" si="22"/>
        <v>8496</v>
      </c>
      <c r="AQ33" s="77">
        <v>92550</v>
      </c>
      <c r="AR33" s="103">
        <f t="shared" si="29"/>
        <v>0</v>
      </c>
      <c r="AS33" s="77">
        <v>2463</v>
      </c>
      <c r="AT33" s="103">
        <f t="shared" si="23"/>
        <v>0</v>
      </c>
      <c r="AU33" s="77">
        <v>939</v>
      </c>
      <c r="AV33" s="103">
        <f t="shared" si="24"/>
        <v>0</v>
      </c>
      <c r="AW33" s="77">
        <v>3110</v>
      </c>
      <c r="AX33" s="103">
        <f t="shared" si="25"/>
        <v>0</v>
      </c>
      <c r="AY33" s="77">
        <v>358914</v>
      </c>
      <c r="AZ33" s="103">
        <f t="shared" si="33"/>
        <v>4416</v>
      </c>
      <c r="BA33" s="77">
        <v>161101</v>
      </c>
      <c r="BB33" s="103">
        <f t="shared" si="34"/>
        <v>0</v>
      </c>
      <c r="BC33" s="77">
        <v>241762</v>
      </c>
      <c r="BD33" s="103">
        <f t="shared" si="27"/>
        <v>2832</v>
      </c>
      <c r="BE33" s="77">
        <v>5350</v>
      </c>
      <c r="BF33" s="103">
        <f t="shared" si="28"/>
        <v>0</v>
      </c>
      <c r="BH33" s="105">
        <f t="shared" si="1"/>
        <v>122837.23199999997</v>
      </c>
      <c r="BI33" s="105">
        <f t="shared" si="2"/>
        <v>66614.399999999994</v>
      </c>
    </row>
    <row r="34" spans="1:61" s="35" customFormat="1" ht="39.950000000000003" customHeight="1">
      <c r="A34" s="189">
        <f t="shared" si="6"/>
        <v>44830</v>
      </c>
      <c r="B34" s="34"/>
      <c r="C34" s="77">
        <v>7197009</v>
      </c>
      <c r="D34" s="103">
        <f t="shared" si="8"/>
        <v>105216</v>
      </c>
      <c r="E34" s="104">
        <f t="shared" si="3"/>
        <v>63129.599999999999</v>
      </c>
      <c r="F34" s="103">
        <f t="shared" si="7"/>
        <v>42086.400000000001</v>
      </c>
      <c r="G34" s="77">
        <v>300263</v>
      </c>
      <c r="H34" s="37">
        <f t="shared" si="9"/>
        <v>2160</v>
      </c>
      <c r="I34" s="77">
        <v>208019</v>
      </c>
      <c r="J34" s="37">
        <f t="shared" si="9"/>
        <v>8064</v>
      </c>
      <c r="K34" s="77">
        <v>273568</v>
      </c>
      <c r="L34" s="37">
        <f t="shared" si="9"/>
        <v>2112</v>
      </c>
      <c r="M34" s="77">
        <v>25562</v>
      </c>
      <c r="N34" s="37">
        <f t="shared" si="9"/>
        <v>336</v>
      </c>
      <c r="O34" s="77">
        <v>355159</v>
      </c>
      <c r="P34" s="37">
        <f t="shared" si="10"/>
        <v>10320</v>
      </c>
      <c r="Q34" s="77">
        <v>487045</v>
      </c>
      <c r="R34" s="103">
        <f t="shared" si="11"/>
        <v>2880</v>
      </c>
      <c r="S34" s="77">
        <v>780911</v>
      </c>
      <c r="T34" s="37">
        <f t="shared" si="12"/>
        <v>5904</v>
      </c>
      <c r="U34" s="82">
        <v>7314.3519999999999</v>
      </c>
      <c r="V34" s="103">
        <f t="shared" si="31"/>
        <v>1126.7039999999979</v>
      </c>
      <c r="W34" s="77">
        <v>86741</v>
      </c>
      <c r="X34" s="103">
        <f t="shared" si="14"/>
        <v>672</v>
      </c>
      <c r="Y34" s="77">
        <v>1523120</v>
      </c>
      <c r="Z34" s="103">
        <f t="shared" si="15"/>
        <v>0</v>
      </c>
      <c r="AA34" s="77">
        <v>13886</v>
      </c>
      <c r="AB34" s="103">
        <f>(+AA34-+AA33)*48</f>
        <v>0</v>
      </c>
      <c r="AC34" s="77">
        <v>517430</v>
      </c>
      <c r="AD34" s="103">
        <f t="shared" si="17"/>
        <v>5904</v>
      </c>
      <c r="AE34" s="77">
        <v>588108</v>
      </c>
      <c r="AF34" s="103">
        <f t="shared" si="17"/>
        <v>7536</v>
      </c>
      <c r="AG34" s="76">
        <v>49813</v>
      </c>
      <c r="AH34" s="103">
        <f>(+AG34-+AG33)*48</f>
        <v>0</v>
      </c>
      <c r="AI34" s="77">
        <v>458322</v>
      </c>
      <c r="AJ34" s="103">
        <f t="shared" si="19"/>
        <v>4800</v>
      </c>
      <c r="AK34" s="77">
        <v>102770</v>
      </c>
      <c r="AL34" s="103">
        <f>(+AK34-+AK33)*48</f>
        <v>0</v>
      </c>
      <c r="AM34" s="77">
        <v>623761</v>
      </c>
      <c r="AN34" s="103">
        <f t="shared" si="21"/>
        <v>5280</v>
      </c>
      <c r="AO34" s="77">
        <v>14655</v>
      </c>
      <c r="AP34" s="103">
        <f t="shared" si="22"/>
        <v>8160</v>
      </c>
      <c r="AQ34" s="77">
        <v>92550</v>
      </c>
      <c r="AR34" s="103">
        <f t="shared" si="29"/>
        <v>0</v>
      </c>
      <c r="AS34" s="77">
        <v>2463</v>
      </c>
      <c r="AT34" s="103">
        <f t="shared" si="23"/>
        <v>0</v>
      </c>
      <c r="AU34" s="77">
        <v>939</v>
      </c>
      <c r="AV34" s="103">
        <f t="shared" si="24"/>
        <v>0</v>
      </c>
      <c r="AW34" s="77">
        <v>3110</v>
      </c>
      <c r="AX34" s="103">
        <v>0</v>
      </c>
      <c r="AY34" s="77">
        <v>358998</v>
      </c>
      <c r="AZ34" s="103">
        <f t="shared" si="33"/>
        <v>4032</v>
      </c>
      <c r="BA34" s="77">
        <v>161101</v>
      </c>
      <c r="BB34" s="103">
        <f t="shared" si="34"/>
        <v>0</v>
      </c>
      <c r="BC34" s="77">
        <v>241818</v>
      </c>
      <c r="BD34" s="103">
        <f t="shared" si="27"/>
        <v>2688</v>
      </c>
      <c r="BE34" s="77">
        <v>5350</v>
      </c>
      <c r="BF34" s="103">
        <f t="shared" si="28"/>
        <v>0</v>
      </c>
      <c r="BH34" s="105">
        <f t="shared" si="1"/>
        <v>114944.304</v>
      </c>
      <c r="BI34" s="105">
        <f t="shared" si="2"/>
        <v>62246.400000000001</v>
      </c>
    </row>
    <row r="35" spans="1:61" s="35" customFormat="1" ht="39.950000000000003" customHeight="1">
      <c r="A35" s="189">
        <f t="shared" si="6"/>
        <v>44831</v>
      </c>
      <c r="B35" s="34"/>
      <c r="C35" s="77">
        <v>7199388</v>
      </c>
      <c r="D35" s="103">
        <f t="shared" si="8"/>
        <v>114192</v>
      </c>
      <c r="E35" s="104">
        <f t="shared" si="3"/>
        <v>68515.199999999997</v>
      </c>
      <c r="F35" s="103">
        <f t="shared" si="7"/>
        <v>45676.800000000003</v>
      </c>
      <c r="G35" s="77">
        <v>300307</v>
      </c>
      <c r="H35" s="103">
        <f t="shared" si="9"/>
        <v>2112</v>
      </c>
      <c r="I35" s="77">
        <v>208180</v>
      </c>
      <c r="J35" s="103">
        <f t="shared" si="9"/>
        <v>7728</v>
      </c>
      <c r="K35" s="77">
        <v>273609</v>
      </c>
      <c r="L35" s="103">
        <f t="shared" si="9"/>
        <v>1968</v>
      </c>
      <c r="M35" s="77">
        <v>25562</v>
      </c>
      <c r="N35" s="103">
        <f t="shared" si="9"/>
        <v>0</v>
      </c>
      <c r="O35" s="77">
        <v>355348</v>
      </c>
      <c r="P35" s="37">
        <f t="shared" si="10"/>
        <v>9072</v>
      </c>
      <c r="Q35" s="77">
        <v>487116</v>
      </c>
      <c r="R35" s="103">
        <f t="shared" si="11"/>
        <v>3408</v>
      </c>
      <c r="S35" s="77">
        <v>781052</v>
      </c>
      <c r="T35" s="103">
        <f t="shared" si="12"/>
        <v>6768</v>
      </c>
      <c r="U35" s="82">
        <v>7336</v>
      </c>
      <c r="V35" s="103">
        <f t="shared" si="31"/>
        <v>1039.1040000000066</v>
      </c>
      <c r="W35" s="77">
        <v>86741</v>
      </c>
      <c r="X35" s="103">
        <f t="shared" si="14"/>
        <v>0</v>
      </c>
      <c r="Y35" s="77">
        <v>1523120</v>
      </c>
      <c r="Z35" s="103">
        <f t="shared" si="15"/>
        <v>0</v>
      </c>
      <c r="AA35" s="77">
        <v>13886</v>
      </c>
      <c r="AB35" s="103">
        <f>(+AA35-+AA34)*48</f>
        <v>0</v>
      </c>
      <c r="AC35" s="77">
        <v>517553</v>
      </c>
      <c r="AD35" s="103">
        <f t="shared" si="17"/>
        <v>5904</v>
      </c>
      <c r="AE35" s="77">
        <v>588268</v>
      </c>
      <c r="AF35" s="103">
        <f t="shared" si="17"/>
        <v>7680</v>
      </c>
      <c r="AG35" s="76">
        <v>49813</v>
      </c>
      <c r="AH35" s="103">
        <f t="shared" si="18"/>
        <v>0</v>
      </c>
      <c r="AI35" s="77">
        <f>(AI36+AI34)/2</f>
        <v>458404</v>
      </c>
      <c r="AJ35" s="103">
        <f t="shared" si="19"/>
        <v>3936</v>
      </c>
      <c r="AK35" s="77">
        <v>102770</v>
      </c>
      <c r="AL35" s="103">
        <f>(+AK35-+AK34)*48</f>
        <v>0</v>
      </c>
      <c r="AM35" s="77">
        <v>623871</v>
      </c>
      <c r="AN35" s="103">
        <f t="shared" si="21"/>
        <v>5280</v>
      </c>
      <c r="AO35" s="77">
        <v>14827</v>
      </c>
      <c r="AP35" s="103">
        <f t="shared" si="22"/>
        <v>8256</v>
      </c>
      <c r="AQ35" s="77">
        <v>92550</v>
      </c>
      <c r="AR35" s="103">
        <f t="shared" si="29"/>
        <v>0</v>
      </c>
      <c r="AS35" s="77">
        <v>2464</v>
      </c>
      <c r="AT35" s="103">
        <f>(+AS35-+AS34)*48</f>
        <v>48</v>
      </c>
      <c r="AU35" s="77">
        <v>939</v>
      </c>
      <c r="AV35" s="103">
        <f t="shared" si="24"/>
        <v>0</v>
      </c>
      <c r="AW35" s="77">
        <v>3110</v>
      </c>
      <c r="AX35" s="103">
        <v>0</v>
      </c>
      <c r="AY35" s="77">
        <v>359088</v>
      </c>
      <c r="AZ35" s="103">
        <f t="shared" si="33"/>
        <v>4320</v>
      </c>
      <c r="BA35" s="77">
        <v>161101</v>
      </c>
      <c r="BB35" s="103">
        <f t="shared" si="34"/>
        <v>0</v>
      </c>
      <c r="BC35" s="77">
        <v>241878</v>
      </c>
      <c r="BD35" s="103">
        <f t="shared" si="27"/>
        <v>2880</v>
      </c>
      <c r="BE35" s="77">
        <v>5350</v>
      </c>
      <c r="BF35" s="103">
        <f t="shared" si="28"/>
        <v>0</v>
      </c>
      <c r="BH35" s="105">
        <f t="shared" si="1"/>
        <v>118130.304</v>
      </c>
      <c r="BI35" s="105">
        <f t="shared" si="2"/>
        <v>66460.800000000003</v>
      </c>
    </row>
    <row r="36" spans="1:61" s="35" customFormat="1" ht="39.950000000000003" customHeight="1">
      <c r="A36" s="189">
        <f t="shared" si="6"/>
        <v>44832</v>
      </c>
      <c r="B36" s="34"/>
      <c r="C36" s="77">
        <v>7201483</v>
      </c>
      <c r="D36" s="103">
        <f t="shared" si="8"/>
        <v>100560</v>
      </c>
      <c r="E36" s="104">
        <f t="shared" si="3"/>
        <v>60336</v>
      </c>
      <c r="F36" s="103">
        <f t="shared" si="7"/>
        <v>40224</v>
      </c>
      <c r="G36" s="77">
        <v>300343</v>
      </c>
      <c r="H36" s="103">
        <f t="shared" si="9"/>
        <v>1728</v>
      </c>
      <c r="I36" s="77">
        <v>208346</v>
      </c>
      <c r="J36" s="103">
        <f t="shared" si="9"/>
        <v>7968</v>
      </c>
      <c r="K36" s="77">
        <v>273625</v>
      </c>
      <c r="L36" s="103">
        <f t="shared" si="9"/>
        <v>768</v>
      </c>
      <c r="M36" s="77">
        <v>25562</v>
      </c>
      <c r="N36" s="103">
        <f t="shared" si="9"/>
        <v>0</v>
      </c>
      <c r="O36" s="77">
        <v>355541</v>
      </c>
      <c r="P36" s="37">
        <f t="shared" si="10"/>
        <v>9264</v>
      </c>
      <c r="Q36" s="77">
        <v>487182</v>
      </c>
      <c r="R36" s="103">
        <f t="shared" si="11"/>
        <v>3168</v>
      </c>
      <c r="S36" s="77">
        <v>781208</v>
      </c>
      <c r="T36" s="103">
        <f t="shared" si="12"/>
        <v>7488</v>
      </c>
      <c r="U36" s="82">
        <v>7357</v>
      </c>
      <c r="V36" s="103">
        <f t="shared" si="31"/>
        <v>1008</v>
      </c>
      <c r="W36" s="77">
        <v>86760</v>
      </c>
      <c r="X36" s="103">
        <f t="shared" si="14"/>
        <v>912</v>
      </c>
      <c r="Y36" s="77">
        <v>1523120</v>
      </c>
      <c r="Z36" s="103">
        <f>(+Y36-+Y35)*48</f>
        <v>0</v>
      </c>
      <c r="AA36" s="77">
        <v>13886</v>
      </c>
      <c r="AB36" s="103">
        <f>(+AA36-+AA35)*48</f>
        <v>0</v>
      </c>
      <c r="AC36" s="77">
        <v>517679</v>
      </c>
      <c r="AD36" s="103">
        <f t="shared" si="17"/>
        <v>6048</v>
      </c>
      <c r="AE36" s="77">
        <v>588424</v>
      </c>
      <c r="AF36" s="103">
        <f t="shared" si="17"/>
        <v>7488</v>
      </c>
      <c r="AG36" s="76">
        <v>49813</v>
      </c>
      <c r="AH36" s="103">
        <f t="shared" si="18"/>
        <v>0</v>
      </c>
      <c r="AI36" s="77">
        <v>458486</v>
      </c>
      <c r="AJ36" s="103">
        <f t="shared" si="19"/>
        <v>3936</v>
      </c>
      <c r="AK36" s="77">
        <v>102770</v>
      </c>
      <c r="AL36" s="103">
        <f t="shared" si="20"/>
        <v>0</v>
      </c>
      <c r="AM36" s="77">
        <v>623984</v>
      </c>
      <c r="AN36" s="103">
        <f t="shared" si="21"/>
        <v>5424</v>
      </c>
      <c r="AO36" s="77">
        <v>15000</v>
      </c>
      <c r="AP36" s="103">
        <f t="shared" si="22"/>
        <v>8304</v>
      </c>
      <c r="AQ36" s="77">
        <v>92550</v>
      </c>
      <c r="AR36" s="103">
        <f t="shared" si="29"/>
        <v>0</v>
      </c>
      <c r="AS36" s="77">
        <v>2464</v>
      </c>
      <c r="AT36" s="103">
        <f>(+AS36-+AS35)*48</f>
        <v>0</v>
      </c>
      <c r="AU36" s="77">
        <v>939</v>
      </c>
      <c r="AV36" s="103">
        <f t="shared" si="24"/>
        <v>0</v>
      </c>
      <c r="AW36" s="77">
        <v>3110</v>
      </c>
      <c r="AX36" s="103">
        <f t="shared" ref="AX36:AX38" si="35">(+AW36-+AW35)*48</f>
        <v>0</v>
      </c>
      <c r="AY36" s="77">
        <v>359177</v>
      </c>
      <c r="AZ36" s="103">
        <f t="shared" si="33"/>
        <v>4272</v>
      </c>
      <c r="BA36" s="77">
        <v>161101</v>
      </c>
      <c r="BB36" s="103">
        <f t="shared" si="34"/>
        <v>0</v>
      </c>
      <c r="BC36" s="77">
        <v>241936</v>
      </c>
      <c r="BD36" s="103">
        <f t="shared" si="27"/>
        <v>2784</v>
      </c>
      <c r="BE36" s="77">
        <v>5350</v>
      </c>
      <c r="BF36" s="103">
        <f t="shared" si="28"/>
        <v>0</v>
      </c>
      <c r="BH36" s="105">
        <f t="shared" si="1"/>
        <v>110112</v>
      </c>
      <c r="BI36" s="105">
        <f t="shared" si="2"/>
        <v>61008</v>
      </c>
    </row>
    <row r="37" spans="1:61" s="35" customFormat="1" ht="39.950000000000003" customHeight="1">
      <c r="A37" s="189">
        <f t="shared" si="6"/>
        <v>44833</v>
      </c>
      <c r="B37" s="34"/>
      <c r="C37" s="77">
        <v>7203695</v>
      </c>
      <c r="D37" s="103">
        <f t="shared" si="8"/>
        <v>106176</v>
      </c>
      <c r="E37" s="104">
        <f t="shared" si="3"/>
        <v>63705.599999999999</v>
      </c>
      <c r="F37" s="103">
        <f t="shared" si="7"/>
        <v>42470.400000000001</v>
      </c>
      <c r="G37" s="77">
        <v>300378</v>
      </c>
      <c r="H37" s="103">
        <f t="shared" si="9"/>
        <v>1680</v>
      </c>
      <c r="I37" s="77">
        <v>208512</v>
      </c>
      <c r="J37" s="103">
        <f t="shared" si="9"/>
        <v>7968</v>
      </c>
      <c r="K37" s="77">
        <v>273655</v>
      </c>
      <c r="L37" s="103">
        <f t="shared" si="9"/>
        <v>1440</v>
      </c>
      <c r="M37" s="77">
        <v>25562</v>
      </c>
      <c r="N37" s="103">
        <f t="shared" si="9"/>
        <v>0</v>
      </c>
      <c r="O37" s="77">
        <v>355723</v>
      </c>
      <c r="P37" s="37">
        <f t="shared" si="10"/>
        <v>8736</v>
      </c>
      <c r="Q37" s="77">
        <v>487241</v>
      </c>
      <c r="R37" s="103">
        <f t="shared" si="11"/>
        <v>2832</v>
      </c>
      <c r="S37" s="77">
        <v>781355</v>
      </c>
      <c r="T37" s="103">
        <f t="shared" si="12"/>
        <v>7056</v>
      </c>
      <c r="U37" s="82">
        <v>7377</v>
      </c>
      <c r="V37" s="103">
        <f t="shared" si="31"/>
        <v>960</v>
      </c>
      <c r="W37" s="77">
        <v>86777</v>
      </c>
      <c r="X37" s="103">
        <f t="shared" si="14"/>
        <v>816</v>
      </c>
      <c r="Y37" s="77">
        <v>1523120</v>
      </c>
      <c r="Z37" s="103">
        <f>(+Y37-+Y36)*48</f>
        <v>0</v>
      </c>
      <c r="AA37" s="77">
        <v>13886</v>
      </c>
      <c r="AB37" s="103">
        <f t="shared" si="16"/>
        <v>0</v>
      </c>
      <c r="AC37" s="77">
        <v>517805</v>
      </c>
      <c r="AD37" s="103">
        <f t="shared" si="17"/>
        <v>6048</v>
      </c>
      <c r="AE37" s="77">
        <v>588582</v>
      </c>
      <c r="AF37" s="103">
        <f t="shared" si="17"/>
        <v>7584</v>
      </c>
      <c r="AG37" s="76">
        <v>49813</v>
      </c>
      <c r="AH37" s="103">
        <f t="shared" si="18"/>
        <v>0</v>
      </c>
      <c r="AI37" s="77">
        <v>458587</v>
      </c>
      <c r="AJ37" s="103">
        <f t="shared" si="19"/>
        <v>4848</v>
      </c>
      <c r="AK37" s="77">
        <v>102770</v>
      </c>
      <c r="AL37" s="103">
        <f t="shared" si="20"/>
        <v>0</v>
      </c>
      <c r="AM37" s="77">
        <v>624094</v>
      </c>
      <c r="AN37" s="103">
        <f t="shared" si="21"/>
        <v>5280</v>
      </c>
      <c r="AO37" s="77">
        <v>15171</v>
      </c>
      <c r="AP37" s="103">
        <f t="shared" si="22"/>
        <v>8208</v>
      </c>
      <c r="AQ37" s="77">
        <v>92550</v>
      </c>
      <c r="AR37" s="103">
        <f t="shared" si="29"/>
        <v>0</v>
      </c>
      <c r="AS37" s="77">
        <v>2464</v>
      </c>
      <c r="AT37" s="103">
        <f>(+AS37-+AS36)*48</f>
        <v>0</v>
      </c>
      <c r="AU37" s="77">
        <v>939</v>
      </c>
      <c r="AV37" s="103">
        <f t="shared" si="24"/>
        <v>0</v>
      </c>
      <c r="AW37" s="77">
        <v>3110</v>
      </c>
      <c r="AX37" s="103">
        <f t="shared" si="35"/>
        <v>0</v>
      </c>
      <c r="AY37" s="77">
        <v>359267</v>
      </c>
      <c r="AZ37" s="103">
        <f t="shared" si="33"/>
        <v>4320</v>
      </c>
      <c r="BA37" s="77">
        <v>161101</v>
      </c>
      <c r="BB37" s="103">
        <f t="shared" si="34"/>
        <v>0</v>
      </c>
      <c r="BC37" s="77">
        <v>241996</v>
      </c>
      <c r="BD37" s="103">
        <f t="shared" si="27"/>
        <v>2880</v>
      </c>
      <c r="BE37" s="77">
        <v>5350</v>
      </c>
      <c r="BF37" s="103">
        <f t="shared" si="28"/>
        <v>0</v>
      </c>
      <c r="BH37" s="105">
        <f t="shared" si="1"/>
        <v>113673.60000000001</v>
      </c>
      <c r="BI37" s="105">
        <f t="shared" si="2"/>
        <v>63158.400000000001</v>
      </c>
    </row>
    <row r="38" spans="1:61" s="35" customFormat="1" ht="39.950000000000003" customHeight="1">
      <c r="A38" s="189">
        <f t="shared" si="6"/>
        <v>44834</v>
      </c>
      <c r="B38" s="34"/>
      <c r="C38" s="77">
        <v>7205959</v>
      </c>
      <c r="D38" s="103">
        <f t="shared" si="8"/>
        <v>108672</v>
      </c>
      <c r="E38" s="104">
        <f t="shared" si="3"/>
        <v>65203.199999999997</v>
      </c>
      <c r="F38" s="103">
        <f t="shared" si="7"/>
        <v>43468.800000000003</v>
      </c>
      <c r="G38" s="77">
        <v>300411</v>
      </c>
      <c r="H38" s="103">
        <f t="shared" si="9"/>
        <v>1584</v>
      </c>
      <c r="I38" s="77">
        <v>208683</v>
      </c>
      <c r="J38" s="103">
        <f t="shared" si="9"/>
        <v>8208</v>
      </c>
      <c r="K38" s="77">
        <v>273669</v>
      </c>
      <c r="L38" s="103">
        <f t="shared" si="9"/>
        <v>672</v>
      </c>
      <c r="M38" s="77">
        <v>25562</v>
      </c>
      <c r="N38" s="103">
        <f t="shared" si="9"/>
        <v>0</v>
      </c>
      <c r="O38" s="77">
        <v>355911</v>
      </c>
      <c r="P38" s="37">
        <f t="shared" si="10"/>
        <v>9024</v>
      </c>
      <c r="Q38" s="77">
        <v>487294</v>
      </c>
      <c r="R38" s="103">
        <f t="shared" si="11"/>
        <v>2544</v>
      </c>
      <c r="S38" s="77">
        <v>781488</v>
      </c>
      <c r="T38" s="103">
        <f t="shared" si="12"/>
        <v>6384</v>
      </c>
      <c r="U38" s="82">
        <v>7395.7169999999996</v>
      </c>
      <c r="V38" s="103">
        <f t="shared" si="31"/>
        <v>898.41599999998289</v>
      </c>
      <c r="W38" s="77">
        <v>86795</v>
      </c>
      <c r="X38" s="103">
        <f t="shared" si="14"/>
        <v>864</v>
      </c>
      <c r="Y38" s="77">
        <v>1523120</v>
      </c>
      <c r="Z38" s="103">
        <f>(+Y38-+Y37)*48</f>
        <v>0</v>
      </c>
      <c r="AA38" s="77">
        <v>13886</v>
      </c>
      <c r="AB38" s="103">
        <f t="shared" si="16"/>
        <v>0</v>
      </c>
      <c r="AC38" s="77">
        <v>517938</v>
      </c>
      <c r="AD38" s="103">
        <f t="shared" ref="AD38" si="36">(+AC38-+AC37)*48</f>
        <v>6384</v>
      </c>
      <c r="AE38" s="77">
        <v>588739</v>
      </c>
      <c r="AF38" s="103">
        <f t="shared" ref="AF38" si="37">(+AE38-+AE37)*48</f>
        <v>7536</v>
      </c>
      <c r="AG38" s="77">
        <v>49813</v>
      </c>
      <c r="AH38" s="103">
        <f>(+AG38-+AG37)*48</f>
        <v>0</v>
      </c>
      <c r="AI38" s="77">
        <v>458687</v>
      </c>
      <c r="AJ38" s="103">
        <f t="shared" si="19"/>
        <v>4800</v>
      </c>
      <c r="AK38" s="77">
        <v>102770</v>
      </c>
      <c r="AL38" s="103">
        <f t="shared" si="20"/>
        <v>0</v>
      </c>
      <c r="AM38" s="77">
        <v>624209</v>
      </c>
      <c r="AN38" s="103">
        <f t="shared" si="21"/>
        <v>5520</v>
      </c>
      <c r="AO38" s="77">
        <v>15345</v>
      </c>
      <c r="AP38" s="103">
        <f t="shared" si="22"/>
        <v>8352</v>
      </c>
      <c r="AQ38" s="77">
        <v>92550</v>
      </c>
      <c r="AR38" s="103">
        <f t="shared" si="29"/>
        <v>0</v>
      </c>
      <c r="AS38" s="77">
        <v>2464</v>
      </c>
      <c r="AT38" s="103">
        <f>(+AS38-+AS37)*48</f>
        <v>0</v>
      </c>
      <c r="AU38" s="77">
        <v>939</v>
      </c>
      <c r="AV38" s="103">
        <f t="shared" si="24"/>
        <v>0</v>
      </c>
      <c r="AW38" s="77">
        <v>3110</v>
      </c>
      <c r="AX38" s="103">
        <f t="shared" si="35"/>
        <v>0</v>
      </c>
      <c r="AY38" s="77">
        <v>359357</v>
      </c>
      <c r="AZ38" s="103">
        <f t="shared" si="33"/>
        <v>4320</v>
      </c>
      <c r="BA38" s="76">
        <v>161101</v>
      </c>
      <c r="BB38" s="103">
        <f t="shared" si="34"/>
        <v>0</v>
      </c>
      <c r="BC38" s="77">
        <v>242056</v>
      </c>
      <c r="BD38" s="103">
        <f t="shared" si="27"/>
        <v>2880</v>
      </c>
      <c r="BE38" s="77">
        <v>5350</v>
      </c>
      <c r="BF38" s="103">
        <f t="shared" si="28"/>
        <v>0</v>
      </c>
      <c r="BH38" s="105">
        <f t="shared" si="1"/>
        <v>114101.61599999998</v>
      </c>
      <c r="BI38" s="105">
        <f t="shared" si="2"/>
        <v>64540.800000000003</v>
      </c>
    </row>
    <row r="39" spans="1:61" s="35" customFormat="1" ht="39.950000000000003" customHeight="1">
      <c r="A39" s="189"/>
      <c r="B39" s="34"/>
      <c r="C39" s="77"/>
      <c r="D39" s="103"/>
      <c r="E39" s="104"/>
      <c r="F39" s="103"/>
      <c r="G39" s="77"/>
      <c r="H39" s="103"/>
      <c r="I39" s="77"/>
      <c r="J39" s="103"/>
      <c r="K39" s="77"/>
      <c r="L39" s="103"/>
      <c r="M39" s="77"/>
      <c r="N39" s="103"/>
      <c r="O39" s="77"/>
      <c r="P39" s="103"/>
      <c r="Q39" s="77"/>
      <c r="R39" s="103"/>
      <c r="S39" s="77"/>
      <c r="T39" s="103"/>
      <c r="U39" s="77"/>
      <c r="V39" s="103"/>
      <c r="W39" s="77"/>
      <c r="X39" s="103"/>
      <c r="Y39" s="77"/>
      <c r="Z39" s="103"/>
      <c r="AA39" s="77"/>
      <c r="AB39" s="103"/>
      <c r="AC39" s="77"/>
      <c r="AD39" s="103"/>
      <c r="AE39" s="77"/>
      <c r="AF39" s="103"/>
      <c r="AG39" s="77"/>
      <c r="AH39" s="103"/>
      <c r="AI39" s="77"/>
      <c r="AJ39" s="103"/>
      <c r="AK39" s="77"/>
      <c r="AL39" s="103"/>
      <c r="AM39" s="77"/>
      <c r="AN39" s="103"/>
      <c r="AO39" s="77"/>
      <c r="AP39" s="103"/>
      <c r="AQ39" s="77"/>
      <c r="AR39" s="103"/>
      <c r="AS39" s="77"/>
      <c r="AT39" s="103"/>
      <c r="AU39" s="77"/>
      <c r="AV39" s="103"/>
      <c r="AW39" s="77"/>
      <c r="AX39" s="103"/>
      <c r="AY39" s="77"/>
      <c r="AZ39" s="103"/>
      <c r="BA39" s="76"/>
      <c r="BB39" s="103"/>
      <c r="BC39" s="77"/>
      <c r="BD39" s="103"/>
      <c r="BE39" s="77"/>
      <c r="BF39" s="103"/>
      <c r="BH39" s="105"/>
      <c r="BI39" s="105"/>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70" t="s">
        <v>196</v>
      </c>
      <c r="C1" s="270"/>
      <c r="D1" s="270" t="s">
        <v>196</v>
      </c>
      <c r="E1" s="270"/>
      <c r="F1" s="270" t="s">
        <v>196</v>
      </c>
      <c r="G1" s="270"/>
      <c r="H1" s="270" t="s">
        <v>197</v>
      </c>
      <c r="I1" s="270"/>
      <c r="J1" s="267"/>
      <c r="K1" s="267"/>
      <c r="L1" s="270" t="s">
        <v>198</v>
      </c>
      <c r="M1" s="270"/>
      <c r="N1" s="270" t="s">
        <v>198</v>
      </c>
      <c r="O1" s="270"/>
      <c r="P1" s="270" t="s">
        <v>198</v>
      </c>
      <c r="Q1" s="270"/>
      <c r="R1" s="270" t="s">
        <v>198</v>
      </c>
      <c r="S1" s="270"/>
      <c r="T1" s="270" t="s">
        <v>199</v>
      </c>
      <c r="U1" s="270"/>
      <c r="V1" s="278" t="s">
        <v>199</v>
      </c>
      <c r="W1" s="278"/>
      <c r="X1" s="270" t="s">
        <v>199</v>
      </c>
      <c r="Y1" s="270"/>
      <c r="Z1" s="270" t="s">
        <v>199</v>
      </c>
      <c r="AA1" s="270"/>
      <c r="AB1" s="267"/>
      <c r="AC1" s="267"/>
      <c r="AD1" s="270" t="s">
        <v>199</v>
      </c>
      <c r="AE1" s="270"/>
      <c r="AF1" s="270" t="s">
        <v>199</v>
      </c>
      <c r="AG1" s="270"/>
      <c r="AH1" s="270" t="s">
        <v>200</v>
      </c>
      <c r="AI1" s="270"/>
      <c r="AJ1" s="270" t="s">
        <v>200</v>
      </c>
      <c r="AK1" s="270"/>
      <c r="AL1" s="279" t="s">
        <v>200</v>
      </c>
      <c r="AM1" s="279"/>
      <c r="AN1" s="270" t="s">
        <v>200</v>
      </c>
      <c r="AO1" s="270"/>
      <c r="AP1" s="267" t="s">
        <v>200</v>
      </c>
      <c r="AQ1" s="267"/>
      <c r="AR1" s="279" t="s">
        <v>200</v>
      </c>
      <c r="AS1" s="279"/>
      <c r="AT1" s="270" t="s">
        <v>200</v>
      </c>
      <c r="AU1" s="270"/>
      <c r="AV1" s="267"/>
      <c r="AW1" s="267"/>
      <c r="AX1" s="270" t="s">
        <v>200</v>
      </c>
      <c r="AY1" s="270"/>
      <c r="AZ1" s="270" t="s">
        <v>200</v>
      </c>
      <c r="BA1" s="270"/>
      <c r="BB1" s="270" t="s">
        <v>200</v>
      </c>
      <c r="BC1" s="270"/>
      <c r="BD1" s="270" t="s">
        <v>201</v>
      </c>
      <c r="BE1" s="270"/>
      <c r="BF1" s="270" t="s">
        <v>201</v>
      </c>
      <c r="BG1" s="270"/>
      <c r="BH1" s="270" t="s">
        <v>201</v>
      </c>
      <c r="BI1" s="270"/>
      <c r="BJ1" s="270" t="s">
        <v>201</v>
      </c>
      <c r="BK1" s="270"/>
      <c r="BL1" s="270" t="s">
        <v>201</v>
      </c>
      <c r="BM1" s="270"/>
      <c r="BN1" s="270" t="s">
        <v>201</v>
      </c>
      <c r="BO1" s="270"/>
      <c r="BP1" s="270" t="s">
        <v>201</v>
      </c>
      <c r="BQ1" s="270"/>
      <c r="BR1" s="270" t="s">
        <v>201</v>
      </c>
      <c r="BS1" s="270"/>
      <c r="BT1" s="270" t="s">
        <v>201</v>
      </c>
      <c r="BU1" s="270"/>
      <c r="BV1" s="270" t="s">
        <v>201</v>
      </c>
      <c r="BW1" s="270"/>
      <c r="BX1" s="270" t="s">
        <v>201</v>
      </c>
      <c r="BY1" s="270"/>
      <c r="BZ1" s="270" t="s">
        <v>202</v>
      </c>
      <c r="CA1" s="270"/>
      <c r="CB1" s="278" t="s">
        <v>202</v>
      </c>
      <c r="CC1" s="278"/>
      <c r="CD1" s="270" t="s">
        <v>202</v>
      </c>
      <c r="CE1" s="270"/>
      <c r="CF1" s="270" t="s">
        <v>202</v>
      </c>
      <c r="CG1" s="270"/>
      <c r="CH1" s="270" t="s">
        <v>203</v>
      </c>
      <c r="CI1" s="270"/>
      <c r="CJ1" s="270" t="s">
        <v>203</v>
      </c>
      <c r="CK1" s="270"/>
      <c r="CL1" s="270" t="s">
        <v>203</v>
      </c>
      <c r="CM1" s="270"/>
      <c r="CN1" s="270" t="s">
        <v>204</v>
      </c>
      <c r="CO1" s="270"/>
      <c r="CP1" s="270" t="s">
        <v>204</v>
      </c>
      <c r="CQ1" s="270"/>
      <c r="CR1" s="278" t="s">
        <v>204</v>
      </c>
      <c r="CS1" s="278"/>
      <c r="CT1" s="270" t="s">
        <v>204</v>
      </c>
      <c r="CU1" s="270"/>
      <c r="CV1" s="270" t="s">
        <v>204</v>
      </c>
      <c r="CW1" s="270"/>
      <c r="CX1" s="270" t="s">
        <v>204</v>
      </c>
      <c r="CY1" s="270"/>
      <c r="CZ1" s="270" t="s">
        <v>204</v>
      </c>
      <c r="DA1" s="270"/>
      <c r="DB1" s="270" t="s">
        <v>204</v>
      </c>
      <c r="DC1" s="270"/>
      <c r="DD1" s="270" t="s">
        <v>204</v>
      </c>
      <c r="DE1" s="270"/>
      <c r="DF1" s="270" t="s">
        <v>204</v>
      </c>
      <c r="DG1" s="270"/>
      <c r="DH1" s="270" t="s">
        <v>204</v>
      </c>
      <c r="DI1" s="270"/>
      <c r="DJ1" s="267" t="s">
        <v>204</v>
      </c>
      <c r="DK1" s="267"/>
      <c r="DL1" s="270" t="s">
        <v>205</v>
      </c>
      <c r="DM1" s="270"/>
      <c r="DN1" s="270" t="s">
        <v>205</v>
      </c>
      <c r="DO1" s="270"/>
      <c r="DP1" s="270" t="s">
        <v>205</v>
      </c>
      <c r="DQ1" s="270"/>
      <c r="DR1" s="270" t="s">
        <v>205</v>
      </c>
      <c r="DS1" s="270"/>
      <c r="DT1" s="270" t="s">
        <v>205</v>
      </c>
      <c r="DU1" s="270"/>
      <c r="DV1" s="270" t="s">
        <v>205</v>
      </c>
      <c r="DW1" s="270"/>
      <c r="DX1" s="270" t="s">
        <v>206</v>
      </c>
      <c r="DY1" s="270"/>
      <c r="DZ1" s="270" t="s">
        <v>206</v>
      </c>
      <c r="EA1" s="270"/>
      <c r="EB1" s="270" t="s">
        <v>206</v>
      </c>
      <c r="EC1" s="270"/>
      <c r="ED1" s="270" t="s">
        <v>206</v>
      </c>
      <c r="EE1" s="270"/>
      <c r="EF1" s="270" t="s">
        <v>206</v>
      </c>
      <c r="EG1" s="270"/>
      <c r="EH1" s="270" t="s">
        <v>206</v>
      </c>
      <c r="EI1" s="270"/>
      <c r="EJ1" s="270" t="s">
        <v>206</v>
      </c>
      <c r="EK1" s="270"/>
      <c r="EL1" s="270" t="s">
        <v>207</v>
      </c>
      <c r="EM1" s="270"/>
      <c r="EN1" s="270" t="s">
        <v>207</v>
      </c>
      <c r="EO1" s="270"/>
      <c r="EP1" s="270" t="s">
        <v>207</v>
      </c>
      <c r="EQ1" s="270"/>
      <c r="ER1" s="270" t="s">
        <v>208</v>
      </c>
      <c r="ES1" s="270"/>
      <c r="ET1" s="270" t="s">
        <v>208</v>
      </c>
      <c r="EU1" s="270"/>
      <c r="EV1" s="270" t="s">
        <v>208</v>
      </c>
      <c r="EW1" s="270"/>
      <c r="EX1" s="270" t="s">
        <v>209</v>
      </c>
      <c r="EY1" s="270"/>
      <c r="EZ1" s="270" t="s">
        <v>210</v>
      </c>
      <c r="FA1" s="270"/>
      <c r="FB1" s="270" t="s">
        <v>210</v>
      </c>
      <c r="FC1" s="270"/>
      <c r="FD1" s="270" t="s">
        <v>210</v>
      </c>
      <c r="FE1" s="270"/>
      <c r="FF1" s="270" t="s">
        <v>211</v>
      </c>
      <c r="FG1" s="270"/>
      <c r="FH1" s="270" t="s">
        <v>211</v>
      </c>
      <c r="FI1" s="270"/>
      <c r="FJ1" s="270" t="s">
        <v>211</v>
      </c>
      <c r="FK1" s="270"/>
      <c r="FL1" s="267" t="s">
        <v>211</v>
      </c>
      <c r="FM1" s="267"/>
    </row>
    <row r="2" spans="1:169" s="23" customFormat="1" ht="49.5" customHeight="1">
      <c r="B2" s="270" t="s">
        <v>212</v>
      </c>
      <c r="C2" s="270"/>
      <c r="D2" s="270" t="s">
        <v>213</v>
      </c>
      <c r="E2" s="270"/>
      <c r="F2" s="270" t="s">
        <v>212</v>
      </c>
      <c r="G2" s="270"/>
      <c r="H2" s="270" t="s">
        <v>213</v>
      </c>
      <c r="I2" s="270"/>
      <c r="J2" s="270" t="s">
        <v>213</v>
      </c>
      <c r="K2" s="270"/>
      <c r="L2" s="270" t="s">
        <v>212</v>
      </c>
      <c r="M2" s="270"/>
      <c r="N2" s="270" t="s">
        <v>212</v>
      </c>
      <c r="O2" s="270"/>
      <c r="P2" s="270" t="s">
        <v>213</v>
      </c>
      <c r="Q2" s="270"/>
      <c r="R2" s="270" t="s">
        <v>213</v>
      </c>
      <c r="S2" s="270"/>
      <c r="T2" s="270" t="s">
        <v>212</v>
      </c>
      <c r="U2" s="270"/>
      <c r="V2" s="270" t="s">
        <v>213</v>
      </c>
      <c r="W2" s="270"/>
      <c r="X2" s="270" t="s">
        <v>213</v>
      </c>
      <c r="Y2" s="270"/>
      <c r="Z2" s="270" t="s">
        <v>213</v>
      </c>
      <c r="AA2" s="270"/>
      <c r="AB2" s="267" t="s">
        <v>213</v>
      </c>
      <c r="AC2" s="267"/>
      <c r="AD2" s="270" t="s">
        <v>212</v>
      </c>
      <c r="AE2" s="270"/>
      <c r="AF2" s="270" t="s">
        <v>213</v>
      </c>
      <c r="AG2" s="270"/>
      <c r="AH2" s="270" t="s">
        <v>213</v>
      </c>
      <c r="AI2" s="270"/>
      <c r="AJ2" s="270" t="s">
        <v>213</v>
      </c>
      <c r="AK2" s="270"/>
      <c r="AL2" s="270" t="s">
        <v>213</v>
      </c>
      <c r="AM2" s="270"/>
      <c r="AN2" s="270" t="s">
        <v>213</v>
      </c>
      <c r="AO2" s="270"/>
      <c r="AP2" s="267" t="s">
        <v>213</v>
      </c>
      <c r="AQ2" s="267"/>
      <c r="AR2" s="270" t="s">
        <v>213</v>
      </c>
      <c r="AS2" s="270"/>
      <c r="AT2" s="270" t="s">
        <v>213</v>
      </c>
      <c r="AU2" s="270"/>
      <c r="AV2" s="267" t="s">
        <v>213</v>
      </c>
      <c r="AW2" s="267"/>
      <c r="AX2" s="270" t="s">
        <v>213</v>
      </c>
      <c r="AY2" s="270"/>
      <c r="AZ2" s="270" t="s">
        <v>213</v>
      </c>
      <c r="BA2" s="270"/>
      <c r="BB2" s="270" t="s">
        <v>213</v>
      </c>
      <c r="BC2" s="270"/>
      <c r="BD2" s="270" t="s">
        <v>212</v>
      </c>
      <c r="BE2" s="270"/>
      <c r="BF2" s="270" t="s">
        <v>214</v>
      </c>
      <c r="BG2" s="270"/>
      <c r="BH2" s="270" t="s">
        <v>213</v>
      </c>
      <c r="BI2" s="270"/>
      <c r="BJ2" s="270" t="s">
        <v>213</v>
      </c>
      <c r="BK2" s="270"/>
      <c r="BL2" s="270" t="s">
        <v>213</v>
      </c>
      <c r="BM2" s="270"/>
      <c r="BN2" s="270" t="s">
        <v>213</v>
      </c>
      <c r="BO2" s="270"/>
      <c r="BP2" s="270" t="s">
        <v>213</v>
      </c>
      <c r="BQ2" s="270"/>
      <c r="BR2" s="270" t="s">
        <v>213</v>
      </c>
      <c r="BS2" s="270"/>
      <c r="BT2" s="270" t="s">
        <v>213</v>
      </c>
      <c r="BU2" s="270"/>
      <c r="BV2" s="270" t="s">
        <v>213</v>
      </c>
      <c r="BW2" s="270"/>
      <c r="BX2" s="270" t="s">
        <v>213</v>
      </c>
      <c r="BY2" s="270"/>
      <c r="BZ2" s="270" t="s">
        <v>212</v>
      </c>
      <c r="CA2" s="270"/>
      <c r="CB2" s="270" t="s">
        <v>212</v>
      </c>
      <c r="CC2" s="270"/>
      <c r="CD2" s="270" t="s">
        <v>212</v>
      </c>
      <c r="CE2" s="270"/>
      <c r="CF2" s="270" t="s">
        <v>212</v>
      </c>
      <c r="CG2" s="270"/>
      <c r="CH2" s="270" t="s">
        <v>213</v>
      </c>
      <c r="CI2" s="270"/>
      <c r="CJ2" s="270" t="s">
        <v>213</v>
      </c>
      <c r="CK2" s="270"/>
      <c r="CL2" s="270" t="s">
        <v>213</v>
      </c>
      <c r="CM2" s="270"/>
      <c r="CN2" s="270" t="s">
        <v>212</v>
      </c>
      <c r="CO2" s="270"/>
      <c r="CP2" s="270" t="s">
        <v>213</v>
      </c>
      <c r="CQ2" s="270"/>
      <c r="CR2" s="270" t="s">
        <v>213</v>
      </c>
      <c r="CS2" s="270"/>
      <c r="CT2" s="270" t="s">
        <v>213</v>
      </c>
      <c r="CU2" s="270"/>
      <c r="CV2" s="270" t="s">
        <v>213</v>
      </c>
      <c r="CW2" s="270"/>
      <c r="CX2" s="270" t="s">
        <v>213</v>
      </c>
      <c r="CY2" s="270"/>
      <c r="CZ2" s="270" t="s">
        <v>213</v>
      </c>
      <c r="DA2" s="270"/>
      <c r="DB2" s="270" t="s">
        <v>212</v>
      </c>
      <c r="DC2" s="270"/>
      <c r="DD2" s="270" t="s">
        <v>213</v>
      </c>
      <c r="DE2" s="270"/>
      <c r="DF2" s="270" t="s">
        <v>213</v>
      </c>
      <c r="DG2" s="270"/>
      <c r="DH2" s="270" t="s">
        <v>213</v>
      </c>
      <c r="DI2" s="270"/>
      <c r="DJ2" s="267" t="s">
        <v>213</v>
      </c>
      <c r="DK2" s="267"/>
      <c r="DL2" s="270" t="s">
        <v>213</v>
      </c>
      <c r="DM2" s="270"/>
      <c r="DN2" s="270" t="s">
        <v>213</v>
      </c>
      <c r="DO2" s="270"/>
      <c r="DP2" s="270" t="s">
        <v>213</v>
      </c>
      <c r="DQ2" s="270"/>
      <c r="DR2" s="270" t="s">
        <v>213</v>
      </c>
      <c r="DS2" s="270"/>
      <c r="DT2" s="270" t="s">
        <v>213</v>
      </c>
      <c r="DU2" s="270"/>
      <c r="DV2" s="270" t="s">
        <v>213</v>
      </c>
      <c r="DW2" s="270"/>
      <c r="DX2" s="270" t="s">
        <v>213</v>
      </c>
      <c r="DY2" s="270"/>
      <c r="DZ2" s="270" t="s">
        <v>213</v>
      </c>
      <c r="EA2" s="270"/>
      <c r="EB2" s="270" t="s">
        <v>213</v>
      </c>
      <c r="EC2" s="270"/>
      <c r="ED2" s="270" t="s">
        <v>213</v>
      </c>
      <c r="EE2" s="270"/>
      <c r="EF2" s="270" t="s">
        <v>213</v>
      </c>
      <c r="EG2" s="270"/>
      <c r="EH2" s="270" t="s">
        <v>213</v>
      </c>
      <c r="EI2" s="270"/>
      <c r="EJ2" s="270" t="s">
        <v>213</v>
      </c>
      <c r="EK2" s="270"/>
      <c r="EL2" s="270" t="s">
        <v>213</v>
      </c>
      <c r="EM2" s="270"/>
      <c r="EN2" s="270" t="s">
        <v>213</v>
      </c>
      <c r="EO2" s="270"/>
      <c r="EP2" s="270" t="s">
        <v>213</v>
      </c>
      <c r="EQ2" s="270"/>
      <c r="ER2" s="270" t="s">
        <v>213</v>
      </c>
      <c r="ES2" s="270"/>
      <c r="ET2" s="270" t="s">
        <v>213</v>
      </c>
      <c r="EU2" s="270"/>
      <c r="EV2" s="270" t="s">
        <v>213</v>
      </c>
      <c r="EW2" s="270"/>
      <c r="EX2" s="270" t="s">
        <v>213</v>
      </c>
      <c r="EY2" s="270"/>
      <c r="EZ2" s="270" t="s">
        <v>213</v>
      </c>
      <c r="FA2" s="270"/>
      <c r="FB2" s="270" t="s">
        <v>213</v>
      </c>
      <c r="FC2" s="270"/>
      <c r="FD2" s="270" t="s">
        <v>213</v>
      </c>
      <c r="FE2" s="270"/>
      <c r="FF2" s="270" t="s">
        <v>213</v>
      </c>
      <c r="FG2" s="270"/>
      <c r="FH2" s="270" t="s">
        <v>213</v>
      </c>
      <c r="FI2" s="270"/>
      <c r="FJ2" s="270" t="s">
        <v>213</v>
      </c>
      <c r="FK2" s="270"/>
      <c r="FL2" s="267" t="s">
        <v>213</v>
      </c>
      <c r="FM2" s="267"/>
    </row>
    <row r="3" spans="1:169" s="23" customFormat="1" ht="49.5" customHeight="1">
      <c r="B3" s="219" t="s">
        <v>66</v>
      </c>
      <c r="C3" s="220"/>
      <c r="D3" s="219" t="s">
        <v>215</v>
      </c>
      <c r="E3" s="220"/>
      <c r="F3" s="219"/>
      <c r="G3" s="220"/>
      <c r="H3" s="219" t="s">
        <v>215</v>
      </c>
      <c r="I3" s="220"/>
      <c r="J3" s="219" t="s">
        <v>215</v>
      </c>
      <c r="K3" s="220"/>
      <c r="L3" s="219"/>
      <c r="M3" s="220"/>
      <c r="N3" s="219"/>
      <c r="O3" s="220"/>
      <c r="P3" s="219" t="s">
        <v>215</v>
      </c>
      <c r="Q3" s="220"/>
      <c r="R3" s="219" t="s">
        <v>215</v>
      </c>
      <c r="S3" s="220"/>
      <c r="T3" s="219"/>
      <c r="U3" s="220"/>
      <c r="V3" s="219" t="s">
        <v>216</v>
      </c>
      <c r="W3" s="220"/>
      <c r="X3" s="219" t="s">
        <v>216</v>
      </c>
      <c r="Y3" s="220"/>
      <c r="Z3" s="219" t="s">
        <v>216</v>
      </c>
      <c r="AA3" s="220"/>
      <c r="AB3" s="276" t="s">
        <v>216</v>
      </c>
      <c r="AC3" s="277"/>
      <c r="AD3" s="219"/>
      <c r="AE3" s="220"/>
      <c r="AF3" s="219" t="s">
        <v>216</v>
      </c>
      <c r="AG3" s="220"/>
      <c r="AH3" s="219" t="s">
        <v>215</v>
      </c>
      <c r="AI3" s="220"/>
      <c r="AJ3" s="219" t="s">
        <v>215</v>
      </c>
      <c r="AK3" s="220"/>
      <c r="AL3" s="219" t="s">
        <v>215</v>
      </c>
      <c r="AM3" s="220"/>
      <c r="AN3" s="219" t="s">
        <v>215</v>
      </c>
      <c r="AO3" s="220"/>
      <c r="AP3" s="276" t="s">
        <v>215</v>
      </c>
      <c r="AQ3" s="277"/>
      <c r="AR3" s="219" t="s">
        <v>215</v>
      </c>
      <c r="AS3" s="220"/>
      <c r="AT3" s="219" t="s">
        <v>215</v>
      </c>
      <c r="AU3" s="220"/>
      <c r="AV3" s="276" t="s">
        <v>215</v>
      </c>
      <c r="AW3" s="277"/>
      <c r="AX3" s="219" t="s">
        <v>215</v>
      </c>
      <c r="AY3" s="220"/>
      <c r="AZ3" s="219" t="s">
        <v>215</v>
      </c>
      <c r="BA3" s="220"/>
      <c r="BB3" s="219" t="s">
        <v>215</v>
      </c>
      <c r="BC3" s="220"/>
      <c r="BD3" s="219"/>
      <c r="BE3" s="220"/>
      <c r="BF3" s="219"/>
      <c r="BG3" s="220"/>
      <c r="BH3" s="219" t="s">
        <v>215</v>
      </c>
      <c r="BI3" s="220"/>
      <c r="BJ3" s="219" t="s">
        <v>215</v>
      </c>
      <c r="BK3" s="220"/>
      <c r="BL3" s="219" t="s">
        <v>215</v>
      </c>
      <c r="BM3" s="220"/>
      <c r="BN3" s="219" t="s">
        <v>215</v>
      </c>
      <c r="BO3" s="220"/>
      <c r="BP3" s="219" t="s">
        <v>215</v>
      </c>
      <c r="BQ3" s="220"/>
      <c r="BR3" s="219" t="s">
        <v>215</v>
      </c>
      <c r="BS3" s="220"/>
      <c r="BT3" s="219" t="s">
        <v>215</v>
      </c>
      <c r="BU3" s="220"/>
      <c r="BV3" s="219" t="s">
        <v>215</v>
      </c>
      <c r="BW3" s="220"/>
      <c r="BX3" s="219" t="s">
        <v>215</v>
      </c>
      <c r="BY3" s="220"/>
      <c r="BZ3" s="219" t="s">
        <v>65</v>
      </c>
      <c r="CA3" s="220"/>
      <c r="CB3" s="219" t="s">
        <v>65</v>
      </c>
      <c r="CC3" s="220"/>
      <c r="CD3" s="219" t="s">
        <v>65</v>
      </c>
      <c r="CE3" s="220"/>
      <c r="CF3" s="111"/>
      <c r="CG3" s="111"/>
      <c r="CH3" s="219" t="s">
        <v>66</v>
      </c>
      <c r="CI3" s="220"/>
      <c r="CJ3" s="219" t="s">
        <v>66</v>
      </c>
      <c r="CK3" s="220"/>
      <c r="CL3" s="219" t="s">
        <v>215</v>
      </c>
      <c r="CM3" s="220"/>
      <c r="CN3" s="219"/>
      <c r="CO3" s="220"/>
      <c r="CP3" s="219" t="s">
        <v>215</v>
      </c>
      <c r="CQ3" s="220"/>
      <c r="CR3" s="219" t="s">
        <v>215</v>
      </c>
      <c r="CS3" s="220"/>
      <c r="CT3" s="219" t="s">
        <v>215</v>
      </c>
      <c r="CU3" s="220"/>
      <c r="CV3" s="219" t="s">
        <v>215</v>
      </c>
      <c r="CW3" s="220"/>
      <c r="CX3" s="219" t="s">
        <v>215</v>
      </c>
      <c r="CY3" s="220"/>
      <c r="CZ3" s="219" t="s">
        <v>215</v>
      </c>
      <c r="DA3" s="220"/>
      <c r="DB3" s="219" t="s">
        <v>215</v>
      </c>
      <c r="DC3" s="220"/>
      <c r="DD3" s="219" t="s">
        <v>215</v>
      </c>
      <c r="DE3" s="220"/>
      <c r="DF3" s="219" t="s">
        <v>215</v>
      </c>
      <c r="DG3" s="220"/>
      <c r="DH3" s="219" t="s">
        <v>215</v>
      </c>
      <c r="DI3" s="220"/>
      <c r="DJ3" s="276" t="s">
        <v>215</v>
      </c>
      <c r="DK3" s="277"/>
      <c r="DL3" s="219" t="s">
        <v>64</v>
      </c>
      <c r="DM3" s="220"/>
      <c r="DN3" s="219" t="s">
        <v>64</v>
      </c>
      <c r="DO3" s="220"/>
      <c r="DP3" s="219" t="s">
        <v>64</v>
      </c>
      <c r="DQ3" s="220"/>
      <c r="DR3" s="219" t="s">
        <v>64</v>
      </c>
      <c r="DS3" s="220"/>
      <c r="DT3" s="219" t="s">
        <v>64</v>
      </c>
      <c r="DU3" s="220"/>
      <c r="DV3" s="219" t="s">
        <v>217</v>
      </c>
      <c r="DW3" s="220"/>
      <c r="DX3" s="219" t="s">
        <v>64</v>
      </c>
      <c r="DY3" s="220"/>
      <c r="DZ3" s="219" t="s">
        <v>216</v>
      </c>
      <c r="EA3" s="220"/>
      <c r="EB3" s="219" t="s">
        <v>64</v>
      </c>
      <c r="EC3" s="220"/>
      <c r="ED3" s="219" t="s">
        <v>64</v>
      </c>
      <c r="EE3" s="220"/>
      <c r="EF3" s="219" t="s">
        <v>64</v>
      </c>
      <c r="EG3" s="220"/>
      <c r="EH3" s="219" t="s">
        <v>64</v>
      </c>
      <c r="EI3" s="220"/>
      <c r="EJ3" s="219" t="s">
        <v>64</v>
      </c>
      <c r="EK3" s="220"/>
      <c r="EL3" s="219" t="s">
        <v>66</v>
      </c>
      <c r="EM3" s="220"/>
      <c r="EN3" s="219" t="s">
        <v>66</v>
      </c>
      <c r="EO3" s="220"/>
      <c r="EP3" s="219" t="s">
        <v>66</v>
      </c>
      <c r="EQ3" s="220"/>
      <c r="ER3" s="219" t="s">
        <v>66</v>
      </c>
      <c r="ES3" s="220"/>
      <c r="ET3" s="219" t="s">
        <v>66</v>
      </c>
      <c r="EU3" s="220"/>
      <c r="EV3" s="219" t="s">
        <v>66</v>
      </c>
      <c r="EW3" s="220"/>
      <c r="EX3" s="219" t="s">
        <v>66</v>
      </c>
      <c r="EY3" s="220"/>
      <c r="EZ3" s="219" t="s">
        <v>66</v>
      </c>
      <c r="FA3" s="220"/>
      <c r="FB3" s="219" t="s">
        <v>66</v>
      </c>
      <c r="FC3" s="220"/>
      <c r="FD3" s="219" t="s">
        <v>66</v>
      </c>
      <c r="FE3" s="220"/>
      <c r="FF3" s="219" t="s">
        <v>66</v>
      </c>
      <c r="FG3" s="220"/>
      <c r="FH3" s="219" t="s">
        <v>66</v>
      </c>
      <c r="FI3" s="220"/>
      <c r="FJ3" s="219" t="s">
        <v>66</v>
      </c>
      <c r="FK3" s="220"/>
      <c r="FL3" s="276" t="s">
        <v>215</v>
      </c>
      <c r="FM3" s="277"/>
    </row>
    <row r="4" spans="1:169" s="23" customFormat="1" ht="30" customHeight="1">
      <c r="B4" s="219" t="s">
        <v>218</v>
      </c>
      <c r="C4" s="220"/>
      <c r="D4" s="219" t="s">
        <v>218</v>
      </c>
      <c r="E4" s="220"/>
      <c r="F4" s="109"/>
      <c r="G4" s="110"/>
      <c r="H4" s="219" t="s">
        <v>218</v>
      </c>
      <c r="I4" s="220"/>
      <c r="J4" s="219" t="s">
        <v>219</v>
      </c>
      <c r="K4" s="220"/>
      <c r="L4" s="109"/>
      <c r="M4" s="110"/>
      <c r="N4" s="219"/>
      <c r="O4" s="220"/>
      <c r="P4" s="219" t="s">
        <v>220</v>
      </c>
      <c r="Q4" s="220"/>
      <c r="R4" s="219" t="s">
        <v>220</v>
      </c>
      <c r="S4" s="220"/>
      <c r="T4" s="109"/>
      <c r="U4" s="110"/>
      <c r="V4" s="219" t="s">
        <v>220</v>
      </c>
      <c r="W4" s="220"/>
      <c r="X4" s="219" t="s">
        <v>220</v>
      </c>
      <c r="Y4" s="220"/>
      <c r="Z4" s="219" t="s">
        <v>220</v>
      </c>
      <c r="AA4" s="220"/>
      <c r="AB4" s="276" t="s">
        <v>220</v>
      </c>
      <c r="AC4" s="277"/>
      <c r="AD4" s="109"/>
      <c r="AE4" s="110"/>
      <c r="AF4" s="219" t="s">
        <v>220</v>
      </c>
      <c r="AG4" s="220"/>
      <c r="AH4" s="219" t="s">
        <v>220</v>
      </c>
      <c r="AI4" s="220"/>
      <c r="AJ4" s="219" t="s">
        <v>218</v>
      </c>
      <c r="AK4" s="220"/>
      <c r="AL4" s="219" t="s">
        <v>218</v>
      </c>
      <c r="AM4" s="220"/>
      <c r="AN4" s="219" t="s">
        <v>218</v>
      </c>
      <c r="AO4" s="220"/>
      <c r="AP4" s="276" t="s">
        <v>219</v>
      </c>
      <c r="AQ4" s="277"/>
      <c r="AR4" s="219" t="s">
        <v>218</v>
      </c>
      <c r="AS4" s="220"/>
      <c r="AT4" s="219" t="s">
        <v>218</v>
      </c>
      <c r="AU4" s="220"/>
      <c r="AV4" s="276" t="s">
        <v>218</v>
      </c>
      <c r="AW4" s="277"/>
      <c r="AX4" s="219" t="s">
        <v>220</v>
      </c>
      <c r="AY4" s="220"/>
      <c r="AZ4" s="219" t="s">
        <v>218</v>
      </c>
      <c r="BA4" s="220"/>
      <c r="BB4" s="219" t="s">
        <v>218</v>
      </c>
      <c r="BC4" s="220"/>
      <c r="BD4" s="109"/>
      <c r="BE4" s="110"/>
      <c r="BF4" s="109"/>
      <c r="BG4" s="110"/>
      <c r="BH4" s="219" t="s">
        <v>219</v>
      </c>
      <c r="BI4" s="220"/>
      <c r="BJ4" s="219" t="s">
        <v>220</v>
      </c>
      <c r="BK4" s="220"/>
      <c r="BL4" s="219" t="s">
        <v>218</v>
      </c>
      <c r="BM4" s="220"/>
      <c r="BN4" s="219" t="s">
        <v>218</v>
      </c>
      <c r="BO4" s="220"/>
      <c r="BP4" s="219" t="s">
        <v>218</v>
      </c>
      <c r="BQ4" s="220"/>
      <c r="BR4" s="219" t="s">
        <v>218</v>
      </c>
      <c r="BS4" s="220"/>
      <c r="BT4" s="219" t="s">
        <v>218</v>
      </c>
      <c r="BU4" s="220"/>
      <c r="BV4" s="219" t="s">
        <v>218</v>
      </c>
      <c r="BW4" s="220"/>
      <c r="BX4" s="219" t="s">
        <v>218</v>
      </c>
      <c r="BY4" s="220"/>
      <c r="BZ4" s="219" t="s">
        <v>220</v>
      </c>
      <c r="CA4" s="220"/>
      <c r="CB4" s="219" t="s">
        <v>220</v>
      </c>
      <c r="CC4" s="220"/>
      <c r="CD4" s="219" t="s">
        <v>220</v>
      </c>
      <c r="CE4" s="220"/>
      <c r="CF4" s="219" t="s">
        <v>218</v>
      </c>
      <c r="CG4" s="220"/>
      <c r="CH4" s="219" t="s">
        <v>218</v>
      </c>
      <c r="CI4" s="220"/>
      <c r="CJ4" s="219" t="s">
        <v>218</v>
      </c>
      <c r="CK4" s="220"/>
      <c r="CL4" s="219" t="s">
        <v>218</v>
      </c>
      <c r="CM4" s="220"/>
      <c r="CN4" s="109"/>
      <c r="CO4" s="110"/>
      <c r="CP4" s="219" t="s">
        <v>219</v>
      </c>
      <c r="CQ4" s="220"/>
      <c r="CR4" s="219" t="s">
        <v>221</v>
      </c>
      <c r="CS4" s="220"/>
      <c r="CT4" s="219" t="s">
        <v>219</v>
      </c>
      <c r="CU4" s="220"/>
      <c r="CV4" s="219" t="s">
        <v>220</v>
      </c>
      <c r="CW4" s="220"/>
      <c r="CX4" s="219" t="s">
        <v>218</v>
      </c>
      <c r="CY4" s="220"/>
      <c r="CZ4" s="219" t="s">
        <v>218</v>
      </c>
      <c r="DA4" s="220"/>
      <c r="DB4" s="109"/>
      <c r="DC4" s="110"/>
      <c r="DD4" s="219" t="s">
        <v>219</v>
      </c>
      <c r="DE4" s="220"/>
      <c r="DF4" s="219" t="s">
        <v>220</v>
      </c>
      <c r="DG4" s="220"/>
      <c r="DH4" s="219" t="s">
        <v>220</v>
      </c>
      <c r="DI4" s="220"/>
      <c r="DJ4" s="276" t="s">
        <v>219</v>
      </c>
      <c r="DK4" s="277"/>
      <c r="DL4" s="219" t="s">
        <v>218</v>
      </c>
      <c r="DM4" s="220"/>
      <c r="DN4" s="219" t="s">
        <v>218</v>
      </c>
      <c r="DO4" s="220"/>
      <c r="DP4" s="219" t="s">
        <v>218</v>
      </c>
      <c r="DQ4" s="220"/>
      <c r="DR4" s="219" t="s">
        <v>218</v>
      </c>
      <c r="DS4" s="220"/>
      <c r="DT4" s="219" t="s">
        <v>220</v>
      </c>
      <c r="DU4" s="220"/>
      <c r="DV4" s="219" t="s">
        <v>220</v>
      </c>
      <c r="DW4" s="220"/>
      <c r="DX4" s="219" t="s">
        <v>222</v>
      </c>
      <c r="DY4" s="220"/>
      <c r="DZ4" s="219" t="s">
        <v>223</v>
      </c>
      <c r="EA4" s="220"/>
      <c r="EB4" s="219" t="s">
        <v>222</v>
      </c>
      <c r="EC4" s="220"/>
      <c r="ED4" s="219" t="s">
        <v>218</v>
      </c>
      <c r="EE4" s="220"/>
      <c r="EF4" s="219" t="s">
        <v>218</v>
      </c>
      <c r="EG4" s="220"/>
      <c r="EH4" s="219" t="s">
        <v>220</v>
      </c>
      <c r="EI4" s="220"/>
      <c r="EJ4" s="219" t="s">
        <v>220</v>
      </c>
      <c r="EK4" s="220"/>
      <c r="EL4" s="219" t="s">
        <v>218</v>
      </c>
      <c r="EM4" s="220"/>
      <c r="EN4" s="219" t="s">
        <v>218</v>
      </c>
      <c r="EO4" s="220"/>
      <c r="EP4" s="219" t="s">
        <v>218</v>
      </c>
      <c r="EQ4" s="220"/>
      <c r="ER4" s="219" t="s">
        <v>218</v>
      </c>
      <c r="ES4" s="220"/>
      <c r="ET4" s="219" t="s">
        <v>218</v>
      </c>
      <c r="EU4" s="220"/>
      <c r="EV4" s="219" t="s">
        <v>218</v>
      </c>
      <c r="EW4" s="220"/>
      <c r="EX4" s="219" t="s">
        <v>218</v>
      </c>
      <c r="EY4" s="220"/>
      <c r="EZ4" s="219" t="s">
        <v>220</v>
      </c>
      <c r="FA4" s="220"/>
      <c r="FB4" s="219" t="s">
        <v>218</v>
      </c>
      <c r="FC4" s="220"/>
      <c r="FD4" s="219" t="s">
        <v>218</v>
      </c>
      <c r="FE4" s="220"/>
      <c r="FF4" s="219" t="s">
        <v>222</v>
      </c>
      <c r="FG4" s="220"/>
      <c r="FH4" s="219" t="s">
        <v>218</v>
      </c>
      <c r="FI4" s="220"/>
      <c r="FJ4" s="219" t="s">
        <v>222</v>
      </c>
      <c r="FK4" s="220"/>
      <c r="FL4" s="276" t="s">
        <v>218</v>
      </c>
      <c r="FM4" s="277"/>
    </row>
    <row r="5" spans="1:169" s="84" customFormat="1" ht="138.75" customHeight="1">
      <c r="B5" s="273" t="s">
        <v>77</v>
      </c>
      <c r="C5" s="273"/>
      <c r="D5" s="273" t="s">
        <v>224</v>
      </c>
      <c r="E5" s="273"/>
      <c r="F5" s="273" t="s">
        <v>78</v>
      </c>
      <c r="G5" s="273"/>
      <c r="H5" s="273" t="s">
        <v>225</v>
      </c>
      <c r="I5" s="273"/>
      <c r="J5" s="273" t="s">
        <v>226</v>
      </c>
      <c r="K5" s="273"/>
      <c r="L5" s="273" t="s">
        <v>77</v>
      </c>
      <c r="M5" s="273"/>
      <c r="N5" s="273" t="s">
        <v>79</v>
      </c>
      <c r="O5" s="273"/>
      <c r="P5" s="273" t="s">
        <v>227</v>
      </c>
      <c r="Q5" s="273"/>
      <c r="R5" s="273" t="s">
        <v>227</v>
      </c>
      <c r="S5" s="273"/>
      <c r="T5" s="273" t="s">
        <v>67</v>
      </c>
      <c r="U5" s="273"/>
      <c r="V5" s="273" t="s">
        <v>228</v>
      </c>
      <c r="W5" s="273"/>
      <c r="X5" s="273" t="s">
        <v>229</v>
      </c>
      <c r="Y5" s="273"/>
      <c r="Z5" s="273" t="s">
        <v>230</v>
      </c>
      <c r="AA5" s="273"/>
      <c r="AB5" s="274" t="s">
        <v>227</v>
      </c>
      <c r="AC5" s="274"/>
      <c r="AD5" s="273" t="s">
        <v>68</v>
      </c>
      <c r="AE5" s="273"/>
      <c r="AF5" s="273" t="s">
        <v>231</v>
      </c>
      <c r="AG5" s="273"/>
      <c r="AH5" s="273" t="s">
        <v>232</v>
      </c>
      <c r="AI5" s="273"/>
      <c r="AJ5" s="273" t="s">
        <v>233</v>
      </c>
      <c r="AK5" s="273"/>
      <c r="AL5" s="273" t="s">
        <v>225</v>
      </c>
      <c r="AM5" s="273"/>
      <c r="AN5" s="273" t="s">
        <v>234</v>
      </c>
      <c r="AO5" s="273"/>
      <c r="AP5" s="274" t="s">
        <v>235</v>
      </c>
      <c r="AQ5" s="274"/>
      <c r="AR5" s="273" t="s">
        <v>236</v>
      </c>
      <c r="AS5" s="273"/>
      <c r="AT5" s="273" t="s">
        <v>237</v>
      </c>
      <c r="AU5" s="273"/>
      <c r="AV5" s="274" t="s">
        <v>238</v>
      </c>
      <c r="AW5" s="274"/>
      <c r="AX5" s="273" t="s">
        <v>227</v>
      </c>
      <c r="AY5" s="273"/>
      <c r="AZ5" s="273" t="s">
        <v>225</v>
      </c>
      <c r="BA5" s="273"/>
      <c r="BB5" s="273" t="s">
        <v>239</v>
      </c>
      <c r="BC5" s="273"/>
      <c r="BD5" s="273" t="s">
        <v>70</v>
      </c>
      <c r="BE5" s="273"/>
      <c r="BF5" s="273" t="s">
        <v>71</v>
      </c>
      <c r="BG5" s="273"/>
      <c r="BH5" s="273" t="s">
        <v>240</v>
      </c>
      <c r="BI5" s="273"/>
      <c r="BJ5" s="273" t="s">
        <v>241</v>
      </c>
      <c r="BK5" s="273"/>
      <c r="BL5" s="273" t="s">
        <v>242</v>
      </c>
      <c r="BM5" s="273"/>
      <c r="BN5" s="273" t="s">
        <v>243</v>
      </c>
      <c r="BO5" s="273"/>
      <c r="BP5" s="273" t="s">
        <v>244</v>
      </c>
      <c r="BQ5" s="273"/>
      <c r="BR5" s="273" t="s">
        <v>245</v>
      </c>
      <c r="BS5" s="273"/>
      <c r="BT5" s="273" t="s">
        <v>246</v>
      </c>
      <c r="BU5" s="273"/>
      <c r="BV5" s="273" t="s">
        <v>247</v>
      </c>
      <c r="BW5" s="273"/>
      <c r="BX5" s="273" t="s">
        <v>245</v>
      </c>
      <c r="BY5" s="273"/>
      <c r="BZ5" s="273" t="s">
        <v>73</v>
      </c>
      <c r="CA5" s="273"/>
      <c r="CB5" s="273" t="s">
        <v>74</v>
      </c>
      <c r="CC5" s="273"/>
      <c r="CD5" s="273" t="s">
        <v>75</v>
      </c>
      <c r="CE5" s="273"/>
      <c r="CF5" s="273" t="s">
        <v>76</v>
      </c>
      <c r="CG5" s="273"/>
      <c r="CH5" s="273" t="s">
        <v>248</v>
      </c>
      <c r="CI5" s="273"/>
      <c r="CJ5" s="273" t="s">
        <v>248</v>
      </c>
      <c r="CK5" s="273"/>
      <c r="CL5" s="273" t="s">
        <v>249</v>
      </c>
      <c r="CM5" s="273"/>
      <c r="CN5" s="273" t="s">
        <v>69</v>
      </c>
      <c r="CO5" s="273"/>
      <c r="CP5" s="275" t="s">
        <v>250</v>
      </c>
      <c r="CQ5" s="275"/>
      <c r="CR5" s="275" t="s">
        <v>221</v>
      </c>
      <c r="CS5" s="275"/>
      <c r="CT5" s="275" t="s">
        <v>251</v>
      </c>
      <c r="CU5" s="275"/>
      <c r="CV5" s="275" t="s">
        <v>252</v>
      </c>
      <c r="CW5" s="275"/>
      <c r="CX5" s="275" t="s">
        <v>253</v>
      </c>
      <c r="CY5" s="275"/>
      <c r="CZ5" s="275" t="s">
        <v>254</v>
      </c>
      <c r="DA5" s="275"/>
      <c r="DB5" s="273" t="s">
        <v>72</v>
      </c>
      <c r="DC5" s="273"/>
      <c r="DD5" s="273" t="s">
        <v>255</v>
      </c>
      <c r="DE5" s="273"/>
      <c r="DF5" s="273" t="s">
        <v>256</v>
      </c>
      <c r="DG5" s="273"/>
      <c r="DH5" s="273" t="s">
        <v>257</v>
      </c>
      <c r="DI5" s="273"/>
      <c r="DJ5" s="274" t="s">
        <v>255</v>
      </c>
      <c r="DK5" s="274"/>
      <c r="DL5" s="273" t="s">
        <v>258</v>
      </c>
      <c r="DM5" s="273"/>
      <c r="DN5" s="273" t="s">
        <v>258</v>
      </c>
      <c r="DO5" s="273"/>
      <c r="DP5" s="273" t="s">
        <v>259</v>
      </c>
      <c r="DQ5" s="273"/>
      <c r="DR5" s="273" t="s">
        <v>259</v>
      </c>
      <c r="DS5" s="273"/>
      <c r="DT5" s="273" t="s">
        <v>231</v>
      </c>
      <c r="DU5" s="273"/>
      <c r="DV5" s="273" t="s">
        <v>260</v>
      </c>
      <c r="DW5" s="273"/>
      <c r="DX5" s="275" t="s">
        <v>261</v>
      </c>
      <c r="DY5" s="275"/>
      <c r="DZ5" s="273" t="s">
        <v>225</v>
      </c>
      <c r="EA5" s="273"/>
      <c r="EB5" s="275" t="s">
        <v>262</v>
      </c>
      <c r="EC5" s="275"/>
      <c r="ED5" s="275" t="s">
        <v>263</v>
      </c>
      <c r="EE5" s="275"/>
      <c r="EF5" s="275" t="s">
        <v>264</v>
      </c>
      <c r="EG5" s="275"/>
      <c r="EH5" s="275" t="s">
        <v>227</v>
      </c>
      <c r="EI5" s="275"/>
      <c r="EJ5" s="275" t="s">
        <v>265</v>
      </c>
      <c r="EK5" s="275"/>
      <c r="EL5" s="273" t="s">
        <v>266</v>
      </c>
      <c r="EM5" s="273"/>
      <c r="EN5" s="273" t="s">
        <v>267</v>
      </c>
      <c r="EO5" s="273"/>
      <c r="EP5" s="273" t="s">
        <v>268</v>
      </c>
      <c r="EQ5" s="273"/>
      <c r="ER5" s="273" t="s">
        <v>269</v>
      </c>
      <c r="ES5" s="273"/>
      <c r="ET5" s="273" t="s">
        <v>267</v>
      </c>
      <c r="EU5" s="273"/>
      <c r="EV5" s="273" t="s">
        <v>268</v>
      </c>
      <c r="EW5" s="273"/>
      <c r="EX5" s="273" t="s">
        <v>270</v>
      </c>
      <c r="EY5" s="273"/>
      <c r="EZ5" s="273" t="s">
        <v>265</v>
      </c>
      <c r="FA5" s="273"/>
      <c r="FB5" s="273" t="s">
        <v>271</v>
      </c>
      <c r="FC5" s="273"/>
      <c r="FD5" s="273" t="s">
        <v>272</v>
      </c>
      <c r="FE5" s="273"/>
      <c r="FF5" s="273" t="s">
        <v>273</v>
      </c>
      <c r="FG5" s="273"/>
      <c r="FH5" s="273" t="s">
        <v>274</v>
      </c>
      <c r="FI5" s="273"/>
      <c r="FJ5" s="273" t="s">
        <v>275</v>
      </c>
      <c r="FK5" s="273"/>
      <c r="FL5" s="274" t="s">
        <v>276</v>
      </c>
      <c r="FM5" s="274"/>
    </row>
    <row r="6" spans="1:169" s="23" customFormat="1" ht="30" customHeight="1">
      <c r="B6" s="270">
        <v>5065544</v>
      </c>
      <c r="C6" s="270"/>
      <c r="D6" s="219"/>
      <c r="E6" s="220"/>
      <c r="F6" s="270">
        <v>5065541</v>
      </c>
      <c r="G6" s="270"/>
      <c r="H6" s="219"/>
      <c r="I6" s="220"/>
      <c r="J6" s="219"/>
      <c r="K6" s="220"/>
      <c r="L6" s="270">
        <v>5065542</v>
      </c>
      <c r="M6" s="270"/>
      <c r="N6" s="270">
        <v>5065540</v>
      </c>
      <c r="O6" s="270"/>
      <c r="P6" s="219"/>
      <c r="Q6" s="220"/>
      <c r="R6" s="219"/>
      <c r="S6" s="220"/>
      <c r="T6" s="270">
        <v>5065546</v>
      </c>
      <c r="U6" s="270"/>
      <c r="V6" s="219"/>
      <c r="W6" s="220"/>
      <c r="X6" s="219"/>
      <c r="Y6" s="220"/>
      <c r="Z6" s="219"/>
      <c r="AA6" s="220"/>
      <c r="AB6" s="219"/>
      <c r="AC6" s="220"/>
      <c r="AD6" s="270">
        <v>5065547</v>
      </c>
      <c r="AE6" s="270"/>
      <c r="AF6" s="219"/>
      <c r="AG6" s="220"/>
      <c r="AH6" s="271"/>
      <c r="AI6" s="272"/>
      <c r="AJ6" s="271"/>
      <c r="AK6" s="272"/>
      <c r="AL6" s="271"/>
      <c r="AM6" s="272"/>
      <c r="AN6" s="271"/>
      <c r="AO6" s="272"/>
      <c r="AP6" s="271"/>
      <c r="AQ6" s="272"/>
      <c r="AR6" s="271"/>
      <c r="AS6" s="272"/>
      <c r="AT6" s="271"/>
      <c r="AU6" s="272"/>
      <c r="AV6" s="271"/>
      <c r="AW6" s="272"/>
      <c r="AX6" s="271"/>
      <c r="AY6" s="272"/>
      <c r="AZ6" s="271"/>
      <c r="BA6" s="272"/>
      <c r="BB6" s="271"/>
      <c r="BC6" s="272"/>
      <c r="BD6" s="270">
        <v>5065548</v>
      </c>
      <c r="BE6" s="270"/>
      <c r="BF6" s="270">
        <v>5465545</v>
      </c>
      <c r="BG6" s="270"/>
      <c r="BH6" s="219"/>
      <c r="BI6" s="220"/>
      <c r="BJ6" s="219"/>
      <c r="BK6" s="220"/>
      <c r="BL6" s="219"/>
      <c r="BM6" s="220"/>
      <c r="BN6" s="219"/>
      <c r="BO6" s="220"/>
      <c r="BP6" s="219"/>
      <c r="BQ6" s="220"/>
      <c r="BR6" s="219"/>
      <c r="BS6" s="220"/>
      <c r="BT6" s="219"/>
      <c r="BU6" s="220"/>
      <c r="BV6" s="219"/>
      <c r="BW6" s="220"/>
      <c r="BX6" s="219"/>
      <c r="BY6" s="220"/>
      <c r="BZ6" s="270">
        <v>5018351</v>
      </c>
      <c r="CA6" s="270"/>
      <c r="CB6" s="270">
        <v>5018354</v>
      </c>
      <c r="CC6" s="270"/>
      <c r="CD6" s="270">
        <v>5018350</v>
      </c>
      <c r="CE6" s="270"/>
      <c r="CF6" s="270">
        <v>5065543</v>
      </c>
      <c r="CG6" s="270"/>
      <c r="CH6" s="219"/>
      <c r="CI6" s="220"/>
      <c r="CJ6" s="219"/>
      <c r="CK6" s="220"/>
      <c r="CL6" s="219"/>
      <c r="CM6" s="220"/>
      <c r="CN6" s="270">
        <v>5008272</v>
      </c>
      <c r="CO6" s="270"/>
      <c r="CP6" s="219"/>
      <c r="CQ6" s="220"/>
      <c r="CR6" s="219"/>
      <c r="CS6" s="220"/>
      <c r="CT6" s="219"/>
      <c r="CU6" s="220"/>
      <c r="CV6" s="219"/>
      <c r="CW6" s="220"/>
      <c r="CX6" s="219"/>
      <c r="CY6" s="220"/>
      <c r="CZ6" s="219"/>
      <c r="DA6" s="220"/>
      <c r="DB6" s="270">
        <v>5008273</v>
      </c>
      <c r="DC6" s="270"/>
      <c r="DD6" s="219"/>
      <c r="DE6" s="220"/>
      <c r="DF6" s="219"/>
      <c r="DG6" s="220"/>
      <c r="DH6" s="219"/>
      <c r="DI6" s="220"/>
      <c r="DJ6" s="219"/>
      <c r="DK6" s="220"/>
      <c r="DL6" s="219"/>
      <c r="DM6" s="220"/>
      <c r="DN6" s="219"/>
      <c r="DO6" s="220"/>
      <c r="DP6" s="219"/>
      <c r="DQ6" s="220"/>
      <c r="DR6" s="219"/>
      <c r="DS6" s="220"/>
      <c r="DT6" s="219"/>
      <c r="DU6" s="220"/>
      <c r="DV6" s="219"/>
      <c r="DW6" s="220"/>
      <c r="DX6" s="219"/>
      <c r="DY6" s="220"/>
      <c r="DZ6" s="219"/>
      <c r="EA6" s="220"/>
      <c r="EB6" s="219"/>
      <c r="EC6" s="220"/>
      <c r="ED6" s="219"/>
      <c r="EE6" s="220"/>
      <c r="EF6" s="219"/>
      <c r="EG6" s="220"/>
      <c r="EH6" s="219"/>
      <c r="EI6" s="220"/>
      <c r="EJ6" s="219"/>
      <c r="EK6" s="220"/>
      <c r="EL6" s="219"/>
      <c r="EM6" s="220"/>
      <c r="EN6" s="219"/>
      <c r="EO6" s="220"/>
      <c r="EP6" s="219"/>
      <c r="EQ6" s="220"/>
      <c r="ER6" s="219"/>
      <c r="ES6" s="220"/>
      <c r="ET6" s="219"/>
      <c r="EU6" s="220"/>
      <c r="EV6" s="219"/>
      <c r="EW6" s="220"/>
      <c r="EX6" s="219"/>
      <c r="EY6" s="220"/>
      <c r="EZ6" s="219"/>
      <c r="FA6" s="220"/>
      <c r="FB6" s="219"/>
      <c r="FC6" s="220"/>
      <c r="FD6" s="219"/>
      <c r="FE6" s="220"/>
      <c r="FF6" s="219"/>
      <c r="FG6" s="220"/>
      <c r="FH6" s="219"/>
      <c r="FI6" s="220"/>
      <c r="FJ6" s="219"/>
      <c r="FK6" s="220"/>
      <c r="FL6" s="219"/>
      <c r="FM6" s="220"/>
    </row>
    <row r="7" spans="1:169" s="23" customFormat="1" ht="30" customHeight="1">
      <c r="B7" s="258" t="s">
        <v>91</v>
      </c>
      <c r="C7" s="258"/>
      <c r="D7" s="258" t="s">
        <v>91</v>
      </c>
      <c r="E7" s="258"/>
      <c r="F7" s="256" t="s">
        <v>92</v>
      </c>
      <c r="G7" s="256"/>
      <c r="H7" s="257" t="s">
        <v>93</v>
      </c>
      <c r="I7" s="257"/>
      <c r="J7" s="257" t="s">
        <v>93</v>
      </c>
      <c r="K7" s="257"/>
      <c r="L7" s="257" t="s">
        <v>93</v>
      </c>
      <c r="M7" s="257"/>
      <c r="N7" s="259" t="s">
        <v>94</v>
      </c>
      <c r="O7" s="259"/>
      <c r="P7" s="259" t="s">
        <v>94</v>
      </c>
      <c r="Q7" s="259"/>
      <c r="R7" s="259" t="s">
        <v>94</v>
      </c>
      <c r="S7" s="259"/>
      <c r="T7" s="260" t="s">
        <v>81</v>
      </c>
      <c r="U7" s="260"/>
      <c r="V7" s="260" t="s">
        <v>81</v>
      </c>
      <c r="W7" s="260"/>
      <c r="X7" s="260" t="s">
        <v>81</v>
      </c>
      <c r="Y7" s="260"/>
      <c r="Z7" s="260" t="s">
        <v>81</v>
      </c>
      <c r="AA7" s="260"/>
      <c r="AB7" s="260" t="s">
        <v>81</v>
      </c>
      <c r="AC7" s="260"/>
      <c r="AD7" s="262" t="s">
        <v>82</v>
      </c>
      <c r="AE7" s="262"/>
      <c r="AF7" s="262" t="s">
        <v>82</v>
      </c>
      <c r="AG7" s="262"/>
      <c r="AH7" s="269" t="s">
        <v>84</v>
      </c>
      <c r="AI7" s="269"/>
      <c r="AJ7" s="269" t="s">
        <v>84</v>
      </c>
      <c r="AK7" s="269"/>
      <c r="AL7" s="269" t="s">
        <v>84</v>
      </c>
      <c r="AM7" s="269"/>
      <c r="AN7" s="269" t="s">
        <v>84</v>
      </c>
      <c r="AO7" s="269"/>
      <c r="AP7" s="269" t="s">
        <v>84</v>
      </c>
      <c r="AQ7" s="269"/>
      <c r="AR7" s="269" t="s">
        <v>84</v>
      </c>
      <c r="AS7" s="269"/>
      <c r="AT7" s="269" t="s">
        <v>84</v>
      </c>
      <c r="AU7" s="269"/>
      <c r="AV7" s="269" t="s">
        <v>84</v>
      </c>
      <c r="AW7" s="269"/>
      <c r="AX7" s="269" t="s">
        <v>84</v>
      </c>
      <c r="AY7" s="269"/>
      <c r="AZ7" s="269" t="s">
        <v>84</v>
      </c>
      <c r="BA7" s="269"/>
      <c r="BB7" s="269" t="s">
        <v>84</v>
      </c>
      <c r="BC7" s="269"/>
      <c r="BD7" s="269" t="s">
        <v>84</v>
      </c>
      <c r="BE7" s="269"/>
      <c r="BF7" s="264" t="s">
        <v>85</v>
      </c>
      <c r="BG7" s="264"/>
      <c r="BH7" s="264" t="s">
        <v>85</v>
      </c>
      <c r="BI7" s="264"/>
      <c r="BJ7" s="264" t="s">
        <v>85</v>
      </c>
      <c r="BK7" s="264"/>
      <c r="BL7" s="264" t="s">
        <v>85</v>
      </c>
      <c r="BM7" s="264"/>
      <c r="BN7" s="264" t="s">
        <v>85</v>
      </c>
      <c r="BO7" s="264"/>
      <c r="BP7" s="264" t="s">
        <v>85</v>
      </c>
      <c r="BQ7" s="264"/>
      <c r="BR7" s="264" t="s">
        <v>85</v>
      </c>
      <c r="BS7" s="264"/>
      <c r="BT7" s="264" t="s">
        <v>85</v>
      </c>
      <c r="BU7" s="264"/>
      <c r="BV7" s="264" t="s">
        <v>85</v>
      </c>
      <c r="BW7" s="264"/>
      <c r="BX7" s="264" t="s">
        <v>85</v>
      </c>
      <c r="BY7" s="264"/>
      <c r="BZ7" s="265" t="s">
        <v>87</v>
      </c>
      <c r="CA7" s="265"/>
      <c r="CB7" s="266" t="s">
        <v>88</v>
      </c>
      <c r="CC7" s="266"/>
      <c r="CD7" s="267" t="s">
        <v>89</v>
      </c>
      <c r="CE7" s="267"/>
      <c r="CF7" s="268" t="s">
        <v>90</v>
      </c>
      <c r="CG7" s="268"/>
      <c r="CH7" s="268" t="s">
        <v>90</v>
      </c>
      <c r="CI7" s="268"/>
      <c r="CJ7" s="268" t="s">
        <v>90</v>
      </c>
      <c r="CK7" s="268"/>
      <c r="CL7" s="268" t="s">
        <v>90</v>
      </c>
      <c r="CM7" s="268"/>
      <c r="CN7" s="263" t="s">
        <v>83</v>
      </c>
      <c r="CO7" s="263"/>
      <c r="CP7" s="263" t="s">
        <v>83</v>
      </c>
      <c r="CQ7" s="263"/>
      <c r="CR7" s="263" t="s">
        <v>83</v>
      </c>
      <c r="CS7" s="263"/>
      <c r="CT7" s="263" t="s">
        <v>83</v>
      </c>
      <c r="CU7" s="263"/>
      <c r="CV7" s="263" t="s">
        <v>83</v>
      </c>
      <c r="CW7" s="263"/>
      <c r="CX7" s="263" t="s">
        <v>83</v>
      </c>
      <c r="CY7" s="263"/>
      <c r="CZ7" s="263" t="s">
        <v>83</v>
      </c>
      <c r="DA7" s="263"/>
      <c r="DB7" s="261" t="s">
        <v>86</v>
      </c>
      <c r="DC7" s="261"/>
      <c r="DD7" s="261" t="s">
        <v>86</v>
      </c>
      <c r="DE7" s="261"/>
      <c r="DF7" s="261" t="s">
        <v>86</v>
      </c>
      <c r="DG7" s="261"/>
      <c r="DH7" s="261" t="s">
        <v>86</v>
      </c>
      <c r="DI7" s="261"/>
      <c r="DJ7" s="261" t="s">
        <v>86</v>
      </c>
      <c r="DK7" s="261"/>
      <c r="DL7" s="262" t="s">
        <v>82</v>
      </c>
      <c r="DM7" s="262"/>
      <c r="DN7" s="262" t="s">
        <v>82</v>
      </c>
      <c r="DO7" s="262"/>
      <c r="DP7" s="262" t="s">
        <v>82</v>
      </c>
      <c r="DQ7" s="262"/>
      <c r="DR7" s="262" t="s">
        <v>82</v>
      </c>
      <c r="DS7" s="262"/>
      <c r="DT7" s="262" t="s">
        <v>82</v>
      </c>
      <c r="DU7" s="262"/>
      <c r="DV7" s="262" t="s">
        <v>82</v>
      </c>
      <c r="DW7" s="262"/>
      <c r="DX7" s="260" t="s">
        <v>81</v>
      </c>
      <c r="DY7" s="260"/>
      <c r="DZ7" s="260" t="s">
        <v>81</v>
      </c>
      <c r="EA7" s="260"/>
      <c r="EB7" s="260" t="s">
        <v>81</v>
      </c>
      <c r="EC7" s="260"/>
      <c r="ED7" s="260" t="s">
        <v>81</v>
      </c>
      <c r="EE7" s="260"/>
      <c r="EF7" s="260" t="s">
        <v>81</v>
      </c>
      <c r="EG7" s="260"/>
      <c r="EH7" s="260" t="s">
        <v>81</v>
      </c>
      <c r="EI7" s="260"/>
      <c r="EJ7" s="260" t="s">
        <v>81</v>
      </c>
      <c r="EK7" s="260"/>
      <c r="EL7" s="257" t="s">
        <v>93</v>
      </c>
      <c r="EM7" s="257"/>
      <c r="EN7" s="257" t="s">
        <v>93</v>
      </c>
      <c r="EO7" s="257"/>
      <c r="EP7" s="257" t="s">
        <v>93</v>
      </c>
      <c r="EQ7" s="257"/>
      <c r="ER7" s="258" t="s">
        <v>91</v>
      </c>
      <c r="ES7" s="258"/>
      <c r="ET7" s="258" t="s">
        <v>91</v>
      </c>
      <c r="EU7" s="258"/>
      <c r="EV7" s="258" t="s">
        <v>91</v>
      </c>
      <c r="EW7" s="258"/>
      <c r="EX7" s="256" t="s">
        <v>92</v>
      </c>
      <c r="EY7" s="256"/>
      <c r="EZ7" s="259" t="s">
        <v>94</v>
      </c>
      <c r="FA7" s="259"/>
      <c r="FB7" s="259" t="s">
        <v>94</v>
      </c>
      <c r="FC7" s="259"/>
      <c r="FD7" s="259" t="s">
        <v>94</v>
      </c>
      <c r="FE7" s="259"/>
      <c r="FF7" s="256" t="s">
        <v>92</v>
      </c>
      <c r="FG7" s="256"/>
      <c r="FH7" s="256" t="s">
        <v>92</v>
      </c>
      <c r="FI7" s="256"/>
      <c r="FJ7" s="256" t="s">
        <v>92</v>
      </c>
      <c r="FK7" s="256"/>
      <c r="FL7" s="256" t="s">
        <v>92</v>
      </c>
      <c r="FM7" s="256"/>
    </row>
    <row r="8" spans="1:169" s="23" customFormat="1" ht="30" customHeight="1">
      <c r="B8" s="255"/>
      <c r="C8" s="255"/>
      <c r="D8" s="253" t="s">
        <v>277</v>
      </c>
      <c r="E8" s="254"/>
      <c r="F8" s="255"/>
      <c r="G8" s="255"/>
      <c r="H8" s="253" t="s">
        <v>278</v>
      </c>
      <c r="I8" s="254"/>
      <c r="J8" s="253" t="s">
        <v>279</v>
      </c>
      <c r="K8" s="254"/>
      <c r="L8" s="255"/>
      <c r="M8" s="255"/>
      <c r="N8" s="255"/>
      <c r="O8" s="255"/>
      <c r="P8" s="253" t="s">
        <v>280</v>
      </c>
      <c r="Q8" s="254"/>
      <c r="R8" s="253" t="s">
        <v>281</v>
      </c>
      <c r="S8" s="254"/>
      <c r="T8" s="255"/>
      <c r="U8" s="255"/>
      <c r="V8" s="253" t="s">
        <v>282</v>
      </c>
      <c r="W8" s="254"/>
      <c r="X8" s="253" t="s">
        <v>283</v>
      </c>
      <c r="Y8" s="254"/>
      <c r="Z8" s="253" t="s">
        <v>284</v>
      </c>
      <c r="AA8" s="254"/>
      <c r="AB8" s="253" t="s">
        <v>285</v>
      </c>
      <c r="AC8" s="254"/>
      <c r="AD8" s="255"/>
      <c r="AE8" s="255"/>
      <c r="AF8" s="253" t="s">
        <v>286</v>
      </c>
      <c r="AG8" s="254"/>
      <c r="AH8" s="253" t="s">
        <v>287</v>
      </c>
      <c r="AI8" s="254"/>
      <c r="AJ8" s="253" t="s">
        <v>288</v>
      </c>
      <c r="AK8" s="254"/>
      <c r="AL8" s="253" t="s">
        <v>289</v>
      </c>
      <c r="AM8" s="254"/>
      <c r="AN8" s="253" t="s">
        <v>290</v>
      </c>
      <c r="AO8" s="254"/>
      <c r="AP8" s="253" t="s">
        <v>291</v>
      </c>
      <c r="AQ8" s="254"/>
      <c r="AR8" s="253" t="s">
        <v>292</v>
      </c>
      <c r="AS8" s="254"/>
      <c r="AT8" s="253" t="s">
        <v>293</v>
      </c>
      <c r="AU8" s="254"/>
      <c r="AV8" s="253" t="s">
        <v>294</v>
      </c>
      <c r="AW8" s="254"/>
      <c r="AX8" s="253" t="s">
        <v>295</v>
      </c>
      <c r="AY8" s="254"/>
      <c r="AZ8" s="253" t="s">
        <v>296</v>
      </c>
      <c r="BA8" s="254"/>
      <c r="BB8" s="253" t="s">
        <v>297</v>
      </c>
      <c r="BC8" s="254"/>
      <c r="BD8" s="253"/>
      <c r="BE8" s="254"/>
      <c r="BF8" s="255"/>
      <c r="BG8" s="255"/>
      <c r="BH8" s="253" t="s">
        <v>298</v>
      </c>
      <c r="BI8" s="254"/>
      <c r="BJ8" s="253" t="s">
        <v>299</v>
      </c>
      <c r="BK8" s="254"/>
      <c r="BL8" s="253" t="s">
        <v>300</v>
      </c>
      <c r="BM8" s="254"/>
      <c r="BN8" s="253" t="s">
        <v>301</v>
      </c>
      <c r="BO8" s="254"/>
      <c r="BP8" s="253" t="s">
        <v>302</v>
      </c>
      <c r="BQ8" s="254"/>
      <c r="BR8" s="253" t="s">
        <v>303</v>
      </c>
      <c r="BS8" s="254"/>
      <c r="BT8" s="253" t="s">
        <v>304</v>
      </c>
      <c r="BU8" s="254"/>
      <c r="BV8" s="253" t="s">
        <v>305</v>
      </c>
      <c r="BW8" s="254"/>
      <c r="BX8" s="253" t="s">
        <v>306</v>
      </c>
      <c r="BY8" s="254"/>
      <c r="BZ8" s="255"/>
      <c r="CA8" s="255"/>
      <c r="CB8" s="255"/>
      <c r="CC8" s="255"/>
      <c r="CD8" s="255"/>
      <c r="CE8" s="255"/>
      <c r="CF8" s="255"/>
      <c r="CG8" s="255"/>
      <c r="CH8" s="253" t="s">
        <v>307</v>
      </c>
      <c r="CI8" s="254"/>
      <c r="CJ8" s="253" t="s">
        <v>308</v>
      </c>
      <c r="CK8" s="254"/>
      <c r="CL8" s="253" t="s">
        <v>309</v>
      </c>
      <c r="CM8" s="254"/>
      <c r="CN8" s="255"/>
      <c r="CO8" s="255"/>
      <c r="CP8" s="253" t="s">
        <v>310</v>
      </c>
      <c r="CQ8" s="254"/>
      <c r="CR8" s="253" t="s">
        <v>311</v>
      </c>
      <c r="CS8" s="254"/>
      <c r="CT8" s="253" t="s">
        <v>312</v>
      </c>
      <c r="CU8" s="254"/>
      <c r="CV8" s="253" t="s">
        <v>313</v>
      </c>
      <c r="CW8" s="254"/>
      <c r="CX8" s="253" t="s">
        <v>314</v>
      </c>
      <c r="CY8" s="254"/>
      <c r="CZ8" s="253" t="s">
        <v>315</v>
      </c>
      <c r="DA8" s="254"/>
      <c r="DB8" s="255"/>
      <c r="DC8" s="255"/>
      <c r="DD8" s="253" t="s">
        <v>316</v>
      </c>
      <c r="DE8" s="254"/>
      <c r="DF8" s="253" t="s">
        <v>317</v>
      </c>
      <c r="DG8" s="254"/>
      <c r="DH8" s="253" t="s">
        <v>318</v>
      </c>
      <c r="DI8" s="254"/>
      <c r="DJ8" s="253" t="s">
        <v>319</v>
      </c>
      <c r="DK8" s="254"/>
      <c r="DL8" s="253" t="s">
        <v>320</v>
      </c>
      <c r="DM8" s="254"/>
      <c r="DN8" s="253" t="s">
        <v>321</v>
      </c>
      <c r="DO8" s="254"/>
      <c r="DP8" s="253" t="s">
        <v>322</v>
      </c>
      <c r="DQ8" s="254"/>
      <c r="DR8" s="253" t="s">
        <v>323</v>
      </c>
      <c r="DS8" s="254"/>
      <c r="DT8" s="253" t="s">
        <v>324</v>
      </c>
      <c r="DU8" s="254"/>
      <c r="DV8" s="253" t="s">
        <v>325</v>
      </c>
      <c r="DW8" s="254"/>
      <c r="DX8" s="253" t="s">
        <v>326</v>
      </c>
      <c r="DY8" s="254"/>
      <c r="DZ8" s="253" t="s">
        <v>327</v>
      </c>
      <c r="EA8" s="254"/>
      <c r="EB8" s="253" t="s">
        <v>328</v>
      </c>
      <c r="EC8" s="254"/>
      <c r="ED8" s="253" t="s">
        <v>329</v>
      </c>
      <c r="EE8" s="254"/>
      <c r="EF8" s="253" t="s">
        <v>330</v>
      </c>
      <c r="EG8" s="254"/>
      <c r="EH8" s="253" t="s">
        <v>331</v>
      </c>
      <c r="EI8" s="254"/>
      <c r="EJ8" s="253" t="s">
        <v>332</v>
      </c>
      <c r="EK8" s="254"/>
      <c r="EL8" s="253" t="s">
        <v>333</v>
      </c>
      <c r="EM8" s="254"/>
      <c r="EN8" s="253" t="s">
        <v>334</v>
      </c>
      <c r="EO8" s="254"/>
      <c r="EP8" s="253" t="s">
        <v>335</v>
      </c>
      <c r="EQ8" s="254"/>
      <c r="ER8" s="253" t="s">
        <v>336</v>
      </c>
      <c r="ES8" s="254"/>
      <c r="ET8" s="253" t="s">
        <v>337</v>
      </c>
      <c r="EU8" s="254"/>
      <c r="EV8" s="253" t="s">
        <v>338</v>
      </c>
      <c r="EW8" s="254"/>
      <c r="EX8" s="253" t="s">
        <v>339</v>
      </c>
      <c r="EY8" s="254"/>
      <c r="EZ8" s="253" t="s">
        <v>340</v>
      </c>
      <c r="FA8" s="254"/>
      <c r="FB8" s="253" t="s">
        <v>341</v>
      </c>
      <c r="FC8" s="254"/>
      <c r="FD8" s="253" t="s">
        <v>342</v>
      </c>
      <c r="FE8" s="254"/>
      <c r="FF8" s="253" t="s">
        <v>343</v>
      </c>
      <c r="FG8" s="254"/>
      <c r="FH8" s="253" t="s">
        <v>344</v>
      </c>
      <c r="FI8" s="254"/>
      <c r="FJ8" s="253" t="s">
        <v>345</v>
      </c>
      <c r="FK8" s="254"/>
      <c r="FL8" s="253" t="s">
        <v>346</v>
      </c>
      <c r="FM8" s="254"/>
    </row>
    <row r="9" spans="1:169" s="84" customFormat="1" ht="50.1" customHeight="1">
      <c r="A9" s="112" t="s">
        <v>98</v>
      </c>
      <c r="B9" s="112" t="s">
        <v>99</v>
      </c>
      <c r="C9" s="112" t="s">
        <v>100</v>
      </c>
      <c r="D9" s="112" t="s">
        <v>99</v>
      </c>
      <c r="E9" s="112" t="s">
        <v>100</v>
      </c>
      <c r="F9" s="112" t="s">
        <v>99</v>
      </c>
      <c r="G9" s="112" t="s">
        <v>100</v>
      </c>
      <c r="H9" s="112" t="s">
        <v>99</v>
      </c>
      <c r="I9" s="112" t="s">
        <v>100</v>
      </c>
      <c r="J9" s="112" t="s">
        <v>99</v>
      </c>
      <c r="K9" s="112" t="s">
        <v>100</v>
      </c>
      <c r="L9" s="112" t="s">
        <v>99</v>
      </c>
      <c r="M9" s="112" t="s">
        <v>100</v>
      </c>
      <c r="N9" s="112" t="s">
        <v>99</v>
      </c>
      <c r="O9" s="112" t="s">
        <v>100</v>
      </c>
      <c r="P9" s="112" t="s">
        <v>99</v>
      </c>
      <c r="Q9" s="112" t="s">
        <v>100</v>
      </c>
      <c r="R9" s="112" t="s">
        <v>99</v>
      </c>
      <c r="S9" s="112" t="s">
        <v>100</v>
      </c>
      <c r="T9" s="112" t="s">
        <v>99</v>
      </c>
      <c r="U9" s="112" t="s">
        <v>100</v>
      </c>
      <c r="V9" s="112" t="s">
        <v>99</v>
      </c>
      <c r="W9" s="112" t="s">
        <v>100</v>
      </c>
      <c r="X9" s="112" t="s">
        <v>99</v>
      </c>
      <c r="Y9" s="112" t="s">
        <v>100</v>
      </c>
      <c r="Z9" s="112" t="s">
        <v>99</v>
      </c>
      <c r="AA9" s="112" t="s">
        <v>100</v>
      </c>
      <c r="AB9" s="112" t="s">
        <v>99</v>
      </c>
      <c r="AC9" s="112" t="s">
        <v>100</v>
      </c>
      <c r="AD9" s="112" t="s">
        <v>99</v>
      </c>
      <c r="AE9" s="112" t="s">
        <v>100</v>
      </c>
      <c r="AF9" s="112" t="s">
        <v>99</v>
      </c>
      <c r="AG9" s="112" t="s">
        <v>100</v>
      </c>
      <c r="AH9" s="112" t="s">
        <v>99</v>
      </c>
      <c r="AI9" s="112" t="s">
        <v>100</v>
      </c>
      <c r="AJ9" s="112" t="s">
        <v>99</v>
      </c>
      <c r="AK9" s="112" t="s">
        <v>100</v>
      </c>
      <c r="AL9" s="112" t="s">
        <v>99</v>
      </c>
      <c r="AM9" s="112" t="s">
        <v>100</v>
      </c>
      <c r="AN9" s="112" t="s">
        <v>99</v>
      </c>
      <c r="AO9" s="112" t="s">
        <v>100</v>
      </c>
      <c r="AP9" s="112" t="s">
        <v>99</v>
      </c>
      <c r="AQ9" s="112" t="s">
        <v>100</v>
      </c>
      <c r="AR9" s="112" t="s">
        <v>99</v>
      </c>
      <c r="AS9" s="112" t="s">
        <v>100</v>
      </c>
      <c r="AT9" s="112" t="s">
        <v>99</v>
      </c>
      <c r="AU9" s="112" t="s">
        <v>100</v>
      </c>
      <c r="AV9" s="112" t="s">
        <v>99</v>
      </c>
      <c r="AW9" s="112" t="s">
        <v>100</v>
      </c>
      <c r="AX9" s="112" t="s">
        <v>99</v>
      </c>
      <c r="AY9" s="112" t="s">
        <v>100</v>
      </c>
      <c r="AZ9" s="112" t="s">
        <v>99</v>
      </c>
      <c r="BA9" s="112" t="s">
        <v>100</v>
      </c>
      <c r="BB9" s="112" t="s">
        <v>99</v>
      </c>
      <c r="BC9" s="112" t="s">
        <v>100</v>
      </c>
      <c r="BD9" s="112" t="s">
        <v>99</v>
      </c>
      <c r="BE9" s="112" t="s">
        <v>100</v>
      </c>
      <c r="BF9" s="112" t="s">
        <v>99</v>
      </c>
      <c r="BG9" s="112" t="s">
        <v>100</v>
      </c>
      <c r="BH9" s="112" t="s">
        <v>99</v>
      </c>
      <c r="BI9" s="112" t="s">
        <v>100</v>
      </c>
      <c r="BJ9" s="112" t="s">
        <v>99</v>
      </c>
      <c r="BK9" s="112" t="s">
        <v>100</v>
      </c>
      <c r="BL9" s="112" t="s">
        <v>99</v>
      </c>
      <c r="BM9" s="112" t="s">
        <v>100</v>
      </c>
      <c r="BN9" s="112" t="s">
        <v>99</v>
      </c>
      <c r="BO9" s="112" t="s">
        <v>100</v>
      </c>
      <c r="BP9" s="112" t="s">
        <v>99</v>
      </c>
      <c r="BQ9" s="112" t="s">
        <v>100</v>
      </c>
      <c r="BR9" s="112" t="s">
        <v>99</v>
      </c>
      <c r="BS9" s="112" t="s">
        <v>100</v>
      </c>
      <c r="BT9" s="112" t="s">
        <v>99</v>
      </c>
      <c r="BU9" s="112" t="s">
        <v>100</v>
      </c>
      <c r="BV9" s="112" t="s">
        <v>99</v>
      </c>
      <c r="BW9" s="112" t="s">
        <v>100</v>
      </c>
      <c r="BX9" s="112" t="s">
        <v>99</v>
      </c>
      <c r="BY9" s="112" t="s">
        <v>100</v>
      </c>
      <c r="BZ9" s="112" t="s">
        <v>99</v>
      </c>
      <c r="CA9" s="112" t="s">
        <v>100</v>
      </c>
      <c r="CB9" s="112" t="s">
        <v>99</v>
      </c>
      <c r="CC9" s="112" t="s">
        <v>100</v>
      </c>
      <c r="CD9" s="112" t="s">
        <v>99</v>
      </c>
      <c r="CE9" s="112" t="s">
        <v>100</v>
      </c>
      <c r="CF9" s="112" t="s">
        <v>99</v>
      </c>
      <c r="CG9" s="112" t="s">
        <v>100</v>
      </c>
      <c r="CH9" s="112" t="s">
        <v>99</v>
      </c>
      <c r="CI9" s="112" t="s">
        <v>100</v>
      </c>
      <c r="CJ9" s="112" t="s">
        <v>99</v>
      </c>
      <c r="CK9" s="112" t="s">
        <v>100</v>
      </c>
      <c r="CL9" s="112" t="s">
        <v>99</v>
      </c>
      <c r="CM9" s="112" t="s">
        <v>100</v>
      </c>
      <c r="CN9" s="112" t="s">
        <v>99</v>
      </c>
      <c r="CO9" s="112" t="s">
        <v>100</v>
      </c>
      <c r="CP9" s="112" t="s">
        <v>99</v>
      </c>
      <c r="CQ9" s="112" t="s">
        <v>100</v>
      </c>
      <c r="CR9" s="112" t="s">
        <v>99</v>
      </c>
      <c r="CS9" s="112" t="s">
        <v>100</v>
      </c>
      <c r="CT9" s="112" t="s">
        <v>99</v>
      </c>
      <c r="CU9" s="112" t="s">
        <v>100</v>
      </c>
      <c r="CV9" s="112" t="s">
        <v>99</v>
      </c>
      <c r="CW9" s="112" t="s">
        <v>100</v>
      </c>
      <c r="CX9" s="112" t="s">
        <v>99</v>
      </c>
      <c r="CY9" s="112" t="s">
        <v>100</v>
      </c>
      <c r="CZ9" s="112" t="s">
        <v>99</v>
      </c>
      <c r="DA9" s="112" t="s">
        <v>100</v>
      </c>
      <c r="DB9" s="112" t="s">
        <v>99</v>
      </c>
      <c r="DC9" s="112" t="s">
        <v>100</v>
      </c>
      <c r="DD9" s="112" t="s">
        <v>99</v>
      </c>
      <c r="DE9" s="112" t="s">
        <v>100</v>
      </c>
      <c r="DF9" s="112" t="s">
        <v>99</v>
      </c>
      <c r="DG9" s="112" t="s">
        <v>100</v>
      </c>
      <c r="DH9" s="112" t="s">
        <v>99</v>
      </c>
      <c r="DI9" s="112" t="s">
        <v>100</v>
      </c>
      <c r="DJ9" s="112" t="s">
        <v>99</v>
      </c>
      <c r="DK9" s="112" t="s">
        <v>100</v>
      </c>
      <c r="DL9" s="112" t="s">
        <v>99</v>
      </c>
      <c r="DM9" s="112" t="s">
        <v>100</v>
      </c>
      <c r="DN9" s="112" t="s">
        <v>99</v>
      </c>
      <c r="DO9" s="112" t="s">
        <v>100</v>
      </c>
      <c r="DP9" s="112" t="s">
        <v>99</v>
      </c>
      <c r="DQ9" s="112" t="s">
        <v>100</v>
      </c>
      <c r="DR9" s="112" t="s">
        <v>99</v>
      </c>
      <c r="DS9" s="112" t="s">
        <v>100</v>
      </c>
      <c r="DT9" s="112" t="s">
        <v>99</v>
      </c>
      <c r="DU9" s="112" t="s">
        <v>100</v>
      </c>
      <c r="DV9" s="112" t="s">
        <v>99</v>
      </c>
      <c r="DW9" s="112" t="s">
        <v>100</v>
      </c>
      <c r="DX9" s="112" t="s">
        <v>99</v>
      </c>
      <c r="DY9" s="112" t="s">
        <v>100</v>
      </c>
      <c r="DZ9" s="112" t="s">
        <v>99</v>
      </c>
      <c r="EA9" s="112" t="s">
        <v>100</v>
      </c>
      <c r="EB9" s="112" t="s">
        <v>99</v>
      </c>
      <c r="EC9" s="112" t="s">
        <v>100</v>
      </c>
      <c r="ED9" s="112" t="s">
        <v>99</v>
      </c>
      <c r="EE9" s="112" t="s">
        <v>100</v>
      </c>
      <c r="EF9" s="112" t="s">
        <v>99</v>
      </c>
      <c r="EG9" s="112" t="s">
        <v>100</v>
      </c>
      <c r="EH9" s="112" t="s">
        <v>99</v>
      </c>
      <c r="EI9" s="112" t="s">
        <v>100</v>
      </c>
      <c r="EJ9" s="112" t="s">
        <v>99</v>
      </c>
      <c r="EK9" s="112" t="s">
        <v>100</v>
      </c>
      <c r="EL9" s="112" t="s">
        <v>99</v>
      </c>
      <c r="EM9" s="112" t="s">
        <v>100</v>
      </c>
      <c r="EN9" s="112" t="s">
        <v>99</v>
      </c>
      <c r="EO9" s="112" t="s">
        <v>100</v>
      </c>
      <c r="EP9" s="112" t="s">
        <v>99</v>
      </c>
      <c r="EQ9" s="112" t="s">
        <v>100</v>
      </c>
      <c r="ER9" s="112" t="s">
        <v>99</v>
      </c>
      <c r="ES9" s="112" t="s">
        <v>100</v>
      </c>
      <c r="ET9" s="112" t="s">
        <v>99</v>
      </c>
      <c r="EU9" s="112" t="s">
        <v>100</v>
      </c>
      <c r="EV9" s="112" t="s">
        <v>99</v>
      </c>
      <c r="EW9" s="112" t="s">
        <v>100</v>
      </c>
      <c r="EX9" s="112" t="s">
        <v>99</v>
      </c>
      <c r="EY9" s="112" t="s">
        <v>100</v>
      </c>
      <c r="EZ9" s="112" t="s">
        <v>99</v>
      </c>
      <c r="FA9" s="112" t="s">
        <v>100</v>
      </c>
      <c r="FB9" s="112" t="s">
        <v>99</v>
      </c>
      <c r="FC9" s="112" t="s">
        <v>100</v>
      </c>
      <c r="FD9" s="112" t="s">
        <v>99</v>
      </c>
      <c r="FE9" s="112" t="s">
        <v>100</v>
      </c>
      <c r="FF9" s="112" t="s">
        <v>99</v>
      </c>
      <c r="FG9" s="112" t="s">
        <v>100</v>
      </c>
      <c r="FH9" s="112" t="s">
        <v>99</v>
      </c>
      <c r="FI9" s="112" t="s">
        <v>100</v>
      </c>
      <c r="FJ9" s="112" t="s">
        <v>99</v>
      </c>
      <c r="FK9" s="112" t="s">
        <v>100</v>
      </c>
      <c r="FL9" s="112" t="s">
        <v>99</v>
      </c>
      <c r="FM9" s="112" t="s">
        <v>100</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1" t="s">
        <v>347</v>
      </c>
      <c r="D2" s="281"/>
      <c r="E2" s="281" t="s">
        <v>348</v>
      </c>
      <c r="F2" s="281"/>
      <c r="G2" s="281" t="s">
        <v>349</v>
      </c>
      <c r="H2" s="281"/>
      <c r="I2" s="281" t="s">
        <v>350</v>
      </c>
      <c r="J2" s="281"/>
      <c r="K2" s="281" t="s">
        <v>351</v>
      </c>
      <c r="L2" s="281"/>
      <c r="M2" s="281" t="s">
        <v>352</v>
      </c>
      <c r="N2" s="281"/>
      <c r="O2" s="281" t="s">
        <v>353</v>
      </c>
      <c r="P2" s="281"/>
      <c r="Q2" s="281" t="s">
        <v>354</v>
      </c>
      <c r="R2" s="281"/>
      <c r="S2" s="281" t="s">
        <v>355</v>
      </c>
      <c r="T2" s="281"/>
      <c r="V2" s="281" t="s">
        <v>356</v>
      </c>
      <c r="W2" s="281"/>
      <c r="X2" s="281" t="s">
        <v>357</v>
      </c>
      <c r="Y2" s="281"/>
      <c r="Z2" s="281" t="s">
        <v>358</v>
      </c>
      <c r="AA2" s="281"/>
      <c r="AB2" s="281" t="s">
        <v>359</v>
      </c>
      <c r="AC2" s="281"/>
      <c r="AD2" s="281" t="s">
        <v>360</v>
      </c>
      <c r="AE2" s="281"/>
      <c r="AF2" s="281" t="s">
        <v>361</v>
      </c>
      <c r="AG2" s="281"/>
      <c r="AH2" s="281" t="s">
        <v>362</v>
      </c>
      <c r="AI2" s="281"/>
      <c r="AJ2" s="281" t="s">
        <v>363</v>
      </c>
      <c r="AK2" s="281"/>
      <c r="AL2" s="281" t="s">
        <v>364</v>
      </c>
      <c r="AM2" s="281"/>
      <c r="AO2" s="281" t="s">
        <v>365</v>
      </c>
      <c r="AP2" s="281"/>
      <c r="AQ2" s="281" t="s">
        <v>366</v>
      </c>
      <c r="AR2" s="281"/>
      <c r="AS2" s="281" t="s">
        <v>367</v>
      </c>
      <c r="AT2" s="281"/>
      <c r="AU2" s="281" t="s">
        <v>368</v>
      </c>
      <c r="AV2" s="281"/>
      <c r="AW2" s="281" t="s">
        <v>369</v>
      </c>
      <c r="AX2" s="281"/>
      <c r="AY2" s="281" t="s">
        <v>370</v>
      </c>
      <c r="AZ2" s="281"/>
      <c r="BA2" s="281" t="s">
        <v>371</v>
      </c>
      <c r="BB2" s="281"/>
      <c r="BC2" s="281" t="s">
        <v>372</v>
      </c>
      <c r="BD2" s="281"/>
      <c r="BE2" s="281" t="s">
        <v>373</v>
      </c>
      <c r="BF2" s="281"/>
      <c r="BH2" s="281" t="s">
        <v>103</v>
      </c>
      <c r="BI2" s="281"/>
      <c r="BJ2" s="281" t="s">
        <v>374</v>
      </c>
      <c r="BK2" s="281"/>
      <c r="BL2" s="281" t="s">
        <v>375</v>
      </c>
      <c r="BM2" s="281"/>
      <c r="BN2" s="281" t="s">
        <v>376</v>
      </c>
      <c r="BO2" s="281"/>
      <c r="BP2" s="281" t="s">
        <v>377</v>
      </c>
      <c r="BQ2" s="281"/>
      <c r="BR2" s="281" t="s">
        <v>378</v>
      </c>
      <c r="BS2" s="281"/>
      <c r="BT2" s="281" t="s">
        <v>379</v>
      </c>
      <c r="BU2" s="281"/>
      <c r="BV2" s="281" t="s">
        <v>380</v>
      </c>
      <c r="BW2" s="281"/>
      <c r="BX2" s="281" t="s">
        <v>381</v>
      </c>
      <c r="BY2" s="281"/>
      <c r="BZ2" s="281" t="s">
        <v>382</v>
      </c>
      <c r="CA2" s="281"/>
      <c r="CB2" s="281" t="s">
        <v>383</v>
      </c>
      <c r="CC2" s="281"/>
      <c r="CD2" s="281" t="s">
        <v>384</v>
      </c>
      <c r="CE2" s="281"/>
      <c r="CF2" s="281" t="s">
        <v>385</v>
      </c>
      <c r="CG2" s="281"/>
      <c r="CH2" s="281" t="s">
        <v>386</v>
      </c>
      <c r="CI2" s="281"/>
      <c r="CJ2" s="281" t="s">
        <v>387</v>
      </c>
      <c r="CK2" s="281"/>
      <c r="CL2" s="281" t="s">
        <v>388</v>
      </c>
      <c r="CM2" s="281"/>
      <c r="CN2" s="281" t="s">
        <v>389</v>
      </c>
      <c r="CO2" s="281"/>
      <c r="CP2" s="281" t="s">
        <v>390</v>
      </c>
      <c r="CQ2" s="281"/>
      <c r="CR2" s="281" t="s">
        <v>391</v>
      </c>
      <c r="CS2" s="281"/>
    </row>
    <row r="3" spans="1:97" s="54" customFormat="1" ht="49.5" customHeight="1">
      <c r="A3" s="113"/>
      <c r="B3" s="68"/>
      <c r="C3" s="280"/>
      <c r="D3" s="280"/>
      <c r="E3" s="283" t="s">
        <v>110</v>
      </c>
      <c r="F3" s="283"/>
      <c r="G3" s="280"/>
      <c r="H3" s="280"/>
      <c r="I3" s="284" t="s">
        <v>112</v>
      </c>
      <c r="J3" s="284"/>
      <c r="K3" s="280"/>
      <c r="L3" s="280"/>
      <c r="M3" s="280"/>
      <c r="N3" s="280"/>
      <c r="O3" s="280"/>
      <c r="P3" s="280"/>
      <c r="Q3" s="282" t="s">
        <v>113</v>
      </c>
      <c r="R3" s="282"/>
      <c r="S3" s="280"/>
      <c r="T3" s="280"/>
      <c r="U3" s="53"/>
      <c r="V3" s="282" t="s">
        <v>108</v>
      </c>
      <c r="W3" s="282"/>
      <c r="X3" s="280"/>
      <c r="Y3" s="280"/>
      <c r="Z3" s="280"/>
      <c r="AA3" s="280"/>
      <c r="AB3" s="280"/>
      <c r="AC3" s="280"/>
      <c r="AD3" s="280"/>
      <c r="AE3" s="280"/>
      <c r="AF3" s="280"/>
      <c r="AG3" s="280"/>
      <c r="AH3" s="280"/>
      <c r="AI3" s="280"/>
      <c r="AJ3" s="280"/>
      <c r="AK3" s="280"/>
      <c r="AL3" s="280"/>
      <c r="AM3" s="280"/>
      <c r="AN3" s="53"/>
      <c r="AO3" s="283" t="s">
        <v>111</v>
      </c>
      <c r="AP3" s="283"/>
      <c r="AQ3" s="280"/>
      <c r="AR3" s="280"/>
      <c r="AS3" s="280"/>
      <c r="AT3" s="280"/>
      <c r="AU3" s="280"/>
      <c r="AV3" s="280"/>
      <c r="AW3" s="280"/>
      <c r="AX3" s="280"/>
      <c r="AY3" s="280"/>
      <c r="AZ3" s="280"/>
      <c r="BA3" s="280"/>
      <c r="BB3" s="280"/>
      <c r="BC3" s="280"/>
      <c r="BD3" s="280"/>
      <c r="BE3" s="280"/>
      <c r="BF3" s="280"/>
      <c r="BG3" s="53"/>
      <c r="BH3" s="283" t="s">
        <v>109</v>
      </c>
      <c r="BI3" s="283"/>
      <c r="BJ3" s="280"/>
      <c r="BK3" s="280"/>
      <c r="BL3" s="280"/>
      <c r="BM3" s="280"/>
      <c r="BN3" s="280"/>
      <c r="BO3" s="280"/>
      <c r="BP3" s="280"/>
      <c r="BQ3" s="280"/>
      <c r="BR3" s="280"/>
      <c r="BS3" s="280"/>
      <c r="BT3" s="280"/>
      <c r="BU3" s="280"/>
      <c r="BV3" s="280"/>
      <c r="BW3" s="280"/>
      <c r="BX3" s="280"/>
      <c r="BY3" s="280"/>
      <c r="BZ3" s="280"/>
      <c r="CA3" s="280"/>
      <c r="CB3" s="280"/>
      <c r="CC3" s="280"/>
      <c r="CD3" s="280"/>
      <c r="CE3" s="280"/>
      <c r="CF3" s="280"/>
      <c r="CG3" s="280"/>
      <c r="CH3" s="280"/>
      <c r="CI3" s="280"/>
      <c r="CJ3" s="280"/>
      <c r="CK3" s="280"/>
      <c r="CL3" s="280"/>
      <c r="CM3" s="280"/>
      <c r="CN3" s="280"/>
      <c r="CO3" s="280"/>
      <c r="CP3" s="280"/>
      <c r="CQ3" s="280"/>
      <c r="CR3" s="280"/>
      <c r="CS3" s="280"/>
    </row>
    <row r="4" spans="1:97" s="57" customFormat="1" ht="50.1" customHeight="1">
      <c r="A4" s="58" t="s">
        <v>98</v>
      </c>
      <c r="B4" s="70"/>
      <c r="C4" s="58" t="s">
        <v>114</v>
      </c>
      <c r="D4" s="58" t="s">
        <v>392</v>
      </c>
      <c r="E4" s="58" t="s">
        <v>114</v>
      </c>
      <c r="F4" s="58" t="s">
        <v>392</v>
      </c>
      <c r="G4" s="58" t="s">
        <v>114</v>
      </c>
      <c r="H4" s="58" t="s">
        <v>392</v>
      </c>
      <c r="I4" s="58" t="s">
        <v>114</v>
      </c>
      <c r="J4" s="58" t="s">
        <v>392</v>
      </c>
      <c r="K4" s="58" t="s">
        <v>114</v>
      </c>
      <c r="L4" s="58" t="s">
        <v>392</v>
      </c>
      <c r="M4" s="58" t="s">
        <v>114</v>
      </c>
      <c r="N4" s="58" t="s">
        <v>392</v>
      </c>
      <c r="O4" s="58" t="s">
        <v>114</v>
      </c>
      <c r="P4" s="58" t="s">
        <v>392</v>
      </c>
      <c r="Q4" s="58" t="s">
        <v>114</v>
      </c>
      <c r="R4" s="58" t="s">
        <v>392</v>
      </c>
      <c r="S4" s="58" t="s">
        <v>114</v>
      </c>
      <c r="T4" s="58" t="s">
        <v>392</v>
      </c>
      <c r="V4" s="58" t="s">
        <v>114</v>
      </c>
      <c r="W4" s="58" t="s">
        <v>392</v>
      </c>
      <c r="X4" s="58" t="s">
        <v>114</v>
      </c>
      <c r="Y4" s="58" t="s">
        <v>392</v>
      </c>
      <c r="Z4" s="58" t="s">
        <v>114</v>
      </c>
      <c r="AA4" s="58" t="s">
        <v>392</v>
      </c>
      <c r="AB4" s="58" t="s">
        <v>114</v>
      </c>
      <c r="AC4" s="58" t="s">
        <v>392</v>
      </c>
      <c r="AD4" s="58" t="s">
        <v>114</v>
      </c>
      <c r="AE4" s="58" t="s">
        <v>392</v>
      </c>
      <c r="AF4" s="58" t="s">
        <v>114</v>
      </c>
      <c r="AG4" s="58" t="s">
        <v>392</v>
      </c>
      <c r="AH4" s="58" t="s">
        <v>114</v>
      </c>
      <c r="AI4" s="58" t="s">
        <v>392</v>
      </c>
      <c r="AJ4" s="58" t="s">
        <v>114</v>
      </c>
      <c r="AK4" s="58" t="s">
        <v>392</v>
      </c>
      <c r="AL4" s="58" t="s">
        <v>114</v>
      </c>
      <c r="AM4" s="58" t="s">
        <v>392</v>
      </c>
      <c r="AO4" s="58" t="s">
        <v>114</v>
      </c>
      <c r="AP4" s="58" t="s">
        <v>392</v>
      </c>
      <c r="AQ4" s="58" t="s">
        <v>114</v>
      </c>
      <c r="AR4" s="58" t="s">
        <v>392</v>
      </c>
      <c r="AS4" s="58" t="s">
        <v>114</v>
      </c>
      <c r="AT4" s="58" t="s">
        <v>392</v>
      </c>
      <c r="AU4" s="58" t="s">
        <v>114</v>
      </c>
      <c r="AV4" s="58" t="s">
        <v>392</v>
      </c>
      <c r="AW4" s="58" t="s">
        <v>114</v>
      </c>
      <c r="AX4" s="58" t="s">
        <v>392</v>
      </c>
      <c r="AY4" s="58" t="s">
        <v>114</v>
      </c>
      <c r="AZ4" s="58" t="s">
        <v>392</v>
      </c>
      <c r="BA4" s="58" t="s">
        <v>114</v>
      </c>
      <c r="BB4" s="58" t="s">
        <v>392</v>
      </c>
      <c r="BC4" s="58" t="s">
        <v>114</v>
      </c>
      <c r="BD4" s="58" t="s">
        <v>392</v>
      </c>
      <c r="BE4" s="58" t="s">
        <v>114</v>
      </c>
      <c r="BF4" s="58" t="s">
        <v>392</v>
      </c>
      <c r="BH4" s="58" t="s">
        <v>114</v>
      </c>
      <c r="BI4" s="58" t="s">
        <v>392</v>
      </c>
      <c r="BJ4" s="58" t="s">
        <v>114</v>
      </c>
      <c r="BK4" s="58" t="s">
        <v>392</v>
      </c>
      <c r="BL4" s="58" t="s">
        <v>114</v>
      </c>
      <c r="BM4" s="58" t="s">
        <v>392</v>
      </c>
      <c r="BN4" s="58" t="s">
        <v>114</v>
      </c>
      <c r="BO4" s="58" t="s">
        <v>392</v>
      </c>
      <c r="BP4" s="58" t="s">
        <v>114</v>
      </c>
      <c r="BQ4" s="58" t="s">
        <v>392</v>
      </c>
      <c r="BR4" s="58" t="s">
        <v>114</v>
      </c>
      <c r="BS4" s="58" t="s">
        <v>392</v>
      </c>
      <c r="BT4" s="58" t="s">
        <v>114</v>
      </c>
      <c r="BU4" s="58" t="s">
        <v>392</v>
      </c>
      <c r="BV4" s="58" t="s">
        <v>114</v>
      </c>
      <c r="BW4" s="58" t="s">
        <v>392</v>
      </c>
      <c r="BX4" s="58" t="s">
        <v>114</v>
      </c>
      <c r="BY4" s="58" t="s">
        <v>392</v>
      </c>
      <c r="BZ4" s="58" t="s">
        <v>114</v>
      </c>
      <c r="CA4" s="58" t="s">
        <v>392</v>
      </c>
      <c r="CB4" s="58" t="s">
        <v>114</v>
      </c>
      <c r="CC4" s="58" t="s">
        <v>392</v>
      </c>
      <c r="CD4" s="58" t="s">
        <v>114</v>
      </c>
      <c r="CE4" s="58" t="s">
        <v>392</v>
      </c>
      <c r="CF4" s="58" t="s">
        <v>114</v>
      </c>
      <c r="CG4" s="58" t="s">
        <v>392</v>
      </c>
      <c r="CH4" s="58" t="s">
        <v>114</v>
      </c>
      <c r="CI4" s="58" t="s">
        <v>392</v>
      </c>
      <c r="CJ4" s="58" t="s">
        <v>114</v>
      </c>
      <c r="CK4" s="58" t="s">
        <v>392</v>
      </c>
      <c r="CL4" s="58" t="s">
        <v>114</v>
      </c>
      <c r="CM4" s="58" t="s">
        <v>392</v>
      </c>
      <c r="CN4" s="58" t="s">
        <v>114</v>
      </c>
      <c r="CO4" s="58" t="s">
        <v>392</v>
      </c>
      <c r="CP4" s="58" t="s">
        <v>114</v>
      </c>
      <c r="CQ4" s="58" t="s">
        <v>392</v>
      </c>
      <c r="CR4" s="58" t="s">
        <v>114</v>
      </c>
      <c r="CS4" s="58" t="s">
        <v>392</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2022-12-24T06:13:22Z</dcterms:modified>
  <cp:category/>
  <cp:contentStatus/>
</cp:coreProperties>
</file>