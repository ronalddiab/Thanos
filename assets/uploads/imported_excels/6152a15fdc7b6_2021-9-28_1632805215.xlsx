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J31" i="2"/>
  <c r="I31" i="2"/>
  <c r="H31" i="2"/>
  <c r="F31" i="2"/>
  <c r="E31" i="2"/>
  <c r="I39" i="5"/>
  <c r="H39" i="5"/>
  <c r="K38" i="5"/>
  <c r="J38" i="5"/>
  <c r="I38" i="5"/>
  <c r="H38" i="5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<sst xmlns="http://schemas.openxmlformats.org/spreadsheetml/2006/main" count="105" uniqueCount="38">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</sst>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7" xfId="2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10" workbookViewId="0">
      <selection activeCell="F33" sqref="F3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9756</v>
      </c>
      <c r="F21" s="16">
        <v>0.11799999999999999</v>
      </c>
      <c r="G21" s="18">
        <f>'9 - 2021'!D27-'9 - 2021'!D26+'9 - 2021'!E27-'9 - 2021'!E26</f>
        <v>23.039999999999964</v>
      </c>
      <c r="H21" s="16">
        <v>0.99</v>
      </c>
      <c r="I21" s="18">
        <f>'9 - 2021'!J27-'9 - 2021'!J26</f>
        <v>34050</v>
      </c>
      <c r="J21" s="16">
        <v>8.1000000000000003E-2</v>
      </c>
      <c r="K21" s="34">
        <f>'9 - 2021'!H27-'9 - 2021'!H26</f>
        <v>0</v>
      </c>
      <c r="L21" s="18">
        <f>'9 - 2021'!I27-'9 - 2021'!I26</f>
        <v>99</v>
      </c>
      <c r="M21" s="17">
        <v>4.393629424766913</v>
      </c>
      <c r="N21" s="18">
        <v>45</v>
      </c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9705</v>
      </c>
      <c r="F22" s="16">
        <v>0.11799999999999999</v>
      </c>
      <c r="G22" s="18">
        <f>'9 - 2021'!D28-'9 - 2021'!D27+'9 - 2021'!E28-'9 - 2021'!E27</f>
        <v>24.75</v>
      </c>
      <c r="H22" s="16">
        <v>0.99</v>
      </c>
      <c r="I22" s="18">
        <f>'9 - 2021'!J28-'9 - 2021'!J27</f>
        <v>37845</v>
      </c>
      <c r="J22" s="16">
        <v>8.1000000000000003E-2</v>
      </c>
      <c r="K22" s="34">
        <f>'9 - 2021'!H28-'9 - 2021'!H27</f>
        <v>0</v>
      </c>
      <c r="L22" s="18">
        <f>'9 - 2021'!I28-'9 - 2021'!I27</f>
        <v>106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9586</v>
      </c>
      <c r="F23" s="16">
        <v>0.11799999999999999</v>
      </c>
      <c r="G23" s="18">
        <f>'9 - 2021'!D29-'9 - 2021'!D28+'9 - 2021'!E29-'9 - 2021'!E28</f>
        <v>24.669999999999163</v>
      </c>
      <c r="H23" s="16">
        <v>0.99</v>
      </c>
      <c r="I23" s="18">
        <f>'9 - 2021'!J29-'9 - 2021'!J28</f>
        <v>38343</v>
      </c>
      <c r="J23" s="16">
        <v>8.1000000000000003E-2</v>
      </c>
      <c r="K23" s="34">
        <f>'9 - 2021'!H29-'9 - 2021'!H28</f>
        <v>0</v>
      </c>
      <c r="L23" s="18">
        <f>'9 - 2021'!I29-'9 - 2021'!I28</f>
        <v>97</v>
      </c>
      <c r="M23" s="17">
        <v>4.393629424766913</v>
      </c>
      <c r="N23" s="18">
        <v>83</v>
      </c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10081</v>
      </c>
      <c r="F24" s="16">
        <v>0.11799999999999999</v>
      </c>
      <c r="G24" s="18">
        <f>'9 - 2021'!D30-'9 - 2021'!D29+'9 - 2021'!E30-'9 - 2021'!E29</f>
        <v>25.500000000000909</v>
      </c>
      <c r="H24" s="16">
        <v>0.99</v>
      </c>
      <c r="I24" s="18">
        <f>'9 - 2021'!J30-'9 - 2021'!J29</f>
        <v>37212</v>
      </c>
      <c r="J24" s="16">
        <v>8.1000000000000003E-2</v>
      </c>
      <c r="K24" s="34">
        <f>'9 - 2021'!H30-'9 - 2021'!H29</f>
        <v>0</v>
      </c>
      <c r="L24" s="18">
        <f>'9 - 2021'!I30-'9 - 2021'!I29</f>
        <v>95</v>
      </c>
      <c r="M24" s="17">
        <v>4.393629424766913</v>
      </c>
      <c r="N24" s="18">
        <v>94</v>
      </c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9643</v>
      </c>
      <c r="F25" s="16">
        <v>0.11799999999999999</v>
      </c>
      <c r="G25" s="18">
        <f>'9 - 2021'!D31-'9 - 2021'!D30+'9 - 2021'!E31-'9 - 2021'!E30</f>
        <v>25.979999999999563</v>
      </c>
      <c r="H25" s="16">
        <v>0.99</v>
      </c>
      <c r="I25" s="18">
        <f>'9 - 2021'!J31-'9 - 2021'!J30</f>
        <v>37044</v>
      </c>
      <c r="J25" s="16">
        <v>8.1000000000000003E-2</v>
      </c>
      <c r="K25" s="34">
        <f>'9 - 2021'!H31-'9 - 2021'!H30</f>
        <v>0</v>
      </c>
      <c r="L25" s="18">
        <f>'9 - 2021'!I31-'9 - 2021'!I30</f>
        <v>102</v>
      </c>
      <c r="M25" s="17">
        <v>4.393629424766913</v>
      </c>
      <c r="N25" s="18">
        <v>76</v>
      </c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9558</v>
      </c>
      <c r="F26" s="16">
        <v>0.11799999999999999</v>
      </c>
      <c r="G26" s="18">
        <f>'9 - 2021'!D32-'9 - 2021'!D31+'9 - 2021'!E32-'9 - 2021'!E31</f>
        <v>23.5600000000004</v>
      </c>
      <c r="H26" s="16">
        <v>0.99</v>
      </c>
      <c r="I26" s="18">
        <f>'9 - 2021'!J32-'9 - 2021'!J31</f>
        <v>35728</v>
      </c>
      <c r="J26" s="16">
        <v>8.1000000000000003E-2</v>
      </c>
      <c r="K26" s="34">
        <f>'9 - 2021'!H32-'9 - 2021'!H31</f>
        <v>0</v>
      </c>
      <c r="L26" s="18">
        <f>'9 - 2021'!I32-'9 - 2021'!I31</f>
        <v>113</v>
      </c>
      <c r="M26" s="17">
        <v>4.393629424766913</v>
      </c>
      <c r="N26" s="29">
        <v>62</v>
      </c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10185</v>
      </c>
      <c r="F27" s="16">
        <v>0.11799999999999999</v>
      </c>
      <c r="G27" s="18">
        <f>'9 - 2021'!D33-'9 - 2021'!D32+'9 - 2021'!E33-'9 - 2021'!E32</f>
        <v>25.600000000000364</v>
      </c>
      <c r="H27" s="16">
        <v>0.99</v>
      </c>
      <c r="I27" s="18">
        <f>'9 - 2021'!J33-'9 - 2021'!J32</f>
        <v>40560</v>
      </c>
      <c r="J27" s="16">
        <v>8.1000000000000003E-2</v>
      </c>
      <c r="K27" s="34">
        <f>'9 - 2021'!H33-'9 - 2021'!H32</f>
        <v>0</v>
      </c>
      <c r="L27" s="18">
        <f>'9 - 2021'!I33-'9 - 2021'!I32</f>
        <v>110</v>
      </c>
      <c r="M27" s="17">
        <v>4.393629424766913</v>
      </c>
      <c r="N27" s="29">
        <v>44</v>
      </c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9718</v>
      </c>
      <c r="F28" s="16">
        <v>0.11799999999999999</v>
      </c>
      <c r="G28" s="18">
        <f>'9 - 2021'!D34-'9 - 2021'!D33+'9 - 2021'!E34-'9 - 2021'!E33</f>
        <v>23.909999999999854</v>
      </c>
      <c r="H28" s="16">
        <v>0.99</v>
      </c>
      <c r="I28" s="18">
        <f>'9 - 2021'!J34-'9 - 2021'!J33</f>
        <v>40032</v>
      </c>
      <c r="J28" s="16">
        <v>8.1000000000000003E-2</v>
      </c>
      <c r="K28" s="34">
        <f>'9 - 2021'!H34-'9 - 2021'!H33</f>
        <v>0</v>
      </c>
      <c r="L28" s="18">
        <f>'9 - 2021'!I34-'9 - 2021'!I33</f>
        <v>97</v>
      </c>
      <c r="M28" s="17">
        <v>4.393629424766913</v>
      </c>
      <c r="N28" s="29">
        <v>50</v>
      </c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9137</v>
      </c>
      <c r="F29" s="16">
        <v>0.11799999999999999</v>
      </c>
      <c r="G29" s="18">
        <f>'9 - 2021'!D35-'9 - 2021'!D34+'9 - 2021'!E35-'9 - 2021'!E34</f>
        <v>27.509999999999309</v>
      </c>
      <c r="H29" s="16">
        <v>0.99</v>
      </c>
      <c r="I29" s="18">
        <f>'9 - 2021'!J35-'9 - 2021'!J34</f>
        <v>35008</v>
      </c>
      <c r="J29" s="16">
        <v>8.1000000000000003E-2</v>
      </c>
      <c r="K29" s="34">
        <f>'9 - 2021'!H35-'9 - 2021'!H34</f>
        <v>0</v>
      </c>
      <c r="L29" s="18">
        <f>'9 - 2021'!I35-'9 - 2021'!I34</f>
        <v>95</v>
      </c>
      <c r="M29" s="17">
        <v>4.393629424766913</v>
      </c>
      <c r="N29" s="29">
        <v>66</v>
      </c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v>0</v>
      </c>
      <c r="F30" s="16">
        <v>0.11799999999999999</v>
      </c>
      <c r="G30" s="18">
        <v>0</v>
      </c>
      <c r="H30" s="16">
        <v>0.99</v>
      </c>
      <c r="I30" s="18">
        <v>0</v>
      </c>
      <c r="J30" s="16">
        <v>8.1000000000000003E-2</v>
      </c>
      <c r="K30" s="34">
        <v>0</v>
      </c>
      <c r="L30" s="18"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15" sqref="O15:P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</f>
        <v>4094</v>
      </c>
      <c r="F21" s="18">
        <f>'9 - 2021'!C27-'9 - 2021'!C26</f>
        <v>5662</v>
      </c>
      <c r="G21" s="16">
        <v>0.11799999999999999</v>
      </c>
      <c r="H21" s="18">
        <f>'9 - 2021'!E27-'9 - 2021'!E26</f>
        <v>23.090000000000146</v>
      </c>
      <c r="I21" s="18">
        <f>'9 - 2021'!F27-'9 - 2021'!F26</f>
        <v>6.9499999999999886</v>
      </c>
      <c r="J21" s="18">
        <f>'9 - 2021'!G27-'9 - 2021'!G26</f>
        <v>29.049999999995634</v>
      </c>
      <c r="K21" s="16">
        <v>0.74</v>
      </c>
      <c r="L21" s="6">
        <v>45</v>
      </c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</f>
        <v>3982</v>
      </c>
      <c r="F22" s="18">
        <f>'9 - 2021'!C28-'9 - 2021'!C27</f>
        <v>5723</v>
      </c>
      <c r="G22" s="16">
        <v>0.11799999999999999</v>
      </c>
      <c r="H22" s="18">
        <f>'9 - 2021'!E28-'9 - 2021'!E27</f>
        <v>24.819999999999709</v>
      </c>
      <c r="I22" s="18">
        <f>'9 - 2021'!F28-'9 - 2021'!F27</f>
        <v>7.9599999999999795</v>
      </c>
      <c r="J22" s="18">
        <f>'9 - 2021'!G28-'9 - 2021'!G27</f>
        <v>32.400000000001455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</f>
        <v>3910</v>
      </c>
      <c r="F23" s="18">
        <f>'9 - 2021'!C29-'9 - 2021'!C28</f>
        <v>5676</v>
      </c>
      <c r="G23" s="16">
        <v>0.11799999999999999</v>
      </c>
      <c r="H23" s="18">
        <f>'9 - 2021'!E29-'9 - 2021'!E28</f>
        <v>24.729999999999563</v>
      </c>
      <c r="I23" s="18">
        <f>'9 - 2021'!F29-'9 - 2021'!F28</f>
        <v>6.4800000000000182</v>
      </c>
      <c r="J23" s="18">
        <f>'9 - 2021'!G29-'9 - 2021'!G28</f>
        <v>29.19999999999709</v>
      </c>
      <c r="K23" s="16">
        <v>0.74</v>
      </c>
      <c r="L23" s="18">
        <v>83</v>
      </c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</f>
        <v>4094</v>
      </c>
      <c r="F24" s="18">
        <f>'9 - 2021'!C30-'9 - 2021'!C29</f>
        <v>5987</v>
      </c>
      <c r="G24" s="16">
        <v>0.11799999999999999</v>
      </c>
      <c r="H24" s="18">
        <f>'9 - 2021'!E30-'9 - 2021'!E29</f>
        <v>25.570000000000618</v>
      </c>
      <c r="I24" s="18">
        <f>'9 - 2021'!F30-'9 - 2021'!F29</f>
        <v>7.6800000000000068</v>
      </c>
      <c r="J24" s="18">
        <f>'9 - 2021'!G30-'9 - 2021'!G29</f>
        <v>31.600000000005821</v>
      </c>
      <c r="K24" s="16">
        <v>0.74</v>
      </c>
      <c r="L24" s="18">
        <v>94</v>
      </c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3872</v>
      </c>
      <c r="F25" s="18">
        <f>'9 - 2021'!C31-'9 - 2021'!C30</f>
        <v>5771</v>
      </c>
      <c r="G25" s="16">
        <v>0.11799999999999999</v>
      </c>
      <c r="H25" s="18">
        <f>'9 - 2021'!E31-'9 - 2021'!E30</f>
        <v>26.049999999999272</v>
      </c>
      <c r="I25" s="18">
        <f>'9 - 2021'!F31-'9 - 2021'!F30</f>
        <v>7.2099999999999795</v>
      </c>
      <c r="J25" s="18">
        <f>'9 - 2021'!G31-'9 - 2021'!G30</f>
        <v>28.739999999997963</v>
      </c>
      <c r="K25" s="16">
        <v>0.74</v>
      </c>
      <c r="L25" s="6">
        <v>76</v>
      </c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3856</v>
      </c>
      <c r="F26" s="18">
        <f>'9 - 2021'!C32-'9 - 2021'!C31</f>
        <v>5702</v>
      </c>
      <c r="G26" s="16">
        <v>0.11799999999999999</v>
      </c>
      <c r="H26" s="18">
        <f>'9 - 2021'!E32-'9 - 2021'!E31</f>
        <v>23.610000000000582</v>
      </c>
      <c r="I26" s="18">
        <f>'9 - 2021'!F32-'9 - 2021'!F31</f>
        <v>6.0200000000000387</v>
      </c>
      <c r="J26" s="18">
        <f>'9 - 2021'!G32-'9 - 2021'!G31</f>
        <v>29.559999999997672</v>
      </c>
      <c r="K26" s="16">
        <v>0.74</v>
      </c>
      <c r="L26" s="6">
        <v>62</v>
      </c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4186</v>
      </c>
      <c r="F27" s="18">
        <f>'9 - 2021'!C33-'9 - 2021'!C32</f>
        <v>5999</v>
      </c>
      <c r="G27" s="16">
        <v>0.11799999999999999</v>
      </c>
      <c r="H27" s="18">
        <f>'9 - 2021'!E33-'9 - 2021'!E32</f>
        <v>25</v>
      </c>
      <c r="I27" s="18">
        <f>'9 - 2021'!F33-'9 - 2021'!F32</f>
        <v>7.3299999999999841</v>
      </c>
      <c r="J27" s="18">
        <f>'9 - 2021'!G33-'9 - 2021'!G32</f>
        <v>30.819999999999709</v>
      </c>
      <c r="K27" s="16">
        <v>0.74</v>
      </c>
      <c r="L27" s="18">
        <v>44</v>
      </c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4040</v>
      </c>
      <c r="F28" s="18">
        <f>'9 - 2021'!C34-'9 - 2021'!C33</f>
        <v>5678</v>
      </c>
      <c r="G28" s="16">
        <v>0.11799999999999999</v>
      </c>
      <c r="H28" s="18">
        <f>'9 - 2021'!E34-'9 - 2021'!E33</f>
        <v>23.970000000000255</v>
      </c>
      <c r="I28" s="18">
        <f>'9 - 2021'!F34-'9 - 2021'!F33</f>
        <v>7.2400000000000091</v>
      </c>
      <c r="J28" s="18">
        <f>'9 - 2021'!G34-'9 - 2021'!G33</f>
        <v>30.490000000005239</v>
      </c>
      <c r="K28" s="16">
        <v>0.74</v>
      </c>
      <c r="L28" s="6">
        <v>50</v>
      </c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45">
        <f>'9 - 2021'!B35-'9 - 2021'!B34</f>
        <v>3794</v>
      </c>
      <c r="F29" s="18">
        <f>'9 - 2021'!C35-'9 - 2021'!C34</f>
        <v>5343</v>
      </c>
      <c r="G29" s="16">
        <v>0.11799999999999999</v>
      </c>
      <c r="H29" s="18">
        <f>'9 - 2021'!E35-'9 - 2021'!E34</f>
        <v>27.599999999999454</v>
      </c>
      <c r="I29" s="18">
        <f>'9 - 2021'!F35-'9 - 2021'!F34</f>
        <v>7.1100000000000136</v>
      </c>
      <c r="J29" s="18">
        <f>'9 - 2021'!G35-'9 - 2021'!G34</f>
        <v>31.009999999994761</v>
      </c>
      <c r="K29" s="16">
        <v>0.74</v>
      </c>
      <c r="L29" s="6">
        <v>66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45">
        <v>0</v>
      </c>
      <c r="F30" s="18">
        <v>0</v>
      </c>
      <c r="G30" s="16">
        <v>0.11799999999999999</v>
      </c>
      <c r="H30" s="18">
        <v>0</v>
      </c>
      <c r="I30" s="18">
        <v>0</v>
      </c>
      <c r="J30" s="18"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zoomScaleNormal="100" workbookViewId="0">
      <selection activeCell="C24" sqref="C2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2"/>
      <c r="B5" s="87" t="s">
        <v>36</v>
      </c>
      <c r="C5" s="88"/>
      <c r="D5" s="87" t="s">
        <v>0</v>
      </c>
      <c r="E5" s="89"/>
      <c r="F5" s="89"/>
      <c r="G5" s="90"/>
      <c r="H5" s="91" t="s">
        <v>1</v>
      </c>
      <c r="I5" s="92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8" t="s">
        <v>31</v>
      </c>
      <c r="L6" s="49" t="s">
        <v>32</v>
      </c>
    </row>
    <row r="7" spans="1:17" s="14" customFormat="1" ht="12.95" customHeight="1" x14ac:dyDescent="0.25">
      <c r="A7" s="50">
        <v>44439</v>
      </c>
      <c r="B7" s="51">
        <v>1048520.9</v>
      </c>
      <c r="C7" s="52">
        <v>343357</v>
      </c>
      <c r="D7" s="53">
        <v>0.78</v>
      </c>
      <c r="E7" s="44">
        <v>5121.1000000000004</v>
      </c>
      <c r="F7" s="40">
        <v>219.36</v>
      </c>
      <c r="G7" s="40">
        <v>32462.77</v>
      </c>
      <c r="H7" s="51">
        <v>14528</v>
      </c>
      <c r="I7" s="51">
        <v>129480</v>
      </c>
      <c r="J7" s="51">
        <v>49877280</v>
      </c>
      <c r="K7" s="74"/>
      <c r="L7" s="32"/>
      <c r="M7" s="26"/>
    </row>
    <row r="8" spans="1:17" s="59" customFormat="1" ht="12.95" customHeight="1" x14ac:dyDescent="0.25">
      <c r="A8" s="25">
        <f>A7+1</f>
        <v>44440</v>
      </c>
      <c r="B8" s="54">
        <v>1052258.1000000001</v>
      </c>
      <c r="C8" s="54">
        <v>348999</v>
      </c>
      <c r="D8" s="55">
        <v>0.73</v>
      </c>
      <c r="E8" s="56">
        <v>5145.3</v>
      </c>
      <c r="F8" s="56">
        <v>225.44</v>
      </c>
      <c r="G8" s="54">
        <v>32492</v>
      </c>
      <c r="H8" s="54">
        <v>14528</v>
      </c>
      <c r="I8" s="54">
        <v>129575</v>
      </c>
      <c r="J8" s="54">
        <v>49909468</v>
      </c>
      <c r="K8" s="57"/>
      <c r="L8" s="75"/>
      <c r="M8" s="58"/>
    </row>
    <row r="9" spans="1:17" s="59" customFormat="1" ht="12.95" customHeight="1" x14ac:dyDescent="0.25">
      <c r="A9" s="25">
        <f t="shared" ref="A9:A37" si="0">A8+1</f>
        <v>44441</v>
      </c>
      <c r="B9" s="60">
        <v>1055957.7</v>
      </c>
      <c r="C9" s="38">
        <v>354499</v>
      </c>
      <c r="D9" s="61">
        <v>0.65</v>
      </c>
      <c r="E9" s="38">
        <v>5166.84</v>
      </c>
      <c r="F9" s="38">
        <v>233.26</v>
      </c>
      <c r="G9" s="38">
        <v>32522.49</v>
      </c>
      <c r="H9" s="60">
        <v>14528</v>
      </c>
      <c r="I9" s="62">
        <v>129671</v>
      </c>
      <c r="J9" s="62">
        <v>49941460</v>
      </c>
      <c r="K9" s="63"/>
      <c r="L9" s="76"/>
      <c r="M9" s="58"/>
    </row>
    <row r="10" spans="1:17" s="59" customFormat="1" ht="12.95" customHeight="1" x14ac:dyDescent="0.25">
      <c r="A10" s="25">
        <f t="shared" si="0"/>
        <v>44442</v>
      </c>
      <c r="B10" s="62">
        <v>1059759.8999999999</v>
      </c>
      <c r="C10" s="62">
        <v>360250</v>
      </c>
      <c r="D10" s="61">
        <v>0.59</v>
      </c>
      <c r="E10" s="38">
        <v>5191.47</v>
      </c>
      <c r="F10" s="38">
        <v>240.76</v>
      </c>
      <c r="G10" s="38">
        <v>32553.21</v>
      </c>
      <c r="H10" s="60">
        <v>14528</v>
      </c>
      <c r="I10" s="62">
        <v>129765</v>
      </c>
      <c r="J10" s="43">
        <v>49975500</v>
      </c>
      <c r="K10" s="63"/>
      <c r="L10" s="77"/>
      <c r="M10" s="58"/>
    </row>
    <row r="11" spans="1:17" s="59" customFormat="1" ht="12.95" customHeight="1" x14ac:dyDescent="0.25">
      <c r="A11" s="25">
        <f t="shared" si="0"/>
        <v>44443</v>
      </c>
      <c r="B11" s="62">
        <v>1063381.7</v>
      </c>
      <c r="C11" s="62">
        <v>365868</v>
      </c>
      <c r="D11" s="61">
        <v>0.52</v>
      </c>
      <c r="E11" s="38">
        <v>5214.8500000000004</v>
      </c>
      <c r="F11" s="38">
        <v>246.18</v>
      </c>
      <c r="G11" s="38">
        <v>32581.8</v>
      </c>
      <c r="H11" s="60">
        <v>14528</v>
      </c>
      <c r="I11" s="62">
        <v>129860</v>
      </c>
      <c r="J11" s="62">
        <v>50010230</v>
      </c>
      <c r="K11" s="63"/>
      <c r="L11" s="77"/>
      <c r="M11" s="58"/>
    </row>
    <row r="12" spans="1:17" s="59" customFormat="1" ht="12.95" customHeight="1" x14ac:dyDescent="0.25">
      <c r="A12" s="25">
        <f t="shared" si="0"/>
        <v>44444</v>
      </c>
      <c r="B12" s="60">
        <v>1067086.1000000001</v>
      </c>
      <c r="C12" s="60">
        <v>371639</v>
      </c>
      <c r="D12" s="61">
        <v>0.45</v>
      </c>
      <c r="E12" s="60">
        <v>5238.38</v>
      </c>
      <c r="F12" s="60">
        <v>256.31</v>
      </c>
      <c r="G12" s="60">
        <v>32612.59</v>
      </c>
      <c r="H12" s="60">
        <v>14528</v>
      </c>
      <c r="I12" s="60">
        <v>129953</v>
      </c>
      <c r="J12" s="60">
        <v>50041890</v>
      </c>
      <c r="K12" s="63"/>
      <c r="L12" s="77"/>
      <c r="M12" s="58"/>
      <c r="N12" s="58"/>
    </row>
    <row r="13" spans="1:17" s="59" customFormat="1" ht="12.95" customHeight="1" x14ac:dyDescent="0.25">
      <c r="A13" s="25">
        <f t="shared" si="0"/>
        <v>44445</v>
      </c>
      <c r="B13" s="78">
        <v>1070795</v>
      </c>
      <c r="C13" s="38">
        <v>377230</v>
      </c>
      <c r="D13" s="61">
        <v>0.38</v>
      </c>
      <c r="E13" s="38">
        <v>5262.23</v>
      </c>
      <c r="F13" s="38">
        <v>263.77999999999997</v>
      </c>
      <c r="G13" s="38">
        <v>32640.1</v>
      </c>
      <c r="H13" s="62">
        <v>14528</v>
      </c>
      <c r="I13" s="38">
        <v>130043</v>
      </c>
      <c r="J13" s="38">
        <v>50071340</v>
      </c>
      <c r="K13" s="63"/>
      <c r="L13" s="47"/>
      <c r="M13" s="58"/>
      <c r="N13" s="64"/>
      <c r="O13" s="64"/>
      <c r="P13" s="64"/>
      <c r="Q13" s="64"/>
    </row>
    <row r="14" spans="1:17" s="59" customFormat="1" ht="12.95" customHeight="1" x14ac:dyDescent="0.25">
      <c r="A14" s="25">
        <f t="shared" si="0"/>
        <v>44446</v>
      </c>
      <c r="B14" s="62">
        <v>1074460.8</v>
      </c>
      <c r="C14" s="62">
        <v>383040</v>
      </c>
      <c r="D14" s="61">
        <v>0.32</v>
      </c>
      <c r="E14" s="38">
        <v>5285.21</v>
      </c>
      <c r="F14" s="38">
        <v>271.11</v>
      </c>
      <c r="G14" s="38">
        <v>32669.439999999999</v>
      </c>
      <c r="H14" s="62">
        <v>14528</v>
      </c>
      <c r="I14" s="62">
        <v>130134</v>
      </c>
      <c r="J14" s="62">
        <v>50105100</v>
      </c>
      <c r="K14" s="63"/>
      <c r="L14" s="77"/>
      <c r="M14" s="58"/>
      <c r="N14" s="64"/>
      <c r="O14" s="64"/>
      <c r="P14" s="64"/>
      <c r="Q14" s="64"/>
    </row>
    <row r="15" spans="1:17" s="59" customFormat="1" ht="12.95" customHeight="1" x14ac:dyDescent="0.25">
      <c r="A15" s="25">
        <f t="shared" si="0"/>
        <v>44447</v>
      </c>
      <c r="B15" s="62">
        <v>1078166</v>
      </c>
      <c r="C15" s="62">
        <v>388746</v>
      </c>
      <c r="D15" s="61">
        <v>0.85</v>
      </c>
      <c r="E15" s="38">
        <v>5308.31</v>
      </c>
      <c r="F15" s="65">
        <v>278.17</v>
      </c>
      <c r="G15" s="38">
        <v>32698.79</v>
      </c>
      <c r="H15" s="62">
        <v>14528</v>
      </c>
      <c r="I15" s="62">
        <v>130226</v>
      </c>
      <c r="J15" s="62">
        <v>50145778</v>
      </c>
      <c r="K15" s="63"/>
      <c r="L15" s="77"/>
      <c r="M15" s="58"/>
      <c r="N15" s="64"/>
      <c r="O15" s="64"/>
      <c r="P15" s="64"/>
      <c r="Q15" s="64"/>
    </row>
    <row r="16" spans="1:17" s="59" customFormat="1" ht="12.95" customHeight="1" x14ac:dyDescent="0.25">
      <c r="A16" s="25">
        <f t="shared" si="0"/>
        <v>44448</v>
      </c>
      <c r="B16" s="66">
        <v>1081900.3</v>
      </c>
      <c r="C16" s="62">
        <v>394483</v>
      </c>
      <c r="D16" s="61">
        <v>0.75</v>
      </c>
      <c r="E16" s="38">
        <v>5333.88</v>
      </c>
      <c r="F16" s="65">
        <v>285.11</v>
      </c>
      <c r="G16" s="38">
        <v>32731.51</v>
      </c>
      <c r="H16" s="62">
        <v>14528</v>
      </c>
      <c r="I16" s="62">
        <v>130324</v>
      </c>
      <c r="J16" s="62">
        <v>50184566</v>
      </c>
      <c r="K16" s="63"/>
      <c r="L16" s="77"/>
      <c r="M16" s="58"/>
      <c r="N16" s="64"/>
      <c r="O16" s="64"/>
      <c r="P16" s="64"/>
      <c r="Q16" s="64"/>
    </row>
    <row r="17" spans="1:19" s="59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7">
        <v>0.65</v>
      </c>
      <c r="E17" s="38">
        <v>5359.45</v>
      </c>
      <c r="F17" s="65">
        <v>292.48</v>
      </c>
      <c r="G17" s="38">
        <v>32763.3</v>
      </c>
      <c r="H17" s="62">
        <v>14528</v>
      </c>
      <c r="I17" s="38">
        <v>130422</v>
      </c>
      <c r="J17" s="38">
        <v>50225741</v>
      </c>
      <c r="K17" s="63"/>
      <c r="L17" s="77"/>
      <c r="M17" s="58"/>
      <c r="N17" s="64"/>
      <c r="O17" s="64"/>
      <c r="P17" s="64"/>
      <c r="Q17" s="64"/>
    </row>
    <row r="18" spans="1:19" s="59" customFormat="1" ht="12.95" customHeight="1" x14ac:dyDescent="0.25">
      <c r="A18" s="25">
        <f t="shared" si="0"/>
        <v>44450</v>
      </c>
      <c r="B18" s="62">
        <v>1089500</v>
      </c>
      <c r="C18" s="62">
        <v>405854</v>
      </c>
      <c r="D18" s="61">
        <v>0.56999999999999995</v>
      </c>
      <c r="E18" s="38">
        <v>5383.92</v>
      </c>
      <c r="F18" s="38">
        <v>298.76</v>
      </c>
      <c r="G18" s="38">
        <v>32796.86</v>
      </c>
      <c r="H18" s="62">
        <v>14528</v>
      </c>
      <c r="I18" s="62">
        <v>130521</v>
      </c>
      <c r="J18" s="62">
        <v>50267477</v>
      </c>
      <c r="K18" s="63"/>
      <c r="L18" s="77"/>
      <c r="M18" s="58"/>
      <c r="N18" s="64"/>
      <c r="O18" s="68"/>
      <c r="P18" s="64"/>
      <c r="Q18" s="64"/>
    </row>
    <row r="19" spans="1:19" s="59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1">
        <v>0.48</v>
      </c>
      <c r="E19" s="38">
        <v>5406.2</v>
      </c>
      <c r="F19" s="38">
        <v>305.37</v>
      </c>
      <c r="G19" s="39">
        <v>32827.46</v>
      </c>
      <c r="H19" s="62">
        <v>14528</v>
      </c>
      <c r="I19" s="42">
        <v>130615</v>
      </c>
      <c r="J19" s="42">
        <v>50307073</v>
      </c>
      <c r="K19" s="63"/>
      <c r="L19" s="47"/>
      <c r="M19" s="58"/>
      <c r="N19" s="64"/>
      <c r="O19" s="68"/>
      <c r="P19" s="64"/>
      <c r="Q19" s="64"/>
    </row>
    <row r="20" spans="1:19" s="59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1">
        <v>0.42</v>
      </c>
      <c r="E20" s="60">
        <v>5430.48</v>
      </c>
      <c r="F20" s="60">
        <v>311.57</v>
      </c>
      <c r="G20" s="39">
        <v>32856.230000000003</v>
      </c>
      <c r="H20" s="62">
        <v>14528</v>
      </c>
      <c r="I20" s="42">
        <v>130702</v>
      </c>
      <c r="J20" s="42">
        <v>50343474</v>
      </c>
      <c r="K20" s="63"/>
      <c r="L20" s="79"/>
      <c r="M20" s="58"/>
      <c r="N20" s="69"/>
      <c r="O20" s="64"/>
      <c r="P20" s="64"/>
      <c r="Q20" s="64"/>
    </row>
    <row r="21" spans="1:19" s="59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1">
        <v>0.36</v>
      </c>
      <c r="E21" s="39">
        <v>5454.81</v>
      </c>
      <c r="F21" s="38">
        <v>318.87</v>
      </c>
      <c r="G21" s="39">
        <v>32884.5</v>
      </c>
      <c r="H21" s="62">
        <v>14528</v>
      </c>
      <c r="I21" s="42">
        <v>130790</v>
      </c>
      <c r="J21" s="42">
        <v>50380840</v>
      </c>
      <c r="K21" s="63"/>
      <c r="L21" s="79"/>
      <c r="M21" s="58"/>
      <c r="N21" s="69"/>
      <c r="O21" s="69"/>
      <c r="P21" s="70"/>
      <c r="Q21" s="70"/>
      <c r="S21" s="58"/>
    </row>
    <row r="22" spans="1:19" s="59" customFormat="1" ht="12.95" customHeight="1" x14ac:dyDescent="0.25">
      <c r="A22" s="25">
        <f t="shared" si="0"/>
        <v>44454</v>
      </c>
      <c r="B22" s="60">
        <v>1105347</v>
      </c>
      <c r="C22" s="66">
        <v>428795</v>
      </c>
      <c r="D22" s="61">
        <v>0.3</v>
      </c>
      <c r="E22" s="38">
        <v>5479.18</v>
      </c>
      <c r="F22" s="38">
        <v>325.7</v>
      </c>
      <c r="G22" s="39">
        <v>32916.199999999997</v>
      </c>
      <c r="H22" s="62">
        <v>14528</v>
      </c>
      <c r="I22" s="39">
        <v>130891</v>
      </c>
      <c r="J22" s="42">
        <v>50424580</v>
      </c>
      <c r="K22" s="63"/>
      <c r="L22" s="79"/>
      <c r="M22" s="58"/>
      <c r="N22" s="69"/>
      <c r="O22" s="69"/>
      <c r="P22" s="64"/>
      <c r="Q22" s="64"/>
    </row>
    <row r="23" spans="1:19" s="59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1">
        <v>0.8</v>
      </c>
      <c r="E23" s="39">
        <v>5503.75</v>
      </c>
      <c r="F23" s="38">
        <v>332.61</v>
      </c>
      <c r="G23" s="39">
        <v>32947.42</v>
      </c>
      <c r="H23" s="62">
        <v>14528</v>
      </c>
      <c r="I23" s="42">
        <v>130982</v>
      </c>
      <c r="J23" s="42">
        <v>50464000</v>
      </c>
      <c r="K23" s="63"/>
      <c r="L23" s="79"/>
      <c r="M23" s="58"/>
      <c r="N23" s="69"/>
      <c r="O23" s="64"/>
      <c r="P23" s="64"/>
      <c r="Q23" s="64"/>
    </row>
    <row r="24" spans="1:19" s="59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1">
        <v>0.74</v>
      </c>
      <c r="E24" s="39">
        <v>5527.31</v>
      </c>
      <c r="F24" s="38">
        <v>339.33</v>
      </c>
      <c r="G24" s="39">
        <v>32978.21</v>
      </c>
      <c r="H24" s="62">
        <v>14528</v>
      </c>
      <c r="I24" s="42">
        <v>131078</v>
      </c>
      <c r="J24" s="42">
        <v>50498600</v>
      </c>
      <c r="K24" s="63"/>
      <c r="L24" s="80"/>
      <c r="M24" s="58"/>
      <c r="N24" s="69"/>
      <c r="O24" s="69"/>
      <c r="P24" s="64"/>
      <c r="Q24" s="64"/>
    </row>
    <row r="25" spans="1:19" s="59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1">
        <v>0.65</v>
      </c>
      <c r="E25" s="39">
        <v>5551.32</v>
      </c>
      <c r="F25" s="38">
        <v>345.97</v>
      </c>
      <c r="G25" s="39">
        <v>33008.120000000003</v>
      </c>
      <c r="H25" s="62">
        <v>14528</v>
      </c>
      <c r="I25" s="42">
        <v>131175</v>
      </c>
      <c r="J25" s="42">
        <v>50537863</v>
      </c>
      <c r="K25" s="71"/>
      <c r="L25" s="80"/>
      <c r="M25" s="58"/>
      <c r="N25" s="69"/>
      <c r="O25" s="69"/>
      <c r="P25" s="64"/>
      <c r="Q25" s="64"/>
    </row>
    <row r="26" spans="1:19" s="59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7">
        <v>0.56999999999999995</v>
      </c>
      <c r="E26" s="39">
        <v>5577.47</v>
      </c>
      <c r="F26" s="38">
        <v>353.43</v>
      </c>
      <c r="G26" s="39">
        <v>33037.550000000003</v>
      </c>
      <c r="H26" s="62">
        <v>14528</v>
      </c>
      <c r="I26" s="42">
        <v>131281</v>
      </c>
      <c r="J26" s="42">
        <v>50571750</v>
      </c>
      <c r="K26" s="63"/>
      <c r="L26" s="80"/>
      <c r="M26" s="58"/>
      <c r="N26" s="69"/>
      <c r="O26" s="69"/>
      <c r="P26" s="64"/>
      <c r="Q26" s="64"/>
    </row>
    <row r="27" spans="1:19" s="59" customFormat="1" ht="12.95" customHeight="1" x14ac:dyDescent="0.25">
      <c r="A27" s="25">
        <f t="shared" si="0"/>
        <v>44459</v>
      </c>
      <c r="B27" s="42">
        <v>1125486</v>
      </c>
      <c r="C27" s="42">
        <v>457012</v>
      </c>
      <c r="D27" s="61">
        <v>0.52</v>
      </c>
      <c r="E27" s="39">
        <v>5600.56</v>
      </c>
      <c r="F27" s="38">
        <v>360.38</v>
      </c>
      <c r="G27" s="39">
        <v>33066.6</v>
      </c>
      <c r="H27" s="62">
        <v>14528</v>
      </c>
      <c r="I27" s="42">
        <v>131380</v>
      </c>
      <c r="J27" s="42">
        <v>50605800</v>
      </c>
      <c r="K27" s="81"/>
      <c r="L27" s="82"/>
      <c r="M27" s="58"/>
    </row>
    <row r="28" spans="1:19" s="59" customFormat="1" ht="12.95" customHeight="1" x14ac:dyDescent="0.25">
      <c r="A28" s="25">
        <f t="shared" si="0"/>
        <v>44460</v>
      </c>
      <c r="B28" s="41">
        <v>1129468</v>
      </c>
      <c r="C28" s="42">
        <v>462735</v>
      </c>
      <c r="D28" s="61">
        <v>0.45</v>
      </c>
      <c r="E28" s="39">
        <v>5625.38</v>
      </c>
      <c r="F28" s="38">
        <v>368.34</v>
      </c>
      <c r="G28" s="39">
        <v>33099</v>
      </c>
      <c r="H28" s="62">
        <v>14528</v>
      </c>
      <c r="I28" s="42">
        <v>131486</v>
      </c>
      <c r="J28" s="42">
        <v>50643645</v>
      </c>
      <c r="K28" s="63"/>
      <c r="L28" s="82"/>
      <c r="M28" s="58"/>
    </row>
    <row r="29" spans="1:19" s="59" customFormat="1" ht="12.95" customHeight="1" x14ac:dyDescent="0.25">
      <c r="A29" s="25">
        <f t="shared" si="0"/>
        <v>44461</v>
      </c>
      <c r="B29" s="42">
        <v>1133378</v>
      </c>
      <c r="C29" s="42">
        <v>468411</v>
      </c>
      <c r="D29" s="61">
        <v>0.39</v>
      </c>
      <c r="E29" s="39">
        <v>5650.11</v>
      </c>
      <c r="F29" s="38">
        <v>374.82</v>
      </c>
      <c r="G29" s="39">
        <v>33128.199999999997</v>
      </c>
      <c r="H29" s="62">
        <v>14528</v>
      </c>
      <c r="I29" s="42">
        <v>131583</v>
      </c>
      <c r="J29" s="42">
        <v>50681988</v>
      </c>
      <c r="K29" s="63"/>
      <c r="L29" s="82"/>
      <c r="M29" s="58"/>
      <c r="N29" s="58"/>
    </row>
    <row r="30" spans="1:19" s="59" customFormat="1" ht="12.95" customHeight="1" x14ac:dyDescent="0.25">
      <c r="A30" s="25">
        <f t="shared" si="0"/>
        <v>44462</v>
      </c>
      <c r="B30" s="42">
        <v>1137472</v>
      </c>
      <c r="C30" s="42">
        <v>474398</v>
      </c>
      <c r="D30" s="61">
        <v>0.32</v>
      </c>
      <c r="E30" s="39">
        <v>5675.68</v>
      </c>
      <c r="F30" s="38">
        <v>382.5</v>
      </c>
      <c r="G30" s="39">
        <v>33159.800000000003</v>
      </c>
      <c r="H30" s="62">
        <v>14528</v>
      </c>
      <c r="I30" s="42">
        <v>131678</v>
      </c>
      <c r="J30" s="42">
        <v>50719200</v>
      </c>
      <c r="K30" s="63"/>
      <c r="L30" s="82"/>
      <c r="M30" s="58"/>
    </row>
    <row r="31" spans="1:19" s="59" customFormat="1" ht="12.95" customHeight="1" x14ac:dyDescent="0.25">
      <c r="A31" s="25">
        <f t="shared" si="0"/>
        <v>44463</v>
      </c>
      <c r="B31" s="42">
        <v>1141344</v>
      </c>
      <c r="C31" s="42">
        <v>480169</v>
      </c>
      <c r="D31" s="61">
        <v>0.25</v>
      </c>
      <c r="E31" s="39">
        <v>5701.73</v>
      </c>
      <c r="F31" s="38">
        <v>389.71</v>
      </c>
      <c r="G31" s="39">
        <v>33188.54</v>
      </c>
      <c r="H31" s="62">
        <v>14528</v>
      </c>
      <c r="I31" s="42">
        <v>131780</v>
      </c>
      <c r="J31" s="42">
        <v>50756244</v>
      </c>
      <c r="K31" s="63"/>
      <c r="L31" s="82"/>
      <c r="M31" s="58"/>
      <c r="N31" s="58"/>
      <c r="O31" s="58"/>
    </row>
    <row r="32" spans="1:19" s="59" customFormat="1" ht="12.95" customHeight="1" x14ac:dyDescent="0.25">
      <c r="A32" s="25">
        <f t="shared" si="0"/>
        <v>44464</v>
      </c>
      <c r="B32" s="42">
        <v>1145200</v>
      </c>
      <c r="C32" s="42">
        <v>485871</v>
      </c>
      <c r="D32" s="61">
        <v>0.2</v>
      </c>
      <c r="E32" s="39">
        <v>5725.34</v>
      </c>
      <c r="F32" s="38">
        <v>395.73</v>
      </c>
      <c r="G32" s="39">
        <v>33218.1</v>
      </c>
      <c r="H32" s="62">
        <v>14528</v>
      </c>
      <c r="I32" s="42">
        <v>131893</v>
      </c>
      <c r="J32" s="42">
        <v>50791972</v>
      </c>
      <c r="K32" s="63"/>
      <c r="L32" s="82"/>
      <c r="M32" s="58"/>
      <c r="N32" s="58"/>
      <c r="O32" s="58"/>
    </row>
    <row r="33" spans="1:16" s="59" customFormat="1" ht="12.95" customHeight="1" x14ac:dyDescent="0.25">
      <c r="A33" s="25">
        <f t="shared" si="0"/>
        <v>44465</v>
      </c>
      <c r="B33" s="42">
        <v>1149386</v>
      </c>
      <c r="C33" s="42">
        <v>491870</v>
      </c>
      <c r="D33" s="61">
        <v>0.8</v>
      </c>
      <c r="E33" s="39">
        <v>5750.34</v>
      </c>
      <c r="F33" s="38">
        <v>403.06</v>
      </c>
      <c r="G33" s="39">
        <v>33248.92</v>
      </c>
      <c r="H33" s="62">
        <v>14528</v>
      </c>
      <c r="I33" s="42">
        <v>132003</v>
      </c>
      <c r="J33" s="42">
        <v>50832532</v>
      </c>
      <c r="K33" s="63"/>
      <c r="L33" s="82"/>
      <c r="N33" s="58"/>
      <c r="O33" s="58"/>
    </row>
    <row r="34" spans="1:16" s="59" customFormat="1" ht="12.95" customHeight="1" x14ac:dyDescent="0.25">
      <c r="A34" s="25">
        <f t="shared" si="0"/>
        <v>44466</v>
      </c>
      <c r="B34" s="42">
        <v>1153426</v>
      </c>
      <c r="C34" s="42">
        <v>497548</v>
      </c>
      <c r="D34" s="67">
        <v>0.74</v>
      </c>
      <c r="E34" s="39">
        <v>5774.31</v>
      </c>
      <c r="F34" s="38">
        <v>410.3</v>
      </c>
      <c r="G34" s="39">
        <v>33279.410000000003</v>
      </c>
      <c r="H34" s="62">
        <v>14528</v>
      </c>
      <c r="I34" s="39">
        <v>132100</v>
      </c>
      <c r="J34" s="39">
        <v>50872564</v>
      </c>
      <c r="K34" s="63"/>
      <c r="L34" s="83"/>
      <c r="N34" s="58"/>
      <c r="P34" s="58"/>
    </row>
    <row r="35" spans="1:16" s="59" customFormat="1" ht="12.95" customHeight="1" x14ac:dyDescent="0.25">
      <c r="A35" s="25">
        <f>A34+1</f>
        <v>44467</v>
      </c>
      <c r="B35" s="62">
        <v>1157220</v>
      </c>
      <c r="C35" s="72">
        <v>502891</v>
      </c>
      <c r="D35" s="61">
        <v>0.65</v>
      </c>
      <c r="E35" s="39">
        <v>5801.91</v>
      </c>
      <c r="F35" s="38">
        <v>417.41</v>
      </c>
      <c r="G35" s="38">
        <v>33310.42</v>
      </c>
      <c r="H35" s="62">
        <v>14528</v>
      </c>
      <c r="I35" s="62">
        <v>132195</v>
      </c>
      <c r="J35" s="62">
        <v>50907572</v>
      </c>
      <c r="K35" s="63"/>
      <c r="L35" s="82"/>
      <c r="M35" s="58"/>
      <c r="N35" s="58"/>
      <c r="O35" s="58"/>
    </row>
    <row r="36" spans="1:16" s="73" customFormat="1" x14ac:dyDescent="0.25">
      <c r="A36" s="46">
        <f t="shared" si="0"/>
        <v>44468</v>
      </c>
      <c r="B36" s="62"/>
      <c r="C36" s="72"/>
      <c r="D36" s="61"/>
      <c r="E36" s="39"/>
      <c r="F36" s="38"/>
      <c r="G36" s="38"/>
      <c r="H36" s="62"/>
      <c r="I36" s="62"/>
      <c r="J36" s="62"/>
      <c r="K36" s="63"/>
      <c r="L36" s="82"/>
    </row>
    <row r="37" spans="1:16" s="73" customFormat="1" x14ac:dyDescent="0.25">
      <c r="A37" s="46">
        <f t="shared" si="0"/>
        <v>44469</v>
      </c>
      <c r="B37" s="62"/>
      <c r="C37" s="72"/>
      <c r="D37" s="61"/>
      <c r="E37" s="39"/>
      <c r="F37" s="38"/>
      <c r="G37" s="38"/>
      <c r="H37" s="62"/>
      <c r="I37" s="62"/>
      <c r="J37" s="62"/>
      <c r="K37" s="63"/>
      <c r="L37" s="82"/>
    </row>
    <row r="38" spans="1:16" x14ac:dyDescent="0.25">
      <c r="A38" s="27" t="s">
        <v>35</v>
      </c>
      <c r="B38" s="20">
        <f>B37-B7</f>
        <v>-1048520.9</v>
      </c>
      <c r="C38" s="20">
        <f>C37-C7</f>
        <v>-343357</v>
      </c>
      <c r="D38" s="20"/>
      <c r="E38" s="20">
        <f t="shared" ref="E38:J38" si="1">E37-E7</f>
        <v>-5121.1000000000004</v>
      </c>
      <c r="F38" s="20">
        <f t="shared" si="1"/>
        <v>-219.36</v>
      </c>
      <c r="G38" s="20">
        <f t="shared" si="1"/>
        <v>-32462.77</v>
      </c>
      <c r="H38" s="20">
        <f t="shared" si="1"/>
        <v>-14528</v>
      </c>
      <c r="I38" s="20">
        <f t="shared" si="1"/>
        <v>-129480</v>
      </c>
      <c r="J38" s="20">
        <f t="shared" si="1"/>
        <v>-49877280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-28481586.120000001</v>
      </c>
      <c r="J39" s="18"/>
    </row>
    <row r="40" spans="1:16" x14ac:dyDescent="0.25">
      <c r="H40" s="14"/>
    </row>
    <row r="41" spans="1:16" x14ac:dyDescent="0.25">
      <c r="A41" s="35"/>
      <c r="B41" s="84"/>
      <c r="C41" s="84"/>
      <c r="D41" s="35"/>
      <c r="E41" s="84"/>
      <c r="F41" s="84"/>
      <c r="G41" s="84"/>
      <c r="H41" s="84"/>
      <c r="I41" s="84"/>
      <c r="J41" s="84"/>
      <c r="K41" s="35"/>
      <c r="L41" s="35"/>
    </row>
    <row r="42" spans="1:16" x14ac:dyDescent="0.25">
      <c r="I42" s="15"/>
    </row>
    <row r="43" spans="1:16" x14ac:dyDescent="0.25">
      <c r="C43" s="18"/>
    </row>
    <row r="44" spans="1:16" x14ac:dyDescent="0.25">
      <c r="J44" s="36"/>
    </row>
    <row r="45" spans="1:16" x14ac:dyDescent="0.25">
      <c r="C45" s="37"/>
      <c r="I45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2021-09-28T04:48:03Z</dcterms:modified>
</cp:coreProperties>
</file>