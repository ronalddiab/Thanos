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Engineering\HEP\2021\"/>
    </mc:Choice>
  </mc:AlternateContent>
  <bookViews>
    <workbookView xWindow="0" yWindow="0" windowWidth="28800" windowHeight="12435" activeTab="1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</workbook>
</file>

<file path=xl/calcChain.xml><?xml version="1.0" encoding="utf-8"?>
<calcChain xmlns="http://schemas.openxmlformats.org/spreadsheetml/2006/main">
  <c r="E21" i="3" l="1"/>
  <c r="F21" i="3" l="1"/>
  <c r="E20" i="3"/>
  <c r="F20" i="3" l="1"/>
  <c r="E19" i="3"/>
  <c r="F19" i="3" l="1"/>
  <c r="E18" i="3"/>
  <c r="F18" i="3" l="1"/>
  <c r="E17" i="3"/>
  <c r="F17" i="3" l="1"/>
  <c r="E16" i="3"/>
  <c r="F16" i="3" l="1"/>
  <c r="E15" i="3"/>
  <c r="F15" i="3" l="1"/>
  <c r="E14" i="3"/>
  <c r="F14" i="3" l="1"/>
  <c r="E13" i="3"/>
  <c r="F13" i="3" l="1"/>
  <c r="E12" i="3"/>
  <c r="F12" i="3" l="1"/>
  <c r="G13" i="3" l="1"/>
  <c r="H13" i="3"/>
  <c r="I13" i="3"/>
  <c r="J13" i="3"/>
  <c r="K13" i="3"/>
  <c r="L13" i="3"/>
  <c r="M13" i="3"/>
  <c r="N13" i="3"/>
  <c r="O13" i="3"/>
  <c r="P13" i="3"/>
  <c r="Q13" i="3"/>
  <c r="R13" i="3"/>
  <c r="S13" i="3"/>
  <c r="T13" i="3"/>
  <c r="U13" i="3"/>
  <c r="V13" i="3"/>
  <c r="W13" i="3"/>
  <c r="X13" i="3"/>
  <c r="Y13" i="3"/>
  <c r="Z13" i="3"/>
  <c r="AA13" i="3"/>
  <c r="AB13" i="3"/>
  <c r="AC13" i="3"/>
  <c r="AD13" i="3"/>
  <c r="AE13" i="3"/>
  <c r="AF13" i="3"/>
  <c r="AG13" i="3"/>
  <c r="AH13" i="3"/>
  <c r="AI13" i="3"/>
  <c r="AJ13" i="3"/>
  <c r="AK13" i="3"/>
  <c r="AL13" i="3"/>
  <c r="AM13" i="3"/>
  <c r="AN13" i="3"/>
  <c r="AO13" i="3"/>
  <c r="AP13" i="3"/>
  <c r="AQ13" i="3"/>
  <c r="AR13" i="3"/>
  <c r="AS13" i="3"/>
  <c r="AT13" i="3"/>
  <c r="AU13" i="3"/>
  <c r="AW13" i="3"/>
  <c r="AX13" i="3"/>
  <c r="AY13" i="3"/>
  <c r="AZ13" i="3"/>
  <c r="BA13" i="3"/>
  <c r="BB13" i="3"/>
  <c r="BC13" i="3"/>
  <c r="BD13" i="3"/>
  <c r="BE13" i="3"/>
  <c r="BF13" i="3"/>
  <c r="BG13" i="3"/>
  <c r="BH13" i="3"/>
  <c r="BI13" i="3"/>
  <c r="BJ13" i="3"/>
  <c r="BK13" i="3"/>
  <c r="G14" i="3"/>
  <c r="H14" i="3"/>
  <c r="I14" i="3"/>
  <c r="J14" i="3"/>
  <c r="K14" i="3"/>
  <c r="L14" i="3"/>
  <c r="M14" i="3"/>
  <c r="N14" i="3"/>
  <c r="O14" i="3"/>
  <c r="P14" i="3"/>
  <c r="Q14" i="3"/>
  <c r="R14" i="3"/>
  <c r="S14" i="3"/>
  <c r="T14" i="3"/>
  <c r="U14" i="3"/>
  <c r="V14" i="3"/>
  <c r="W14" i="3"/>
  <c r="X14" i="3"/>
  <c r="Y14" i="3"/>
  <c r="Z14" i="3"/>
  <c r="AA14" i="3"/>
  <c r="AB14" i="3"/>
  <c r="AC14" i="3"/>
  <c r="AD14" i="3"/>
  <c r="AE14" i="3"/>
  <c r="AF14" i="3"/>
  <c r="AG14" i="3"/>
  <c r="AH14" i="3"/>
  <c r="AI14" i="3"/>
  <c r="AJ14" i="3"/>
  <c r="AK14" i="3"/>
  <c r="AL14" i="3"/>
  <c r="AM14" i="3"/>
  <c r="AN14" i="3"/>
  <c r="AO14" i="3"/>
  <c r="AP14" i="3"/>
  <c r="AQ14" i="3"/>
  <c r="AR14" i="3"/>
  <c r="AS14" i="3"/>
  <c r="AT14" i="3"/>
  <c r="AU14" i="3"/>
  <c r="AW14" i="3"/>
  <c r="AX14" i="3"/>
  <c r="AY14" i="3"/>
  <c r="AZ14" i="3"/>
  <c r="BA14" i="3"/>
  <c r="BB14" i="3"/>
  <c r="BC14" i="3"/>
  <c r="BD14" i="3"/>
  <c r="BE14" i="3"/>
  <c r="BF14" i="3"/>
  <c r="BG14" i="3"/>
  <c r="BH14" i="3"/>
  <c r="BI14" i="3"/>
  <c r="BJ14" i="3"/>
  <c r="BK14" i="3"/>
  <c r="G15" i="3"/>
  <c r="H15" i="3"/>
  <c r="I15" i="3"/>
  <c r="J15" i="3"/>
  <c r="K15" i="3"/>
  <c r="L15" i="3"/>
  <c r="M15" i="3"/>
  <c r="N15" i="3"/>
  <c r="O15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AF15" i="3"/>
  <c r="AG15" i="3"/>
  <c r="AH15" i="3"/>
  <c r="AI15" i="3"/>
  <c r="AJ15" i="3"/>
  <c r="AK15" i="3"/>
  <c r="AL15" i="3"/>
  <c r="AM15" i="3"/>
  <c r="AN15" i="3"/>
  <c r="AO15" i="3"/>
  <c r="AP15" i="3"/>
  <c r="AQ15" i="3"/>
  <c r="AR15" i="3"/>
  <c r="AS15" i="3"/>
  <c r="AT15" i="3"/>
  <c r="AU15" i="3"/>
  <c r="AW15" i="3"/>
  <c r="AX15" i="3"/>
  <c r="AY15" i="3"/>
  <c r="AZ15" i="3"/>
  <c r="BA15" i="3"/>
  <c r="BB15" i="3"/>
  <c r="BC15" i="3"/>
  <c r="BD15" i="3"/>
  <c r="BE15" i="3"/>
  <c r="BF15" i="3"/>
  <c r="BG15" i="3"/>
  <c r="BH15" i="3"/>
  <c r="BI15" i="3"/>
  <c r="BJ15" i="3"/>
  <c r="BK15" i="3"/>
  <c r="G16" i="3"/>
  <c r="H16" i="3"/>
  <c r="I16" i="3"/>
  <c r="J16" i="3"/>
  <c r="K16" i="3"/>
  <c r="L16" i="3"/>
  <c r="M16" i="3"/>
  <c r="N16" i="3"/>
  <c r="O16" i="3"/>
  <c r="P16" i="3"/>
  <c r="Q16" i="3"/>
  <c r="R16" i="3"/>
  <c r="S16" i="3"/>
  <c r="T16" i="3"/>
  <c r="U16" i="3"/>
  <c r="V16" i="3"/>
  <c r="W16" i="3"/>
  <c r="X16" i="3"/>
  <c r="Y16" i="3"/>
  <c r="Z16" i="3"/>
  <c r="AA16" i="3"/>
  <c r="AB16" i="3"/>
  <c r="AC16" i="3"/>
  <c r="AD16" i="3"/>
  <c r="AE16" i="3"/>
  <c r="AF16" i="3"/>
  <c r="AG16" i="3"/>
  <c r="AH16" i="3"/>
  <c r="AI16" i="3"/>
  <c r="AJ16" i="3"/>
  <c r="AK16" i="3"/>
  <c r="AL16" i="3"/>
  <c r="AM16" i="3"/>
  <c r="AN16" i="3"/>
  <c r="AO16" i="3"/>
  <c r="AP16" i="3"/>
  <c r="AQ16" i="3"/>
  <c r="AR16" i="3"/>
  <c r="AS16" i="3"/>
  <c r="AT16" i="3"/>
  <c r="AU16" i="3"/>
  <c r="AW16" i="3"/>
  <c r="AX16" i="3"/>
  <c r="AY16" i="3"/>
  <c r="AZ16" i="3"/>
  <c r="BA16" i="3"/>
  <c r="BB16" i="3"/>
  <c r="BC16" i="3"/>
  <c r="BD16" i="3"/>
  <c r="BE16" i="3"/>
  <c r="BF16" i="3"/>
  <c r="BG16" i="3"/>
  <c r="BH16" i="3"/>
  <c r="BI16" i="3"/>
  <c r="BJ16" i="3"/>
  <c r="BK16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AF17" i="3"/>
  <c r="AG17" i="3"/>
  <c r="AH17" i="3"/>
  <c r="AI17" i="3"/>
  <c r="AJ17" i="3"/>
  <c r="AK17" i="3"/>
  <c r="AL17" i="3"/>
  <c r="AM17" i="3"/>
  <c r="AN17" i="3"/>
  <c r="AO17" i="3"/>
  <c r="AP17" i="3"/>
  <c r="AQ17" i="3"/>
  <c r="AR17" i="3"/>
  <c r="AS17" i="3"/>
  <c r="AT17" i="3"/>
  <c r="AU17" i="3"/>
  <c r="AW17" i="3"/>
  <c r="AX17" i="3"/>
  <c r="AY17" i="3"/>
  <c r="AZ17" i="3"/>
  <c r="BA17" i="3"/>
  <c r="BB17" i="3"/>
  <c r="BC17" i="3"/>
  <c r="BD17" i="3"/>
  <c r="BE17" i="3"/>
  <c r="BF17" i="3"/>
  <c r="BG17" i="3"/>
  <c r="BH17" i="3"/>
  <c r="BI17" i="3"/>
  <c r="BJ17" i="3"/>
  <c r="BK17" i="3"/>
  <c r="G18" i="3"/>
  <c r="H18" i="3"/>
  <c r="I18" i="3"/>
  <c r="J18" i="3"/>
  <c r="K18" i="3"/>
  <c r="L18" i="3"/>
  <c r="M18" i="3"/>
  <c r="N18" i="3"/>
  <c r="O18" i="3"/>
  <c r="P18" i="3"/>
  <c r="Q18" i="3"/>
  <c r="R18" i="3"/>
  <c r="S18" i="3"/>
  <c r="T18" i="3"/>
  <c r="U18" i="3"/>
  <c r="V18" i="3"/>
  <c r="W18" i="3"/>
  <c r="X18" i="3"/>
  <c r="Y18" i="3"/>
  <c r="Z18" i="3"/>
  <c r="AA18" i="3"/>
  <c r="AB18" i="3"/>
  <c r="AC18" i="3"/>
  <c r="AD18" i="3"/>
  <c r="AE18" i="3"/>
  <c r="AF18" i="3"/>
  <c r="AG18" i="3"/>
  <c r="AH18" i="3"/>
  <c r="AI18" i="3"/>
  <c r="AJ18" i="3"/>
  <c r="AK18" i="3"/>
  <c r="AL18" i="3"/>
  <c r="AM18" i="3"/>
  <c r="AN18" i="3"/>
  <c r="AO18" i="3"/>
  <c r="AP18" i="3"/>
  <c r="AQ18" i="3"/>
  <c r="AR18" i="3"/>
  <c r="AS18" i="3"/>
  <c r="AT18" i="3"/>
  <c r="AU18" i="3"/>
  <c r="AW18" i="3"/>
  <c r="AX18" i="3"/>
  <c r="AY18" i="3"/>
  <c r="AZ18" i="3"/>
  <c r="BA18" i="3"/>
  <c r="BB18" i="3"/>
  <c r="BC18" i="3"/>
  <c r="BD18" i="3"/>
  <c r="BE18" i="3"/>
  <c r="BF18" i="3"/>
  <c r="BG18" i="3"/>
  <c r="BH18" i="3"/>
  <c r="BI18" i="3"/>
  <c r="BJ18" i="3"/>
  <c r="BK18" i="3"/>
  <c r="G19" i="3"/>
  <c r="H19" i="3"/>
  <c r="I19" i="3"/>
  <c r="J19" i="3"/>
  <c r="K19" i="3"/>
  <c r="L19" i="3"/>
  <c r="M19" i="3"/>
  <c r="N19" i="3"/>
  <c r="O19" i="3"/>
  <c r="P19" i="3"/>
  <c r="Q19" i="3"/>
  <c r="R19" i="3"/>
  <c r="S19" i="3"/>
  <c r="T19" i="3"/>
  <c r="U19" i="3"/>
  <c r="V19" i="3"/>
  <c r="W19" i="3"/>
  <c r="X19" i="3"/>
  <c r="Y19" i="3"/>
  <c r="Z19" i="3"/>
  <c r="AA19" i="3"/>
  <c r="AB19" i="3"/>
  <c r="AC19" i="3"/>
  <c r="AD19" i="3"/>
  <c r="AE19" i="3"/>
  <c r="AF19" i="3"/>
  <c r="AG19" i="3"/>
  <c r="AH19" i="3"/>
  <c r="AI19" i="3"/>
  <c r="AJ19" i="3"/>
  <c r="AK19" i="3"/>
  <c r="AL19" i="3"/>
  <c r="AM19" i="3"/>
  <c r="AN19" i="3"/>
  <c r="AO19" i="3"/>
  <c r="AP19" i="3"/>
  <c r="AQ19" i="3"/>
  <c r="AR19" i="3"/>
  <c r="AS19" i="3"/>
  <c r="AT19" i="3"/>
  <c r="AU19" i="3"/>
  <c r="AW19" i="3"/>
  <c r="AX19" i="3"/>
  <c r="AY19" i="3"/>
  <c r="AZ19" i="3"/>
  <c r="BA19" i="3"/>
  <c r="BB19" i="3"/>
  <c r="BC19" i="3"/>
  <c r="BD19" i="3"/>
  <c r="BE19" i="3"/>
  <c r="BF19" i="3"/>
  <c r="BG19" i="3"/>
  <c r="BH19" i="3"/>
  <c r="BI19" i="3"/>
  <c r="BJ19" i="3"/>
  <c r="BK19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T20" i="3"/>
  <c r="U20" i="3"/>
  <c r="V20" i="3"/>
  <c r="W20" i="3"/>
  <c r="X20" i="3"/>
  <c r="Y20" i="3"/>
  <c r="Z20" i="3"/>
  <c r="AA20" i="3"/>
  <c r="AB20" i="3"/>
  <c r="AC20" i="3"/>
  <c r="AD20" i="3"/>
  <c r="AE20" i="3"/>
  <c r="AF20" i="3"/>
  <c r="AG20" i="3"/>
  <c r="AH20" i="3"/>
  <c r="AI20" i="3"/>
  <c r="AJ20" i="3"/>
  <c r="AK20" i="3"/>
  <c r="AL20" i="3"/>
  <c r="AM20" i="3"/>
  <c r="AN20" i="3"/>
  <c r="AO20" i="3"/>
  <c r="AP20" i="3"/>
  <c r="AQ20" i="3"/>
  <c r="AR20" i="3"/>
  <c r="AS20" i="3"/>
  <c r="AT20" i="3"/>
  <c r="AU20" i="3"/>
  <c r="AW20" i="3"/>
  <c r="AX20" i="3"/>
  <c r="AY20" i="3"/>
  <c r="AZ20" i="3"/>
  <c r="BA20" i="3"/>
  <c r="BB20" i="3"/>
  <c r="BC20" i="3"/>
  <c r="BD20" i="3"/>
  <c r="BE20" i="3"/>
  <c r="BF20" i="3"/>
  <c r="BG20" i="3"/>
  <c r="BH20" i="3"/>
  <c r="BI20" i="3"/>
  <c r="BJ20" i="3"/>
  <c r="BK20" i="3"/>
  <c r="G21" i="3"/>
  <c r="H21" i="3"/>
  <c r="I21" i="3"/>
  <c r="J21" i="3"/>
  <c r="K21" i="3"/>
  <c r="L21" i="3"/>
  <c r="M21" i="3"/>
  <c r="N21" i="3"/>
  <c r="O21" i="3"/>
  <c r="P21" i="3"/>
  <c r="Q21" i="3"/>
  <c r="R21" i="3"/>
  <c r="S21" i="3"/>
  <c r="T21" i="3"/>
  <c r="U21" i="3"/>
  <c r="V21" i="3"/>
  <c r="W21" i="3"/>
  <c r="X21" i="3"/>
  <c r="Y21" i="3"/>
  <c r="Z21" i="3"/>
  <c r="AA21" i="3"/>
  <c r="AB21" i="3"/>
  <c r="AC21" i="3"/>
  <c r="AD21" i="3"/>
  <c r="AE21" i="3"/>
  <c r="AF21" i="3"/>
  <c r="AG21" i="3"/>
  <c r="AH21" i="3"/>
  <c r="AI21" i="3"/>
  <c r="AJ21" i="3"/>
  <c r="AK21" i="3"/>
  <c r="AL21" i="3"/>
  <c r="AM21" i="3"/>
  <c r="AN21" i="3"/>
  <c r="AO21" i="3"/>
  <c r="AP21" i="3"/>
  <c r="AQ21" i="3"/>
  <c r="AR21" i="3"/>
  <c r="AS21" i="3"/>
  <c r="AT21" i="3"/>
  <c r="AU21" i="3"/>
  <c r="AW21" i="3"/>
  <c r="AX21" i="3"/>
  <c r="AY21" i="3"/>
  <c r="AZ21" i="3"/>
  <c r="BA21" i="3"/>
  <c r="BB21" i="3"/>
  <c r="BC21" i="3"/>
  <c r="BD21" i="3"/>
  <c r="BE21" i="3"/>
  <c r="BF21" i="3"/>
  <c r="BG21" i="3"/>
  <c r="BH21" i="3"/>
  <c r="BI21" i="3"/>
  <c r="BJ21" i="3"/>
  <c r="BK21" i="3"/>
  <c r="G12" i="3"/>
  <c r="H12" i="3"/>
  <c r="I12" i="3"/>
  <c r="J12" i="3"/>
  <c r="K12" i="3"/>
  <c r="L12" i="3"/>
  <c r="M12" i="3"/>
  <c r="N12" i="3"/>
  <c r="O12" i="3"/>
  <c r="P12" i="3"/>
  <c r="Q12" i="3"/>
  <c r="R12" i="3"/>
  <c r="S12" i="3"/>
  <c r="T12" i="3"/>
  <c r="U12" i="3"/>
  <c r="V12" i="3"/>
  <c r="W12" i="3"/>
  <c r="X12" i="3"/>
  <c r="Y12" i="3"/>
  <c r="Z12" i="3"/>
  <c r="AA12" i="3"/>
  <c r="AB12" i="3"/>
  <c r="AC12" i="3"/>
  <c r="AD12" i="3"/>
  <c r="AE12" i="3"/>
  <c r="AF12" i="3"/>
  <c r="AG12" i="3"/>
  <c r="AH12" i="3"/>
  <c r="AI12" i="3"/>
  <c r="AJ12" i="3"/>
  <c r="AK12" i="3"/>
  <c r="AL12" i="3"/>
  <c r="AM12" i="3"/>
  <c r="AN12" i="3"/>
  <c r="AO12" i="3"/>
  <c r="AP12" i="3"/>
  <c r="AQ12" i="3"/>
  <c r="AR12" i="3"/>
  <c r="AS12" i="3"/>
  <c r="AT12" i="3"/>
  <c r="AU12" i="3"/>
  <c r="AW12" i="3"/>
  <c r="AX12" i="3"/>
  <c r="AY12" i="3"/>
  <c r="AZ12" i="3"/>
  <c r="BA12" i="3"/>
  <c r="BB12" i="3"/>
  <c r="BC12" i="3"/>
  <c r="BD12" i="3"/>
  <c r="BE12" i="3"/>
  <c r="BF12" i="3"/>
  <c r="BG12" i="3"/>
  <c r="BH12" i="3"/>
  <c r="BI12" i="3"/>
  <c r="BJ12" i="3"/>
  <c r="BK12" i="3"/>
  <c r="E11" i="3" l="1"/>
  <c r="F11" i="3" l="1"/>
  <c r="E10" i="3"/>
  <c r="F10" i="3" l="1"/>
  <c r="E9" i="3"/>
  <c r="F9" i="3" l="1"/>
  <c r="E8" i="3"/>
  <c r="F8" i="3" l="1"/>
  <c r="E7" i="3"/>
  <c r="F7" i="3" l="1"/>
  <c r="E6" i="3"/>
  <c r="F6" i="3" l="1"/>
  <c r="E5" i="3"/>
  <c r="F5" i="3" l="1"/>
  <c r="E4" i="3"/>
  <c r="F4" i="3" l="1"/>
  <c r="E3" i="3" l="1"/>
  <c r="F3" i="3" l="1"/>
  <c r="E2" i="3"/>
  <c r="F2" i="3" l="1"/>
  <c r="FC40" i="4" l="1"/>
  <c r="FB40" i="4"/>
  <c r="FA40" i="4"/>
  <c r="EZ40" i="4"/>
  <c r="EY40" i="4"/>
  <c r="EX40" i="4"/>
  <c r="EW40" i="4"/>
  <c r="EV40" i="4"/>
  <c r="EU40" i="4"/>
  <c r="ET40" i="4"/>
  <c r="ER40" i="4"/>
  <c r="EQ40" i="4"/>
  <c r="EP40" i="4"/>
  <c r="EO40" i="4"/>
  <c r="EN40" i="4"/>
  <c r="EM40" i="4"/>
  <c r="EL40" i="4"/>
  <c r="EK40" i="4"/>
  <c r="EJ40" i="4"/>
  <c r="EI40" i="4"/>
  <c r="EH40" i="4"/>
  <c r="EG40" i="4"/>
  <c r="EE40" i="4"/>
  <c r="ED40" i="4"/>
  <c r="EC40" i="4"/>
  <c r="EB40" i="4"/>
  <c r="EA40" i="4"/>
  <c r="DZ40" i="4"/>
  <c r="DY40" i="4"/>
  <c r="DX40" i="4"/>
  <c r="DW40" i="4"/>
  <c r="DV40" i="4"/>
  <c r="DU40" i="4"/>
  <c r="DT40" i="4"/>
  <c r="DR40" i="4"/>
  <c r="DQ40" i="4"/>
  <c r="DP40" i="4"/>
  <c r="DO40" i="4"/>
  <c r="DN40" i="4"/>
  <c r="DM40" i="4"/>
  <c r="DL40" i="4"/>
  <c r="DK40" i="4"/>
  <c r="DJ40" i="4"/>
  <c r="DI40" i="4"/>
  <c r="DH40" i="4"/>
  <c r="DG40" i="4"/>
  <c r="DF40" i="4"/>
  <c r="DE40" i="4"/>
  <c r="DD40" i="4"/>
  <c r="DC40" i="4"/>
  <c r="DB40" i="4"/>
  <c r="DA40" i="4"/>
  <c r="CZ40" i="4"/>
  <c r="CY40" i="4"/>
  <c r="CX40" i="4"/>
  <c r="CW40" i="4"/>
  <c r="CU40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T40" i="4"/>
  <c r="BS40" i="4"/>
  <c r="BH40" i="4"/>
  <c r="BG40" i="4"/>
  <c r="BF40" i="4"/>
  <c r="BE40" i="4"/>
  <c r="BD40" i="4"/>
  <c r="BC40" i="4"/>
  <c r="BB40" i="4"/>
  <c r="BA40" i="4"/>
  <c r="AZ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S40" i="4"/>
  <c r="R40" i="4"/>
  <c r="Q40" i="4"/>
  <c r="P40" i="4"/>
  <c r="O40" i="4"/>
  <c r="N40" i="4"/>
  <c r="M40" i="4"/>
  <c r="L40" i="4"/>
  <c r="K40" i="4"/>
  <c r="K32" i="1" s="1"/>
  <c r="J40" i="4"/>
  <c r="I40" i="4"/>
  <c r="H40" i="4"/>
  <c r="G40" i="4"/>
  <c r="F40" i="4"/>
  <c r="E40" i="4"/>
  <c r="D40" i="4"/>
  <c r="C40" i="4"/>
  <c r="I32" i="1" s="1"/>
  <c r="B40" i="4"/>
  <c r="FC39" i="4"/>
  <c r="FB39" i="4"/>
  <c r="FA39" i="4"/>
  <c r="EZ39" i="4"/>
  <c r="EY39" i="4"/>
  <c r="EX39" i="4"/>
  <c r="EW39" i="4"/>
  <c r="EV39" i="4"/>
  <c r="EU39" i="4"/>
  <c r="ET39" i="4"/>
  <c r="ER39" i="4"/>
  <c r="EQ39" i="4"/>
  <c r="EP39" i="4"/>
  <c r="EO39" i="4"/>
  <c r="EN39" i="4"/>
  <c r="EM39" i="4"/>
  <c r="EL39" i="4"/>
  <c r="EK39" i="4"/>
  <c r="EJ39" i="4"/>
  <c r="EI39" i="4"/>
  <c r="EH39" i="4"/>
  <c r="EG39" i="4"/>
  <c r="EE39" i="4"/>
  <c r="ED39" i="4"/>
  <c r="EC39" i="4"/>
  <c r="EB39" i="4"/>
  <c r="EA39" i="4"/>
  <c r="DZ39" i="4"/>
  <c r="DY39" i="4"/>
  <c r="DX39" i="4"/>
  <c r="DW39" i="4"/>
  <c r="DV39" i="4"/>
  <c r="DU39" i="4"/>
  <c r="DT39" i="4"/>
  <c r="DR39" i="4"/>
  <c r="DQ39" i="4"/>
  <c r="DP39" i="4"/>
  <c r="DO39" i="4"/>
  <c r="DN39" i="4"/>
  <c r="DM39" i="4"/>
  <c r="DL39" i="4"/>
  <c r="DK39" i="4"/>
  <c r="DJ39" i="4"/>
  <c r="DI39" i="4"/>
  <c r="DH39" i="4"/>
  <c r="DG39" i="4"/>
  <c r="DF39" i="4"/>
  <c r="DE39" i="4"/>
  <c r="DD39" i="4"/>
  <c r="DC39" i="4"/>
  <c r="DB39" i="4"/>
  <c r="DA39" i="4"/>
  <c r="CZ39" i="4"/>
  <c r="CY39" i="4"/>
  <c r="CX39" i="4"/>
  <c r="CW39" i="4"/>
  <c r="CU39" i="4"/>
  <c r="CT39" i="4"/>
  <c r="CS39" i="4"/>
  <c r="CR39" i="4"/>
  <c r="CQ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A39" i="4"/>
  <c r="BZ39" i="4"/>
  <c r="BY39" i="4"/>
  <c r="BX39" i="4"/>
  <c r="BW39" i="4"/>
  <c r="BV39" i="4"/>
  <c r="BT39" i="4"/>
  <c r="BS39" i="4"/>
  <c r="BH39" i="4"/>
  <c r="BG39" i="4"/>
  <c r="BF39" i="4"/>
  <c r="BE39" i="4"/>
  <c r="BD39" i="4"/>
  <c r="BC39" i="4"/>
  <c r="BB39" i="4"/>
  <c r="BA39" i="4"/>
  <c r="AZ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FC38" i="4"/>
  <c r="FB38" i="4"/>
  <c r="FA38" i="4"/>
  <c r="EZ38" i="4"/>
  <c r="EY38" i="4"/>
  <c r="EX38" i="4"/>
  <c r="EW38" i="4"/>
  <c r="EV38" i="4"/>
  <c r="EU38" i="4"/>
  <c r="ET38" i="4"/>
  <c r="ER38" i="4"/>
  <c r="EQ38" i="4"/>
  <c r="EP38" i="4"/>
  <c r="EO38" i="4"/>
  <c r="EN38" i="4"/>
  <c r="EM38" i="4"/>
  <c r="EL38" i="4"/>
  <c r="EK38" i="4"/>
  <c r="EJ38" i="4"/>
  <c r="EI38" i="4"/>
  <c r="EH38" i="4"/>
  <c r="EG38" i="4"/>
  <c r="EE38" i="4"/>
  <c r="ED38" i="4"/>
  <c r="EC38" i="4"/>
  <c r="EB38" i="4"/>
  <c r="EA38" i="4"/>
  <c r="DZ38" i="4"/>
  <c r="DY38" i="4"/>
  <c r="DX38" i="4"/>
  <c r="DW38" i="4"/>
  <c r="DV38" i="4"/>
  <c r="DU38" i="4"/>
  <c r="DT38" i="4"/>
  <c r="DR38" i="4"/>
  <c r="DQ38" i="4"/>
  <c r="DP38" i="4"/>
  <c r="DO38" i="4"/>
  <c r="DN38" i="4"/>
  <c r="DM38" i="4"/>
  <c r="DL38" i="4"/>
  <c r="DK38" i="4"/>
  <c r="DJ38" i="4"/>
  <c r="DI38" i="4"/>
  <c r="DH38" i="4"/>
  <c r="DG38" i="4"/>
  <c r="DF38" i="4"/>
  <c r="DE38" i="4"/>
  <c r="DD38" i="4"/>
  <c r="DC38" i="4"/>
  <c r="DB38" i="4"/>
  <c r="DA38" i="4"/>
  <c r="CZ38" i="4"/>
  <c r="CY38" i="4"/>
  <c r="CX38" i="4"/>
  <c r="CW38" i="4"/>
  <c r="CU38" i="4"/>
  <c r="CT38" i="4"/>
  <c r="CS38" i="4"/>
  <c r="CR38" i="4"/>
  <c r="CQ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BX38" i="4"/>
  <c r="BW38" i="4"/>
  <c r="BV38" i="4"/>
  <c r="BT38" i="4"/>
  <c r="BS38" i="4"/>
  <c r="BH38" i="4"/>
  <c r="BG38" i="4"/>
  <c r="BF38" i="4"/>
  <c r="BE38" i="4"/>
  <c r="BD38" i="4"/>
  <c r="BC38" i="4"/>
  <c r="BB38" i="4"/>
  <c r="BA38" i="4"/>
  <c r="AZ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FC37" i="4"/>
  <c r="FB37" i="4"/>
  <c r="FA37" i="4"/>
  <c r="EZ37" i="4"/>
  <c r="EY37" i="4"/>
  <c r="EX37" i="4"/>
  <c r="EW37" i="4"/>
  <c r="EV37" i="4"/>
  <c r="EU37" i="4"/>
  <c r="ET37" i="4"/>
  <c r="ER37" i="4"/>
  <c r="EQ37" i="4"/>
  <c r="EP37" i="4"/>
  <c r="EO37" i="4"/>
  <c r="EN37" i="4"/>
  <c r="EM37" i="4"/>
  <c r="EL37" i="4"/>
  <c r="EK37" i="4"/>
  <c r="EJ37" i="4"/>
  <c r="EI37" i="4"/>
  <c r="EH37" i="4"/>
  <c r="EG37" i="4"/>
  <c r="EE37" i="4"/>
  <c r="ED37" i="4"/>
  <c r="EC37" i="4"/>
  <c r="EB37" i="4"/>
  <c r="EA37" i="4"/>
  <c r="DZ37" i="4"/>
  <c r="DY37" i="4"/>
  <c r="DX37" i="4"/>
  <c r="DW37" i="4"/>
  <c r="DV37" i="4"/>
  <c r="DU37" i="4"/>
  <c r="DT37" i="4"/>
  <c r="DR37" i="4"/>
  <c r="DQ37" i="4"/>
  <c r="DP37" i="4"/>
  <c r="DO37" i="4"/>
  <c r="DN37" i="4"/>
  <c r="DM37" i="4"/>
  <c r="DL37" i="4"/>
  <c r="DK37" i="4"/>
  <c r="DJ37" i="4"/>
  <c r="DI37" i="4"/>
  <c r="DH37" i="4"/>
  <c r="DG37" i="4"/>
  <c r="DF37" i="4"/>
  <c r="DE37" i="4"/>
  <c r="DD37" i="4"/>
  <c r="DC37" i="4"/>
  <c r="DB37" i="4"/>
  <c r="DA37" i="4"/>
  <c r="CZ37" i="4"/>
  <c r="CY37" i="4"/>
  <c r="CX37" i="4"/>
  <c r="CW37" i="4"/>
  <c r="CU37" i="4"/>
  <c r="CT37" i="4"/>
  <c r="CS37" i="4"/>
  <c r="CR37" i="4"/>
  <c r="CQ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BV37" i="4"/>
  <c r="BT37" i="4"/>
  <c r="BS37" i="4"/>
  <c r="BH37" i="4"/>
  <c r="BG37" i="4"/>
  <c r="BF37" i="4"/>
  <c r="BE37" i="4"/>
  <c r="BD37" i="4"/>
  <c r="BC37" i="4"/>
  <c r="BB37" i="4"/>
  <c r="BA37" i="4"/>
  <c r="AZ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FC36" i="4"/>
  <c r="FB36" i="4"/>
  <c r="FA36" i="4"/>
  <c r="EZ36" i="4"/>
  <c r="EY36" i="4"/>
  <c r="EX36" i="4"/>
  <c r="EW36" i="4"/>
  <c r="EV36" i="4"/>
  <c r="EU36" i="4"/>
  <c r="ET36" i="4"/>
  <c r="ER36" i="4"/>
  <c r="EQ36" i="4"/>
  <c r="EP36" i="4"/>
  <c r="EO36" i="4"/>
  <c r="EN36" i="4"/>
  <c r="EM36" i="4"/>
  <c r="EL36" i="4"/>
  <c r="EK36" i="4"/>
  <c r="EJ36" i="4"/>
  <c r="EI36" i="4"/>
  <c r="EH36" i="4"/>
  <c r="EG36" i="4"/>
  <c r="EE36" i="4"/>
  <c r="ED36" i="4"/>
  <c r="EC36" i="4"/>
  <c r="EB36" i="4"/>
  <c r="EA36" i="4"/>
  <c r="DZ36" i="4"/>
  <c r="DY36" i="4"/>
  <c r="DX36" i="4"/>
  <c r="DW36" i="4"/>
  <c r="DV36" i="4"/>
  <c r="DU36" i="4"/>
  <c r="DT36" i="4"/>
  <c r="DR36" i="4"/>
  <c r="DQ36" i="4"/>
  <c r="DP36" i="4"/>
  <c r="DO36" i="4"/>
  <c r="DN36" i="4"/>
  <c r="DM36" i="4"/>
  <c r="DL36" i="4"/>
  <c r="DK36" i="4"/>
  <c r="DJ36" i="4"/>
  <c r="DI36" i="4"/>
  <c r="DH36" i="4"/>
  <c r="DG36" i="4"/>
  <c r="DF36" i="4"/>
  <c r="DE36" i="4"/>
  <c r="DD36" i="4"/>
  <c r="DC36" i="4"/>
  <c r="DB36" i="4"/>
  <c r="DA36" i="4"/>
  <c r="CZ36" i="4"/>
  <c r="CY36" i="4"/>
  <c r="CX36" i="4"/>
  <c r="CW36" i="4"/>
  <c r="CU36" i="4"/>
  <c r="CT36" i="4"/>
  <c r="CS36" i="4"/>
  <c r="CR36" i="4"/>
  <c r="CQ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V36" i="4"/>
  <c r="BT36" i="4"/>
  <c r="BS36" i="4"/>
  <c r="BH36" i="4"/>
  <c r="BG36" i="4"/>
  <c r="BF36" i="4"/>
  <c r="BE36" i="4"/>
  <c r="BD36" i="4"/>
  <c r="BC36" i="4"/>
  <c r="BB36" i="4"/>
  <c r="BA36" i="4"/>
  <c r="AZ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FC35" i="4"/>
  <c r="FB35" i="4"/>
  <c r="FA35" i="4"/>
  <c r="EZ35" i="4"/>
  <c r="EY35" i="4"/>
  <c r="EX35" i="4"/>
  <c r="EW35" i="4"/>
  <c r="EV35" i="4"/>
  <c r="EU35" i="4"/>
  <c r="ET35" i="4"/>
  <c r="ER35" i="4"/>
  <c r="EQ35" i="4"/>
  <c r="EP35" i="4"/>
  <c r="EO35" i="4"/>
  <c r="EN35" i="4"/>
  <c r="EM35" i="4"/>
  <c r="EL35" i="4"/>
  <c r="EK35" i="4"/>
  <c r="EJ35" i="4"/>
  <c r="EI35" i="4"/>
  <c r="EH35" i="4"/>
  <c r="EG35" i="4"/>
  <c r="EE35" i="4"/>
  <c r="ED35" i="4"/>
  <c r="EC35" i="4"/>
  <c r="EB35" i="4"/>
  <c r="EA35" i="4"/>
  <c r="DZ35" i="4"/>
  <c r="DY35" i="4"/>
  <c r="DX35" i="4"/>
  <c r="DW35" i="4"/>
  <c r="DV35" i="4"/>
  <c r="DU35" i="4"/>
  <c r="DT35" i="4"/>
  <c r="DR35" i="4"/>
  <c r="DQ35" i="4"/>
  <c r="DP35" i="4"/>
  <c r="DO35" i="4"/>
  <c r="DN35" i="4"/>
  <c r="DM35" i="4"/>
  <c r="DL35" i="4"/>
  <c r="DK35" i="4"/>
  <c r="DJ35" i="4"/>
  <c r="DI35" i="4"/>
  <c r="DH35" i="4"/>
  <c r="DG35" i="4"/>
  <c r="DF35" i="4"/>
  <c r="DE35" i="4"/>
  <c r="DD35" i="4"/>
  <c r="DC35" i="4"/>
  <c r="DB35" i="4"/>
  <c r="DA35" i="4"/>
  <c r="CZ35" i="4"/>
  <c r="CY35" i="4"/>
  <c r="CX35" i="4"/>
  <c r="CW35" i="4"/>
  <c r="CU35" i="4"/>
  <c r="CT35" i="4"/>
  <c r="CS35" i="4"/>
  <c r="CR35" i="4"/>
  <c r="CQ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BV35" i="4"/>
  <c r="BT35" i="4"/>
  <c r="BS35" i="4"/>
  <c r="BH35" i="4"/>
  <c r="BG35" i="4"/>
  <c r="BF35" i="4"/>
  <c r="BE35" i="4"/>
  <c r="BD35" i="4"/>
  <c r="BC35" i="4"/>
  <c r="BB35" i="4"/>
  <c r="BA35" i="4"/>
  <c r="AZ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FC34" i="4"/>
  <c r="FB34" i="4"/>
  <c r="FA34" i="4"/>
  <c r="EZ34" i="4"/>
  <c r="EY34" i="4"/>
  <c r="EX34" i="4"/>
  <c r="EW34" i="4"/>
  <c r="EV34" i="4"/>
  <c r="EU34" i="4"/>
  <c r="ET34" i="4"/>
  <c r="ER34" i="4"/>
  <c r="EQ34" i="4"/>
  <c r="EP34" i="4"/>
  <c r="EO34" i="4"/>
  <c r="EN34" i="4"/>
  <c r="EM34" i="4"/>
  <c r="EL34" i="4"/>
  <c r="EK34" i="4"/>
  <c r="EJ34" i="4"/>
  <c r="EI34" i="4"/>
  <c r="EH34" i="4"/>
  <c r="EG34" i="4"/>
  <c r="EE34" i="4"/>
  <c r="ED34" i="4"/>
  <c r="EC34" i="4"/>
  <c r="EB34" i="4"/>
  <c r="EA34" i="4"/>
  <c r="DZ34" i="4"/>
  <c r="DY34" i="4"/>
  <c r="DX34" i="4"/>
  <c r="DW34" i="4"/>
  <c r="DV34" i="4"/>
  <c r="DU34" i="4"/>
  <c r="DT34" i="4"/>
  <c r="DR34" i="4"/>
  <c r="DQ34" i="4"/>
  <c r="DP34" i="4"/>
  <c r="DO34" i="4"/>
  <c r="DN34" i="4"/>
  <c r="DM34" i="4"/>
  <c r="DL34" i="4"/>
  <c r="DK34" i="4"/>
  <c r="DJ34" i="4"/>
  <c r="DI34" i="4"/>
  <c r="DH34" i="4"/>
  <c r="DG34" i="4"/>
  <c r="DF34" i="4"/>
  <c r="DE34" i="4"/>
  <c r="DD34" i="4"/>
  <c r="DC34" i="4"/>
  <c r="DB34" i="4"/>
  <c r="DA34" i="4"/>
  <c r="CZ34" i="4"/>
  <c r="CY34" i="4"/>
  <c r="CX34" i="4"/>
  <c r="CW34" i="4"/>
  <c r="CU34" i="4"/>
  <c r="CT34" i="4"/>
  <c r="CS34" i="4"/>
  <c r="CR34" i="4"/>
  <c r="CQ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BV34" i="4"/>
  <c r="BT34" i="4"/>
  <c r="BS34" i="4"/>
  <c r="BH34" i="4"/>
  <c r="BG34" i="4"/>
  <c r="BF34" i="4"/>
  <c r="BE34" i="4"/>
  <c r="BD34" i="4"/>
  <c r="BC34" i="4"/>
  <c r="BB34" i="4"/>
  <c r="BA34" i="4"/>
  <c r="AZ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FC33" i="4"/>
  <c r="FB33" i="4"/>
  <c r="FA33" i="4"/>
  <c r="EZ33" i="4"/>
  <c r="EY33" i="4"/>
  <c r="EX33" i="4"/>
  <c r="EW33" i="4"/>
  <c r="EV33" i="4"/>
  <c r="EU33" i="4"/>
  <c r="ET33" i="4"/>
  <c r="ER33" i="4"/>
  <c r="EQ33" i="4"/>
  <c r="EP33" i="4"/>
  <c r="EO33" i="4"/>
  <c r="EN33" i="4"/>
  <c r="EM33" i="4"/>
  <c r="EL33" i="4"/>
  <c r="EK33" i="4"/>
  <c r="EJ33" i="4"/>
  <c r="EI33" i="4"/>
  <c r="EH33" i="4"/>
  <c r="EG33" i="4"/>
  <c r="EE33" i="4"/>
  <c r="ED33" i="4"/>
  <c r="EC33" i="4"/>
  <c r="EB33" i="4"/>
  <c r="EA33" i="4"/>
  <c r="DZ33" i="4"/>
  <c r="DY33" i="4"/>
  <c r="DX33" i="4"/>
  <c r="DW33" i="4"/>
  <c r="DV33" i="4"/>
  <c r="DU33" i="4"/>
  <c r="DT33" i="4"/>
  <c r="DR33" i="4"/>
  <c r="DQ33" i="4"/>
  <c r="DP33" i="4"/>
  <c r="DO33" i="4"/>
  <c r="DN33" i="4"/>
  <c r="DM33" i="4"/>
  <c r="DL33" i="4"/>
  <c r="DK33" i="4"/>
  <c r="DJ33" i="4"/>
  <c r="DI33" i="4"/>
  <c r="DH33" i="4"/>
  <c r="DG33" i="4"/>
  <c r="DF33" i="4"/>
  <c r="DE33" i="4"/>
  <c r="DD33" i="4"/>
  <c r="DC33" i="4"/>
  <c r="DB33" i="4"/>
  <c r="DA33" i="4"/>
  <c r="CZ33" i="4"/>
  <c r="CY33" i="4"/>
  <c r="CX33" i="4"/>
  <c r="CW33" i="4"/>
  <c r="CU33" i="4"/>
  <c r="CT33" i="4"/>
  <c r="CS33" i="4"/>
  <c r="CR33" i="4"/>
  <c r="CQ33" i="4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V33" i="4"/>
  <c r="BT33" i="4"/>
  <c r="BS33" i="4"/>
  <c r="BH33" i="4"/>
  <c r="BG33" i="4"/>
  <c r="BF33" i="4"/>
  <c r="BE33" i="4"/>
  <c r="BD33" i="4"/>
  <c r="BC33" i="4"/>
  <c r="BB33" i="4"/>
  <c r="BA33" i="4"/>
  <c r="AZ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FC32" i="4"/>
  <c r="FB32" i="4"/>
  <c r="FA32" i="4"/>
  <c r="EZ32" i="4"/>
  <c r="EY32" i="4"/>
  <c r="EX32" i="4"/>
  <c r="EW32" i="4"/>
  <c r="EV32" i="4"/>
  <c r="EU32" i="4"/>
  <c r="ET32" i="4"/>
  <c r="ER32" i="4"/>
  <c r="EQ32" i="4"/>
  <c r="EP32" i="4"/>
  <c r="EO32" i="4"/>
  <c r="EN32" i="4"/>
  <c r="EM32" i="4"/>
  <c r="EL32" i="4"/>
  <c r="EK32" i="4"/>
  <c r="EJ32" i="4"/>
  <c r="EI32" i="4"/>
  <c r="EH32" i="4"/>
  <c r="EG32" i="4"/>
  <c r="EE32" i="4"/>
  <c r="ED32" i="4"/>
  <c r="EC32" i="4"/>
  <c r="EB32" i="4"/>
  <c r="EA32" i="4"/>
  <c r="DZ32" i="4"/>
  <c r="DY32" i="4"/>
  <c r="DX32" i="4"/>
  <c r="DW32" i="4"/>
  <c r="DV32" i="4"/>
  <c r="DU32" i="4"/>
  <c r="DT32" i="4"/>
  <c r="DR32" i="4"/>
  <c r="DQ32" i="4"/>
  <c r="DP32" i="4"/>
  <c r="DO32" i="4"/>
  <c r="DN32" i="4"/>
  <c r="DM32" i="4"/>
  <c r="DL32" i="4"/>
  <c r="DK32" i="4"/>
  <c r="DJ32" i="4"/>
  <c r="DI32" i="4"/>
  <c r="DH32" i="4"/>
  <c r="DG32" i="4"/>
  <c r="DF32" i="4"/>
  <c r="DE32" i="4"/>
  <c r="DD32" i="4"/>
  <c r="DC32" i="4"/>
  <c r="DB32" i="4"/>
  <c r="DA32" i="4"/>
  <c r="CZ32" i="4"/>
  <c r="CY32" i="4"/>
  <c r="CX32" i="4"/>
  <c r="CW32" i="4"/>
  <c r="CU32" i="4"/>
  <c r="CT32" i="4"/>
  <c r="CS32" i="4"/>
  <c r="CR32" i="4"/>
  <c r="CQ32" i="4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A32" i="4"/>
  <c r="BZ32" i="4"/>
  <c r="BY32" i="4"/>
  <c r="BX32" i="4"/>
  <c r="BW32" i="4"/>
  <c r="BV32" i="4"/>
  <c r="BT32" i="4"/>
  <c r="BS32" i="4"/>
  <c r="BH32" i="4"/>
  <c r="BG32" i="4"/>
  <c r="BF32" i="4"/>
  <c r="BE32" i="4"/>
  <c r="BD32" i="4"/>
  <c r="BC32" i="4"/>
  <c r="BB32" i="4"/>
  <c r="BA32" i="4"/>
  <c r="AZ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FC31" i="4"/>
  <c r="FB31" i="4"/>
  <c r="FA31" i="4"/>
  <c r="EZ31" i="4"/>
  <c r="EY31" i="4"/>
  <c r="EX31" i="4"/>
  <c r="EW31" i="4"/>
  <c r="EV31" i="4"/>
  <c r="EU31" i="4"/>
  <c r="ET31" i="4"/>
  <c r="ER31" i="4"/>
  <c r="EQ31" i="4"/>
  <c r="EP31" i="4"/>
  <c r="EO31" i="4"/>
  <c r="EN31" i="4"/>
  <c r="EM31" i="4"/>
  <c r="EL31" i="4"/>
  <c r="EK31" i="4"/>
  <c r="EJ31" i="4"/>
  <c r="EI31" i="4"/>
  <c r="EH31" i="4"/>
  <c r="EG31" i="4"/>
  <c r="EE31" i="4"/>
  <c r="ED31" i="4"/>
  <c r="EC31" i="4"/>
  <c r="EB31" i="4"/>
  <c r="EA31" i="4"/>
  <c r="DZ31" i="4"/>
  <c r="DY31" i="4"/>
  <c r="DX31" i="4"/>
  <c r="DW31" i="4"/>
  <c r="DV31" i="4"/>
  <c r="DU31" i="4"/>
  <c r="DT31" i="4"/>
  <c r="DR31" i="4"/>
  <c r="DQ31" i="4"/>
  <c r="DP31" i="4"/>
  <c r="DO31" i="4"/>
  <c r="DN31" i="4"/>
  <c r="DM31" i="4"/>
  <c r="DL31" i="4"/>
  <c r="DK31" i="4"/>
  <c r="DJ31" i="4"/>
  <c r="DI31" i="4"/>
  <c r="DH31" i="4"/>
  <c r="DG31" i="4"/>
  <c r="DF31" i="4"/>
  <c r="DE31" i="4"/>
  <c r="DD31" i="4"/>
  <c r="DC31" i="4"/>
  <c r="DB31" i="4"/>
  <c r="DA31" i="4"/>
  <c r="CZ31" i="4"/>
  <c r="CY31" i="4"/>
  <c r="CX31" i="4"/>
  <c r="CW31" i="4"/>
  <c r="CU31" i="4"/>
  <c r="CT31" i="4"/>
  <c r="CS31" i="4"/>
  <c r="CR31" i="4"/>
  <c r="CQ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BW31" i="4"/>
  <c r="BV31" i="4"/>
  <c r="BT31" i="4"/>
  <c r="BS31" i="4"/>
  <c r="BH31" i="4"/>
  <c r="BG31" i="4"/>
  <c r="BF31" i="4"/>
  <c r="BE31" i="4"/>
  <c r="BD31" i="4"/>
  <c r="BC31" i="4"/>
  <c r="BB31" i="4"/>
  <c r="BA31" i="4"/>
  <c r="AZ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FC30" i="4"/>
  <c r="FB30" i="4"/>
  <c r="FA30" i="4"/>
  <c r="EZ30" i="4"/>
  <c r="EY30" i="4"/>
  <c r="EX30" i="4"/>
  <c r="EW30" i="4"/>
  <c r="EV30" i="4"/>
  <c r="EU30" i="4"/>
  <c r="ET30" i="4"/>
  <c r="ER30" i="4"/>
  <c r="EQ30" i="4"/>
  <c r="EP30" i="4"/>
  <c r="EO30" i="4"/>
  <c r="EN30" i="4"/>
  <c r="EM30" i="4"/>
  <c r="EL30" i="4"/>
  <c r="EK30" i="4"/>
  <c r="EJ30" i="4"/>
  <c r="EI30" i="4"/>
  <c r="EH30" i="4"/>
  <c r="EG30" i="4"/>
  <c r="EE30" i="4"/>
  <c r="ED30" i="4"/>
  <c r="EC30" i="4"/>
  <c r="EB30" i="4"/>
  <c r="EA30" i="4"/>
  <c r="DZ30" i="4"/>
  <c r="DY30" i="4"/>
  <c r="DX30" i="4"/>
  <c r="DW30" i="4"/>
  <c r="DV30" i="4"/>
  <c r="DU30" i="4"/>
  <c r="DT30" i="4"/>
  <c r="DR30" i="4"/>
  <c r="DQ30" i="4"/>
  <c r="DP30" i="4"/>
  <c r="DO30" i="4"/>
  <c r="DN30" i="4"/>
  <c r="DM30" i="4"/>
  <c r="DL30" i="4"/>
  <c r="DK30" i="4"/>
  <c r="DJ30" i="4"/>
  <c r="DI30" i="4"/>
  <c r="DH30" i="4"/>
  <c r="DG30" i="4"/>
  <c r="DF30" i="4"/>
  <c r="DE30" i="4"/>
  <c r="DD30" i="4"/>
  <c r="DC30" i="4"/>
  <c r="DB30" i="4"/>
  <c r="DA30" i="4"/>
  <c r="CZ30" i="4"/>
  <c r="CY30" i="4"/>
  <c r="CX30" i="4"/>
  <c r="CW30" i="4"/>
  <c r="CU30" i="4"/>
  <c r="CT30" i="4"/>
  <c r="CS30" i="4"/>
  <c r="CR30" i="4"/>
  <c r="CQ30" i="4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BV30" i="4"/>
  <c r="BT30" i="4"/>
  <c r="BS30" i="4"/>
  <c r="BH30" i="4"/>
  <c r="BG30" i="4"/>
  <c r="BF30" i="4"/>
  <c r="BE30" i="4"/>
  <c r="BD30" i="4"/>
  <c r="BC30" i="4"/>
  <c r="BB30" i="4"/>
  <c r="BA30" i="4"/>
  <c r="AZ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FC29" i="4"/>
  <c r="FB29" i="4"/>
  <c r="FA29" i="4"/>
  <c r="EZ29" i="4"/>
  <c r="EY29" i="4"/>
  <c r="EX29" i="4"/>
  <c r="EW29" i="4"/>
  <c r="EV29" i="4"/>
  <c r="EU29" i="4"/>
  <c r="ET29" i="4"/>
  <c r="ER29" i="4"/>
  <c r="EQ29" i="4"/>
  <c r="EP29" i="4"/>
  <c r="EO29" i="4"/>
  <c r="EN29" i="4"/>
  <c r="EM29" i="4"/>
  <c r="EL29" i="4"/>
  <c r="EK29" i="4"/>
  <c r="EJ29" i="4"/>
  <c r="EI29" i="4"/>
  <c r="EH29" i="4"/>
  <c r="EG29" i="4"/>
  <c r="EE29" i="4"/>
  <c r="ED29" i="4"/>
  <c r="EC29" i="4"/>
  <c r="EB29" i="4"/>
  <c r="EA29" i="4"/>
  <c r="DZ29" i="4"/>
  <c r="DY29" i="4"/>
  <c r="DX29" i="4"/>
  <c r="DW29" i="4"/>
  <c r="DV29" i="4"/>
  <c r="DU29" i="4"/>
  <c r="DT29" i="4"/>
  <c r="DR29" i="4"/>
  <c r="DQ29" i="4"/>
  <c r="DP29" i="4"/>
  <c r="DO29" i="4"/>
  <c r="DN29" i="4"/>
  <c r="DM29" i="4"/>
  <c r="DL29" i="4"/>
  <c r="DK29" i="4"/>
  <c r="DJ29" i="4"/>
  <c r="DI29" i="4"/>
  <c r="DH29" i="4"/>
  <c r="DG29" i="4"/>
  <c r="DF29" i="4"/>
  <c r="DE29" i="4"/>
  <c r="DD29" i="4"/>
  <c r="DC29" i="4"/>
  <c r="DB29" i="4"/>
  <c r="DA29" i="4"/>
  <c r="CZ29" i="4"/>
  <c r="CY29" i="4"/>
  <c r="CX29" i="4"/>
  <c r="CW29" i="4"/>
  <c r="CU29" i="4"/>
  <c r="CT29" i="4"/>
  <c r="CS29" i="4"/>
  <c r="CR29" i="4"/>
  <c r="CQ29" i="4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A29" i="4"/>
  <c r="BZ29" i="4"/>
  <c r="BY29" i="4"/>
  <c r="BX29" i="4"/>
  <c r="BW29" i="4"/>
  <c r="BV29" i="4"/>
  <c r="BT29" i="4"/>
  <c r="BS29" i="4"/>
  <c r="BH29" i="4"/>
  <c r="BG29" i="4"/>
  <c r="BF29" i="4"/>
  <c r="BE29" i="4"/>
  <c r="BD29" i="4"/>
  <c r="BC29" i="4"/>
  <c r="BB29" i="4"/>
  <c r="BA29" i="4"/>
  <c r="AZ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FC28" i="4"/>
  <c r="FB28" i="4"/>
  <c r="FA28" i="4"/>
  <c r="EZ28" i="4"/>
  <c r="EY28" i="4"/>
  <c r="EX28" i="4"/>
  <c r="EW28" i="4"/>
  <c r="EV28" i="4"/>
  <c r="EU28" i="4"/>
  <c r="ET28" i="4"/>
  <c r="ER28" i="4"/>
  <c r="EQ28" i="4"/>
  <c r="EP28" i="4"/>
  <c r="EO28" i="4"/>
  <c r="EN28" i="4"/>
  <c r="EM28" i="4"/>
  <c r="EL28" i="4"/>
  <c r="EK28" i="4"/>
  <c r="EJ28" i="4"/>
  <c r="EI28" i="4"/>
  <c r="EH28" i="4"/>
  <c r="EG28" i="4"/>
  <c r="EE28" i="4"/>
  <c r="ED28" i="4"/>
  <c r="EC28" i="4"/>
  <c r="EB28" i="4"/>
  <c r="EA28" i="4"/>
  <c r="DZ28" i="4"/>
  <c r="DY28" i="4"/>
  <c r="DX28" i="4"/>
  <c r="DW28" i="4"/>
  <c r="DV28" i="4"/>
  <c r="DU28" i="4"/>
  <c r="DT28" i="4"/>
  <c r="DR28" i="4"/>
  <c r="DQ28" i="4"/>
  <c r="DP28" i="4"/>
  <c r="DO28" i="4"/>
  <c r="DN28" i="4"/>
  <c r="DM28" i="4"/>
  <c r="DL28" i="4"/>
  <c r="DK28" i="4"/>
  <c r="DJ28" i="4"/>
  <c r="DI28" i="4"/>
  <c r="DH28" i="4"/>
  <c r="DG28" i="4"/>
  <c r="DF28" i="4"/>
  <c r="DE28" i="4"/>
  <c r="DD28" i="4"/>
  <c r="DC28" i="4"/>
  <c r="DB28" i="4"/>
  <c r="DA28" i="4"/>
  <c r="CZ28" i="4"/>
  <c r="CY28" i="4"/>
  <c r="CX28" i="4"/>
  <c r="CW28" i="4"/>
  <c r="CU28" i="4"/>
  <c r="CT28" i="4"/>
  <c r="CS28" i="4"/>
  <c r="CR28" i="4"/>
  <c r="CQ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BY28" i="4"/>
  <c r="BX28" i="4"/>
  <c r="BW28" i="4"/>
  <c r="BV28" i="4"/>
  <c r="BT28" i="4"/>
  <c r="BS28" i="4"/>
  <c r="BH28" i="4"/>
  <c r="BG28" i="4"/>
  <c r="BF28" i="4"/>
  <c r="BE28" i="4"/>
  <c r="BD28" i="4"/>
  <c r="BC28" i="4"/>
  <c r="BB28" i="4"/>
  <c r="BA28" i="4"/>
  <c r="AZ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FC27" i="4"/>
  <c r="FB27" i="4"/>
  <c r="FA27" i="4"/>
  <c r="EZ27" i="4"/>
  <c r="EY27" i="4"/>
  <c r="EX27" i="4"/>
  <c r="EW27" i="4"/>
  <c r="EV27" i="4"/>
  <c r="EU27" i="4"/>
  <c r="ET27" i="4"/>
  <c r="ER27" i="4"/>
  <c r="EQ27" i="4"/>
  <c r="EP27" i="4"/>
  <c r="EO27" i="4"/>
  <c r="EN27" i="4"/>
  <c r="EM27" i="4"/>
  <c r="EL27" i="4"/>
  <c r="EK27" i="4"/>
  <c r="EJ27" i="4"/>
  <c r="EI27" i="4"/>
  <c r="EH27" i="4"/>
  <c r="EG27" i="4"/>
  <c r="EE27" i="4"/>
  <c r="ED27" i="4"/>
  <c r="EC27" i="4"/>
  <c r="EB27" i="4"/>
  <c r="EA27" i="4"/>
  <c r="DZ27" i="4"/>
  <c r="DY27" i="4"/>
  <c r="DX27" i="4"/>
  <c r="DW27" i="4"/>
  <c r="DV27" i="4"/>
  <c r="DU27" i="4"/>
  <c r="DT27" i="4"/>
  <c r="DR27" i="4"/>
  <c r="DQ27" i="4"/>
  <c r="DP27" i="4"/>
  <c r="DO27" i="4"/>
  <c r="DN27" i="4"/>
  <c r="DM27" i="4"/>
  <c r="DL27" i="4"/>
  <c r="DK27" i="4"/>
  <c r="DJ27" i="4"/>
  <c r="DI27" i="4"/>
  <c r="DH27" i="4"/>
  <c r="DG27" i="4"/>
  <c r="DF27" i="4"/>
  <c r="DE27" i="4"/>
  <c r="DD27" i="4"/>
  <c r="DC27" i="4"/>
  <c r="DB27" i="4"/>
  <c r="DA27" i="4"/>
  <c r="CZ27" i="4"/>
  <c r="CY27" i="4"/>
  <c r="CX27" i="4"/>
  <c r="CW27" i="4"/>
  <c r="CU27" i="4"/>
  <c r="CT27" i="4"/>
  <c r="CS27" i="4"/>
  <c r="CR27" i="4"/>
  <c r="CQ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A27" i="4"/>
  <c r="BZ27" i="4"/>
  <c r="BY27" i="4"/>
  <c r="BX27" i="4"/>
  <c r="BW27" i="4"/>
  <c r="BV27" i="4"/>
  <c r="BT27" i="4"/>
  <c r="BS27" i="4"/>
  <c r="BH27" i="4"/>
  <c r="BG27" i="4"/>
  <c r="BF27" i="4"/>
  <c r="BE27" i="4"/>
  <c r="BD27" i="4"/>
  <c r="BC27" i="4"/>
  <c r="BB27" i="4"/>
  <c r="BA27" i="4"/>
  <c r="AZ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FC26" i="4"/>
  <c r="FB26" i="4"/>
  <c r="FA26" i="4"/>
  <c r="EZ26" i="4"/>
  <c r="EY26" i="4"/>
  <c r="EX26" i="4"/>
  <c r="EW26" i="4"/>
  <c r="EV26" i="4"/>
  <c r="EU26" i="4"/>
  <c r="ET26" i="4"/>
  <c r="ER26" i="4"/>
  <c r="EQ26" i="4"/>
  <c r="EP26" i="4"/>
  <c r="EO26" i="4"/>
  <c r="EN26" i="4"/>
  <c r="EM26" i="4"/>
  <c r="EL26" i="4"/>
  <c r="EK26" i="4"/>
  <c r="EJ26" i="4"/>
  <c r="EI26" i="4"/>
  <c r="EH26" i="4"/>
  <c r="EG26" i="4"/>
  <c r="EE26" i="4"/>
  <c r="ED26" i="4"/>
  <c r="EC26" i="4"/>
  <c r="EB26" i="4"/>
  <c r="EA26" i="4"/>
  <c r="DZ26" i="4"/>
  <c r="DY26" i="4"/>
  <c r="DX26" i="4"/>
  <c r="DW26" i="4"/>
  <c r="DV26" i="4"/>
  <c r="DU26" i="4"/>
  <c r="DT26" i="4"/>
  <c r="DR26" i="4"/>
  <c r="DQ26" i="4"/>
  <c r="DP26" i="4"/>
  <c r="DO26" i="4"/>
  <c r="DN26" i="4"/>
  <c r="DM26" i="4"/>
  <c r="DL26" i="4"/>
  <c r="DK26" i="4"/>
  <c r="DJ26" i="4"/>
  <c r="DI26" i="4"/>
  <c r="DH26" i="4"/>
  <c r="DG26" i="4"/>
  <c r="DF26" i="4"/>
  <c r="DE26" i="4"/>
  <c r="DD26" i="4"/>
  <c r="DC26" i="4"/>
  <c r="DB26" i="4"/>
  <c r="DA26" i="4"/>
  <c r="CZ26" i="4"/>
  <c r="CY26" i="4"/>
  <c r="CX26" i="4"/>
  <c r="CW26" i="4"/>
  <c r="CU26" i="4"/>
  <c r="CT26" i="4"/>
  <c r="CS26" i="4"/>
  <c r="CR26" i="4"/>
  <c r="CQ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BW26" i="4"/>
  <c r="BV26" i="4"/>
  <c r="BT26" i="4"/>
  <c r="BS26" i="4"/>
  <c r="BH26" i="4"/>
  <c r="BG26" i="4"/>
  <c r="BF26" i="4"/>
  <c r="BE26" i="4"/>
  <c r="BD26" i="4"/>
  <c r="BC26" i="4"/>
  <c r="BB26" i="4"/>
  <c r="BA26" i="4"/>
  <c r="AZ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FC25" i="4"/>
  <c r="FB25" i="4"/>
  <c r="FA25" i="4"/>
  <c r="EZ25" i="4"/>
  <c r="EY25" i="4"/>
  <c r="EX25" i="4"/>
  <c r="EW25" i="4"/>
  <c r="EV25" i="4"/>
  <c r="EU25" i="4"/>
  <c r="ET25" i="4"/>
  <c r="ER25" i="4"/>
  <c r="EQ25" i="4"/>
  <c r="EP25" i="4"/>
  <c r="EO25" i="4"/>
  <c r="EN25" i="4"/>
  <c r="EM25" i="4"/>
  <c r="EL25" i="4"/>
  <c r="EK25" i="4"/>
  <c r="EJ25" i="4"/>
  <c r="EI25" i="4"/>
  <c r="EH25" i="4"/>
  <c r="EG25" i="4"/>
  <c r="EE25" i="4"/>
  <c r="ED25" i="4"/>
  <c r="EC25" i="4"/>
  <c r="EB25" i="4"/>
  <c r="EA25" i="4"/>
  <c r="DZ25" i="4"/>
  <c r="DY25" i="4"/>
  <c r="DX25" i="4"/>
  <c r="DW25" i="4"/>
  <c r="DV25" i="4"/>
  <c r="DU25" i="4"/>
  <c r="DT25" i="4"/>
  <c r="DR25" i="4"/>
  <c r="DQ25" i="4"/>
  <c r="DP25" i="4"/>
  <c r="DO25" i="4"/>
  <c r="DN25" i="4"/>
  <c r="DM25" i="4"/>
  <c r="DL25" i="4"/>
  <c r="DK25" i="4"/>
  <c r="DJ25" i="4"/>
  <c r="DI25" i="4"/>
  <c r="DH25" i="4"/>
  <c r="DG25" i="4"/>
  <c r="DF25" i="4"/>
  <c r="DE25" i="4"/>
  <c r="DD25" i="4"/>
  <c r="DC25" i="4"/>
  <c r="DB25" i="4"/>
  <c r="DA25" i="4"/>
  <c r="CZ25" i="4"/>
  <c r="CY25" i="4"/>
  <c r="CX25" i="4"/>
  <c r="CW25" i="4"/>
  <c r="CU25" i="4"/>
  <c r="CT25" i="4"/>
  <c r="CS25" i="4"/>
  <c r="CR25" i="4"/>
  <c r="CQ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BV25" i="4"/>
  <c r="BT25" i="4"/>
  <c r="BS25" i="4"/>
  <c r="BH25" i="4"/>
  <c r="BG25" i="4"/>
  <c r="BF25" i="4"/>
  <c r="BE25" i="4"/>
  <c r="BD25" i="4"/>
  <c r="BC25" i="4"/>
  <c r="BB25" i="4"/>
  <c r="BA25" i="4"/>
  <c r="AZ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FC24" i="4"/>
  <c r="FB24" i="4"/>
  <c r="FA24" i="4"/>
  <c r="EZ24" i="4"/>
  <c r="EY24" i="4"/>
  <c r="EX24" i="4"/>
  <c r="EW24" i="4"/>
  <c r="EV24" i="4"/>
  <c r="EU24" i="4"/>
  <c r="ET24" i="4"/>
  <c r="ER24" i="4"/>
  <c r="EQ24" i="4"/>
  <c r="EP24" i="4"/>
  <c r="EO24" i="4"/>
  <c r="EN24" i="4"/>
  <c r="EM24" i="4"/>
  <c r="EL24" i="4"/>
  <c r="EK24" i="4"/>
  <c r="EJ24" i="4"/>
  <c r="EI24" i="4"/>
  <c r="EH24" i="4"/>
  <c r="EG24" i="4"/>
  <c r="EE24" i="4"/>
  <c r="ED24" i="4"/>
  <c r="EC24" i="4"/>
  <c r="EB24" i="4"/>
  <c r="EA24" i="4"/>
  <c r="DZ24" i="4"/>
  <c r="DY24" i="4"/>
  <c r="DX24" i="4"/>
  <c r="DW24" i="4"/>
  <c r="DV24" i="4"/>
  <c r="DU24" i="4"/>
  <c r="DT24" i="4"/>
  <c r="DR24" i="4"/>
  <c r="DQ24" i="4"/>
  <c r="DP24" i="4"/>
  <c r="DO24" i="4"/>
  <c r="DN24" i="4"/>
  <c r="DM24" i="4"/>
  <c r="DL24" i="4"/>
  <c r="DK24" i="4"/>
  <c r="DJ24" i="4"/>
  <c r="DI24" i="4"/>
  <c r="DH24" i="4"/>
  <c r="DG24" i="4"/>
  <c r="DF24" i="4"/>
  <c r="DE24" i="4"/>
  <c r="DD24" i="4"/>
  <c r="DC24" i="4"/>
  <c r="DB24" i="4"/>
  <c r="DA24" i="4"/>
  <c r="CZ24" i="4"/>
  <c r="CY24" i="4"/>
  <c r="CX24" i="4"/>
  <c r="CW24" i="4"/>
  <c r="CU24" i="4"/>
  <c r="CT24" i="4"/>
  <c r="CS24" i="4"/>
  <c r="CR24" i="4"/>
  <c r="CQ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BV24" i="4"/>
  <c r="BT24" i="4"/>
  <c r="BS24" i="4"/>
  <c r="BH24" i="4"/>
  <c r="BG24" i="4"/>
  <c r="BF24" i="4"/>
  <c r="BE24" i="4"/>
  <c r="BD24" i="4"/>
  <c r="BC24" i="4"/>
  <c r="BB24" i="4"/>
  <c r="BA24" i="4"/>
  <c r="AZ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FC23" i="4"/>
  <c r="FB23" i="4"/>
  <c r="FA23" i="4"/>
  <c r="EZ23" i="4"/>
  <c r="EY23" i="4"/>
  <c r="EX23" i="4"/>
  <c r="EW23" i="4"/>
  <c r="EV23" i="4"/>
  <c r="EU23" i="4"/>
  <c r="ET23" i="4"/>
  <c r="ER23" i="4"/>
  <c r="EQ23" i="4"/>
  <c r="EP23" i="4"/>
  <c r="EO23" i="4"/>
  <c r="EN23" i="4"/>
  <c r="EM23" i="4"/>
  <c r="EL23" i="4"/>
  <c r="EK23" i="4"/>
  <c r="EJ23" i="4"/>
  <c r="EI23" i="4"/>
  <c r="EH23" i="4"/>
  <c r="EG23" i="4"/>
  <c r="EE23" i="4"/>
  <c r="ED23" i="4"/>
  <c r="EC23" i="4"/>
  <c r="EB23" i="4"/>
  <c r="EA23" i="4"/>
  <c r="DZ23" i="4"/>
  <c r="DY23" i="4"/>
  <c r="DX23" i="4"/>
  <c r="DW23" i="4"/>
  <c r="DV23" i="4"/>
  <c r="DU23" i="4"/>
  <c r="DT23" i="4"/>
  <c r="DR23" i="4"/>
  <c r="DQ23" i="4"/>
  <c r="DP23" i="4"/>
  <c r="DO23" i="4"/>
  <c r="DN23" i="4"/>
  <c r="DM23" i="4"/>
  <c r="DL23" i="4"/>
  <c r="DK23" i="4"/>
  <c r="DJ23" i="4"/>
  <c r="DI23" i="4"/>
  <c r="DH23" i="4"/>
  <c r="DG23" i="4"/>
  <c r="DF23" i="4"/>
  <c r="DE23" i="4"/>
  <c r="DD23" i="4"/>
  <c r="DC23" i="4"/>
  <c r="DB23" i="4"/>
  <c r="DA23" i="4"/>
  <c r="CZ23" i="4"/>
  <c r="CY23" i="4"/>
  <c r="CX23" i="4"/>
  <c r="CW23" i="4"/>
  <c r="CU23" i="4"/>
  <c r="CT23" i="4"/>
  <c r="CS23" i="4"/>
  <c r="CR23" i="4"/>
  <c r="CQ23" i="4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BV23" i="4"/>
  <c r="BT23" i="4"/>
  <c r="BS23" i="4"/>
  <c r="BH23" i="4"/>
  <c r="BG23" i="4"/>
  <c r="BF23" i="4"/>
  <c r="BE23" i="4"/>
  <c r="BD23" i="4"/>
  <c r="BC23" i="4"/>
  <c r="BB23" i="4"/>
  <c r="BA23" i="4"/>
  <c r="AZ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FC22" i="4"/>
  <c r="FB22" i="4"/>
  <c r="FA22" i="4"/>
  <c r="EZ22" i="4"/>
  <c r="EY22" i="4"/>
  <c r="EX22" i="4"/>
  <c r="EW22" i="4"/>
  <c r="EV22" i="4"/>
  <c r="EU22" i="4"/>
  <c r="ET22" i="4"/>
  <c r="ER22" i="4"/>
  <c r="EQ22" i="4"/>
  <c r="EP22" i="4"/>
  <c r="EO22" i="4"/>
  <c r="EN22" i="4"/>
  <c r="EM22" i="4"/>
  <c r="EL22" i="4"/>
  <c r="EK22" i="4"/>
  <c r="EJ22" i="4"/>
  <c r="EI22" i="4"/>
  <c r="EH22" i="4"/>
  <c r="EG22" i="4"/>
  <c r="EE22" i="4"/>
  <c r="ED22" i="4"/>
  <c r="EC22" i="4"/>
  <c r="EB22" i="4"/>
  <c r="EA22" i="4"/>
  <c r="DZ22" i="4"/>
  <c r="DY22" i="4"/>
  <c r="DX22" i="4"/>
  <c r="DW22" i="4"/>
  <c r="DV22" i="4"/>
  <c r="DU22" i="4"/>
  <c r="DT22" i="4"/>
  <c r="DR22" i="4"/>
  <c r="DQ22" i="4"/>
  <c r="DP22" i="4"/>
  <c r="DO22" i="4"/>
  <c r="DN22" i="4"/>
  <c r="DM22" i="4"/>
  <c r="DL22" i="4"/>
  <c r="DK22" i="4"/>
  <c r="DJ22" i="4"/>
  <c r="DI22" i="4"/>
  <c r="DH22" i="4"/>
  <c r="DG22" i="4"/>
  <c r="DF22" i="4"/>
  <c r="DE22" i="4"/>
  <c r="DD22" i="4"/>
  <c r="DC22" i="4"/>
  <c r="DB22" i="4"/>
  <c r="DA22" i="4"/>
  <c r="CZ22" i="4"/>
  <c r="CY22" i="4"/>
  <c r="CX22" i="4"/>
  <c r="CW22" i="4"/>
  <c r="CU22" i="4"/>
  <c r="CT22" i="4"/>
  <c r="CS22" i="4"/>
  <c r="CR22" i="4"/>
  <c r="CQ22" i="4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BV22" i="4"/>
  <c r="BT22" i="4"/>
  <c r="BS22" i="4"/>
  <c r="BH22" i="4"/>
  <c r="BG22" i="4"/>
  <c r="BF22" i="4"/>
  <c r="BE22" i="4"/>
  <c r="BD22" i="4"/>
  <c r="BC22" i="4"/>
  <c r="BB22" i="4"/>
  <c r="BA22" i="4"/>
  <c r="AZ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FC21" i="4"/>
  <c r="FB21" i="4"/>
  <c r="FA21" i="4"/>
  <c r="EZ21" i="4"/>
  <c r="EY21" i="4"/>
  <c r="EX21" i="4"/>
  <c r="EW21" i="4"/>
  <c r="EV21" i="4"/>
  <c r="EU21" i="4"/>
  <c r="ET21" i="4"/>
  <c r="ER21" i="4"/>
  <c r="EQ21" i="4"/>
  <c r="EP21" i="4"/>
  <c r="EO21" i="4"/>
  <c r="EN21" i="4"/>
  <c r="EM21" i="4"/>
  <c r="EL21" i="4"/>
  <c r="EK21" i="4"/>
  <c r="EJ21" i="4"/>
  <c r="EI21" i="4"/>
  <c r="EH21" i="4"/>
  <c r="EG21" i="4"/>
  <c r="EE21" i="4"/>
  <c r="ED21" i="4"/>
  <c r="EC21" i="4"/>
  <c r="EB21" i="4"/>
  <c r="EA21" i="4"/>
  <c r="DZ21" i="4"/>
  <c r="DY21" i="4"/>
  <c r="DX21" i="4"/>
  <c r="DW21" i="4"/>
  <c r="DV21" i="4"/>
  <c r="DU21" i="4"/>
  <c r="DT21" i="4"/>
  <c r="DR21" i="4"/>
  <c r="DQ21" i="4"/>
  <c r="DP21" i="4"/>
  <c r="DO21" i="4"/>
  <c r="DN21" i="4"/>
  <c r="DM21" i="4"/>
  <c r="DL21" i="4"/>
  <c r="DK21" i="4"/>
  <c r="DJ21" i="4"/>
  <c r="DI21" i="4"/>
  <c r="DH21" i="4"/>
  <c r="DG21" i="4"/>
  <c r="DF21" i="4"/>
  <c r="DE21" i="4"/>
  <c r="DD21" i="4"/>
  <c r="DC21" i="4"/>
  <c r="DB21" i="4"/>
  <c r="DA21" i="4"/>
  <c r="CZ21" i="4"/>
  <c r="CY21" i="4"/>
  <c r="CX21" i="4"/>
  <c r="CW21" i="4"/>
  <c r="CU21" i="4"/>
  <c r="CT21" i="4"/>
  <c r="CS21" i="4"/>
  <c r="CR21" i="4"/>
  <c r="CQ21" i="4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V21" i="4"/>
  <c r="BT21" i="4"/>
  <c r="BS21" i="4"/>
  <c r="BH21" i="4"/>
  <c r="BG21" i="4"/>
  <c r="BF21" i="4"/>
  <c r="BE21" i="4"/>
  <c r="BD21" i="4"/>
  <c r="BC21" i="4"/>
  <c r="BB21" i="4"/>
  <c r="BA21" i="4"/>
  <c r="AZ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FC20" i="4"/>
  <c r="FB20" i="4"/>
  <c r="FA20" i="4"/>
  <c r="EZ20" i="4"/>
  <c r="EY20" i="4"/>
  <c r="EX20" i="4"/>
  <c r="EW20" i="4"/>
  <c r="EV20" i="4"/>
  <c r="EU20" i="4"/>
  <c r="ET20" i="4"/>
  <c r="ER20" i="4"/>
  <c r="EQ20" i="4"/>
  <c r="EP20" i="4"/>
  <c r="EO20" i="4"/>
  <c r="EN20" i="4"/>
  <c r="EM20" i="4"/>
  <c r="EL20" i="4"/>
  <c r="EK20" i="4"/>
  <c r="EJ20" i="4"/>
  <c r="EI20" i="4"/>
  <c r="EH20" i="4"/>
  <c r="EG20" i="4"/>
  <c r="EE20" i="4"/>
  <c r="ED20" i="4"/>
  <c r="EC20" i="4"/>
  <c r="EB20" i="4"/>
  <c r="EA20" i="4"/>
  <c r="DZ20" i="4"/>
  <c r="DY20" i="4"/>
  <c r="DX20" i="4"/>
  <c r="DW20" i="4"/>
  <c r="DV20" i="4"/>
  <c r="DU20" i="4"/>
  <c r="DT20" i="4"/>
  <c r="DR20" i="4"/>
  <c r="DQ20" i="4"/>
  <c r="DP20" i="4"/>
  <c r="DO20" i="4"/>
  <c r="DN20" i="4"/>
  <c r="DM20" i="4"/>
  <c r="DL20" i="4"/>
  <c r="DK20" i="4"/>
  <c r="DJ20" i="4"/>
  <c r="DI20" i="4"/>
  <c r="DH20" i="4"/>
  <c r="DG20" i="4"/>
  <c r="DF20" i="4"/>
  <c r="DE20" i="4"/>
  <c r="DD20" i="4"/>
  <c r="DC20" i="4"/>
  <c r="DB20" i="4"/>
  <c r="DA20" i="4"/>
  <c r="CZ20" i="4"/>
  <c r="CY20" i="4"/>
  <c r="CX20" i="4"/>
  <c r="CW20" i="4"/>
  <c r="CU20" i="4"/>
  <c r="CT20" i="4"/>
  <c r="CS20" i="4"/>
  <c r="CR20" i="4"/>
  <c r="CQ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V20" i="4"/>
  <c r="BT20" i="4"/>
  <c r="BS20" i="4"/>
  <c r="BH20" i="4"/>
  <c r="BG20" i="4"/>
  <c r="BF20" i="4"/>
  <c r="BE20" i="4"/>
  <c r="BD20" i="4"/>
  <c r="BC20" i="4"/>
  <c r="BB20" i="4"/>
  <c r="BA20" i="4"/>
  <c r="AZ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FC19" i="4"/>
  <c r="FB19" i="4"/>
  <c r="FA19" i="4"/>
  <c r="EZ19" i="4"/>
  <c r="EY19" i="4"/>
  <c r="EX19" i="4"/>
  <c r="EW19" i="4"/>
  <c r="EV19" i="4"/>
  <c r="EU19" i="4"/>
  <c r="ET19" i="4"/>
  <c r="ER19" i="4"/>
  <c r="EQ19" i="4"/>
  <c r="EP19" i="4"/>
  <c r="EO19" i="4"/>
  <c r="EN19" i="4"/>
  <c r="EM19" i="4"/>
  <c r="EL19" i="4"/>
  <c r="EK19" i="4"/>
  <c r="EJ19" i="4"/>
  <c r="EI19" i="4"/>
  <c r="EH19" i="4"/>
  <c r="EG19" i="4"/>
  <c r="EE19" i="4"/>
  <c r="ED19" i="4"/>
  <c r="EC19" i="4"/>
  <c r="EB19" i="4"/>
  <c r="EA19" i="4"/>
  <c r="DZ19" i="4"/>
  <c r="DY19" i="4"/>
  <c r="DX19" i="4"/>
  <c r="DW19" i="4"/>
  <c r="DV19" i="4"/>
  <c r="DU19" i="4"/>
  <c r="DT19" i="4"/>
  <c r="DR19" i="4"/>
  <c r="DQ19" i="4"/>
  <c r="DP19" i="4"/>
  <c r="DO19" i="4"/>
  <c r="DN19" i="4"/>
  <c r="DM19" i="4"/>
  <c r="DL19" i="4"/>
  <c r="DK19" i="4"/>
  <c r="DJ19" i="4"/>
  <c r="DI19" i="4"/>
  <c r="DH19" i="4"/>
  <c r="DG19" i="4"/>
  <c r="DF19" i="4"/>
  <c r="DE19" i="4"/>
  <c r="DD19" i="4"/>
  <c r="DC19" i="4"/>
  <c r="DB19" i="4"/>
  <c r="DA19" i="4"/>
  <c r="CZ19" i="4"/>
  <c r="CY19" i="4"/>
  <c r="CX19" i="4"/>
  <c r="CW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A19" i="4"/>
  <c r="BZ19" i="4"/>
  <c r="BY19" i="4"/>
  <c r="BX19" i="4"/>
  <c r="BW19" i="4"/>
  <c r="BV19" i="4"/>
  <c r="BT19" i="4"/>
  <c r="BS19" i="4"/>
  <c r="BH19" i="4"/>
  <c r="BG19" i="4"/>
  <c r="BF19" i="4"/>
  <c r="BE19" i="4"/>
  <c r="BD19" i="4"/>
  <c r="BC19" i="4"/>
  <c r="BB19" i="4"/>
  <c r="BA19" i="4"/>
  <c r="AZ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FC18" i="4"/>
  <c r="FB18" i="4"/>
  <c r="FA18" i="4"/>
  <c r="EZ18" i="4"/>
  <c r="EY18" i="4"/>
  <c r="EX18" i="4"/>
  <c r="EW18" i="4"/>
  <c r="EV18" i="4"/>
  <c r="EU18" i="4"/>
  <c r="ET18" i="4"/>
  <c r="ER18" i="4"/>
  <c r="EQ18" i="4"/>
  <c r="EP18" i="4"/>
  <c r="EO18" i="4"/>
  <c r="EN18" i="4"/>
  <c r="EM18" i="4"/>
  <c r="EL18" i="4"/>
  <c r="EK18" i="4"/>
  <c r="EJ18" i="4"/>
  <c r="EI18" i="4"/>
  <c r="EH18" i="4"/>
  <c r="EG18" i="4"/>
  <c r="EE18" i="4"/>
  <c r="ED18" i="4"/>
  <c r="EC18" i="4"/>
  <c r="EB18" i="4"/>
  <c r="EA18" i="4"/>
  <c r="DZ18" i="4"/>
  <c r="DY18" i="4"/>
  <c r="DX18" i="4"/>
  <c r="DW18" i="4"/>
  <c r="DV18" i="4"/>
  <c r="DU18" i="4"/>
  <c r="DT18" i="4"/>
  <c r="DR18" i="4"/>
  <c r="DQ18" i="4"/>
  <c r="DP18" i="4"/>
  <c r="DO18" i="4"/>
  <c r="DN18" i="4"/>
  <c r="DM18" i="4"/>
  <c r="DL18" i="4"/>
  <c r="DK18" i="4"/>
  <c r="DJ18" i="4"/>
  <c r="DI18" i="4"/>
  <c r="DH18" i="4"/>
  <c r="DG18" i="4"/>
  <c r="DF18" i="4"/>
  <c r="DE18" i="4"/>
  <c r="DD18" i="4"/>
  <c r="DC18" i="4"/>
  <c r="DB18" i="4"/>
  <c r="DA18" i="4"/>
  <c r="CZ18" i="4"/>
  <c r="CY18" i="4"/>
  <c r="CX18" i="4"/>
  <c r="CW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Y18" i="4"/>
  <c r="BX18" i="4"/>
  <c r="BW18" i="4"/>
  <c r="BV18" i="4"/>
  <c r="BT18" i="4"/>
  <c r="BS18" i="4"/>
  <c r="BH18" i="4"/>
  <c r="BG18" i="4"/>
  <c r="BF18" i="4"/>
  <c r="BE18" i="4"/>
  <c r="BD18" i="4"/>
  <c r="BC18" i="4"/>
  <c r="BB18" i="4"/>
  <c r="BA18" i="4"/>
  <c r="AZ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FC17" i="4"/>
  <c r="FB17" i="4"/>
  <c r="FA17" i="4"/>
  <c r="EZ17" i="4"/>
  <c r="EY17" i="4"/>
  <c r="EX17" i="4"/>
  <c r="EW17" i="4"/>
  <c r="EV17" i="4"/>
  <c r="EU17" i="4"/>
  <c r="ET17" i="4"/>
  <c r="ER17" i="4"/>
  <c r="EQ17" i="4"/>
  <c r="EP17" i="4"/>
  <c r="EO17" i="4"/>
  <c r="EN17" i="4"/>
  <c r="EM17" i="4"/>
  <c r="EL17" i="4"/>
  <c r="EK17" i="4"/>
  <c r="EJ17" i="4"/>
  <c r="EI17" i="4"/>
  <c r="EH17" i="4"/>
  <c r="EG17" i="4"/>
  <c r="EE17" i="4"/>
  <c r="ED17" i="4"/>
  <c r="EC17" i="4"/>
  <c r="EB17" i="4"/>
  <c r="EA17" i="4"/>
  <c r="DZ17" i="4"/>
  <c r="DY17" i="4"/>
  <c r="DX17" i="4"/>
  <c r="DW17" i="4"/>
  <c r="DV17" i="4"/>
  <c r="DU17" i="4"/>
  <c r="DT17" i="4"/>
  <c r="DR17" i="4"/>
  <c r="DQ17" i="4"/>
  <c r="DP17" i="4"/>
  <c r="DO17" i="4"/>
  <c r="DN17" i="4"/>
  <c r="DM17" i="4"/>
  <c r="DL17" i="4"/>
  <c r="DK17" i="4"/>
  <c r="DJ17" i="4"/>
  <c r="DI17" i="4"/>
  <c r="DH17" i="4"/>
  <c r="DG17" i="4"/>
  <c r="DF17" i="4"/>
  <c r="DE17" i="4"/>
  <c r="DD17" i="4"/>
  <c r="DC17" i="4"/>
  <c r="DB17" i="4"/>
  <c r="DA17" i="4"/>
  <c r="CZ17" i="4"/>
  <c r="CY17" i="4"/>
  <c r="CX17" i="4"/>
  <c r="CW17" i="4"/>
  <c r="CU17" i="4"/>
  <c r="CT17" i="4"/>
  <c r="CS17" i="4"/>
  <c r="CR17" i="4"/>
  <c r="CQ17" i="4"/>
  <c r="CP17" i="4"/>
  <c r="CO17" i="4"/>
  <c r="CN17" i="4"/>
  <c r="CM17" i="4"/>
  <c r="CL17" i="4"/>
  <c r="CK17" i="4"/>
  <c r="CJ17" i="4"/>
  <c r="CI17" i="4"/>
  <c r="CH17" i="4"/>
  <c r="CG17" i="4"/>
  <c r="CF17" i="4"/>
  <c r="CE17" i="4"/>
  <c r="CD17" i="4"/>
  <c r="CC17" i="4"/>
  <c r="CB17" i="4"/>
  <c r="CA17" i="4"/>
  <c r="BZ17" i="4"/>
  <c r="BY17" i="4"/>
  <c r="BX17" i="4"/>
  <c r="BW17" i="4"/>
  <c r="BV17" i="4"/>
  <c r="BT17" i="4"/>
  <c r="BS17" i="4"/>
  <c r="BH17" i="4"/>
  <c r="BG17" i="4"/>
  <c r="BF17" i="4"/>
  <c r="BE17" i="4"/>
  <c r="BD17" i="4"/>
  <c r="BC17" i="4"/>
  <c r="BB17" i="4"/>
  <c r="BA17" i="4"/>
  <c r="AZ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FC16" i="4"/>
  <c r="FB16" i="4"/>
  <c r="FA16" i="4"/>
  <c r="EZ16" i="4"/>
  <c r="EY16" i="4"/>
  <c r="EX16" i="4"/>
  <c r="EW16" i="4"/>
  <c r="EV16" i="4"/>
  <c r="EU16" i="4"/>
  <c r="ET16" i="4"/>
  <c r="ER16" i="4"/>
  <c r="EQ16" i="4"/>
  <c r="EP16" i="4"/>
  <c r="EO16" i="4"/>
  <c r="EN16" i="4"/>
  <c r="EM16" i="4"/>
  <c r="EL16" i="4"/>
  <c r="EK16" i="4"/>
  <c r="EJ16" i="4"/>
  <c r="EI16" i="4"/>
  <c r="EH16" i="4"/>
  <c r="EG16" i="4"/>
  <c r="EE16" i="4"/>
  <c r="ED16" i="4"/>
  <c r="EC16" i="4"/>
  <c r="EB16" i="4"/>
  <c r="EA16" i="4"/>
  <c r="DZ16" i="4"/>
  <c r="DY16" i="4"/>
  <c r="DX16" i="4"/>
  <c r="DW16" i="4"/>
  <c r="DV16" i="4"/>
  <c r="DU16" i="4"/>
  <c r="DT16" i="4"/>
  <c r="DR16" i="4"/>
  <c r="DQ16" i="4"/>
  <c r="DP16" i="4"/>
  <c r="DO16" i="4"/>
  <c r="DN16" i="4"/>
  <c r="DM16" i="4"/>
  <c r="DL16" i="4"/>
  <c r="DK16" i="4"/>
  <c r="DJ16" i="4"/>
  <c r="DI16" i="4"/>
  <c r="DH16" i="4"/>
  <c r="DG16" i="4"/>
  <c r="DF16" i="4"/>
  <c r="DE16" i="4"/>
  <c r="DD16" i="4"/>
  <c r="DC16" i="4"/>
  <c r="DB16" i="4"/>
  <c r="DA16" i="4"/>
  <c r="CZ16" i="4"/>
  <c r="CY16" i="4"/>
  <c r="CX16" i="4"/>
  <c r="CW16" i="4"/>
  <c r="CU16" i="4"/>
  <c r="CT16" i="4"/>
  <c r="CS16" i="4"/>
  <c r="CR16" i="4"/>
  <c r="CQ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V16" i="4"/>
  <c r="BT16" i="4"/>
  <c r="BS16" i="4"/>
  <c r="BH16" i="4"/>
  <c r="BG16" i="4"/>
  <c r="BF16" i="4"/>
  <c r="BE16" i="4"/>
  <c r="BD16" i="4"/>
  <c r="BC16" i="4"/>
  <c r="BB16" i="4"/>
  <c r="BA16" i="4"/>
  <c r="AZ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FC15" i="4"/>
  <c r="FB15" i="4"/>
  <c r="FA15" i="4"/>
  <c r="EZ15" i="4"/>
  <c r="EY15" i="4"/>
  <c r="EX15" i="4"/>
  <c r="EW15" i="4"/>
  <c r="EV15" i="4"/>
  <c r="EU15" i="4"/>
  <c r="ET15" i="4"/>
  <c r="ER15" i="4"/>
  <c r="EQ15" i="4"/>
  <c r="EP15" i="4"/>
  <c r="EO15" i="4"/>
  <c r="EN15" i="4"/>
  <c r="EM15" i="4"/>
  <c r="EL15" i="4"/>
  <c r="EK15" i="4"/>
  <c r="EJ15" i="4"/>
  <c r="EI15" i="4"/>
  <c r="EH15" i="4"/>
  <c r="EG15" i="4"/>
  <c r="EE15" i="4"/>
  <c r="ED15" i="4"/>
  <c r="EC15" i="4"/>
  <c r="EB15" i="4"/>
  <c r="EA15" i="4"/>
  <c r="DZ15" i="4"/>
  <c r="DY15" i="4"/>
  <c r="DX15" i="4"/>
  <c r="DW15" i="4"/>
  <c r="DV15" i="4"/>
  <c r="DU15" i="4"/>
  <c r="DT15" i="4"/>
  <c r="DR15" i="4"/>
  <c r="DQ15" i="4"/>
  <c r="DP15" i="4"/>
  <c r="DO15" i="4"/>
  <c r="DN15" i="4"/>
  <c r="DM15" i="4"/>
  <c r="DL15" i="4"/>
  <c r="DK15" i="4"/>
  <c r="DJ15" i="4"/>
  <c r="DI15" i="4"/>
  <c r="DH15" i="4"/>
  <c r="DG15" i="4"/>
  <c r="DF15" i="4"/>
  <c r="DE15" i="4"/>
  <c r="DD15" i="4"/>
  <c r="DC15" i="4"/>
  <c r="DB15" i="4"/>
  <c r="DA15" i="4"/>
  <c r="CZ15" i="4"/>
  <c r="CY15" i="4"/>
  <c r="CX15" i="4"/>
  <c r="CW15" i="4"/>
  <c r="CU15" i="4"/>
  <c r="CT15" i="4"/>
  <c r="CS15" i="4"/>
  <c r="CR15" i="4"/>
  <c r="CQ15" i="4"/>
  <c r="CP15" i="4"/>
  <c r="CO15" i="4"/>
  <c r="CN15" i="4"/>
  <c r="CM15" i="4"/>
  <c r="CL15" i="4"/>
  <c r="CK15" i="4"/>
  <c r="CJ15" i="4"/>
  <c r="CI15" i="4"/>
  <c r="CH15" i="4"/>
  <c r="CG15" i="4"/>
  <c r="CF15" i="4"/>
  <c r="CE15" i="4"/>
  <c r="CD15" i="4"/>
  <c r="CC15" i="4"/>
  <c r="CB15" i="4"/>
  <c r="CA15" i="4"/>
  <c r="BZ15" i="4"/>
  <c r="BY15" i="4"/>
  <c r="BX15" i="4"/>
  <c r="BW15" i="4"/>
  <c r="BV15" i="4"/>
  <c r="BT15" i="4"/>
  <c r="BS15" i="4"/>
  <c r="BH15" i="4"/>
  <c r="BG15" i="4"/>
  <c r="BF15" i="4"/>
  <c r="BE15" i="4"/>
  <c r="BD15" i="4"/>
  <c r="BC15" i="4"/>
  <c r="BB15" i="4"/>
  <c r="BA15" i="4"/>
  <c r="AZ15" i="4"/>
  <c r="AX15" i="4"/>
  <c r="AW15" i="4"/>
  <c r="AV15" i="4"/>
  <c r="AU15" i="4"/>
  <c r="AT15" i="4"/>
  <c r="AS15" i="4"/>
  <c r="AR15" i="4"/>
  <c r="AQ15" i="4"/>
  <c r="AP15" i="4"/>
  <c r="AO15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FC14" i="4"/>
  <c r="FB14" i="4"/>
  <c r="FA14" i="4"/>
  <c r="EZ14" i="4"/>
  <c r="EY14" i="4"/>
  <c r="EX14" i="4"/>
  <c r="EW14" i="4"/>
  <c r="EV14" i="4"/>
  <c r="EU14" i="4"/>
  <c r="ET14" i="4"/>
  <c r="ER14" i="4"/>
  <c r="EQ14" i="4"/>
  <c r="EP14" i="4"/>
  <c r="EO14" i="4"/>
  <c r="EN14" i="4"/>
  <c r="EM14" i="4"/>
  <c r="EL14" i="4"/>
  <c r="EK14" i="4"/>
  <c r="EJ14" i="4"/>
  <c r="EI14" i="4"/>
  <c r="EH14" i="4"/>
  <c r="EG14" i="4"/>
  <c r="EE14" i="4"/>
  <c r="ED14" i="4"/>
  <c r="EC14" i="4"/>
  <c r="EB14" i="4"/>
  <c r="EA14" i="4"/>
  <c r="DZ14" i="4"/>
  <c r="DY14" i="4"/>
  <c r="DX14" i="4"/>
  <c r="DW14" i="4"/>
  <c r="DV14" i="4"/>
  <c r="DU14" i="4"/>
  <c r="DT14" i="4"/>
  <c r="DR14" i="4"/>
  <c r="DQ14" i="4"/>
  <c r="DP14" i="4"/>
  <c r="DO14" i="4"/>
  <c r="DN14" i="4"/>
  <c r="DM14" i="4"/>
  <c r="DL14" i="4"/>
  <c r="DK14" i="4"/>
  <c r="DJ14" i="4"/>
  <c r="DI14" i="4"/>
  <c r="DH14" i="4"/>
  <c r="DG14" i="4"/>
  <c r="DF14" i="4"/>
  <c r="DE14" i="4"/>
  <c r="DD14" i="4"/>
  <c r="DC14" i="4"/>
  <c r="DB14" i="4"/>
  <c r="DA14" i="4"/>
  <c r="CZ14" i="4"/>
  <c r="CY14" i="4"/>
  <c r="CX14" i="4"/>
  <c r="CW14" i="4"/>
  <c r="CU14" i="4"/>
  <c r="CT14" i="4"/>
  <c r="CS14" i="4"/>
  <c r="CR14" i="4"/>
  <c r="CQ14" i="4"/>
  <c r="CP14" i="4"/>
  <c r="CO14" i="4"/>
  <c r="CN14" i="4"/>
  <c r="CM14" i="4"/>
  <c r="CL14" i="4"/>
  <c r="CK14" i="4"/>
  <c r="CJ14" i="4"/>
  <c r="CI14" i="4"/>
  <c r="CH14" i="4"/>
  <c r="CG14" i="4"/>
  <c r="CF14" i="4"/>
  <c r="CE14" i="4"/>
  <c r="CD14" i="4"/>
  <c r="CC14" i="4"/>
  <c r="CB14" i="4"/>
  <c r="CA14" i="4"/>
  <c r="BZ14" i="4"/>
  <c r="BY14" i="4"/>
  <c r="BX14" i="4"/>
  <c r="BW14" i="4"/>
  <c r="BV14" i="4"/>
  <c r="BT14" i="4"/>
  <c r="BS14" i="4"/>
  <c r="BH14" i="4"/>
  <c r="BG14" i="4"/>
  <c r="BF14" i="4"/>
  <c r="BE14" i="4"/>
  <c r="BD14" i="4"/>
  <c r="BC14" i="4"/>
  <c r="BB14" i="4"/>
  <c r="BA14" i="4"/>
  <c r="AZ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FC13" i="4"/>
  <c r="FB13" i="4"/>
  <c r="FA13" i="4"/>
  <c r="EZ13" i="4"/>
  <c r="EY13" i="4"/>
  <c r="EX13" i="4"/>
  <c r="EW13" i="4"/>
  <c r="EV13" i="4"/>
  <c r="EU13" i="4"/>
  <c r="ET13" i="4"/>
  <c r="ER13" i="4"/>
  <c r="EQ13" i="4"/>
  <c r="EP13" i="4"/>
  <c r="EO13" i="4"/>
  <c r="EN13" i="4"/>
  <c r="EM13" i="4"/>
  <c r="EL13" i="4"/>
  <c r="EK13" i="4"/>
  <c r="EJ13" i="4"/>
  <c r="EI13" i="4"/>
  <c r="EH13" i="4"/>
  <c r="EG13" i="4"/>
  <c r="EE13" i="4"/>
  <c r="ED13" i="4"/>
  <c r="EC13" i="4"/>
  <c r="EB13" i="4"/>
  <c r="EA13" i="4"/>
  <c r="DZ13" i="4"/>
  <c r="DY13" i="4"/>
  <c r="DX13" i="4"/>
  <c r="DW13" i="4"/>
  <c r="DV13" i="4"/>
  <c r="DU13" i="4"/>
  <c r="DT13" i="4"/>
  <c r="DR13" i="4"/>
  <c r="DQ13" i="4"/>
  <c r="DP13" i="4"/>
  <c r="DO13" i="4"/>
  <c r="DN13" i="4"/>
  <c r="DM13" i="4"/>
  <c r="DL13" i="4"/>
  <c r="DK13" i="4"/>
  <c r="DJ13" i="4"/>
  <c r="DI13" i="4"/>
  <c r="DH13" i="4"/>
  <c r="DG13" i="4"/>
  <c r="DF13" i="4"/>
  <c r="DE13" i="4"/>
  <c r="DD13" i="4"/>
  <c r="DC13" i="4"/>
  <c r="DB13" i="4"/>
  <c r="DA13" i="4"/>
  <c r="CZ13" i="4"/>
  <c r="CY13" i="4"/>
  <c r="CX13" i="4"/>
  <c r="CW13" i="4"/>
  <c r="CU13" i="4"/>
  <c r="CT13" i="4"/>
  <c r="CS13" i="4"/>
  <c r="CR13" i="4"/>
  <c r="CQ13" i="4"/>
  <c r="CP13" i="4"/>
  <c r="CO13" i="4"/>
  <c r="CN13" i="4"/>
  <c r="CM13" i="4"/>
  <c r="CL13" i="4"/>
  <c r="CK13" i="4"/>
  <c r="CJ13" i="4"/>
  <c r="CI13" i="4"/>
  <c r="CH13" i="4"/>
  <c r="CG13" i="4"/>
  <c r="CF13" i="4"/>
  <c r="CE13" i="4"/>
  <c r="CD13" i="4"/>
  <c r="CC13" i="4"/>
  <c r="CB13" i="4"/>
  <c r="CA13" i="4"/>
  <c r="BZ13" i="4"/>
  <c r="BY13" i="4"/>
  <c r="BX13" i="4"/>
  <c r="BW13" i="4"/>
  <c r="BV13" i="4"/>
  <c r="BT13" i="4"/>
  <c r="BS13" i="4"/>
  <c r="BH13" i="4"/>
  <c r="BG13" i="4"/>
  <c r="BF13" i="4"/>
  <c r="BE13" i="4"/>
  <c r="BD13" i="4"/>
  <c r="BC13" i="4"/>
  <c r="BB13" i="4"/>
  <c r="BA13" i="4"/>
  <c r="AZ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FC12" i="4"/>
  <c r="FB12" i="4"/>
  <c r="FA12" i="4"/>
  <c r="EZ12" i="4"/>
  <c r="EY12" i="4"/>
  <c r="EX12" i="4"/>
  <c r="EW12" i="4"/>
  <c r="EV12" i="4"/>
  <c r="EU12" i="4"/>
  <c r="ET12" i="4"/>
  <c r="ER12" i="4"/>
  <c r="EQ12" i="4"/>
  <c r="EP12" i="4"/>
  <c r="EO12" i="4"/>
  <c r="EN12" i="4"/>
  <c r="EM12" i="4"/>
  <c r="EL12" i="4"/>
  <c r="EK12" i="4"/>
  <c r="EJ12" i="4"/>
  <c r="EI12" i="4"/>
  <c r="EH12" i="4"/>
  <c r="EG12" i="4"/>
  <c r="EE12" i="4"/>
  <c r="ED12" i="4"/>
  <c r="EC12" i="4"/>
  <c r="EB12" i="4"/>
  <c r="EA12" i="4"/>
  <c r="DZ12" i="4"/>
  <c r="DY12" i="4"/>
  <c r="DX12" i="4"/>
  <c r="DW12" i="4"/>
  <c r="DV12" i="4"/>
  <c r="DU12" i="4"/>
  <c r="DT12" i="4"/>
  <c r="DR12" i="4"/>
  <c r="DQ12" i="4"/>
  <c r="DP12" i="4"/>
  <c r="DO12" i="4"/>
  <c r="DN12" i="4"/>
  <c r="DM12" i="4"/>
  <c r="DL12" i="4"/>
  <c r="DK12" i="4"/>
  <c r="DJ12" i="4"/>
  <c r="DI12" i="4"/>
  <c r="DH12" i="4"/>
  <c r="DG12" i="4"/>
  <c r="DF12" i="4"/>
  <c r="DE12" i="4"/>
  <c r="DD12" i="4"/>
  <c r="DC12" i="4"/>
  <c r="DB12" i="4"/>
  <c r="DA12" i="4"/>
  <c r="CZ12" i="4"/>
  <c r="CY12" i="4"/>
  <c r="CX12" i="4"/>
  <c r="CW12" i="4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G12" i="4"/>
  <c r="CF12" i="4"/>
  <c r="CE12" i="4"/>
  <c r="CD12" i="4"/>
  <c r="CC12" i="4"/>
  <c r="CB12" i="4"/>
  <c r="CA12" i="4"/>
  <c r="BZ12" i="4"/>
  <c r="BY12" i="4"/>
  <c r="BX12" i="4"/>
  <c r="BW12" i="4"/>
  <c r="BV12" i="4"/>
  <c r="BT12" i="4"/>
  <c r="BS12" i="4"/>
  <c r="BH12" i="4"/>
  <c r="BG12" i="4"/>
  <c r="BF12" i="4"/>
  <c r="BE12" i="4"/>
  <c r="BD12" i="4"/>
  <c r="BC12" i="4"/>
  <c r="BB12" i="4"/>
  <c r="BA12" i="4"/>
  <c r="AZ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FC11" i="4"/>
  <c r="FB11" i="4"/>
  <c r="FA11" i="4"/>
  <c r="EZ11" i="4"/>
  <c r="EY11" i="4"/>
  <c r="EX11" i="4"/>
  <c r="EW11" i="4"/>
  <c r="EV11" i="4"/>
  <c r="EU11" i="4"/>
  <c r="ET11" i="4"/>
  <c r="ER11" i="4"/>
  <c r="EQ11" i="4"/>
  <c r="EP11" i="4"/>
  <c r="EO11" i="4"/>
  <c r="EN11" i="4"/>
  <c r="EM11" i="4"/>
  <c r="EL11" i="4"/>
  <c r="EK11" i="4"/>
  <c r="EJ11" i="4"/>
  <c r="EI11" i="4"/>
  <c r="EH11" i="4"/>
  <c r="EG11" i="4"/>
  <c r="EE11" i="4"/>
  <c r="ED11" i="4"/>
  <c r="EC11" i="4"/>
  <c r="EB11" i="4"/>
  <c r="EA11" i="4"/>
  <c r="DZ11" i="4"/>
  <c r="DY11" i="4"/>
  <c r="DX11" i="4"/>
  <c r="DW11" i="4"/>
  <c r="DV11" i="4"/>
  <c r="DU11" i="4"/>
  <c r="DT11" i="4"/>
  <c r="DR11" i="4"/>
  <c r="DQ11" i="4"/>
  <c r="DP11" i="4"/>
  <c r="DO11" i="4"/>
  <c r="DN11" i="4"/>
  <c r="DM11" i="4"/>
  <c r="DL11" i="4"/>
  <c r="DK11" i="4"/>
  <c r="DJ11" i="4"/>
  <c r="DI11" i="4"/>
  <c r="DH11" i="4"/>
  <c r="DG11" i="4"/>
  <c r="DF11" i="4"/>
  <c r="DE11" i="4"/>
  <c r="DD11" i="4"/>
  <c r="DC11" i="4"/>
  <c r="DB11" i="4"/>
  <c r="DA11" i="4"/>
  <c r="CZ11" i="4"/>
  <c r="CY11" i="4"/>
  <c r="CX11" i="4"/>
  <c r="CW11" i="4"/>
  <c r="CU11" i="4"/>
  <c r="CT11" i="4"/>
  <c r="CS11" i="4"/>
  <c r="CR11" i="4"/>
  <c r="CP11" i="4"/>
  <c r="CO11" i="4"/>
  <c r="CN11" i="4"/>
  <c r="CM11" i="4"/>
  <c r="CL11" i="4"/>
  <c r="CK11" i="4"/>
  <c r="CJ11" i="4"/>
  <c r="CI11" i="4"/>
  <c r="CH11" i="4"/>
  <c r="CG11" i="4"/>
  <c r="CF11" i="4"/>
  <c r="CE11" i="4"/>
  <c r="CD11" i="4"/>
  <c r="CC11" i="4"/>
  <c r="CB11" i="4"/>
  <c r="CA11" i="4"/>
  <c r="BZ11" i="4"/>
  <c r="BY11" i="4"/>
  <c r="BX11" i="4"/>
  <c r="BW11" i="4"/>
  <c r="BV11" i="4"/>
  <c r="BT11" i="4"/>
  <c r="BS11" i="4"/>
  <c r="BH11" i="4"/>
  <c r="BG11" i="4"/>
  <c r="BF11" i="4"/>
  <c r="BE11" i="4"/>
  <c r="BD11" i="4"/>
  <c r="BC11" i="4"/>
  <c r="BB11" i="4"/>
  <c r="BA11" i="4"/>
  <c r="AZ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FB10" i="4"/>
  <c r="EZ10" i="4"/>
  <c r="EX10" i="4"/>
  <c r="EV10" i="4"/>
  <c r="ET10" i="4"/>
  <c r="EQ10" i="4"/>
  <c r="EO10" i="4"/>
  <c r="EM10" i="4"/>
  <c r="EK10" i="4"/>
  <c r="EI10" i="4"/>
  <c r="EG10" i="4"/>
  <c r="ED10" i="4"/>
  <c r="EB10" i="4"/>
  <c r="DZ10" i="4"/>
  <c r="DX10" i="4"/>
  <c r="DV10" i="4"/>
  <c r="DT10" i="4"/>
  <c r="DQ10" i="4"/>
  <c r="DO10" i="4"/>
  <c r="DM10" i="4"/>
  <c r="DK10" i="4"/>
  <c r="DI10" i="4"/>
  <c r="DG10" i="4"/>
  <c r="DE10" i="4"/>
  <c r="DC10" i="4"/>
  <c r="DA10" i="4"/>
  <c r="CY10" i="4"/>
  <c r="CW10" i="4"/>
  <c r="CT10" i="4"/>
  <c r="CQ10" i="4"/>
  <c r="CN10" i="4"/>
  <c r="CK10" i="4"/>
  <c r="CI10" i="4"/>
  <c r="CG10" i="4"/>
  <c r="CE10" i="4"/>
  <c r="CC10" i="4"/>
  <c r="CA10" i="4"/>
  <c r="BY10" i="4"/>
  <c r="BV10" i="4"/>
  <c r="BS10" i="4"/>
  <c r="BF10" i="4"/>
  <c r="BC10" i="4"/>
  <c r="AZ10" i="4"/>
  <c r="AV10" i="4"/>
  <c r="AS10" i="4"/>
  <c r="AP10" i="4"/>
  <c r="AM10" i="4"/>
  <c r="AJ10" i="4"/>
  <c r="AG10" i="4"/>
  <c r="AD10" i="4"/>
  <c r="AA10" i="4"/>
  <c r="X10" i="4"/>
  <c r="U10" i="4"/>
  <c r="R10" i="4"/>
  <c r="O10" i="4"/>
  <c r="M10" i="4"/>
  <c r="K10" i="4"/>
  <c r="I10" i="4"/>
  <c r="F10" i="4"/>
  <c r="C10" i="4"/>
  <c r="B10" i="4"/>
  <c r="FB9" i="4"/>
  <c r="EZ9" i="4"/>
  <c r="EX9" i="4"/>
  <c r="EV9" i="4"/>
  <c r="ET9" i="4"/>
  <c r="EQ9" i="4"/>
  <c r="EO9" i="4"/>
  <c r="EM9" i="4"/>
  <c r="EK9" i="4"/>
  <c r="EI9" i="4"/>
  <c r="EG9" i="4"/>
  <c r="ED9" i="4"/>
  <c r="EB9" i="4"/>
  <c r="DZ9" i="4"/>
  <c r="DX9" i="4"/>
  <c r="DV9" i="4"/>
  <c r="DT9" i="4"/>
  <c r="DQ9" i="4"/>
  <c r="DO9" i="4"/>
  <c r="DM9" i="4"/>
  <c r="DK9" i="4"/>
  <c r="DI9" i="4"/>
  <c r="DG9" i="4"/>
  <c r="DE9" i="4"/>
  <c r="DC9" i="4"/>
  <c r="DA9" i="4"/>
  <c r="CY9" i="4"/>
  <c r="CW9" i="4"/>
  <c r="CT9" i="4"/>
  <c r="CS9" i="4"/>
  <c r="CQ9" i="4"/>
  <c r="CP9" i="4"/>
  <c r="CN9" i="4"/>
  <c r="CM9" i="4"/>
  <c r="CK9" i="4"/>
  <c r="CI9" i="4"/>
  <c r="CG9" i="4"/>
  <c r="CE9" i="4"/>
  <c r="CC9" i="4"/>
  <c r="CA9" i="4"/>
  <c r="BY9" i="4"/>
  <c r="BX9" i="4"/>
  <c r="BV9" i="4"/>
  <c r="BS9" i="4"/>
  <c r="BH9" i="4"/>
  <c r="BF9" i="4"/>
  <c r="BE9" i="4"/>
  <c r="BC9" i="4"/>
  <c r="BB9" i="4"/>
  <c r="AZ9" i="4"/>
  <c r="AX9" i="4"/>
  <c r="AV9" i="4"/>
  <c r="AU9" i="4"/>
  <c r="AS9" i="4"/>
  <c r="AR9" i="4"/>
  <c r="AP9" i="4"/>
  <c r="AO9" i="4"/>
  <c r="AM9" i="4"/>
  <c r="AL9" i="4"/>
  <c r="AJ9" i="4"/>
  <c r="AI9" i="4"/>
  <c r="AG9" i="4"/>
  <c r="AF9" i="4"/>
  <c r="AD9" i="4"/>
  <c r="AC9" i="4"/>
  <c r="AA9" i="4"/>
  <c r="Z9" i="4"/>
  <c r="X9" i="4"/>
  <c r="W9" i="4"/>
  <c r="U9" i="4"/>
  <c r="R9" i="4"/>
  <c r="Q9" i="4"/>
  <c r="O9" i="4"/>
  <c r="M9" i="4"/>
  <c r="K9" i="4"/>
  <c r="I9" i="4"/>
  <c r="H9" i="4"/>
  <c r="F9" i="4"/>
  <c r="E9" i="4"/>
  <c r="C9" i="4"/>
  <c r="B9" i="4"/>
  <c r="B32" i="1"/>
  <c r="H32" i="1"/>
  <c r="M32" i="1"/>
  <c r="N32" i="1"/>
  <c r="B32" i="3"/>
  <c r="M11" i="3" l="1"/>
  <c r="Q11" i="3"/>
  <c r="U11" i="3"/>
  <c r="Y11" i="3"/>
  <c r="AD11" i="3"/>
  <c r="AF11" i="3"/>
  <c r="AH11" i="3"/>
  <c r="Z11" i="3"/>
  <c r="P11" i="3"/>
  <c r="T11" i="3"/>
  <c r="X11" i="3"/>
  <c r="AC11" i="3"/>
  <c r="AJ11" i="3"/>
  <c r="AL11" i="3"/>
  <c r="AN11" i="3"/>
  <c r="AP11" i="3"/>
  <c r="AR11" i="3"/>
  <c r="AU11" i="3"/>
  <c r="AW11" i="3"/>
  <c r="AY11" i="3"/>
  <c r="BA11" i="3"/>
  <c r="BD11" i="3"/>
  <c r="BF11" i="3"/>
  <c r="BG11" i="3"/>
  <c r="BJ11" i="3"/>
  <c r="BK11" i="3"/>
  <c r="H11" i="3"/>
  <c r="L11" i="3"/>
  <c r="O11" i="3"/>
  <c r="S11" i="3"/>
  <c r="W11" i="3"/>
  <c r="AE11" i="3"/>
  <c r="AG11" i="3"/>
  <c r="AI11" i="3"/>
  <c r="AB11" i="3"/>
  <c r="G11" i="3"/>
  <c r="J11" i="3"/>
  <c r="I11" i="3"/>
  <c r="K11" i="3"/>
  <c r="N11" i="3"/>
  <c r="R11" i="3"/>
  <c r="V11" i="3"/>
  <c r="AA11" i="3"/>
  <c r="AK11" i="3"/>
  <c r="AM11" i="3"/>
  <c r="AO11" i="3"/>
  <c r="AQ11" i="3"/>
  <c r="AS11" i="3"/>
  <c r="AT11" i="3"/>
  <c r="AX11" i="3"/>
  <c r="AZ11" i="3"/>
  <c r="BB11" i="3"/>
  <c r="BE11" i="3"/>
  <c r="BC11" i="3"/>
  <c r="BH11" i="3"/>
  <c r="BI11" i="3"/>
  <c r="E32" i="1"/>
  <c r="G3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2" i="1"/>
  <c r="Z3" i="3" l="1"/>
  <c r="AF3" i="3"/>
  <c r="G3" i="3" l="1"/>
  <c r="N3" i="3"/>
  <c r="R3" i="3"/>
  <c r="V3" i="3"/>
  <c r="AK3" i="3"/>
  <c r="AO3" i="3"/>
  <c r="AS3" i="3"/>
  <c r="AZ3" i="3"/>
  <c r="BE3" i="3"/>
  <c r="BH3" i="3"/>
  <c r="H4" i="3"/>
  <c r="L4" i="3"/>
  <c r="O4" i="3"/>
  <c r="S4" i="3"/>
  <c r="W4" i="3"/>
  <c r="AE4" i="3"/>
  <c r="AG4" i="3"/>
  <c r="AI4" i="3"/>
  <c r="AB4" i="3"/>
  <c r="P5" i="3"/>
  <c r="T5" i="3"/>
  <c r="X5" i="3"/>
  <c r="AC5" i="3"/>
  <c r="AJ5" i="3"/>
  <c r="AL5" i="3"/>
  <c r="AN5" i="3"/>
  <c r="AP5" i="3"/>
  <c r="AR5" i="3"/>
  <c r="AU5" i="3"/>
  <c r="AW5" i="3"/>
  <c r="AY5" i="3"/>
  <c r="BA5" i="3"/>
  <c r="BD5" i="3"/>
  <c r="BF5" i="3"/>
  <c r="BG5" i="3"/>
  <c r="BJ5" i="3"/>
  <c r="BK5" i="3"/>
  <c r="M6" i="3"/>
  <c r="Q6" i="3"/>
  <c r="U6" i="3"/>
  <c r="Y6" i="3"/>
  <c r="AD6" i="3"/>
  <c r="AF6" i="3"/>
  <c r="AH6" i="3"/>
  <c r="Z6" i="3"/>
  <c r="G7" i="3"/>
  <c r="K7" i="3"/>
  <c r="N7" i="3"/>
  <c r="R7" i="3"/>
  <c r="V7" i="3"/>
  <c r="AA7" i="3"/>
  <c r="AK7" i="3"/>
  <c r="AM7" i="3"/>
  <c r="AO7" i="3"/>
  <c r="AQ7" i="3"/>
  <c r="AS7" i="3"/>
  <c r="AT7" i="3"/>
  <c r="AX7" i="3"/>
  <c r="AZ7" i="3"/>
  <c r="BK3" i="3"/>
  <c r="AL3" i="3"/>
  <c r="AP4" i="3"/>
  <c r="AY4" i="3"/>
  <c r="AD5" i="3"/>
  <c r="AH5" i="3"/>
  <c r="AP3" i="3"/>
  <c r="AM3" i="3"/>
  <c r="AQ3" i="3"/>
  <c r="AX3" i="3"/>
  <c r="BB3" i="3"/>
  <c r="BI3" i="3"/>
  <c r="BB7" i="3"/>
  <c r="BE7" i="3"/>
  <c r="BC7" i="3"/>
  <c r="BH7" i="3"/>
  <c r="BI7" i="3"/>
  <c r="H8" i="3"/>
  <c r="L8" i="3"/>
  <c r="O8" i="3"/>
  <c r="S8" i="3"/>
  <c r="W8" i="3"/>
  <c r="AE8" i="3"/>
  <c r="AG8" i="3"/>
  <c r="AI8" i="3"/>
  <c r="AB8" i="3"/>
  <c r="P9" i="3"/>
  <c r="T9" i="3"/>
  <c r="X9" i="3"/>
  <c r="AC9" i="3"/>
  <c r="AJ9" i="3"/>
  <c r="AL9" i="3"/>
  <c r="AN9" i="3"/>
  <c r="AP9" i="3"/>
  <c r="AR9" i="3"/>
  <c r="AU9" i="3"/>
  <c r="AW9" i="3"/>
  <c r="AY9" i="3"/>
  <c r="BA9" i="3"/>
  <c r="BD9" i="3"/>
  <c r="BF9" i="3"/>
  <c r="BG9" i="3"/>
  <c r="BJ9" i="3"/>
  <c r="BK9" i="3"/>
  <c r="M10" i="3"/>
  <c r="Q10" i="3"/>
  <c r="U10" i="3"/>
  <c r="Y10" i="3"/>
  <c r="AD10" i="3"/>
  <c r="AF10" i="3"/>
  <c r="AH10" i="3"/>
  <c r="Z10" i="3"/>
  <c r="M3" i="3"/>
  <c r="Q3" i="3"/>
  <c r="U3" i="3"/>
  <c r="Y3" i="3"/>
  <c r="AD4" i="3"/>
  <c r="AH4" i="3"/>
  <c r="N5" i="3"/>
  <c r="V5" i="3"/>
  <c r="AT3" i="3"/>
  <c r="BC3" i="3"/>
  <c r="J4" i="3"/>
  <c r="AK4" i="3"/>
  <c r="AO4" i="3"/>
  <c r="AS4" i="3"/>
  <c r="AZ4" i="3"/>
  <c r="BE4" i="3"/>
  <c r="BH4" i="3"/>
  <c r="O5" i="3"/>
  <c r="W5" i="3"/>
  <c r="AE5" i="3"/>
  <c r="AI5" i="3"/>
  <c r="T6" i="3"/>
  <c r="AC6" i="3"/>
  <c r="AN6" i="3"/>
  <c r="AR6" i="3"/>
  <c r="AW6" i="3"/>
  <c r="BA6" i="3"/>
  <c r="BF6" i="3"/>
  <c r="BJ6" i="3"/>
  <c r="M7" i="3"/>
  <c r="U7" i="3"/>
  <c r="AF7" i="3"/>
  <c r="AH7" i="3"/>
  <c r="G8" i="3"/>
  <c r="K8" i="3"/>
  <c r="K3" i="3"/>
  <c r="I7" i="3"/>
  <c r="J7" i="3"/>
  <c r="G4" i="3"/>
  <c r="K4" i="3"/>
  <c r="R4" i="3"/>
  <c r="AA4" i="3"/>
  <c r="AM4" i="3"/>
  <c r="AQ4" i="3"/>
  <c r="AT4" i="3"/>
  <c r="AX4" i="3"/>
  <c r="BB4" i="3"/>
  <c r="BC4" i="3"/>
  <c r="BI4" i="3"/>
  <c r="H5" i="3"/>
  <c r="L5" i="3"/>
  <c r="S5" i="3"/>
  <c r="AG5" i="3"/>
  <c r="AB5" i="3"/>
  <c r="P6" i="3"/>
  <c r="X6" i="3"/>
  <c r="AJ6" i="3"/>
  <c r="AL6" i="3"/>
  <c r="AP6" i="3"/>
  <c r="AU6" i="3"/>
  <c r="AY6" i="3"/>
  <c r="BD6" i="3"/>
  <c r="BG6" i="3"/>
  <c r="BK6" i="3"/>
  <c r="Q7" i="3"/>
  <c r="Y7" i="3"/>
  <c r="AD7" i="3"/>
  <c r="Z7" i="3"/>
  <c r="I8" i="3"/>
  <c r="J8" i="3"/>
  <c r="I3" i="3"/>
  <c r="J3" i="3"/>
  <c r="AA3" i="3"/>
  <c r="AK8" i="3"/>
  <c r="AT8" i="3"/>
  <c r="BB8" i="3"/>
  <c r="BI8" i="3"/>
  <c r="L9" i="3"/>
  <c r="S9" i="3"/>
  <c r="AI9" i="3"/>
  <c r="AJ10" i="3"/>
  <c r="AP10" i="3"/>
  <c r="AW10" i="3"/>
  <c r="BD10" i="3"/>
  <c r="BK10" i="3"/>
  <c r="N8" i="3"/>
  <c r="AA8" i="3"/>
  <c r="AO8" i="3"/>
  <c r="AS8" i="3"/>
  <c r="AZ8" i="3"/>
  <c r="BC8" i="3"/>
  <c r="H9" i="3"/>
  <c r="O9" i="3"/>
  <c r="AE9" i="3"/>
  <c r="X10" i="3"/>
  <c r="AN10" i="3"/>
  <c r="AU10" i="3"/>
  <c r="BA10" i="3"/>
  <c r="BG10" i="3"/>
  <c r="P3" i="3"/>
  <c r="AC3" i="3"/>
  <c r="AU3" i="3"/>
  <c r="AY3" i="3"/>
  <c r="BD3" i="3"/>
  <c r="BJ3" i="3"/>
  <c r="Q4" i="3"/>
  <c r="Y4" i="3"/>
  <c r="K5" i="3"/>
  <c r="AK5" i="3"/>
  <c r="AO5" i="3"/>
  <c r="AS5" i="3"/>
  <c r="AX5" i="3"/>
  <c r="BB5" i="3"/>
  <c r="BH5" i="3"/>
  <c r="H6" i="3"/>
  <c r="L6" i="3"/>
  <c r="AE6" i="3"/>
  <c r="AI6" i="3"/>
  <c r="P7" i="3"/>
  <c r="T7" i="3"/>
  <c r="X7" i="3"/>
  <c r="AC7" i="3"/>
  <c r="AJ7" i="3"/>
  <c r="AN7" i="3"/>
  <c r="AP7" i="3"/>
  <c r="AR7" i="3"/>
  <c r="AU7" i="3"/>
  <c r="AW7" i="3"/>
  <c r="AY7" i="3"/>
  <c r="BA7" i="3"/>
  <c r="BD7" i="3"/>
  <c r="BF7" i="3"/>
  <c r="BG7" i="3"/>
  <c r="BJ7" i="3"/>
  <c r="BK7" i="3"/>
  <c r="M8" i="3"/>
  <c r="Q8" i="3"/>
  <c r="U8" i="3"/>
  <c r="Y8" i="3"/>
  <c r="AD8" i="3"/>
  <c r="AF8" i="3"/>
  <c r="AH8" i="3"/>
  <c r="Z8" i="3"/>
  <c r="G9" i="3"/>
  <c r="I9" i="3"/>
  <c r="J9" i="3"/>
  <c r="K9" i="3"/>
  <c r="N9" i="3"/>
  <c r="R9" i="3"/>
  <c r="V9" i="3"/>
  <c r="AA9" i="3"/>
  <c r="AK9" i="3"/>
  <c r="AM9" i="3"/>
  <c r="AO9" i="3"/>
  <c r="AQ9" i="3"/>
  <c r="AS9" i="3"/>
  <c r="AT9" i="3"/>
  <c r="AX9" i="3"/>
  <c r="AZ9" i="3"/>
  <c r="BB9" i="3"/>
  <c r="BE9" i="3"/>
  <c r="BC9" i="3"/>
  <c r="BH9" i="3"/>
  <c r="BI9" i="3"/>
  <c r="H10" i="3"/>
  <c r="L10" i="3"/>
  <c r="O10" i="3"/>
  <c r="S10" i="3"/>
  <c r="W10" i="3"/>
  <c r="AE10" i="3"/>
  <c r="AG10" i="3"/>
  <c r="AI10" i="3"/>
  <c r="AB10" i="3"/>
  <c r="R8" i="3"/>
  <c r="V8" i="3"/>
  <c r="AM8" i="3"/>
  <c r="AQ8" i="3"/>
  <c r="AX8" i="3"/>
  <c r="BE8" i="3"/>
  <c r="BH8" i="3"/>
  <c r="W9" i="3"/>
  <c r="AG9" i="3"/>
  <c r="AB9" i="3"/>
  <c r="P10" i="3"/>
  <c r="T10" i="3"/>
  <c r="AC10" i="3"/>
  <c r="AL10" i="3"/>
  <c r="AR10" i="3"/>
  <c r="AY10" i="3"/>
  <c r="BF10" i="3"/>
  <c r="BJ10" i="3"/>
  <c r="T3" i="3"/>
  <c r="X3" i="3"/>
  <c r="AJ3" i="3"/>
  <c r="AN3" i="3"/>
  <c r="AR3" i="3"/>
  <c r="AW3" i="3"/>
  <c r="BA3" i="3"/>
  <c r="BF3" i="3"/>
  <c r="BG3" i="3"/>
  <c r="M4" i="3"/>
  <c r="U4" i="3"/>
  <c r="AF4" i="3"/>
  <c r="G5" i="3"/>
  <c r="I5" i="3"/>
  <c r="AA5" i="3"/>
  <c r="AM5" i="3"/>
  <c r="AQ5" i="3"/>
  <c r="AZ5" i="3"/>
  <c r="BE5" i="3"/>
  <c r="BI5" i="3"/>
  <c r="O6" i="3"/>
  <c r="S6" i="3"/>
  <c r="W6" i="3"/>
  <c r="AG6" i="3"/>
  <c r="AB6" i="3"/>
  <c r="AL7" i="3"/>
  <c r="H3" i="3"/>
  <c r="L3" i="3"/>
  <c r="O3" i="3"/>
  <c r="S3" i="3"/>
  <c r="W3" i="3"/>
  <c r="AE3" i="3"/>
  <c r="AG3" i="3"/>
  <c r="AI3" i="3"/>
  <c r="AB3" i="3"/>
  <c r="P4" i="3"/>
  <c r="T4" i="3"/>
  <c r="X4" i="3"/>
  <c r="AC4" i="3"/>
  <c r="AJ4" i="3"/>
  <c r="AL4" i="3"/>
  <c r="AN4" i="3"/>
  <c r="AR4" i="3"/>
  <c r="AU4" i="3"/>
  <c r="AW4" i="3"/>
  <c r="BA4" i="3"/>
  <c r="BD4" i="3"/>
  <c r="BF4" i="3"/>
  <c r="BG4" i="3"/>
  <c r="BJ4" i="3"/>
  <c r="BK4" i="3"/>
  <c r="M5" i="3"/>
  <c r="Q5" i="3"/>
  <c r="U5" i="3"/>
  <c r="Y5" i="3"/>
  <c r="AF5" i="3"/>
  <c r="Z5" i="3"/>
  <c r="G6" i="3"/>
  <c r="I6" i="3"/>
  <c r="J6" i="3"/>
  <c r="K6" i="3"/>
  <c r="N6" i="3"/>
  <c r="R6" i="3"/>
  <c r="V6" i="3"/>
  <c r="AA6" i="3"/>
  <c r="AK6" i="3"/>
  <c r="AM6" i="3"/>
  <c r="AO6" i="3"/>
  <c r="AQ6" i="3"/>
  <c r="AS6" i="3"/>
  <c r="AT6" i="3"/>
  <c r="AX6" i="3"/>
  <c r="AZ6" i="3"/>
  <c r="BB6" i="3"/>
  <c r="BE6" i="3"/>
  <c r="BC6" i="3"/>
  <c r="BH6" i="3"/>
  <c r="BI6" i="3"/>
  <c r="H7" i="3"/>
  <c r="L7" i="3"/>
  <c r="O7" i="3"/>
  <c r="S7" i="3"/>
  <c r="W7" i="3"/>
  <c r="AE7" i="3"/>
  <c r="AG7" i="3"/>
  <c r="AI7" i="3"/>
  <c r="AB7" i="3"/>
  <c r="P8" i="3"/>
  <c r="T8" i="3"/>
  <c r="X8" i="3"/>
  <c r="AC8" i="3"/>
  <c r="AJ8" i="3"/>
  <c r="AL8" i="3"/>
  <c r="AN8" i="3"/>
  <c r="AP8" i="3"/>
  <c r="AR8" i="3"/>
  <c r="AU8" i="3"/>
  <c r="AW8" i="3"/>
  <c r="AY8" i="3"/>
  <c r="BA8" i="3"/>
  <c r="BD8" i="3"/>
  <c r="BF8" i="3"/>
  <c r="BG8" i="3"/>
  <c r="BJ8" i="3"/>
  <c r="BK8" i="3"/>
  <c r="M9" i="3"/>
  <c r="Q9" i="3"/>
  <c r="U9" i="3"/>
  <c r="Y9" i="3"/>
  <c r="AD9" i="3"/>
  <c r="AF9" i="3"/>
  <c r="AH9" i="3"/>
  <c r="Z9" i="3"/>
  <c r="G10" i="3"/>
  <c r="I10" i="3"/>
  <c r="J10" i="3"/>
  <c r="K10" i="3"/>
  <c r="N10" i="3"/>
  <c r="R10" i="3"/>
  <c r="V10" i="3"/>
  <c r="AA10" i="3"/>
  <c r="AK10" i="3"/>
  <c r="AM10" i="3"/>
  <c r="AO10" i="3"/>
  <c r="AQ10" i="3"/>
  <c r="AS10" i="3"/>
  <c r="AT10" i="3"/>
  <c r="AX10" i="3"/>
  <c r="AZ10" i="3"/>
  <c r="BB10" i="3"/>
  <c r="BE10" i="3"/>
  <c r="BC10" i="3"/>
  <c r="BH10" i="3"/>
  <c r="BI10" i="3"/>
  <c r="AD3" i="3"/>
  <c r="Z4" i="3"/>
  <c r="BC5" i="3"/>
  <c r="AT5" i="3"/>
  <c r="R5" i="3"/>
  <c r="I4" i="3"/>
  <c r="AH3" i="3"/>
  <c r="V4" i="3"/>
  <c r="N4" i="3"/>
  <c r="J5" i="3"/>
  <c r="N10" i="1" l="1"/>
  <c r="N6" i="1"/>
  <c r="N4" i="1"/>
  <c r="N2" i="1"/>
  <c r="I5" i="1"/>
  <c r="I6" i="1"/>
  <c r="I7" i="1"/>
  <c r="BK2" i="3"/>
  <c r="BG2" i="3"/>
  <c r="BC2" i="3"/>
  <c r="BF2" i="3"/>
  <c r="AY2" i="3"/>
  <c r="AX2" i="3"/>
  <c r="AW2" i="3"/>
  <c r="AT2" i="3"/>
  <c r="DN9" i="4"/>
  <c r="AO2" i="3"/>
  <c r="DD9" i="4"/>
  <c r="CZ9" i="4"/>
  <c r="AC2" i="3"/>
  <c r="Z2" i="3"/>
  <c r="BZ9" i="4"/>
  <c r="X2" i="3"/>
  <c r="W2" i="3"/>
  <c r="T2" i="3"/>
  <c r="S2" i="3"/>
  <c r="AK9" i="4"/>
  <c r="Y9" i="4"/>
  <c r="V9" i="4"/>
  <c r="L2" i="3"/>
  <c r="K2" i="3"/>
  <c r="G2" i="3"/>
  <c r="I2" i="1" s="1"/>
  <c r="N8" i="1"/>
  <c r="N12" i="1"/>
  <c r="N14" i="1"/>
  <c r="N16" i="1"/>
  <c r="N18" i="1"/>
  <c r="N20" i="1"/>
  <c r="N22" i="1"/>
  <c r="N24" i="1"/>
  <c r="N26" i="1"/>
  <c r="N28" i="1"/>
  <c r="N30" i="1"/>
  <c r="M12" i="1"/>
  <c r="M13" i="1"/>
  <c r="N13" i="1"/>
  <c r="M14" i="1"/>
  <c r="M15" i="1"/>
  <c r="N15" i="1"/>
  <c r="M16" i="1"/>
  <c r="M17" i="1"/>
  <c r="N17" i="1"/>
  <c r="M18" i="1"/>
  <c r="M19" i="1"/>
  <c r="N19" i="1"/>
  <c r="M20" i="1"/>
  <c r="M21" i="1"/>
  <c r="N21" i="1"/>
  <c r="M22" i="1"/>
  <c r="M23" i="1"/>
  <c r="N23" i="1"/>
  <c r="M24" i="1"/>
  <c r="M25" i="1"/>
  <c r="N25" i="1"/>
  <c r="M26" i="1"/>
  <c r="M27" i="1"/>
  <c r="N27" i="1"/>
  <c r="M28" i="1"/>
  <c r="M29" i="1"/>
  <c r="N29" i="1"/>
  <c r="M30" i="1"/>
  <c r="M31" i="1"/>
  <c r="N31" i="1"/>
  <c r="M10" i="1"/>
  <c r="M8" i="1"/>
  <c r="M11" i="1"/>
  <c r="M9" i="1"/>
  <c r="M7" i="1"/>
  <c r="M6" i="1"/>
  <c r="M5" i="1"/>
  <c r="M4" i="1"/>
  <c r="M3" i="1"/>
  <c r="M2" i="1"/>
  <c r="N7" i="1"/>
  <c r="N11" i="1"/>
  <c r="N9" i="1"/>
  <c r="N5" i="1"/>
  <c r="N3" i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Z51" i="4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AS2" i="3"/>
  <c r="BJ2" i="3"/>
  <c r="EP9" i="4"/>
  <c r="I18" i="1" l="1"/>
  <c r="I22" i="1"/>
  <c r="DR9" i="4"/>
  <c r="AJ2" i="3"/>
  <c r="EA9" i="4"/>
  <c r="ER9" i="4"/>
  <c r="I25" i="1"/>
  <c r="K25" i="1"/>
  <c r="I26" i="1"/>
  <c r="K26" i="1"/>
  <c r="BT9" i="4"/>
  <c r="BS48" i="4" s="1"/>
  <c r="I27" i="1"/>
  <c r="K27" i="1"/>
  <c r="I31" i="1"/>
  <c r="K31" i="1"/>
  <c r="I28" i="1"/>
  <c r="K28" i="1"/>
  <c r="I29" i="1"/>
  <c r="K29" i="1"/>
  <c r="Y2" i="3"/>
  <c r="I30" i="1"/>
  <c r="K30" i="1"/>
  <c r="DY9" i="4"/>
  <c r="EJ9" i="4"/>
  <c r="BB2" i="3"/>
  <c r="U44" i="4"/>
  <c r="I19" i="1"/>
  <c r="K19" i="1"/>
  <c r="J2" i="3"/>
  <c r="I2" i="3"/>
  <c r="K2" i="1" s="1"/>
  <c r="AH9" i="4"/>
  <c r="AG48" i="4" s="1"/>
  <c r="Q2" i="3"/>
  <c r="CF9" i="4"/>
  <c r="CE48" i="4" s="1"/>
  <c r="AG2" i="3"/>
  <c r="N9" i="4"/>
  <c r="M2" i="3"/>
  <c r="AN9" i="4"/>
  <c r="AM48" i="4" s="1"/>
  <c r="O2" i="3"/>
  <c r="AB9" i="4"/>
  <c r="AT9" i="4"/>
  <c r="AS48" i="4" s="1"/>
  <c r="U2" i="3"/>
  <c r="BG9" i="4"/>
  <c r="BF45" i="4" s="1"/>
  <c r="K18" i="1"/>
  <c r="K22" i="1"/>
  <c r="FA9" i="4"/>
  <c r="BI2" i="3"/>
  <c r="AR2" i="3"/>
  <c r="DP9" i="4"/>
  <c r="AF2" i="3"/>
  <c r="CD9" i="4"/>
  <c r="CC48" i="4" s="1"/>
  <c r="AB2" i="3"/>
  <c r="CR9" i="4"/>
  <c r="CQ45" i="4" s="1"/>
  <c r="I23" i="1"/>
  <c r="K23" i="1"/>
  <c r="V2" i="3"/>
  <c r="EE9" i="4"/>
  <c r="BH2" i="3"/>
  <c r="I16" i="1"/>
  <c r="K16" i="1"/>
  <c r="CB9" i="4"/>
  <c r="CA48" i="4" s="1"/>
  <c r="BE2" i="3"/>
  <c r="I24" i="1"/>
  <c r="K24" i="1"/>
  <c r="I20" i="1"/>
  <c r="K20" i="1"/>
  <c r="L9" i="4"/>
  <c r="K48" i="4" s="1"/>
  <c r="K49" i="4" s="1"/>
  <c r="AN2" i="3"/>
  <c r="I17" i="1"/>
  <c r="K17" i="1"/>
  <c r="I21" i="1"/>
  <c r="K21" i="1"/>
  <c r="BA9" i="4"/>
  <c r="AZ45" i="4" s="1"/>
  <c r="X48" i="4"/>
  <c r="AJ45" i="4"/>
  <c r="DW9" i="4"/>
  <c r="BW9" i="4"/>
  <c r="AM2" i="3"/>
  <c r="G9" i="4"/>
  <c r="F45" i="4" s="1"/>
  <c r="C44" i="4"/>
  <c r="K5" i="1"/>
  <c r="AQ9" i="4"/>
  <c r="AP48" i="4" s="1"/>
  <c r="DJ9" i="4"/>
  <c r="P9" i="4"/>
  <c r="O45" i="4" s="1"/>
  <c r="DB9" i="4"/>
  <c r="H2" i="3"/>
  <c r="G7" i="1"/>
  <c r="AQ2" i="3"/>
  <c r="AZ2" i="3"/>
  <c r="AG44" i="4"/>
  <c r="AM44" i="4"/>
  <c r="AS47" i="4"/>
  <c r="BY48" i="4"/>
  <c r="EL9" i="4"/>
  <c r="FC9" i="4"/>
  <c r="C48" i="4"/>
  <c r="EC9" i="4"/>
  <c r="I13" i="1"/>
  <c r="K13" i="1"/>
  <c r="N2" i="3"/>
  <c r="AW9" i="4"/>
  <c r="AV45" i="4" s="1"/>
  <c r="D9" i="4"/>
  <c r="C45" i="4" s="1"/>
  <c r="BD2" i="3"/>
  <c r="AE2" i="3"/>
  <c r="I14" i="1"/>
  <c r="K14" i="1"/>
  <c r="U48" i="4"/>
  <c r="I11" i="1"/>
  <c r="I15" i="1"/>
  <c r="K15" i="1"/>
  <c r="C47" i="4"/>
  <c r="AJ47" i="4"/>
  <c r="I8" i="1"/>
  <c r="F47" i="4"/>
  <c r="F44" i="4"/>
  <c r="CH9" i="4"/>
  <c r="CG48" i="4" s="1"/>
  <c r="AH2" i="3"/>
  <c r="CO9" i="4"/>
  <c r="CN45" i="4" s="1"/>
  <c r="AA2" i="3"/>
  <c r="AP2" i="3"/>
  <c r="DL9" i="4"/>
  <c r="DU9" i="4"/>
  <c r="AU2" i="3"/>
  <c r="O44" i="4"/>
  <c r="K7" i="1"/>
  <c r="AD47" i="4"/>
  <c r="AP47" i="4"/>
  <c r="I48" i="4"/>
  <c r="I49" i="4" s="1"/>
  <c r="U47" i="4"/>
  <c r="AG47" i="4"/>
  <c r="BF44" i="4"/>
  <c r="K11" i="1"/>
  <c r="EN9" i="4"/>
  <c r="I4" i="1"/>
  <c r="I3" i="1"/>
  <c r="P2" i="3"/>
  <c r="AE9" i="4"/>
  <c r="AD48" i="4" s="1"/>
  <c r="CJ9" i="4"/>
  <c r="CI48" i="4" s="1"/>
  <c r="AI2" i="3"/>
  <c r="AK2" i="3"/>
  <c r="CX9" i="4"/>
  <c r="K8" i="1"/>
  <c r="EW9" i="4"/>
  <c r="AL2" i="3"/>
  <c r="DF9" i="4"/>
  <c r="R2" i="3"/>
  <c r="BD9" i="4"/>
  <c r="BC48" i="4" s="1"/>
  <c r="BC49" i="4" s="1"/>
  <c r="I12" i="1"/>
  <c r="K12" i="1"/>
  <c r="K6" i="1"/>
  <c r="K4" i="1"/>
  <c r="AJ44" i="4"/>
  <c r="BC44" i="4"/>
  <c r="J9" i="4"/>
  <c r="CQ47" i="4"/>
  <c r="X45" i="4"/>
  <c r="CK44" i="4"/>
  <c r="X47" i="4"/>
  <c r="AM47" i="4"/>
  <c r="AZ44" i="4"/>
  <c r="I9" i="1"/>
  <c r="K9" i="1"/>
  <c r="I10" i="1"/>
  <c r="K10" i="1"/>
  <c r="K3" i="1"/>
  <c r="G4" i="1"/>
  <c r="S9" i="4"/>
  <c r="X44" i="4"/>
  <c r="AD44" i="4"/>
  <c r="AD2" i="3"/>
  <c r="AA44" i="4"/>
  <c r="BA2" i="3"/>
  <c r="EH9" i="4"/>
  <c r="AJ48" i="4"/>
  <c r="AV44" i="4"/>
  <c r="AP44" i="4"/>
  <c r="CQ44" i="4"/>
  <c r="U45" i="4"/>
  <c r="O47" i="4"/>
  <c r="CL9" i="4"/>
  <c r="DH9" i="4"/>
  <c r="CN44" i="4"/>
  <c r="CU9" i="4"/>
  <c r="CT48" i="4" s="1"/>
  <c r="CT49" i="4" s="1"/>
  <c r="AS44" i="4"/>
  <c r="EU9" i="4"/>
  <c r="CQ48" i="4" l="1"/>
  <c r="AZ48" i="4"/>
  <c r="AZ49" i="4" s="1"/>
  <c r="F48" i="4"/>
  <c r="F49" i="4" s="1"/>
  <c r="AM45" i="4"/>
  <c r="X49" i="4"/>
  <c r="BF48" i="4"/>
  <c r="BF49" i="4" s="1"/>
  <c r="AZ46" i="4"/>
  <c r="G28" i="1"/>
  <c r="AD45" i="4"/>
  <c r="G6" i="1"/>
  <c r="G15" i="1"/>
  <c r="G3" i="1"/>
  <c r="E7" i="1"/>
  <c r="G29" i="1"/>
  <c r="AG45" i="4"/>
  <c r="AS45" i="4"/>
  <c r="G2" i="1"/>
  <c r="AG49" i="4"/>
  <c r="G26" i="1"/>
  <c r="G24" i="1"/>
  <c r="G20" i="1"/>
  <c r="G17" i="1"/>
  <c r="G19" i="1"/>
  <c r="AJ49" i="4"/>
  <c r="AA45" i="4"/>
  <c r="AS49" i="4"/>
  <c r="E21" i="1"/>
  <c r="E17" i="1"/>
  <c r="E27" i="1"/>
  <c r="G30" i="1"/>
  <c r="E26" i="1"/>
  <c r="E28" i="1"/>
  <c r="G31" i="1"/>
  <c r="G27" i="1"/>
  <c r="E25" i="1"/>
  <c r="E29" i="1"/>
  <c r="G25" i="1"/>
  <c r="E30" i="1"/>
  <c r="E22" i="1"/>
  <c r="G22" i="1"/>
  <c r="E18" i="1"/>
  <c r="E19" i="1"/>
  <c r="E24" i="1"/>
  <c r="E20" i="1"/>
  <c r="E16" i="1"/>
  <c r="E23" i="1"/>
  <c r="G18" i="1"/>
  <c r="G5" i="1"/>
  <c r="CQ49" i="4"/>
  <c r="G21" i="1"/>
  <c r="G16" i="1"/>
  <c r="G23" i="1"/>
  <c r="E2" i="1"/>
  <c r="O48" i="4"/>
  <c r="O49" i="4" s="1"/>
  <c r="AP45" i="4"/>
  <c r="C49" i="4"/>
  <c r="E6" i="1"/>
  <c r="G8" i="1"/>
  <c r="AP49" i="4"/>
  <c r="E3" i="1"/>
  <c r="BC45" i="4"/>
  <c r="BC46" i="4" s="1"/>
  <c r="AM49" i="4"/>
  <c r="E10" i="1"/>
  <c r="G13" i="1"/>
  <c r="E9" i="1"/>
  <c r="E15" i="1"/>
  <c r="E14" i="1"/>
  <c r="U49" i="4"/>
  <c r="G14" i="1"/>
  <c r="E13" i="1"/>
  <c r="AD49" i="4"/>
  <c r="G10" i="1"/>
  <c r="AA51" i="4"/>
  <c r="E5" i="1"/>
  <c r="E11" i="1"/>
  <c r="BF46" i="4"/>
  <c r="G11" i="1"/>
  <c r="E12" i="1"/>
  <c r="G12" i="1"/>
  <c r="E4" i="1"/>
  <c r="E8" i="1"/>
  <c r="CK45" i="4"/>
  <c r="G9" i="1"/>
  <c r="BC51" i="4" l="1"/>
  <c r="AM51" i="4"/>
  <c r="AV51" i="4" s="1"/>
  <c r="AV47" i="4" l="1"/>
  <c r="AV48" i="4"/>
  <c r="E31" i="1"/>
  <c r="AV49" i="4" l="1"/>
  <c r="AA47" i="4"/>
  <c r="AA48" i="4"/>
  <c r="AM50" i="4" s="1"/>
  <c r="AA49" i="4" l="1"/>
  <c r="AA50" i="4"/>
  <c r="AV50" i="4" s="1"/>
  <c r="CN47" i="4" l="1"/>
  <c r="CN48" i="4"/>
  <c r="CK48" i="4"/>
  <c r="CK47" i="4"/>
  <c r="CN49" i="4" l="1"/>
  <c r="CK49" i="4"/>
  <c r="R48" i="4" l="1"/>
  <c r="R49" i="4" s="1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<sst xmlns="http://schemas.openxmlformats.org/spreadsheetml/2006/main" count="412" uniqueCount="203">
  <si>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</si>
  <si>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</si>
  <si>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</si>
  <si>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</si>
  <si>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</si>
  <si>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</si>
  <si>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</si>
  <si>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</si>
  <si>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</si>
  <si>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</si>
  <si>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</si>
  <si>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</si>
  <si>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</si>
  <si>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</si>
  <si>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</si>
  <si>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</si>
  <si>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</si>
  <si>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</si>
  <si>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</si>
  <si>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</si>
  <si>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</si>
  <si>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</si>
  <si>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</si>
  <si>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</si>
  <si>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</si>
  <si>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</si>
  <si>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</si>
  <si>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</si>
  <si>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</si>
  <si>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</si>
  <si>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</si>
  <si>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</si>
  <si>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</si>
  <si>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</si>
  <si>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</si>
  <si>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</si>
  <si>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</si>
  <si>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</si>
  <si>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</si>
  <si>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</si>
  <si>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</si>
  <si>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</si>
  <si>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</si>
  <si>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</si>
  <si>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</si>
  <si>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</si>
  <si>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</si>
  <si>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</si>
  <si>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</si>
  <si>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</si>
  <si>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</si>
  <si>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</si>
  <si>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</si>
  <si>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</si>
  <si>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</si>
  <si>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</si>
  <si>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</si>
  <si>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</si>
  <si>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</si>
  <si>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</si>
  <si>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</si>
  <si>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</si>
  <si>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</si>
  <si>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</si>
  <si>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</si>
  <si>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</si>
  <si>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</si>
  <si>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</si>
  <si>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</si>
  <si>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</si>
  <si>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</si>
  <si>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</si>
  <si>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</si>
  <si>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</si>
  <si>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</si>
  <si>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</si>
  <si>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</si>
  <si>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</si>
  <si>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Resort Water (m3)</t>
  </si>
  <si>
    <t>Tse Water (m3)</t>
  </si>
  <si>
    <t>Irrigation  (m3)</t>
  </si>
  <si>
    <t>Cooling Tower Water   (m3)</t>
  </si>
  <si>
    <t>Nusret Water meter Reading M³</t>
  </si>
  <si>
    <t>Provoceteur Meter Reading M³</t>
  </si>
  <si>
    <t>Scalini Meter Reading M³</t>
  </si>
  <si>
    <t>Irrigation</t>
  </si>
  <si>
    <t>MDB - Coya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</si>
  <si>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</si>
  <si>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</si>
  <si>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</si>
  <si>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</si>
  <si>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</si>
  <si>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</si>
  <si>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</si>
  <si>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</si>
  <si>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</si>
  <si>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Coya Lpg</t>
  </si>
  <si>
    <t>Nusret Lpg</t>
  </si>
  <si>
    <t>Provocateur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</si>
  <si>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</si>
  <si>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</si>
  <si>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</si>
  <si>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</si>
  <si>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</si>
  <si>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</si>
  <si>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</si>
  <si>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Electricity Daily Consumption January 2018</t>
  </si>
  <si>
    <t>Lpg Daily Consumption January 2018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</si>
  <si>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</si>
  <si>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</si>
  <si>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</si>
  <si>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</si>
  <si>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</si>
  <si>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</si>
  <si>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</si>
  <si>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</si>
  <si>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</si>
  <si>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</si>
  <si>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</si>
  <si>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</si>
  <si>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</si>
  <si>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</si>
  <si>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</si>
  <si>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</si>
  <si>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</si>
  <si>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</si>
  <si>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</si>
  <si>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</si>
  <si>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</si>
  <si>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</si>
  <si>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</si>
  <si>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</si>
  <si>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Potable Water Daily Consumption  January 2018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</si>
  <si>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</si>
  <si>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</si>
  <si>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</si>
  <si>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</si>
  <si>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</si>
  <si>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</si>
  <si>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</si>
  <si>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</si>
  <si>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</si>
  <si>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January  Reading 2017 two weeks</t>
  </si>
  <si>
    <t>January  Reading 2018 two weeks</t>
  </si>
  <si>
    <t>January  Reading 2017 Monthly</t>
  </si>
  <si>
    <t>January  Reading 2018 Monthly</t>
  </si>
  <si>
    <t>Total Monthly Electrical Kwh</t>
  </si>
  <si>
    <t>January  2017 Kwh</t>
  </si>
  <si>
    <t>January  2018 Kwh</t>
  </si>
  <si>
    <t>Saving Kwh</t>
  </si>
  <si>
    <t>January  2017 Kwh two weeks</t>
  </si>
  <si>
    <t>January  2018 Kwh two weeks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</si>
  <si>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</si>
  <si>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</si>
  <si>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</si>
  <si>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</si>
  <si>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</si>
  <si>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</si>
  <si>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</si>
  <si>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</si>
  <si>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</si>
  <si>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</si>
  <si>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</si>
  <si>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</si>
  <si>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</si>
  <si>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</si>
  <si>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</si>
  <si>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</si>
  <si>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</si>
  <si>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</si>
  <si>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</si>
  <si>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</si>
  <si>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</si>
  <si>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</si>
  <si>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</si>
  <si>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</si>
  <si>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</si>
  <si>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</si>
  <si>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</si>
  <si>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</si>
  <si>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</si>
  <si>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</si>
  <si>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</si>
  <si>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</si>
  <si>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</si>
  <si>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</si>
  <si>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</si>
  <si>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</si>
  <si>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</si>
  <si>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</si>
  <si>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Daily consumption M³ December-2017</t>
  </si>
  <si>
    <t xml:space="preserve"> Daily Water Consumption January 2020</t>
  </si>
  <si>
    <t>Electricity Daily Consumption January 2020</t>
  </si>
  <si>
    <t>Chiller BTU Meter Reading January 2020</t>
  </si>
  <si>
    <t>Lpg Daily Consumption January 2020</t>
  </si>
  <si>
    <t>F&amp; B Village Daily Water Meter Reading  2020</t>
  </si>
  <si>
    <t>F &amp; B Electrical Daily Reading January 2020</t>
  </si>
  <si>
    <t>F &amp; B Village Chilled Water Reading January 2020</t>
  </si>
  <si>
    <t>F &amp; B Village Daily Lpg Reading January 2020</t>
  </si>
  <si>
    <t>Verde Water Meter Reading</t>
  </si>
  <si>
    <t>Verde Lpg</t>
  </si>
  <si>
    <t>Verde Btu</t>
  </si>
  <si>
    <t>MDB Verde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</si>
</sst>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name val="Calibri"/>
      <family val="2"/>
      <scheme val="min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25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0" fontId="0" fillId="0" borderId="15" xfId="0" applyFont="1" applyFill="1" applyBorder="1" applyAlignment="1">
      <alignment horizontal="center" vertical="center" wrapText="1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9" fillId="0" borderId="30" xfId="0" applyNumberFormat="1" applyFont="1" applyBorder="1" applyAlignment="1">
      <alignment horizontal="center" vertical="center"/>
    </xf>
    <xf numFmtId="0" fontId="9" fillId="0" borderId="29" xfId="0" applyNumberFormat="1" applyFont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" fontId="38" fillId="0" borderId="0" xfId="0" applyNumberFormat="1" applyFont="1"/>
    <xf numFmtId="0" fontId="38" fillId="0" borderId="0" xfId="0" applyFont="1"/>
    <xf numFmtId="2" fontId="38" fillId="0" borderId="0" xfId="0" applyNumberFormat="1" applyFont="1"/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9" fillId="0" borderId="30" xfId="0" applyNumberFormat="1" applyFont="1" applyBorder="1" applyAlignment="1">
      <alignment horizontal="center" vertical="center"/>
    </xf>
    <xf numFmtId="168" fontId="39" fillId="0" borderId="29" xfId="0" applyNumberFormat="1" applyFont="1" applyBorder="1" applyAlignment="1">
      <alignment horizontal="center" vertical="center"/>
    </xf>
    <xf numFmtId="2" fontId="0" fillId="0" borderId="3" xfId="0" applyNumberFormat="1" applyFont="1" applyFill="1" applyBorder="1" applyAlignment="1">
      <alignment horizontal="center" vertical="center" wrapText="1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5" fontId="0" fillId="0" borderId="15" xfId="0" applyNumberFormat="1" applyFont="1" applyFill="1" applyBorder="1" applyAlignment="1">
      <alignment horizontal="center" vertical="center" wrapText="1"/>
    </xf>
    <xf numFmtId="15" fontId="6" fillId="0" borderId="3" xfId="0" applyNumberFormat="1" applyFont="1" applyFill="1" applyBorder="1" applyAlignment="1">
      <alignment horizontal="center" vertical="center" wrapText="1"/>
    </xf>
    <xf numFmtId="15" fontId="0" fillId="0" borderId="3" xfId="0" applyNumberFormat="1" applyFont="1" applyFill="1" applyBorder="1" applyAlignment="1">
      <alignment horizontal="center" vertical="center" wrapText="1"/>
    </xf>
    <xf numFmtId="15" fontId="0" fillId="0" borderId="29" xfId="0" applyNumberFormat="1" applyFont="1" applyFill="1" applyBorder="1" applyAlignment="1">
      <alignment horizontal="center" vertical="center" wrapText="1"/>
    </xf>
    <xf numFmtId="9" fontId="6" fillId="0" borderId="20" xfId="0" applyNumberFormat="1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66" fontId="48" fillId="6" borderId="4" xfId="0" applyNumberFormat="1" applyFont="1" applyFill="1" applyBorder="1" applyAlignment="1">
      <alignment horizontal="center" vertical="center" wrapText="1"/>
    </xf>
    <xf numFmtId="166" fontId="48" fillId="6" borderId="2" xfId="0" applyNumberFormat="1" applyFont="1" applyFill="1" applyBorder="1" applyAlignment="1">
      <alignment horizontal="center" vertical="center" wrapText="1"/>
    </xf>
    <xf numFmtId="0" fontId="17" fillId="5" borderId="3" xfId="0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3" xfId="0" applyNumberFormat="1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3" fillId="6" borderId="4" xfId="0" applyNumberFormat="1" applyFont="1" applyFill="1" applyBorder="1" applyAlignment="1">
      <alignment horizontal="center" vertical="center" wrapText="1"/>
    </xf>
    <xf numFmtId="49" fontId="43" fillId="6" borderId="2" xfId="0" applyNumberFormat="1" applyFont="1" applyFill="1" applyBorder="1" applyAlignment="1">
      <alignment horizontal="center" vertical="center" wrapText="1"/>
    </xf>
    <xf numFmtId="49" fontId="43" fillId="6" borderId="1" xfId="0" applyNumberFormat="1" applyFont="1" applyFill="1" applyBorder="1" applyAlignment="1">
      <alignment horizontal="center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49" fontId="45" fillId="6" borderId="4" xfId="0" applyNumberFormat="1" applyFont="1" applyFill="1" applyBorder="1" applyAlignment="1">
      <alignment horizontal="center" vertical="center"/>
    </xf>
    <xf numFmtId="49" fontId="45" fillId="6" borderId="2" xfId="0" applyNumberFormat="1" applyFont="1" applyFill="1" applyBorder="1" applyAlignment="1">
      <alignment horizontal="center" vertical="center"/>
    </xf>
    <xf numFmtId="49" fontId="45" fillId="6" borderId="1" xfId="0" applyNumberFormat="1" applyFont="1" applyFill="1" applyBorder="1" applyAlignment="1">
      <alignment horizontal="center" vertical="center"/>
    </xf>
    <xf numFmtId="3" fontId="47" fillId="6" borderId="4" xfId="0" applyNumberFormat="1" applyFont="1" applyFill="1" applyBorder="1" applyAlignment="1">
      <alignment horizontal="center" vertical="center"/>
    </xf>
    <xf numFmtId="3" fontId="47" fillId="6" borderId="2" xfId="0" applyNumberFormat="1" applyFont="1" applyFill="1" applyBorder="1" applyAlignment="1">
      <alignment horizontal="center" vertical="center"/>
    </xf>
    <xf numFmtId="3" fontId="47" fillId="6" borderId="1" xfId="0" applyNumberFormat="1" applyFont="1" applyFill="1" applyBorder="1" applyAlignment="1">
      <alignment horizontal="center" vertical="center"/>
    </xf>
    <xf numFmtId="167" fontId="42" fillId="6" borderId="4" xfId="0" applyNumberFormat="1" applyFont="1" applyFill="1" applyBorder="1" applyAlignment="1">
      <alignment horizontal="center" vertical="center"/>
    </xf>
    <xf numFmtId="167" fontId="42" fillId="6" borderId="2" xfId="0" applyNumberFormat="1" applyFont="1" applyFill="1" applyBorder="1" applyAlignment="1">
      <alignment horizontal="center" vertical="center"/>
    </xf>
    <xf numFmtId="167" fontId="42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4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166" fontId="42" fillId="6" borderId="4" xfId="0" applyNumberFormat="1" applyFont="1" applyFill="1" applyBorder="1" applyAlignment="1">
      <alignment horizontal="center" vertical="center"/>
    </xf>
    <xf numFmtId="166" fontId="42" fillId="6" borderId="1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12" fillId="6" borderId="3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49" fontId="8" fillId="6" borderId="2" xfId="0" applyNumberFormat="1" applyFont="1" applyFill="1" applyBorder="1" applyAlignment="1">
      <alignment horizontal="center"/>
    </xf>
    <xf numFmtId="166" fontId="41" fillId="5" borderId="3" xfId="0" applyNumberFormat="1" applyFont="1" applyFill="1" applyBorder="1" applyAlignment="1">
      <alignment horizontal="center" vertical="center"/>
    </xf>
    <xf numFmtId="0" fontId="41" fillId="5" borderId="3" xfId="0" applyFont="1" applyFill="1" applyBorder="1" applyAlignment="1">
      <alignment horizontal="center" vertical="center"/>
    </xf>
    <xf numFmtId="166" fontId="8" fillId="6" borderId="3" xfId="0" applyNumberFormat="1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7" fillId="2" borderId="17" xfId="0" applyFont="1" applyFill="1" applyBorder="1" applyAlignment="1">
      <alignment horizontal="center" vertical="center"/>
    </xf>
    <xf numFmtId="0" fontId="57" fillId="2" borderId="2" xfId="0" applyFont="1" applyFill="1" applyBorder="1" applyAlignment="1">
      <alignment horizontal="center" vertical="center"/>
    </xf>
    <xf numFmtId="0" fontId="57" fillId="2" borderId="3" xfId="0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174" fontId="15" fillId="0" borderId="49" xfId="0" applyNumberFormat="1" applyFont="1" applyFill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53" fillId="3" borderId="7" xfId="0" applyFont="1" applyFill="1" applyBorder="1" applyAlignment="1">
      <alignment horizontal="center" vertical="center"/>
    </xf>
    <xf numFmtId="0" fontId="55" fillId="9" borderId="45" xfId="0" applyFont="1" applyFill="1" applyBorder="1" applyAlignment="1">
      <alignment horizontal="center" vertical="center"/>
    </xf>
    <xf numFmtId="0" fontId="55" fillId="9" borderId="37" xfId="0" applyFont="1" applyFill="1" applyBorder="1" applyAlignment="1">
      <alignment horizontal="center" vertical="center"/>
    </xf>
    <xf numFmtId="0" fontId="55" fillId="9" borderId="46" xfId="0" applyFont="1" applyFill="1" applyBorder="1" applyAlignment="1">
      <alignment horizontal="center" vertical="center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53" fillId="3" borderId="26" xfId="0" applyFont="1" applyFill="1" applyBorder="1" applyAlignment="1">
      <alignment horizontal="center" vertical="center"/>
    </xf>
    <xf numFmtId="0" fontId="53" fillId="3" borderId="31" xfId="0" applyFont="1" applyFill="1" applyBorder="1" applyAlignment="1">
      <alignment horizontal="center" vertical="center"/>
    </xf>
    <xf numFmtId="0" fontId="53" fillId="3" borderId="26" xfId="0" applyFont="1" applyFill="1" applyBorder="1" applyAlignment="1">
      <alignment horizontal="center" vertical="center" wrapText="1"/>
    </xf>
    <xf numFmtId="0" fontId="53" fillId="3" borderId="7" xfId="0" applyFont="1" applyFill="1" applyBorder="1" applyAlignment="1">
      <alignment horizontal="center" vertical="center" wrapText="1"/>
    </xf>
    <xf numFmtId="0" fontId="56" fillId="18" borderId="26" xfId="0" applyFont="1" applyFill="1" applyBorder="1" applyAlignment="1">
      <alignment horizontal="center" vertical="center"/>
    </xf>
    <xf numFmtId="0" fontId="56" fillId="18" borderId="7" xfId="0" applyFont="1" applyFill="1" applyBorder="1" applyAlignment="1">
      <alignment horizontal="center" vertical="center"/>
    </xf>
    <xf numFmtId="0" fontId="56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0" fontId="53" fillId="3" borderId="31" xfId="0" applyFont="1" applyFill="1" applyBorder="1" applyAlignment="1">
      <alignment horizontal="center" vertical="center" wrapText="1"/>
    </xf>
    <xf numFmtId="0" fontId="14" fillId="0" borderId="3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0" fontId="53" fillId="3" borderId="45" xfId="0" applyFont="1" applyFill="1" applyBorder="1" applyAlignment="1">
      <alignment horizontal="center" vertical="center"/>
    </xf>
    <xf numFmtId="0" fontId="53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4" fillId="4" borderId="9" xfId="0" applyFont="1" applyFill="1" applyBorder="1" applyAlignment="1">
      <alignment horizontal="center" vertical="center"/>
    </xf>
    <xf numFmtId="0" fontId="54" fillId="4" borderId="17" xfId="0" applyFont="1" applyFill="1" applyBorder="1" applyAlignment="1">
      <alignment horizontal="center" vertical="center"/>
    </xf>
    <xf numFmtId="0" fontId="54" fillId="4" borderId="32" xfId="0" applyFont="1" applyFill="1" applyBorder="1" applyAlignment="1">
      <alignment horizontal="center" vertical="center"/>
    </xf>
    <xf numFmtId="0" fontId="53" fillId="3" borderId="16" xfId="0" applyFont="1" applyFill="1" applyBorder="1" applyAlignment="1">
      <alignment horizontal="center" vertical="center"/>
    </xf>
    <xf numFmtId="0" fontId="53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0" fontId="53" fillId="3" borderId="16" xfId="0" applyFont="1" applyFill="1" applyBorder="1" applyAlignment="1">
      <alignment horizontal="center" vertical="center" wrapText="1"/>
    </xf>
    <xf numFmtId="0" fontId="53" fillId="3" borderId="37" xfId="0" applyFont="1" applyFill="1" applyBorder="1" applyAlignment="1">
      <alignment horizontal="center" vertical="center" wrapText="1"/>
    </xf>
    <xf numFmtId="0" fontId="53" fillId="3" borderId="28" xfId="0" applyFont="1" applyFill="1" applyBorder="1" applyAlignment="1">
      <alignment horizontal="center" vertical="center" wrapText="1"/>
    </xf>
    <xf numFmtId="0" fontId="53" fillId="3" borderId="45" xfId="0" applyFont="1" applyFill="1" applyBorder="1" applyAlignment="1">
      <alignment horizontal="center" vertical="center" wrapText="1"/>
    </xf>
    <xf numFmtId="0" fontId="53" fillId="3" borderId="46" xfId="0" applyFont="1" applyFill="1" applyBorder="1" applyAlignment="1">
      <alignment horizontal="center" vertical="center" wrapText="1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51" fillId="14" borderId="3" xfId="0" applyFont="1" applyFill="1" applyBorder="1" applyAlignment="1">
      <alignment horizontal="center"/>
    </xf>
    <xf numFmtId="0" fontId="51" fillId="14" borderId="13" xfId="0" applyFont="1" applyFill="1" applyBorder="1" applyAlignment="1">
      <alignment horizontal="center"/>
    </xf>
    <xf numFmtId="0" fontId="52" fillId="15" borderId="45" xfId="0" applyFont="1" applyFill="1" applyBorder="1" applyAlignment="1">
      <alignment horizontal="center" vertical="center"/>
    </xf>
    <xf numFmtId="0" fontId="52" fillId="15" borderId="37" xfId="0" applyFont="1" applyFill="1" applyBorder="1" applyAlignment="1">
      <alignment horizontal="center" vertical="center"/>
    </xf>
    <xf numFmtId="0" fontId="52" fillId="15" borderId="46" xfId="0" applyFont="1" applyFill="1" applyBorder="1" applyAlignment="1">
      <alignment horizontal="center" vertical="center"/>
    </xf>
    <xf numFmtId="0" fontId="52" fillId="16" borderId="45" xfId="0" applyFont="1" applyFill="1" applyBorder="1" applyAlignment="1">
      <alignment horizontal="center" vertical="center"/>
    </xf>
    <xf numFmtId="0" fontId="52" fillId="16" borderId="37" xfId="0" applyFont="1" applyFill="1" applyBorder="1" applyAlignment="1">
      <alignment horizontal="center" vertical="center"/>
    </xf>
    <xf numFmtId="0" fontId="52" fillId="16" borderId="46" xfId="0" applyFont="1" applyFill="1" applyBorder="1" applyAlignment="1">
      <alignment horizontal="center" vertical="center"/>
    </xf>
    <xf numFmtId="0" fontId="52" fillId="17" borderId="26" xfId="0" applyFont="1" applyFill="1" applyBorder="1" applyAlignment="1">
      <alignment horizontal="center" vertical="center"/>
    </xf>
    <xf numFmtId="0" fontId="52" fillId="17" borderId="7" xfId="0" applyFont="1" applyFill="1" applyBorder="1" applyAlignment="1">
      <alignment horizontal="center" vertical="center"/>
    </xf>
    <xf numFmtId="0" fontId="52" fillId="17" borderId="16" xfId="0" applyFont="1" applyFill="1" applyBorder="1" applyAlignment="1">
      <alignment horizontal="center" vertical="center"/>
    </xf>
    <xf numFmtId="0" fontId="50" fillId="7" borderId="47" xfId="0" applyFont="1" applyFill="1" applyBorder="1" applyAlignment="1">
      <alignment horizontal="center" vertical="center"/>
    </xf>
    <xf numFmtId="0" fontId="50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2" fillId="9" borderId="37" xfId="0" applyFont="1" applyFill="1" applyBorder="1" applyAlignment="1">
      <alignment horizontal="center" vertical="center"/>
    </xf>
    <xf numFmtId="0" fontId="52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0" fontId="50" fillId="3" borderId="38" xfId="0" applyFont="1" applyFill="1" applyBorder="1" applyAlignment="1">
      <alignment horizontal="center" vertical="center"/>
    </xf>
    <xf numFmtId="0" fontId="50" fillId="3" borderId="39" xfId="0" applyFont="1" applyFill="1" applyBorder="1" applyAlignment="1">
      <alignment horizontal="center" vertical="center"/>
    </xf>
    <xf numFmtId="0" fontId="50" fillId="3" borderId="40" xfId="0" applyFont="1" applyFill="1" applyBorder="1" applyAlignment="1">
      <alignment horizontal="center" vertical="center"/>
    </xf>
    <xf numFmtId="0" fontId="50" fillId="2" borderId="13" xfId="0" applyFont="1" applyFill="1" applyBorder="1" applyAlignment="1">
      <alignment horizontal="center" vertical="center"/>
    </xf>
    <xf numFmtId="0" fontId="50" fillId="2" borderId="11" xfId="0" applyFont="1" applyFill="1" applyBorder="1" applyAlignment="1">
      <alignment horizontal="center" vertical="center"/>
    </xf>
    <xf numFmtId="0" fontId="50" fillId="2" borderId="29" xfId="0" applyFont="1" applyFill="1" applyBorder="1" applyAlignment="1">
      <alignment horizontal="center" vertical="center"/>
    </xf>
    <xf numFmtId="167" fontId="42" fillId="3" borderId="39" xfId="0" applyNumberFormat="1" applyFont="1" applyFill="1" applyBorder="1" applyAlignment="1">
      <alignment horizontal="center" vertical="center"/>
    </xf>
    <xf numFmtId="167" fontId="42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49" fontId="49" fillId="11" borderId="3" xfId="0" applyNumberFormat="1" applyFont="1" applyFill="1" applyBorder="1" applyAlignment="1">
      <alignment horizontal="left" vertical="center" wrapText="1"/>
    </xf>
    <xf numFmtId="166" fontId="45" fillId="6" borderId="4" xfId="0" applyNumberFormat="1" applyFont="1" applyFill="1" applyBorder="1" applyAlignment="1">
      <alignment horizontal="center" vertical="center"/>
    </xf>
    <xf numFmtId="166" fontId="45" fillId="6" borderId="2" xfId="0" applyNumberFormat="1" applyFont="1" applyFill="1" applyBorder="1" applyAlignment="1">
      <alignment horizontal="center" vertical="center"/>
    </xf>
    <xf numFmtId="166" fontId="45" fillId="6" borderId="1" xfId="0" applyNumberFormat="1" applyFont="1" applyFill="1" applyBorder="1" applyAlignment="1">
      <alignment horizontal="center" vertical="center"/>
    </xf>
    <xf numFmtId="166" fontId="45" fillId="6" borderId="3" xfId="0" applyNumberFormat="1" applyFont="1" applyFill="1" applyBorder="1" applyAlignment="1">
      <alignment horizontal="center" vertical="center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0" fontId="20" fillId="4" borderId="3" xfId="0" applyFont="1" applyFill="1" applyBorder="1" applyAlignment="1">
      <alignment horizontal="center" vertical="center" wrapText="1"/>
    </xf>
    <xf numFmtId="166" fontId="45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166" fontId="48" fillId="6" borderId="1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3" fillId="12" borderId="4" xfId="0" applyNumberFormat="1" applyFont="1" applyFill="1" applyBorder="1" applyAlignment="1">
      <alignment horizontal="center" vertical="center" wrapText="1"/>
    </xf>
    <xf numFmtId="49" fontId="43" fillId="12" borderId="2" xfId="0" applyNumberFormat="1" applyFont="1" applyFill="1" applyBorder="1" applyAlignment="1">
      <alignment horizontal="center" vertical="center" wrapText="1"/>
    </xf>
    <xf numFmtId="49" fontId="43" fillId="12" borderId="1" xfId="0" applyNumberFormat="1" applyFont="1" applyFill="1" applyBorder="1" applyAlignment="1">
      <alignment horizontal="center" vertical="center" wrapText="1"/>
    </xf>
    <xf numFmtId="49" fontId="45" fillId="12" borderId="4" xfId="0" applyNumberFormat="1" applyFont="1" applyFill="1" applyBorder="1" applyAlignment="1">
      <alignment horizontal="center" vertical="center"/>
    </xf>
    <xf numFmtId="49" fontId="45" fillId="12" borderId="2" xfId="0" applyNumberFormat="1" applyFont="1" applyFill="1" applyBorder="1" applyAlignment="1">
      <alignment horizontal="center" vertical="center"/>
    </xf>
    <xf numFmtId="49" fontId="45" fillId="12" borderId="1" xfId="0" applyNumberFormat="1" applyFont="1" applyFill="1" applyBorder="1" applyAlignment="1">
      <alignment horizontal="center" vertical="center"/>
    </xf>
    <xf numFmtId="167" fontId="46" fillId="13" borderId="3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41" fillId="0" borderId="0" xfId="0" applyFont="1" applyFill="1" applyBorder="1" applyAlignment="1">
      <alignment horizontal="center" vertical="center" wrapText="1"/>
    </xf>
    <xf numFmtId="0" fontId="58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Daily%20utility%20reading%20Consumption/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June - 2020"/>
      <sheetName val="July - 2020"/>
      <sheetName val="August - 2020"/>
      <sheetName val="September - 2020"/>
      <sheetName val="October - 2020"/>
      <sheetName val="November - 2020"/>
      <sheetName val="December - 2020"/>
      <sheetName val="January - 2021"/>
      <sheetName val="February - 2021"/>
      <sheetName val="March - 2021"/>
      <sheetName val="April - 2021"/>
      <sheetName val="May - 2021"/>
      <sheetName val="June - 2021"/>
      <sheetName val="July - 2021"/>
      <sheetName val="August - 2021"/>
      <sheetName val="September - 2021"/>
      <sheetName val="October - 2021"/>
      <sheetName val="November - 2021"/>
      <sheetName val="December - 2021"/>
      <sheetName val="Comparision summary 2016-17"/>
      <sheetName val="Pool - Feb-18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>
        <row r="9">
          <cell r="B9">
            <v>0.81</v>
          </cell>
          <cell r="E9">
            <v>758494</v>
          </cell>
          <cell r="G9">
            <v>306</v>
          </cell>
          <cell r="H9">
            <v>12424</v>
          </cell>
          <cell r="J9">
            <v>188</v>
          </cell>
          <cell r="K9">
            <v>130486</v>
          </cell>
          <cell r="N9">
            <v>744395</v>
          </cell>
          <cell r="Q9">
            <v>164186</v>
          </cell>
          <cell r="S9">
            <v>3809.06</v>
          </cell>
          <cell r="U9">
            <v>97</v>
          </cell>
          <cell r="V9">
            <v>2054</v>
          </cell>
          <cell r="AC9">
            <v>6516738.4799999995</v>
          </cell>
          <cell r="AD9">
            <v>2825.7600000007078</v>
          </cell>
          <cell r="AF9">
            <v>12720840.719999999</v>
          </cell>
          <cell r="AG9">
            <v>4872</v>
          </cell>
          <cell r="AI9">
            <v>11999687.280000001</v>
          </cell>
          <cell r="AJ9">
            <v>11546.639999998733</v>
          </cell>
          <cell r="AL9">
            <v>15145342.799999999</v>
          </cell>
          <cell r="AM9">
            <v>1169.2800000011921</v>
          </cell>
          <cell r="AO9">
            <v>15483069.84</v>
          </cell>
          <cell r="AP9">
            <v>5407.9199999999255</v>
          </cell>
          <cell r="AR9">
            <v>14262536.4</v>
          </cell>
          <cell r="AS9">
            <v>5602.7999999988824</v>
          </cell>
          <cell r="AU9">
            <v>12183459.119999999</v>
          </cell>
          <cell r="AV9">
            <v>4579.679999999702</v>
          </cell>
          <cell r="AX9">
            <v>11763297.84</v>
          </cell>
          <cell r="AY9">
            <v>4433.519999999553</v>
          </cell>
          <cell r="BA9">
            <v>9399306</v>
          </cell>
          <cell r="BB9">
            <v>2971.9199999999255</v>
          </cell>
          <cell r="BD9">
            <v>14322315.84</v>
          </cell>
          <cell r="BE9">
            <v>5651.519999999553</v>
          </cell>
          <cell r="BK9">
            <v>59875200</v>
          </cell>
          <cell r="BL9">
            <v>52700</v>
          </cell>
          <cell r="BN9">
            <v>63081500</v>
          </cell>
          <cell r="BO9">
            <v>0</v>
          </cell>
          <cell r="BQ9">
            <v>57754600</v>
          </cell>
          <cell r="BR9">
            <v>31700</v>
          </cell>
          <cell r="BT9">
            <v>6233240</v>
          </cell>
          <cell r="BW9">
            <v>0.8</v>
          </cell>
          <cell r="BX9">
            <v>5.0000000000000044E-2</v>
          </cell>
          <cell r="BZ9">
            <v>53107</v>
          </cell>
          <cell r="CB9">
            <v>44827</v>
          </cell>
          <cell r="CD9">
            <v>15534</v>
          </cell>
          <cell r="CF9">
            <v>19791</v>
          </cell>
          <cell r="CH9">
            <v>21496</v>
          </cell>
          <cell r="CJ9">
            <v>48902</v>
          </cell>
          <cell r="CL9">
            <v>212932</v>
          </cell>
          <cell r="CM9">
            <v>102</v>
          </cell>
          <cell r="CO9">
            <v>161549</v>
          </cell>
          <cell r="CP9">
            <v>94</v>
          </cell>
          <cell r="CR9">
            <v>308195</v>
          </cell>
          <cell r="CS9">
            <v>0</v>
          </cell>
          <cell r="CU9">
            <v>567912</v>
          </cell>
          <cell r="CX9">
            <v>4878</v>
          </cell>
          <cell r="CZ9">
            <v>2513</v>
          </cell>
          <cell r="DB9">
            <v>23907.9</v>
          </cell>
          <cell r="DD9">
            <v>24428.799999999999</v>
          </cell>
          <cell r="DF9">
            <v>17060.7</v>
          </cell>
          <cell r="DH9">
            <v>20031.400000000001</v>
          </cell>
          <cell r="DJ9">
            <v>1427</v>
          </cell>
          <cell r="DL9">
            <v>4243</v>
          </cell>
          <cell r="DN9">
            <v>875</v>
          </cell>
          <cell r="DP9">
            <v>2245</v>
          </cell>
          <cell r="DR9">
            <v>24475</v>
          </cell>
          <cell r="DU9">
            <v>1042.3</v>
          </cell>
          <cell r="DW9">
            <v>6470</v>
          </cell>
          <cell r="DY9">
            <v>809.7</v>
          </cell>
          <cell r="EA9">
            <v>357.5</v>
          </cell>
          <cell r="EC9">
            <v>704924</v>
          </cell>
          <cell r="EG9">
            <v>141920</v>
          </cell>
          <cell r="EJ9">
            <v>8936900</v>
          </cell>
          <cell r="EL9">
            <v>737080</v>
          </cell>
          <cell r="EN9">
            <v>5742700</v>
          </cell>
          <cell r="EP9">
            <v>2027100</v>
          </cell>
          <cell r="ER9">
            <v>793700</v>
          </cell>
          <cell r="ET9">
            <v>12594400</v>
          </cell>
          <cell r="EW9">
            <v>34284</v>
          </cell>
          <cell r="EY9">
            <v>29659</v>
          </cell>
          <cell r="FA9">
            <v>652</v>
          </cell>
          <cell r="FC9">
            <v>50507</v>
          </cell>
          <cell r="FE9">
            <v>31095</v>
          </cell>
        </row>
        <row r="10">
          <cell r="B10">
            <v>0.81</v>
          </cell>
          <cell r="E10">
            <v>759055</v>
          </cell>
          <cell r="H10">
            <v>12805</v>
          </cell>
          <cell r="K10">
            <v>130678</v>
          </cell>
          <cell r="N10">
            <v>744750</v>
          </cell>
          <cell r="Q10">
            <v>164186</v>
          </cell>
          <cell r="S10">
            <v>3952.18</v>
          </cell>
          <cell r="V10">
            <v>2090</v>
          </cell>
          <cell r="AC10">
            <v>6519564.2400000002</v>
          </cell>
          <cell r="AF10">
            <v>12725712.719999999</v>
          </cell>
          <cell r="AI10">
            <v>12011233.92</v>
          </cell>
          <cell r="AL10">
            <v>15146512.08</v>
          </cell>
          <cell r="AO10">
            <v>15488477.76</v>
          </cell>
          <cell r="AR10">
            <v>14268139.199999999</v>
          </cell>
          <cell r="AU10">
            <v>12188038.799999999</v>
          </cell>
          <cell r="AX10">
            <v>11767731.359999999</v>
          </cell>
          <cell r="BA10">
            <v>9402277.9199999999</v>
          </cell>
          <cell r="BD10">
            <v>14327967.359999999</v>
          </cell>
          <cell r="BK10">
            <v>59927900</v>
          </cell>
          <cell r="BN10">
            <v>63081500</v>
          </cell>
          <cell r="BQ10">
            <v>57786300</v>
          </cell>
          <cell r="BT10">
            <v>6239990</v>
          </cell>
          <cell r="BW10">
            <v>0.75</v>
          </cell>
          <cell r="BX10"/>
          <cell r="BZ10">
            <v>53124</v>
          </cell>
          <cell r="CB10">
            <v>44839</v>
          </cell>
          <cell r="CD10">
            <v>15541</v>
          </cell>
          <cell r="CF10">
            <v>19801</v>
          </cell>
          <cell r="CH10">
            <v>21506</v>
          </cell>
          <cell r="CJ10">
            <v>48933</v>
          </cell>
          <cell r="CL10">
            <v>213034</v>
          </cell>
          <cell r="CO10">
            <v>161643</v>
          </cell>
          <cell r="CR10">
            <v>308195</v>
          </cell>
          <cell r="CU10">
            <v>568185</v>
          </cell>
          <cell r="CX10">
            <v>4883</v>
          </cell>
          <cell r="CZ10">
            <v>2517</v>
          </cell>
          <cell r="DB10">
            <v>23921.1</v>
          </cell>
          <cell r="DD10">
            <v>24437.7</v>
          </cell>
          <cell r="DF10">
            <v>17067.099999999999</v>
          </cell>
          <cell r="DH10">
            <v>20037.900000000001</v>
          </cell>
          <cell r="DJ10">
            <v>1432</v>
          </cell>
          <cell r="DL10">
            <v>4256</v>
          </cell>
          <cell r="DN10">
            <v>878</v>
          </cell>
          <cell r="DP10">
            <v>2251</v>
          </cell>
          <cell r="DR10">
            <v>24492</v>
          </cell>
          <cell r="DU10">
            <v>1050.2</v>
          </cell>
          <cell r="DW10">
            <v>6475.1</v>
          </cell>
          <cell r="DY10">
            <v>814.6</v>
          </cell>
          <cell r="EA10">
            <v>362.1</v>
          </cell>
          <cell r="EC10">
            <v>705674</v>
          </cell>
          <cell r="EG10">
            <v>142080</v>
          </cell>
          <cell r="EJ10">
            <v>8940100</v>
          </cell>
          <cell r="EL10">
            <v>737480</v>
          </cell>
          <cell r="EN10">
            <v>5745500</v>
          </cell>
          <cell r="EP10">
            <v>2027900</v>
          </cell>
          <cell r="ER10">
            <v>794700</v>
          </cell>
          <cell r="ET10">
            <v>12600300</v>
          </cell>
          <cell r="EW10">
            <v>34299</v>
          </cell>
          <cell r="EY10">
            <v>29669</v>
          </cell>
          <cell r="FA10">
            <v>663</v>
          </cell>
          <cell r="FC10">
            <v>50519</v>
          </cell>
          <cell r="FE10">
            <v>31124</v>
          </cell>
        </row>
        <row r="11">
          <cell r="B11">
            <v>0.85</v>
          </cell>
          <cell r="E11">
            <v>759737</v>
          </cell>
          <cell r="F11">
            <v>682</v>
          </cell>
          <cell r="G11">
            <v>295</v>
          </cell>
          <cell r="H11">
            <v>13233</v>
          </cell>
          <cell r="I11">
            <v>428</v>
          </cell>
          <cell r="J11">
            <v>195</v>
          </cell>
          <cell r="K11">
            <v>131241</v>
          </cell>
          <cell r="L11">
            <v>563</v>
          </cell>
          <cell r="N11">
            <v>745198</v>
          </cell>
          <cell r="O11">
            <v>448</v>
          </cell>
          <cell r="Q11">
            <v>164232</v>
          </cell>
          <cell r="R11">
            <v>46</v>
          </cell>
          <cell r="S11">
            <v>4092.88</v>
          </cell>
          <cell r="T11">
            <v>140.70000000000027</v>
          </cell>
          <cell r="U11">
            <v>92</v>
          </cell>
          <cell r="V11">
            <v>2125</v>
          </cell>
          <cell r="W11">
            <v>35</v>
          </cell>
          <cell r="AC11">
            <v>6521659.2000000002</v>
          </cell>
          <cell r="AD11">
            <v>2094.9599999999627</v>
          </cell>
          <cell r="AF11">
            <v>12730584.719999999</v>
          </cell>
          <cell r="AG11">
            <v>4872</v>
          </cell>
          <cell r="AI11">
            <v>12023413.92</v>
          </cell>
          <cell r="AJ11">
            <v>12180</v>
          </cell>
          <cell r="AL11">
            <v>15148119.84</v>
          </cell>
          <cell r="AM11">
            <v>1607.7599999997765</v>
          </cell>
          <cell r="AO11">
            <v>15494129.280000001</v>
          </cell>
          <cell r="AP11">
            <v>5651.5200000014156</v>
          </cell>
          <cell r="AR11">
            <v>14273595.84</v>
          </cell>
          <cell r="AS11">
            <v>5456.640000000596</v>
          </cell>
          <cell r="AU11">
            <v>12192667.199999999</v>
          </cell>
          <cell r="AV11">
            <v>4628.4000000003725</v>
          </cell>
          <cell r="AX11">
            <v>11772067.439999999</v>
          </cell>
          <cell r="AY11">
            <v>4336.0800000000745</v>
          </cell>
          <cell r="BA11">
            <v>9405249.8399999999</v>
          </cell>
          <cell r="BB11">
            <v>2971.9199999999255</v>
          </cell>
          <cell r="BD11">
            <v>14333472.719999999</v>
          </cell>
          <cell r="BE11">
            <v>5505.359999999404</v>
          </cell>
          <cell r="BK11">
            <v>59985100</v>
          </cell>
          <cell r="BL11">
            <v>57200</v>
          </cell>
          <cell r="BN11">
            <v>63083400</v>
          </cell>
          <cell r="BO11">
            <v>1900</v>
          </cell>
          <cell r="BQ11">
            <v>57814100</v>
          </cell>
          <cell r="BR11">
            <v>27800</v>
          </cell>
          <cell r="BT11">
            <v>6247150</v>
          </cell>
          <cell r="BU11">
            <v>7160</v>
          </cell>
          <cell r="BW11">
            <v>0.8</v>
          </cell>
          <cell r="BX11">
            <v>-5.0000000000000044E-2</v>
          </cell>
          <cell r="BZ11">
            <v>53143</v>
          </cell>
          <cell r="CA11">
            <v>19</v>
          </cell>
          <cell r="CB11">
            <v>44856</v>
          </cell>
          <cell r="CC11">
            <v>17</v>
          </cell>
          <cell r="CD11">
            <v>15545</v>
          </cell>
          <cell r="CE11">
            <v>4</v>
          </cell>
          <cell r="CF11">
            <v>19811</v>
          </cell>
          <cell r="CG11">
            <v>10</v>
          </cell>
          <cell r="CH11">
            <v>21518</v>
          </cell>
          <cell r="CI11">
            <v>12</v>
          </cell>
          <cell r="CJ11">
            <v>48964</v>
          </cell>
          <cell r="CK11">
            <v>31</v>
          </cell>
          <cell r="CL11">
            <v>213144</v>
          </cell>
          <cell r="CM11">
            <v>110</v>
          </cell>
          <cell r="CO11">
            <v>161750</v>
          </cell>
          <cell r="CP11">
            <v>107</v>
          </cell>
          <cell r="CS11">
            <v>0</v>
          </cell>
          <cell r="CU11">
            <v>568488</v>
          </cell>
          <cell r="CV11">
            <v>303</v>
          </cell>
          <cell r="CX11">
            <v>4892</v>
          </cell>
          <cell r="CY11">
            <v>9</v>
          </cell>
          <cell r="CZ11">
            <v>2520</v>
          </cell>
          <cell r="DA11">
            <v>0</v>
          </cell>
          <cell r="DB11">
            <v>23932.9</v>
          </cell>
          <cell r="DC11">
            <v>11.80000000000291</v>
          </cell>
          <cell r="DD11">
            <v>24444.6</v>
          </cell>
          <cell r="DE11">
            <v>6.8999999999978172</v>
          </cell>
          <cell r="DF11">
            <v>17075</v>
          </cell>
          <cell r="DG11">
            <v>7.9000000000014552</v>
          </cell>
          <cell r="DH11">
            <v>20045</v>
          </cell>
          <cell r="DI11">
            <v>7.0999999999985448</v>
          </cell>
          <cell r="DJ11">
            <v>1438</v>
          </cell>
          <cell r="DK11">
            <v>6</v>
          </cell>
          <cell r="DL11">
            <v>4270</v>
          </cell>
          <cell r="DM11">
            <v>14</v>
          </cell>
          <cell r="DN11">
            <v>879</v>
          </cell>
          <cell r="DO11">
            <v>1</v>
          </cell>
          <cell r="DP11">
            <v>2258</v>
          </cell>
          <cell r="DQ11">
            <v>7</v>
          </cell>
          <cell r="DR11">
            <v>24511</v>
          </cell>
          <cell r="DS11">
            <v>19</v>
          </cell>
          <cell r="DU11">
            <v>1058.0999999999999</v>
          </cell>
          <cell r="DV11">
            <v>7.8999999999998636</v>
          </cell>
          <cell r="DW11">
            <v>6480.2</v>
          </cell>
          <cell r="DX11">
            <v>5.0999999999994543</v>
          </cell>
          <cell r="DY11">
            <v>820</v>
          </cell>
          <cell r="DZ11">
            <v>5.3999999999999773</v>
          </cell>
          <cell r="EA11">
            <v>366.6</v>
          </cell>
          <cell r="EB11">
            <v>4.5</v>
          </cell>
          <cell r="EC11">
            <v>706455</v>
          </cell>
          <cell r="ED11">
            <v>781</v>
          </cell>
          <cell r="EG11">
            <v>142241.4</v>
          </cell>
          <cell r="EH11">
            <v>161.39999999999418</v>
          </cell>
          <cell r="EJ11">
            <v>8943400</v>
          </cell>
          <cell r="EK11">
            <v>3300</v>
          </cell>
          <cell r="EL11">
            <v>737850</v>
          </cell>
          <cell r="EM11">
            <v>370</v>
          </cell>
          <cell r="EN11">
            <v>5748300</v>
          </cell>
          <cell r="EO11">
            <v>2800</v>
          </cell>
          <cell r="EP11">
            <v>2028700</v>
          </cell>
          <cell r="EQ11">
            <v>800</v>
          </cell>
          <cell r="ER11">
            <v>795740</v>
          </cell>
          <cell r="ES11">
            <v>1040</v>
          </cell>
          <cell r="ET11">
            <v>12606200</v>
          </cell>
          <cell r="EU11">
            <v>5900</v>
          </cell>
          <cell r="EW11">
            <v>34312</v>
          </cell>
          <cell r="EX11">
            <v>13</v>
          </cell>
          <cell r="EY11">
            <v>29679</v>
          </cell>
          <cell r="EZ11">
            <v>10</v>
          </cell>
          <cell r="FA11">
            <v>674</v>
          </cell>
          <cell r="FB11">
            <v>11</v>
          </cell>
          <cell r="FC11">
            <v>50534</v>
          </cell>
          <cell r="FD11">
            <v>15</v>
          </cell>
          <cell r="FE11">
            <v>31156</v>
          </cell>
          <cell r="FF11">
            <v>32</v>
          </cell>
        </row>
        <row r="12">
          <cell r="B12">
            <v>0.89</v>
          </cell>
          <cell r="E12">
            <v>760309</v>
          </cell>
          <cell r="F12">
            <v>572</v>
          </cell>
          <cell r="G12">
            <v>302</v>
          </cell>
          <cell r="H12">
            <v>13605</v>
          </cell>
          <cell r="I12">
            <v>372</v>
          </cell>
          <cell r="J12">
            <v>169</v>
          </cell>
          <cell r="K12">
            <v>131580</v>
          </cell>
          <cell r="L12">
            <v>339</v>
          </cell>
          <cell r="N12">
            <v>745463</v>
          </cell>
          <cell r="O12">
            <v>265</v>
          </cell>
          <cell r="Q12">
            <v>164232</v>
          </cell>
          <cell r="R12">
            <v>0</v>
          </cell>
          <cell r="S12">
            <v>4238.91</v>
          </cell>
          <cell r="T12">
            <v>146.02999999999975</v>
          </cell>
          <cell r="U12">
            <v>98</v>
          </cell>
          <cell r="V12">
            <v>2139</v>
          </cell>
          <cell r="W12">
            <v>14</v>
          </cell>
          <cell r="AC12">
            <v>6523364.3999999994</v>
          </cell>
          <cell r="AD12">
            <v>1705.1999999992549</v>
          </cell>
          <cell r="AF12">
            <v>12734920.799999999</v>
          </cell>
          <cell r="AG12">
            <v>4336.0800000000745</v>
          </cell>
          <cell r="AI12">
            <v>12033109.199999999</v>
          </cell>
          <cell r="AJ12">
            <v>9695.2799999993294</v>
          </cell>
          <cell r="AL12">
            <v>15149094.24</v>
          </cell>
          <cell r="AM12">
            <v>974.40000000037253</v>
          </cell>
          <cell r="AO12">
            <v>15499050</v>
          </cell>
          <cell r="AP12">
            <v>4920.7199999988079</v>
          </cell>
          <cell r="AR12">
            <v>14278516.559999999</v>
          </cell>
          <cell r="AS12">
            <v>4920.7199999988079</v>
          </cell>
          <cell r="AU12">
            <v>12196857.119999999</v>
          </cell>
          <cell r="AV12">
            <v>4189.9199999999255</v>
          </cell>
          <cell r="AX12">
            <v>11775965.040000001</v>
          </cell>
          <cell r="AY12">
            <v>3897.6000000014901</v>
          </cell>
          <cell r="BA12">
            <v>9404116.0999999996</v>
          </cell>
          <cell r="BB12">
            <v>-1133.7400000002235</v>
          </cell>
          <cell r="BD12">
            <v>14338296</v>
          </cell>
          <cell r="BE12">
            <v>4823.2800000011921</v>
          </cell>
          <cell r="BK12">
            <v>60038800</v>
          </cell>
          <cell r="BL12">
            <v>53700</v>
          </cell>
          <cell r="BN12">
            <v>63083400</v>
          </cell>
          <cell r="BO12">
            <v>0</v>
          </cell>
          <cell r="BQ12">
            <v>57837700</v>
          </cell>
          <cell r="BR12">
            <v>23600</v>
          </cell>
          <cell r="BT12">
            <v>6254180</v>
          </cell>
          <cell r="BU12">
            <v>7030</v>
          </cell>
          <cell r="BW12">
            <v>0.75</v>
          </cell>
          <cell r="BX12">
            <v>5.0000000000000044E-2</v>
          </cell>
          <cell r="BZ12">
            <v>53161</v>
          </cell>
          <cell r="CA12">
            <v>18</v>
          </cell>
          <cell r="CB12">
            <v>44868</v>
          </cell>
          <cell r="CC12">
            <v>12</v>
          </cell>
          <cell r="CD12">
            <v>15551</v>
          </cell>
          <cell r="CE12">
            <v>6</v>
          </cell>
          <cell r="CF12">
            <v>19822</v>
          </cell>
          <cell r="CG12">
            <v>11</v>
          </cell>
          <cell r="CH12">
            <v>21528</v>
          </cell>
          <cell r="CI12">
            <v>10</v>
          </cell>
          <cell r="CJ12">
            <v>48990</v>
          </cell>
          <cell r="CK12">
            <v>26</v>
          </cell>
          <cell r="CL12">
            <v>213239.92</v>
          </cell>
          <cell r="CM12">
            <v>95.920000000012806</v>
          </cell>
          <cell r="CO12">
            <v>161841</v>
          </cell>
          <cell r="CP12">
            <v>91</v>
          </cell>
          <cell r="CR12">
            <v>308195</v>
          </cell>
          <cell r="CS12">
            <v>0</v>
          </cell>
          <cell r="CU12">
            <v>568751</v>
          </cell>
          <cell r="CV12">
            <v>263</v>
          </cell>
          <cell r="CX12">
            <v>4892</v>
          </cell>
          <cell r="CY12">
            <v>0</v>
          </cell>
          <cell r="CZ12">
            <v>2521</v>
          </cell>
          <cell r="DA12">
            <v>1</v>
          </cell>
          <cell r="DB12">
            <v>23945.9</v>
          </cell>
          <cell r="DC12">
            <v>13</v>
          </cell>
          <cell r="DD12">
            <v>24451.9</v>
          </cell>
          <cell r="DE12">
            <v>7.3000000000029104</v>
          </cell>
          <cell r="DF12">
            <v>17081.599999999999</v>
          </cell>
          <cell r="DG12">
            <v>6.5999999999985448</v>
          </cell>
          <cell r="DH12">
            <v>20052.400000000001</v>
          </cell>
          <cell r="DI12">
            <v>7.4000000000014552</v>
          </cell>
          <cell r="DJ12">
            <v>1443</v>
          </cell>
          <cell r="DK12">
            <v>5</v>
          </cell>
          <cell r="DL12">
            <v>4284</v>
          </cell>
          <cell r="DM12">
            <v>14</v>
          </cell>
          <cell r="DN12">
            <v>879</v>
          </cell>
          <cell r="DO12">
            <v>0</v>
          </cell>
          <cell r="DP12">
            <v>2264</v>
          </cell>
          <cell r="DQ12">
            <v>6</v>
          </cell>
          <cell r="DR12">
            <v>24526</v>
          </cell>
          <cell r="DS12">
            <v>15</v>
          </cell>
          <cell r="DU12">
            <v>1066</v>
          </cell>
          <cell r="DV12">
            <v>7.9000000000000909</v>
          </cell>
          <cell r="DW12">
            <v>6484.8</v>
          </cell>
          <cell r="DX12">
            <v>4.6000000000003638</v>
          </cell>
          <cell r="DY12">
            <v>825.1</v>
          </cell>
          <cell r="DZ12">
            <v>5.1000000000000227</v>
          </cell>
          <cell r="EA12">
            <v>371.1</v>
          </cell>
          <cell r="EB12">
            <v>4.5</v>
          </cell>
          <cell r="EC12">
            <v>707207</v>
          </cell>
          <cell r="ED12">
            <v>752</v>
          </cell>
          <cell r="EG12">
            <v>142401.20000000001</v>
          </cell>
          <cell r="EH12">
            <v>159.80000000001746</v>
          </cell>
          <cell r="EJ12">
            <v>8946200</v>
          </cell>
          <cell r="EK12">
            <v>2800</v>
          </cell>
          <cell r="EL12">
            <v>738170</v>
          </cell>
          <cell r="EM12">
            <v>320</v>
          </cell>
          <cell r="EN12">
            <v>5750700</v>
          </cell>
          <cell r="EO12">
            <v>2400</v>
          </cell>
          <cell r="EP12">
            <v>2029400</v>
          </cell>
          <cell r="EQ12">
            <v>700</v>
          </cell>
          <cell r="ER12">
            <v>796630</v>
          </cell>
          <cell r="ES12">
            <v>890</v>
          </cell>
          <cell r="ET12">
            <v>12610400</v>
          </cell>
          <cell r="EU12">
            <v>4200</v>
          </cell>
          <cell r="EW12">
            <v>34327</v>
          </cell>
          <cell r="EX12">
            <v>15</v>
          </cell>
          <cell r="EY12">
            <v>29691</v>
          </cell>
          <cell r="EZ12">
            <v>12</v>
          </cell>
          <cell r="FA12">
            <v>685</v>
          </cell>
          <cell r="FB12">
            <v>11</v>
          </cell>
          <cell r="FC12">
            <v>50548</v>
          </cell>
          <cell r="FD12">
            <v>14</v>
          </cell>
          <cell r="FE12">
            <v>31188</v>
          </cell>
          <cell r="FF12">
            <v>32</v>
          </cell>
        </row>
        <row r="13">
          <cell r="B13">
            <v>0.88</v>
          </cell>
          <cell r="E13">
            <v>760940</v>
          </cell>
          <cell r="F13">
            <v>631</v>
          </cell>
          <cell r="G13">
            <v>294</v>
          </cell>
          <cell r="H13">
            <v>13995</v>
          </cell>
          <cell r="I13">
            <v>390</v>
          </cell>
          <cell r="J13">
            <v>176</v>
          </cell>
          <cell r="K13">
            <v>131937</v>
          </cell>
          <cell r="L13">
            <v>357</v>
          </cell>
          <cell r="N13">
            <v>745779</v>
          </cell>
          <cell r="O13">
            <v>316</v>
          </cell>
          <cell r="Q13">
            <v>164232</v>
          </cell>
          <cell r="R13">
            <v>0</v>
          </cell>
          <cell r="S13">
            <v>4410.05</v>
          </cell>
          <cell r="T13">
            <v>171.14000000000033</v>
          </cell>
          <cell r="U13">
            <v>124</v>
          </cell>
          <cell r="V13">
            <v>2177</v>
          </cell>
          <cell r="W13">
            <v>38</v>
          </cell>
          <cell r="AC13">
            <v>6525313.2000000002</v>
          </cell>
          <cell r="AD13">
            <v>1948.8000000007451</v>
          </cell>
          <cell r="AF13">
            <v>12739695.359999999</v>
          </cell>
          <cell r="AG13">
            <v>4774.5600000005215</v>
          </cell>
          <cell r="AI13">
            <v>12043584</v>
          </cell>
          <cell r="AJ13">
            <v>10474.800000000745</v>
          </cell>
          <cell r="AL13">
            <v>15150214.799999999</v>
          </cell>
          <cell r="AM13">
            <v>1120.5599999986589</v>
          </cell>
          <cell r="AO13">
            <v>15504360.48</v>
          </cell>
          <cell r="AP13">
            <v>5310.480000000447</v>
          </cell>
          <cell r="AR13">
            <v>14283827.039999999</v>
          </cell>
          <cell r="AS13">
            <v>5310.480000000447</v>
          </cell>
          <cell r="AU13">
            <v>12201485.52</v>
          </cell>
          <cell r="AV13">
            <v>4628.4000000003725</v>
          </cell>
          <cell r="AX13">
            <v>11780154.959999999</v>
          </cell>
          <cell r="AY13">
            <v>4189.9199999980628</v>
          </cell>
          <cell r="BA13">
            <v>9410950.0800000001</v>
          </cell>
          <cell r="BB13">
            <v>6833.980000000447</v>
          </cell>
          <cell r="BD13">
            <v>14343752.640000001</v>
          </cell>
          <cell r="BE13">
            <v>5456.640000000596</v>
          </cell>
          <cell r="BK13">
            <v>60092400</v>
          </cell>
          <cell r="BL13">
            <v>53600</v>
          </cell>
          <cell r="BN13">
            <v>63083400</v>
          </cell>
          <cell r="BO13">
            <v>0</v>
          </cell>
          <cell r="BQ13">
            <v>57862900</v>
          </cell>
          <cell r="BR13">
            <v>25200</v>
          </cell>
          <cell r="BT13">
            <v>6261100</v>
          </cell>
          <cell r="BU13">
            <v>6920</v>
          </cell>
          <cell r="BW13">
            <v>0.72</v>
          </cell>
          <cell r="BX13">
            <v>3.0000000000000027E-2</v>
          </cell>
          <cell r="BZ13">
            <v>53179</v>
          </cell>
          <cell r="CA13">
            <v>18</v>
          </cell>
          <cell r="CB13">
            <v>44880</v>
          </cell>
          <cell r="CC13">
            <v>12</v>
          </cell>
          <cell r="CD13">
            <v>15556</v>
          </cell>
          <cell r="CE13">
            <v>5</v>
          </cell>
          <cell r="CF13">
            <v>19832</v>
          </cell>
          <cell r="CG13">
            <v>10</v>
          </cell>
          <cell r="CH13">
            <v>21538</v>
          </cell>
          <cell r="CI13">
            <v>10</v>
          </cell>
          <cell r="CJ13">
            <v>49021</v>
          </cell>
          <cell r="CK13">
            <v>31</v>
          </cell>
          <cell r="CL13">
            <v>213343</v>
          </cell>
          <cell r="CM13">
            <v>103.07999999998719</v>
          </cell>
          <cell r="CO13">
            <v>161938</v>
          </cell>
          <cell r="CP13">
            <v>97</v>
          </cell>
          <cell r="CR13">
            <v>308195</v>
          </cell>
          <cell r="CS13">
            <v>0</v>
          </cell>
          <cell r="CU13">
            <v>569036</v>
          </cell>
          <cell r="CV13">
            <v>285</v>
          </cell>
          <cell r="CX13">
            <v>4893</v>
          </cell>
          <cell r="CY13">
            <v>1</v>
          </cell>
          <cell r="CZ13">
            <v>2524</v>
          </cell>
          <cell r="DA13">
            <v>3</v>
          </cell>
          <cell r="DB13">
            <v>23958.400000000001</v>
          </cell>
          <cell r="DC13">
            <v>12.5</v>
          </cell>
          <cell r="DD13">
            <v>24459</v>
          </cell>
          <cell r="DE13">
            <v>7.0999999999985448</v>
          </cell>
          <cell r="DF13">
            <v>17087</v>
          </cell>
          <cell r="DG13">
            <v>5.4000000000014552</v>
          </cell>
          <cell r="DH13">
            <v>20057</v>
          </cell>
          <cell r="DI13">
            <v>4.5999999999985448</v>
          </cell>
          <cell r="DJ13">
            <v>1449</v>
          </cell>
          <cell r="DK13">
            <v>6</v>
          </cell>
          <cell r="DL13">
            <v>4298</v>
          </cell>
          <cell r="DM13">
            <v>14</v>
          </cell>
          <cell r="DN13">
            <v>879</v>
          </cell>
          <cell r="DO13">
            <v>0</v>
          </cell>
          <cell r="DP13">
            <v>2270</v>
          </cell>
          <cell r="DQ13">
            <v>6</v>
          </cell>
          <cell r="DR13">
            <v>24547</v>
          </cell>
          <cell r="DS13">
            <v>21</v>
          </cell>
          <cell r="DU13">
            <v>1073.2</v>
          </cell>
          <cell r="DV13">
            <v>7.2000000000000455</v>
          </cell>
          <cell r="DW13">
            <v>6490</v>
          </cell>
          <cell r="DX13">
            <v>5.1999999999998181</v>
          </cell>
          <cell r="DY13">
            <v>830.5</v>
          </cell>
          <cell r="DZ13">
            <v>5.3999999999999773</v>
          </cell>
          <cell r="EA13">
            <v>375.5</v>
          </cell>
          <cell r="EB13">
            <v>4.3999999999999773</v>
          </cell>
          <cell r="EC13">
            <v>708007</v>
          </cell>
          <cell r="ED13">
            <v>800</v>
          </cell>
          <cell r="EG13">
            <v>142560.29999999999</v>
          </cell>
          <cell r="EH13">
            <v>159.09999999997672</v>
          </cell>
          <cell r="EJ13">
            <v>8949200</v>
          </cell>
          <cell r="EK13">
            <v>3000</v>
          </cell>
          <cell r="EL13">
            <v>738570</v>
          </cell>
          <cell r="EM13">
            <v>400</v>
          </cell>
          <cell r="EN13">
            <v>5753500</v>
          </cell>
          <cell r="EO13">
            <v>2800</v>
          </cell>
          <cell r="EP13">
            <v>2030100</v>
          </cell>
          <cell r="EQ13">
            <v>700</v>
          </cell>
          <cell r="ER13">
            <v>797680</v>
          </cell>
          <cell r="ES13">
            <v>1050</v>
          </cell>
          <cell r="ET13">
            <v>12614200</v>
          </cell>
          <cell r="EU13">
            <v>3800</v>
          </cell>
          <cell r="EW13">
            <v>34342</v>
          </cell>
          <cell r="EX13">
            <v>15</v>
          </cell>
          <cell r="EY13">
            <v>29701</v>
          </cell>
          <cell r="EZ13">
            <v>10</v>
          </cell>
          <cell r="FA13">
            <v>696</v>
          </cell>
          <cell r="FB13">
            <v>11</v>
          </cell>
          <cell r="FC13">
            <v>50561</v>
          </cell>
          <cell r="FD13">
            <v>13</v>
          </cell>
          <cell r="FE13">
            <v>31218</v>
          </cell>
          <cell r="FF13">
            <v>30</v>
          </cell>
        </row>
        <row r="14">
          <cell r="B14">
            <v>0.78</v>
          </cell>
          <cell r="E14">
            <v>761617</v>
          </cell>
          <cell r="F14">
            <v>677</v>
          </cell>
          <cell r="G14">
            <v>312</v>
          </cell>
          <cell r="H14">
            <v>14422</v>
          </cell>
          <cell r="I14">
            <v>427</v>
          </cell>
          <cell r="J14">
            <v>172</v>
          </cell>
          <cell r="K14">
            <v>132294</v>
          </cell>
          <cell r="L14">
            <v>357</v>
          </cell>
          <cell r="N14">
            <v>746031</v>
          </cell>
          <cell r="O14">
            <v>252</v>
          </cell>
          <cell r="Q14">
            <v>164232</v>
          </cell>
          <cell r="R14">
            <v>0</v>
          </cell>
          <cell r="S14">
            <v>4590.8100000000004</v>
          </cell>
          <cell r="T14">
            <v>180.76000000000022</v>
          </cell>
          <cell r="U14">
            <v>124</v>
          </cell>
          <cell r="V14">
            <v>2214</v>
          </cell>
          <cell r="W14">
            <v>37</v>
          </cell>
          <cell r="AC14">
            <v>6527213.2799999993</v>
          </cell>
          <cell r="AD14">
            <v>1900.0799999991432</v>
          </cell>
          <cell r="AF14">
            <v>12744372.48</v>
          </cell>
          <cell r="AG14">
            <v>4677.1200000010431</v>
          </cell>
          <cell r="AI14">
            <v>12054935.76</v>
          </cell>
          <cell r="AJ14">
            <v>11351.759999999776</v>
          </cell>
          <cell r="AL14">
            <v>15151578.959999999</v>
          </cell>
          <cell r="AM14">
            <v>1364.160000000149</v>
          </cell>
          <cell r="AO14">
            <v>15511278.719999999</v>
          </cell>
          <cell r="AP14">
            <v>6918.2399999983609</v>
          </cell>
          <cell r="AR14">
            <v>14289088.799999999</v>
          </cell>
          <cell r="AS14">
            <v>5261.7599999997765</v>
          </cell>
          <cell r="AU14">
            <v>12206065.199999999</v>
          </cell>
          <cell r="AV14">
            <v>4579.679999999702</v>
          </cell>
          <cell r="AX14">
            <v>11784393.6</v>
          </cell>
          <cell r="AY14">
            <v>4238.640000000596</v>
          </cell>
          <cell r="BA14">
            <v>9413824.5599999987</v>
          </cell>
          <cell r="BB14">
            <v>2874.4799999985844</v>
          </cell>
          <cell r="BD14">
            <v>14349111.84</v>
          </cell>
          <cell r="BE14">
            <v>5359.1999999992549</v>
          </cell>
          <cell r="BK14">
            <v>60152200</v>
          </cell>
          <cell r="BL14">
            <v>59800</v>
          </cell>
          <cell r="BN14">
            <v>63083400</v>
          </cell>
          <cell r="BO14">
            <v>0</v>
          </cell>
          <cell r="BQ14">
            <v>57896300</v>
          </cell>
          <cell r="BR14">
            <v>33400</v>
          </cell>
          <cell r="BT14">
            <v>6269130</v>
          </cell>
          <cell r="BU14">
            <v>8030</v>
          </cell>
          <cell r="BW14">
            <v>0.79</v>
          </cell>
          <cell r="BX14">
            <v>-7.0000000000000062E-2</v>
          </cell>
          <cell r="BZ14">
            <v>53196</v>
          </cell>
          <cell r="CA14">
            <v>17</v>
          </cell>
          <cell r="CB14">
            <v>44895</v>
          </cell>
          <cell r="CC14">
            <v>15</v>
          </cell>
          <cell r="CD14">
            <v>15562</v>
          </cell>
          <cell r="CE14">
            <v>6</v>
          </cell>
          <cell r="CF14">
            <v>19841</v>
          </cell>
          <cell r="CG14">
            <v>9</v>
          </cell>
          <cell r="CH14">
            <v>21549</v>
          </cell>
          <cell r="CI14">
            <v>11</v>
          </cell>
          <cell r="CJ14">
            <v>49044</v>
          </cell>
          <cell r="CK14">
            <v>23</v>
          </cell>
          <cell r="CL14">
            <v>213445</v>
          </cell>
          <cell r="CM14">
            <v>102</v>
          </cell>
          <cell r="CO14">
            <v>162032</v>
          </cell>
          <cell r="CP14">
            <v>94</v>
          </cell>
          <cell r="CR14">
            <v>308195</v>
          </cell>
          <cell r="CS14">
            <v>0</v>
          </cell>
          <cell r="CU14">
            <v>569310</v>
          </cell>
          <cell r="CV14">
            <v>274</v>
          </cell>
          <cell r="CX14">
            <v>4898</v>
          </cell>
          <cell r="CY14">
            <v>5</v>
          </cell>
          <cell r="CZ14">
            <v>2528</v>
          </cell>
          <cell r="DA14">
            <v>4</v>
          </cell>
          <cell r="DB14">
            <v>23971.3</v>
          </cell>
          <cell r="DC14">
            <v>12.899999999997817</v>
          </cell>
          <cell r="DD14">
            <v>24463.3</v>
          </cell>
          <cell r="DE14">
            <v>4.2999999999992724</v>
          </cell>
          <cell r="DF14">
            <v>17095.599999999999</v>
          </cell>
          <cell r="DG14">
            <v>8.5999999999985448</v>
          </cell>
          <cell r="DH14">
            <v>20066.8</v>
          </cell>
          <cell r="DI14">
            <v>9.7999999999992724</v>
          </cell>
          <cell r="DJ14">
            <v>1455</v>
          </cell>
          <cell r="DK14">
            <v>6</v>
          </cell>
          <cell r="DL14">
            <v>4313</v>
          </cell>
          <cell r="DM14">
            <v>15</v>
          </cell>
          <cell r="DN14">
            <v>879</v>
          </cell>
          <cell r="DO14">
            <v>0</v>
          </cell>
          <cell r="DP14">
            <v>2276</v>
          </cell>
          <cell r="DQ14">
            <v>6</v>
          </cell>
          <cell r="DR14">
            <v>24566</v>
          </cell>
          <cell r="DS14">
            <v>19</v>
          </cell>
          <cell r="DU14">
            <v>1080.0999999999999</v>
          </cell>
          <cell r="DV14">
            <v>6.8999999999998636</v>
          </cell>
          <cell r="DW14">
            <v>6494.8</v>
          </cell>
          <cell r="DX14">
            <v>4.8000000000001819</v>
          </cell>
          <cell r="DY14">
            <v>835.8</v>
          </cell>
          <cell r="DZ14">
            <v>5.2999999999999545</v>
          </cell>
          <cell r="EA14">
            <v>380.1</v>
          </cell>
          <cell r="EB14">
            <v>4.6000000000000227</v>
          </cell>
          <cell r="EC14">
            <v>708715</v>
          </cell>
          <cell r="ED14">
            <v>708</v>
          </cell>
          <cell r="EG14">
            <v>142719.5</v>
          </cell>
          <cell r="EH14">
            <v>159.20000000001164</v>
          </cell>
          <cell r="EJ14">
            <v>8952300</v>
          </cell>
          <cell r="EK14">
            <v>3100</v>
          </cell>
          <cell r="EL14">
            <v>738980</v>
          </cell>
          <cell r="EM14">
            <v>410</v>
          </cell>
          <cell r="EN14">
            <v>5756500</v>
          </cell>
          <cell r="EO14">
            <v>3000</v>
          </cell>
          <cell r="EP14">
            <v>2030900</v>
          </cell>
          <cell r="EQ14">
            <v>800</v>
          </cell>
          <cell r="ER14">
            <v>798680</v>
          </cell>
          <cell r="ES14">
            <v>1000</v>
          </cell>
          <cell r="ET14">
            <v>12621000</v>
          </cell>
          <cell r="EU14">
            <v>6800</v>
          </cell>
          <cell r="EW14">
            <v>34357</v>
          </cell>
          <cell r="EX14">
            <v>15</v>
          </cell>
          <cell r="EY14">
            <v>29712</v>
          </cell>
          <cell r="EZ14">
            <v>11</v>
          </cell>
          <cell r="FA14">
            <v>707</v>
          </cell>
          <cell r="FB14">
            <v>11</v>
          </cell>
          <cell r="FC14">
            <v>50577</v>
          </cell>
          <cell r="FD14">
            <v>16</v>
          </cell>
          <cell r="FE14">
            <v>31243</v>
          </cell>
          <cell r="FF14">
            <v>25</v>
          </cell>
        </row>
        <row r="15">
          <cell r="B15">
            <v>0.75</v>
          </cell>
          <cell r="E15">
            <v>762252</v>
          </cell>
          <cell r="F15">
            <v>635</v>
          </cell>
          <cell r="G15">
            <v>302</v>
          </cell>
          <cell r="H15">
            <v>14806</v>
          </cell>
          <cell r="I15">
            <v>384</v>
          </cell>
          <cell r="J15">
            <v>183</v>
          </cell>
          <cell r="K15">
            <v>132676</v>
          </cell>
          <cell r="L15">
            <v>382</v>
          </cell>
          <cell r="N15">
            <v>746247</v>
          </cell>
          <cell r="O15">
            <v>216</v>
          </cell>
          <cell r="Q15">
            <v>164232</v>
          </cell>
          <cell r="R15">
            <v>0</v>
          </cell>
          <cell r="S15">
            <v>4780.58</v>
          </cell>
          <cell r="T15">
            <v>189.76999999999953</v>
          </cell>
          <cell r="U15">
            <v>112</v>
          </cell>
          <cell r="V15">
            <v>2252</v>
          </cell>
          <cell r="W15">
            <v>38</v>
          </cell>
          <cell r="AC15">
            <v>6529064.6400000006</v>
          </cell>
          <cell r="AD15">
            <v>1851.3600000012666</v>
          </cell>
          <cell r="AF15">
            <v>12749195.76</v>
          </cell>
          <cell r="AG15">
            <v>4823.2799999993294</v>
          </cell>
          <cell r="AI15">
            <v>12066433.68</v>
          </cell>
          <cell r="AJ15">
            <v>11497.919999999925</v>
          </cell>
          <cell r="AL15">
            <v>15153040.559999999</v>
          </cell>
          <cell r="AM15">
            <v>1461.5999999996275</v>
          </cell>
          <cell r="AO15">
            <v>15519463.68</v>
          </cell>
          <cell r="AP15">
            <v>8184.9600000008941</v>
          </cell>
          <cell r="AR15">
            <v>14294350.559999999</v>
          </cell>
          <cell r="AS15">
            <v>5261.7599999997765</v>
          </cell>
          <cell r="AU15">
            <v>12210450</v>
          </cell>
          <cell r="AV15">
            <v>4384.8000000007451</v>
          </cell>
          <cell r="AX15">
            <v>11788729.68</v>
          </cell>
          <cell r="AY15">
            <v>4336.0800000000745</v>
          </cell>
          <cell r="BA15">
            <v>9416893.9199999999</v>
          </cell>
          <cell r="BB15">
            <v>3069.3600000012666</v>
          </cell>
          <cell r="BD15">
            <v>14354860.799999999</v>
          </cell>
          <cell r="BE15">
            <v>5748.9599999990314</v>
          </cell>
          <cell r="BK15">
            <v>60210800</v>
          </cell>
          <cell r="BL15">
            <v>58600</v>
          </cell>
          <cell r="BN15">
            <v>63083400</v>
          </cell>
          <cell r="BO15">
            <v>0</v>
          </cell>
          <cell r="BQ15">
            <v>57936300</v>
          </cell>
          <cell r="BR15">
            <v>40000</v>
          </cell>
          <cell r="BT15">
            <v>6276220</v>
          </cell>
          <cell r="BU15">
            <v>7090</v>
          </cell>
          <cell r="BW15">
            <v>0.75</v>
          </cell>
          <cell r="BX15">
            <v>4.0000000000000036E-2</v>
          </cell>
          <cell r="BZ15">
            <v>53214</v>
          </cell>
          <cell r="CA15">
            <v>18</v>
          </cell>
          <cell r="CB15">
            <v>44910</v>
          </cell>
          <cell r="CC15">
            <v>15</v>
          </cell>
          <cell r="CD15">
            <v>15569</v>
          </cell>
          <cell r="CE15">
            <v>7</v>
          </cell>
          <cell r="CF15">
            <v>19850</v>
          </cell>
          <cell r="CG15">
            <v>9</v>
          </cell>
          <cell r="CH15">
            <v>21561</v>
          </cell>
          <cell r="CI15">
            <v>12</v>
          </cell>
          <cell r="CJ15">
            <v>49068</v>
          </cell>
          <cell r="CK15">
            <v>24</v>
          </cell>
          <cell r="CL15">
            <v>213547</v>
          </cell>
          <cell r="CM15">
            <v>102</v>
          </cell>
          <cell r="CO15">
            <v>162133</v>
          </cell>
          <cell r="CP15">
            <v>101</v>
          </cell>
          <cell r="CR15">
            <v>308195</v>
          </cell>
          <cell r="CS15">
            <v>0</v>
          </cell>
          <cell r="CU15">
            <v>569589</v>
          </cell>
          <cell r="CV15">
            <v>279</v>
          </cell>
          <cell r="CX15">
            <v>4904</v>
          </cell>
          <cell r="CY15">
            <v>6</v>
          </cell>
          <cell r="CZ15">
            <v>2532</v>
          </cell>
          <cell r="DA15">
            <v>4</v>
          </cell>
          <cell r="DB15">
            <v>23983.200000000001</v>
          </cell>
          <cell r="DC15">
            <v>11.900000000001455</v>
          </cell>
          <cell r="DD15">
            <v>24474.5</v>
          </cell>
          <cell r="DE15">
            <v>11.200000000000728</v>
          </cell>
          <cell r="DF15">
            <v>17102</v>
          </cell>
          <cell r="DG15">
            <v>6.4000000000014552</v>
          </cell>
          <cell r="DH15">
            <v>20075.7</v>
          </cell>
          <cell r="DI15">
            <v>8.9000000000014552</v>
          </cell>
          <cell r="DJ15">
            <v>1462</v>
          </cell>
          <cell r="DK15">
            <v>7</v>
          </cell>
          <cell r="DL15">
            <v>4320</v>
          </cell>
          <cell r="DM15">
            <v>7</v>
          </cell>
          <cell r="DN15">
            <v>879</v>
          </cell>
          <cell r="DO15">
            <v>0</v>
          </cell>
          <cell r="DP15">
            <v>2283</v>
          </cell>
          <cell r="DQ15">
            <v>7</v>
          </cell>
          <cell r="DR15">
            <v>24575</v>
          </cell>
          <cell r="DS15">
            <v>9</v>
          </cell>
          <cell r="DU15">
            <v>1089.2</v>
          </cell>
          <cell r="DV15">
            <v>9.1000000000001364</v>
          </cell>
          <cell r="DW15">
            <v>6500.4</v>
          </cell>
          <cell r="DX15">
            <v>5.5999999999994543</v>
          </cell>
          <cell r="DY15">
            <v>841</v>
          </cell>
          <cell r="DZ15">
            <v>5.2000000000000455</v>
          </cell>
          <cell r="EA15">
            <v>384.5</v>
          </cell>
          <cell r="EB15">
            <v>4.3999999999999773</v>
          </cell>
          <cell r="EC15">
            <v>709591</v>
          </cell>
          <cell r="ED15">
            <v>876</v>
          </cell>
          <cell r="EG15">
            <v>142884.20000000001</v>
          </cell>
          <cell r="EH15">
            <v>164.70000000001164</v>
          </cell>
          <cell r="EJ15">
            <v>8956500</v>
          </cell>
          <cell r="EK15">
            <v>4200</v>
          </cell>
          <cell r="EL15">
            <v>739390</v>
          </cell>
          <cell r="EM15">
            <v>410</v>
          </cell>
          <cell r="EN15">
            <v>5759700</v>
          </cell>
          <cell r="EO15">
            <v>3200</v>
          </cell>
          <cell r="EP15">
            <v>2031700</v>
          </cell>
          <cell r="EQ15">
            <v>800</v>
          </cell>
          <cell r="ER15">
            <v>799660</v>
          </cell>
          <cell r="ES15">
            <v>980</v>
          </cell>
          <cell r="ET15">
            <v>12629500</v>
          </cell>
          <cell r="EU15">
            <v>8500</v>
          </cell>
          <cell r="EW15">
            <v>34372</v>
          </cell>
          <cell r="EX15">
            <v>15</v>
          </cell>
          <cell r="EY15">
            <v>29722</v>
          </cell>
          <cell r="EZ15">
            <v>10</v>
          </cell>
          <cell r="FA15">
            <v>720</v>
          </cell>
          <cell r="FB15">
            <v>13</v>
          </cell>
          <cell r="FC15">
            <v>50592</v>
          </cell>
          <cell r="FD15">
            <v>15</v>
          </cell>
          <cell r="FE15">
            <v>31279</v>
          </cell>
          <cell r="FF15">
            <v>36</v>
          </cell>
        </row>
        <row r="16">
          <cell r="B16">
            <v>0.77</v>
          </cell>
          <cell r="E16">
            <v>762938</v>
          </cell>
          <cell r="F16">
            <v>686</v>
          </cell>
          <cell r="G16">
            <v>312</v>
          </cell>
          <cell r="H16">
            <v>15226</v>
          </cell>
          <cell r="I16">
            <v>420</v>
          </cell>
          <cell r="J16">
            <v>175</v>
          </cell>
          <cell r="K16">
            <v>133081</v>
          </cell>
          <cell r="L16">
            <v>405</v>
          </cell>
          <cell r="N16">
            <v>746612.6</v>
          </cell>
          <cell r="O16">
            <v>365.59999999997672</v>
          </cell>
          <cell r="Q16">
            <v>164275</v>
          </cell>
          <cell r="R16">
            <v>43</v>
          </cell>
          <cell r="S16">
            <v>4966</v>
          </cell>
          <cell r="T16">
            <v>185.42000000000007</v>
          </cell>
          <cell r="U16">
            <v>130</v>
          </cell>
          <cell r="V16">
            <v>2287</v>
          </cell>
          <cell r="W16">
            <v>35</v>
          </cell>
          <cell r="AC16">
            <v>6531110.8799999999</v>
          </cell>
          <cell r="AD16">
            <v>2046.2399999992922</v>
          </cell>
          <cell r="AF16">
            <v>12753970.319999998</v>
          </cell>
          <cell r="AG16">
            <v>4774.5599999986589</v>
          </cell>
          <cell r="AI16">
            <v>12078516.24</v>
          </cell>
          <cell r="AJ16">
            <v>12082.560000000522</v>
          </cell>
          <cell r="AL16">
            <v>15154453.439999999</v>
          </cell>
          <cell r="AM16">
            <v>1412.8800000008196</v>
          </cell>
          <cell r="AO16">
            <v>15526674.24</v>
          </cell>
          <cell r="AP16">
            <v>7210.5600000005215</v>
          </cell>
          <cell r="AR16">
            <v>14299904.640000001</v>
          </cell>
          <cell r="AS16">
            <v>5554.0800000019372</v>
          </cell>
          <cell r="AU16">
            <v>12215078.4</v>
          </cell>
          <cell r="AV16">
            <v>4628.4000000003725</v>
          </cell>
          <cell r="AX16">
            <v>11792919.6</v>
          </cell>
          <cell r="AY16">
            <v>4189.9199999999255</v>
          </cell>
          <cell r="BA16">
            <v>9419865.8399999999</v>
          </cell>
          <cell r="BB16">
            <v>2971.9199999999255</v>
          </cell>
          <cell r="BD16">
            <v>14360609.76</v>
          </cell>
          <cell r="BE16">
            <v>5748.9600000008941</v>
          </cell>
          <cell r="BK16">
            <v>60269700</v>
          </cell>
          <cell r="BL16">
            <v>58900</v>
          </cell>
          <cell r="BN16">
            <v>63083400</v>
          </cell>
          <cell r="BO16">
            <v>0</v>
          </cell>
          <cell r="BQ16">
            <v>57971600</v>
          </cell>
          <cell r="BR16">
            <v>35300</v>
          </cell>
          <cell r="BT16">
            <v>6283400</v>
          </cell>
          <cell r="BU16">
            <v>7180</v>
          </cell>
          <cell r="BW16">
            <v>0.8</v>
          </cell>
          <cell r="BX16">
            <v>-5.0000000000000044E-2</v>
          </cell>
          <cell r="BZ16">
            <v>53234</v>
          </cell>
          <cell r="CA16">
            <v>20</v>
          </cell>
          <cell r="CB16">
            <v>44925</v>
          </cell>
          <cell r="CC16">
            <v>15</v>
          </cell>
          <cell r="CD16">
            <v>15575</v>
          </cell>
          <cell r="CE16">
            <v>6</v>
          </cell>
          <cell r="CF16">
            <v>19861</v>
          </cell>
          <cell r="CG16">
            <v>11</v>
          </cell>
          <cell r="CH16">
            <v>21575</v>
          </cell>
          <cell r="CI16">
            <v>14</v>
          </cell>
          <cell r="CJ16">
            <v>49093</v>
          </cell>
          <cell r="CK16">
            <v>25</v>
          </cell>
          <cell r="CL16">
            <v>213652.3</v>
          </cell>
          <cell r="CM16">
            <v>105.29999999998836</v>
          </cell>
          <cell r="CO16">
            <v>162238</v>
          </cell>
          <cell r="CP16">
            <v>105</v>
          </cell>
          <cell r="CR16">
            <v>308195</v>
          </cell>
          <cell r="CS16">
            <v>0</v>
          </cell>
          <cell r="CU16">
            <v>569878</v>
          </cell>
          <cell r="CV16">
            <v>289</v>
          </cell>
          <cell r="CX16">
            <v>4910</v>
          </cell>
          <cell r="CY16">
            <v>6</v>
          </cell>
          <cell r="CZ16">
            <v>2537</v>
          </cell>
          <cell r="DA16">
            <v>5</v>
          </cell>
          <cell r="DB16">
            <v>23996</v>
          </cell>
          <cell r="DC16">
            <v>12.799999999999272</v>
          </cell>
          <cell r="DD16">
            <v>24483.4</v>
          </cell>
          <cell r="DE16">
            <v>8.9000000000014552</v>
          </cell>
          <cell r="DF16">
            <v>17109.7</v>
          </cell>
          <cell r="DG16">
            <v>7.7000000000007276</v>
          </cell>
          <cell r="DH16">
            <v>20084.8</v>
          </cell>
          <cell r="DI16">
            <v>9.0999999999985448</v>
          </cell>
          <cell r="DJ16">
            <v>1468</v>
          </cell>
          <cell r="DK16">
            <v>6</v>
          </cell>
          <cell r="DL16">
            <v>4345</v>
          </cell>
          <cell r="DM16">
            <v>25</v>
          </cell>
          <cell r="DN16">
            <v>879</v>
          </cell>
          <cell r="DO16">
            <v>0</v>
          </cell>
          <cell r="DP16">
            <v>2289</v>
          </cell>
          <cell r="DQ16">
            <v>6</v>
          </cell>
          <cell r="DR16">
            <v>24600</v>
          </cell>
          <cell r="DS16">
            <v>25</v>
          </cell>
          <cell r="DU16">
            <v>1098.4000000000001</v>
          </cell>
          <cell r="DV16">
            <v>9.2000000000000455</v>
          </cell>
          <cell r="DW16">
            <v>6505.7</v>
          </cell>
          <cell r="DX16">
            <v>5.3000000000001819</v>
          </cell>
          <cell r="DY16">
            <v>846.8</v>
          </cell>
          <cell r="DZ16">
            <v>5.7999999999999545</v>
          </cell>
          <cell r="EA16">
            <v>390.3</v>
          </cell>
          <cell r="EB16">
            <v>5.8000000000000114</v>
          </cell>
          <cell r="EC16">
            <v>710446</v>
          </cell>
          <cell r="ED16">
            <v>855</v>
          </cell>
          <cell r="EG16">
            <v>143062.5</v>
          </cell>
          <cell r="EH16">
            <v>178.29999999998836</v>
          </cell>
          <cell r="EJ16">
            <v>8959800</v>
          </cell>
          <cell r="EK16">
            <v>3300</v>
          </cell>
          <cell r="EL16">
            <v>739790</v>
          </cell>
          <cell r="EM16">
            <v>400</v>
          </cell>
          <cell r="EN16">
            <v>5762800</v>
          </cell>
          <cell r="EO16">
            <v>3100</v>
          </cell>
          <cell r="EP16">
            <v>2032500</v>
          </cell>
          <cell r="EQ16">
            <v>800</v>
          </cell>
          <cell r="ER16">
            <v>800660</v>
          </cell>
          <cell r="ES16">
            <v>1000</v>
          </cell>
          <cell r="ET16">
            <v>12634500</v>
          </cell>
          <cell r="EU16">
            <v>5000</v>
          </cell>
          <cell r="EW16">
            <v>34388</v>
          </cell>
          <cell r="EX16">
            <v>16</v>
          </cell>
          <cell r="EY16">
            <v>29736</v>
          </cell>
          <cell r="EZ16">
            <v>14</v>
          </cell>
          <cell r="FA16">
            <v>737</v>
          </cell>
          <cell r="FB16">
            <v>17</v>
          </cell>
          <cell r="FC16">
            <v>50608</v>
          </cell>
          <cell r="FD16">
            <v>16</v>
          </cell>
          <cell r="FE16">
            <v>31311</v>
          </cell>
          <cell r="FF16">
            <v>32</v>
          </cell>
        </row>
        <row r="17">
          <cell r="B17">
            <v>0.77</v>
          </cell>
          <cell r="E17">
            <v>763515</v>
          </cell>
          <cell r="F17">
            <v>577</v>
          </cell>
          <cell r="G17">
            <v>279</v>
          </cell>
          <cell r="H17">
            <v>15589</v>
          </cell>
          <cell r="I17">
            <v>363</v>
          </cell>
          <cell r="J17">
            <v>158</v>
          </cell>
          <cell r="K17">
            <v>133333</v>
          </cell>
          <cell r="L17">
            <v>252</v>
          </cell>
          <cell r="N17">
            <v>746803</v>
          </cell>
          <cell r="O17">
            <v>190.40000000002328</v>
          </cell>
          <cell r="Q17">
            <v>164275</v>
          </cell>
          <cell r="R17">
            <v>0</v>
          </cell>
          <cell r="S17">
            <v>5144.17</v>
          </cell>
          <cell r="T17">
            <v>178.17000000000007</v>
          </cell>
          <cell r="U17">
            <v>129</v>
          </cell>
          <cell r="V17">
            <v>2319</v>
          </cell>
          <cell r="W17">
            <v>32</v>
          </cell>
          <cell r="AC17">
            <v>6532913.5200000005</v>
          </cell>
          <cell r="AD17">
            <v>1802.640000000596</v>
          </cell>
          <cell r="AF17">
            <v>12758647.439999999</v>
          </cell>
          <cell r="AG17">
            <v>4677.1200000010431</v>
          </cell>
          <cell r="AI17">
            <v>12085531.92</v>
          </cell>
          <cell r="AJ17">
            <v>7015.679999999702</v>
          </cell>
          <cell r="AL17">
            <v>15164002.559999999</v>
          </cell>
          <cell r="AM17">
            <v>9549.1199999991804</v>
          </cell>
          <cell r="AO17">
            <v>15527843.52</v>
          </cell>
          <cell r="AP17">
            <v>1169.2799999993294</v>
          </cell>
          <cell r="AR17">
            <v>14305020.24</v>
          </cell>
          <cell r="AS17">
            <v>5115.5999999996275</v>
          </cell>
          <cell r="AU17">
            <v>12219463.199999999</v>
          </cell>
          <cell r="AV17">
            <v>4384.7999999988824</v>
          </cell>
          <cell r="AX17">
            <v>11796768.48</v>
          </cell>
          <cell r="AY17">
            <v>3848.8800000008196</v>
          </cell>
          <cell r="BA17">
            <v>9422642.8800000008</v>
          </cell>
          <cell r="BB17">
            <v>2777.0400000009686</v>
          </cell>
          <cell r="BD17">
            <v>14366115.119999999</v>
          </cell>
          <cell r="BE17">
            <v>5505.359999999404</v>
          </cell>
          <cell r="BK17">
            <v>60310300</v>
          </cell>
          <cell r="BL17">
            <v>40600</v>
          </cell>
          <cell r="BN17">
            <v>63131700</v>
          </cell>
          <cell r="BO17">
            <v>48300</v>
          </cell>
          <cell r="BQ17">
            <v>57971600</v>
          </cell>
          <cell r="BR17">
            <v>0</v>
          </cell>
          <cell r="BT17">
            <v>6289310</v>
          </cell>
          <cell r="BU17">
            <v>5910</v>
          </cell>
          <cell r="BW17"/>
          <cell r="BX17">
            <v>0.8</v>
          </cell>
          <cell r="BZ17">
            <v>53247</v>
          </cell>
          <cell r="CA17">
            <v>13</v>
          </cell>
          <cell r="CB17">
            <v>44938</v>
          </cell>
          <cell r="CC17">
            <v>13</v>
          </cell>
          <cell r="CD17">
            <v>15581</v>
          </cell>
          <cell r="CE17">
            <v>6</v>
          </cell>
          <cell r="CF17">
            <v>19870</v>
          </cell>
          <cell r="CG17">
            <v>9</v>
          </cell>
          <cell r="CH17">
            <v>21588</v>
          </cell>
          <cell r="CI17">
            <v>13</v>
          </cell>
          <cell r="CJ17">
            <v>49117</v>
          </cell>
          <cell r="CK17">
            <v>24</v>
          </cell>
          <cell r="CL17">
            <v>213750</v>
          </cell>
          <cell r="CM17">
            <v>97.700000000011642</v>
          </cell>
          <cell r="CO17">
            <v>162329</v>
          </cell>
          <cell r="CP17">
            <v>91</v>
          </cell>
          <cell r="CR17">
            <v>308195</v>
          </cell>
          <cell r="CS17">
            <v>0</v>
          </cell>
          <cell r="CU17">
            <v>570100</v>
          </cell>
          <cell r="CV17">
            <v>222</v>
          </cell>
          <cell r="CX17">
            <v>4914</v>
          </cell>
          <cell r="CY17">
            <v>4</v>
          </cell>
          <cell r="CZ17">
            <v>2540</v>
          </cell>
          <cell r="DA17">
            <v>3</v>
          </cell>
          <cell r="DB17">
            <v>24008.6</v>
          </cell>
          <cell r="DC17">
            <v>12.599999999998545</v>
          </cell>
          <cell r="DD17">
            <v>24490.400000000001</v>
          </cell>
          <cell r="DE17">
            <v>7</v>
          </cell>
          <cell r="DF17">
            <v>17116</v>
          </cell>
          <cell r="DG17">
            <v>6.2999999999992724</v>
          </cell>
          <cell r="DH17">
            <v>20090.400000000001</v>
          </cell>
          <cell r="DI17">
            <v>5.6000000000021828</v>
          </cell>
          <cell r="DJ17">
            <v>1473</v>
          </cell>
          <cell r="DK17">
            <v>5</v>
          </cell>
          <cell r="DL17">
            <v>4359</v>
          </cell>
          <cell r="DM17">
            <v>14</v>
          </cell>
          <cell r="DN17">
            <v>879</v>
          </cell>
          <cell r="DO17">
            <v>0</v>
          </cell>
          <cell r="DP17">
            <v>2294</v>
          </cell>
          <cell r="DQ17">
            <v>5</v>
          </cell>
          <cell r="DR17">
            <v>24609</v>
          </cell>
          <cell r="DS17">
            <v>9</v>
          </cell>
          <cell r="DU17">
            <v>1106</v>
          </cell>
          <cell r="DV17">
            <v>7.5999999999999091</v>
          </cell>
          <cell r="DW17">
            <v>6510.3</v>
          </cell>
          <cell r="DX17">
            <v>4.6000000000003638</v>
          </cell>
          <cell r="DY17">
            <v>851.8</v>
          </cell>
          <cell r="DZ17">
            <v>5</v>
          </cell>
          <cell r="EA17">
            <v>394.6</v>
          </cell>
          <cell r="EB17">
            <v>4.3000000000000114</v>
          </cell>
          <cell r="EC17">
            <v>711039</v>
          </cell>
          <cell r="ED17">
            <v>593</v>
          </cell>
          <cell r="EG17">
            <v>143207.6</v>
          </cell>
          <cell r="EH17">
            <v>145.10000000000582</v>
          </cell>
          <cell r="EJ17">
            <v>8965200</v>
          </cell>
          <cell r="EK17">
            <v>5400</v>
          </cell>
          <cell r="EL17">
            <v>740090</v>
          </cell>
          <cell r="EM17">
            <v>300</v>
          </cell>
          <cell r="EN17">
            <v>5764800</v>
          </cell>
          <cell r="EO17">
            <v>2000</v>
          </cell>
          <cell r="EP17">
            <v>2033300</v>
          </cell>
          <cell r="EQ17">
            <v>800</v>
          </cell>
          <cell r="ER17">
            <v>801630</v>
          </cell>
          <cell r="ES17">
            <v>970</v>
          </cell>
          <cell r="ET17">
            <v>12642200</v>
          </cell>
          <cell r="EU17">
            <v>7700</v>
          </cell>
          <cell r="EW17">
            <v>34400</v>
          </cell>
          <cell r="EX17">
            <v>12</v>
          </cell>
          <cell r="EY17">
            <v>29744</v>
          </cell>
          <cell r="EZ17">
            <v>8</v>
          </cell>
          <cell r="FA17">
            <v>750</v>
          </cell>
          <cell r="FB17">
            <v>13</v>
          </cell>
          <cell r="FC17">
            <v>50621</v>
          </cell>
          <cell r="FD17">
            <v>13</v>
          </cell>
          <cell r="FE17">
            <v>31336</v>
          </cell>
          <cell r="FF17">
            <v>25</v>
          </cell>
        </row>
        <row r="18">
          <cell r="B18">
            <v>0.64</v>
          </cell>
          <cell r="E18">
            <v>764108</v>
          </cell>
          <cell r="F18">
            <v>593</v>
          </cell>
          <cell r="G18">
            <v>323</v>
          </cell>
          <cell r="H18">
            <v>15957</v>
          </cell>
          <cell r="I18">
            <v>368</v>
          </cell>
          <cell r="J18">
            <v>164</v>
          </cell>
          <cell r="K18">
            <v>133755</v>
          </cell>
          <cell r="L18">
            <v>422</v>
          </cell>
          <cell r="N18">
            <v>747087</v>
          </cell>
          <cell r="O18">
            <v>284</v>
          </cell>
          <cell r="Q18">
            <v>164275</v>
          </cell>
          <cell r="R18">
            <v>0</v>
          </cell>
          <cell r="S18">
            <v>5312.14</v>
          </cell>
          <cell r="T18">
            <v>167.97000000000025</v>
          </cell>
          <cell r="U18">
            <v>129</v>
          </cell>
          <cell r="V18">
            <v>2348</v>
          </cell>
          <cell r="W18">
            <v>29</v>
          </cell>
          <cell r="AC18">
            <v>6534813.5999999996</v>
          </cell>
          <cell r="AD18">
            <v>1900.0799999991432</v>
          </cell>
          <cell r="AF18">
            <v>12763275.84</v>
          </cell>
          <cell r="AG18">
            <v>4628.4000000003725</v>
          </cell>
          <cell r="AI18">
            <v>12091865.52</v>
          </cell>
          <cell r="AJ18">
            <v>6333.5999999996275</v>
          </cell>
          <cell r="AL18">
            <v>15174185.039999999</v>
          </cell>
          <cell r="AM18">
            <v>10182.480000000447</v>
          </cell>
          <cell r="AO18">
            <v>15529012.799999999</v>
          </cell>
          <cell r="AP18">
            <v>1169.2799999993294</v>
          </cell>
          <cell r="AR18">
            <v>14310379.439999999</v>
          </cell>
          <cell r="AS18">
            <v>5359.1999999992549</v>
          </cell>
          <cell r="AU18">
            <v>12223945.439999999</v>
          </cell>
          <cell r="AV18">
            <v>4482.2400000002235</v>
          </cell>
          <cell r="AX18">
            <v>11800812.24</v>
          </cell>
          <cell r="AY18">
            <v>4043.7599999997765</v>
          </cell>
          <cell r="BA18">
            <v>9425712.2400000002</v>
          </cell>
          <cell r="BB18">
            <v>3069.359999999404</v>
          </cell>
          <cell r="BD18">
            <v>14371571.76</v>
          </cell>
          <cell r="BE18">
            <v>5456.640000000596</v>
          </cell>
          <cell r="BK18">
            <v>60341300</v>
          </cell>
          <cell r="BL18">
            <v>31000</v>
          </cell>
          <cell r="BN18">
            <v>63184500</v>
          </cell>
          <cell r="BO18">
            <v>52800</v>
          </cell>
          <cell r="BQ18">
            <v>57971600</v>
          </cell>
          <cell r="BR18">
            <v>0</v>
          </cell>
          <cell r="BT18">
            <v>6295830</v>
          </cell>
          <cell r="BU18">
            <v>6520</v>
          </cell>
          <cell r="BW18">
            <v>0.8</v>
          </cell>
          <cell r="BX18">
            <v>-0.8</v>
          </cell>
          <cell r="BZ18">
            <v>53265</v>
          </cell>
          <cell r="CA18">
            <v>18</v>
          </cell>
          <cell r="CB18">
            <v>44953</v>
          </cell>
          <cell r="CC18">
            <v>15</v>
          </cell>
          <cell r="CD18">
            <v>15588</v>
          </cell>
          <cell r="CE18">
            <v>7</v>
          </cell>
          <cell r="CF18">
            <v>19881</v>
          </cell>
          <cell r="CG18">
            <v>11</v>
          </cell>
          <cell r="CH18">
            <v>21601</v>
          </cell>
          <cell r="CI18">
            <v>13</v>
          </cell>
          <cell r="CJ18">
            <v>49145</v>
          </cell>
          <cell r="CK18">
            <v>28</v>
          </cell>
          <cell r="CL18">
            <v>213854</v>
          </cell>
          <cell r="CM18">
            <v>104</v>
          </cell>
          <cell r="CO18">
            <v>162425</v>
          </cell>
          <cell r="CP18">
            <v>96</v>
          </cell>
          <cell r="CR18">
            <v>308195</v>
          </cell>
          <cell r="CS18">
            <v>0</v>
          </cell>
          <cell r="CU18">
            <v>570354</v>
          </cell>
          <cell r="CV18">
            <v>254</v>
          </cell>
          <cell r="CX18">
            <v>4918</v>
          </cell>
          <cell r="CY18">
            <v>4</v>
          </cell>
          <cell r="CZ18">
            <v>2542</v>
          </cell>
          <cell r="DA18">
            <v>2</v>
          </cell>
          <cell r="DB18">
            <v>24021</v>
          </cell>
          <cell r="DC18">
            <v>12.400000000001455</v>
          </cell>
          <cell r="DD18">
            <v>24499.4</v>
          </cell>
          <cell r="DE18">
            <v>9</v>
          </cell>
          <cell r="DF18">
            <v>17123.7</v>
          </cell>
          <cell r="DG18">
            <v>7.7000000000007276</v>
          </cell>
          <cell r="DH18">
            <v>20096.7</v>
          </cell>
          <cell r="DI18">
            <v>6.2999999999992724</v>
          </cell>
          <cell r="DJ18">
            <v>1478</v>
          </cell>
          <cell r="DK18">
            <v>5</v>
          </cell>
          <cell r="DL18">
            <v>4375</v>
          </cell>
          <cell r="DM18">
            <v>16</v>
          </cell>
          <cell r="DN18">
            <v>879</v>
          </cell>
          <cell r="DO18">
            <v>0</v>
          </cell>
          <cell r="DP18">
            <v>2300</v>
          </cell>
          <cell r="DQ18">
            <v>6</v>
          </cell>
          <cell r="DR18">
            <v>24636</v>
          </cell>
          <cell r="DS18">
            <v>27</v>
          </cell>
          <cell r="DU18">
            <v>1115</v>
          </cell>
          <cell r="DV18">
            <v>9</v>
          </cell>
          <cell r="DW18">
            <v>6515.2</v>
          </cell>
          <cell r="DX18">
            <v>4.8999999999996362</v>
          </cell>
          <cell r="DY18">
            <v>858.2</v>
          </cell>
          <cell r="DZ18">
            <v>6.4000000000000909</v>
          </cell>
          <cell r="EA18">
            <v>399.6</v>
          </cell>
          <cell r="EB18">
            <v>5</v>
          </cell>
          <cell r="EC18">
            <v>711817</v>
          </cell>
          <cell r="ED18">
            <v>778</v>
          </cell>
          <cell r="EG18">
            <v>143385.5</v>
          </cell>
          <cell r="EH18">
            <v>177.89999999999418</v>
          </cell>
          <cell r="EJ18">
            <v>8971600</v>
          </cell>
          <cell r="EK18">
            <v>6400</v>
          </cell>
          <cell r="EL18">
            <v>740500</v>
          </cell>
          <cell r="EM18">
            <v>410</v>
          </cell>
          <cell r="EN18">
            <v>5767300</v>
          </cell>
          <cell r="EO18">
            <v>2500</v>
          </cell>
          <cell r="EP18">
            <v>2034100</v>
          </cell>
          <cell r="EQ18">
            <v>800</v>
          </cell>
          <cell r="ER18">
            <v>802500</v>
          </cell>
          <cell r="ES18">
            <v>870</v>
          </cell>
          <cell r="ET18">
            <v>12651000</v>
          </cell>
          <cell r="EU18">
            <v>8800</v>
          </cell>
          <cell r="EW18">
            <v>34416</v>
          </cell>
          <cell r="EX18">
            <v>16</v>
          </cell>
          <cell r="EY18">
            <v>29757</v>
          </cell>
          <cell r="EZ18">
            <v>13</v>
          </cell>
          <cell r="FA18">
            <v>761</v>
          </cell>
          <cell r="FB18">
            <v>11</v>
          </cell>
          <cell r="FC18">
            <v>50634</v>
          </cell>
          <cell r="FD18">
            <v>13</v>
          </cell>
          <cell r="FE18">
            <v>31369</v>
          </cell>
          <cell r="FF18">
            <v>33</v>
          </cell>
        </row>
        <row r="19">
          <cell r="B19">
            <v>0.57999999999999996</v>
          </cell>
          <cell r="E19">
            <v>764637</v>
          </cell>
          <cell r="F19">
            <v>529</v>
          </cell>
          <cell r="G19">
            <v>319</v>
          </cell>
          <cell r="H19">
            <v>16274</v>
          </cell>
          <cell r="I19">
            <v>317</v>
          </cell>
          <cell r="J19">
            <v>179</v>
          </cell>
          <cell r="K19">
            <v>133986</v>
          </cell>
          <cell r="L19">
            <v>231</v>
          </cell>
          <cell r="N19">
            <v>747395</v>
          </cell>
          <cell r="O19">
            <v>308</v>
          </cell>
          <cell r="Q19">
            <v>164275</v>
          </cell>
          <cell r="R19">
            <v>0</v>
          </cell>
          <cell r="S19">
            <v>5466.23</v>
          </cell>
          <cell r="T19">
            <v>154.08999999999924</v>
          </cell>
          <cell r="U19">
            <v>145</v>
          </cell>
          <cell r="V19">
            <v>2373</v>
          </cell>
          <cell r="W19">
            <v>25</v>
          </cell>
          <cell r="AC19">
            <v>6537054.7199999997</v>
          </cell>
          <cell r="AD19">
            <v>2241.1200000001118</v>
          </cell>
          <cell r="AF19">
            <v>12769317.119999999</v>
          </cell>
          <cell r="AG19">
            <v>6041.2799999993294</v>
          </cell>
          <cell r="AI19">
            <v>12099173.52</v>
          </cell>
          <cell r="AJ19">
            <v>7308</v>
          </cell>
          <cell r="AL19">
            <v>15187047.119999999</v>
          </cell>
          <cell r="AM19">
            <v>12862.080000000075</v>
          </cell>
          <cell r="AO19">
            <v>15530376.959999999</v>
          </cell>
          <cell r="AP19">
            <v>1364.160000000149</v>
          </cell>
          <cell r="AR19">
            <v>14316810.48</v>
          </cell>
          <cell r="AS19">
            <v>6431.0400000009686</v>
          </cell>
          <cell r="AU19">
            <v>12229499.52</v>
          </cell>
          <cell r="AV19">
            <v>5554.0800000000745</v>
          </cell>
          <cell r="AX19">
            <v>11806074</v>
          </cell>
          <cell r="AY19">
            <v>5261.7599999997765</v>
          </cell>
          <cell r="BA19">
            <v>9429561.1199999992</v>
          </cell>
          <cell r="BB19">
            <v>3848.8799999989569</v>
          </cell>
          <cell r="BD19">
            <v>14379172.08</v>
          </cell>
          <cell r="BE19">
            <v>7600.320000000298</v>
          </cell>
          <cell r="BK19">
            <v>60371200</v>
          </cell>
          <cell r="BL19">
            <v>29900</v>
          </cell>
          <cell r="BN19">
            <v>63233300</v>
          </cell>
          <cell r="BO19">
            <v>48800</v>
          </cell>
          <cell r="BQ19">
            <v>57971600</v>
          </cell>
          <cell r="BR19">
            <v>0</v>
          </cell>
          <cell r="BT19">
            <v>6301000</v>
          </cell>
          <cell r="BU19">
            <v>5170</v>
          </cell>
          <cell r="BW19">
            <v>0.77</v>
          </cell>
          <cell r="BX19">
            <v>3.0000000000000027E-2</v>
          </cell>
          <cell r="BZ19">
            <v>53286</v>
          </cell>
          <cell r="CA19">
            <v>21</v>
          </cell>
          <cell r="CB19">
            <v>44968</v>
          </cell>
          <cell r="CC19">
            <v>15</v>
          </cell>
          <cell r="CD19">
            <v>15595</v>
          </cell>
          <cell r="CE19">
            <v>7</v>
          </cell>
          <cell r="CF19">
            <v>19894</v>
          </cell>
          <cell r="CG19">
            <v>13</v>
          </cell>
          <cell r="CH19">
            <v>21617</v>
          </cell>
          <cell r="CI19">
            <v>16</v>
          </cell>
          <cell r="CJ19">
            <v>49176</v>
          </cell>
          <cell r="CK19">
            <v>31</v>
          </cell>
          <cell r="CL19">
            <v>213957</v>
          </cell>
          <cell r="CM19">
            <v>103</v>
          </cell>
          <cell r="CO19">
            <v>162520</v>
          </cell>
          <cell r="CP19">
            <v>95</v>
          </cell>
          <cell r="CR19">
            <v>308195</v>
          </cell>
          <cell r="CS19">
            <v>0</v>
          </cell>
          <cell r="CU19">
            <v>570606</v>
          </cell>
          <cell r="CV19">
            <v>252</v>
          </cell>
          <cell r="CX19">
            <v>4920</v>
          </cell>
          <cell r="CY19">
            <v>2</v>
          </cell>
          <cell r="CZ19">
            <v>2544</v>
          </cell>
          <cell r="DA19">
            <v>2</v>
          </cell>
          <cell r="DB19">
            <v>24030.400000000001</v>
          </cell>
          <cell r="DC19">
            <v>9.4000000000014552</v>
          </cell>
          <cell r="DD19">
            <v>24507.1</v>
          </cell>
          <cell r="DE19">
            <v>7.6999999999970896</v>
          </cell>
          <cell r="DF19">
            <v>17123.7</v>
          </cell>
          <cell r="DG19">
            <v>0</v>
          </cell>
          <cell r="DH19">
            <v>20096.7</v>
          </cell>
          <cell r="DI19">
            <v>0</v>
          </cell>
          <cell r="DJ19">
            <v>1484</v>
          </cell>
          <cell r="DK19">
            <v>6</v>
          </cell>
          <cell r="DL19">
            <v>4387</v>
          </cell>
          <cell r="DM19">
            <v>12</v>
          </cell>
          <cell r="DN19">
            <v>879</v>
          </cell>
          <cell r="DO19">
            <v>0</v>
          </cell>
          <cell r="DP19">
            <v>2305</v>
          </cell>
          <cell r="DQ19">
            <v>5</v>
          </cell>
          <cell r="DR19">
            <v>24645</v>
          </cell>
          <cell r="DS19">
            <v>9</v>
          </cell>
          <cell r="DU19">
            <v>1122.0999999999999</v>
          </cell>
          <cell r="DV19">
            <v>7.0999999999999091</v>
          </cell>
          <cell r="DW19">
            <v>6521.3</v>
          </cell>
          <cell r="DX19">
            <v>6.1000000000003638</v>
          </cell>
          <cell r="DY19">
            <v>864.1</v>
          </cell>
          <cell r="DZ19">
            <v>5.8999999999999773</v>
          </cell>
          <cell r="EA19">
            <v>406</v>
          </cell>
          <cell r="EB19">
            <v>6.3999999999999773</v>
          </cell>
          <cell r="EC19">
            <v>712509</v>
          </cell>
          <cell r="ED19">
            <v>692</v>
          </cell>
          <cell r="EG19">
            <v>143527.1</v>
          </cell>
          <cell r="EH19">
            <v>141.60000000000582</v>
          </cell>
          <cell r="EJ19">
            <v>8975100</v>
          </cell>
          <cell r="EK19">
            <v>3500</v>
          </cell>
          <cell r="EL19">
            <v>740720</v>
          </cell>
          <cell r="EM19">
            <v>220</v>
          </cell>
          <cell r="EN19">
            <v>5768900</v>
          </cell>
          <cell r="EO19">
            <v>1600</v>
          </cell>
          <cell r="EP19">
            <v>2034700</v>
          </cell>
          <cell r="EQ19">
            <v>600</v>
          </cell>
          <cell r="ER19">
            <v>803230</v>
          </cell>
          <cell r="ES19">
            <v>730</v>
          </cell>
          <cell r="ET19">
            <v>12655900</v>
          </cell>
          <cell r="EU19">
            <v>4900</v>
          </cell>
          <cell r="EW19">
            <v>34429</v>
          </cell>
          <cell r="EX19">
            <v>13</v>
          </cell>
          <cell r="EY19">
            <v>29766</v>
          </cell>
          <cell r="EZ19">
            <v>9</v>
          </cell>
          <cell r="FA19">
            <v>773</v>
          </cell>
          <cell r="FB19">
            <v>12</v>
          </cell>
          <cell r="FC19">
            <v>50646</v>
          </cell>
          <cell r="FD19">
            <v>12</v>
          </cell>
          <cell r="FE19">
            <v>31392</v>
          </cell>
          <cell r="FF19">
            <v>23</v>
          </cell>
        </row>
        <row r="20">
          <cell r="B20">
            <v>0.75</v>
          </cell>
          <cell r="E20">
            <v>765144</v>
          </cell>
          <cell r="F20">
            <v>507</v>
          </cell>
          <cell r="G20">
            <v>328</v>
          </cell>
          <cell r="H20">
            <v>16580</v>
          </cell>
          <cell r="I20">
            <v>306</v>
          </cell>
          <cell r="J20">
            <v>139</v>
          </cell>
          <cell r="K20">
            <v>134182</v>
          </cell>
          <cell r="L20">
            <v>196</v>
          </cell>
          <cell r="N20">
            <v>747671</v>
          </cell>
          <cell r="O20">
            <v>276</v>
          </cell>
          <cell r="Q20">
            <v>164275</v>
          </cell>
          <cell r="R20">
            <v>0</v>
          </cell>
          <cell r="S20">
            <v>5628.37</v>
          </cell>
          <cell r="T20">
            <v>162.14000000000033</v>
          </cell>
          <cell r="U20">
            <v>122</v>
          </cell>
          <cell r="V20">
            <v>2403</v>
          </cell>
          <cell r="W20">
            <v>30</v>
          </cell>
          <cell r="AC20">
            <v>6538565.04</v>
          </cell>
          <cell r="AD20">
            <v>1510.320000000298</v>
          </cell>
          <cell r="AF20">
            <v>12772678.799999999</v>
          </cell>
          <cell r="AG20">
            <v>3361.679999999702</v>
          </cell>
          <cell r="AI20">
            <v>12104142.959999999</v>
          </cell>
          <cell r="AJ20">
            <v>4969.4399999994785</v>
          </cell>
          <cell r="AL20">
            <v>15194355.119999999</v>
          </cell>
          <cell r="AM20">
            <v>7308</v>
          </cell>
          <cell r="AO20">
            <v>15531253.919999998</v>
          </cell>
          <cell r="AP20">
            <v>876.95999999903142</v>
          </cell>
          <cell r="AR20">
            <v>14320659.359999999</v>
          </cell>
          <cell r="AS20">
            <v>3848.8799999989569</v>
          </cell>
          <cell r="AU20">
            <v>12232666.319999998</v>
          </cell>
          <cell r="AV20">
            <v>3166.7999999988824</v>
          </cell>
          <cell r="AX20">
            <v>11808899.76</v>
          </cell>
          <cell r="AY20">
            <v>2825.7599999997765</v>
          </cell>
          <cell r="BA20">
            <v>9431704.7999999989</v>
          </cell>
          <cell r="BB20">
            <v>2143.679999999702</v>
          </cell>
          <cell r="BD20">
            <v>14383703.039999999</v>
          </cell>
          <cell r="BE20">
            <v>4530.9599999990314</v>
          </cell>
          <cell r="BK20">
            <v>60400900</v>
          </cell>
          <cell r="BL20">
            <v>29700</v>
          </cell>
          <cell r="BN20">
            <v>63287500</v>
          </cell>
          <cell r="BO20">
            <v>54200</v>
          </cell>
          <cell r="BQ20">
            <v>57971600</v>
          </cell>
          <cell r="BR20">
            <v>0</v>
          </cell>
          <cell r="BT20">
            <v>6306840</v>
          </cell>
          <cell r="BU20">
            <v>5840</v>
          </cell>
          <cell r="BW20">
            <v>0.8</v>
          </cell>
          <cell r="BX20">
            <v>-3.0000000000000027E-2</v>
          </cell>
          <cell r="BZ20">
            <v>53298</v>
          </cell>
          <cell r="CA20">
            <v>12</v>
          </cell>
          <cell r="CB20">
            <v>44977</v>
          </cell>
          <cell r="CC20">
            <v>9</v>
          </cell>
          <cell r="CD20">
            <v>15603</v>
          </cell>
          <cell r="CE20">
            <v>14</v>
          </cell>
          <cell r="CF20">
            <v>19900</v>
          </cell>
          <cell r="CG20">
            <v>6</v>
          </cell>
          <cell r="CH20">
            <v>21624</v>
          </cell>
          <cell r="CI20">
            <v>7</v>
          </cell>
          <cell r="CJ20">
            <v>49191</v>
          </cell>
          <cell r="CK20">
            <v>15</v>
          </cell>
          <cell r="CL20">
            <v>214061</v>
          </cell>
          <cell r="CM20">
            <v>104</v>
          </cell>
          <cell r="CO20">
            <v>162607</v>
          </cell>
          <cell r="CP20">
            <v>87</v>
          </cell>
          <cell r="CR20">
            <v>308195</v>
          </cell>
          <cell r="CS20">
            <v>0</v>
          </cell>
          <cell r="CU20">
            <v>570868</v>
          </cell>
          <cell r="CV20">
            <v>262</v>
          </cell>
          <cell r="CX20">
            <v>4923</v>
          </cell>
          <cell r="CY20">
            <v>3</v>
          </cell>
          <cell r="CZ20">
            <v>2546</v>
          </cell>
          <cell r="DA20">
            <v>2</v>
          </cell>
          <cell r="DB20">
            <v>24038.5</v>
          </cell>
          <cell r="DC20">
            <v>8.0999999999985448</v>
          </cell>
          <cell r="DD20">
            <v>24516.5</v>
          </cell>
          <cell r="DE20">
            <v>9.4000000000014552</v>
          </cell>
          <cell r="DF20">
            <v>17123.7</v>
          </cell>
          <cell r="DG20">
            <v>0</v>
          </cell>
          <cell r="DH20">
            <v>20096.7</v>
          </cell>
          <cell r="DI20">
            <v>0</v>
          </cell>
          <cell r="DJ20">
            <v>1490</v>
          </cell>
          <cell r="DK20">
            <v>6</v>
          </cell>
          <cell r="DL20">
            <v>4400</v>
          </cell>
          <cell r="DM20">
            <v>13</v>
          </cell>
          <cell r="DN20">
            <v>879</v>
          </cell>
          <cell r="DO20">
            <v>0</v>
          </cell>
          <cell r="DP20">
            <v>2310</v>
          </cell>
          <cell r="DQ20">
            <v>5</v>
          </cell>
          <cell r="DR20">
            <v>24663</v>
          </cell>
          <cell r="DS20">
            <v>18</v>
          </cell>
          <cell r="DU20">
            <v>1130.2</v>
          </cell>
          <cell r="DV20">
            <v>8.1000000000001364</v>
          </cell>
          <cell r="DW20">
            <v>6525.1</v>
          </cell>
          <cell r="DX20">
            <v>3.8000000000001819</v>
          </cell>
          <cell r="DY20">
            <v>870.6</v>
          </cell>
          <cell r="DZ20">
            <v>6.5</v>
          </cell>
          <cell r="EA20">
            <v>413.8</v>
          </cell>
          <cell r="EB20">
            <v>7.8000000000000114</v>
          </cell>
          <cell r="EC20">
            <v>713239</v>
          </cell>
          <cell r="ED20">
            <v>730</v>
          </cell>
          <cell r="EG20">
            <v>143686.20000000001</v>
          </cell>
          <cell r="EH20">
            <v>159.10000000000582</v>
          </cell>
          <cell r="EJ20">
            <v>8980400</v>
          </cell>
          <cell r="EK20">
            <v>5300</v>
          </cell>
          <cell r="EL20">
            <v>740990</v>
          </cell>
          <cell r="EM20">
            <v>270</v>
          </cell>
          <cell r="EN20">
            <v>5771100</v>
          </cell>
          <cell r="EO20">
            <v>2200</v>
          </cell>
          <cell r="EP20">
            <v>2035500</v>
          </cell>
          <cell r="EQ20">
            <v>800</v>
          </cell>
          <cell r="ER20">
            <v>804210</v>
          </cell>
          <cell r="ES20">
            <v>980</v>
          </cell>
          <cell r="ET20">
            <v>12659500</v>
          </cell>
          <cell r="EU20">
            <v>3600</v>
          </cell>
          <cell r="EW20">
            <v>34443</v>
          </cell>
          <cell r="EX20">
            <v>14</v>
          </cell>
          <cell r="EY20">
            <v>29778</v>
          </cell>
          <cell r="EZ20">
            <v>12</v>
          </cell>
          <cell r="FA20">
            <v>784</v>
          </cell>
          <cell r="FB20">
            <v>11</v>
          </cell>
          <cell r="FC20">
            <v>50660</v>
          </cell>
          <cell r="FD20">
            <v>14</v>
          </cell>
          <cell r="FE20">
            <v>31425</v>
          </cell>
          <cell r="FF20">
            <v>33</v>
          </cell>
        </row>
        <row r="21">
          <cell r="B21">
            <v>0.57999999999999996</v>
          </cell>
          <cell r="E21">
            <v>765696</v>
          </cell>
          <cell r="F21">
            <v>552</v>
          </cell>
          <cell r="G21">
            <v>260</v>
          </cell>
          <cell r="H21">
            <v>16912</v>
          </cell>
          <cell r="I21">
            <v>332</v>
          </cell>
          <cell r="J21">
            <v>200</v>
          </cell>
          <cell r="K21">
            <v>134477</v>
          </cell>
          <cell r="L21">
            <v>295</v>
          </cell>
          <cell r="N21">
            <v>747936</v>
          </cell>
          <cell r="O21">
            <v>265</v>
          </cell>
          <cell r="Q21">
            <v>164275</v>
          </cell>
          <cell r="R21">
            <v>0</v>
          </cell>
          <cell r="S21">
            <v>5797.34</v>
          </cell>
          <cell r="T21">
            <v>168.97000000000025</v>
          </cell>
          <cell r="U21">
            <v>94</v>
          </cell>
          <cell r="V21">
            <v>2432</v>
          </cell>
          <cell r="W21">
            <v>29</v>
          </cell>
          <cell r="AC21">
            <v>6540318.959999999</v>
          </cell>
          <cell r="AD21">
            <v>1753.9199999989942</v>
          </cell>
          <cell r="AF21">
            <v>12777648.24</v>
          </cell>
          <cell r="AG21">
            <v>4969.4400000013411</v>
          </cell>
          <cell r="AI21">
            <v>12111548.4</v>
          </cell>
          <cell r="AJ21">
            <v>7405.4400000013411</v>
          </cell>
          <cell r="AL21">
            <v>15204927.359999999</v>
          </cell>
          <cell r="AM21">
            <v>10572.240000000224</v>
          </cell>
          <cell r="AO21">
            <v>15532423.199999999</v>
          </cell>
          <cell r="AP21">
            <v>1169.2800000011921</v>
          </cell>
          <cell r="AR21">
            <v>14326018.559999999</v>
          </cell>
          <cell r="AS21">
            <v>5359.1999999992549</v>
          </cell>
          <cell r="AU21">
            <v>12237148.559999999</v>
          </cell>
          <cell r="AV21">
            <v>4482.2400000002235</v>
          </cell>
          <cell r="AX21">
            <v>11813430.719999999</v>
          </cell>
          <cell r="AY21">
            <v>4530.9599999990314</v>
          </cell>
          <cell r="BA21">
            <v>9434725.4399999995</v>
          </cell>
          <cell r="BB21">
            <v>3020.640000000596</v>
          </cell>
          <cell r="BD21">
            <v>14390134.08</v>
          </cell>
          <cell r="BE21">
            <v>6431.0400000009686</v>
          </cell>
          <cell r="BK21">
            <v>60436700</v>
          </cell>
          <cell r="BL21">
            <v>35800</v>
          </cell>
          <cell r="BN21">
            <v>63337000</v>
          </cell>
          <cell r="BO21">
            <v>49500</v>
          </cell>
          <cell r="BQ21">
            <v>57971600</v>
          </cell>
          <cell r="BR21">
            <v>0</v>
          </cell>
          <cell r="BT21">
            <v>6312690</v>
          </cell>
          <cell r="BU21">
            <v>5850</v>
          </cell>
          <cell r="BW21">
            <v>0.75</v>
          </cell>
          <cell r="BX21">
            <v>5.0000000000000044E-2</v>
          </cell>
          <cell r="BZ21">
            <v>53315</v>
          </cell>
          <cell r="CA21">
            <v>17</v>
          </cell>
          <cell r="CB21">
            <v>44990</v>
          </cell>
          <cell r="CC21">
            <v>13</v>
          </cell>
          <cell r="CD21">
            <v>15610</v>
          </cell>
          <cell r="CE21">
            <v>7</v>
          </cell>
          <cell r="CF21">
            <v>19910</v>
          </cell>
          <cell r="CG21">
            <v>10</v>
          </cell>
          <cell r="CH21">
            <v>21637</v>
          </cell>
          <cell r="CI21">
            <v>13</v>
          </cell>
          <cell r="CJ21">
            <v>49217</v>
          </cell>
          <cell r="CK21">
            <v>26</v>
          </cell>
          <cell r="CL21">
            <v>214170</v>
          </cell>
          <cell r="CM21">
            <v>109</v>
          </cell>
          <cell r="CO21">
            <v>162699</v>
          </cell>
          <cell r="CP21">
            <v>92</v>
          </cell>
          <cell r="CR21">
            <v>308195</v>
          </cell>
          <cell r="CS21">
            <v>0</v>
          </cell>
          <cell r="CU21">
            <v>571147</v>
          </cell>
          <cell r="CV21">
            <v>279</v>
          </cell>
          <cell r="CX21">
            <v>4926</v>
          </cell>
          <cell r="CY21">
            <v>3</v>
          </cell>
          <cell r="CZ21">
            <v>2549</v>
          </cell>
          <cell r="DA21">
            <v>3</v>
          </cell>
          <cell r="DB21">
            <v>24048.5</v>
          </cell>
          <cell r="DC21">
            <v>10</v>
          </cell>
          <cell r="DD21">
            <v>24524.5</v>
          </cell>
          <cell r="DE21">
            <v>8</v>
          </cell>
          <cell r="DF21">
            <v>17148</v>
          </cell>
          <cell r="DG21">
            <v>24.299999999999272</v>
          </cell>
          <cell r="DH21">
            <v>20120</v>
          </cell>
          <cell r="DI21">
            <v>23.299999999999272</v>
          </cell>
          <cell r="DJ21">
            <v>1496</v>
          </cell>
          <cell r="DK21">
            <v>6</v>
          </cell>
          <cell r="DL21">
            <v>4412</v>
          </cell>
          <cell r="DM21">
            <v>12</v>
          </cell>
          <cell r="DN21">
            <v>879</v>
          </cell>
          <cell r="DO21">
            <v>0</v>
          </cell>
          <cell r="DP21">
            <v>2316</v>
          </cell>
          <cell r="DQ21">
            <v>6</v>
          </cell>
          <cell r="DR21">
            <v>24682</v>
          </cell>
          <cell r="DS21">
            <v>19</v>
          </cell>
          <cell r="DU21">
            <v>1138.4000000000001</v>
          </cell>
          <cell r="DV21">
            <v>8.2000000000000455</v>
          </cell>
          <cell r="DW21">
            <v>6530.3</v>
          </cell>
          <cell r="DX21">
            <v>5.1999999999998181</v>
          </cell>
          <cell r="DY21">
            <v>877.7</v>
          </cell>
          <cell r="DZ21">
            <v>7.1000000000000227</v>
          </cell>
          <cell r="EA21">
            <v>422</v>
          </cell>
          <cell r="EB21">
            <v>8.1999999999999886</v>
          </cell>
          <cell r="EC21">
            <v>713938</v>
          </cell>
          <cell r="ED21">
            <v>699</v>
          </cell>
          <cell r="EG21">
            <v>143851.79999999999</v>
          </cell>
          <cell r="EH21">
            <v>165.59999999997672</v>
          </cell>
          <cell r="EJ21">
            <v>8986500</v>
          </cell>
          <cell r="EK21">
            <v>6100</v>
          </cell>
          <cell r="EL21">
            <v>741230</v>
          </cell>
          <cell r="EM21">
            <v>240</v>
          </cell>
          <cell r="EN21">
            <v>5773500</v>
          </cell>
          <cell r="EO21">
            <v>2400</v>
          </cell>
          <cell r="EP21">
            <v>2036300</v>
          </cell>
          <cell r="EQ21">
            <v>800</v>
          </cell>
          <cell r="ER21">
            <v>805210</v>
          </cell>
          <cell r="ES21">
            <v>1000</v>
          </cell>
          <cell r="ET21">
            <v>12664600</v>
          </cell>
          <cell r="EU21">
            <v>5100</v>
          </cell>
          <cell r="EW21">
            <v>34457</v>
          </cell>
          <cell r="EX21">
            <v>14</v>
          </cell>
          <cell r="EY21">
            <v>29791</v>
          </cell>
          <cell r="EZ21">
            <v>13</v>
          </cell>
          <cell r="FA21">
            <v>796</v>
          </cell>
          <cell r="FB21">
            <v>12</v>
          </cell>
          <cell r="FC21">
            <v>50672</v>
          </cell>
          <cell r="FD21">
            <v>12</v>
          </cell>
          <cell r="FE21">
            <v>31455</v>
          </cell>
          <cell r="FF21">
            <v>30</v>
          </cell>
        </row>
        <row r="22">
          <cell r="B22">
            <v>0.7</v>
          </cell>
          <cell r="E22">
            <v>766268</v>
          </cell>
          <cell r="F22">
            <v>572</v>
          </cell>
          <cell r="G22">
            <v>276</v>
          </cell>
          <cell r="H22">
            <v>17254</v>
          </cell>
          <cell r="I22">
            <v>342</v>
          </cell>
          <cell r="J22">
            <v>151</v>
          </cell>
          <cell r="K22">
            <v>134925</v>
          </cell>
          <cell r="L22">
            <v>448</v>
          </cell>
          <cell r="N22">
            <v>748290</v>
          </cell>
          <cell r="O22">
            <v>354</v>
          </cell>
          <cell r="Q22">
            <v>164275</v>
          </cell>
          <cell r="R22">
            <v>0</v>
          </cell>
          <cell r="S22">
            <v>5980.51</v>
          </cell>
          <cell r="T22">
            <v>183.17000000000007</v>
          </cell>
          <cell r="U22">
            <v>86</v>
          </cell>
          <cell r="V22">
            <v>2462</v>
          </cell>
          <cell r="W22">
            <v>30</v>
          </cell>
          <cell r="AC22">
            <v>6542462.6400000006</v>
          </cell>
          <cell r="AD22">
            <v>2143.6800000015646</v>
          </cell>
          <cell r="AF22">
            <v>12782325.359999999</v>
          </cell>
          <cell r="AG22">
            <v>4677.1199999991804</v>
          </cell>
          <cell r="AI22">
            <v>12119782.08</v>
          </cell>
          <cell r="AJ22">
            <v>8233.679999999702</v>
          </cell>
          <cell r="AL22">
            <v>15215938.08</v>
          </cell>
          <cell r="AM22">
            <v>11010.720000000671</v>
          </cell>
          <cell r="AO22">
            <v>15533787.359999999</v>
          </cell>
          <cell r="AP22">
            <v>1364.160000000149</v>
          </cell>
          <cell r="AR22">
            <v>14331134.16</v>
          </cell>
          <cell r="AS22">
            <v>5115.6000000014901</v>
          </cell>
          <cell r="AU22">
            <v>12241435.92</v>
          </cell>
          <cell r="AV22">
            <v>4287.3600000012666</v>
          </cell>
          <cell r="AX22">
            <v>11817474.48</v>
          </cell>
          <cell r="AY22">
            <v>4043.7600000016391</v>
          </cell>
          <cell r="BA22">
            <v>9437746.0800000001</v>
          </cell>
          <cell r="BB22">
            <v>3020.640000000596</v>
          </cell>
          <cell r="BD22">
            <v>14396516.4</v>
          </cell>
          <cell r="BE22">
            <v>6382.320000000298</v>
          </cell>
          <cell r="BK22">
            <v>60477200</v>
          </cell>
          <cell r="BL22">
            <v>40500</v>
          </cell>
          <cell r="BN22">
            <v>63391600</v>
          </cell>
          <cell r="BO22">
            <v>54600</v>
          </cell>
          <cell r="BQ22">
            <v>57971600</v>
          </cell>
          <cell r="BR22">
            <v>0</v>
          </cell>
          <cell r="BT22">
            <v>6318820</v>
          </cell>
          <cell r="BU22">
            <v>6130</v>
          </cell>
          <cell r="BW22">
            <v>0.78</v>
          </cell>
          <cell r="BX22">
            <v>-3.0000000000000027E-2</v>
          </cell>
          <cell r="BZ22">
            <v>53333</v>
          </cell>
          <cell r="CA22">
            <v>18</v>
          </cell>
          <cell r="CB22">
            <v>45000</v>
          </cell>
          <cell r="CC22">
            <v>10</v>
          </cell>
          <cell r="CD22">
            <v>15611</v>
          </cell>
          <cell r="CE22">
            <v>1</v>
          </cell>
          <cell r="CF22">
            <v>19920</v>
          </cell>
          <cell r="CG22">
            <v>10</v>
          </cell>
          <cell r="CH22">
            <v>21644</v>
          </cell>
          <cell r="CI22">
            <v>7</v>
          </cell>
          <cell r="CJ22">
            <v>49245</v>
          </cell>
          <cell r="CK22">
            <v>28</v>
          </cell>
          <cell r="CL22">
            <v>214269</v>
          </cell>
          <cell r="CM22">
            <v>99</v>
          </cell>
          <cell r="CO22">
            <v>162790</v>
          </cell>
          <cell r="CP22">
            <v>91</v>
          </cell>
          <cell r="CR22">
            <v>308195</v>
          </cell>
          <cell r="CS22">
            <v>0</v>
          </cell>
          <cell r="CU22">
            <v>571400</v>
          </cell>
          <cell r="CV22">
            <v>253</v>
          </cell>
          <cell r="CX22">
            <v>4932</v>
          </cell>
          <cell r="CY22">
            <v>6</v>
          </cell>
          <cell r="CZ22">
            <v>2555</v>
          </cell>
          <cell r="DA22">
            <v>6</v>
          </cell>
          <cell r="DB22">
            <v>24061.200000000001</v>
          </cell>
          <cell r="DC22">
            <v>12.700000000000728</v>
          </cell>
          <cell r="DD22">
            <v>24534.400000000001</v>
          </cell>
          <cell r="DE22">
            <v>9.9000000000014552</v>
          </cell>
          <cell r="DF22">
            <v>17156</v>
          </cell>
          <cell r="DG22">
            <v>8</v>
          </cell>
          <cell r="DH22">
            <v>20129</v>
          </cell>
          <cell r="DI22">
            <v>9</v>
          </cell>
          <cell r="DJ22">
            <v>1504</v>
          </cell>
          <cell r="DK22">
            <v>8</v>
          </cell>
          <cell r="DL22">
            <v>4426</v>
          </cell>
          <cell r="DM22">
            <v>14</v>
          </cell>
          <cell r="DN22">
            <v>879</v>
          </cell>
          <cell r="DO22">
            <v>0</v>
          </cell>
          <cell r="DP22">
            <v>2324</v>
          </cell>
          <cell r="DQ22">
            <v>8</v>
          </cell>
          <cell r="DR22">
            <v>24699</v>
          </cell>
          <cell r="DS22">
            <v>17</v>
          </cell>
          <cell r="DU22">
            <v>1146.9000000000001</v>
          </cell>
          <cell r="DV22">
            <v>8.5</v>
          </cell>
          <cell r="DW22">
            <v>6536.2</v>
          </cell>
          <cell r="DX22">
            <v>5.8999999999996362</v>
          </cell>
          <cell r="DY22">
            <v>884.3</v>
          </cell>
          <cell r="DZ22">
            <v>6.5999999999999091</v>
          </cell>
          <cell r="EA22">
            <v>429.7</v>
          </cell>
          <cell r="EB22">
            <v>7.6999999999999886</v>
          </cell>
          <cell r="EC22">
            <v>714769</v>
          </cell>
          <cell r="ED22">
            <v>831</v>
          </cell>
          <cell r="EG22">
            <v>144013.5</v>
          </cell>
          <cell r="EH22">
            <v>161.70000000001164</v>
          </cell>
          <cell r="EJ22">
            <v>8992000</v>
          </cell>
          <cell r="EK22">
            <v>5500</v>
          </cell>
          <cell r="EL22">
            <v>741470</v>
          </cell>
          <cell r="EM22">
            <v>240</v>
          </cell>
          <cell r="EN22">
            <v>5775900</v>
          </cell>
          <cell r="EO22">
            <v>2400</v>
          </cell>
          <cell r="EP22">
            <v>2037100</v>
          </cell>
          <cell r="EQ22">
            <v>800</v>
          </cell>
          <cell r="ER22">
            <v>806110</v>
          </cell>
          <cell r="ES22">
            <v>900</v>
          </cell>
          <cell r="ET22">
            <v>12669500</v>
          </cell>
          <cell r="EU22">
            <v>4900</v>
          </cell>
          <cell r="EW22">
            <v>34472</v>
          </cell>
          <cell r="EX22">
            <v>15</v>
          </cell>
          <cell r="EY22">
            <v>29806</v>
          </cell>
          <cell r="EZ22">
            <v>15</v>
          </cell>
          <cell r="FA22">
            <v>808</v>
          </cell>
          <cell r="FB22">
            <v>12</v>
          </cell>
          <cell r="FC22">
            <v>50690</v>
          </cell>
          <cell r="FD22">
            <v>18</v>
          </cell>
          <cell r="FE22">
            <v>31490</v>
          </cell>
          <cell r="FF22">
            <v>35</v>
          </cell>
        </row>
        <row r="23">
          <cell r="B23">
            <v>0.69</v>
          </cell>
          <cell r="E23">
            <v>766899</v>
          </cell>
          <cell r="F23">
            <v>631</v>
          </cell>
          <cell r="G23">
            <v>258</v>
          </cell>
          <cell r="H23">
            <v>17634</v>
          </cell>
          <cell r="I23">
            <v>380</v>
          </cell>
          <cell r="J23">
            <v>166</v>
          </cell>
          <cell r="K23">
            <v>135197</v>
          </cell>
          <cell r="L23">
            <v>272</v>
          </cell>
          <cell r="N23">
            <v>748591</v>
          </cell>
          <cell r="O23">
            <v>301</v>
          </cell>
          <cell r="Q23">
            <v>164275</v>
          </cell>
          <cell r="R23">
            <v>0</v>
          </cell>
          <cell r="S23">
            <v>6185.15</v>
          </cell>
          <cell r="T23">
            <v>204.63999999999942</v>
          </cell>
          <cell r="U23">
            <v>96</v>
          </cell>
          <cell r="V23">
            <v>2499</v>
          </cell>
          <cell r="W23">
            <v>37</v>
          </cell>
          <cell r="AC23">
            <v>6544606.3200000003</v>
          </cell>
          <cell r="AD23">
            <v>2143.679999999702</v>
          </cell>
          <cell r="AF23">
            <v>12786807.6</v>
          </cell>
          <cell r="AG23">
            <v>4482.2400000002235</v>
          </cell>
          <cell r="AI23">
            <v>12128502.959999999</v>
          </cell>
          <cell r="AJ23">
            <v>8720.8799999989569</v>
          </cell>
          <cell r="AL23">
            <v>15227582.16</v>
          </cell>
          <cell r="AM23">
            <v>11644.080000000075</v>
          </cell>
          <cell r="AO23">
            <v>15535346.4</v>
          </cell>
          <cell r="AP23">
            <v>1559.0400000009686</v>
          </cell>
          <cell r="AR23">
            <v>14336201.039999999</v>
          </cell>
          <cell r="AS23">
            <v>5066.8799999989569</v>
          </cell>
          <cell r="AU23">
            <v>12245674.559999999</v>
          </cell>
          <cell r="AV23">
            <v>4238.6399999987334</v>
          </cell>
          <cell r="AX23">
            <v>11821469.52</v>
          </cell>
          <cell r="AY23">
            <v>3995.0399999991059</v>
          </cell>
          <cell r="BA23">
            <v>9440815.4399999995</v>
          </cell>
          <cell r="BB23">
            <v>3069.359999999404</v>
          </cell>
          <cell r="BD23">
            <v>14402801.280000001</v>
          </cell>
          <cell r="BE23">
            <v>6284.8800000008196</v>
          </cell>
          <cell r="BK23">
            <v>60522600</v>
          </cell>
          <cell r="BL23">
            <v>45400</v>
          </cell>
          <cell r="BN23">
            <v>63453500</v>
          </cell>
          <cell r="BO23">
            <v>61900</v>
          </cell>
          <cell r="BQ23">
            <v>57971600</v>
          </cell>
          <cell r="BR23">
            <v>0</v>
          </cell>
          <cell r="BT23">
            <v>6325570</v>
          </cell>
          <cell r="BU23">
            <v>6750</v>
          </cell>
          <cell r="BW23">
            <v>0.75</v>
          </cell>
          <cell r="BX23">
            <v>3.0000000000000027E-2</v>
          </cell>
          <cell r="BZ23">
            <v>53353</v>
          </cell>
          <cell r="CA23">
            <v>20</v>
          </cell>
          <cell r="CB23">
            <v>45013</v>
          </cell>
          <cell r="CC23">
            <v>13</v>
          </cell>
          <cell r="CD23">
            <v>15617</v>
          </cell>
          <cell r="CE23">
            <v>6</v>
          </cell>
          <cell r="CF23">
            <v>19930</v>
          </cell>
          <cell r="CG23">
            <v>10</v>
          </cell>
          <cell r="CH23">
            <v>21648</v>
          </cell>
          <cell r="CI23">
            <v>4</v>
          </cell>
          <cell r="CJ23">
            <v>49272</v>
          </cell>
          <cell r="CK23">
            <v>27</v>
          </cell>
          <cell r="CL23">
            <v>214374</v>
          </cell>
          <cell r="CM23">
            <v>105</v>
          </cell>
          <cell r="CO23">
            <v>162891</v>
          </cell>
          <cell r="CP23">
            <v>101</v>
          </cell>
          <cell r="CR23">
            <v>308195</v>
          </cell>
          <cell r="CS23">
            <v>0</v>
          </cell>
          <cell r="CU23">
            <v>571670</v>
          </cell>
          <cell r="CV23">
            <v>270</v>
          </cell>
          <cell r="CX23">
            <v>4940</v>
          </cell>
          <cell r="CY23">
            <v>8</v>
          </cell>
          <cell r="CZ23">
            <v>2561</v>
          </cell>
          <cell r="DA23">
            <v>6</v>
          </cell>
          <cell r="DB23">
            <v>24073.599999999999</v>
          </cell>
          <cell r="DC23">
            <v>12.399999999997817</v>
          </cell>
          <cell r="DD23">
            <v>24544.5</v>
          </cell>
          <cell r="DE23">
            <v>10.099999999998545</v>
          </cell>
          <cell r="DF23">
            <v>17164</v>
          </cell>
          <cell r="DG23">
            <v>8</v>
          </cell>
          <cell r="DH23">
            <v>20136</v>
          </cell>
          <cell r="DI23">
            <v>7</v>
          </cell>
          <cell r="DJ23">
            <v>1511</v>
          </cell>
          <cell r="DK23">
            <v>7</v>
          </cell>
          <cell r="DL23">
            <v>4441</v>
          </cell>
          <cell r="DM23">
            <v>15</v>
          </cell>
          <cell r="DN23">
            <v>879</v>
          </cell>
          <cell r="DO23">
            <v>0</v>
          </cell>
          <cell r="DP23">
            <v>2333</v>
          </cell>
          <cell r="DQ23">
            <v>9</v>
          </cell>
          <cell r="DR23">
            <v>24717</v>
          </cell>
          <cell r="DS23">
            <v>18</v>
          </cell>
          <cell r="DU23">
            <v>1155.5999999999999</v>
          </cell>
          <cell r="DV23">
            <v>8.6999999999998181</v>
          </cell>
          <cell r="DW23">
            <v>6542.2</v>
          </cell>
          <cell r="DX23">
            <v>6</v>
          </cell>
          <cell r="DY23">
            <v>891</v>
          </cell>
          <cell r="DZ23">
            <v>6.7000000000000455</v>
          </cell>
          <cell r="EA23">
            <v>438.3</v>
          </cell>
          <cell r="EB23">
            <v>8.6000000000000227</v>
          </cell>
          <cell r="EC23">
            <v>715684</v>
          </cell>
          <cell r="ED23">
            <v>915</v>
          </cell>
          <cell r="EG23">
            <v>144169.29999999999</v>
          </cell>
          <cell r="EH23">
            <v>155.79999999998836</v>
          </cell>
          <cell r="EJ23">
            <v>8997900</v>
          </cell>
          <cell r="EK23">
            <v>5900</v>
          </cell>
          <cell r="EL23">
            <v>741850</v>
          </cell>
          <cell r="EM23">
            <v>380</v>
          </cell>
          <cell r="EN23">
            <v>5778300</v>
          </cell>
          <cell r="EO23">
            <v>2400</v>
          </cell>
          <cell r="EP23">
            <v>2037900</v>
          </cell>
          <cell r="EQ23">
            <v>800</v>
          </cell>
          <cell r="ER23">
            <v>807130</v>
          </cell>
          <cell r="ES23">
            <v>1020</v>
          </cell>
          <cell r="ET23">
            <v>12675700</v>
          </cell>
          <cell r="EU23">
            <v>6200</v>
          </cell>
          <cell r="EW23">
            <v>34487</v>
          </cell>
          <cell r="EX23">
            <v>15</v>
          </cell>
          <cell r="EY23">
            <v>29820</v>
          </cell>
          <cell r="EZ23">
            <v>14</v>
          </cell>
          <cell r="FA23">
            <v>826</v>
          </cell>
          <cell r="FB23">
            <v>18</v>
          </cell>
          <cell r="FC23">
            <v>50708</v>
          </cell>
          <cell r="FD23">
            <v>18</v>
          </cell>
          <cell r="FE23">
            <v>31525</v>
          </cell>
          <cell r="FF23">
            <v>35</v>
          </cell>
        </row>
        <row r="24">
          <cell r="B24">
            <v>0.59</v>
          </cell>
          <cell r="E24">
            <v>767484</v>
          </cell>
          <cell r="F24">
            <v>585</v>
          </cell>
          <cell r="G24">
            <v>276</v>
          </cell>
          <cell r="H24">
            <v>17954</v>
          </cell>
          <cell r="I24">
            <v>320</v>
          </cell>
          <cell r="J24">
            <v>158</v>
          </cell>
          <cell r="K24">
            <v>135555</v>
          </cell>
          <cell r="L24">
            <v>358</v>
          </cell>
          <cell r="N24">
            <v>748923</v>
          </cell>
          <cell r="O24">
            <v>332</v>
          </cell>
          <cell r="Q24">
            <v>164275</v>
          </cell>
          <cell r="R24">
            <v>0</v>
          </cell>
          <cell r="S24">
            <v>6384.09</v>
          </cell>
          <cell r="T24">
            <v>198.94000000000051</v>
          </cell>
          <cell r="U24">
            <v>106</v>
          </cell>
          <cell r="V24">
            <v>2536</v>
          </cell>
          <cell r="W24">
            <v>37</v>
          </cell>
          <cell r="AC24">
            <v>6547480.7999999998</v>
          </cell>
          <cell r="AD24">
            <v>2874.4799999995157</v>
          </cell>
          <cell r="AF24">
            <v>12791484.719999999</v>
          </cell>
          <cell r="AG24">
            <v>4677.1199999991804</v>
          </cell>
          <cell r="AI24">
            <v>12129672.24</v>
          </cell>
          <cell r="AJ24">
            <v>1169.2800000011921</v>
          </cell>
          <cell r="AL24">
            <v>15235547.880000001</v>
          </cell>
          <cell r="AM24">
            <v>7965.7200000006706</v>
          </cell>
          <cell r="AO24">
            <v>15547136.640000001</v>
          </cell>
          <cell r="AP24">
            <v>11790.240000000224</v>
          </cell>
          <cell r="AR24">
            <v>14341414.08</v>
          </cell>
          <cell r="AS24">
            <v>5213.0400000009686</v>
          </cell>
          <cell r="AU24">
            <v>12250059.359999999</v>
          </cell>
          <cell r="AV24">
            <v>4384.8000000007451</v>
          </cell>
          <cell r="AX24">
            <v>11825562</v>
          </cell>
          <cell r="AY24">
            <v>4092.480000000447</v>
          </cell>
          <cell r="BA24">
            <v>9443787.3599999994</v>
          </cell>
          <cell r="BB24">
            <v>2971.9199999999255</v>
          </cell>
          <cell r="BD24">
            <v>14409329.76</v>
          </cell>
          <cell r="BE24">
            <v>6528.4799999985844</v>
          </cell>
          <cell r="BK24">
            <v>60524400</v>
          </cell>
          <cell r="BL24">
            <v>1800</v>
          </cell>
          <cell r="BN24">
            <v>63493000</v>
          </cell>
          <cell r="BO24">
            <v>39500</v>
          </cell>
          <cell r="BQ24">
            <v>58026500</v>
          </cell>
          <cell r="BR24">
            <v>54900</v>
          </cell>
          <cell r="BT24">
            <v>6330970</v>
          </cell>
          <cell r="BU24">
            <v>5400</v>
          </cell>
          <cell r="BW24">
            <v>0.78</v>
          </cell>
          <cell r="BX24">
            <v>-3.0000000000000027E-2</v>
          </cell>
          <cell r="BZ24">
            <v>53368</v>
          </cell>
          <cell r="CA24">
            <v>15</v>
          </cell>
          <cell r="CB24">
            <v>45025</v>
          </cell>
          <cell r="CC24">
            <v>12</v>
          </cell>
          <cell r="CD24">
            <v>15624</v>
          </cell>
          <cell r="CE24">
            <v>7</v>
          </cell>
          <cell r="CF24">
            <v>19940</v>
          </cell>
          <cell r="CG24">
            <v>10</v>
          </cell>
          <cell r="CH24">
            <v>21660</v>
          </cell>
          <cell r="CI24">
            <v>12</v>
          </cell>
          <cell r="CJ24">
            <v>49300</v>
          </cell>
          <cell r="CK24">
            <v>28</v>
          </cell>
          <cell r="CL24">
            <v>214480</v>
          </cell>
          <cell r="CM24">
            <v>106</v>
          </cell>
          <cell r="CO24">
            <v>162979</v>
          </cell>
          <cell r="CP24">
            <v>88</v>
          </cell>
          <cell r="CR24">
            <v>308195</v>
          </cell>
          <cell r="CS24">
            <v>0</v>
          </cell>
          <cell r="CU24">
            <v>571949</v>
          </cell>
          <cell r="CV24">
            <v>279</v>
          </cell>
          <cell r="CX24">
            <v>4947</v>
          </cell>
          <cell r="CY24">
            <v>7</v>
          </cell>
          <cell r="CZ24">
            <v>2567</v>
          </cell>
          <cell r="DA24">
            <v>6</v>
          </cell>
          <cell r="DB24">
            <v>24085.4</v>
          </cell>
          <cell r="DC24">
            <v>11.80000000000291</v>
          </cell>
          <cell r="DD24">
            <v>24554.9</v>
          </cell>
          <cell r="DE24">
            <v>10.400000000001455</v>
          </cell>
          <cell r="DF24">
            <v>17172</v>
          </cell>
          <cell r="DG24">
            <v>8</v>
          </cell>
          <cell r="DH24">
            <v>20144</v>
          </cell>
          <cell r="DI24">
            <v>8</v>
          </cell>
          <cell r="DJ24">
            <v>1518</v>
          </cell>
          <cell r="DK24">
            <v>7</v>
          </cell>
          <cell r="DL24">
            <v>4453</v>
          </cell>
          <cell r="DM24">
            <v>12</v>
          </cell>
          <cell r="DN24">
            <v>879</v>
          </cell>
          <cell r="DO24">
            <v>0</v>
          </cell>
          <cell r="DP24">
            <v>2340</v>
          </cell>
          <cell r="DQ24">
            <v>7</v>
          </cell>
          <cell r="DR24">
            <v>24730</v>
          </cell>
          <cell r="DS24">
            <v>13</v>
          </cell>
          <cell r="DU24">
            <v>1164.4000000000001</v>
          </cell>
          <cell r="DV24">
            <v>8.8000000000001819</v>
          </cell>
          <cell r="DW24">
            <v>6547.9</v>
          </cell>
          <cell r="DX24">
            <v>5.6999999999998181</v>
          </cell>
          <cell r="DY24">
            <v>897</v>
          </cell>
          <cell r="DZ24">
            <v>6</v>
          </cell>
          <cell r="EA24">
            <v>446.5</v>
          </cell>
          <cell r="EB24">
            <v>8.1999999999999886</v>
          </cell>
          <cell r="EC24">
            <v>716540</v>
          </cell>
          <cell r="ED24">
            <v>856</v>
          </cell>
          <cell r="EG24">
            <v>144328.79999999999</v>
          </cell>
          <cell r="EH24">
            <v>159.5</v>
          </cell>
          <cell r="EJ24">
            <v>9003900</v>
          </cell>
          <cell r="EK24">
            <v>6000</v>
          </cell>
          <cell r="EL24">
            <v>742230</v>
          </cell>
          <cell r="EM24">
            <v>380</v>
          </cell>
          <cell r="EN24">
            <v>5780800</v>
          </cell>
          <cell r="EO24">
            <v>2500</v>
          </cell>
          <cell r="EP24">
            <v>2038300</v>
          </cell>
          <cell r="EQ24">
            <v>400</v>
          </cell>
          <cell r="ER24">
            <v>808130</v>
          </cell>
          <cell r="ES24">
            <v>1000</v>
          </cell>
          <cell r="ET24">
            <v>12682700</v>
          </cell>
          <cell r="EU24">
            <v>7000</v>
          </cell>
          <cell r="EW24">
            <v>34505</v>
          </cell>
          <cell r="EX24">
            <v>18</v>
          </cell>
          <cell r="EY24">
            <v>29836</v>
          </cell>
          <cell r="EZ24">
            <v>16</v>
          </cell>
          <cell r="FA24">
            <v>839</v>
          </cell>
          <cell r="FB24">
            <v>13</v>
          </cell>
          <cell r="FC24">
            <v>50724</v>
          </cell>
          <cell r="FD24">
            <v>16</v>
          </cell>
          <cell r="FE24">
            <v>31556</v>
          </cell>
          <cell r="FF24">
            <v>31</v>
          </cell>
        </row>
        <row r="25">
          <cell r="B25">
            <v>0.51</v>
          </cell>
          <cell r="E25">
            <v>768074</v>
          </cell>
          <cell r="F25">
            <v>590</v>
          </cell>
          <cell r="G25">
            <v>301</v>
          </cell>
          <cell r="H25">
            <v>18291</v>
          </cell>
          <cell r="I25">
            <v>337</v>
          </cell>
          <cell r="J25">
            <v>178</v>
          </cell>
          <cell r="K25">
            <v>135888</v>
          </cell>
          <cell r="L25">
            <v>333</v>
          </cell>
          <cell r="N25">
            <v>749171</v>
          </cell>
          <cell r="O25">
            <v>248</v>
          </cell>
          <cell r="Q25">
            <v>164275</v>
          </cell>
          <cell r="R25">
            <v>0</v>
          </cell>
          <cell r="S25">
            <v>6580.05</v>
          </cell>
          <cell r="T25">
            <v>195.96000000000004</v>
          </cell>
          <cell r="U25">
            <v>119</v>
          </cell>
          <cell r="V25">
            <v>2570</v>
          </cell>
          <cell r="W25">
            <v>34</v>
          </cell>
          <cell r="AC25">
            <v>6550988.6400000006</v>
          </cell>
          <cell r="AD25">
            <v>3507.8400000007823</v>
          </cell>
          <cell r="AF25">
            <v>12796064.4</v>
          </cell>
          <cell r="AG25">
            <v>4579.6800000015646</v>
          </cell>
          <cell r="AI25">
            <v>12130354.319999998</v>
          </cell>
          <cell r="AJ25">
            <v>682.07999999821186</v>
          </cell>
          <cell r="AL25">
            <v>15241613.52</v>
          </cell>
          <cell r="AM25">
            <v>6065.6399999987334</v>
          </cell>
          <cell r="AO25">
            <v>15559755.119999999</v>
          </cell>
          <cell r="AP25">
            <v>12618.479999998584</v>
          </cell>
          <cell r="AR25">
            <v>14346286.08</v>
          </cell>
          <cell r="AS25">
            <v>4872</v>
          </cell>
          <cell r="AU25">
            <v>12254444.16</v>
          </cell>
          <cell r="AV25">
            <v>4384.8000000007451</v>
          </cell>
          <cell r="AX25">
            <v>11829264.719999999</v>
          </cell>
          <cell r="AY25">
            <v>3702.7199999988079</v>
          </cell>
          <cell r="BA25">
            <v>9446613.1199999992</v>
          </cell>
          <cell r="BB25">
            <v>2825.7599999997765</v>
          </cell>
          <cell r="BD25">
            <v>14415760.799999999</v>
          </cell>
          <cell r="BE25">
            <v>6431.0399999991059</v>
          </cell>
          <cell r="BK25">
            <v>60524400</v>
          </cell>
          <cell r="BL25">
            <v>0</v>
          </cell>
          <cell r="BN25">
            <v>63529100</v>
          </cell>
          <cell r="BO25">
            <v>36100</v>
          </cell>
          <cell r="BQ25">
            <v>58087100</v>
          </cell>
          <cell r="BR25">
            <v>60600</v>
          </cell>
          <cell r="BT25">
            <v>6337320</v>
          </cell>
          <cell r="BU25">
            <v>6350</v>
          </cell>
          <cell r="BW25">
            <v>0.75</v>
          </cell>
          <cell r="BX25">
            <v>3.0000000000000027E-2</v>
          </cell>
          <cell r="BZ25">
            <v>53386</v>
          </cell>
          <cell r="CA25">
            <v>18</v>
          </cell>
          <cell r="CB25">
            <v>45041</v>
          </cell>
          <cell r="CC25">
            <v>16</v>
          </cell>
          <cell r="CD25">
            <v>15630</v>
          </cell>
          <cell r="CE25">
            <v>6</v>
          </cell>
          <cell r="CF25">
            <v>19951</v>
          </cell>
          <cell r="CG25">
            <v>11</v>
          </cell>
          <cell r="CH25">
            <v>21670</v>
          </cell>
          <cell r="CI25">
            <v>10</v>
          </cell>
          <cell r="CJ25">
            <v>49325</v>
          </cell>
          <cell r="CK25">
            <v>25</v>
          </cell>
          <cell r="CL25">
            <v>214582</v>
          </cell>
          <cell r="CM25">
            <v>102</v>
          </cell>
          <cell r="CO25">
            <v>163070</v>
          </cell>
          <cell r="CP25">
            <v>91</v>
          </cell>
          <cell r="CR25">
            <v>308195</v>
          </cell>
          <cell r="CS25">
            <v>0</v>
          </cell>
          <cell r="CU25">
            <v>572211</v>
          </cell>
          <cell r="CV25">
            <v>262</v>
          </cell>
          <cell r="CX25">
            <v>4952</v>
          </cell>
          <cell r="CY25">
            <v>5</v>
          </cell>
          <cell r="CZ25">
            <v>2571</v>
          </cell>
          <cell r="DA25">
            <v>4</v>
          </cell>
          <cell r="DB25">
            <v>24094</v>
          </cell>
          <cell r="DC25">
            <v>8.5999999999985448</v>
          </cell>
          <cell r="DD25">
            <v>24566</v>
          </cell>
          <cell r="DE25">
            <v>11.099999999998545</v>
          </cell>
          <cell r="DF25">
            <v>17180</v>
          </cell>
          <cell r="DG25">
            <v>8</v>
          </cell>
          <cell r="DH25">
            <v>20155</v>
          </cell>
          <cell r="DI25">
            <v>11</v>
          </cell>
          <cell r="DJ25">
            <v>1525</v>
          </cell>
          <cell r="DK25">
            <v>7</v>
          </cell>
          <cell r="DL25">
            <v>4467</v>
          </cell>
          <cell r="DM25">
            <v>14</v>
          </cell>
          <cell r="DN25">
            <v>879</v>
          </cell>
          <cell r="DO25">
            <v>0</v>
          </cell>
          <cell r="DP25">
            <v>2346</v>
          </cell>
          <cell r="DQ25">
            <v>6</v>
          </cell>
          <cell r="DR25">
            <v>24744</v>
          </cell>
          <cell r="DS25">
            <v>14</v>
          </cell>
          <cell r="DU25">
            <v>1173</v>
          </cell>
          <cell r="DV25">
            <v>8.5999999999999091</v>
          </cell>
          <cell r="DW25">
            <v>6552.6</v>
          </cell>
          <cell r="DX25">
            <v>4.7000000000007276</v>
          </cell>
          <cell r="DY25">
            <v>904</v>
          </cell>
          <cell r="DZ25">
            <v>7</v>
          </cell>
          <cell r="EA25">
            <v>454.8</v>
          </cell>
          <cell r="EB25">
            <v>8.3000000000000114</v>
          </cell>
          <cell r="EC25">
            <v>717259</v>
          </cell>
          <cell r="ED25">
            <v>719</v>
          </cell>
          <cell r="EG25">
            <v>144489.60000000001</v>
          </cell>
          <cell r="EH25">
            <v>160.80000000001746</v>
          </cell>
          <cell r="EJ25">
            <v>9010000</v>
          </cell>
          <cell r="EK25">
            <v>6100</v>
          </cell>
          <cell r="EL25">
            <v>742680</v>
          </cell>
          <cell r="EM25">
            <v>450</v>
          </cell>
          <cell r="EN25">
            <v>5783600</v>
          </cell>
          <cell r="EO25">
            <v>2800</v>
          </cell>
          <cell r="EP25">
            <v>2039600</v>
          </cell>
          <cell r="EQ25">
            <v>1300</v>
          </cell>
          <cell r="ER25">
            <v>809000</v>
          </cell>
          <cell r="ES25">
            <v>870</v>
          </cell>
          <cell r="ET25">
            <v>12690700</v>
          </cell>
          <cell r="EU25">
            <v>8000</v>
          </cell>
          <cell r="EW25">
            <v>34521</v>
          </cell>
          <cell r="EX25">
            <v>16</v>
          </cell>
          <cell r="EY25">
            <v>29848</v>
          </cell>
          <cell r="EZ25">
            <v>12</v>
          </cell>
          <cell r="FA25">
            <v>851</v>
          </cell>
          <cell r="FB25">
            <v>12</v>
          </cell>
          <cell r="FC25">
            <v>50740</v>
          </cell>
          <cell r="FD25">
            <v>16</v>
          </cell>
          <cell r="FE25">
            <v>31584</v>
          </cell>
          <cell r="FF25">
            <v>28</v>
          </cell>
        </row>
        <row r="26">
          <cell r="B26">
            <v>0.56999999999999995</v>
          </cell>
          <cell r="E26">
            <v>768661</v>
          </cell>
          <cell r="F26">
            <v>587</v>
          </cell>
          <cell r="G26">
            <v>294</v>
          </cell>
          <cell r="H26">
            <v>18592</v>
          </cell>
          <cell r="I26">
            <v>301</v>
          </cell>
          <cell r="J26">
            <v>155</v>
          </cell>
          <cell r="K26">
            <v>136172</v>
          </cell>
          <cell r="L26">
            <v>284</v>
          </cell>
          <cell r="N26">
            <v>749496</v>
          </cell>
          <cell r="O26">
            <v>325</v>
          </cell>
          <cell r="Q26">
            <v>164310</v>
          </cell>
          <cell r="R26">
            <v>35</v>
          </cell>
          <cell r="S26">
            <v>6783.12</v>
          </cell>
          <cell r="T26">
            <v>203.06999999999971</v>
          </cell>
          <cell r="U26">
            <v>110</v>
          </cell>
          <cell r="V26">
            <v>2608</v>
          </cell>
          <cell r="W26">
            <v>38</v>
          </cell>
          <cell r="AC26">
            <v>6554837.5200000005</v>
          </cell>
          <cell r="AD26">
            <v>3848.8799999998882</v>
          </cell>
          <cell r="AF26">
            <v>12800692.800000001</v>
          </cell>
          <cell r="AG26">
            <v>4628.4000000003725</v>
          </cell>
          <cell r="AI26">
            <v>12131085.119999999</v>
          </cell>
          <cell r="AJ26">
            <v>730.80000000074506</v>
          </cell>
          <cell r="AL26">
            <v>15248385.6</v>
          </cell>
          <cell r="AM26">
            <v>6772.0800000000745</v>
          </cell>
          <cell r="AO26">
            <v>15572471.039999999</v>
          </cell>
          <cell r="AP26">
            <v>12715.919999999925</v>
          </cell>
          <cell r="AR26">
            <v>14351694</v>
          </cell>
          <cell r="AS26">
            <v>5407.9199999999255</v>
          </cell>
          <cell r="AU26">
            <v>12258926.4</v>
          </cell>
          <cell r="AV26">
            <v>4482.2400000002235</v>
          </cell>
          <cell r="AX26">
            <v>11833113.6</v>
          </cell>
          <cell r="AY26">
            <v>3848.8800000008196</v>
          </cell>
          <cell r="BA26">
            <v>9449536.3199999984</v>
          </cell>
          <cell r="BB26">
            <v>2923.1999999992549</v>
          </cell>
          <cell r="BD26">
            <v>14421314.880000001</v>
          </cell>
          <cell r="BE26">
            <v>5554.0800000019372</v>
          </cell>
          <cell r="BK26">
            <v>60524400</v>
          </cell>
          <cell r="BL26">
            <v>0</v>
          </cell>
          <cell r="BN26">
            <v>63568800</v>
          </cell>
          <cell r="BO26">
            <v>39700</v>
          </cell>
          <cell r="BQ26">
            <v>58147100</v>
          </cell>
          <cell r="BR26">
            <v>60000</v>
          </cell>
          <cell r="BT26">
            <v>6343070</v>
          </cell>
          <cell r="BU26">
            <v>5750</v>
          </cell>
          <cell r="BW26">
            <v>0.8</v>
          </cell>
          <cell r="BX26">
            <v>-5.0000000000000044E-2</v>
          </cell>
          <cell r="BZ26">
            <v>53402</v>
          </cell>
          <cell r="CA26">
            <v>16</v>
          </cell>
          <cell r="CB26">
            <v>45055</v>
          </cell>
          <cell r="CC26">
            <v>14</v>
          </cell>
          <cell r="CD26">
            <v>15636</v>
          </cell>
          <cell r="CE26">
            <v>6</v>
          </cell>
          <cell r="CF26">
            <v>19964</v>
          </cell>
          <cell r="CG26">
            <v>13</v>
          </cell>
          <cell r="CH26">
            <v>21677</v>
          </cell>
          <cell r="CI26">
            <v>7</v>
          </cell>
          <cell r="CJ26">
            <v>49350</v>
          </cell>
          <cell r="CK26">
            <v>25</v>
          </cell>
          <cell r="CL26">
            <v>214683</v>
          </cell>
          <cell r="CM26">
            <v>101</v>
          </cell>
          <cell r="CO26">
            <v>163162</v>
          </cell>
          <cell r="CP26">
            <v>92</v>
          </cell>
          <cell r="CR26">
            <v>308195</v>
          </cell>
          <cell r="CS26">
            <v>0</v>
          </cell>
          <cell r="CU26">
            <v>572482</v>
          </cell>
          <cell r="CV26">
            <v>271</v>
          </cell>
          <cell r="CX26">
            <v>4956</v>
          </cell>
          <cell r="CY26">
            <v>4</v>
          </cell>
          <cell r="CZ26">
            <v>2575</v>
          </cell>
          <cell r="DA26">
            <v>4</v>
          </cell>
          <cell r="DB26">
            <v>24103.7</v>
          </cell>
          <cell r="DC26">
            <v>9.7000000000007276</v>
          </cell>
          <cell r="DD26">
            <v>24575.7</v>
          </cell>
          <cell r="DE26">
            <v>9.7000000000007276</v>
          </cell>
          <cell r="DF26">
            <v>17187.5</v>
          </cell>
          <cell r="DG26">
            <v>7.5</v>
          </cell>
          <cell r="DH26">
            <v>20162.900000000001</v>
          </cell>
          <cell r="DI26">
            <v>7.9000000000014552</v>
          </cell>
          <cell r="DJ26">
            <v>1531</v>
          </cell>
          <cell r="DK26">
            <v>6</v>
          </cell>
          <cell r="DL26">
            <v>4480</v>
          </cell>
          <cell r="DM26">
            <v>13</v>
          </cell>
          <cell r="DN26">
            <v>879</v>
          </cell>
          <cell r="DO26">
            <v>0</v>
          </cell>
          <cell r="DP26">
            <v>2353</v>
          </cell>
          <cell r="DQ26">
            <v>7</v>
          </cell>
          <cell r="DR26">
            <v>24760</v>
          </cell>
          <cell r="DS26">
            <v>16</v>
          </cell>
          <cell r="DU26">
            <v>1181.3</v>
          </cell>
          <cell r="DV26">
            <v>8.2999999999999545</v>
          </cell>
          <cell r="DW26">
            <v>6560.4</v>
          </cell>
          <cell r="DX26">
            <v>7.7999999999992724</v>
          </cell>
          <cell r="DY26">
            <v>911.2</v>
          </cell>
          <cell r="DZ26">
            <v>7.2000000000000455</v>
          </cell>
          <cell r="EA26">
            <v>463</v>
          </cell>
          <cell r="EB26">
            <v>8.1999999999999886</v>
          </cell>
          <cell r="EC26">
            <v>718180</v>
          </cell>
          <cell r="ED26">
            <v>921</v>
          </cell>
          <cell r="EG26">
            <v>144646.6</v>
          </cell>
          <cell r="EH26">
            <v>157</v>
          </cell>
          <cell r="EJ26">
            <v>9015600</v>
          </cell>
          <cell r="EK26">
            <v>5600</v>
          </cell>
          <cell r="EL26">
            <v>743080</v>
          </cell>
          <cell r="EM26">
            <v>400</v>
          </cell>
          <cell r="EN26">
            <v>5786400</v>
          </cell>
          <cell r="EO26">
            <v>2800</v>
          </cell>
          <cell r="EP26">
            <v>2040300</v>
          </cell>
          <cell r="EQ26">
            <v>700</v>
          </cell>
          <cell r="ER26">
            <v>809900</v>
          </cell>
          <cell r="ES26">
            <v>900</v>
          </cell>
          <cell r="ET26">
            <v>12697300</v>
          </cell>
          <cell r="EU26">
            <v>6600</v>
          </cell>
          <cell r="EW26">
            <v>34536</v>
          </cell>
          <cell r="EX26">
            <v>15</v>
          </cell>
          <cell r="EY26">
            <v>29862</v>
          </cell>
          <cell r="EZ26">
            <v>14</v>
          </cell>
          <cell r="FA26">
            <v>865</v>
          </cell>
          <cell r="FB26">
            <v>14</v>
          </cell>
          <cell r="FC26">
            <v>50752</v>
          </cell>
          <cell r="FD26">
            <v>12</v>
          </cell>
          <cell r="FE26">
            <v>31615</v>
          </cell>
          <cell r="FF26">
            <v>31</v>
          </cell>
        </row>
        <row r="27">
          <cell r="B27">
            <v>0.65</v>
          </cell>
          <cell r="E27">
            <v>769192</v>
          </cell>
          <cell r="F27">
            <v>531</v>
          </cell>
          <cell r="G27">
            <v>280</v>
          </cell>
          <cell r="H27">
            <v>18881</v>
          </cell>
          <cell r="I27">
            <v>289</v>
          </cell>
          <cell r="J27">
            <v>169</v>
          </cell>
          <cell r="K27">
            <v>136471</v>
          </cell>
          <cell r="L27">
            <v>299</v>
          </cell>
          <cell r="N27">
            <v>749815</v>
          </cell>
          <cell r="O27">
            <v>319</v>
          </cell>
          <cell r="Q27">
            <v>164319</v>
          </cell>
          <cell r="R27">
            <v>9</v>
          </cell>
          <cell r="S27">
            <v>6985.29</v>
          </cell>
          <cell r="T27">
            <v>202.17000000000007</v>
          </cell>
          <cell r="U27">
            <v>104</v>
          </cell>
          <cell r="V27">
            <v>2641</v>
          </cell>
          <cell r="W27">
            <v>33</v>
          </cell>
          <cell r="AC27">
            <v>6558442.7999999998</v>
          </cell>
          <cell r="AD27">
            <v>3605.2799999993294</v>
          </cell>
          <cell r="AF27">
            <v>12805272.48</v>
          </cell>
          <cell r="AG27">
            <v>4579.679999999702</v>
          </cell>
          <cell r="AI27">
            <v>12131815.92</v>
          </cell>
          <cell r="AJ27">
            <v>730.80000000074506</v>
          </cell>
          <cell r="AL27">
            <v>15253842.24</v>
          </cell>
          <cell r="AM27">
            <v>5456.640000000596</v>
          </cell>
          <cell r="AO27">
            <v>15585138.24</v>
          </cell>
          <cell r="AP27">
            <v>12667.200000001118</v>
          </cell>
          <cell r="AR27">
            <v>14357150.639999999</v>
          </cell>
          <cell r="AS27">
            <v>5456.6399999987334</v>
          </cell>
          <cell r="AU27">
            <v>12263408.640000001</v>
          </cell>
          <cell r="AV27">
            <v>4482.2400000002235</v>
          </cell>
          <cell r="AX27">
            <v>11836913.76</v>
          </cell>
          <cell r="AY27">
            <v>3800.160000000149</v>
          </cell>
          <cell r="BA27">
            <v>9451777.4399999995</v>
          </cell>
          <cell r="BB27">
            <v>2241.1200000010431</v>
          </cell>
          <cell r="BD27">
            <v>14427112.559999999</v>
          </cell>
          <cell r="BE27">
            <v>5797.6799999978393</v>
          </cell>
          <cell r="BK27">
            <v>60524400</v>
          </cell>
          <cell r="BL27">
            <v>0</v>
          </cell>
          <cell r="BN27">
            <v>63600700</v>
          </cell>
          <cell r="BO27">
            <v>31900</v>
          </cell>
          <cell r="BQ27">
            <v>58208000</v>
          </cell>
          <cell r="BR27">
            <v>60900</v>
          </cell>
          <cell r="BT27">
            <v>6348250</v>
          </cell>
          <cell r="BU27">
            <v>5180</v>
          </cell>
          <cell r="BW27">
            <v>0.75</v>
          </cell>
          <cell r="BX27">
            <v>5.0000000000000044E-2</v>
          </cell>
          <cell r="BZ27">
            <v>53420</v>
          </cell>
          <cell r="CA27">
            <v>18</v>
          </cell>
          <cell r="CB27">
            <v>45070</v>
          </cell>
          <cell r="CC27">
            <v>15</v>
          </cell>
          <cell r="CD27">
            <v>15642</v>
          </cell>
          <cell r="CE27">
            <v>6</v>
          </cell>
          <cell r="CF27">
            <v>19970</v>
          </cell>
          <cell r="CG27">
            <v>6</v>
          </cell>
          <cell r="CH27">
            <v>21689</v>
          </cell>
          <cell r="CI27">
            <v>12</v>
          </cell>
          <cell r="CJ27">
            <v>49373</v>
          </cell>
          <cell r="CK27">
            <v>23</v>
          </cell>
          <cell r="CL27">
            <v>214783</v>
          </cell>
          <cell r="CM27">
            <v>100</v>
          </cell>
          <cell r="CO27">
            <v>163248</v>
          </cell>
          <cell r="CP27">
            <v>86</v>
          </cell>
          <cell r="CR27">
            <v>308195</v>
          </cell>
          <cell r="CS27">
            <v>0</v>
          </cell>
          <cell r="CU27">
            <v>572752</v>
          </cell>
          <cell r="CV27">
            <v>270</v>
          </cell>
          <cell r="CX27">
            <v>4960</v>
          </cell>
          <cell r="CY27">
            <v>4</v>
          </cell>
          <cell r="CZ27">
            <v>2579</v>
          </cell>
          <cell r="DA27">
            <v>4</v>
          </cell>
          <cell r="DB27">
            <v>24113.4</v>
          </cell>
          <cell r="DC27">
            <v>9.7000000000007276</v>
          </cell>
          <cell r="DD27">
            <v>24585.9</v>
          </cell>
          <cell r="DE27">
            <v>10.200000000000728</v>
          </cell>
          <cell r="DF27">
            <v>17194.900000000001</v>
          </cell>
          <cell r="DG27">
            <v>7.4000000000014552</v>
          </cell>
          <cell r="DH27">
            <v>20170.099999999999</v>
          </cell>
          <cell r="DI27">
            <v>7.1999999999970896</v>
          </cell>
          <cell r="DJ27">
            <v>1538</v>
          </cell>
          <cell r="DK27">
            <v>7</v>
          </cell>
          <cell r="DL27">
            <v>4493</v>
          </cell>
          <cell r="DM27">
            <v>13</v>
          </cell>
          <cell r="DN27">
            <v>879</v>
          </cell>
          <cell r="DO27">
            <v>0</v>
          </cell>
          <cell r="DP27">
            <v>2359</v>
          </cell>
          <cell r="DQ27">
            <v>6</v>
          </cell>
          <cell r="DR27">
            <v>24777</v>
          </cell>
          <cell r="DS27">
            <v>17</v>
          </cell>
          <cell r="DU27">
            <v>1189.5999999999999</v>
          </cell>
          <cell r="DV27">
            <v>8.2999999999999545</v>
          </cell>
          <cell r="DW27">
            <v>6565.2</v>
          </cell>
          <cell r="DX27">
            <v>4.8000000000001819</v>
          </cell>
          <cell r="DY27">
            <v>917.7</v>
          </cell>
          <cell r="DZ27">
            <v>6.5</v>
          </cell>
          <cell r="EA27">
            <v>471.1</v>
          </cell>
          <cell r="EB27">
            <v>8.1000000000000227</v>
          </cell>
          <cell r="EC27">
            <v>719013</v>
          </cell>
          <cell r="ED27">
            <v>833</v>
          </cell>
          <cell r="EG27">
            <v>144806.29999999999</v>
          </cell>
          <cell r="EH27">
            <v>159.69999999998254</v>
          </cell>
          <cell r="EJ27">
            <v>9021300</v>
          </cell>
          <cell r="EK27">
            <v>5700</v>
          </cell>
          <cell r="EL27">
            <v>743500</v>
          </cell>
          <cell r="EM27">
            <v>420</v>
          </cell>
          <cell r="EN27">
            <v>5789500</v>
          </cell>
          <cell r="EO27">
            <v>3100</v>
          </cell>
          <cell r="EP27">
            <v>2041100</v>
          </cell>
          <cell r="EQ27">
            <v>800</v>
          </cell>
          <cell r="ER27">
            <v>810850</v>
          </cell>
          <cell r="ES27">
            <v>950</v>
          </cell>
          <cell r="ET27">
            <v>12704200</v>
          </cell>
          <cell r="EU27">
            <v>6900</v>
          </cell>
          <cell r="EW27">
            <v>34552</v>
          </cell>
          <cell r="EX27">
            <v>16</v>
          </cell>
          <cell r="EY27">
            <v>29875</v>
          </cell>
          <cell r="EZ27">
            <v>13</v>
          </cell>
          <cell r="FA27">
            <v>876</v>
          </cell>
          <cell r="FB27">
            <v>11</v>
          </cell>
          <cell r="FC27">
            <v>50765</v>
          </cell>
          <cell r="FD27">
            <v>13</v>
          </cell>
          <cell r="FE27">
            <v>31646</v>
          </cell>
          <cell r="FF27">
            <v>31</v>
          </cell>
        </row>
        <row r="28">
          <cell r="B28">
            <v>0.7</v>
          </cell>
          <cell r="E28">
            <v>770091</v>
          </cell>
          <cell r="F28">
            <v>899</v>
          </cell>
          <cell r="G28">
            <v>284</v>
          </cell>
          <cell r="H28">
            <v>19213</v>
          </cell>
          <cell r="I28">
            <v>332</v>
          </cell>
          <cell r="J28">
            <v>157</v>
          </cell>
          <cell r="K28">
            <v>136801</v>
          </cell>
          <cell r="L28">
            <v>330</v>
          </cell>
          <cell r="N28">
            <v>750151</v>
          </cell>
          <cell r="O28">
            <v>336</v>
          </cell>
          <cell r="Q28">
            <v>164577</v>
          </cell>
          <cell r="R28">
            <v>258</v>
          </cell>
          <cell r="S28">
            <v>7206.8</v>
          </cell>
          <cell r="T28">
            <v>221.51000000000022</v>
          </cell>
          <cell r="U28">
            <v>105</v>
          </cell>
          <cell r="V28">
            <v>2658</v>
          </cell>
          <cell r="W28">
            <v>17</v>
          </cell>
          <cell r="AC28">
            <v>6562242.96</v>
          </cell>
          <cell r="AD28">
            <v>3800.160000000149</v>
          </cell>
          <cell r="AF28">
            <v>12809900.880000001</v>
          </cell>
          <cell r="AG28">
            <v>4628.4000000003725</v>
          </cell>
          <cell r="AI28">
            <v>12132595.439999999</v>
          </cell>
          <cell r="AJ28">
            <v>779.51999999955297</v>
          </cell>
          <cell r="AL28">
            <v>15260175.84</v>
          </cell>
          <cell r="AM28">
            <v>6333.5999999996275</v>
          </cell>
          <cell r="AO28">
            <v>15599218.32</v>
          </cell>
          <cell r="AP28">
            <v>14080.080000000075</v>
          </cell>
          <cell r="AR28">
            <v>14362168.799999999</v>
          </cell>
          <cell r="AS28">
            <v>5018.160000000149</v>
          </cell>
          <cell r="AU28">
            <v>12267939.6</v>
          </cell>
          <cell r="AV28">
            <v>4530.9599999990314</v>
          </cell>
          <cell r="AX28">
            <v>11840811.359999999</v>
          </cell>
          <cell r="AY28">
            <v>3897.5999999996275</v>
          </cell>
          <cell r="BA28">
            <v>9454944.2400000002</v>
          </cell>
          <cell r="BB28">
            <v>3166.8000000007451</v>
          </cell>
          <cell r="BD28">
            <v>14432910.240000002</v>
          </cell>
          <cell r="BE28">
            <v>5797.6800000034273</v>
          </cell>
          <cell r="BK28">
            <v>60524400</v>
          </cell>
          <cell r="BL28">
            <v>0</v>
          </cell>
          <cell r="BN28">
            <v>63639800</v>
          </cell>
          <cell r="BO28">
            <v>39100</v>
          </cell>
          <cell r="BQ28">
            <v>58270700</v>
          </cell>
          <cell r="BR28">
            <v>62700</v>
          </cell>
          <cell r="BT28">
            <v>6354870</v>
          </cell>
          <cell r="BU28">
            <v>6620</v>
          </cell>
          <cell r="BW28">
            <v>0.8</v>
          </cell>
          <cell r="BX28">
            <v>-5.0000000000000044E-2</v>
          </cell>
          <cell r="BZ28">
            <v>53436</v>
          </cell>
          <cell r="CA28">
            <v>16</v>
          </cell>
          <cell r="CB28">
            <v>45085</v>
          </cell>
          <cell r="CC28">
            <v>15</v>
          </cell>
          <cell r="CD28">
            <v>15648</v>
          </cell>
          <cell r="CE28">
            <v>6</v>
          </cell>
          <cell r="CF28">
            <v>19981</v>
          </cell>
          <cell r="CG28">
            <v>11</v>
          </cell>
          <cell r="CH28">
            <v>21697</v>
          </cell>
          <cell r="CI28">
            <v>8</v>
          </cell>
          <cell r="CJ28">
            <v>49394</v>
          </cell>
          <cell r="CK28">
            <v>21</v>
          </cell>
          <cell r="CL28">
            <v>214882</v>
          </cell>
          <cell r="CM28">
            <v>99</v>
          </cell>
          <cell r="CO28">
            <v>163337</v>
          </cell>
          <cell r="CP28">
            <v>89</v>
          </cell>
          <cell r="CR28">
            <v>308195</v>
          </cell>
          <cell r="CS28">
            <v>0</v>
          </cell>
          <cell r="CU28">
            <v>573019</v>
          </cell>
          <cell r="CV28">
            <v>267</v>
          </cell>
          <cell r="CX28">
            <v>4966</v>
          </cell>
          <cell r="CY28">
            <v>6</v>
          </cell>
          <cell r="CZ28">
            <v>2585</v>
          </cell>
          <cell r="DA28">
            <v>6</v>
          </cell>
          <cell r="DB28">
            <v>24124.5</v>
          </cell>
          <cell r="DC28">
            <v>11.099999999998545</v>
          </cell>
          <cell r="DD28">
            <v>24597.599999999999</v>
          </cell>
          <cell r="DE28">
            <v>11.69999999999709</v>
          </cell>
          <cell r="DF28">
            <v>17202.400000000001</v>
          </cell>
          <cell r="DG28">
            <v>7.5</v>
          </cell>
          <cell r="DH28">
            <v>20178.7</v>
          </cell>
          <cell r="DI28">
            <v>8.6000000000021828</v>
          </cell>
          <cell r="DJ28">
            <v>1543</v>
          </cell>
          <cell r="DK28">
            <v>5</v>
          </cell>
          <cell r="DL28">
            <v>4506</v>
          </cell>
          <cell r="DM28">
            <v>13</v>
          </cell>
          <cell r="DN28">
            <v>879</v>
          </cell>
          <cell r="DO28">
            <v>0</v>
          </cell>
          <cell r="DP28">
            <v>2366</v>
          </cell>
          <cell r="DQ28">
            <v>7</v>
          </cell>
          <cell r="DR28">
            <v>24795</v>
          </cell>
          <cell r="DS28">
            <v>18</v>
          </cell>
          <cell r="DU28">
            <v>1198.5999999999999</v>
          </cell>
          <cell r="DV28">
            <v>9</v>
          </cell>
          <cell r="DW28">
            <v>6576.3</v>
          </cell>
          <cell r="DX28">
            <v>11.100000000000364</v>
          </cell>
          <cell r="DY28">
            <v>925.1</v>
          </cell>
          <cell r="DZ28">
            <v>7.3999999999999773</v>
          </cell>
          <cell r="EA28">
            <v>479.7</v>
          </cell>
          <cell r="EB28">
            <v>8.5999999999999659</v>
          </cell>
          <cell r="EC28">
            <v>719825</v>
          </cell>
          <cell r="ED28">
            <v>812</v>
          </cell>
          <cell r="EG28">
            <v>144973.20000000001</v>
          </cell>
          <cell r="EH28">
            <v>166.90000000002328</v>
          </cell>
          <cell r="EJ28">
            <v>9028900</v>
          </cell>
          <cell r="EK28">
            <v>7600</v>
          </cell>
          <cell r="EL28">
            <v>743990</v>
          </cell>
          <cell r="EM28">
            <v>490</v>
          </cell>
          <cell r="EN28">
            <v>5793300</v>
          </cell>
          <cell r="EO28">
            <v>3800</v>
          </cell>
          <cell r="EP28">
            <v>2042200</v>
          </cell>
          <cell r="EQ28">
            <v>1100</v>
          </cell>
          <cell r="ER28">
            <v>812000</v>
          </cell>
          <cell r="ES28">
            <v>1150</v>
          </cell>
          <cell r="ET28">
            <v>12712700</v>
          </cell>
          <cell r="EU28">
            <v>8500</v>
          </cell>
          <cell r="EW28">
            <v>34567</v>
          </cell>
          <cell r="EX28">
            <v>15</v>
          </cell>
          <cell r="EY28">
            <v>29890</v>
          </cell>
          <cell r="EZ28">
            <v>15</v>
          </cell>
          <cell r="FA28">
            <v>887</v>
          </cell>
          <cell r="FB28">
            <v>11</v>
          </cell>
          <cell r="FC28">
            <v>50777</v>
          </cell>
          <cell r="FD28">
            <v>12</v>
          </cell>
          <cell r="FE28">
            <v>31676</v>
          </cell>
          <cell r="FF28">
            <v>30</v>
          </cell>
        </row>
        <row r="29">
          <cell r="B29">
            <v>0.85</v>
          </cell>
          <cell r="E29">
            <v>770879</v>
          </cell>
          <cell r="F29">
            <v>788</v>
          </cell>
          <cell r="G29">
            <v>250</v>
          </cell>
          <cell r="H29">
            <v>19551</v>
          </cell>
          <cell r="I29">
            <v>338</v>
          </cell>
          <cell r="J29">
            <v>159</v>
          </cell>
          <cell r="K29">
            <v>137119</v>
          </cell>
          <cell r="L29">
            <v>318</v>
          </cell>
          <cell r="N29">
            <v>750514</v>
          </cell>
          <cell r="O29">
            <v>363</v>
          </cell>
          <cell r="Q29">
            <v>164763</v>
          </cell>
          <cell r="R29">
            <v>186</v>
          </cell>
          <cell r="S29">
            <v>7431.29</v>
          </cell>
          <cell r="T29">
            <v>224.48999999999978</v>
          </cell>
          <cell r="U29">
            <v>98</v>
          </cell>
          <cell r="V29">
            <v>2709</v>
          </cell>
          <cell r="W29">
            <v>51</v>
          </cell>
          <cell r="AC29">
            <v>6565994.3999999994</v>
          </cell>
          <cell r="AD29">
            <v>3751.4399999994785</v>
          </cell>
          <cell r="AF29">
            <v>12814529.280000001</v>
          </cell>
          <cell r="AG29">
            <v>4628.4000000003725</v>
          </cell>
          <cell r="AI29">
            <v>12132692.880000001</v>
          </cell>
          <cell r="AJ29">
            <v>97.440000001341105</v>
          </cell>
          <cell r="AL29">
            <v>15266606.880000001</v>
          </cell>
          <cell r="AM29">
            <v>6431.0400000009686</v>
          </cell>
          <cell r="AO29">
            <v>15612859.919999998</v>
          </cell>
          <cell r="AP29">
            <v>13641.599999997765</v>
          </cell>
          <cell r="AR29">
            <v>14367235.68</v>
          </cell>
          <cell r="AS29">
            <v>5066.8800000008196</v>
          </cell>
          <cell r="AU29">
            <v>12272324.4</v>
          </cell>
          <cell r="AV29">
            <v>4384.8000000007451</v>
          </cell>
          <cell r="AX29">
            <v>11845001.280000001</v>
          </cell>
          <cell r="AY29">
            <v>4189.9200000017881</v>
          </cell>
          <cell r="BA29">
            <v>9457818.7199999988</v>
          </cell>
          <cell r="BB29">
            <v>2874.4799999985844</v>
          </cell>
          <cell r="BD29">
            <v>14438366.880000001</v>
          </cell>
          <cell r="BE29">
            <v>5456.6399999987334</v>
          </cell>
          <cell r="BK29">
            <v>60524400</v>
          </cell>
          <cell r="BL29">
            <v>0</v>
          </cell>
          <cell r="BN29">
            <v>63676500</v>
          </cell>
          <cell r="BO29">
            <v>36700</v>
          </cell>
          <cell r="BQ29">
            <v>58334000</v>
          </cell>
          <cell r="BR29">
            <v>63300</v>
          </cell>
          <cell r="BT29">
            <v>6361020</v>
          </cell>
          <cell r="BU29">
            <v>6150</v>
          </cell>
          <cell r="BW29">
            <v>0.75</v>
          </cell>
          <cell r="BX29">
            <v>5.0000000000000044E-2</v>
          </cell>
          <cell r="BZ29">
            <v>53453</v>
          </cell>
          <cell r="CA29">
            <v>17</v>
          </cell>
          <cell r="CB29">
            <v>45100</v>
          </cell>
          <cell r="CC29">
            <v>15</v>
          </cell>
          <cell r="CD29">
            <v>15654</v>
          </cell>
          <cell r="CE29">
            <v>6</v>
          </cell>
          <cell r="CF29">
            <v>19992</v>
          </cell>
          <cell r="CG29">
            <v>11</v>
          </cell>
          <cell r="CH29">
            <v>21707</v>
          </cell>
          <cell r="CI29">
            <v>10</v>
          </cell>
          <cell r="CJ29">
            <v>49417</v>
          </cell>
          <cell r="CK29">
            <v>23</v>
          </cell>
          <cell r="CL29">
            <v>214979</v>
          </cell>
          <cell r="CM29">
            <v>97</v>
          </cell>
          <cell r="CO29">
            <v>163429</v>
          </cell>
          <cell r="CP29">
            <v>92</v>
          </cell>
          <cell r="CR29">
            <v>308195</v>
          </cell>
          <cell r="CS29">
            <v>0</v>
          </cell>
          <cell r="CU29">
            <v>573284</v>
          </cell>
          <cell r="CV29">
            <v>265</v>
          </cell>
          <cell r="CX29">
            <v>4974</v>
          </cell>
          <cell r="CY29">
            <v>8</v>
          </cell>
          <cell r="CZ29">
            <v>2590</v>
          </cell>
          <cell r="DA29">
            <v>5</v>
          </cell>
          <cell r="DB29">
            <v>24135.9</v>
          </cell>
          <cell r="DC29">
            <v>11.400000000001455</v>
          </cell>
          <cell r="DD29">
            <v>24611.3</v>
          </cell>
          <cell r="DE29">
            <v>13.700000000000728</v>
          </cell>
          <cell r="DF29">
            <v>17210.099999999999</v>
          </cell>
          <cell r="DG29">
            <v>7.6999999999970896</v>
          </cell>
          <cell r="DH29">
            <v>20185.3</v>
          </cell>
          <cell r="DI29">
            <v>6.5999999999985448</v>
          </cell>
          <cell r="DJ29">
            <v>1550</v>
          </cell>
          <cell r="DK29">
            <v>7</v>
          </cell>
          <cell r="DL29">
            <v>4521</v>
          </cell>
          <cell r="DM29">
            <v>15</v>
          </cell>
          <cell r="DN29">
            <v>879</v>
          </cell>
          <cell r="DO29">
            <v>0</v>
          </cell>
          <cell r="DP29">
            <v>2374</v>
          </cell>
          <cell r="DQ29">
            <v>8</v>
          </cell>
          <cell r="DR29">
            <v>24812</v>
          </cell>
          <cell r="DS29">
            <v>17</v>
          </cell>
          <cell r="DU29">
            <v>1207.4000000000001</v>
          </cell>
          <cell r="DV29">
            <v>8.8000000000001819</v>
          </cell>
          <cell r="DW29">
            <v>6581.4</v>
          </cell>
          <cell r="DX29">
            <v>5.0999999999994543</v>
          </cell>
          <cell r="DY29">
            <v>932</v>
          </cell>
          <cell r="DZ29">
            <v>6.8999999999999773</v>
          </cell>
          <cell r="EA29">
            <v>487.5</v>
          </cell>
          <cell r="EB29">
            <v>7.8000000000000114</v>
          </cell>
          <cell r="EC29">
            <v>720652</v>
          </cell>
          <cell r="ED29">
            <v>827</v>
          </cell>
          <cell r="EG29">
            <v>145129.79999999999</v>
          </cell>
          <cell r="EH29">
            <v>156.59999999997672</v>
          </cell>
          <cell r="EJ29">
            <v>9032600</v>
          </cell>
          <cell r="EK29">
            <v>3700</v>
          </cell>
          <cell r="EL29">
            <v>744280</v>
          </cell>
          <cell r="EM29">
            <v>290</v>
          </cell>
          <cell r="EN29">
            <v>5795200</v>
          </cell>
          <cell r="EO29">
            <v>1900</v>
          </cell>
          <cell r="EP29">
            <v>2042900</v>
          </cell>
          <cell r="EQ29">
            <v>700</v>
          </cell>
          <cell r="ER29">
            <v>812690</v>
          </cell>
          <cell r="ES29">
            <v>690</v>
          </cell>
          <cell r="ET29">
            <v>12716000</v>
          </cell>
          <cell r="EU29">
            <v>3300</v>
          </cell>
          <cell r="EW29">
            <v>34582</v>
          </cell>
          <cell r="EX29">
            <v>15</v>
          </cell>
          <cell r="EY29">
            <v>29903</v>
          </cell>
          <cell r="EZ29">
            <v>13</v>
          </cell>
          <cell r="FA29">
            <v>899</v>
          </cell>
          <cell r="FB29">
            <v>12</v>
          </cell>
          <cell r="FC29">
            <v>50792</v>
          </cell>
          <cell r="FD29">
            <v>15</v>
          </cell>
          <cell r="FE29">
            <v>31709</v>
          </cell>
          <cell r="FF29">
            <v>33</v>
          </cell>
        </row>
        <row r="30">
          <cell r="B30">
            <v>0.91</v>
          </cell>
          <cell r="E30">
            <v>771592</v>
          </cell>
          <cell r="F30">
            <v>713</v>
          </cell>
          <cell r="G30">
            <v>280</v>
          </cell>
          <cell r="H30">
            <v>19927</v>
          </cell>
          <cell r="I30">
            <v>376</v>
          </cell>
          <cell r="J30">
            <v>149</v>
          </cell>
          <cell r="K30">
            <v>137485</v>
          </cell>
          <cell r="L30">
            <v>366</v>
          </cell>
          <cell r="N30">
            <v>750957</v>
          </cell>
          <cell r="O30">
            <v>443</v>
          </cell>
          <cell r="Q30">
            <v>164925</v>
          </cell>
          <cell r="R30">
            <v>162</v>
          </cell>
          <cell r="S30">
            <v>7663.05</v>
          </cell>
          <cell r="T30">
            <v>231.76000000000022</v>
          </cell>
          <cell r="U30">
            <v>106</v>
          </cell>
          <cell r="V30">
            <v>2743</v>
          </cell>
          <cell r="W30">
            <v>34</v>
          </cell>
          <cell r="AC30">
            <v>6570086.8799999999</v>
          </cell>
          <cell r="AD30">
            <v>4092.480000000447</v>
          </cell>
          <cell r="AF30">
            <v>12819255.119999999</v>
          </cell>
          <cell r="AG30">
            <v>4725.8399999979883</v>
          </cell>
          <cell r="AI30">
            <v>12133472.4</v>
          </cell>
          <cell r="AJ30">
            <v>779.51999999955297</v>
          </cell>
          <cell r="AL30">
            <v>15274645.68</v>
          </cell>
          <cell r="AM30">
            <v>8038.7999999988824</v>
          </cell>
          <cell r="AO30">
            <v>15628352.880000001</v>
          </cell>
          <cell r="AP30">
            <v>15492.960000002757</v>
          </cell>
          <cell r="AR30">
            <v>14372789.76</v>
          </cell>
          <cell r="AS30">
            <v>5554.0800000000745</v>
          </cell>
          <cell r="AU30">
            <v>12276904.08</v>
          </cell>
          <cell r="AV30">
            <v>4579.679999999702</v>
          </cell>
          <cell r="AX30">
            <v>11848947.6</v>
          </cell>
          <cell r="AY30">
            <v>3946.3199999984354</v>
          </cell>
          <cell r="BA30">
            <v>9460693.1999999993</v>
          </cell>
          <cell r="BB30">
            <v>2874.480000000447</v>
          </cell>
          <cell r="BD30">
            <v>14443823.52</v>
          </cell>
          <cell r="BE30">
            <v>5456.6399999987334</v>
          </cell>
          <cell r="BK30">
            <v>60524400</v>
          </cell>
          <cell r="BL30">
            <v>0</v>
          </cell>
          <cell r="BN30">
            <v>63723200</v>
          </cell>
          <cell r="BO30">
            <v>46700</v>
          </cell>
          <cell r="BQ30">
            <v>58400500</v>
          </cell>
          <cell r="BR30">
            <v>66500</v>
          </cell>
          <cell r="BT30">
            <v>6367610</v>
          </cell>
          <cell r="BU30">
            <v>6590</v>
          </cell>
          <cell r="BW30">
            <v>0.8</v>
          </cell>
          <cell r="BX30">
            <v>-5.0000000000000044E-2</v>
          </cell>
          <cell r="BZ30">
            <v>53472</v>
          </cell>
          <cell r="CA30">
            <v>19</v>
          </cell>
          <cell r="CB30">
            <v>45116</v>
          </cell>
          <cell r="CC30">
            <v>16</v>
          </cell>
          <cell r="CD30">
            <v>15661</v>
          </cell>
          <cell r="CE30">
            <v>7</v>
          </cell>
          <cell r="CF30">
            <v>20002</v>
          </cell>
          <cell r="CG30">
            <v>10</v>
          </cell>
          <cell r="CH30">
            <v>21717</v>
          </cell>
          <cell r="CI30">
            <v>10</v>
          </cell>
          <cell r="CJ30">
            <v>49442</v>
          </cell>
          <cell r="CK30">
            <v>25</v>
          </cell>
          <cell r="CL30">
            <v>215077</v>
          </cell>
          <cell r="CM30">
            <v>98</v>
          </cell>
          <cell r="CO30">
            <v>163521</v>
          </cell>
          <cell r="CP30">
            <v>92</v>
          </cell>
          <cell r="CR30">
            <v>308195</v>
          </cell>
          <cell r="CS30">
            <v>0</v>
          </cell>
          <cell r="CU30">
            <v>573558</v>
          </cell>
          <cell r="CV30">
            <v>274</v>
          </cell>
          <cell r="CX30">
            <v>4982</v>
          </cell>
          <cell r="CY30">
            <v>8</v>
          </cell>
          <cell r="CZ30">
            <v>2595</v>
          </cell>
          <cell r="DA30">
            <v>5</v>
          </cell>
          <cell r="DB30">
            <v>24145.9</v>
          </cell>
          <cell r="DC30">
            <v>10</v>
          </cell>
          <cell r="DD30">
            <v>24625</v>
          </cell>
          <cell r="DE30">
            <v>13.700000000000728</v>
          </cell>
          <cell r="DF30">
            <v>17217.7</v>
          </cell>
          <cell r="DG30">
            <v>7.6000000000021828</v>
          </cell>
          <cell r="DH30">
            <v>20192.900000000001</v>
          </cell>
          <cell r="DI30">
            <v>7.6000000000021828</v>
          </cell>
          <cell r="DJ30">
            <v>1557</v>
          </cell>
          <cell r="DK30">
            <v>7</v>
          </cell>
          <cell r="DL30">
            <v>4536</v>
          </cell>
          <cell r="DM30">
            <v>15</v>
          </cell>
          <cell r="DN30">
            <v>879</v>
          </cell>
          <cell r="DO30">
            <v>0</v>
          </cell>
          <cell r="DP30">
            <v>2382</v>
          </cell>
          <cell r="DQ30">
            <v>8</v>
          </cell>
          <cell r="DR30">
            <v>24829</v>
          </cell>
          <cell r="DS30">
            <v>17</v>
          </cell>
          <cell r="DU30">
            <v>1216.9000000000001</v>
          </cell>
          <cell r="DV30">
            <v>9.5</v>
          </cell>
          <cell r="DW30">
            <v>6592.7</v>
          </cell>
          <cell r="DX30">
            <v>11.300000000000182</v>
          </cell>
          <cell r="DY30">
            <v>938.9</v>
          </cell>
          <cell r="DZ30">
            <v>6.8999999999999773</v>
          </cell>
          <cell r="EA30">
            <v>493.4</v>
          </cell>
          <cell r="EB30">
            <v>5.8999999999999773</v>
          </cell>
          <cell r="EC30">
            <v>721486</v>
          </cell>
          <cell r="ED30">
            <v>834</v>
          </cell>
          <cell r="EG30">
            <v>145290.70000000001</v>
          </cell>
          <cell r="EH30">
            <v>160.90000000002328</v>
          </cell>
          <cell r="EJ30">
            <v>9039600</v>
          </cell>
          <cell r="EK30">
            <v>7000</v>
          </cell>
          <cell r="EL30">
            <v>744710</v>
          </cell>
          <cell r="EM30">
            <v>430</v>
          </cell>
          <cell r="EN30">
            <v>5798500</v>
          </cell>
          <cell r="EO30">
            <v>3300</v>
          </cell>
          <cell r="EP30">
            <v>2044300</v>
          </cell>
          <cell r="EQ30">
            <v>1400</v>
          </cell>
          <cell r="ER30">
            <v>813700</v>
          </cell>
          <cell r="ES30">
            <v>1010</v>
          </cell>
          <cell r="ET30">
            <v>12724900</v>
          </cell>
          <cell r="EU30">
            <v>8900</v>
          </cell>
          <cell r="EW30">
            <v>34597</v>
          </cell>
          <cell r="EX30">
            <v>15</v>
          </cell>
          <cell r="EY30">
            <v>29921</v>
          </cell>
          <cell r="EZ30">
            <v>18</v>
          </cell>
          <cell r="FA30">
            <v>918</v>
          </cell>
          <cell r="FB30">
            <v>19</v>
          </cell>
          <cell r="FC30">
            <v>50814</v>
          </cell>
          <cell r="FD30">
            <v>22</v>
          </cell>
          <cell r="FE30">
            <v>31743</v>
          </cell>
          <cell r="FF30">
            <v>34</v>
          </cell>
        </row>
        <row r="31">
          <cell r="B31"/>
          <cell r="E31"/>
          <cell r="F31">
            <v>-771592</v>
          </cell>
          <cell r="G31">
            <v>272</v>
          </cell>
          <cell r="H31"/>
          <cell r="I31">
            <v>-19927</v>
          </cell>
          <cell r="J31">
            <v>156</v>
          </cell>
          <cell r="K31"/>
          <cell r="L31">
            <v>-137485</v>
          </cell>
          <cell r="N31"/>
          <cell r="O31">
            <v>-750957</v>
          </cell>
          <cell r="Q31"/>
          <cell r="R31">
            <v>-164925</v>
          </cell>
          <cell r="S31"/>
          <cell r="T31">
            <v>-7663.05</v>
          </cell>
          <cell r="U31">
            <v>114</v>
          </cell>
          <cell r="V31"/>
          <cell r="W31">
            <v>-2743</v>
          </cell>
          <cell r="AC31"/>
          <cell r="AD31">
            <v>-6570086.8799999999</v>
          </cell>
          <cell r="AF31"/>
          <cell r="AG31">
            <v>-12819255.119999999</v>
          </cell>
          <cell r="AI31"/>
          <cell r="AJ31">
            <v>-12133472.4</v>
          </cell>
          <cell r="AL31"/>
          <cell r="AM31">
            <v>-15274645.68</v>
          </cell>
          <cell r="AO31"/>
          <cell r="AP31">
            <v>-15628352.880000001</v>
          </cell>
          <cell r="AR31"/>
          <cell r="AS31">
            <v>-14372789.76</v>
          </cell>
          <cell r="AU31"/>
          <cell r="AV31">
            <v>-12276904.08</v>
          </cell>
          <cell r="AX31"/>
          <cell r="AY31">
            <v>-11848947.6</v>
          </cell>
          <cell r="BA31"/>
          <cell r="BB31">
            <v>-9460693.1999999993</v>
          </cell>
          <cell r="BD31"/>
          <cell r="BE31">
            <v>-14443823.52</v>
          </cell>
          <cell r="BK31"/>
          <cell r="BL31">
            <v>-60524400</v>
          </cell>
          <cell r="BN31"/>
          <cell r="BO31">
            <v>-63723200</v>
          </cell>
          <cell r="BQ31"/>
          <cell r="BR31">
            <v>-58400500</v>
          </cell>
          <cell r="BT31"/>
          <cell r="BU31">
            <v>-6367610</v>
          </cell>
          <cell r="BW31"/>
          <cell r="BX31">
            <v>0.8</v>
          </cell>
          <cell r="BZ31"/>
          <cell r="CA31">
            <v>-53472</v>
          </cell>
          <cell r="CB31"/>
          <cell r="CC31">
            <v>-45116</v>
          </cell>
          <cell r="CD31"/>
          <cell r="CE31">
            <v>-15661</v>
          </cell>
          <cell r="CF31"/>
          <cell r="CG31">
            <v>-20002</v>
          </cell>
          <cell r="CH31"/>
          <cell r="CI31">
            <v>-21717</v>
          </cell>
          <cell r="CJ31"/>
          <cell r="CK31">
            <v>-49442</v>
          </cell>
          <cell r="CL31"/>
          <cell r="CM31">
            <v>-215077</v>
          </cell>
          <cell r="CO31"/>
          <cell r="CP31">
            <v>-163521</v>
          </cell>
          <cell r="CR31"/>
          <cell r="CS31">
            <v>-308195</v>
          </cell>
          <cell r="CU31"/>
          <cell r="CV31">
            <v>-573558</v>
          </cell>
          <cell r="CX31"/>
          <cell r="CY31">
            <v>-4982</v>
          </cell>
          <cell r="CZ31"/>
          <cell r="DA31">
            <v>-2595</v>
          </cell>
          <cell r="DB31"/>
          <cell r="DC31">
            <v>-24145.9</v>
          </cell>
          <cell r="DD31"/>
          <cell r="DE31">
            <v>-24625</v>
          </cell>
          <cell r="DF31"/>
          <cell r="DG31">
            <v>-17217.7</v>
          </cell>
          <cell r="DH31"/>
          <cell r="DI31">
            <v>-20192.900000000001</v>
          </cell>
          <cell r="DJ31"/>
          <cell r="DK31">
            <v>-1557</v>
          </cell>
          <cell r="DL31"/>
          <cell r="DM31">
            <v>-4536</v>
          </cell>
          <cell r="DN31"/>
          <cell r="DO31">
            <v>-879</v>
          </cell>
          <cell r="DP31"/>
          <cell r="DQ31">
            <v>-2382</v>
          </cell>
          <cell r="DR31"/>
          <cell r="DS31">
            <v>-24829</v>
          </cell>
          <cell r="DU31"/>
          <cell r="DV31">
            <v>-1216.9000000000001</v>
          </cell>
          <cell r="DW31"/>
          <cell r="DX31">
            <v>-6592.7</v>
          </cell>
          <cell r="DY31"/>
          <cell r="DZ31">
            <v>-938.9</v>
          </cell>
          <cell r="EA31"/>
          <cell r="EB31">
            <v>-493.4</v>
          </cell>
          <cell r="EC31"/>
          <cell r="ED31">
            <v>-721486</v>
          </cell>
          <cell r="EG31"/>
          <cell r="EH31">
            <v>-145290.70000000001</v>
          </cell>
          <cell r="EJ31"/>
          <cell r="EK31">
            <v>-9039600</v>
          </cell>
          <cell r="EL31"/>
          <cell r="EM31">
            <v>-744710</v>
          </cell>
          <cell r="EN31"/>
          <cell r="EO31">
            <v>-5798500</v>
          </cell>
          <cell r="EP31"/>
          <cell r="EQ31">
            <v>-2044300</v>
          </cell>
          <cell r="ER31"/>
          <cell r="ES31">
            <v>-813700</v>
          </cell>
          <cell r="ET31"/>
          <cell r="EU31">
            <v>-12724900</v>
          </cell>
          <cell r="EW31"/>
          <cell r="EX31">
            <v>-34597</v>
          </cell>
          <cell r="EY31"/>
          <cell r="EZ31">
            <v>-29921</v>
          </cell>
          <cell r="FA31">
            <v>0</v>
          </cell>
          <cell r="FB31">
            <v>-918</v>
          </cell>
          <cell r="FC31"/>
          <cell r="FD31">
            <v>-50814</v>
          </cell>
          <cell r="FE31"/>
          <cell r="FF31">
            <v>-31743</v>
          </cell>
        </row>
        <row r="32">
          <cell r="B32"/>
          <cell r="E32"/>
          <cell r="F32">
            <v>0</v>
          </cell>
          <cell r="G32">
            <v>303</v>
          </cell>
          <cell r="H32"/>
          <cell r="I32">
            <v>0</v>
          </cell>
          <cell r="J32">
            <v>94</v>
          </cell>
          <cell r="K32"/>
          <cell r="L32">
            <v>0</v>
          </cell>
          <cell r="N32"/>
          <cell r="O32">
            <v>0</v>
          </cell>
          <cell r="Q32"/>
          <cell r="R32">
            <v>0</v>
          </cell>
          <cell r="S32"/>
          <cell r="T32">
            <v>0</v>
          </cell>
          <cell r="U32">
            <v>115</v>
          </cell>
          <cell r="V32"/>
          <cell r="W32">
            <v>0</v>
          </cell>
          <cell r="AC32"/>
          <cell r="AD32">
            <v>0</v>
          </cell>
          <cell r="AF32"/>
          <cell r="AG32">
            <v>0</v>
          </cell>
          <cell r="AI32"/>
          <cell r="AJ32">
            <v>0</v>
          </cell>
          <cell r="AL32"/>
          <cell r="AM32">
            <v>0</v>
          </cell>
          <cell r="AO32"/>
          <cell r="AP32">
            <v>0</v>
          </cell>
          <cell r="AR32"/>
          <cell r="AS32">
            <v>0</v>
          </cell>
          <cell r="AU32"/>
          <cell r="AV32">
            <v>0</v>
          </cell>
          <cell r="AX32"/>
          <cell r="AY32">
            <v>0</v>
          </cell>
          <cell r="BA32"/>
          <cell r="BB32">
            <v>0</v>
          </cell>
          <cell r="BD32"/>
          <cell r="BE32">
            <v>0</v>
          </cell>
          <cell r="BK32"/>
          <cell r="BL32">
            <v>0</v>
          </cell>
          <cell r="BN32"/>
          <cell r="BO32">
            <v>0</v>
          </cell>
          <cell r="BQ32"/>
          <cell r="BR32">
            <v>0</v>
          </cell>
          <cell r="BT32"/>
          <cell r="BU32">
            <v>0</v>
          </cell>
          <cell r="BW32"/>
          <cell r="BX32">
            <v>0</v>
          </cell>
          <cell r="BZ32"/>
          <cell r="CA32">
            <v>0</v>
          </cell>
          <cell r="CB32"/>
          <cell r="CC32">
            <v>0</v>
          </cell>
          <cell r="CD32"/>
          <cell r="CE32">
            <v>0</v>
          </cell>
          <cell r="CF32"/>
          <cell r="CG32">
            <v>0</v>
          </cell>
          <cell r="CH32"/>
          <cell r="CI32">
            <v>0</v>
          </cell>
          <cell r="CJ32"/>
          <cell r="CK32">
            <v>0</v>
          </cell>
          <cell r="CL32"/>
          <cell r="CM32">
            <v>0</v>
          </cell>
          <cell r="CO32"/>
          <cell r="CP32">
            <v>0</v>
          </cell>
          <cell r="CR32"/>
          <cell r="CS32">
            <v>0</v>
          </cell>
          <cell r="CU32"/>
          <cell r="CV32">
            <v>0</v>
          </cell>
          <cell r="CX32"/>
          <cell r="CY32">
            <v>0</v>
          </cell>
          <cell r="CZ32"/>
          <cell r="DA32">
            <v>0</v>
          </cell>
          <cell r="DB32"/>
          <cell r="DC32">
            <v>0</v>
          </cell>
          <cell r="DD32"/>
          <cell r="DE32">
            <v>0</v>
          </cell>
          <cell r="DF32"/>
          <cell r="DG32">
            <v>0</v>
          </cell>
          <cell r="DH32"/>
          <cell r="DI32">
            <v>0</v>
          </cell>
          <cell r="DJ32"/>
          <cell r="DK32">
            <v>0</v>
          </cell>
          <cell r="DL32"/>
          <cell r="DM32">
            <v>0</v>
          </cell>
          <cell r="DN32"/>
          <cell r="DO32">
            <v>0</v>
          </cell>
          <cell r="DP32"/>
          <cell r="DQ32">
            <v>0</v>
          </cell>
          <cell r="DR32"/>
          <cell r="DS32">
            <v>-24829</v>
          </cell>
          <cell r="DU32"/>
          <cell r="DV32">
            <v>0</v>
          </cell>
          <cell r="DW32"/>
          <cell r="DX32">
            <v>0</v>
          </cell>
          <cell r="DY32"/>
          <cell r="DZ32">
            <v>0</v>
          </cell>
          <cell r="EA32"/>
          <cell r="EB32">
            <v>0</v>
          </cell>
          <cell r="EC32"/>
          <cell r="ED32">
            <v>0</v>
          </cell>
          <cell r="EG32"/>
          <cell r="EH32">
            <v>0</v>
          </cell>
          <cell r="EJ32"/>
          <cell r="EK32">
            <v>0</v>
          </cell>
          <cell r="EL32"/>
          <cell r="EM32">
            <v>0</v>
          </cell>
          <cell r="EN32"/>
          <cell r="EO32">
            <v>0</v>
          </cell>
          <cell r="EP32"/>
          <cell r="EQ32">
            <v>0</v>
          </cell>
          <cell r="ER32"/>
          <cell r="ES32">
            <v>0</v>
          </cell>
          <cell r="ET32"/>
          <cell r="EU32">
            <v>0</v>
          </cell>
          <cell r="EW32"/>
          <cell r="EX32">
            <v>0</v>
          </cell>
          <cell r="EY32"/>
          <cell r="EZ32">
            <v>0</v>
          </cell>
          <cell r="FA32">
            <v>0</v>
          </cell>
          <cell r="FB32">
            <v>0</v>
          </cell>
          <cell r="FC32"/>
          <cell r="FD32">
            <v>0</v>
          </cell>
          <cell r="FE32"/>
          <cell r="FF32">
            <v>0</v>
          </cell>
        </row>
        <row r="33">
          <cell r="B33"/>
          <cell r="E33"/>
          <cell r="F33">
            <v>0</v>
          </cell>
          <cell r="G33">
            <v>333</v>
          </cell>
          <cell r="H33"/>
          <cell r="I33">
            <v>0</v>
          </cell>
          <cell r="J33">
            <v>284</v>
          </cell>
          <cell r="K33"/>
          <cell r="L33">
            <v>0</v>
          </cell>
          <cell r="N33"/>
          <cell r="O33">
            <v>0</v>
          </cell>
          <cell r="Q33"/>
          <cell r="R33">
            <v>0</v>
          </cell>
          <cell r="S33"/>
          <cell r="T33">
            <v>0</v>
          </cell>
          <cell r="U33">
            <v>140</v>
          </cell>
          <cell r="V33"/>
          <cell r="W33">
            <v>0</v>
          </cell>
          <cell r="AC33"/>
          <cell r="AD33">
            <v>0</v>
          </cell>
          <cell r="AF33"/>
          <cell r="AG33">
            <v>0</v>
          </cell>
          <cell r="AI33"/>
          <cell r="AJ33">
            <v>0</v>
          </cell>
          <cell r="AL33"/>
          <cell r="AM33">
            <v>0</v>
          </cell>
          <cell r="AO33"/>
          <cell r="AP33">
            <v>0</v>
          </cell>
          <cell r="AR33"/>
          <cell r="AS33">
            <v>0</v>
          </cell>
          <cell r="AU33"/>
          <cell r="AV33">
            <v>0</v>
          </cell>
          <cell r="AX33"/>
          <cell r="AY33">
            <v>0</v>
          </cell>
          <cell r="BA33"/>
          <cell r="BB33">
            <v>0</v>
          </cell>
          <cell r="BD33"/>
          <cell r="BE33">
            <v>0</v>
          </cell>
          <cell r="BK33"/>
          <cell r="BL33">
            <v>0</v>
          </cell>
          <cell r="BN33"/>
          <cell r="BO33">
            <v>0</v>
          </cell>
          <cell r="BQ33"/>
          <cell r="BR33">
            <v>0</v>
          </cell>
          <cell r="BT33"/>
          <cell r="BU33">
            <v>0</v>
          </cell>
          <cell r="BW33"/>
          <cell r="BX33">
            <v>0</v>
          </cell>
          <cell r="BZ33"/>
          <cell r="CA33">
            <v>0</v>
          </cell>
          <cell r="CB33"/>
          <cell r="CC33">
            <v>0</v>
          </cell>
          <cell r="CD33"/>
          <cell r="CE33">
            <v>0</v>
          </cell>
          <cell r="CF33"/>
          <cell r="CG33">
            <v>0</v>
          </cell>
          <cell r="CH33"/>
          <cell r="CI33">
            <v>0</v>
          </cell>
          <cell r="CJ33"/>
          <cell r="CK33">
            <v>0</v>
          </cell>
          <cell r="CL33"/>
          <cell r="CM33">
            <v>0</v>
          </cell>
          <cell r="CO33"/>
          <cell r="CP33">
            <v>0</v>
          </cell>
          <cell r="CR33"/>
          <cell r="CS33">
            <v>0</v>
          </cell>
          <cell r="CU33"/>
          <cell r="CV33">
            <v>0</v>
          </cell>
          <cell r="CX33"/>
          <cell r="CY33">
            <v>0</v>
          </cell>
          <cell r="CZ33"/>
          <cell r="DA33">
            <v>0</v>
          </cell>
          <cell r="DB33"/>
          <cell r="DC33">
            <v>0</v>
          </cell>
          <cell r="DD33"/>
          <cell r="DE33">
            <v>0</v>
          </cell>
          <cell r="DF33"/>
          <cell r="DG33">
            <v>0</v>
          </cell>
          <cell r="DH33"/>
          <cell r="DI33">
            <v>0</v>
          </cell>
          <cell r="DJ33"/>
          <cell r="DK33">
            <v>0</v>
          </cell>
          <cell r="DL33"/>
          <cell r="DM33">
            <v>0</v>
          </cell>
          <cell r="DN33"/>
          <cell r="DO33">
            <v>0</v>
          </cell>
          <cell r="DP33"/>
          <cell r="DQ33">
            <v>0</v>
          </cell>
          <cell r="DR33"/>
          <cell r="DS33">
            <v>0</v>
          </cell>
          <cell r="DU33"/>
          <cell r="DV33">
            <v>0</v>
          </cell>
          <cell r="DW33"/>
          <cell r="DX33">
            <v>0</v>
          </cell>
          <cell r="DY33"/>
          <cell r="DZ33">
            <v>0</v>
          </cell>
          <cell r="EA33"/>
          <cell r="EB33">
            <v>0</v>
          </cell>
          <cell r="EC33"/>
          <cell r="ED33">
            <v>0</v>
          </cell>
          <cell r="EG33"/>
          <cell r="EH33">
            <v>0</v>
          </cell>
          <cell r="EJ33"/>
          <cell r="EK33">
            <v>0</v>
          </cell>
          <cell r="EL33"/>
          <cell r="EM33">
            <v>0</v>
          </cell>
          <cell r="EN33"/>
          <cell r="EO33">
            <v>0</v>
          </cell>
          <cell r="EP33"/>
          <cell r="EQ33">
            <v>0</v>
          </cell>
          <cell r="ER33"/>
          <cell r="ES33">
            <v>0</v>
          </cell>
          <cell r="ET33"/>
          <cell r="EU33">
            <v>0</v>
          </cell>
          <cell r="EW33"/>
          <cell r="EX33">
            <v>0</v>
          </cell>
          <cell r="EY33"/>
          <cell r="EZ33">
            <v>0</v>
          </cell>
          <cell r="FA33">
            <v>0</v>
          </cell>
          <cell r="FB33">
            <v>0</v>
          </cell>
          <cell r="FC33"/>
          <cell r="FD33">
            <v>0</v>
          </cell>
          <cell r="FE33"/>
          <cell r="FF33">
            <v>0</v>
          </cell>
        </row>
        <row r="34">
          <cell r="B34"/>
          <cell r="E34"/>
          <cell r="F34">
            <v>0</v>
          </cell>
          <cell r="G34">
            <v>377</v>
          </cell>
          <cell r="H34"/>
          <cell r="I34">
            <v>0</v>
          </cell>
          <cell r="J34">
            <v>208</v>
          </cell>
          <cell r="K34"/>
          <cell r="L34">
            <v>0</v>
          </cell>
          <cell r="N34"/>
          <cell r="O34">
            <v>0</v>
          </cell>
          <cell r="Q34"/>
          <cell r="R34">
            <v>0</v>
          </cell>
          <cell r="S34"/>
          <cell r="T34">
            <v>0</v>
          </cell>
          <cell r="U34">
            <v>141</v>
          </cell>
          <cell r="V34"/>
          <cell r="W34">
            <v>0</v>
          </cell>
          <cell r="AC34"/>
          <cell r="AD34">
            <v>0</v>
          </cell>
          <cell r="AF34"/>
          <cell r="AG34">
            <v>0</v>
          </cell>
          <cell r="AI34"/>
          <cell r="AJ34">
            <v>0</v>
          </cell>
          <cell r="AL34"/>
          <cell r="AM34">
            <v>0</v>
          </cell>
          <cell r="AO34"/>
          <cell r="AP34">
            <v>0</v>
          </cell>
          <cell r="AR34"/>
          <cell r="AS34">
            <v>0</v>
          </cell>
          <cell r="AU34"/>
          <cell r="AV34">
            <v>0</v>
          </cell>
          <cell r="AX34"/>
          <cell r="AY34">
            <v>0</v>
          </cell>
          <cell r="BA34"/>
          <cell r="BB34">
            <v>0</v>
          </cell>
          <cell r="BD34"/>
          <cell r="BE34">
            <v>0</v>
          </cell>
          <cell r="BK34"/>
          <cell r="BL34">
            <v>0</v>
          </cell>
          <cell r="BN34"/>
          <cell r="BO34">
            <v>0</v>
          </cell>
          <cell r="BQ34"/>
          <cell r="BR34">
            <v>0</v>
          </cell>
          <cell r="BT34"/>
          <cell r="BU34">
            <v>0</v>
          </cell>
          <cell r="BW34"/>
          <cell r="BX34">
            <v>0</v>
          </cell>
          <cell r="BZ34"/>
          <cell r="CA34">
            <v>0</v>
          </cell>
          <cell r="CB34"/>
          <cell r="CC34">
            <v>0</v>
          </cell>
          <cell r="CD34"/>
          <cell r="CE34">
            <v>0</v>
          </cell>
          <cell r="CF34"/>
          <cell r="CG34">
            <v>0</v>
          </cell>
          <cell r="CH34"/>
          <cell r="CI34">
            <v>0</v>
          </cell>
          <cell r="CJ34"/>
          <cell r="CK34">
            <v>0</v>
          </cell>
          <cell r="CL34"/>
          <cell r="CM34">
            <v>0</v>
          </cell>
          <cell r="CO34"/>
          <cell r="CP34">
            <v>0</v>
          </cell>
          <cell r="CR34"/>
          <cell r="CS34">
            <v>0</v>
          </cell>
          <cell r="CU34"/>
          <cell r="CV34">
            <v>0</v>
          </cell>
          <cell r="CX34"/>
          <cell r="CY34">
            <v>0</v>
          </cell>
          <cell r="CZ34"/>
          <cell r="DA34">
            <v>0</v>
          </cell>
          <cell r="DB34"/>
          <cell r="DC34">
            <v>0</v>
          </cell>
          <cell r="DD34"/>
          <cell r="DE34">
            <v>0</v>
          </cell>
          <cell r="DF34"/>
          <cell r="DG34">
            <v>0</v>
          </cell>
          <cell r="DH34"/>
          <cell r="DI34">
            <v>0</v>
          </cell>
          <cell r="DJ34"/>
          <cell r="DK34">
            <v>0</v>
          </cell>
          <cell r="DL34"/>
          <cell r="DM34">
            <v>0</v>
          </cell>
          <cell r="DN34"/>
          <cell r="DO34">
            <v>0</v>
          </cell>
          <cell r="DP34"/>
          <cell r="DQ34">
            <v>0</v>
          </cell>
          <cell r="DR34"/>
          <cell r="DS34">
            <v>0</v>
          </cell>
          <cell r="DU34"/>
          <cell r="DV34">
            <v>0</v>
          </cell>
          <cell r="DW34"/>
          <cell r="DX34">
            <v>0</v>
          </cell>
          <cell r="DY34"/>
          <cell r="DZ34">
            <v>0</v>
          </cell>
          <cell r="EA34"/>
          <cell r="EB34">
            <v>0</v>
          </cell>
          <cell r="EC34"/>
          <cell r="ED34">
            <v>0</v>
          </cell>
          <cell r="EG34"/>
          <cell r="EH34">
            <v>0</v>
          </cell>
          <cell r="EJ34"/>
          <cell r="EK34">
            <v>0</v>
          </cell>
          <cell r="EL34"/>
          <cell r="EM34">
            <v>0</v>
          </cell>
          <cell r="EN34"/>
          <cell r="EO34">
            <v>0</v>
          </cell>
          <cell r="EP34"/>
          <cell r="EQ34">
            <v>0</v>
          </cell>
          <cell r="ER34"/>
          <cell r="ES34">
            <v>0</v>
          </cell>
          <cell r="ET34"/>
          <cell r="EU34">
            <v>0</v>
          </cell>
          <cell r="EW34"/>
          <cell r="EX34">
            <v>0</v>
          </cell>
          <cell r="EY34"/>
          <cell r="EZ34">
            <v>0</v>
          </cell>
          <cell r="FA34">
            <v>0</v>
          </cell>
          <cell r="FB34">
            <v>0</v>
          </cell>
          <cell r="FC34"/>
          <cell r="FD34">
            <v>0</v>
          </cell>
          <cell r="FE34"/>
          <cell r="FF34">
            <v>0</v>
          </cell>
        </row>
        <row r="35">
          <cell r="B35"/>
          <cell r="E35"/>
          <cell r="F35">
            <v>0</v>
          </cell>
          <cell r="G35">
            <v>377</v>
          </cell>
          <cell r="H35"/>
          <cell r="I35">
            <v>0</v>
          </cell>
          <cell r="J35">
            <v>234</v>
          </cell>
          <cell r="K35"/>
          <cell r="L35">
            <v>0</v>
          </cell>
          <cell r="N35"/>
          <cell r="O35">
            <v>0</v>
          </cell>
          <cell r="Q35"/>
          <cell r="R35">
            <v>0</v>
          </cell>
          <cell r="S35"/>
          <cell r="T35">
            <v>0</v>
          </cell>
          <cell r="U35">
            <v>155</v>
          </cell>
          <cell r="V35"/>
          <cell r="W35">
            <v>0</v>
          </cell>
          <cell r="AC35"/>
          <cell r="AD35">
            <v>0</v>
          </cell>
          <cell r="AF35"/>
          <cell r="AG35">
            <v>0</v>
          </cell>
          <cell r="AI35"/>
          <cell r="AJ35">
            <v>0</v>
          </cell>
          <cell r="AL35"/>
          <cell r="AM35">
            <v>0</v>
          </cell>
          <cell r="AO35"/>
          <cell r="AP35">
            <v>0</v>
          </cell>
          <cell r="AR35"/>
          <cell r="AS35">
            <v>0</v>
          </cell>
          <cell r="AU35"/>
          <cell r="AV35">
            <v>0</v>
          </cell>
          <cell r="AX35"/>
          <cell r="AY35">
            <v>0</v>
          </cell>
          <cell r="BA35"/>
          <cell r="BB35">
            <v>0</v>
          </cell>
          <cell r="BD35"/>
          <cell r="BE35">
            <v>0</v>
          </cell>
          <cell r="BK35"/>
          <cell r="BL35">
            <v>0</v>
          </cell>
          <cell r="BN35"/>
          <cell r="BO35">
            <v>0</v>
          </cell>
          <cell r="BQ35"/>
          <cell r="BR35">
            <v>0</v>
          </cell>
          <cell r="BT35"/>
          <cell r="BU35">
            <v>0</v>
          </cell>
          <cell r="BW35"/>
          <cell r="BX35">
            <v>0</v>
          </cell>
          <cell r="BZ35"/>
          <cell r="CA35">
            <v>0</v>
          </cell>
          <cell r="CB35"/>
          <cell r="CC35">
            <v>0</v>
          </cell>
          <cell r="CD35"/>
          <cell r="CE35">
            <v>0</v>
          </cell>
          <cell r="CF35"/>
          <cell r="CG35">
            <v>0</v>
          </cell>
          <cell r="CH35"/>
          <cell r="CI35">
            <v>0</v>
          </cell>
          <cell r="CJ35"/>
          <cell r="CK35">
            <v>0</v>
          </cell>
          <cell r="CL35"/>
          <cell r="CM35">
            <v>0</v>
          </cell>
          <cell r="CO35"/>
          <cell r="CP35">
            <v>0</v>
          </cell>
          <cell r="CR35"/>
          <cell r="CS35">
            <v>0</v>
          </cell>
          <cell r="CU35"/>
          <cell r="CV35">
            <v>0</v>
          </cell>
          <cell r="CX35"/>
          <cell r="CY35">
            <v>0</v>
          </cell>
          <cell r="CZ35"/>
          <cell r="DA35">
            <v>0</v>
          </cell>
          <cell r="DB35"/>
          <cell r="DC35">
            <v>0</v>
          </cell>
          <cell r="DD35"/>
          <cell r="DE35">
            <v>0</v>
          </cell>
          <cell r="DF35"/>
          <cell r="DG35">
            <v>0</v>
          </cell>
          <cell r="DH35"/>
          <cell r="DI35">
            <v>0</v>
          </cell>
          <cell r="DJ35"/>
          <cell r="DK35">
            <v>0</v>
          </cell>
          <cell r="DL35"/>
          <cell r="DM35">
            <v>0</v>
          </cell>
          <cell r="DN35"/>
          <cell r="DO35">
            <v>0</v>
          </cell>
          <cell r="DP35"/>
          <cell r="DQ35">
            <v>0</v>
          </cell>
          <cell r="DR35"/>
          <cell r="DS35">
            <v>0</v>
          </cell>
          <cell r="DU35"/>
          <cell r="DV35">
            <v>0</v>
          </cell>
          <cell r="DW35"/>
          <cell r="DX35">
            <v>0</v>
          </cell>
          <cell r="DY35"/>
          <cell r="DZ35">
            <v>0</v>
          </cell>
          <cell r="EA35"/>
          <cell r="EB35">
            <v>0</v>
          </cell>
          <cell r="EC35"/>
          <cell r="ED35">
            <v>0</v>
          </cell>
          <cell r="EG35"/>
          <cell r="EH35">
            <v>0</v>
          </cell>
          <cell r="EJ35"/>
          <cell r="EK35">
            <v>0</v>
          </cell>
          <cell r="EL35"/>
          <cell r="EM35">
            <v>0</v>
          </cell>
          <cell r="EN35"/>
          <cell r="EO35">
            <v>0</v>
          </cell>
          <cell r="EP35"/>
          <cell r="EQ35">
            <v>0</v>
          </cell>
          <cell r="ER35"/>
          <cell r="ES35">
            <v>0</v>
          </cell>
          <cell r="ET35"/>
          <cell r="EU35">
            <v>0</v>
          </cell>
          <cell r="EW35"/>
          <cell r="EX35">
            <v>0</v>
          </cell>
          <cell r="EY35"/>
          <cell r="EZ35">
            <v>0</v>
          </cell>
          <cell r="FA35">
            <v>0</v>
          </cell>
          <cell r="FB35">
            <v>0</v>
          </cell>
          <cell r="FC35"/>
          <cell r="FD35">
            <v>0</v>
          </cell>
          <cell r="FE35"/>
          <cell r="FF35">
            <v>0</v>
          </cell>
        </row>
        <row r="36">
          <cell r="B36"/>
          <cell r="E36"/>
          <cell r="F36">
            <v>0</v>
          </cell>
          <cell r="G36">
            <v>343</v>
          </cell>
          <cell r="H36"/>
          <cell r="I36">
            <v>0</v>
          </cell>
          <cell r="J36">
            <v>172</v>
          </cell>
          <cell r="K36"/>
          <cell r="L36">
            <v>0</v>
          </cell>
          <cell r="N36"/>
          <cell r="O36">
            <v>0</v>
          </cell>
          <cell r="Q36"/>
          <cell r="R36">
            <v>0</v>
          </cell>
          <cell r="S36"/>
          <cell r="T36">
            <v>0</v>
          </cell>
          <cell r="U36">
            <v>140</v>
          </cell>
          <cell r="V36"/>
          <cell r="W36">
            <v>0</v>
          </cell>
          <cell r="AC36"/>
          <cell r="AD36">
            <v>0</v>
          </cell>
          <cell r="AF36"/>
          <cell r="AG36">
            <v>0</v>
          </cell>
          <cell r="AI36"/>
          <cell r="AJ36">
            <v>0</v>
          </cell>
          <cell r="AL36"/>
          <cell r="AM36">
            <v>0</v>
          </cell>
          <cell r="AO36"/>
          <cell r="AP36">
            <v>0</v>
          </cell>
          <cell r="AR36"/>
          <cell r="AS36">
            <v>0</v>
          </cell>
          <cell r="AU36"/>
          <cell r="AV36">
            <v>0</v>
          </cell>
          <cell r="AX36"/>
          <cell r="AY36">
            <v>0</v>
          </cell>
          <cell r="BA36"/>
          <cell r="BB36">
            <v>0</v>
          </cell>
          <cell r="BD36"/>
          <cell r="BE36">
            <v>0</v>
          </cell>
          <cell r="BK36"/>
          <cell r="BL36">
            <v>0</v>
          </cell>
          <cell r="BN36"/>
          <cell r="BO36">
            <v>0</v>
          </cell>
          <cell r="BQ36"/>
          <cell r="BR36">
            <v>0</v>
          </cell>
          <cell r="BT36"/>
          <cell r="BU36">
            <v>0</v>
          </cell>
          <cell r="BW36"/>
          <cell r="BX36">
            <v>0</v>
          </cell>
          <cell r="BZ36"/>
          <cell r="CA36">
            <v>0</v>
          </cell>
          <cell r="CB36"/>
          <cell r="CC36">
            <v>0</v>
          </cell>
          <cell r="CD36"/>
          <cell r="CE36">
            <v>0</v>
          </cell>
          <cell r="CF36"/>
          <cell r="CG36">
            <v>0</v>
          </cell>
          <cell r="CH36"/>
          <cell r="CI36">
            <v>0</v>
          </cell>
          <cell r="CJ36"/>
          <cell r="CK36">
            <v>0</v>
          </cell>
          <cell r="CL36"/>
          <cell r="CM36">
            <v>0</v>
          </cell>
          <cell r="CO36"/>
          <cell r="CP36">
            <v>0</v>
          </cell>
          <cell r="CR36"/>
          <cell r="CS36">
            <v>0</v>
          </cell>
          <cell r="CU36"/>
          <cell r="CV36">
            <v>0</v>
          </cell>
          <cell r="CX36"/>
          <cell r="CY36">
            <v>0</v>
          </cell>
          <cell r="CZ36"/>
          <cell r="DA36">
            <v>0</v>
          </cell>
          <cell r="DB36"/>
          <cell r="DC36">
            <v>0</v>
          </cell>
          <cell r="DD36"/>
          <cell r="DE36">
            <v>0</v>
          </cell>
          <cell r="DF36"/>
          <cell r="DG36">
            <v>0</v>
          </cell>
          <cell r="DH36"/>
          <cell r="DI36">
            <v>0</v>
          </cell>
          <cell r="DJ36"/>
          <cell r="DK36">
            <v>0</v>
          </cell>
          <cell r="DL36"/>
          <cell r="DM36">
            <v>0</v>
          </cell>
          <cell r="DN36"/>
          <cell r="DO36">
            <v>0</v>
          </cell>
          <cell r="DP36"/>
          <cell r="DQ36">
            <v>0</v>
          </cell>
          <cell r="DR36"/>
          <cell r="DS36">
            <v>0</v>
          </cell>
          <cell r="DU36"/>
          <cell r="DV36">
            <v>0</v>
          </cell>
          <cell r="DW36"/>
          <cell r="DX36">
            <v>0</v>
          </cell>
          <cell r="DY36"/>
          <cell r="DZ36">
            <v>0</v>
          </cell>
          <cell r="EA36"/>
          <cell r="EB36">
            <v>0</v>
          </cell>
          <cell r="EC36"/>
          <cell r="ED36">
            <v>0</v>
          </cell>
          <cell r="EG36"/>
          <cell r="EH36">
            <v>0</v>
          </cell>
          <cell r="EJ36"/>
          <cell r="EK36">
            <v>0</v>
          </cell>
          <cell r="EL36"/>
          <cell r="EM36">
            <v>0</v>
          </cell>
          <cell r="EN36"/>
          <cell r="EO36">
            <v>0</v>
          </cell>
          <cell r="EP36"/>
          <cell r="EQ36">
            <v>0</v>
          </cell>
          <cell r="ER36"/>
          <cell r="ES36">
            <v>0</v>
          </cell>
          <cell r="ET36"/>
          <cell r="EU36">
            <v>0</v>
          </cell>
          <cell r="EW36"/>
          <cell r="EX36">
            <v>0</v>
          </cell>
          <cell r="EY36"/>
          <cell r="EZ36">
            <v>0</v>
          </cell>
          <cell r="FA36">
            <v>0</v>
          </cell>
          <cell r="FB36">
            <v>0</v>
          </cell>
          <cell r="FC36"/>
          <cell r="FD36">
            <v>0</v>
          </cell>
          <cell r="FE36"/>
          <cell r="FF36">
            <v>0</v>
          </cell>
        </row>
        <row r="37">
          <cell r="B37"/>
          <cell r="E37"/>
          <cell r="F37">
            <v>0</v>
          </cell>
          <cell r="G37">
            <v>348</v>
          </cell>
          <cell r="H37"/>
          <cell r="I37">
            <v>0</v>
          </cell>
          <cell r="J37">
            <v>202</v>
          </cell>
          <cell r="K37"/>
          <cell r="L37">
            <v>0</v>
          </cell>
          <cell r="N37"/>
          <cell r="O37">
            <v>0</v>
          </cell>
          <cell r="Q37"/>
          <cell r="R37">
            <v>0</v>
          </cell>
          <cell r="S37"/>
          <cell r="T37">
            <v>0</v>
          </cell>
          <cell r="U37">
            <v>210</v>
          </cell>
          <cell r="V37"/>
          <cell r="W37">
            <v>0</v>
          </cell>
          <cell r="AC37"/>
          <cell r="AD37">
            <v>0</v>
          </cell>
          <cell r="AF37"/>
          <cell r="AG37">
            <v>0</v>
          </cell>
          <cell r="AI37"/>
          <cell r="AJ37">
            <v>0</v>
          </cell>
          <cell r="AL37"/>
          <cell r="AM37">
            <v>0</v>
          </cell>
          <cell r="AO37"/>
          <cell r="AP37">
            <v>0</v>
          </cell>
          <cell r="AR37"/>
          <cell r="AS37">
            <v>0</v>
          </cell>
          <cell r="AU37"/>
          <cell r="AV37">
            <v>0</v>
          </cell>
          <cell r="AX37"/>
          <cell r="AY37">
            <v>0</v>
          </cell>
          <cell r="BA37"/>
          <cell r="BB37">
            <v>0</v>
          </cell>
          <cell r="BD37"/>
          <cell r="BE37">
            <v>0</v>
          </cell>
          <cell r="BK37"/>
          <cell r="BL37">
            <v>0</v>
          </cell>
          <cell r="BN37"/>
          <cell r="BO37">
            <v>0</v>
          </cell>
          <cell r="BQ37"/>
          <cell r="BR37">
            <v>0</v>
          </cell>
          <cell r="BT37"/>
          <cell r="BU37">
            <v>0</v>
          </cell>
          <cell r="BW37"/>
          <cell r="BX37">
            <v>0</v>
          </cell>
          <cell r="BZ37"/>
          <cell r="CA37">
            <v>0</v>
          </cell>
          <cell r="CB37"/>
          <cell r="CC37">
            <v>0</v>
          </cell>
          <cell r="CD37"/>
          <cell r="CE37">
            <v>0</v>
          </cell>
          <cell r="CF37"/>
          <cell r="CG37">
            <v>0</v>
          </cell>
          <cell r="CH37"/>
          <cell r="CI37">
            <v>0</v>
          </cell>
          <cell r="CJ37"/>
          <cell r="CK37">
            <v>0</v>
          </cell>
          <cell r="CL37"/>
          <cell r="CM37">
            <v>0</v>
          </cell>
          <cell r="CO37"/>
          <cell r="CP37">
            <v>0</v>
          </cell>
          <cell r="CR37"/>
          <cell r="CS37">
            <v>0</v>
          </cell>
          <cell r="CU37"/>
          <cell r="CV37">
            <v>0</v>
          </cell>
          <cell r="CX37"/>
          <cell r="CY37">
            <v>0</v>
          </cell>
          <cell r="CZ37"/>
          <cell r="DA37">
            <v>0</v>
          </cell>
          <cell r="DB37"/>
          <cell r="DC37">
            <v>0</v>
          </cell>
          <cell r="DD37"/>
          <cell r="DE37">
            <v>0</v>
          </cell>
          <cell r="DF37"/>
          <cell r="DG37">
            <v>0</v>
          </cell>
          <cell r="DH37"/>
          <cell r="DI37">
            <v>0</v>
          </cell>
          <cell r="DJ37"/>
          <cell r="DK37">
            <v>0</v>
          </cell>
          <cell r="DL37"/>
          <cell r="DM37">
            <v>0</v>
          </cell>
          <cell r="DN37"/>
          <cell r="DO37">
            <v>0</v>
          </cell>
          <cell r="DP37"/>
          <cell r="DQ37">
            <v>0</v>
          </cell>
          <cell r="DR37"/>
          <cell r="DS37">
            <v>0</v>
          </cell>
          <cell r="DU37"/>
          <cell r="DV37">
            <v>0</v>
          </cell>
          <cell r="DW37"/>
          <cell r="DX37">
            <v>0</v>
          </cell>
          <cell r="DY37"/>
          <cell r="DZ37">
            <v>0</v>
          </cell>
          <cell r="EA37"/>
          <cell r="EB37">
            <v>0</v>
          </cell>
          <cell r="EC37"/>
          <cell r="ED37">
            <v>0</v>
          </cell>
          <cell r="EG37"/>
          <cell r="EH37">
            <v>0</v>
          </cell>
          <cell r="EJ37"/>
          <cell r="EK37">
            <v>0</v>
          </cell>
          <cell r="EL37"/>
          <cell r="EM37">
            <v>0</v>
          </cell>
          <cell r="EN37"/>
          <cell r="EO37">
            <v>0</v>
          </cell>
          <cell r="EP37"/>
          <cell r="EQ37">
            <v>0</v>
          </cell>
          <cell r="ER37"/>
          <cell r="ES37">
            <v>0</v>
          </cell>
          <cell r="ET37"/>
          <cell r="EU37">
            <v>0</v>
          </cell>
          <cell r="EW37"/>
          <cell r="EX37">
            <v>0</v>
          </cell>
          <cell r="EY37"/>
          <cell r="EZ37">
            <v>0</v>
          </cell>
          <cell r="FA37">
            <v>0</v>
          </cell>
          <cell r="FB37">
            <v>0</v>
          </cell>
          <cell r="FC37"/>
          <cell r="FD37">
            <v>0</v>
          </cell>
          <cell r="FE37"/>
          <cell r="FF37">
            <v>0</v>
          </cell>
        </row>
        <row r="38">
          <cell r="B38"/>
          <cell r="E38"/>
          <cell r="F38">
            <v>0</v>
          </cell>
          <cell r="G38">
            <v>368</v>
          </cell>
          <cell r="H38"/>
          <cell r="I38">
            <v>0</v>
          </cell>
          <cell r="J38">
            <v>206</v>
          </cell>
          <cell r="K38"/>
          <cell r="L38">
            <v>0</v>
          </cell>
          <cell r="N38"/>
          <cell r="O38">
            <v>0</v>
          </cell>
          <cell r="Q38"/>
          <cell r="R38">
            <v>0</v>
          </cell>
          <cell r="S38"/>
          <cell r="T38">
            <v>0</v>
          </cell>
          <cell r="U38">
            <v>97</v>
          </cell>
          <cell r="V38"/>
          <cell r="W38">
            <v>0</v>
          </cell>
          <cell r="AC38"/>
          <cell r="AD38">
            <v>0</v>
          </cell>
          <cell r="AF38"/>
          <cell r="AG38">
            <v>0</v>
          </cell>
          <cell r="AI38"/>
          <cell r="AJ38">
            <v>0</v>
          </cell>
          <cell r="AL38"/>
          <cell r="AM38">
            <v>0</v>
          </cell>
          <cell r="AO38"/>
          <cell r="AP38">
            <v>0</v>
          </cell>
          <cell r="AR38"/>
          <cell r="AS38">
            <v>0</v>
          </cell>
          <cell r="AU38"/>
          <cell r="AV38">
            <v>0</v>
          </cell>
          <cell r="AX38"/>
          <cell r="AY38">
            <v>0</v>
          </cell>
          <cell r="BA38"/>
          <cell r="BB38">
            <v>0</v>
          </cell>
          <cell r="BD38"/>
          <cell r="BE38">
            <v>0</v>
          </cell>
          <cell r="BK38"/>
          <cell r="BL38">
            <v>0</v>
          </cell>
          <cell r="BN38"/>
          <cell r="BO38">
            <v>0</v>
          </cell>
          <cell r="BQ38"/>
          <cell r="BR38">
            <v>0</v>
          </cell>
          <cell r="BT38"/>
          <cell r="BU38">
            <v>0</v>
          </cell>
          <cell r="BW38"/>
          <cell r="BX38">
            <v>0</v>
          </cell>
          <cell r="BZ38"/>
          <cell r="CA38">
            <v>0</v>
          </cell>
          <cell r="CB38"/>
          <cell r="CC38">
            <v>0</v>
          </cell>
          <cell r="CD38"/>
          <cell r="CE38">
            <v>0</v>
          </cell>
          <cell r="CF38"/>
          <cell r="CG38">
            <v>0</v>
          </cell>
          <cell r="CH38"/>
          <cell r="CI38">
            <v>0</v>
          </cell>
          <cell r="CJ38"/>
          <cell r="CK38">
            <v>0</v>
          </cell>
          <cell r="CL38"/>
          <cell r="CM38">
            <v>0</v>
          </cell>
          <cell r="CO38"/>
          <cell r="CP38">
            <v>0</v>
          </cell>
          <cell r="CR38"/>
          <cell r="CS38">
            <v>0</v>
          </cell>
          <cell r="CU38"/>
          <cell r="CV38">
            <v>0</v>
          </cell>
          <cell r="CX38"/>
          <cell r="CY38">
            <v>0</v>
          </cell>
          <cell r="CZ38"/>
          <cell r="DA38">
            <v>0</v>
          </cell>
          <cell r="DB38"/>
          <cell r="DC38">
            <v>0</v>
          </cell>
          <cell r="DD38"/>
          <cell r="DE38">
            <v>0</v>
          </cell>
          <cell r="DF38"/>
          <cell r="DG38">
            <v>0</v>
          </cell>
          <cell r="DH38"/>
          <cell r="DI38">
            <v>0</v>
          </cell>
          <cell r="DJ38"/>
          <cell r="DK38">
            <v>0</v>
          </cell>
          <cell r="DL38"/>
          <cell r="DM38">
            <v>0</v>
          </cell>
          <cell r="DN38"/>
          <cell r="DO38">
            <v>0</v>
          </cell>
          <cell r="DP38"/>
          <cell r="DQ38">
            <v>0</v>
          </cell>
          <cell r="DR38"/>
          <cell r="DS38">
            <v>0</v>
          </cell>
          <cell r="DU38"/>
          <cell r="DV38">
            <v>0</v>
          </cell>
          <cell r="DW38"/>
          <cell r="DX38">
            <v>0</v>
          </cell>
          <cell r="DY38"/>
          <cell r="DZ38">
            <v>0</v>
          </cell>
          <cell r="EA38"/>
          <cell r="EB38">
            <v>0</v>
          </cell>
          <cell r="EC38"/>
          <cell r="ED38">
            <v>0</v>
          </cell>
          <cell r="EG38"/>
          <cell r="EH38">
            <v>0</v>
          </cell>
          <cell r="EJ38"/>
          <cell r="EK38">
            <v>0</v>
          </cell>
          <cell r="EL38"/>
          <cell r="EM38">
            <v>0</v>
          </cell>
          <cell r="EN38"/>
          <cell r="EO38">
            <v>0</v>
          </cell>
          <cell r="EP38"/>
          <cell r="EQ38">
            <v>0</v>
          </cell>
          <cell r="ER38"/>
          <cell r="ES38">
            <v>0</v>
          </cell>
          <cell r="ET38"/>
          <cell r="EU38">
            <v>0</v>
          </cell>
          <cell r="EW38"/>
          <cell r="EX38">
            <v>0</v>
          </cell>
          <cell r="EY38"/>
          <cell r="EZ38">
            <v>0</v>
          </cell>
          <cell r="FA38">
            <v>0</v>
          </cell>
          <cell r="FB38">
            <v>0</v>
          </cell>
          <cell r="FC38"/>
          <cell r="FD38">
            <v>0</v>
          </cell>
          <cell r="FE38"/>
          <cell r="FF38">
            <v>0</v>
          </cell>
        </row>
        <row r="39">
          <cell r="B39"/>
          <cell r="E39"/>
          <cell r="F39">
            <v>0</v>
          </cell>
          <cell r="G39">
            <v>393</v>
          </cell>
          <cell r="H39"/>
          <cell r="I39">
            <v>0</v>
          </cell>
          <cell r="J39">
            <v>206</v>
          </cell>
          <cell r="K39"/>
          <cell r="L39">
            <v>0</v>
          </cell>
          <cell r="N39"/>
          <cell r="O39">
            <v>0</v>
          </cell>
          <cell r="Q39"/>
          <cell r="R39">
            <v>0</v>
          </cell>
          <cell r="S39"/>
          <cell r="T39">
            <v>0</v>
          </cell>
          <cell r="U39">
            <v>179</v>
          </cell>
          <cell r="V39"/>
          <cell r="W39">
            <v>0</v>
          </cell>
          <cell r="AC39"/>
          <cell r="AD39">
            <v>0</v>
          </cell>
          <cell r="AF39"/>
          <cell r="AG39">
            <v>0</v>
          </cell>
          <cell r="AI39"/>
          <cell r="AJ39">
            <v>0</v>
          </cell>
          <cell r="AL39"/>
          <cell r="AM39">
            <v>0</v>
          </cell>
          <cell r="AO39"/>
          <cell r="AP39">
            <v>0</v>
          </cell>
          <cell r="AR39"/>
          <cell r="AS39">
            <v>0</v>
          </cell>
          <cell r="AU39"/>
          <cell r="AV39">
            <v>0</v>
          </cell>
          <cell r="AX39"/>
          <cell r="AY39">
            <v>0</v>
          </cell>
          <cell r="BA39"/>
          <cell r="BB39">
            <v>0</v>
          </cell>
          <cell r="BD39"/>
          <cell r="BE39">
            <v>0</v>
          </cell>
          <cell r="BK39"/>
          <cell r="BL39">
            <v>0</v>
          </cell>
          <cell r="BN39"/>
          <cell r="BO39">
            <v>0</v>
          </cell>
          <cell r="BQ39"/>
          <cell r="BR39">
            <v>0</v>
          </cell>
          <cell r="BT39"/>
          <cell r="BU39">
            <v>0</v>
          </cell>
          <cell r="BW39"/>
          <cell r="BX39">
            <v>0</v>
          </cell>
          <cell r="BZ39"/>
          <cell r="CA39">
            <v>0</v>
          </cell>
          <cell r="CB39"/>
          <cell r="CC39">
            <v>0</v>
          </cell>
          <cell r="CD39"/>
          <cell r="CE39">
            <v>0</v>
          </cell>
          <cell r="CF39"/>
          <cell r="CG39">
            <v>0</v>
          </cell>
          <cell r="CH39"/>
          <cell r="CI39">
            <v>0</v>
          </cell>
          <cell r="CJ39"/>
          <cell r="CK39">
            <v>0</v>
          </cell>
          <cell r="CL39"/>
          <cell r="CM39">
            <v>0</v>
          </cell>
          <cell r="CO39"/>
          <cell r="CP39">
            <v>0</v>
          </cell>
          <cell r="CR39"/>
          <cell r="CS39">
            <v>0</v>
          </cell>
          <cell r="CU39"/>
          <cell r="CV39">
            <v>0</v>
          </cell>
          <cell r="CX39"/>
          <cell r="CY39">
            <v>0</v>
          </cell>
          <cell r="CZ39"/>
          <cell r="DA39">
            <v>0</v>
          </cell>
          <cell r="DB39"/>
          <cell r="DC39">
            <v>0</v>
          </cell>
          <cell r="DD39"/>
          <cell r="DE39">
            <v>0</v>
          </cell>
          <cell r="DF39"/>
          <cell r="DG39">
            <v>0</v>
          </cell>
          <cell r="DH39"/>
          <cell r="DI39">
            <v>0</v>
          </cell>
          <cell r="DJ39"/>
          <cell r="DK39">
            <v>0</v>
          </cell>
          <cell r="DL39"/>
          <cell r="DM39">
            <v>0</v>
          </cell>
          <cell r="DN39"/>
          <cell r="DO39">
            <v>0</v>
          </cell>
          <cell r="DP39"/>
          <cell r="DQ39">
            <v>0</v>
          </cell>
          <cell r="DR39"/>
          <cell r="DS39">
            <v>0</v>
          </cell>
          <cell r="DU39"/>
          <cell r="DV39">
            <v>0</v>
          </cell>
          <cell r="DW39"/>
          <cell r="DX39">
            <v>0</v>
          </cell>
          <cell r="DY39"/>
          <cell r="DZ39">
            <v>0</v>
          </cell>
          <cell r="EA39"/>
          <cell r="EB39">
            <v>0</v>
          </cell>
          <cell r="EC39"/>
          <cell r="ED39">
            <v>0</v>
          </cell>
          <cell r="EG39"/>
          <cell r="EH39">
            <v>0</v>
          </cell>
          <cell r="EJ39"/>
          <cell r="EK39">
            <v>0</v>
          </cell>
          <cell r="EL39"/>
          <cell r="EM39">
            <v>0</v>
          </cell>
          <cell r="EN39"/>
          <cell r="EO39">
            <v>0</v>
          </cell>
          <cell r="EP39"/>
          <cell r="EQ39">
            <v>0</v>
          </cell>
          <cell r="ER39"/>
          <cell r="ES39">
            <v>0</v>
          </cell>
          <cell r="ET39"/>
          <cell r="EU39">
            <v>0</v>
          </cell>
          <cell r="EW39"/>
          <cell r="EX39">
            <v>0</v>
          </cell>
          <cell r="EY39"/>
          <cell r="EZ39"/>
          <cell r="FA39">
            <v>0</v>
          </cell>
          <cell r="FB39">
            <v>0</v>
          </cell>
          <cell r="FC39"/>
          <cell r="FD39">
            <v>0</v>
          </cell>
          <cell r="FE39"/>
          <cell r="FF39">
            <v>0</v>
          </cell>
        </row>
        <row r="40">
          <cell r="B40"/>
          <cell r="E40"/>
          <cell r="F40">
            <v>0</v>
          </cell>
          <cell r="G40">
            <v>284</v>
          </cell>
          <cell r="H40"/>
          <cell r="I40">
            <v>0</v>
          </cell>
          <cell r="J40">
            <v>164</v>
          </cell>
          <cell r="K40"/>
          <cell r="L40">
            <v>0</v>
          </cell>
          <cell r="N40"/>
          <cell r="O40">
            <v>0</v>
          </cell>
          <cell r="Q40"/>
          <cell r="R40">
            <v>0</v>
          </cell>
          <cell r="S40"/>
          <cell r="T40">
            <v>0</v>
          </cell>
          <cell r="U40">
            <v>169</v>
          </cell>
          <cell r="V40"/>
          <cell r="W40">
            <v>0</v>
          </cell>
          <cell r="AC40"/>
          <cell r="AD40">
            <v>0</v>
          </cell>
          <cell r="AF40"/>
          <cell r="AG40">
            <v>0</v>
          </cell>
          <cell r="AI40"/>
          <cell r="AJ40">
            <v>0</v>
          </cell>
          <cell r="AL40"/>
          <cell r="AM40">
            <v>0</v>
          </cell>
          <cell r="AO40"/>
          <cell r="AP40">
            <v>0</v>
          </cell>
          <cell r="AR40"/>
          <cell r="AS40">
            <v>0</v>
          </cell>
          <cell r="AU40"/>
          <cell r="AV40">
            <v>0</v>
          </cell>
          <cell r="AX40"/>
          <cell r="AY40">
            <v>0</v>
          </cell>
          <cell r="BA40"/>
          <cell r="BB40">
            <v>0</v>
          </cell>
          <cell r="BD40"/>
          <cell r="BE40">
            <v>0</v>
          </cell>
          <cell r="BK40"/>
          <cell r="BL40">
            <v>0</v>
          </cell>
          <cell r="BN40"/>
          <cell r="BO40">
            <v>0</v>
          </cell>
          <cell r="BQ40"/>
          <cell r="BR40">
            <v>0</v>
          </cell>
          <cell r="BT40"/>
          <cell r="BU40">
            <v>0</v>
          </cell>
          <cell r="BW40"/>
          <cell r="BX40">
            <v>0</v>
          </cell>
          <cell r="BZ40"/>
          <cell r="CA40">
            <v>0</v>
          </cell>
          <cell r="CB40"/>
          <cell r="CC40">
            <v>0</v>
          </cell>
          <cell r="CD40"/>
          <cell r="CE40">
            <v>0</v>
          </cell>
          <cell r="CF40"/>
          <cell r="CG40">
            <v>0</v>
          </cell>
          <cell r="CH40"/>
          <cell r="CI40">
            <v>0</v>
          </cell>
          <cell r="CJ40"/>
          <cell r="CK40">
            <v>0</v>
          </cell>
          <cell r="CL40"/>
          <cell r="CM40">
            <v>0</v>
          </cell>
          <cell r="CO40"/>
          <cell r="CP40">
            <v>0</v>
          </cell>
          <cell r="CR40"/>
          <cell r="CS40">
            <v>0</v>
          </cell>
          <cell r="CU40"/>
          <cell r="CV40">
            <v>0</v>
          </cell>
          <cell r="CX40"/>
          <cell r="CY40">
            <v>0</v>
          </cell>
          <cell r="CZ40"/>
          <cell r="DA40">
            <v>0</v>
          </cell>
          <cell r="DB40"/>
          <cell r="DC40">
            <v>0</v>
          </cell>
          <cell r="DD40"/>
          <cell r="DE40">
            <v>0</v>
          </cell>
          <cell r="DF40"/>
          <cell r="DG40">
            <v>0</v>
          </cell>
          <cell r="DH40"/>
          <cell r="DI40">
            <v>0</v>
          </cell>
          <cell r="DJ40"/>
          <cell r="DK40">
            <v>0</v>
          </cell>
          <cell r="DL40"/>
          <cell r="DM40">
            <v>0</v>
          </cell>
          <cell r="DN40"/>
          <cell r="DO40">
            <v>0</v>
          </cell>
          <cell r="DP40"/>
          <cell r="DQ40">
            <v>0</v>
          </cell>
          <cell r="DR40"/>
          <cell r="DS40">
            <v>0</v>
          </cell>
          <cell r="DU40"/>
          <cell r="DV40">
            <v>0</v>
          </cell>
          <cell r="DW40"/>
          <cell r="DX40">
            <v>0</v>
          </cell>
          <cell r="DY40"/>
          <cell r="DZ40">
            <v>0</v>
          </cell>
          <cell r="EA40"/>
          <cell r="EB40">
            <v>0</v>
          </cell>
          <cell r="EC40"/>
          <cell r="ED40">
            <v>0</v>
          </cell>
          <cell r="EG40"/>
          <cell r="EH40">
            <v>0</v>
          </cell>
          <cell r="EJ40"/>
          <cell r="EK40">
            <v>0</v>
          </cell>
          <cell r="EL40"/>
          <cell r="EM40">
            <v>0</v>
          </cell>
          <cell r="EN40"/>
          <cell r="EO40">
            <v>0</v>
          </cell>
          <cell r="EP40"/>
          <cell r="EQ40">
            <v>0</v>
          </cell>
          <cell r="ER40"/>
          <cell r="ES40">
            <v>0</v>
          </cell>
          <cell r="ET40"/>
          <cell r="EU40">
            <v>0</v>
          </cell>
          <cell r="EW40"/>
          <cell r="EX40">
            <v>0</v>
          </cell>
          <cell r="EY40"/>
          <cell r="EZ40"/>
          <cell r="FA40">
            <v>0</v>
          </cell>
          <cell r="FB40">
            <v>0</v>
          </cell>
          <cell r="FC40"/>
          <cell r="FD40">
            <v>0</v>
          </cell>
          <cell r="FE40"/>
          <cell r="FF40">
            <v>0</v>
          </cell>
        </row>
      </sheetData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topLeftCell="B1" workbookViewId="0">
      <selection activeCell="E32" sqref="E32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188</v>
      </c>
      <c r="L1" s="5" t="s">
        <v>189</v>
      </c>
      <c r="M1" s="5" t="s">
        <v>57</v>
      </c>
      <c r="N1" s="5" t="s">
        <v>58</v>
      </c>
    </row>
    <row r="2" spans="1:14" x14ac:dyDescent="0.25">
      <c r="A2" t="s">
        <v>59</v>
      </c>
      <c r="B2">
        <v>1</v>
      </c>
      <c r="C2">
        <v>5</v>
      </c>
      <c r="D2">
        <v>2021</v>
      </c>
      <c r="E2" s="3">
        <f>Submetering!M2+Submetering!N2+Submetering!O2+Submetering!P2+Submetering!Q2+Submetering!R2+Submetering!S2+Submetering!T2+Submetering!U2+Submetering!V2</f>
        <v>49061.039999998175</v>
      </c>
      <c r="F2">
        <v>0.44447999999999999</v>
      </c>
      <c r="G2" s="3">
        <f>Submetering!Z2+Submetering!AA2+Submetering!AB2</f>
        <v>370.44</v>
      </c>
      <c r="H2" s="238">
        <f>1.43/0.52</f>
        <v>2.75</v>
      </c>
      <c r="I2" s="3">
        <f>Submetering!G2</f>
        <v>561</v>
      </c>
      <c r="J2">
        <v>13.83</v>
      </c>
      <c r="K2" s="3">
        <f>Submetering!I2</f>
        <v>355</v>
      </c>
      <c r="L2">
        <v>1.2</v>
      </c>
      <c r="M2" s="238">
        <f>Submetering!E2</f>
        <v>191.97</v>
      </c>
      <c r="N2">
        <f>Submetering!F2</f>
        <v>438</v>
      </c>
    </row>
    <row r="3" spans="1:14" x14ac:dyDescent="0.25">
      <c r="A3" t="s">
        <v>59</v>
      </c>
      <c r="B3">
        <f>B2+1</f>
        <v>2</v>
      </c>
      <c r="C3">
        <v>5</v>
      </c>
      <c r="D3">
        <v>2021</v>
      </c>
      <c r="E3" s="3">
        <f>Submetering!M3+Submetering!N3+Submetering!O3+Submetering!P3+Submetering!Q3+Submetering!R3+Submetering!S3+Submetering!T3+Submetering!U3+Submetering!V3</f>
        <v>49304.640000001527</v>
      </c>
      <c r="F3">
        <v>0.44447999999999999</v>
      </c>
      <c r="G3" s="3">
        <f>Submetering!Z3+Submetering!AA3+Submetering!AB3</f>
        <v>-4545.45</v>
      </c>
      <c r="H3" s="238">
        <f t="shared" ref="H3:H32" si="0">1.43/0.52</f>
        <v>2.75</v>
      </c>
      <c r="I3" s="3">
        <f>Submetering!G3</f>
        <v>682</v>
      </c>
      <c r="J3">
        <v>13.83</v>
      </c>
      <c r="K3" s="3">
        <f>Submetering!I3</f>
        <v>448</v>
      </c>
      <c r="L3">
        <v>1.2</v>
      </c>
      <c r="M3" s="238">
        <f>Submetering!E3</f>
        <v>201.45</v>
      </c>
      <c r="N3">
        <f>Submetering!F3</f>
        <v>424</v>
      </c>
    </row>
    <row r="4" spans="1:14" x14ac:dyDescent="0.25">
      <c r="A4" t="s">
        <v>59</v>
      </c>
      <c r="B4">
        <f t="shared" ref="B4:B32" si="1">B3+1</f>
        <v>3</v>
      </c>
      <c r="C4">
        <v>5</v>
      </c>
      <c r="D4">
        <v>2021</v>
      </c>
      <c r="E4" s="3">
        <f>Submetering!M4+Submetering!N4+Submetering!O4+Submetering!P4+Submetering!Q4+Submetering!R4+Submetering!S4+Submetering!T4+Submetering!U4+Submetering!V4</f>
        <v>38329.459999999031</v>
      </c>
      <c r="F4">
        <v>0.44447999999999999</v>
      </c>
      <c r="G4" s="3">
        <f>Submetering!Z4+Submetering!AA4+Submetering!AB4</f>
        <v>5308.8588000000236</v>
      </c>
      <c r="H4" s="238">
        <f t="shared" si="0"/>
        <v>2.75</v>
      </c>
      <c r="I4" s="3">
        <f>Submetering!G4</f>
        <v>572</v>
      </c>
      <c r="J4">
        <v>13.83</v>
      </c>
      <c r="K4" s="3">
        <f>Submetering!I4</f>
        <v>265</v>
      </c>
      <c r="L4">
        <v>1.2</v>
      </c>
      <c r="M4" s="238">
        <f>Submetering!E4</f>
        <v>210.93</v>
      </c>
      <c r="N4">
        <f>Submetering!F4</f>
        <v>424</v>
      </c>
    </row>
    <row r="5" spans="1:14" x14ac:dyDescent="0.25">
      <c r="A5" t="s">
        <v>59</v>
      </c>
      <c r="B5">
        <f t="shared" si="1"/>
        <v>4</v>
      </c>
      <c r="C5">
        <v>5</v>
      </c>
      <c r="D5">
        <v>2021</v>
      </c>
      <c r="E5" s="3">
        <f>Submetering!M5+Submetering!N5+Submetering!O5+Submetering!P5+Submetering!Q5+Submetering!R5+Submetering!S5+Submetering!T5+Submetering!U5+Submetering!V5</f>
        <v>50048.620000001043</v>
      </c>
      <c r="F5">
        <v>0.44447999999999999</v>
      </c>
      <c r="G5" s="3">
        <f>Submetering!Z5+Submetering!AA5+Submetering!AB5</f>
        <v>378.1511999999758</v>
      </c>
      <c r="H5" s="238">
        <f t="shared" si="0"/>
        <v>2.75</v>
      </c>
      <c r="I5" s="3">
        <f>Submetering!G5</f>
        <v>631</v>
      </c>
      <c r="J5">
        <v>13.83</v>
      </c>
      <c r="K5" s="3">
        <f>Submetering!I5</f>
        <v>316</v>
      </c>
      <c r="L5">
        <v>1.2</v>
      </c>
      <c r="M5" s="238">
        <f>Submetering!E5</f>
        <v>208.56</v>
      </c>
      <c r="N5">
        <f>Submetering!F5</f>
        <v>433</v>
      </c>
    </row>
    <row r="6" spans="1:14" x14ac:dyDescent="0.25">
      <c r="A6" t="s">
        <v>59</v>
      </c>
      <c r="B6">
        <f t="shared" si="1"/>
        <v>5</v>
      </c>
      <c r="C6">
        <v>5</v>
      </c>
      <c r="D6">
        <v>2021</v>
      </c>
      <c r="E6" s="3">
        <f>Submetering!M6+Submetering!N6+Submetering!O6+Submetering!P6+Submetering!Q6+Submetering!R6+Submetering!S6+Submetering!T6+Submetering!U6+Submetering!V6</f>
        <v>48525.119999996386</v>
      </c>
      <c r="F6">
        <v>0.44447999999999999</v>
      </c>
      <c r="G6" s="3">
        <f>Submetering!Z6+Submetering!AA6+Submetering!AB6</f>
        <v>370.44</v>
      </c>
      <c r="H6" s="238">
        <f t="shared" si="0"/>
        <v>2.75</v>
      </c>
      <c r="I6" s="3">
        <f>Submetering!G6</f>
        <v>677</v>
      </c>
      <c r="J6">
        <v>13.83</v>
      </c>
      <c r="K6" s="3">
        <f>Submetering!I6</f>
        <v>252</v>
      </c>
      <c r="L6">
        <v>1.2</v>
      </c>
      <c r="M6" s="238">
        <f>Submetering!E6</f>
        <v>184.86</v>
      </c>
      <c r="N6">
        <f>Submetering!F6</f>
        <v>403</v>
      </c>
    </row>
    <row r="7" spans="1:14" x14ac:dyDescent="0.25">
      <c r="A7" t="s">
        <v>59</v>
      </c>
      <c r="B7">
        <f t="shared" si="1"/>
        <v>6</v>
      </c>
      <c r="C7">
        <v>5</v>
      </c>
      <c r="D7">
        <v>2021</v>
      </c>
      <c r="E7" s="3">
        <f>Submetering!M7+Submetering!N7+Submetering!O7+Submetering!P7+Submetering!Q7+Submetering!R7+Submetering!S7+Submetering!T7+Submetering!U7+Submetering!V7</f>
        <v>50620.080000001937</v>
      </c>
      <c r="F7">
        <v>0.44447999999999999</v>
      </c>
      <c r="G7" s="3">
        <f>Submetering!Z7+Submetering!AA7+Submetering!AB7</f>
        <v>383.66999999999996</v>
      </c>
      <c r="H7" s="238">
        <f t="shared" si="0"/>
        <v>2.75</v>
      </c>
      <c r="I7" s="3">
        <f>Submetering!G7</f>
        <v>635</v>
      </c>
      <c r="J7">
        <v>13.83</v>
      </c>
      <c r="K7" s="3">
        <f>Submetering!I7</f>
        <v>216</v>
      </c>
      <c r="L7">
        <v>1.2</v>
      </c>
      <c r="M7" s="238">
        <f>Submetering!E7</f>
        <v>177.75</v>
      </c>
      <c r="N7">
        <f>Submetering!F7</f>
        <v>396</v>
      </c>
    </row>
    <row r="8" spans="1:14" x14ac:dyDescent="0.25">
      <c r="A8" t="s">
        <v>59</v>
      </c>
      <c r="B8">
        <f t="shared" si="1"/>
        <v>7</v>
      </c>
      <c r="C8">
        <v>5</v>
      </c>
      <c r="D8">
        <v>2021</v>
      </c>
      <c r="E8" s="275">
        <f>Submetering!M8+Submetering!N8+Submetering!O8+Submetering!P8+Submetering!Q8+Submetering!R8+Submetering!S8+Submetering!T8+Submetering!U8+Submetering!V8</f>
        <v>50620.080000002868</v>
      </c>
      <c r="F8" s="276">
        <v>0.44447999999999999</v>
      </c>
      <c r="G8" s="275">
        <f>Submetering!Z8+Submetering!AA8+Submetering!AB8</f>
        <v>397.46699999997799</v>
      </c>
      <c r="H8" s="238">
        <f t="shared" si="0"/>
        <v>2.75</v>
      </c>
      <c r="I8" s="275">
        <f>Submetering!G8</f>
        <v>686</v>
      </c>
      <c r="J8" s="276">
        <v>13.83</v>
      </c>
      <c r="K8" s="275">
        <f>Submetering!I8</f>
        <v>365.59999999997672</v>
      </c>
      <c r="L8" s="276">
        <v>1.2</v>
      </c>
      <c r="M8" s="277">
        <f>Submetering!E8</f>
        <v>182.49</v>
      </c>
      <c r="N8">
        <f>Submetering!F8</f>
        <v>406</v>
      </c>
    </row>
    <row r="9" spans="1:14" x14ac:dyDescent="0.25">
      <c r="A9" t="s">
        <v>59</v>
      </c>
      <c r="B9">
        <f t="shared" si="1"/>
        <v>8</v>
      </c>
      <c r="C9">
        <v>5</v>
      </c>
      <c r="D9">
        <v>2021</v>
      </c>
      <c r="E9" s="3">
        <f>Submetering!M9+Submetering!N9+Submetering!O9+Submetering!P9+Submetering!Q9+Submetering!R9+Submetering!S9+Submetering!T9+Submetering!U9+Submetering!V9</f>
        <v>45845.519999999553</v>
      </c>
      <c r="F9">
        <v>0.44447999999999999</v>
      </c>
      <c r="G9" s="3">
        <f>Submetering!Z9+Submetering!AA9+Submetering!AB9</f>
        <v>356.64300000002197</v>
      </c>
      <c r="H9" s="238">
        <f t="shared" si="0"/>
        <v>2.75</v>
      </c>
      <c r="I9" s="3">
        <f>Submetering!G9</f>
        <v>577</v>
      </c>
      <c r="J9">
        <v>13.83</v>
      </c>
      <c r="K9" s="3">
        <f>Submetering!I9</f>
        <v>190.40000000002328</v>
      </c>
      <c r="L9">
        <v>1.2</v>
      </c>
      <c r="M9" s="238">
        <f>Submetering!E9</f>
        <v>182.49</v>
      </c>
      <c r="N9">
        <f>Submetering!F9</f>
        <v>399</v>
      </c>
    </row>
    <row r="10" spans="1:14" x14ac:dyDescent="0.25">
      <c r="A10" t="s">
        <v>59</v>
      </c>
      <c r="B10">
        <f t="shared" si="1"/>
        <v>9</v>
      </c>
      <c r="C10">
        <v>5</v>
      </c>
      <c r="D10">
        <v>2021</v>
      </c>
      <c r="E10" s="3">
        <f>Submetering!M10+Submetering!N10+Submetering!O10+Submetering!P10+Submetering!Q10+Submetering!R10+Submetering!S10+Submetering!T10+Submetering!U10+Submetering!V10</f>
        <v>46625.039999998175</v>
      </c>
      <c r="F10">
        <v>0.44447999999999999</v>
      </c>
      <c r="G10" s="3">
        <f>Submetering!Z10+Submetering!AA10+Submetering!AB10</f>
        <v>378</v>
      </c>
      <c r="H10" s="238">
        <f t="shared" si="0"/>
        <v>2.75</v>
      </c>
      <c r="I10" s="3">
        <f>Submetering!G10</f>
        <v>593</v>
      </c>
      <c r="J10">
        <v>13.83</v>
      </c>
      <c r="K10" s="3">
        <f>Submetering!I10</f>
        <v>284</v>
      </c>
      <c r="L10">
        <v>1.2</v>
      </c>
      <c r="M10" s="238">
        <f>Submetering!E10</f>
        <v>151.68</v>
      </c>
      <c r="N10">
        <f>Submetering!F10</f>
        <v>318</v>
      </c>
    </row>
    <row r="11" spans="1:14" x14ac:dyDescent="0.25">
      <c r="A11" t="s">
        <v>59</v>
      </c>
      <c r="B11">
        <f t="shared" si="1"/>
        <v>10</v>
      </c>
      <c r="C11">
        <v>5</v>
      </c>
      <c r="D11">
        <v>2021</v>
      </c>
      <c r="E11" s="3">
        <f>Submetering!M11+Submetering!N11+Submetering!O11+Submetering!P11+Submetering!Q11+Submetering!R11+Submetering!S11+Submetering!T11+Submetering!U11+Submetering!V11</f>
        <v>58512.719999999739</v>
      </c>
      <c r="F11">
        <v>0.44447999999999999</v>
      </c>
      <c r="G11" s="3">
        <f>Submetering!Z11+Submetering!AA11+Submetering!AB11</f>
        <v>374.21999999999997</v>
      </c>
      <c r="H11" s="238">
        <f t="shared" si="0"/>
        <v>2.75</v>
      </c>
      <c r="I11" s="3">
        <f>Submetering!G11</f>
        <v>529</v>
      </c>
      <c r="J11">
        <v>13.83</v>
      </c>
      <c r="K11" s="3">
        <f>Submetering!I11</f>
        <v>308</v>
      </c>
      <c r="L11">
        <v>1.2</v>
      </c>
      <c r="M11" s="238">
        <f>Submetering!E11</f>
        <v>137.45999999999998</v>
      </c>
      <c r="N11">
        <f>Submetering!F11</f>
        <v>283</v>
      </c>
    </row>
    <row r="12" spans="1:14" x14ac:dyDescent="0.25">
      <c r="A12" t="s">
        <v>59</v>
      </c>
      <c r="B12">
        <f t="shared" si="1"/>
        <v>11</v>
      </c>
      <c r="C12">
        <v>5</v>
      </c>
      <c r="D12">
        <v>2021</v>
      </c>
      <c r="E12" s="3">
        <f>Submetering!M12+Submetering!N12+Submetering!O12+Submetering!P12+Submetering!Q12+Submetering!R12+Submetering!S12+Submetering!T12+Submetering!U12+Submetering!V12</f>
        <v>34542.479999994859</v>
      </c>
      <c r="F12">
        <v>0.44447999999999999</v>
      </c>
      <c r="G12" s="3">
        <f>Submetering!Z12+Submetering!AA12+Submetering!AB12</f>
        <v>360.99</v>
      </c>
      <c r="H12" s="238">
        <f t="shared" si="0"/>
        <v>2.75</v>
      </c>
      <c r="I12" s="3">
        <f>Submetering!G12</f>
        <v>507</v>
      </c>
      <c r="J12">
        <v>13.83</v>
      </c>
      <c r="K12" s="3">
        <f>Submetering!I12</f>
        <v>276</v>
      </c>
      <c r="L12">
        <v>1.2</v>
      </c>
      <c r="M12" s="238">
        <f>Submetering!E12</f>
        <v>123.24000000000001</v>
      </c>
      <c r="N12">
        <f>Submetering!F12</f>
        <v>241</v>
      </c>
    </row>
    <row r="13" spans="1:14" x14ac:dyDescent="0.25">
      <c r="A13" t="s">
        <v>59</v>
      </c>
      <c r="B13">
        <f t="shared" si="1"/>
        <v>12</v>
      </c>
      <c r="C13">
        <v>5</v>
      </c>
      <c r="D13">
        <v>2021</v>
      </c>
      <c r="E13" s="3">
        <f>Submetering!M13+Submetering!N13+Submetering!O13+Submetering!P13+Submetering!Q13+Submetering!R13+Submetering!S13+Submetering!T13+Submetering!U13+Submetering!V13</f>
        <v>49694.400000003166</v>
      </c>
      <c r="F13">
        <v>0.44447999999999999</v>
      </c>
      <c r="G13" s="3">
        <f>Submetering!Z13+Submetering!AA13+Submetering!AB13</f>
        <v>379.89</v>
      </c>
      <c r="H13" s="238">
        <f t="shared" si="0"/>
        <v>2.75</v>
      </c>
      <c r="I13" s="3">
        <f>Submetering!G13</f>
        <v>552</v>
      </c>
      <c r="J13">
        <v>13.83</v>
      </c>
      <c r="K13" s="3">
        <f>Submetering!I13</f>
        <v>265</v>
      </c>
      <c r="L13">
        <v>1.2</v>
      </c>
      <c r="M13" s="238">
        <f>Submetering!E13</f>
        <v>137.45999999999998</v>
      </c>
      <c r="N13">
        <f>Submetering!F13</f>
        <v>266</v>
      </c>
    </row>
    <row r="14" spans="1:14" x14ac:dyDescent="0.25">
      <c r="A14" t="s">
        <v>59</v>
      </c>
      <c r="B14">
        <f t="shared" si="1"/>
        <v>13</v>
      </c>
      <c r="C14">
        <v>5</v>
      </c>
      <c r="D14">
        <v>2021</v>
      </c>
      <c r="E14" s="3">
        <f>Submetering!M14+Submetering!N14+Submetering!O14+Submetering!P14+Submetering!Q14+Submetering!R14+Submetering!S14+Submetering!T14+Submetering!U14+Submetering!V14</f>
        <v>50279.040000006557</v>
      </c>
      <c r="F14">
        <v>0.44447999999999999</v>
      </c>
      <c r="G14" s="3">
        <f>Submetering!Z14+Submetering!AA14+Submetering!AB14</f>
        <v>359.09999999999997</v>
      </c>
      <c r="H14" s="238">
        <f t="shared" si="0"/>
        <v>2.75</v>
      </c>
      <c r="I14" s="3">
        <f>Submetering!G14</f>
        <v>572</v>
      </c>
      <c r="J14">
        <v>13.83</v>
      </c>
      <c r="K14" s="3">
        <f>Submetering!I14</f>
        <v>354</v>
      </c>
      <c r="L14">
        <v>1.2</v>
      </c>
      <c r="M14" s="238">
        <f>Submetering!E14</f>
        <v>165.89999999999998</v>
      </c>
      <c r="N14">
        <f>Submetering!F14</f>
        <v>317</v>
      </c>
    </row>
    <row r="15" spans="1:14" x14ac:dyDescent="0.25">
      <c r="A15" t="s">
        <v>59</v>
      </c>
      <c r="B15">
        <f t="shared" si="1"/>
        <v>14</v>
      </c>
      <c r="C15">
        <v>5</v>
      </c>
      <c r="D15">
        <v>2021</v>
      </c>
      <c r="E15" s="3">
        <f>Submetering!M15+Submetering!N15+Submetering!O15+Submetering!P15+Submetering!Q15+Submetering!R15+Submetering!S15+Submetering!T15+Submetering!U15+Submetering!V15</f>
        <v>51204.719999996945</v>
      </c>
      <c r="F15">
        <v>0.44447999999999999</v>
      </c>
      <c r="G15" s="3">
        <f>Submetering!Z15+Submetering!AA15+Submetering!AB15</f>
        <v>389.34</v>
      </c>
      <c r="H15" s="238">
        <f t="shared" si="0"/>
        <v>2.75</v>
      </c>
      <c r="I15" s="3">
        <f>Submetering!G15</f>
        <v>631</v>
      </c>
      <c r="J15">
        <v>13.83</v>
      </c>
      <c r="K15" s="3">
        <f>Submetering!I15</f>
        <v>301</v>
      </c>
      <c r="L15">
        <v>1.2</v>
      </c>
      <c r="M15" s="238">
        <f>Submetering!E15</f>
        <v>163.53</v>
      </c>
      <c r="N15">
        <f>Submetering!F15</f>
        <v>333</v>
      </c>
    </row>
    <row r="16" spans="1:14" x14ac:dyDescent="0.25">
      <c r="A16" t="s">
        <v>59</v>
      </c>
      <c r="B16">
        <f t="shared" si="1"/>
        <v>15</v>
      </c>
      <c r="C16">
        <v>5</v>
      </c>
      <c r="D16">
        <v>2021</v>
      </c>
      <c r="E16" s="3">
        <f>Submetering!M16+Submetering!N16+Submetering!O16+Submetering!P16+Submetering!Q16+Submetering!R16+Submetering!S16+Submetering!T16+Submetering!U16+Submetering!V16</f>
        <v>51667.560000001453</v>
      </c>
      <c r="F16">
        <v>0.44447999999999999</v>
      </c>
      <c r="G16" s="3">
        <f>Submetering!Z16+Submetering!AA16+Submetering!AB16</f>
        <v>366.65999999999997</v>
      </c>
      <c r="H16" s="238">
        <f t="shared" si="0"/>
        <v>2.75</v>
      </c>
      <c r="I16" s="3">
        <f>Submetering!G16</f>
        <v>585</v>
      </c>
      <c r="J16">
        <v>13.83</v>
      </c>
      <c r="K16" s="3">
        <f>Submetering!I16</f>
        <v>332</v>
      </c>
      <c r="L16">
        <v>1.2</v>
      </c>
      <c r="M16" s="238">
        <f>Submetering!E16</f>
        <v>139.82999999999998</v>
      </c>
      <c r="N16">
        <f>Submetering!F16</f>
        <v>264</v>
      </c>
    </row>
    <row r="17" spans="1:14" x14ac:dyDescent="0.25">
      <c r="A17" t="s">
        <v>59</v>
      </c>
      <c r="B17">
        <f t="shared" si="1"/>
        <v>16</v>
      </c>
      <c r="C17">
        <v>5</v>
      </c>
      <c r="D17">
        <v>2021</v>
      </c>
      <c r="E17" s="3">
        <f>Submetering!M17+Submetering!N17+Submetering!O17+Submetering!P17+Submetering!Q17+Submetering!R17+Submetering!S17+Submetering!T17+Submetering!U17+Submetering!V17</f>
        <v>49670.039999996312</v>
      </c>
      <c r="F17">
        <v>0.44447999999999999</v>
      </c>
      <c r="G17" s="3">
        <f>Submetering!Z17+Submetering!AA17+Submetering!AB17</f>
        <v>364.77</v>
      </c>
      <c r="H17" s="238">
        <f t="shared" si="0"/>
        <v>2.75</v>
      </c>
      <c r="I17" s="3">
        <f>Submetering!G17</f>
        <v>590</v>
      </c>
      <c r="J17">
        <v>13.83</v>
      </c>
      <c r="K17" s="3">
        <f>Submetering!I17</f>
        <v>248</v>
      </c>
      <c r="L17">
        <v>1.2</v>
      </c>
      <c r="M17" s="238">
        <f>Submetering!E17</f>
        <v>139.82999999999998</v>
      </c>
      <c r="N17">
        <f>Submetering!F17</f>
        <v>223</v>
      </c>
    </row>
    <row r="18" spans="1:14" x14ac:dyDescent="0.25">
      <c r="A18" t="s">
        <v>59</v>
      </c>
      <c r="B18">
        <f t="shared" si="1"/>
        <v>17</v>
      </c>
      <c r="C18">
        <v>5</v>
      </c>
      <c r="D18">
        <v>2021</v>
      </c>
      <c r="E18" s="3">
        <f>Submetering!M18+Submetering!N18+Submetering!O18+Submetering!P18+Submetering!Q18+Submetering!R18+Submetering!S18+Submetering!T18+Submetering!U18+Submetering!V18</f>
        <v>50912.400000003166</v>
      </c>
      <c r="F18">
        <v>0.44447999999999999</v>
      </c>
      <c r="G18" s="3">
        <f>Submetering!Z18+Submetering!AA18+Submetering!AB18</f>
        <v>364.77</v>
      </c>
      <c r="H18" s="238">
        <f t="shared" si="0"/>
        <v>2.75</v>
      </c>
      <c r="I18" s="3">
        <f>Submetering!G18</f>
        <v>587</v>
      </c>
      <c r="J18">
        <v>13.83</v>
      </c>
      <c r="K18" s="3">
        <f>Submetering!I18</f>
        <v>325</v>
      </c>
      <c r="L18">
        <v>1.2</v>
      </c>
      <c r="M18" s="238">
        <f>Submetering!E18</f>
        <v>135.08999999999997</v>
      </c>
      <c r="N18">
        <f>Submetering!F18</f>
        <v>223</v>
      </c>
    </row>
    <row r="19" spans="1:14" x14ac:dyDescent="0.25">
      <c r="A19" t="s">
        <v>59</v>
      </c>
      <c r="B19">
        <f t="shared" si="1"/>
        <v>18</v>
      </c>
      <c r="C19">
        <v>5</v>
      </c>
      <c r="D19">
        <v>2021</v>
      </c>
      <c r="E19" s="3">
        <f>Submetering!M19+Submetering!N19+Submetering!O19+Submetering!P19+Submetering!Q19+Submetering!R19+Submetering!S19+Submetering!T19+Submetering!U19+Submetering!V19</f>
        <v>48817.439999999478</v>
      </c>
      <c r="F19">
        <v>0.44447999999999999</v>
      </c>
      <c r="G19" s="3">
        <f>Submetering!Z19+Submetering!AA19+Submetering!AB19</f>
        <v>351.53999999999996</v>
      </c>
      <c r="H19" s="238">
        <f t="shared" si="0"/>
        <v>2.75</v>
      </c>
      <c r="I19" s="3">
        <f>Submetering!G19</f>
        <v>531</v>
      </c>
      <c r="J19">
        <v>13.83</v>
      </c>
      <c r="K19" s="3">
        <f>Submetering!I19</f>
        <v>319</v>
      </c>
      <c r="L19">
        <v>1.2</v>
      </c>
      <c r="M19" s="238">
        <f>Submetering!E19</f>
        <v>154.05000000000001</v>
      </c>
      <c r="N19">
        <f>Submetering!F19</f>
        <v>264</v>
      </c>
    </row>
    <row r="20" spans="1:14" x14ac:dyDescent="0.25">
      <c r="A20" t="s">
        <v>59</v>
      </c>
      <c r="B20">
        <f t="shared" si="1"/>
        <v>19</v>
      </c>
      <c r="C20">
        <v>5</v>
      </c>
      <c r="D20">
        <v>2021</v>
      </c>
      <c r="E20" s="3">
        <f>Submetering!M20+Submetering!N20+Submetering!O20+Submetering!P20+Submetering!Q20+Submetering!R20+Submetering!S20+Submetering!T20+Submetering!U20+Submetering!V20</f>
        <v>52032.960000002757</v>
      </c>
      <c r="F20">
        <v>0.44447999999999999</v>
      </c>
      <c r="G20" s="3">
        <f>Submetering!Z20+Submetering!AA20+Submetering!AB20</f>
        <v>355.31999999999994</v>
      </c>
      <c r="H20" s="238">
        <f t="shared" si="0"/>
        <v>2.75</v>
      </c>
      <c r="I20" s="3">
        <f>Submetering!G20</f>
        <v>899</v>
      </c>
      <c r="J20">
        <v>13.83</v>
      </c>
      <c r="K20" s="3">
        <f>Submetering!I20</f>
        <v>336</v>
      </c>
      <c r="L20">
        <v>1.2</v>
      </c>
      <c r="M20" s="238">
        <f>Submetering!E20</f>
        <v>165.89999999999998</v>
      </c>
      <c r="N20">
        <f>Submetering!F20</f>
        <v>310</v>
      </c>
    </row>
    <row r="21" spans="1:14" x14ac:dyDescent="0.25">
      <c r="A21" t="s">
        <v>59</v>
      </c>
      <c r="B21">
        <f t="shared" si="1"/>
        <v>20</v>
      </c>
      <c r="C21">
        <v>5</v>
      </c>
      <c r="D21">
        <v>2021</v>
      </c>
      <c r="E21" s="3">
        <f>Submetering!M21+Submetering!N21+Submetering!O21+Submetering!P21+Submetering!Q21+Submetering!R21+Submetering!S21+Submetering!T21+Submetering!U21+Submetering!V21</f>
        <v>50522.640000000596</v>
      </c>
      <c r="F21">
        <v>0.44447999999999999</v>
      </c>
      <c r="G21" s="3">
        <f>Submetering!Z21+Submetering!AA21+Submetering!AB21</f>
        <v>357.21</v>
      </c>
      <c r="H21" s="238">
        <f t="shared" si="0"/>
        <v>2.75</v>
      </c>
      <c r="I21" s="3">
        <f>Submetering!G21</f>
        <v>788</v>
      </c>
      <c r="J21">
        <v>13.83</v>
      </c>
      <c r="K21" s="3">
        <f>Submetering!I21</f>
        <v>363</v>
      </c>
      <c r="L21">
        <v>1.2</v>
      </c>
      <c r="M21" s="238">
        <f>Submetering!E21</f>
        <v>201.45</v>
      </c>
      <c r="N21">
        <f>Submetering!F21</f>
        <v>378</v>
      </c>
    </row>
    <row r="22" spans="1:14" x14ac:dyDescent="0.25">
      <c r="A22" t="s">
        <v>59</v>
      </c>
      <c r="B22">
        <f t="shared" si="1"/>
        <v>21</v>
      </c>
      <c r="C22">
        <v>5</v>
      </c>
      <c r="D22">
        <v>2021</v>
      </c>
      <c r="E22" s="3">
        <f>Submetering!M22+Submetering!N22+Submetering!O22+Submetering!P22+Submetering!Q22+Submetering!R22+Submetering!S22+Submetering!T22+Submetering!U22+Submetering!V22</f>
        <v>0</v>
      </c>
      <c r="F22">
        <v>0.44447999999999999</v>
      </c>
      <c r="G22" s="3">
        <f>Submetering!Z22+Submetering!AA22+Submetering!AB22</f>
        <v>0</v>
      </c>
      <c r="H22" s="238">
        <f t="shared" si="0"/>
        <v>2.75</v>
      </c>
      <c r="I22" s="3">
        <f>Submetering!G22</f>
        <v>0</v>
      </c>
      <c r="J22">
        <v>13.83</v>
      </c>
      <c r="K22" s="3">
        <f>Submetering!I22</f>
        <v>0</v>
      </c>
      <c r="L22">
        <v>1.2</v>
      </c>
      <c r="M22" s="238">
        <f>Submetering!E22</f>
        <v>0</v>
      </c>
      <c r="N22">
        <f>Submetering!F22</f>
        <v>0</v>
      </c>
    </row>
    <row r="23" spans="1:14" x14ac:dyDescent="0.25">
      <c r="A23" t="s">
        <v>59</v>
      </c>
      <c r="B23">
        <f t="shared" si="1"/>
        <v>22</v>
      </c>
      <c r="C23">
        <v>5</v>
      </c>
      <c r="D23">
        <v>2021</v>
      </c>
      <c r="E23" s="3">
        <f>Submetering!M23+Submetering!N23+Submetering!O23+Submetering!P23+Submetering!Q23+Submetering!R23+Submetering!S23+Submetering!T23+Submetering!U23+Submetering!V23</f>
        <v>0</v>
      </c>
      <c r="F23">
        <v>0.44447999999999999</v>
      </c>
      <c r="G23" s="3">
        <f>Submetering!Z23+Submetering!AA23+Submetering!AB23</f>
        <v>0</v>
      </c>
      <c r="H23" s="238">
        <f t="shared" si="0"/>
        <v>2.75</v>
      </c>
      <c r="I23" s="3">
        <f>Submetering!G23</f>
        <v>0</v>
      </c>
      <c r="J23">
        <v>13.83</v>
      </c>
      <c r="K23" s="3">
        <f>Submetering!I23</f>
        <v>0</v>
      </c>
      <c r="L23">
        <v>1.2</v>
      </c>
      <c r="M23" s="238">
        <f>Submetering!E23</f>
        <v>0</v>
      </c>
      <c r="N23">
        <f>Submetering!F23</f>
        <v>0</v>
      </c>
    </row>
    <row r="24" spans="1:14" x14ac:dyDescent="0.25">
      <c r="A24" t="s">
        <v>59</v>
      </c>
      <c r="B24">
        <f t="shared" si="1"/>
        <v>23</v>
      </c>
      <c r="C24">
        <v>5</v>
      </c>
      <c r="D24">
        <v>2021</v>
      </c>
      <c r="E24" s="3">
        <f>Submetering!M24+Submetering!N24+Submetering!O24+Submetering!P24+Submetering!Q24+Submetering!R24+Submetering!S24+Submetering!T24+Submetering!U24+Submetering!V24</f>
        <v>0</v>
      </c>
      <c r="F24">
        <v>0.44447999999999999</v>
      </c>
      <c r="G24" s="3">
        <f>Submetering!Z24+Submetering!AA24+Submetering!AB24</f>
        <v>0</v>
      </c>
      <c r="H24" s="238">
        <f t="shared" si="0"/>
        <v>2.75</v>
      </c>
      <c r="I24" s="3">
        <f>Submetering!G24</f>
        <v>0</v>
      </c>
      <c r="J24">
        <v>13.83</v>
      </c>
      <c r="K24" s="3">
        <f>Submetering!I24</f>
        <v>0</v>
      </c>
      <c r="L24">
        <v>1.2</v>
      </c>
      <c r="M24" s="238">
        <f>Submetering!E24</f>
        <v>0</v>
      </c>
      <c r="N24">
        <f>Submetering!F24</f>
        <v>0</v>
      </c>
    </row>
    <row r="25" spans="1:14" x14ac:dyDescent="0.25">
      <c r="A25" t="s">
        <v>59</v>
      </c>
      <c r="B25">
        <f t="shared" si="1"/>
        <v>24</v>
      </c>
      <c r="C25">
        <v>5</v>
      </c>
      <c r="D25">
        <v>2021</v>
      </c>
      <c r="E25" s="3">
        <f>Submetering!M25+Submetering!N25+Submetering!O25+Submetering!P25+Submetering!Q25+Submetering!R25+Submetering!S25+Submetering!T25+Submetering!U25+Submetering!V25</f>
        <v>0</v>
      </c>
      <c r="F25">
        <v>0.44447999999999999</v>
      </c>
      <c r="G25" s="3">
        <f>Submetering!Z25+Submetering!AA25+Submetering!AB25</f>
        <v>0</v>
      </c>
      <c r="H25" s="238">
        <f t="shared" si="0"/>
        <v>2.75</v>
      </c>
      <c r="I25" s="3">
        <f>Submetering!G25</f>
        <v>0</v>
      </c>
      <c r="J25">
        <v>13.83</v>
      </c>
      <c r="K25" s="3">
        <f>Submetering!I25</f>
        <v>0</v>
      </c>
      <c r="L25">
        <v>1.2</v>
      </c>
      <c r="M25" s="238">
        <f>Submetering!E25</f>
        <v>0</v>
      </c>
      <c r="N25">
        <f>Submetering!F25</f>
        <v>0</v>
      </c>
    </row>
    <row r="26" spans="1:14" x14ac:dyDescent="0.25">
      <c r="A26" t="s">
        <v>59</v>
      </c>
      <c r="B26">
        <f>B25+1</f>
        <v>25</v>
      </c>
      <c r="C26">
        <v>5</v>
      </c>
      <c r="D26">
        <v>2021</v>
      </c>
      <c r="E26" s="3">
        <f>Submetering!M26+Submetering!N26+Submetering!O26+Submetering!P26+Submetering!Q26+Submetering!R26+Submetering!S26+Submetering!T26+Submetering!U26+Submetering!V26</f>
        <v>0</v>
      </c>
      <c r="F26">
        <v>0.44447999999999999</v>
      </c>
      <c r="G26" s="3">
        <f>Submetering!Z26+Submetering!AA26+Submetering!AB26</f>
        <v>0</v>
      </c>
      <c r="H26" s="238">
        <f t="shared" si="0"/>
        <v>2.75</v>
      </c>
      <c r="I26" s="3">
        <f>Submetering!G26</f>
        <v>0</v>
      </c>
      <c r="J26">
        <v>13.83</v>
      </c>
      <c r="K26" s="3">
        <f>Submetering!I26</f>
        <v>0</v>
      </c>
      <c r="L26">
        <v>1.2</v>
      </c>
      <c r="M26" s="238">
        <f>Submetering!E26</f>
        <v>0</v>
      </c>
      <c r="N26">
        <f>Submetering!F26</f>
        <v>0</v>
      </c>
    </row>
    <row r="27" spans="1:14" x14ac:dyDescent="0.25">
      <c r="A27" t="s">
        <v>59</v>
      </c>
      <c r="B27">
        <f t="shared" si="1"/>
        <v>26</v>
      </c>
      <c r="C27">
        <v>5</v>
      </c>
      <c r="D27">
        <v>2021</v>
      </c>
      <c r="E27" s="3">
        <f>Submetering!M27+Submetering!N27+Submetering!O27+Submetering!P27+Submetering!Q27+Submetering!R27+Submetering!S27+Submetering!T27+Submetering!U27+Submetering!V27</f>
        <v>0</v>
      </c>
      <c r="F27">
        <v>0.44447999999999999</v>
      </c>
      <c r="G27" s="3">
        <f>Submetering!Z27+Submetering!AA27+Submetering!AB27</f>
        <v>0</v>
      </c>
      <c r="H27" s="238">
        <f t="shared" si="0"/>
        <v>2.75</v>
      </c>
      <c r="I27" s="3">
        <f>Submetering!G27</f>
        <v>0</v>
      </c>
      <c r="J27">
        <v>13.83</v>
      </c>
      <c r="K27" s="3">
        <f>Submetering!I27</f>
        <v>0</v>
      </c>
      <c r="L27">
        <v>1.2</v>
      </c>
      <c r="M27" s="238">
        <f>Submetering!E27</f>
        <v>0</v>
      </c>
      <c r="N27">
        <f>Submetering!F27</f>
        <v>0</v>
      </c>
    </row>
    <row r="28" spans="1:14" x14ac:dyDescent="0.25">
      <c r="A28" t="s">
        <v>59</v>
      </c>
      <c r="B28">
        <f t="shared" si="1"/>
        <v>27</v>
      </c>
      <c r="C28">
        <v>5</v>
      </c>
      <c r="D28">
        <v>2021</v>
      </c>
      <c r="E28" s="3">
        <f>Submetering!M28+Submetering!N28+Submetering!O28+Submetering!P28+Submetering!Q28+Submetering!R28+Submetering!S28+Submetering!T28+Submetering!U28+Submetering!V28</f>
        <v>0</v>
      </c>
      <c r="F28">
        <v>0.44447999999999999</v>
      </c>
      <c r="G28" s="3">
        <f>Submetering!Z28+Submetering!AA28+Submetering!AB28</f>
        <v>0</v>
      </c>
      <c r="H28" s="238">
        <f t="shared" si="0"/>
        <v>2.75</v>
      </c>
      <c r="I28" s="3">
        <f>Submetering!G28</f>
        <v>0</v>
      </c>
      <c r="J28">
        <v>13.83</v>
      </c>
      <c r="K28" s="3">
        <f>Submetering!I28</f>
        <v>0</v>
      </c>
      <c r="L28">
        <v>1.2</v>
      </c>
      <c r="M28" s="238">
        <f>Submetering!E28</f>
        <v>0</v>
      </c>
      <c r="N28">
        <f>Submetering!F28</f>
        <v>0</v>
      </c>
    </row>
    <row r="29" spans="1:14" x14ac:dyDescent="0.25">
      <c r="A29" t="s">
        <v>59</v>
      </c>
      <c r="B29">
        <f t="shared" si="1"/>
        <v>28</v>
      </c>
      <c r="C29">
        <v>5</v>
      </c>
      <c r="D29">
        <v>2021</v>
      </c>
      <c r="E29" s="3">
        <f>Submetering!M29+Submetering!N29+Submetering!O29+Submetering!P29+Submetering!Q29+Submetering!R29+Submetering!S29+Submetering!T29+Submetering!U29+Submetering!V29</f>
        <v>0</v>
      </c>
      <c r="F29">
        <v>0.44447999999999999</v>
      </c>
      <c r="G29" s="3">
        <f>Submetering!Z29+Submetering!AA29+Submetering!AB29</f>
        <v>0</v>
      </c>
      <c r="H29" s="238">
        <f t="shared" si="0"/>
        <v>2.75</v>
      </c>
      <c r="I29" s="3">
        <f>Submetering!G29</f>
        <v>0</v>
      </c>
      <c r="J29">
        <v>13.83</v>
      </c>
      <c r="K29" s="3">
        <f>Submetering!I29</f>
        <v>0</v>
      </c>
      <c r="L29">
        <v>1.2</v>
      </c>
      <c r="M29" s="238">
        <f>Submetering!E29</f>
        <v>0</v>
      </c>
      <c r="N29">
        <f>Submetering!F29</f>
        <v>0</v>
      </c>
    </row>
    <row r="30" spans="1:14" x14ac:dyDescent="0.25">
      <c r="A30" t="s">
        <v>59</v>
      </c>
      <c r="B30">
        <f t="shared" si="1"/>
        <v>29</v>
      </c>
      <c r="C30">
        <v>5</v>
      </c>
      <c r="D30">
        <v>2021</v>
      </c>
      <c r="E30" s="3">
        <f>Submetering!M30+Submetering!N30+Submetering!O30+Submetering!P30+Submetering!Q30+Submetering!R30+Submetering!S30+Submetering!T30+Submetering!U30+Submetering!V30</f>
        <v>0</v>
      </c>
      <c r="F30">
        <v>0.44447999999999999</v>
      </c>
      <c r="G30" s="3">
        <f>Submetering!Z30+Submetering!AA30+Submetering!AB30</f>
        <v>0</v>
      </c>
      <c r="H30" s="238">
        <f t="shared" si="0"/>
        <v>2.75</v>
      </c>
      <c r="I30" s="3">
        <f>Submetering!G30</f>
        <v>0</v>
      </c>
      <c r="J30">
        <v>13.83</v>
      </c>
      <c r="K30" s="3">
        <f>Submetering!I30</f>
        <v>0</v>
      </c>
      <c r="L30">
        <v>1.2</v>
      </c>
      <c r="M30" s="238">
        <f>Submetering!E30</f>
        <v>0</v>
      </c>
      <c r="N30">
        <f>Submetering!F30</f>
        <v>0</v>
      </c>
    </row>
    <row r="31" spans="1:14" x14ac:dyDescent="0.25">
      <c r="A31" t="s">
        <v>59</v>
      </c>
      <c r="B31">
        <f t="shared" si="1"/>
        <v>30</v>
      </c>
      <c r="C31">
        <v>5</v>
      </c>
      <c r="D31">
        <v>2021</v>
      </c>
      <c r="E31" s="3">
        <f>Submetering!M31+Submetering!N31+Submetering!O31+Submetering!P31+Submetering!Q31+Submetering!R31+Submetering!S31+Submetering!T31+Submetering!U31+Submetering!V31</f>
        <v>0</v>
      </c>
      <c r="F31">
        <v>0.44447999999999999</v>
      </c>
      <c r="G31" s="3">
        <f>Submetering!Z31+Submetering!AA31+Submetering!AB31</f>
        <v>0</v>
      </c>
      <c r="H31" s="238">
        <f t="shared" si="0"/>
        <v>2.75</v>
      </c>
      <c r="I31" s="3">
        <f>Submetering!G31</f>
        <v>0</v>
      </c>
      <c r="J31">
        <v>13.83</v>
      </c>
      <c r="K31" s="3">
        <f>Submetering!I31</f>
        <v>0</v>
      </c>
      <c r="L31">
        <v>1.2</v>
      </c>
      <c r="M31" s="238">
        <f>Submetering!E31</f>
        <v>0</v>
      </c>
      <c r="N31">
        <f>Submetering!F31</f>
        <v>0</v>
      </c>
    </row>
    <row r="32" spans="1:14" x14ac:dyDescent="0.25">
      <c r="A32" t="s">
        <v>59</v>
      </c>
      <c r="B32">
        <f t="shared" si="1"/>
        <v>31</v>
      </c>
      <c r="C32">
        <v>5</v>
      </c>
      <c r="D32">
        <v>2021</v>
      </c>
      <c r="E32" s="3">
        <f>Submetering!M32+Submetering!N32+Submetering!O32+Submetering!P32+Submetering!Q32+Submetering!R32+Submetering!S32+Submetering!T32+Submetering!U32+Submetering!V32</f>
        <v>0</v>
      </c>
      <c r="F32">
        <v>0.44447999999999999</v>
      </c>
      <c r="G32" s="3">
        <f>Submetering!Z32+Submetering!AA32+Submetering!AB32</f>
        <v>0</v>
      </c>
      <c r="H32" s="238">
        <f t="shared" si="0"/>
        <v>2.75</v>
      </c>
      <c r="I32" s="3">
        <f>Submetering!G32</f>
        <v>0</v>
      </c>
      <c r="J32">
        <v>13.83</v>
      </c>
      <c r="K32" s="3">
        <f>Submetering!I32</f>
        <v>0</v>
      </c>
      <c r="L32">
        <v>1.2</v>
      </c>
      <c r="M32" s="238">
        <f>Submetering!E32</f>
        <v>0</v>
      </c>
      <c r="N32">
        <f>Submetering!F32</f>
        <v>0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2"/>
  <sheetViews>
    <sheetView tabSelected="1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E22" sqref="E22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9"/>
    <col min="7" max="25" width="12.5703125" style="3" customWidth="1"/>
    <col min="26" max="29" width="11.5703125" style="3" customWidth="1"/>
    <col min="30" max="35" width="11.5703125" style="84" customWidth="1"/>
    <col min="36" max="63" width="11.5703125" style="82" customWidth="1"/>
  </cols>
  <sheetData>
    <row r="1" spans="1:65" s="4" customFormat="1" ht="61.5" x14ac:dyDescent="0.3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79</v>
      </c>
      <c r="J1" s="6" t="s">
        <v>80</v>
      </c>
      <c r="K1" s="6" t="s">
        <v>81</v>
      </c>
      <c r="L1" s="6" t="s">
        <v>186</v>
      </c>
      <c r="M1" s="6" t="s">
        <v>60</v>
      </c>
      <c r="N1" s="6" t="s">
        <v>61</v>
      </c>
      <c r="O1" s="6" t="s">
        <v>62</v>
      </c>
      <c r="P1" s="6" t="s">
        <v>64</v>
      </c>
      <c r="Q1" s="6" t="s">
        <v>65</v>
      </c>
      <c r="R1" s="6" t="s">
        <v>63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75</v>
      </c>
      <c r="X1" s="6" t="s">
        <v>74</v>
      </c>
      <c r="Y1" s="6" t="s">
        <v>76</v>
      </c>
      <c r="Z1" s="6" t="s">
        <v>70</v>
      </c>
      <c r="AA1" s="6" t="s">
        <v>71</v>
      </c>
      <c r="AB1" s="6" t="s">
        <v>72</v>
      </c>
      <c r="AC1" s="6" t="s">
        <v>73</v>
      </c>
      <c r="AD1" s="83" t="s">
        <v>152</v>
      </c>
      <c r="AE1" s="83" t="s">
        <v>153</v>
      </c>
      <c r="AF1" s="83" t="s">
        <v>154</v>
      </c>
      <c r="AG1" s="83" t="s">
        <v>155</v>
      </c>
      <c r="AH1" s="83" t="s">
        <v>156</v>
      </c>
      <c r="AI1" s="83" t="s">
        <v>157</v>
      </c>
      <c r="AJ1" s="80" t="s">
        <v>158</v>
      </c>
      <c r="AK1" s="80" t="s">
        <v>159</v>
      </c>
      <c r="AL1" s="80" t="s">
        <v>160</v>
      </c>
      <c r="AM1" s="80" t="s">
        <v>161</v>
      </c>
      <c r="AN1" s="80" t="s">
        <v>162</v>
      </c>
      <c r="AO1" s="80" t="s">
        <v>163</v>
      </c>
      <c r="AP1" s="80" t="s">
        <v>164</v>
      </c>
      <c r="AQ1" s="80" t="s">
        <v>165</v>
      </c>
      <c r="AR1" s="80" t="s">
        <v>166</v>
      </c>
      <c r="AS1" s="80" t="s">
        <v>167</v>
      </c>
      <c r="AT1" s="80" t="s">
        <v>168</v>
      </c>
      <c r="AU1" s="80" t="s">
        <v>169</v>
      </c>
      <c r="AV1" s="80" t="s">
        <v>170</v>
      </c>
      <c r="AW1" s="80" t="s">
        <v>185</v>
      </c>
      <c r="AX1" s="80" t="s">
        <v>171</v>
      </c>
      <c r="AY1" s="80" t="s">
        <v>172</v>
      </c>
      <c r="AZ1" s="80" t="s">
        <v>173</v>
      </c>
      <c r="BA1" s="80" t="s">
        <v>174</v>
      </c>
      <c r="BB1" s="80" t="s">
        <v>175</v>
      </c>
      <c r="BC1" s="80" t="s">
        <v>176</v>
      </c>
      <c r="BD1" s="80" t="s">
        <v>177</v>
      </c>
      <c r="BE1" s="80" t="s">
        <v>178</v>
      </c>
      <c r="BF1" s="80" t="s">
        <v>179</v>
      </c>
      <c r="BG1" s="80" t="s">
        <v>180</v>
      </c>
      <c r="BH1" s="80" t="s">
        <v>181</v>
      </c>
      <c r="BI1" s="80" t="s">
        <v>182</v>
      </c>
      <c r="BJ1" s="80" t="s">
        <v>183</v>
      </c>
      <c r="BK1" s="80" t="s">
        <v>184</v>
      </c>
    </row>
    <row r="2" spans="1:65" x14ac:dyDescent="0.25">
      <c r="A2" t="s">
        <v>59</v>
      </c>
      <c r="B2">
        <v>1</v>
      </c>
      <c r="C2">
        <v>5</v>
      </c>
      <c r="D2">
        <v>2021</v>
      </c>
      <c r="E2" s="78">
        <f>237*0.81</f>
        <v>191.97</v>
      </c>
      <c r="F2" s="79">
        <f>334+104</f>
        <v>438</v>
      </c>
      <c r="G2" s="3">
        <f>'DJB Daily Readings'!C10-'DJB Daily Readings'!C9</f>
        <v>561</v>
      </c>
      <c r="H2" s="3">
        <f>'DJB Daily Readings'!F10-'DJB Daily Readings'!F9</f>
        <v>381</v>
      </c>
      <c r="I2" s="3">
        <f>'DJB Daily Readings'!K10-'DJB Daily Readings'!K9</f>
        <v>355</v>
      </c>
      <c r="J2" s="3">
        <f>'DJB Daily Readings'!K10-'DJB Daily Readings'!K9</f>
        <v>355</v>
      </c>
      <c r="K2" s="3">
        <f>'DJB Daily Readings'!O10-'DJB Daily Readings'!O9</f>
        <v>143.11999999999989</v>
      </c>
      <c r="L2" s="3">
        <f>'DJB Daily Readings'!R10-'DJB Daily Readings'!R9</f>
        <v>36</v>
      </c>
      <c r="M2" s="3">
        <f>'DJB Daily Readings'!U10-'DJB Daily Readings'!U9</f>
        <v>2825.7600000007078</v>
      </c>
      <c r="N2" s="3">
        <f>'DJB Daily Readings'!X10-'DJB Daily Readings'!X9</f>
        <v>4872</v>
      </c>
      <c r="O2" s="3">
        <f>'DJB Daily Readings'!AA10-'DJB Daily Readings'!AA9</f>
        <v>11546.639999998733</v>
      </c>
      <c r="P2" s="3">
        <f>'DJB Daily Readings'!AD10-'DJB Daily Readings'!AD9</f>
        <v>1169.2800000011921</v>
      </c>
      <c r="Q2" s="3">
        <f>'DJB Daily Readings'!AG10-'DJB Daily Readings'!AG9</f>
        <v>5407.9199999999255</v>
      </c>
      <c r="R2" s="3">
        <f>'DJB Daily Readings'!AJ10-'DJB Daily Readings'!AJ9</f>
        <v>5602.7999999988824</v>
      </c>
      <c r="S2" s="3">
        <f>'DJB Daily Readings'!AM10-'DJB Daily Readings'!AM9</f>
        <v>4579.679999999702</v>
      </c>
      <c r="T2" s="3">
        <f>'DJB Daily Readings'!AP10-'DJB Daily Readings'!AP9</f>
        <v>4433.519999999553</v>
      </c>
      <c r="U2" s="3">
        <f>'DJB Daily Readings'!AS10-'DJB Daily Readings'!AS9</f>
        <v>2971.9199999999255</v>
      </c>
      <c r="V2" s="3">
        <f>'DJB Daily Readings'!AV10-'DJB Daily Readings'!AV9</f>
        <v>5651.519999999553</v>
      </c>
      <c r="W2" s="3">
        <f>'DJB Daily Readings'!AZ10-'DJB Daily Readings'!AZ9</f>
        <v>52700</v>
      </c>
      <c r="X2" s="3">
        <f>'DJB Daily Readings'!BC10-'DJB Daily Readings'!BC9</f>
        <v>0</v>
      </c>
      <c r="Y2" s="3">
        <f>'DJB Daily Readings'!BF10-'DJB Daily Readings'!BF9</f>
        <v>31700</v>
      </c>
      <c r="Z2" s="3">
        <f>('DJB Daily Readings'!CK10-'DJB Daily Readings'!CK9)*1.89</f>
        <v>192.78</v>
      </c>
      <c r="AA2" s="3">
        <f>('DJB Daily Readings'!CN10-'DJB Daily Readings'!CN9)*1.89</f>
        <v>177.66</v>
      </c>
      <c r="AB2" s="3">
        <f>('DJB Daily Readings'!CQ10-'DJB Daily Readings'!CQ9)*1.89</f>
        <v>0</v>
      </c>
      <c r="AC2" s="3">
        <f>'DJB Daily Readings'!CT10-'DJB Daily Readings'!CT9</f>
        <v>273</v>
      </c>
      <c r="AD2" s="84">
        <f>('DJB Daily Readings'!BY10-'DJB Daily Readings'!BY9)*1.89</f>
        <v>32.129999999999995</v>
      </c>
      <c r="AE2" s="84">
        <f>('DJB Daily Readings'!CA10-'DJB Daily Readings'!CA9)*1.89</f>
        <v>22.68</v>
      </c>
      <c r="AF2" s="84">
        <f>('DJB Daily Readings'!CC10-'DJB Daily Readings'!CC9)*1.89</f>
        <v>13.229999999999999</v>
      </c>
      <c r="AG2" s="84">
        <f>('DJB Daily Readings'!CE10-'DJB Daily Readings'!CE9)*1.89</f>
        <v>18.899999999999999</v>
      </c>
      <c r="AH2" s="84">
        <f>('DJB Daily Readings'!CG10-'DJB Daily Readings'!CG9)*1.89</f>
        <v>18.899999999999999</v>
      </c>
      <c r="AI2" s="84">
        <f>('DJB Daily Readings'!CI10-'DJB Daily Readings'!CI9)*1.89</f>
        <v>58.589999999999996</v>
      </c>
      <c r="AJ2" s="81">
        <f>'DJB Daily Readings'!CY10-'DJB Daily Readings'!CY9</f>
        <v>4</v>
      </c>
      <c r="AK2" s="81">
        <f>'DJB Daily Readings'!CW10-'DJB Daily Readings'!CW9</f>
        <v>5</v>
      </c>
      <c r="AL2" s="82">
        <f>'DJB Daily Readings'!DC10-'DJB Daily Readings'!DC9</f>
        <v>8.9000000000014552</v>
      </c>
      <c r="AM2" s="82">
        <f>'DJB Daily Readings'!DA10-'DJB Daily Readings'!DA9</f>
        <v>13.19999999999709</v>
      </c>
      <c r="AN2" s="82">
        <f>'DJB Daily Readings'!DG10-'DJB Daily Readings'!DG9</f>
        <v>6.5</v>
      </c>
      <c r="AO2" s="82">
        <f>'DJB Daily Readings'!DE10-'DJB Daily Readings'!DE9</f>
        <v>6.3999999999978172</v>
      </c>
      <c r="AP2" s="82">
        <f>'DJB Daily Readings'!DK10-'DJB Daily Readings'!DK9</f>
        <v>13</v>
      </c>
      <c r="AQ2" s="82">
        <f>'DJB Daily Readings'!DI10-'DJB Daily Readings'!DI9</f>
        <v>5</v>
      </c>
      <c r="AR2" s="82">
        <f>'DJB Daily Readings'!DO10-'DJB Daily Readings'!DO9</f>
        <v>6</v>
      </c>
      <c r="AS2" s="82">
        <f>'DJB Daily Readings'!DM10-'DJB Daily Readings'!DM9</f>
        <v>3</v>
      </c>
      <c r="AT2" s="82">
        <f>'DJB Daily Readings'!DQ10-'DJB Daily Readings'!DQ9</f>
        <v>17</v>
      </c>
      <c r="AU2" s="82">
        <f>'DJB Daily Readings'!DT10-'DJB Daily Readings'!DT9</f>
        <v>7.9000000000000909</v>
      </c>
      <c r="AW2" s="82">
        <f>'DJB Daily Readings'!DX10-'DJB Daily Readings'!DX9</f>
        <v>4.8999999999999773</v>
      </c>
      <c r="AX2" s="82">
        <f>'DJB Daily Readings'!DZ10-'DJB Daily Readings'!DZ9</f>
        <v>4.6000000000000227</v>
      </c>
      <c r="AY2" s="82">
        <f>'DJB Daily Readings'!EB10-'DJB Daily Readings'!EB9</f>
        <v>750</v>
      </c>
      <c r="AZ2" s="82">
        <f>'DJB Daily Readings'!ED10-'DJB Daily Readings'!ED9</f>
        <v>160</v>
      </c>
      <c r="BA2" s="82">
        <f>'DJB Daily Readings'!EG10-'DJB Daily Readings'!EG9</f>
        <v>3200</v>
      </c>
      <c r="BB2" s="82">
        <f>'DJB Daily Readings'!EI10-'DJB Daily Readings'!EI9</f>
        <v>400</v>
      </c>
      <c r="BC2" s="82">
        <f>'DJB Daily Readings'!EQ10-'DJB Daily Readings'!EQ9</f>
        <v>5900</v>
      </c>
      <c r="BD2" s="82">
        <f>'DJB Daily Readings'!EK10-'DJB Daily Readings'!EK9</f>
        <v>2800</v>
      </c>
      <c r="BE2" s="82">
        <f>'DJB Daily Readings'!EM10-'DJB Daily Readings'!EM9</f>
        <v>800</v>
      </c>
      <c r="BF2" s="82">
        <f>'DJB Daily Readings'!EO10-'DJB Daily Readings'!EO9</f>
        <v>1000</v>
      </c>
      <c r="BG2" s="82">
        <f>('DJB Daily Readings'!ET10-'DJB Daily Readings'!ET9)*1.89</f>
        <v>28.349999999999998</v>
      </c>
      <c r="BH2" s="82">
        <f>('DJB Daily Readings'!EV10-'DJB Daily Readings'!EV9)*1.89</f>
        <v>18.899999999999999</v>
      </c>
      <c r="BI2" s="82">
        <f>('DJB Daily Readings'!EZ10-'DJB Daily Readings'!EZ9)*1.89</f>
        <v>22.68</v>
      </c>
      <c r="BJ2" s="82">
        <f>('DJB Daily Readings'!EX10-'DJB Daily Readings'!EX9)*1.89</f>
        <v>20.79</v>
      </c>
      <c r="BK2" s="82">
        <f>('DJB Daily Readings'!FB10-'DJB Daily Readings'!FB9)*1.89</f>
        <v>54.809999999999995</v>
      </c>
    </row>
    <row r="3" spans="1:65" x14ac:dyDescent="0.25">
      <c r="A3" t="s">
        <v>59</v>
      </c>
      <c r="B3">
        <f>B2+1</f>
        <v>2</v>
      </c>
      <c r="C3">
        <v>5</v>
      </c>
      <c r="D3">
        <v>2021</v>
      </c>
      <c r="E3" s="78">
        <f>237*0.85</f>
        <v>201.45</v>
      </c>
      <c r="F3" s="79">
        <f>326+98</f>
        <v>424</v>
      </c>
      <c r="G3" s="3">
        <f>'DJB Daily Readings'!C11-'DJB Daily Readings'!C10</f>
        <v>682</v>
      </c>
      <c r="H3" s="3">
        <f>'DJB Daily Readings'!F11-'DJB Daily Readings'!F10</f>
        <v>428</v>
      </c>
      <c r="I3" s="3">
        <f>'DJB Daily Readings'!K11-'DJB Daily Readings'!K10</f>
        <v>448</v>
      </c>
      <c r="J3" s="3">
        <f>'DJB Daily Readings'!K11-'DJB Daily Readings'!K10</f>
        <v>448</v>
      </c>
      <c r="K3" s="3">
        <f>'DJB Daily Readings'!O11-'DJB Daily Readings'!O10</f>
        <v>140.70000000000027</v>
      </c>
      <c r="L3" s="3">
        <f>'DJB Daily Readings'!R11-'DJB Daily Readings'!R10</f>
        <v>35</v>
      </c>
      <c r="M3" s="3">
        <f>'DJB Daily Readings'!U11-'DJB Daily Readings'!U10</f>
        <v>2094.9599999999627</v>
      </c>
      <c r="N3" s="3">
        <f>'DJB Daily Readings'!X11-'DJB Daily Readings'!X10</f>
        <v>4872</v>
      </c>
      <c r="O3" s="3">
        <f>'DJB Daily Readings'!AA11-'DJB Daily Readings'!AA10</f>
        <v>12180</v>
      </c>
      <c r="P3" s="3">
        <f>'DJB Daily Readings'!AD11-'DJB Daily Readings'!AD10</f>
        <v>1607.7599999997765</v>
      </c>
      <c r="Q3" s="3">
        <f>'DJB Daily Readings'!AG11-'DJB Daily Readings'!AG10</f>
        <v>5651.5200000014156</v>
      </c>
      <c r="R3" s="3">
        <f>'DJB Daily Readings'!AJ11-'DJB Daily Readings'!AJ10</f>
        <v>5456.640000000596</v>
      </c>
      <c r="S3" s="3">
        <f>'DJB Daily Readings'!AM11-'DJB Daily Readings'!AM10</f>
        <v>4628.4000000003725</v>
      </c>
      <c r="T3" s="3">
        <f>'DJB Daily Readings'!AP11-'DJB Daily Readings'!AP10</f>
        <v>4336.0800000000745</v>
      </c>
      <c r="U3" s="3">
        <f>'DJB Daily Readings'!AS11-'DJB Daily Readings'!AS10</f>
        <v>2971.9199999999255</v>
      </c>
      <c r="V3" s="3">
        <f>'DJB Daily Readings'!AV11-'DJB Daily Readings'!AV10</f>
        <v>5505.359999999404</v>
      </c>
      <c r="W3" s="3">
        <f>'DJB Daily Readings'!AZ11-'DJB Daily Readings'!AZ10</f>
        <v>57200</v>
      </c>
      <c r="X3" s="3">
        <f>'DJB Daily Readings'!BC11-'DJB Daily Readings'!BC10</f>
        <v>1900</v>
      </c>
      <c r="Y3" s="3">
        <f>'DJB Daily Readings'!BF11-'DJB Daily Readings'!BF10</f>
        <v>27800</v>
      </c>
      <c r="Z3" s="3">
        <f>('DJB Daily Readings'!CK11-'DJB Daily Readings'!CK10)*1.89</f>
        <v>207.89999999999998</v>
      </c>
      <c r="AA3" s="3">
        <f>('DJB Daily Readings'!CN11-'DJB Daily Readings'!CN10)*1.89</f>
        <v>202.23</v>
      </c>
      <c r="AB3" s="3">
        <f>('DJB Daily Readings'!CQ11-'DJB Daily Readings'!CQ10)*1.89</f>
        <v>-4955.58</v>
      </c>
      <c r="AC3" s="3">
        <f>'DJB Daily Readings'!CT11-'DJB Daily Readings'!CT10</f>
        <v>303</v>
      </c>
      <c r="AD3" s="84">
        <f>('DJB Daily Readings'!BY11-'DJB Daily Readings'!BY10)*1.89</f>
        <v>35.909999999999997</v>
      </c>
      <c r="AE3" s="84">
        <f>('DJB Daily Readings'!CA11-'DJB Daily Readings'!CA10)*1.89</f>
        <v>32.129999999999995</v>
      </c>
      <c r="AF3" s="84">
        <f>('DJB Daily Readings'!CC11-'DJB Daily Readings'!CC10)*1.89</f>
        <v>7.56</v>
      </c>
      <c r="AG3" s="84">
        <f>('DJB Daily Readings'!CE11-'DJB Daily Readings'!CE10)*1.89</f>
        <v>18.899999999999999</v>
      </c>
      <c r="AH3" s="84">
        <f>('DJB Daily Readings'!CG11-'DJB Daily Readings'!CG10)*1.89</f>
        <v>22.68</v>
      </c>
      <c r="AI3" s="84">
        <f>('DJB Daily Readings'!CI11-'DJB Daily Readings'!CI10)*1.89</f>
        <v>58.589999999999996</v>
      </c>
      <c r="AJ3" s="81">
        <f>'DJB Daily Readings'!CY11-'DJB Daily Readings'!CY10</f>
        <v>3</v>
      </c>
      <c r="AK3" s="81">
        <f>'DJB Daily Readings'!CW11-'DJB Daily Readings'!CW10</f>
        <v>9</v>
      </c>
      <c r="AL3" s="82">
        <f>'DJB Daily Readings'!DC11-'DJB Daily Readings'!DC10</f>
        <v>6.8999999999978172</v>
      </c>
      <c r="AM3" s="82">
        <f>'DJB Daily Readings'!DA11-'DJB Daily Readings'!DA10</f>
        <v>11.80000000000291</v>
      </c>
      <c r="AN3" s="82">
        <f>'DJB Daily Readings'!DG11-'DJB Daily Readings'!DG10</f>
        <v>7.0999999999985448</v>
      </c>
      <c r="AO3" s="82">
        <f>'DJB Daily Readings'!DE11-'DJB Daily Readings'!DE10</f>
        <v>7.9000000000014552</v>
      </c>
      <c r="AP3" s="82">
        <f>'DJB Daily Readings'!DK11-'DJB Daily Readings'!DK10</f>
        <v>14</v>
      </c>
      <c r="AQ3" s="82">
        <f>'DJB Daily Readings'!DI11-'DJB Daily Readings'!DI10</f>
        <v>6</v>
      </c>
      <c r="AR3" s="82">
        <f>'DJB Daily Readings'!DO11-'DJB Daily Readings'!DO10</f>
        <v>7</v>
      </c>
      <c r="AS3" s="82">
        <f>'DJB Daily Readings'!DM11-'DJB Daily Readings'!DM10</f>
        <v>1</v>
      </c>
      <c r="AT3" s="82">
        <f>'DJB Daily Readings'!DQ11-'DJB Daily Readings'!DQ10</f>
        <v>19</v>
      </c>
      <c r="AU3" s="82">
        <f>'DJB Daily Readings'!DT11-'DJB Daily Readings'!DT10</f>
        <v>7.8999999999998636</v>
      </c>
      <c r="AW3" s="82">
        <f>'DJB Daily Readings'!DX11-'DJB Daily Readings'!DX10</f>
        <v>5.3999999999999773</v>
      </c>
      <c r="AX3" s="82">
        <f>'DJB Daily Readings'!DZ11-'DJB Daily Readings'!DZ10</f>
        <v>4.5</v>
      </c>
      <c r="AY3" s="82">
        <f>'DJB Daily Readings'!EB11-'DJB Daily Readings'!EB10</f>
        <v>781</v>
      </c>
      <c r="AZ3" s="82">
        <f>'DJB Daily Readings'!ED11-'DJB Daily Readings'!ED10</f>
        <v>161.39999999999418</v>
      </c>
      <c r="BA3" s="82">
        <f>'DJB Daily Readings'!EG11-'DJB Daily Readings'!EG10</f>
        <v>3300</v>
      </c>
      <c r="BB3" s="82">
        <f>'DJB Daily Readings'!EI11-'DJB Daily Readings'!EI10</f>
        <v>370</v>
      </c>
      <c r="BC3" s="82">
        <f>'DJB Daily Readings'!EQ11-'DJB Daily Readings'!EQ10</f>
        <v>5900</v>
      </c>
      <c r="BD3" s="82">
        <f>'DJB Daily Readings'!EK11-'DJB Daily Readings'!EK10</f>
        <v>2800</v>
      </c>
      <c r="BE3" s="82">
        <f>'DJB Daily Readings'!EM11-'DJB Daily Readings'!EM10</f>
        <v>800</v>
      </c>
      <c r="BF3" s="82">
        <f>'DJB Daily Readings'!EO11-'DJB Daily Readings'!EO10</f>
        <v>1040</v>
      </c>
      <c r="BG3" s="82">
        <f>('DJB Daily Readings'!ET11-'DJB Daily Readings'!ET10)*1.89</f>
        <v>24.57</v>
      </c>
      <c r="BH3" s="82">
        <f>('DJB Daily Readings'!EV11-'DJB Daily Readings'!EV10)*1.89</f>
        <v>18.899999999999999</v>
      </c>
      <c r="BI3" s="82">
        <f>('DJB Daily Readings'!EZ11-'DJB Daily Readings'!EZ10)*1.89</f>
        <v>28.349999999999998</v>
      </c>
      <c r="BJ3" s="82">
        <f>('DJB Daily Readings'!EX11-'DJB Daily Readings'!EX10)*1.89</f>
        <v>20.79</v>
      </c>
      <c r="BK3" s="82">
        <f>('DJB Daily Readings'!FB11-'DJB Daily Readings'!FB10)*1.89</f>
        <v>60.48</v>
      </c>
    </row>
    <row r="4" spans="1:65" x14ac:dyDescent="0.25">
      <c r="A4" t="s">
        <v>59</v>
      </c>
      <c r="B4">
        <f t="shared" ref="B4:B32" si="0">B3+1</f>
        <v>3</v>
      </c>
      <c r="C4">
        <v>5</v>
      </c>
      <c r="D4">
        <v>2021</v>
      </c>
      <c r="E4" s="78">
        <f>237*0.89</f>
        <v>210.93</v>
      </c>
      <c r="F4" s="79">
        <f>326+98</f>
        <v>424</v>
      </c>
      <c r="G4" s="3">
        <f>'DJB Daily Readings'!C12-'DJB Daily Readings'!C11</f>
        <v>572</v>
      </c>
      <c r="H4" s="3">
        <f>'DJB Daily Readings'!F12-'DJB Daily Readings'!F11</f>
        <v>372</v>
      </c>
      <c r="I4" s="3">
        <f>'DJB Daily Readings'!K12-'DJB Daily Readings'!K11</f>
        <v>265</v>
      </c>
      <c r="J4" s="3">
        <f>'DJB Daily Readings'!K12-'DJB Daily Readings'!K11</f>
        <v>265</v>
      </c>
      <c r="K4" s="3">
        <f>'DJB Daily Readings'!O12-'DJB Daily Readings'!O11</f>
        <v>146.02999999999975</v>
      </c>
      <c r="L4" s="3">
        <f>'DJB Daily Readings'!R12-'DJB Daily Readings'!R11</f>
        <v>14</v>
      </c>
      <c r="M4" s="3">
        <f>'DJB Daily Readings'!U12-'DJB Daily Readings'!U11</f>
        <v>1705.1999999992549</v>
      </c>
      <c r="N4" s="3">
        <f>'DJB Daily Readings'!X12-'DJB Daily Readings'!X11</f>
        <v>4336.0800000000745</v>
      </c>
      <c r="O4" s="3">
        <f>'DJB Daily Readings'!AA12-'DJB Daily Readings'!AA11</f>
        <v>9695.2799999993294</v>
      </c>
      <c r="P4" s="3">
        <f>'DJB Daily Readings'!AD12-'DJB Daily Readings'!AD11</f>
        <v>974.40000000037253</v>
      </c>
      <c r="Q4" s="3">
        <f>'DJB Daily Readings'!AG12-'DJB Daily Readings'!AG11</f>
        <v>4920.7199999988079</v>
      </c>
      <c r="R4" s="3">
        <f>'DJB Daily Readings'!AJ12-'DJB Daily Readings'!AJ11</f>
        <v>4920.7199999988079</v>
      </c>
      <c r="S4" s="3">
        <f>'DJB Daily Readings'!AM12-'DJB Daily Readings'!AM11</f>
        <v>4189.9199999999255</v>
      </c>
      <c r="T4" s="3">
        <f>'DJB Daily Readings'!AP12-'DJB Daily Readings'!AP11</f>
        <v>3897.6000000014901</v>
      </c>
      <c r="U4" s="3">
        <f>'DJB Daily Readings'!AS12-'DJB Daily Readings'!AS11</f>
        <v>-1133.7400000002235</v>
      </c>
      <c r="V4" s="3">
        <f>'DJB Daily Readings'!AV12-'DJB Daily Readings'!AV11</f>
        <v>4823.2800000011921</v>
      </c>
      <c r="W4" s="3">
        <f>'DJB Daily Readings'!AZ12-'DJB Daily Readings'!AZ11</f>
        <v>53700</v>
      </c>
      <c r="X4" s="3">
        <f>'DJB Daily Readings'!BC12-'DJB Daily Readings'!BC11</f>
        <v>0</v>
      </c>
      <c r="Y4" s="3">
        <f>'DJB Daily Readings'!BF12-'DJB Daily Readings'!BF11</f>
        <v>23600</v>
      </c>
      <c r="Z4" s="3">
        <f>('DJB Daily Readings'!CK12-'DJB Daily Readings'!CK11)*1.89</f>
        <v>181.2888000000242</v>
      </c>
      <c r="AA4" s="3">
        <f>('DJB Daily Readings'!CN12-'DJB Daily Readings'!CN11)*1.89</f>
        <v>171.98999999999998</v>
      </c>
      <c r="AB4" s="3">
        <f>('DJB Daily Readings'!CQ12-'DJB Daily Readings'!CQ11)*1.89</f>
        <v>4955.58</v>
      </c>
      <c r="AC4" s="3">
        <f>'DJB Daily Readings'!CT12-'DJB Daily Readings'!CT11</f>
        <v>263</v>
      </c>
      <c r="AD4" s="84">
        <f>('DJB Daily Readings'!BY12-'DJB Daily Readings'!BY11)*1.89</f>
        <v>34.019999999999996</v>
      </c>
      <c r="AE4" s="84">
        <f>('DJB Daily Readings'!CA12-'DJB Daily Readings'!CA11)*1.89</f>
        <v>22.68</v>
      </c>
      <c r="AF4" s="84">
        <f>('DJB Daily Readings'!CC12-'DJB Daily Readings'!CC11)*1.89</f>
        <v>11.34</v>
      </c>
      <c r="AG4" s="84">
        <f>('DJB Daily Readings'!CE12-'DJB Daily Readings'!CE11)*1.89</f>
        <v>20.79</v>
      </c>
      <c r="AH4" s="84">
        <f>('DJB Daily Readings'!CG12-'DJB Daily Readings'!CG11)*1.89</f>
        <v>18.899999999999999</v>
      </c>
      <c r="AI4" s="84">
        <f>('DJB Daily Readings'!CI12-'DJB Daily Readings'!CI11)*1.89</f>
        <v>49.14</v>
      </c>
      <c r="AJ4" s="81">
        <f>'DJB Daily Readings'!CY12-'DJB Daily Readings'!CY11</f>
        <v>1</v>
      </c>
      <c r="AK4" s="81">
        <f>'DJB Daily Readings'!CW12-'DJB Daily Readings'!CW11</f>
        <v>0</v>
      </c>
      <c r="AL4" s="82">
        <f>'DJB Daily Readings'!DC12-'DJB Daily Readings'!DC11</f>
        <v>7.3000000000029104</v>
      </c>
      <c r="AM4" s="82">
        <f>'DJB Daily Readings'!DA12-'DJB Daily Readings'!DA11</f>
        <v>13</v>
      </c>
      <c r="AN4" s="82">
        <f>'DJB Daily Readings'!DG12-'DJB Daily Readings'!DG11</f>
        <v>7.4000000000014552</v>
      </c>
      <c r="AO4" s="82">
        <f>'DJB Daily Readings'!DE12-'DJB Daily Readings'!DE11</f>
        <v>6.5999999999985448</v>
      </c>
      <c r="AP4" s="82">
        <f>'DJB Daily Readings'!DK12-'DJB Daily Readings'!DK11</f>
        <v>14</v>
      </c>
      <c r="AQ4" s="82">
        <f>'DJB Daily Readings'!DI12-'DJB Daily Readings'!DI11</f>
        <v>5</v>
      </c>
      <c r="AR4" s="82">
        <f>'DJB Daily Readings'!DO12-'DJB Daily Readings'!DO11</f>
        <v>6</v>
      </c>
      <c r="AS4" s="82">
        <f>'DJB Daily Readings'!DM12-'DJB Daily Readings'!DM11</f>
        <v>0</v>
      </c>
      <c r="AT4" s="82">
        <f>'DJB Daily Readings'!DQ12-'DJB Daily Readings'!DQ11</f>
        <v>15</v>
      </c>
      <c r="AU4" s="82">
        <f>'DJB Daily Readings'!DT12-'DJB Daily Readings'!DT11</f>
        <v>7.9000000000000909</v>
      </c>
      <c r="AW4" s="82">
        <f>'DJB Daily Readings'!DX12-'DJB Daily Readings'!DX11</f>
        <v>5.1000000000000227</v>
      </c>
      <c r="AX4" s="82">
        <f>'DJB Daily Readings'!DZ12-'DJB Daily Readings'!DZ11</f>
        <v>4.5</v>
      </c>
      <c r="AY4" s="82">
        <f>'DJB Daily Readings'!EB12-'DJB Daily Readings'!EB11</f>
        <v>752</v>
      </c>
      <c r="AZ4" s="82">
        <f>'DJB Daily Readings'!ED12-'DJB Daily Readings'!ED11</f>
        <v>159.80000000001746</v>
      </c>
      <c r="BA4" s="82">
        <f>'DJB Daily Readings'!EG12-'DJB Daily Readings'!EG11</f>
        <v>2800</v>
      </c>
      <c r="BB4" s="82">
        <f>'DJB Daily Readings'!EI12-'DJB Daily Readings'!EI11</f>
        <v>320</v>
      </c>
      <c r="BC4" s="82">
        <f>'DJB Daily Readings'!EQ12-'DJB Daily Readings'!EQ11</f>
        <v>4200</v>
      </c>
      <c r="BD4" s="82">
        <f>'DJB Daily Readings'!EK12-'DJB Daily Readings'!EK11</f>
        <v>2400</v>
      </c>
      <c r="BE4" s="82">
        <f>'DJB Daily Readings'!EM12-'DJB Daily Readings'!EM11</f>
        <v>700</v>
      </c>
      <c r="BF4" s="82">
        <f>'DJB Daily Readings'!EO12-'DJB Daily Readings'!EO11</f>
        <v>890</v>
      </c>
      <c r="BG4" s="82">
        <f>('DJB Daily Readings'!ET12-'DJB Daily Readings'!ET11)*1.89</f>
        <v>28.349999999999998</v>
      </c>
      <c r="BH4" s="82">
        <f>('DJB Daily Readings'!EV12-'DJB Daily Readings'!EV11)*1.89</f>
        <v>22.68</v>
      </c>
      <c r="BI4" s="82">
        <f>('DJB Daily Readings'!EZ12-'DJB Daily Readings'!EZ11)*1.89</f>
        <v>26.459999999999997</v>
      </c>
      <c r="BJ4" s="82">
        <f>('DJB Daily Readings'!EX12-'DJB Daily Readings'!EX11)*1.89</f>
        <v>20.79</v>
      </c>
      <c r="BK4" s="82">
        <f>('DJB Daily Readings'!FB12-'DJB Daily Readings'!FB11)*1.89</f>
        <v>60.48</v>
      </c>
    </row>
    <row r="5" spans="1:65" x14ac:dyDescent="0.25">
      <c r="A5" t="s">
        <v>59</v>
      </c>
      <c r="B5">
        <f t="shared" si="0"/>
        <v>4</v>
      </c>
      <c r="C5">
        <v>5</v>
      </c>
      <c r="D5">
        <v>2021</v>
      </c>
      <c r="E5" s="78">
        <f>237*0.88</f>
        <v>208.56</v>
      </c>
      <c r="F5" s="79">
        <f>326+107</f>
        <v>433</v>
      </c>
      <c r="G5" s="3">
        <f>'DJB Daily Readings'!C13-'DJB Daily Readings'!C12</f>
        <v>631</v>
      </c>
      <c r="H5" s="3">
        <f>'DJB Daily Readings'!F13-'DJB Daily Readings'!F12</f>
        <v>390</v>
      </c>
      <c r="I5" s="3">
        <f>'DJB Daily Readings'!K13-'DJB Daily Readings'!K12</f>
        <v>316</v>
      </c>
      <c r="J5" s="3">
        <f>'DJB Daily Readings'!K13-'DJB Daily Readings'!K12</f>
        <v>316</v>
      </c>
      <c r="K5" s="3">
        <f>'DJB Daily Readings'!O13-'DJB Daily Readings'!O12</f>
        <v>171.14000000000033</v>
      </c>
      <c r="L5" s="3">
        <f>'DJB Daily Readings'!R13-'DJB Daily Readings'!R12</f>
        <v>38</v>
      </c>
      <c r="M5" s="3">
        <f>'DJB Daily Readings'!U13-'DJB Daily Readings'!U12</f>
        <v>1948.8000000007451</v>
      </c>
      <c r="N5" s="3">
        <f>'DJB Daily Readings'!X13-'DJB Daily Readings'!X12</f>
        <v>4774.5600000005215</v>
      </c>
      <c r="O5" s="3">
        <f>'DJB Daily Readings'!AA13-'DJB Daily Readings'!AA12</f>
        <v>10474.800000000745</v>
      </c>
      <c r="P5" s="3">
        <f>'DJB Daily Readings'!AD13-'DJB Daily Readings'!AD12</f>
        <v>1120.5599999986589</v>
      </c>
      <c r="Q5" s="3">
        <f>'DJB Daily Readings'!AG13-'DJB Daily Readings'!AG12</f>
        <v>5310.480000000447</v>
      </c>
      <c r="R5" s="3">
        <f>'DJB Daily Readings'!AJ13-'DJB Daily Readings'!AJ12</f>
        <v>5310.480000000447</v>
      </c>
      <c r="S5" s="3">
        <f>'DJB Daily Readings'!AM13-'DJB Daily Readings'!AM12</f>
        <v>4628.4000000003725</v>
      </c>
      <c r="T5" s="3">
        <f>'DJB Daily Readings'!AP13-'DJB Daily Readings'!AP12</f>
        <v>4189.9199999980628</v>
      </c>
      <c r="U5" s="3">
        <f>'DJB Daily Readings'!AS13-'DJB Daily Readings'!AS12</f>
        <v>6833.980000000447</v>
      </c>
      <c r="V5" s="3">
        <f>'DJB Daily Readings'!AV13-'DJB Daily Readings'!AV12</f>
        <v>5456.640000000596</v>
      </c>
      <c r="W5" s="3">
        <f>'DJB Daily Readings'!AZ13-'DJB Daily Readings'!AZ12</f>
        <v>53600</v>
      </c>
      <c r="X5" s="3">
        <f>'DJB Daily Readings'!BC13-'DJB Daily Readings'!BC12</f>
        <v>0</v>
      </c>
      <c r="Y5" s="3">
        <f>'DJB Daily Readings'!BF13-'DJB Daily Readings'!BF12</f>
        <v>25200</v>
      </c>
      <c r="Z5" s="3">
        <f>('DJB Daily Readings'!CK13-'DJB Daily Readings'!CK12)*1.89</f>
        <v>194.82119999997579</v>
      </c>
      <c r="AA5" s="3">
        <f>('DJB Daily Readings'!CN13-'DJB Daily Readings'!CN12)*1.89</f>
        <v>183.32999999999998</v>
      </c>
      <c r="AB5" s="3">
        <f>('DJB Daily Readings'!CQ13-'DJB Daily Readings'!CQ12)*1.89</f>
        <v>0</v>
      </c>
      <c r="AC5" s="3">
        <f>'DJB Daily Readings'!CT13-'DJB Daily Readings'!CT12</f>
        <v>285</v>
      </c>
      <c r="AD5" s="84">
        <f>('DJB Daily Readings'!BY13-'DJB Daily Readings'!BY12)*1.89</f>
        <v>34.019999999999996</v>
      </c>
      <c r="AE5" s="84">
        <f>('DJB Daily Readings'!CA13-'DJB Daily Readings'!CA12)*1.89</f>
        <v>22.68</v>
      </c>
      <c r="AF5" s="84">
        <f>('DJB Daily Readings'!CC13-'DJB Daily Readings'!CC12)*1.89</f>
        <v>9.4499999999999993</v>
      </c>
      <c r="AG5" s="84">
        <f>('DJB Daily Readings'!CE13-'DJB Daily Readings'!CE12)*1.89</f>
        <v>18.899999999999999</v>
      </c>
      <c r="AH5" s="84">
        <f>('DJB Daily Readings'!CG13-'DJB Daily Readings'!CG12)*1.89</f>
        <v>18.899999999999999</v>
      </c>
      <c r="AI5" s="84">
        <f>('DJB Daily Readings'!CI13-'DJB Daily Readings'!CI12)*1.89</f>
        <v>58.589999999999996</v>
      </c>
      <c r="AJ5" s="81">
        <f>'DJB Daily Readings'!CY13-'DJB Daily Readings'!CY12</f>
        <v>3</v>
      </c>
      <c r="AK5" s="81">
        <f>'DJB Daily Readings'!CW13-'DJB Daily Readings'!CW12</f>
        <v>1</v>
      </c>
      <c r="AL5" s="82">
        <f>'DJB Daily Readings'!DC13-'DJB Daily Readings'!DC12</f>
        <v>7.0999999999985448</v>
      </c>
      <c r="AM5" s="82">
        <f>'DJB Daily Readings'!DA13-'DJB Daily Readings'!DA12</f>
        <v>12.5</v>
      </c>
      <c r="AN5" s="82">
        <f>'DJB Daily Readings'!DG13-'DJB Daily Readings'!DG12</f>
        <v>4.5999999999985448</v>
      </c>
      <c r="AO5" s="82">
        <f>'DJB Daily Readings'!DE13-'DJB Daily Readings'!DE12</f>
        <v>5.4000000000014552</v>
      </c>
      <c r="AP5" s="82">
        <f>'DJB Daily Readings'!DK13-'DJB Daily Readings'!DK12</f>
        <v>14</v>
      </c>
      <c r="AQ5" s="82">
        <f>'DJB Daily Readings'!DI13-'DJB Daily Readings'!DI12</f>
        <v>6</v>
      </c>
      <c r="AR5" s="82">
        <f>'DJB Daily Readings'!DO13-'DJB Daily Readings'!DO12</f>
        <v>6</v>
      </c>
      <c r="AS5" s="82">
        <f>'DJB Daily Readings'!DM13-'DJB Daily Readings'!DM12</f>
        <v>0</v>
      </c>
      <c r="AT5" s="82">
        <f>'DJB Daily Readings'!DQ13-'DJB Daily Readings'!DQ12</f>
        <v>21</v>
      </c>
      <c r="AU5" s="82">
        <f>'DJB Daily Readings'!DT13-'DJB Daily Readings'!DT12</f>
        <v>7.2000000000000455</v>
      </c>
      <c r="AW5" s="82">
        <f>'DJB Daily Readings'!DX13-'DJB Daily Readings'!DX12</f>
        <v>5.3999999999999773</v>
      </c>
      <c r="AX5" s="82">
        <f>'DJB Daily Readings'!DZ13-'DJB Daily Readings'!DZ12</f>
        <v>4.3999999999999773</v>
      </c>
      <c r="AY5" s="82">
        <f>'DJB Daily Readings'!EB13-'DJB Daily Readings'!EB12</f>
        <v>800</v>
      </c>
      <c r="AZ5" s="82">
        <f>'DJB Daily Readings'!ED13-'DJB Daily Readings'!ED12</f>
        <v>159.09999999997672</v>
      </c>
      <c r="BA5" s="82">
        <f>'DJB Daily Readings'!EG13-'DJB Daily Readings'!EG12</f>
        <v>3000</v>
      </c>
      <c r="BB5" s="82">
        <f>'DJB Daily Readings'!EI13-'DJB Daily Readings'!EI12</f>
        <v>400</v>
      </c>
      <c r="BC5" s="82">
        <f>'DJB Daily Readings'!EQ13-'DJB Daily Readings'!EQ12</f>
        <v>3800</v>
      </c>
      <c r="BD5" s="82">
        <f>'DJB Daily Readings'!EK13-'DJB Daily Readings'!EK12</f>
        <v>2800</v>
      </c>
      <c r="BE5" s="82">
        <f>'DJB Daily Readings'!EM13-'DJB Daily Readings'!EM12</f>
        <v>700</v>
      </c>
      <c r="BF5" s="82">
        <f>'DJB Daily Readings'!EO13-'DJB Daily Readings'!EO12</f>
        <v>1050</v>
      </c>
      <c r="BG5" s="82">
        <f>('DJB Daily Readings'!ET13-'DJB Daily Readings'!ET12)*1.89</f>
        <v>28.349999999999998</v>
      </c>
      <c r="BH5" s="82">
        <f>('DJB Daily Readings'!EV13-'DJB Daily Readings'!EV12)*1.89</f>
        <v>18.899999999999999</v>
      </c>
      <c r="BI5" s="82">
        <f>('DJB Daily Readings'!EZ13-'DJB Daily Readings'!EZ12)*1.89</f>
        <v>24.57</v>
      </c>
      <c r="BJ5" s="82">
        <f>('DJB Daily Readings'!EX13-'DJB Daily Readings'!EX12)*1.89</f>
        <v>20.79</v>
      </c>
      <c r="BK5" s="82">
        <f>('DJB Daily Readings'!FB13-'DJB Daily Readings'!FB12)*1.89</f>
        <v>56.699999999999996</v>
      </c>
      <c r="BL5" s="82"/>
      <c r="BM5" s="82"/>
    </row>
    <row r="6" spans="1:65" x14ac:dyDescent="0.25">
      <c r="A6" t="s">
        <v>59</v>
      </c>
      <c r="B6">
        <f t="shared" si="0"/>
        <v>5</v>
      </c>
      <c r="C6">
        <v>5</v>
      </c>
      <c r="D6">
        <v>2021</v>
      </c>
      <c r="E6" s="78">
        <f>237*0.78</f>
        <v>184.86</v>
      </c>
      <c r="F6" s="79">
        <f>307+96</f>
        <v>403</v>
      </c>
      <c r="G6" s="3">
        <f>'DJB Daily Readings'!C14-'DJB Daily Readings'!C13</f>
        <v>677</v>
      </c>
      <c r="H6" s="3">
        <f>'DJB Daily Readings'!F14-'DJB Daily Readings'!F13</f>
        <v>427</v>
      </c>
      <c r="I6" s="3">
        <f>'DJB Daily Readings'!K14-'DJB Daily Readings'!K13</f>
        <v>252</v>
      </c>
      <c r="J6" s="3">
        <f>'DJB Daily Readings'!K14-'DJB Daily Readings'!K13</f>
        <v>252</v>
      </c>
      <c r="K6" s="3">
        <f>'DJB Daily Readings'!O14-'DJB Daily Readings'!O13</f>
        <v>180.76000000000022</v>
      </c>
      <c r="L6" s="3">
        <f>'DJB Daily Readings'!R14-'DJB Daily Readings'!R13</f>
        <v>37</v>
      </c>
      <c r="M6" s="3">
        <f>'DJB Daily Readings'!U14-'DJB Daily Readings'!U13</f>
        <v>1900.0799999991432</v>
      </c>
      <c r="N6" s="3">
        <f>'DJB Daily Readings'!X14-'DJB Daily Readings'!X13</f>
        <v>4677.1200000010431</v>
      </c>
      <c r="O6" s="3">
        <f>'DJB Daily Readings'!AA14-'DJB Daily Readings'!AA13</f>
        <v>11351.759999999776</v>
      </c>
      <c r="P6" s="3">
        <f>'DJB Daily Readings'!AD14-'DJB Daily Readings'!AD13</f>
        <v>1364.160000000149</v>
      </c>
      <c r="Q6" s="3">
        <f>'DJB Daily Readings'!AG14-'DJB Daily Readings'!AG13</f>
        <v>6918.2399999983609</v>
      </c>
      <c r="R6" s="3">
        <f>'DJB Daily Readings'!AJ14-'DJB Daily Readings'!AJ13</f>
        <v>5261.7599999997765</v>
      </c>
      <c r="S6" s="3">
        <f>'DJB Daily Readings'!AM14-'DJB Daily Readings'!AM13</f>
        <v>4579.679999999702</v>
      </c>
      <c r="T6" s="3">
        <f>'DJB Daily Readings'!AP14-'DJB Daily Readings'!AP13</f>
        <v>4238.640000000596</v>
      </c>
      <c r="U6" s="3">
        <f>'DJB Daily Readings'!AS14-'DJB Daily Readings'!AS13</f>
        <v>2874.4799999985844</v>
      </c>
      <c r="V6" s="3">
        <f>'DJB Daily Readings'!AV14-'DJB Daily Readings'!AV13</f>
        <v>5359.1999999992549</v>
      </c>
      <c r="W6" s="3">
        <f>'DJB Daily Readings'!AZ14-'DJB Daily Readings'!AZ13</f>
        <v>59800</v>
      </c>
      <c r="X6" s="3">
        <f>'DJB Daily Readings'!BC14-'DJB Daily Readings'!BC13</f>
        <v>0</v>
      </c>
      <c r="Y6" s="3">
        <f>'DJB Daily Readings'!BF14-'DJB Daily Readings'!BF13</f>
        <v>33400</v>
      </c>
      <c r="Z6" s="3">
        <f>('DJB Daily Readings'!CK14-'DJB Daily Readings'!CK13)*1.89</f>
        <v>192.78</v>
      </c>
      <c r="AA6" s="3">
        <f>('DJB Daily Readings'!CN14-'DJB Daily Readings'!CN13)*1.89</f>
        <v>177.66</v>
      </c>
      <c r="AB6" s="3">
        <f>('DJB Daily Readings'!CQ14-'DJB Daily Readings'!CQ13)*1.89</f>
        <v>0</v>
      </c>
      <c r="AC6" s="3">
        <f>'DJB Daily Readings'!CT14-'DJB Daily Readings'!CT13</f>
        <v>274</v>
      </c>
      <c r="AD6" s="84">
        <f>('DJB Daily Readings'!BY14-'DJB Daily Readings'!BY13)*1.89</f>
        <v>32.129999999999995</v>
      </c>
      <c r="AE6" s="84">
        <f>('DJB Daily Readings'!CA14-'DJB Daily Readings'!CA13)*1.89</f>
        <v>28.349999999999998</v>
      </c>
      <c r="AF6" s="84">
        <f>('DJB Daily Readings'!CC14-'DJB Daily Readings'!CC13)*1.89</f>
        <v>11.34</v>
      </c>
      <c r="AG6" s="84">
        <f>('DJB Daily Readings'!CE14-'DJB Daily Readings'!CE13)*1.89</f>
        <v>17.009999999999998</v>
      </c>
      <c r="AH6" s="84">
        <f>('DJB Daily Readings'!CG14-'DJB Daily Readings'!CG13)*1.89</f>
        <v>20.79</v>
      </c>
      <c r="AI6" s="84">
        <f>('DJB Daily Readings'!CI14-'DJB Daily Readings'!CI13)*1.89</f>
        <v>43.47</v>
      </c>
      <c r="AJ6" s="81">
        <f>'DJB Daily Readings'!CY14-'DJB Daily Readings'!CY13</f>
        <v>4</v>
      </c>
      <c r="AK6" s="81">
        <f>'DJB Daily Readings'!CW14-'DJB Daily Readings'!CW13</f>
        <v>5</v>
      </c>
      <c r="AL6" s="82">
        <f>'DJB Daily Readings'!DC14-'DJB Daily Readings'!DC13</f>
        <v>4.2999999999992724</v>
      </c>
      <c r="AM6" s="82">
        <f>'DJB Daily Readings'!DA14-'DJB Daily Readings'!DA13</f>
        <v>12.899999999997817</v>
      </c>
      <c r="AN6" s="82">
        <f>'DJB Daily Readings'!DG14-'DJB Daily Readings'!DG13</f>
        <v>9.7999999999992724</v>
      </c>
      <c r="AO6" s="82">
        <f>'DJB Daily Readings'!DE14-'DJB Daily Readings'!DE13</f>
        <v>8.5999999999985448</v>
      </c>
      <c r="AP6" s="82">
        <f>'DJB Daily Readings'!DK14-'DJB Daily Readings'!DK13</f>
        <v>15</v>
      </c>
      <c r="AQ6" s="82">
        <f>'DJB Daily Readings'!DI14-'DJB Daily Readings'!DI13</f>
        <v>6</v>
      </c>
      <c r="AR6" s="82">
        <f>'DJB Daily Readings'!DO14-'DJB Daily Readings'!DO13</f>
        <v>6</v>
      </c>
      <c r="AS6" s="82">
        <f>'DJB Daily Readings'!DM14-'DJB Daily Readings'!DM13</f>
        <v>0</v>
      </c>
      <c r="AT6" s="82">
        <f>'DJB Daily Readings'!DQ14-'DJB Daily Readings'!DQ13</f>
        <v>19</v>
      </c>
      <c r="AU6" s="82">
        <f>'DJB Daily Readings'!DT14-'DJB Daily Readings'!DT13</f>
        <v>6.8999999999998636</v>
      </c>
      <c r="AW6" s="82">
        <f>'DJB Daily Readings'!DX14-'DJB Daily Readings'!DX13</f>
        <v>5.2999999999999545</v>
      </c>
      <c r="AX6" s="82">
        <f>'DJB Daily Readings'!DZ14-'DJB Daily Readings'!DZ13</f>
        <v>4.6000000000000227</v>
      </c>
      <c r="AY6" s="82">
        <f>'DJB Daily Readings'!EB14-'DJB Daily Readings'!EB13</f>
        <v>708</v>
      </c>
      <c r="AZ6" s="82">
        <f>'DJB Daily Readings'!ED14-'DJB Daily Readings'!ED13</f>
        <v>159.20000000001164</v>
      </c>
      <c r="BA6" s="82">
        <f>'DJB Daily Readings'!EG14-'DJB Daily Readings'!EG13</f>
        <v>3100</v>
      </c>
      <c r="BB6" s="82">
        <f>'DJB Daily Readings'!EI14-'DJB Daily Readings'!EI13</f>
        <v>410</v>
      </c>
      <c r="BC6" s="82">
        <f>'DJB Daily Readings'!EQ14-'DJB Daily Readings'!EQ13</f>
        <v>6800</v>
      </c>
      <c r="BD6" s="82">
        <f>'DJB Daily Readings'!EK14-'DJB Daily Readings'!EK13</f>
        <v>3000</v>
      </c>
      <c r="BE6" s="82">
        <f>'DJB Daily Readings'!EM14-'DJB Daily Readings'!EM13</f>
        <v>800</v>
      </c>
      <c r="BF6" s="82">
        <f>'DJB Daily Readings'!EO14-'DJB Daily Readings'!EO13</f>
        <v>1000</v>
      </c>
      <c r="BG6" s="82">
        <f>('DJB Daily Readings'!ET14-'DJB Daily Readings'!ET13)*1.89</f>
        <v>28.349999999999998</v>
      </c>
      <c r="BH6" s="82">
        <f>('DJB Daily Readings'!EV14-'DJB Daily Readings'!EV13)*1.89</f>
        <v>20.79</v>
      </c>
      <c r="BI6" s="82">
        <f>('DJB Daily Readings'!EZ14-'DJB Daily Readings'!EZ13)*1.89</f>
        <v>30.24</v>
      </c>
      <c r="BJ6" s="82">
        <f>('DJB Daily Readings'!EX14-'DJB Daily Readings'!EX13)*1.89</f>
        <v>20.79</v>
      </c>
      <c r="BK6" s="82">
        <f>('DJB Daily Readings'!FB14-'DJB Daily Readings'!FB13)*1.89</f>
        <v>47.25</v>
      </c>
    </row>
    <row r="7" spans="1:65" x14ac:dyDescent="0.25">
      <c r="A7" t="s">
        <v>59</v>
      </c>
      <c r="B7">
        <f t="shared" si="0"/>
        <v>6</v>
      </c>
      <c r="C7">
        <v>5</v>
      </c>
      <c r="D7">
        <v>2021</v>
      </c>
      <c r="E7" s="78">
        <f>237*0.75</f>
        <v>177.75</v>
      </c>
      <c r="F7" s="79">
        <f>302+94</f>
        <v>396</v>
      </c>
      <c r="G7" s="3">
        <f>'DJB Daily Readings'!C15-'DJB Daily Readings'!C14</f>
        <v>635</v>
      </c>
      <c r="H7" s="3">
        <f>'DJB Daily Readings'!F15-'DJB Daily Readings'!F14</f>
        <v>384</v>
      </c>
      <c r="I7" s="3">
        <f>'DJB Daily Readings'!K15-'DJB Daily Readings'!K14</f>
        <v>216</v>
      </c>
      <c r="J7" s="3">
        <f>'DJB Daily Readings'!K15-'DJB Daily Readings'!K14</f>
        <v>216</v>
      </c>
      <c r="K7" s="3">
        <f>'DJB Daily Readings'!O15-'DJB Daily Readings'!O14</f>
        <v>189.76999999999953</v>
      </c>
      <c r="L7" s="3">
        <f>'DJB Daily Readings'!R15-'DJB Daily Readings'!R14</f>
        <v>38</v>
      </c>
      <c r="M7" s="3">
        <f>'DJB Daily Readings'!U15-'DJB Daily Readings'!U14</f>
        <v>1851.3600000012666</v>
      </c>
      <c r="N7" s="3">
        <f>'DJB Daily Readings'!X15-'DJB Daily Readings'!X14</f>
        <v>4823.2799999993294</v>
      </c>
      <c r="O7" s="3">
        <f>'DJB Daily Readings'!AA15-'DJB Daily Readings'!AA14</f>
        <v>11497.919999999925</v>
      </c>
      <c r="P7" s="3">
        <f>'DJB Daily Readings'!AD15-'DJB Daily Readings'!AD14</f>
        <v>1461.5999999996275</v>
      </c>
      <c r="Q7" s="3">
        <f>'DJB Daily Readings'!AG15-'DJB Daily Readings'!AG14</f>
        <v>8184.9600000008941</v>
      </c>
      <c r="R7" s="3">
        <f>'DJB Daily Readings'!AJ15-'DJB Daily Readings'!AJ14</f>
        <v>5261.7599999997765</v>
      </c>
      <c r="S7" s="3">
        <f>'DJB Daily Readings'!AM15-'DJB Daily Readings'!AM14</f>
        <v>4384.8000000007451</v>
      </c>
      <c r="T7" s="3">
        <f>'DJB Daily Readings'!AP15-'DJB Daily Readings'!AP14</f>
        <v>4336.0800000000745</v>
      </c>
      <c r="U7" s="3">
        <f>'DJB Daily Readings'!AS15-'DJB Daily Readings'!AS14</f>
        <v>3069.3600000012666</v>
      </c>
      <c r="V7" s="3">
        <f>'DJB Daily Readings'!AV15-'DJB Daily Readings'!AV14</f>
        <v>5748.9599999990314</v>
      </c>
      <c r="W7" s="3">
        <f>'DJB Daily Readings'!AZ15-'DJB Daily Readings'!AZ14</f>
        <v>58600</v>
      </c>
      <c r="X7" s="3">
        <f>'DJB Daily Readings'!BC15-'DJB Daily Readings'!BC14</f>
        <v>0</v>
      </c>
      <c r="Y7" s="3">
        <f>'DJB Daily Readings'!BF15-'DJB Daily Readings'!BF14</f>
        <v>40000</v>
      </c>
      <c r="Z7" s="3">
        <f>('DJB Daily Readings'!CK15-'DJB Daily Readings'!CK14)*1.89</f>
        <v>192.78</v>
      </c>
      <c r="AA7" s="3">
        <f>('DJB Daily Readings'!CN15-'DJB Daily Readings'!CN14)*1.89</f>
        <v>190.89</v>
      </c>
      <c r="AB7" s="3">
        <f>('DJB Daily Readings'!CQ15-'DJB Daily Readings'!CQ14)*1.89</f>
        <v>0</v>
      </c>
      <c r="AC7" s="3">
        <f>'DJB Daily Readings'!CT15-'DJB Daily Readings'!CT14</f>
        <v>279</v>
      </c>
      <c r="AD7" s="84">
        <f>('DJB Daily Readings'!BY15-'DJB Daily Readings'!BY14)*1.89</f>
        <v>34.019999999999996</v>
      </c>
      <c r="AE7" s="84">
        <f>('DJB Daily Readings'!CA15-'DJB Daily Readings'!CA14)*1.89</f>
        <v>28.349999999999998</v>
      </c>
      <c r="AF7" s="84">
        <f>('DJB Daily Readings'!CC15-'DJB Daily Readings'!CC14)*1.89</f>
        <v>13.229999999999999</v>
      </c>
      <c r="AG7" s="84">
        <f>('DJB Daily Readings'!CE15-'DJB Daily Readings'!CE14)*1.89</f>
        <v>17.009999999999998</v>
      </c>
      <c r="AH7" s="84">
        <f>('DJB Daily Readings'!CG15-'DJB Daily Readings'!CG14)*1.89</f>
        <v>22.68</v>
      </c>
      <c r="AI7" s="84">
        <f>('DJB Daily Readings'!CI15-'DJB Daily Readings'!CI14)*1.89</f>
        <v>45.36</v>
      </c>
      <c r="AJ7" s="81">
        <f>'DJB Daily Readings'!CY15-'DJB Daily Readings'!CY14</f>
        <v>4</v>
      </c>
      <c r="AK7" s="81">
        <f>'DJB Daily Readings'!CW15-'DJB Daily Readings'!CW14</f>
        <v>6</v>
      </c>
      <c r="AL7" s="82">
        <f>'DJB Daily Readings'!DC15-'DJB Daily Readings'!DC14</f>
        <v>11.200000000000728</v>
      </c>
      <c r="AM7" s="82">
        <f>'DJB Daily Readings'!DA15-'DJB Daily Readings'!DA14</f>
        <v>11.900000000001455</v>
      </c>
      <c r="AN7" s="82">
        <f>'DJB Daily Readings'!DG15-'DJB Daily Readings'!DG14</f>
        <v>8.9000000000014552</v>
      </c>
      <c r="AO7" s="82">
        <f>'DJB Daily Readings'!DE15-'DJB Daily Readings'!DE14</f>
        <v>6.4000000000014552</v>
      </c>
      <c r="AP7" s="82">
        <f>'DJB Daily Readings'!DK15-'DJB Daily Readings'!DK14</f>
        <v>7</v>
      </c>
      <c r="AQ7" s="82">
        <f>'DJB Daily Readings'!DI15-'DJB Daily Readings'!DI14</f>
        <v>7</v>
      </c>
      <c r="AR7" s="82">
        <f>'DJB Daily Readings'!DO15-'DJB Daily Readings'!DO14</f>
        <v>7</v>
      </c>
      <c r="AS7" s="82">
        <f>'DJB Daily Readings'!DM15-'DJB Daily Readings'!DM14</f>
        <v>0</v>
      </c>
      <c r="AT7" s="82">
        <f>'DJB Daily Readings'!DQ15-'DJB Daily Readings'!DQ14</f>
        <v>9</v>
      </c>
      <c r="AU7" s="82">
        <f>'DJB Daily Readings'!DT15-'DJB Daily Readings'!DT14</f>
        <v>9.1000000000001364</v>
      </c>
      <c r="AW7" s="82">
        <f>'DJB Daily Readings'!DX15-'DJB Daily Readings'!DX14</f>
        <v>5.2000000000000455</v>
      </c>
      <c r="AX7" s="82">
        <f>'DJB Daily Readings'!DZ15-'DJB Daily Readings'!DZ14</f>
        <v>4.3999999999999773</v>
      </c>
      <c r="AY7" s="82">
        <f>'DJB Daily Readings'!EB15-'DJB Daily Readings'!EB14</f>
        <v>876</v>
      </c>
      <c r="AZ7" s="82">
        <f>'DJB Daily Readings'!ED15-'DJB Daily Readings'!ED14</f>
        <v>164.70000000001164</v>
      </c>
      <c r="BA7" s="82">
        <f>'DJB Daily Readings'!EG15-'DJB Daily Readings'!EG14</f>
        <v>4200</v>
      </c>
      <c r="BB7" s="82">
        <f>'DJB Daily Readings'!EI15-'DJB Daily Readings'!EI14</f>
        <v>410</v>
      </c>
      <c r="BC7" s="82">
        <f>'DJB Daily Readings'!EQ15-'DJB Daily Readings'!EQ14</f>
        <v>8500</v>
      </c>
      <c r="BD7" s="82">
        <f>'DJB Daily Readings'!EK15-'DJB Daily Readings'!EK14</f>
        <v>3200</v>
      </c>
      <c r="BE7" s="82">
        <f>'DJB Daily Readings'!EM15-'DJB Daily Readings'!EM14</f>
        <v>800</v>
      </c>
      <c r="BF7" s="82">
        <f>'DJB Daily Readings'!EO15-'DJB Daily Readings'!EO14</f>
        <v>980</v>
      </c>
      <c r="BG7" s="82">
        <f>('DJB Daily Readings'!ET15-'DJB Daily Readings'!ET14)*1.89</f>
        <v>28.349999999999998</v>
      </c>
      <c r="BH7" s="82">
        <f>('DJB Daily Readings'!EV15-'DJB Daily Readings'!EV14)*1.89</f>
        <v>18.899999999999999</v>
      </c>
      <c r="BI7" s="82">
        <f>('DJB Daily Readings'!EZ15-'DJB Daily Readings'!EZ14)*1.89</f>
        <v>28.349999999999998</v>
      </c>
      <c r="BJ7" s="82">
        <f>('DJB Daily Readings'!EX15-'DJB Daily Readings'!EX14)*1.89</f>
        <v>24.57</v>
      </c>
      <c r="BK7" s="82">
        <f>('DJB Daily Readings'!FB15-'DJB Daily Readings'!FB14)*1.89</f>
        <v>68.039999999999992</v>
      </c>
    </row>
    <row r="8" spans="1:65" x14ac:dyDescent="0.25">
      <c r="A8" t="s">
        <v>59</v>
      </c>
      <c r="B8">
        <f t="shared" si="0"/>
        <v>7</v>
      </c>
      <c r="C8">
        <v>5</v>
      </c>
      <c r="D8">
        <v>2021</v>
      </c>
      <c r="E8" s="78">
        <f>237*0.77</f>
        <v>182.49</v>
      </c>
      <c r="F8" s="79">
        <f>318+88</f>
        <v>406</v>
      </c>
      <c r="G8" s="3">
        <f>'DJB Daily Readings'!C16-'DJB Daily Readings'!C15</f>
        <v>686</v>
      </c>
      <c r="H8" s="3">
        <f>'DJB Daily Readings'!F16-'DJB Daily Readings'!F15</f>
        <v>420</v>
      </c>
      <c r="I8" s="3">
        <f>'DJB Daily Readings'!K16-'DJB Daily Readings'!K15</f>
        <v>365.59999999997672</v>
      </c>
      <c r="J8" s="3">
        <f>'DJB Daily Readings'!K16-'DJB Daily Readings'!K15</f>
        <v>365.59999999997672</v>
      </c>
      <c r="K8" s="3">
        <f>'DJB Daily Readings'!O16-'DJB Daily Readings'!O15</f>
        <v>185.42000000000007</v>
      </c>
      <c r="L8" s="3">
        <f>'DJB Daily Readings'!R16-'DJB Daily Readings'!R15</f>
        <v>35</v>
      </c>
      <c r="M8" s="3">
        <f>'DJB Daily Readings'!U16-'DJB Daily Readings'!U15</f>
        <v>2046.2399999992922</v>
      </c>
      <c r="N8" s="3">
        <f>'DJB Daily Readings'!X16-'DJB Daily Readings'!X15</f>
        <v>4774.5599999986589</v>
      </c>
      <c r="O8" s="3">
        <f>'DJB Daily Readings'!AA16-'DJB Daily Readings'!AA15</f>
        <v>12082.560000000522</v>
      </c>
      <c r="P8" s="3">
        <f>'DJB Daily Readings'!AD16-'DJB Daily Readings'!AD15</f>
        <v>1412.8800000008196</v>
      </c>
      <c r="Q8" s="3">
        <f>'DJB Daily Readings'!AG16-'DJB Daily Readings'!AG15</f>
        <v>7210.5600000005215</v>
      </c>
      <c r="R8" s="3">
        <f>'DJB Daily Readings'!AJ16-'DJB Daily Readings'!AJ15</f>
        <v>5554.0800000019372</v>
      </c>
      <c r="S8" s="3">
        <f>'DJB Daily Readings'!AM16-'DJB Daily Readings'!AM15</f>
        <v>4628.4000000003725</v>
      </c>
      <c r="T8" s="3">
        <f>'DJB Daily Readings'!AP16-'DJB Daily Readings'!AP15</f>
        <v>4189.9199999999255</v>
      </c>
      <c r="U8" s="3">
        <f>'DJB Daily Readings'!AS16-'DJB Daily Readings'!AS15</f>
        <v>2971.9199999999255</v>
      </c>
      <c r="V8" s="3">
        <f>'DJB Daily Readings'!AV16-'DJB Daily Readings'!AV15</f>
        <v>5748.9600000008941</v>
      </c>
      <c r="W8" s="3">
        <f>'DJB Daily Readings'!AZ16-'DJB Daily Readings'!AZ15</f>
        <v>58900</v>
      </c>
      <c r="X8" s="3">
        <f>'DJB Daily Readings'!BC16-'DJB Daily Readings'!BC15</f>
        <v>0</v>
      </c>
      <c r="Y8" s="3">
        <f>'DJB Daily Readings'!BF16-'DJB Daily Readings'!BF15</f>
        <v>35300</v>
      </c>
      <c r="Z8" s="3">
        <f>('DJB Daily Readings'!CK16-'DJB Daily Readings'!CK15)*1.89</f>
        <v>199.016999999978</v>
      </c>
      <c r="AA8" s="3">
        <f>('DJB Daily Readings'!CN16-'DJB Daily Readings'!CN15)*1.89</f>
        <v>198.45</v>
      </c>
      <c r="AB8" s="3">
        <f>('DJB Daily Readings'!CQ16-'DJB Daily Readings'!CQ15)*1.89</f>
        <v>0</v>
      </c>
      <c r="AC8" s="3">
        <f>'DJB Daily Readings'!CT16-'DJB Daily Readings'!CT15</f>
        <v>289</v>
      </c>
      <c r="AD8" s="84">
        <f>('DJB Daily Readings'!BY16-'DJB Daily Readings'!BY15)*1.89</f>
        <v>37.799999999999997</v>
      </c>
      <c r="AE8" s="84">
        <f>('DJB Daily Readings'!CA16-'DJB Daily Readings'!CA15)*1.89</f>
        <v>28.349999999999998</v>
      </c>
      <c r="AF8" s="84">
        <f>('DJB Daily Readings'!CC16-'DJB Daily Readings'!CC15)*1.89</f>
        <v>11.34</v>
      </c>
      <c r="AG8" s="84">
        <f>('DJB Daily Readings'!CE16-'DJB Daily Readings'!CE15)*1.89</f>
        <v>20.79</v>
      </c>
      <c r="AH8" s="84">
        <f>('DJB Daily Readings'!CG16-'DJB Daily Readings'!CG15)*1.89</f>
        <v>26.459999999999997</v>
      </c>
      <c r="AI8" s="84">
        <f>('DJB Daily Readings'!CI16-'DJB Daily Readings'!CI15)*1.89</f>
        <v>47.25</v>
      </c>
      <c r="AJ8" s="81">
        <f>'DJB Daily Readings'!CY16-'DJB Daily Readings'!CY15</f>
        <v>5</v>
      </c>
      <c r="AK8" s="81">
        <f>'DJB Daily Readings'!CW16-'DJB Daily Readings'!CW15</f>
        <v>6</v>
      </c>
      <c r="AL8" s="82">
        <f>'DJB Daily Readings'!DC16-'DJB Daily Readings'!DC15</f>
        <v>8.9000000000014552</v>
      </c>
      <c r="AM8" s="82">
        <f>'DJB Daily Readings'!DA16-'DJB Daily Readings'!DA15</f>
        <v>12.799999999999272</v>
      </c>
      <c r="AN8" s="82">
        <f>'DJB Daily Readings'!DG16-'DJB Daily Readings'!DG15</f>
        <v>9.0999999999985448</v>
      </c>
      <c r="AO8" s="82">
        <f>'DJB Daily Readings'!DE16-'DJB Daily Readings'!DE15</f>
        <v>7.7000000000007276</v>
      </c>
      <c r="AP8" s="82">
        <f>'DJB Daily Readings'!DK16-'DJB Daily Readings'!DK15</f>
        <v>25</v>
      </c>
      <c r="AQ8" s="82">
        <f>'DJB Daily Readings'!DI16-'DJB Daily Readings'!DI15</f>
        <v>6</v>
      </c>
      <c r="AR8" s="82">
        <f>'DJB Daily Readings'!DO16-'DJB Daily Readings'!DO15</f>
        <v>6</v>
      </c>
      <c r="AS8" s="82">
        <f>'DJB Daily Readings'!DM16-'DJB Daily Readings'!DM15</f>
        <v>0</v>
      </c>
      <c r="AT8" s="82">
        <f>'DJB Daily Readings'!DQ16-'DJB Daily Readings'!DQ15</f>
        <v>25</v>
      </c>
      <c r="AU8" s="82">
        <f>'DJB Daily Readings'!DT16-'DJB Daily Readings'!DT15</f>
        <v>9.2000000000000455</v>
      </c>
      <c r="AW8" s="82">
        <f>'DJB Daily Readings'!DX16-'DJB Daily Readings'!DX15</f>
        <v>5.7999999999999545</v>
      </c>
      <c r="AX8" s="82">
        <f>'DJB Daily Readings'!DZ16-'DJB Daily Readings'!DZ15</f>
        <v>5.8000000000000114</v>
      </c>
      <c r="AY8" s="82">
        <f>'DJB Daily Readings'!EB16-'DJB Daily Readings'!EB15</f>
        <v>855</v>
      </c>
      <c r="AZ8" s="82">
        <f>'DJB Daily Readings'!ED16-'DJB Daily Readings'!ED15</f>
        <v>178.29999999998836</v>
      </c>
      <c r="BA8" s="82">
        <f>'DJB Daily Readings'!EG16-'DJB Daily Readings'!EG15</f>
        <v>3300</v>
      </c>
      <c r="BB8" s="82">
        <f>'DJB Daily Readings'!EI16-'DJB Daily Readings'!EI15</f>
        <v>400</v>
      </c>
      <c r="BC8" s="82">
        <f>'DJB Daily Readings'!EQ16-'DJB Daily Readings'!EQ15</f>
        <v>5000</v>
      </c>
      <c r="BD8" s="82">
        <f>'DJB Daily Readings'!EK16-'DJB Daily Readings'!EK15</f>
        <v>3100</v>
      </c>
      <c r="BE8" s="82">
        <f>'DJB Daily Readings'!EM16-'DJB Daily Readings'!EM15</f>
        <v>800</v>
      </c>
      <c r="BF8" s="82">
        <f>'DJB Daily Readings'!EO16-'DJB Daily Readings'!EO15</f>
        <v>1000</v>
      </c>
      <c r="BG8" s="82">
        <f>('DJB Daily Readings'!ET16-'DJB Daily Readings'!ET15)*1.89</f>
        <v>30.24</v>
      </c>
      <c r="BH8" s="82">
        <f>('DJB Daily Readings'!EV16-'DJB Daily Readings'!EV15)*1.89</f>
        <v>26.459999999999997</v>
      </c>
      <c r="BI8" s="82">
        <f>('DJB Daily Readings'!EZ16-'DJB Daily Readings'!EZ15)*1.89</f>
        <v>30.24</v>
      </c>
      <c r="BJ8" s="82">
        <f>('DJB Daily Readings'!EX16-'DJB Daily Readings'!EX15)*1.89</f>
        <v>32.129999999999995</v>
      </c>
      <c r="BK8" s="82">
        <f>('DJB Daily Readings'!FB16-'DJB Daily Readings'!FB15)*1.89</f>
        <v>60.48</v>
      </c>
    </row>
    <row r="9" spans="1:65" x14ac:dyDescent="0.25">
      <c r="A9" t="s">
        <v>59</v>
      </c>
      <c r="B9">
        <f t="shared" si="0"/>
        <v>8</v>
      </c>
      <c r="C9">
        <v>5</v>
      </c>
      <c r="D9">
        <v>2021</v>
      </c>
      <c r="E9" s="78">
        <f>237*0.77</f>
        <v>182.49</v>
      </c>
      <c r="F9" s="79">
        <f>322+77</f>
        <v>399</v>
      </c>
      <c r="G9" s="3">
        <f>'DJB Daily Readings'!C17-'DJB Daily Readings'!C16</f>
        <v>577</v>
      </c>
      <c r="H9" s="3">
        <f>'DJB Daily Readings'!F17-'DJB Daily Readings'!F16</f>
        <v>363</v>
      </c>
      <c r="I9" s="3">
        <f>'DJB Daily Readings'!K17-'DJB Daily Readings'!K16</f>
        <v>190.40000000002328</v>
      </c>
      <c r="J9" s="3">
        <f>'DJB Daily Readings'!K17-'DJB Daily Readings'!K16</f>
        <v>190.40000000002328</v>
      </c>
      <c r="K9" s="3">
        <f>'DJB Daily Readings'!O17-'DJB Daily Readings'!O16</f>
        <v>178.17000000000007</v>
      </c>
      <c r="L9" s="3">
        <f>'DJB Daily Readings'!R17-'DJB Daily Readings'!R16</f>
        <v>32</v>
      </c>
      <c r="M9" s="3">
        <f>'DJB Daily Readings'!U17-'DJB Daily Readings'!U16</f>
        <v>1802.640000000596</v>
      </c>
      <c r="N9" s="3">
        <f>'DJB Daily Readings'!X17-'DJB Daily Readings'!X16</f>
        <v>4677.1200000010431</v>
      </c>
      <c r="O9" s="3">
        <f>'DJB Daily Readings'!AA17-'DJB Daily Readings'!AA16</f>
        <v>7015.679999999702</v>
      </c>
      <c r="P9" s="3">
        <f>'DJB Daily Readings'!AD17-'DJB Daily Readings'!AD16</f>
        <v>9549.1199999991804</v>
      </c>
      <c r="Q9" s="3">
        <f>'DJB Daily Readings'!AG17-'DJB Daily Readings'!AG16</f>
        <v>1169.2799999993294</v>
      </c>
      <c r="R9" s="3">
        <f>'DJB Daily Readings'!AJ17-'DJB Daily Readings'!AJ16</f>
        <v>5115.5999999996275</v>
      </c>
      <c r="S9" s="3">
        <f>'DJB Daily Readings'!AM17-'DJB Daily Readings'!AM16</f>
        <v>4384.7999999988824</v>
      </c>
      <c r="T9" s="3">
        <f>'DJB Daily Readings'!AP17-'DJB Daily Readings'!AP16</f>
        <v>3848.8800000008196</v>
      </c>
      <c r="U9" s="3">
        <f>'DJB Daily Readings'!AS17-'DJB Daily Readings'!AS16</f>
        <v>2777.0400000009686</v>
      </c>
      <c r="V9" s="3">
        <f>'DJB Daily Readings'!AV17-'DJB Daily Readings'!AV16</f>
        <v>5505.359999999404</v>
      </c>
      <c r="W9" s="3">
        <f>'DJB Daily Readings'!AZ17-'DJB Daily Readings'!AZ16</f>
        <v>40600</v>
      </c>
      <c r="X9" s="3">
        <f>'DJB Daily Readings'!BC17-'DJB Daily Readings'!BC16</f>
        <v>48300</v>
      </c>
      <c r="Y9" s="3">
        <f>'DJB Daily Readings'!BF17-'DJB Daily Readings'!BF16</f>
        <v>0</v>
      </c>
      <c r="Z9" s="3">
        <f>('DJB Daily Readings'!CK17-'DJB Daily Readings'!CK16)*1.89</f>
        <v>184.65300000002199</v>
      </c>
      <c r="AA9" s="3">
        <f>('DJB Daily Readings'!CN17-'DJB Daily Readings'!CN16)*1.89</f>
        <v>171.98999999999998</v>
      </c>
      <c r="AB9" s="3">
        <f>('DJB Daily Readings'!CQ17-'DJB Daily Readings'!CQ16)*1.89</f>
        <v>0</v>
      </c>
      <c r="AC9" s="3">
        <f>'DJB Daily Readings'!CT17-'DJB Daily Readings'!CT16</f>
        <v>222</v>
      </c>
      <c r="AD9" s="84">
        <f>('DJB Daily Readings'!BY17-'DJB Daily Readings'!BY16)*1.89</f>
        <v>24.57</v>
      </c>
      <c r="AE9" s="84">
        <f>('DJB Daily Readings'!CA17-'DJB Daily Readings'!CA16)*1.89</f>
        <v>24.57</v>
      </c>
      <c r="AF9" s="84">
        <f>('DJB Daily Readings'!CC17-'DJB Daily Readings'!CC16)*1.89</f>
        <v>11.34</v>
      </c>
      <c r="AG9" s="84">
        <f>('DJB Daily Readings'!CE17-'DJB Daily Readings'!CE16)*1.89</f>
        <v>17.009999999999998</v>
      </c>
      <c r="AH9" s="84">
        <f>('DJB Daily Readings'!CG17-'DJB Daily Readings'!CG16)*1.89</f>
        <v>24.57</v>
      </c>
      <c r="AI9" s="84">
        <f>('DJB Daily Readings'!CI17-'DJB Daily Readings'!CI16)*1.89</f>
        <v>45.36</v>
      </c>
      <c r="AJ9" s="81">
        <f>'DJB Daily Readings'!CY17-'DJB Daily Readings'!CY16</f>
        <v>3</v>
      </c>
      <c r="AK9" s="81">
        <f>'DJB Daily Readings'!CW17-'DJB Daily Readings'!CW16</f>
        <v>4</v>
      </c>
      <c r="AL9" s="82">
        <f>'DJB Daily Readings'!DC17-'DJB Daily Readings'!DC16</f>
        <v>7</v>
      </c>
      <c r="AM9" s="82">
        <f>'DJB Daily Readings'!DA17-'DJB Daily Readings'!DA16</f>
        <v>12.599999999998545</v>
      </c>
      <c r="AN9" s="82">
        <f>'DJB Daily Readings'!DG17-'DJB Daily Readings'!DG16</f>
        <v>5.6000000000021828</v>
      </c>
      <c r="AO9" s="82">
        <f>'DJB Daily Readings'!DE17-'DJB Daily Readings'!DE16</f>
        <v>6.2999999999992724</v>
      </c>
      <c r="AP9" s="82">
        <f>'DJB Daily Readings'!DK17-'DJB Daily Readings'!DK16</f>
        <v>14</v>
      </c>
      <c r="AQ9" s="82">
        <f>'DJB Daily Readings'!DI17-'DJB Daily Readings'!DI16</f>
        <v>5</v>
      </c>
      <c r="AR9" s="82">
        <f>'DJB Daily Readings'!DO17-'DJB Daily Readings'!DO16</f>
        <v>5</v>
      </c>
      <c r="AS9" s="82">
        <f>'DJB Daily Readings'!DM17-'DJB Daily Readings'!DM16</f>
        <v>0</v>
      </c>
      <c r="AT9" s="82">
        <f>'DJB Daily Readings'!DQ17-'DJB Daily Readings'!DQ16</f>
        <v>9</v>
      </c>
      <c r="AU9" s="82">
        <f>'DJB Daily Readings'!DT17-'DJB Daily Readings'!DT16</f>
        <v>7.5999999999999091</v>
      </c>
      <c r="AW9" s="82">
        <f>'DJB Daily Readings'!DX17-'DJB Daily Readings'!DX16</f>
        <v>5</v>
      </c>
      <c r="AX9" s="82">
        <f>'DJB Daily Readings'!DZ17-'DJB Daily Readings'!DZ16</f>
        <v>4.3000000000000114</v>
      </c>
      <c r="AY9" s="82">
        <f>'DJB Daily Readings'!EB17-'DJB Daily Readings'!EB16</f>
        <v>593</v>
      </c>
      <c r="AZ9" s="82">
        <f>'DJB Daily Readings'!ED17-'DJB Daily Readings'!ED16</f>
        <v>145.10000000000582</v>
      </c>
      <c r="BA9" s="82">
        <f>'DJB Daily Readings'!EG17-'DJB Daily Readings'!EG16</f>
        <v>5400</v>
      </c>
      <c r="BB9" s="82">
        <f>'DJB Daily Readings'!EI17-'DJB Daily Readings'!EI16</f>
        <v>300</v>
      </c>
      <c r="BC9" s="82">
        <f>'DJB Daily Readings'!EQ17-'DJB Daily Readings'!EQ16</f>
        <v>7700</v>
      </c>
      <c r="BD9" s="82">
        <f>'DJB Daily Readings'!EK17-'DJB Daily Readings'!EK16</f>
        <v>2000</v>
      </c>
      <c r="BE9" s="82">
        <f>'DJB Daily Readings'!EM17-'DJB Daily Readings'!EM16</f>
        <v>800</v>
      </c>
      <c r="BF9" s="82">
        <f>'DJB Daily Readings'!EO17-'DJB Daily Readings'!EO16</f>
        <v>970</v>
      </c>
      <c r="BG9" s="82">
        <f>('DJB Daily Readings'!ET17-'DJB Daily Readings'!ET16)*1.89</f>
        <v>22.68</v>
      </c>
      <c r="BH9" s="82">
        <f>('DJB Daily Readings'!EV17-'DJB Daily Readings'!EV16)*1.89</f>
        <v>15.12</v>
      </c>
      <c r="BI9" s="82">
        <f>('DJB Daily Readings'!EZ17-'DJB Daily Readings'!EZ16)*1.89</f>
        <v>24.57</v>
      </c>
      <c r="BJ9" s="82">
        <f>('DJB Daily Readings'!EX17-'DJB Daily Readings'!EX16)*1.89</f>
        <v>24.57</v>
      </c>
      <c r="BK9" s="82">
        <f>('DJB Daily Readings'!FB17-'DJB Daily Readings'!FB16)*1.89</f>
        <v>47.25</v>
      </c>
    </row>
    <row r="10" spans="1:65" x14ac:dyDescent="0.25">
      <c r="A10" t="s">
        <v>59</v>
      </c>
      <c r="B10">
        <f t="shared" si="0"/>
        <v>9</v>
      </c>
      <c r="C10">
        <v>5</v>
      </c>
      <c r="D10">
        <v>2021</v>
      </c>
      <c r="E10" s="78">
        <f>237*0.64</f>
        <v>151.68</v>
      </c>
      <c r="F10" s="79">
        <f>260+58</f>
        <v>318</v>
      </c>
      <c r="G10" s="3">
        <f>'DJB Daily Readings'!C18-'DJB Daily Readings'!C17</f>
        <v>593</v>
      </c>
      <c r="H10" s="3">
        <f>'DJB Daily Readings'!F18-'DJB Daily Readings'!F17</f>
        <v>368</v>
      </c>
      <c r="I10" s="3">
        <f>'DJB Daily Readings'!K18-'DJB Daily Readings'!K17</f>
        <v>284</v>
      </c>
      <c r="J10" s="3">
        <f>'DJB Daily Readings'!K18-'DJB Daily Readings'!K17</f>
        <v>284</v>
      </c>
      <c r="K10" s="3">
        <f>'DJB Daily Readings'!O18-'DJB Daily Readings'!O17</f>
        <v>167.97000000000025</v>
      </c>
      <c r="L10" s="3">
        <f>'DJB Daily Readings'!R18-'DJB Daily Readings'!R17</f>
        <v>29</v>
      </c>
      <c r="M10" s="3">
        <f>'DJB Daily Readings'!U18-'DJB Daily Readings'!U17</f>
        <v>1900.0799999991432</v>
      </c>
      <c r="N10" s="3">
        <f>'DJB Daily Readings'!X18-'DJB Daily Readings'!X17</f>
        <v>4628.4000000003725</v>
      </c>
      <c r="O10" s="3">
        <f>'DJB Daily Readings'!AA18-'DJB Daily Readings'!AA17</f>
        <v>6333.5999999996275</v>
      </c>
      <c r="P10" s="3">
        <f>'DJB Daily Readings'!AD18-'DJB Daily Readings'!AD17</f>
        <v>10182.480000000447</v>
      </c>
      <c r="Q10" s="3">
        <f>'DJB Daily Readings'!AG18-'DJB Daily Readings'!AG17</f>
        <v>1169.2799999993294</v>
      </c>
      <c r="R10" s="3">
        <f>'DJB Daily Readings'!AJ18-'DJB Daily Readings'!AJ17</f>
        <v>5359.1999999992549</v>
      </c>
      <c r="S10" s="3">
        <f>'DJB Daily Readings'!AM18-'DJB Daily Readings'!AM17</f>
        <v>4482.2400000002235</v>
      </c>
      <c r="T10" s="3">
        <f>'DJB Daily Readings'!AP18-'DJB Daily Readings'!AP17</f>
        <v>4043.7599999997765</v>
      </c>
      <c r="U10" s="3">
        <f>'DJB Daily Readings'!AS18-'DJB Daily Readings'!AS17</f>
        <v>3069.359999999404</v>
      </c>
      <c r="V10" s="3">
        <f>'DJB Daily Readings'!AV18-'DJB Daily Readings'!AV17</f>
        <v>5456.640000000596</v>
      </c>
      <c r="W10" s="3">
        <f>'DJB Daily Readings'!AZ18-'DJB Daily Readings'!AZ17</f>
        <v>31000</v>
      </c>
      <c r="X10" s="3">
        <f>'DJB Daily Readings'!BC18-'DJB Daily Readings'!BC17</f>
        <v>52800</v>
      </c>
      <c r="Y10" s="3">
        <f>'DJB Daily Readings'!BF18-'DJB Daily Readings'!BF17</f>
        <v>0</v>
      </c>
      <c r="Z10" s="3">
        <f>('DJB Daily Readings'!CK18-'DJB Daily Readings'!CK17)*1.89</f>
        <v>196.56</v>
      </c>
      <c r="AA10" s="3">
        <f>('DJB Daily Readings'!CN18-'DJB Daily Readings'!CN17)*1.89</f>
        <v>181.44</v>
      </c>
      <c r="AB10" s="3">
        <f>('DJB Daily Readings'!CQ18-'DJB Daily Readings'!CQ17)*1.89</f>
        <v>0</v>
      </c>
      <c r="AC10" s="3">
        <f>'DJB Daily Readings'!CT18-'DJB Daily Readings'!CT17</f>
        <v>254</v>
      </c>
      <c r="AD10" s="84">
        <f>('DJB Daily Readings'!BY18-'DJB Daily Readings'!BY17)*1.89</f>
        <v>34.019999999999996</v>
      </c>
      <c r="AE10" s="84">
        <f>('DJB Daily Readings'!CA18-'DJB Daily Readings'!CA17)*1.89</f>
        <v>28.349999999999998</v>
      </c>
      <c r="AF10" s="84">
        <f>('DJB Daily Readings'!CC18-'DJB Daily Readings'!CC17)*1.89</f>
        <v>13.229999999999999</v>
      </c>
      <c r="AG10" s="84">
        <f>('DJB Daily Readings'!CE18-'DJB Daily Readings'!CE17)*1.89</f>
        <v>20.79</v>
      </c>
      <c r="AH10" s="84">
        <f>('DJB Daily Readings'!CG18-'DJB Daily Readings'!CG17)*1.89</f>
        <v>24.57</v>
      </c>
      <c r="AI10" s="84">
        <f>('DJB Daily Readings'!CI18-'DJB Daily Readings'!CI17)*1.89</f>
        <v>52.919999999999995</v>
      </c>
      <c r="AJ10" s="81">
        <f>'DJB Daily Readings'!CY18-'DJB Daily Readings'!CY17</f>
        <v>2</v>
      </c>
      <c r="AK10" s="81">
        <f>'DJB Daily Readings'!CW18-'DJB Daily Readings'!CW17</f>
        <v>4</v>
      </c>
      <c r="AL10" s="82">
        <f>'DJB Daily Readings'!DC18-'DJB Daily Readings'!DC17</f>
        <v>9</v>
      </c>
      <c r="AM10" s="82">
        <f>'DJB Daily Readings'!DA18-'DJB Daily Readings'!DA17</f>
        <v>12.400000000001455</v>
      </c>
      <c r="AN10" s="82">
        <f>'DJB Daily Readings'!DG18-'DJB Daily Readings'!DG17</f>
        <v>6.2999999999992724</v>
      </c>
      <c r="AO10" s="82">
        <f>'DJB Daily Readings'!DE18-'DJB Daily Readings'!DE17</f>
        <v>7.7000000000007276</v>
      </c>
      <c r="AP10" s="82">
        <f>'DJB Daily Readings'!DK18-'DJB Daily Readings'!DK17</f>
        <v>16</v>
      </c>
      <c r="AQ10" s="82">
        <f>'DJB Daily Readings'!DI18-'DJB Daily Readings'!DI17</f>
        <v>5</v>
      </c>
      <c r="AR10" s="82">
        <f>'DJB Daily Readings'!DO18-'DJB Daily Readings'!DO17</f>
        <v>6</v>
      </c>
      <c r="AS10" s="82">
        <f>'DJB Daily Readings'!DM18-'DJB Daily Readings'!DM17</f>
        <v>0</v>
      </c>
      <c r="AT10" s="82">
        <f>'DJB Daily Readings'!DQ18-'DJB Daily Readings'!DQ17</f>
        <v>27</v>
      </c>
      <c r="AU10" s="82">
        <f>'DJB Daily Readings'!DT18-'DJB Daily Readings'!DT17</f>
        <v>9</v>
      </c>
      <c r="AW10" s="82">
        <f>'DJB Daily Readings'!DX18-'DJB Daily Readings'!DX17</f>
        <v>6.4000000000000909</v>
      </c>
      <c r="AX10" s="82">
        <f>'DJB Daily Readings'!DZ18-'DJB Daily Readings'!DZ17</f>
        <v>5</v>
      </c>
      <c r="AY10" s="82">
        <f>'DJB Daily Readings'!EB18-'DJB Daily Readings'!EB17</f>
        <v>778</v>
      </c>
      <c r="AZ10" s="82">
        <f>'DJB Daily Readings'!ED18-'DJB Daily Readings'!ED17</f>
        <v>177.89999999999418</v>
      </c>
      <c r="BA10" s="82">
        <f>'DJB Daily Readings'!EG18-'DJB Daily Readings'!EG17</f>
        <v>6400</v>
      </c>
      <c r="BB10" s="82">
        <f>'DJB Daily Readings'!EI18-'DJB Daily Readings'!EI17</f>
        <v>410</v>
      </c>
      <c r="BC10" s="82">
        <f>'DJB Daily Readings'!EQ18-'DJB Daily Readings'!EQ17</f>
        <v>8800</v>
      </c>
      <c r="BD10" s="82">
        <f>'DJB Daily Readings'!EK18-'DJB Daily Readings'!EK17</f>
        <v>2500</v>
      </c>
      <c r="BE10" s="82">
        <f>'DJB Daily Readings'!EM18-'DJB Daily Readings'!EM17</f>
        <v>800</v>
      </c>
      <c r="BF10" s="82">
        <f>'DJB Daily Readings'!EO18-'DJB Daily Readings'!EO17</f>
        <v>870</v>
      </c>
      <c r="BG10" s="82">
        <f>('DJB Daily Readings'!ET18-'DJB Daily Readings'!ET17)*1.89</f>
        <v>30.24</v>
      </c>
      <c r="BH10" s="82">
        <f>('DJB Daily Readings'!EV18-'DJB Daily Readings'!EV17)*1.89</f>
        <v>24.57</v>
      </c>
      <c r="BI10" s="82">
        <f>('DJB Daily Readings'!EZ18-'DJB Daily Readings'!EZ17)*1.89</f>
        <v>24.57</v>
      </c>
      <c r="BJ10" s="82">
        <f>('DJB Daily Readings'!EX18-'DJB Daily Readings'!EX17)*1.89</f>
        <v>20.79</v>
      </c>
      <c r="BK10" s="82">
        <f>('DJB Daily Readings'!FB18-'DJB Daily Readings'!FB17)*1.89</f>
        <v>62.37</v>
      </c>
    </row>
    <row r="11" spans="1:65" x14ac:dyDescent="0.25">
      <c r="A11" t="s">
        <v>59</v>
      </c>
      <c r="B11">
        <f t="shared" si="0"/>
        <v>10</v>
      </c>
      <c r="C11">
        <v>5</v>
      </c>
      <c r="D11">
        <v>2021</v>
      </c>
      <c r="E11" s="78">
        <f>237*0.58</f>
        <v>137.45999999999998</v>
      </c>
      <c r="F11" s="79">
        <f>239+44</f>
        <v>283</v>
      </c>
      <c r="G11" s="3">
        <f>'DJB Daily Readings'!C19-'DJB Daily Readings'!C18</f>
        <v>529</v>
      </c>
      <c r="H11" s="3">
        <f>'DJB Daily Readings'!F19-'DJB Daily Readings'!F18</f>
        <v>317</v>
      </c>
      <c r="I11" s="3">
        <f>'DJB Daily Readings'!K19-'DJB Daily Readings'!K18</f>
        <v>308</v>
      </c>
      <c r="J11" s="3">
        <f>'DJB Daily Readings'!K19-'DJB Daily Readings'!K18</f>
        <v>308</v>
      </c>
      <c r="K11" s="3">
        <f>'DJB Daily Readings'!O19-'DJB Daily Readings'!O18</f>
        <v>154.08999999999924</v>
      </c>
      <c r="L11" s="3">
        <f>'DJB Daily Readings'!R19-'DJB Daily Readings'!R18</f>
        <v>25</v>
      </c>
      <c r="M11" s="3">
        <f>'DJB Daily Readings'!U19-'DJB Daily Readings'!U18</f>
        <v>2241.1200000001118</v>
      </c>
      <c r="N11" s="3">
        <f>'DJB Daily Readings'!X19-'DJB Daily Readings'!X18</f>
        <v>6041.2799999993294</v>
      </c>
      <c r="O11" s="3">
        <f>'DJB Daily Readings'!AA19-'DJB Daily Readings'!AA18</f>
        <v>7308</v>
      </c>
      <c r="P11" s="3">
        <f>'DJB Daily Readings'!AD19-'DJB Daily Readings'!AD18</f>
        <v>12862.080000000075</v>
      </c>
      <c r="Q11" s="3">
        <f>'DJB Daily Readings'!AG19-'DJB Daily Readings'!AG18</f>
        <v>1364.160000000149</v>
      </c>
      <c r="R11" s="3">
        <f>'DJB Daily Readings'!AJ19-'DJB Daily Readings'!AJ18</f>
        <v>6431.0400000009686</v>
      </c>
      <c r="S11" s="3">
        <f>'DJB Daily Readings'!AM19-'DJB Daily Readings'!AM18</f>
        <v>5554.0800000000745</v>
      </c>
      <c r="T11" s="3">
        <f>'DJB Daily Readings'!AP19-'DJB Daily Readings'!AP18</f>
        <v>5261.7599999997765</v>
      </c>
      <c r="U11" s="3">
        <f>'DJB Daily Readings'!AS19-'DJB Daily Readings'!AS18</f>
        <v>3848.8799999989569</v>
      </c>
      <c r="V11" s="3">
        <f>'DJB Daily Readings'!AV19-'DJB Daily Readings'!AV18</f>
        <v>7600.320000000298</v>
      </c>
      <c r="W11" s="3">
        <f>'DJB Daily Readings'!AZ19-'DJB Daily Readings'!AZ18</f>
        <v>29900</v>
      </c>
      <c r="X11" s="3">
        <f>'DJB Daily Readings'!BC19-'DJB Daily Readings'!BC18</f>
        <v>48800</v>
      </c>
      <c r="Y11" s="3">
        <f>'DJB Daily Readings'!BF19-'DJB Daily Readings'!BF18</f>
        <v>0</v>
      </c>
      <c r="Z11" s="3">
        <f>('DJB Daily Readings'!CK19-'DJB Daily Readings'!CK18)*1.89</f>
        <v>194.67</v>
      </c>
      <c r="AA11" s="3">
        <f>('DJB Daily Readings'!CN19-'DJB Daily Readings'!CN18)*1.89</f>
        <v>179.54999999999998</v>
      </c>
      <c r="AB11" s="3">
        <f>('DJB Daily Readings'!CQ19-'DJB Daily Readings'!CQ18)*1.89</f>
        <v>0</v>
      </c>
      <c r="AC11" s="3">
        <f>'DJB Daily Readings'!CT19-'DJB Daily Readings'!CT18</f>
        <v>252</v>
      </c>
      <c r="AD11" s="84">
        <f>('DJB Daily Readings'!BY19-'DJB Daily Readings'!BY18)*1.89</f>
        <v>39.69</v>
      </c>
      <c r="AE11" s="84">
        <f>('DJB Daily Readings'!CA19-'DJB Daily Readings'!CA18)*1.89</f>
        <v>28.349999999999998</v>
      </c>
      <c r="AF11" s="84">
        <f>('DJB Daily Readings'!CC19-'DJB Daily Readings'!CC18)*1.89</f>
        <v>13.229999999999999</v>
      </c>
      <c r="AG11" s="84">
        <f>('DJB Daily Readings'!CE19-'DJB Daily Readings'!CE18)*1.89</f>
        <v>24.57</v>
      </c>
      <c r="AH11" s="84">
        <f>('DJB Daily Readings'!CG19-'DJB Daily Readings'!CG18)*1.89</f>
        <v>30.24</v>
      </c>
      <c r="AI11" s="84">
        <f>('DJB Daily Readings'!CI19-'DJB Daily Readings'!CI18)*1.89</f>
        <v>58.589999999999996</v>
      </c>
      <c r="AJ11" s="81">
        <f>'DJB Daily Readings'!CY19-'DJB Daily Readings'!CY18</f>
        <v>2</v>
      </c>
      <c r="AK11" s="81">
        <f>'DJB Daily Readings'!CW19-'DJB Daily Readings'!CW18</f>
        <v>2</v>
      </c>
      <c r="AL11" s="82">
        <f>'DJB Daily Readings'!DC19-'DJB Daily Readings'!DC18</f>
        <v>7.6999999999970896</v>
      </c>
      <c r="AM11" s="82">
        <f>'DJB Daily Readings'!DA19-'DJB Daily Readings'!DA18</f>
        <v>9.4000000000014552</v>
      </c>
      <c r="AN11" s="82">
        <f>'DJB Daily Readings'!DG19-'DJB Daily Readings'!DG18</f>
        <v>0</v>
      </c>
      <c r="AO11" s="82">
        <f>'DJB Daily Readings'!DE19-'DJB Daily Readings'!DE18</f>
        <v>0</v>
      </c>
      <c r="AP11" s="82">
        <f>'DJB Daily Readings'!DK19-'DJB Daily Readings'!DK18</f>
        <v>12</v>
      </c>
      <c r="AQ11" s="82">
        <f>'DJB Daily Readings'!DI19-'DJB Daily Readings'!DI18</f>
        <v>6</v>
      </c>
      <c r="AR11" s="82">
        <f>'DJB Daily Readings'!DO19-'DJB Daily Readings'!DO18</f>
        <v>5</v>
      </c>
      <c r="AS11" s="82">
        <f>'DJB Daily Readings'!DM19-'DJB Daily Readings'!DM18</f>
        <v>0</v>
      </c>
      <c r="AT11" s="82">
        <f>'DJB Daily Readings'!DQ19-'DJB Daily Readings'!DQ18</f>
        <v>9</v>
      </c>
      <c r="AU11" s="82">
        <f>'DJB Daily Readings'!DT19-'DJB Daily Readings'!DT18</f>
        <v>7.0999999999999091</v>
      </c>
      <c r="AW11" s="82">
        <f>'DJB Daily Readings'!DX19-'DJB Daily Readings'!DX18</f>
        <v>5.8999999999999773</v>
      </c>
      <c r="AX11" s="82">
        <f>'DJB Daily Readings'!DZ19-'DJB Daily Readings'!DZ18</f>
        <v>6.3999999999999773</v>
      </c>
      <c r="AY11" s="82">
        <f>'DJB Daily Readings'!EB19-'DJB Daily Readings'!EB18</f>
        <v>692</v>
      </c>
      <c r="AZ11" s="82">
        <f>'DJB Daily Readings'!ED19-'DJB Daily Readings'!ED18</f>
        <v>141.60000000000582</v>
      </c>
      <c r="BA11" s="82">
        <f>'DJB Daily Readings'!EG19-'DJB Daily Readings'!EG18</f>
        <v>3500</v>
      </c>
      <c r="BB11" s="82">
        <f>'DJB Daily Readings'!EI19-'DJB Daily Readings'!EI18</f>
        <v>220</v>
      </c>
      <c r="BC11" s="82">
        <f>'DJB Daily Readings'!EQ19-'DJB Daily Readings'!EQ18</f>
        <v>4900</v>
      </c>
      <c r="BD11" s="82">
        <f>'DJB Daily Readings'!EK19-'DJB Daily Readings'!EK18</f>
        <v>1600</v>
      </c>
      <c r="BE11" s="82">
        <f>'DJB Daily Readings'!EM19-'DJB Daily Readings'!EM18</f>
        <v>600</v>
      </c>
      <c r="BF11" s="82">
        <f>'DJB Daily Readings'!EO19-'DJB Daily Readings'!EO18</f>
        <v>730</v>
      </c>
      <c r="BG11" s="82">
        <f>('DJB Daily Readings'!ET19-'DJB Daily Readings'!ET18)*1.89</f>
        <v>24.57</v>
      </c>
      <c r="BH11" s="82">
        <f>('DJB Daily Readings'!EV19-'DJB Daily Readings'!EV18)*1.89</f>
        <v>17.009999999999998</v>
      </c>
      <c r="BI11" s="82">
        <f>('DJB Daily Readings'!EZ19-'DJB Daily Readings'!EZ18)*1.89</f>
        <v>22.68</v>
      </c>
      <c r="BJ11" s="82">
        <f>('DJB Daily Readings'!EX19-'DJB Daily Readings'!EX18)*1.89</f>
        <v>22.68</v>
      </c>
      <c r="BK11" s="82">
        <f>('DJB Daily Readings'!FB19-'DJB Daily Readings'!FB18)*1.89</f>
        <v>43.47</v>
      </c>
    </row>
    <row r="12" spans="1:65" x14ac:dyDescent="0.25">
      <c r="A12" t="s">
        <v>59</v>
      </c>
      <c r="B12">
        <f t="shared" si="0"/>
        <v>11</v>
      </c>
      <c r="C12">
        <v>5</v>
      </c>
      <c r="D12">
        <v>2021</v>
      </c>
      <c r="E12" s="78">
        <f>237*0.52</f>
        <v>123.24000000000001</v>
      </c>
      <c r="F12" s="79">
        <f>209+32</f>
        <v>241</v>
      </c>
      <c r="G12" s="3">
        <f>'DJB Daily Readings'!C20-'DJB Daily Readings'!C19</f>
        <v>507</v>
      </c>
      <c r="H12" s="3">
        <f>'DJB Daily Readings'!F20-'DJB Daily Readings'!F19</f>
        <v>306</v>
      </c>
      <c r="I12" s="3">
        <f>'DJB Daily Readings'!K20-'DJB Daily Readings'!K19</f>
        <v>276</v>
      </c>
      <c r="J12" s="3">
        <f>'DJB Daily Readings'!K20-'DJB Daily Readings'!K19</f>
        <v>276</v>
      </c>
      <c r="K12" s="3">
        <f>'DJB Daily Readings'!O20-'DJB Daily Readings'!O19</f>
        <v>162.14000000000033</v>
      </c>
      <c r="L12" s="3">
        <f>'DJB Daily Readings'!R20-'DJB Daily Readings'!R19</f>
        <v>30</v>
      </c>
      <c r="M12" s="3">
        <f>'DJB Daily Readings'!U20-'DJB Daily Readings'!U19</f>
        <v>1510.320000000298</v>
      </c>
      <c r="N12" s="3">
        <f>'DJB Daily Readings'!X20-'DJB Daily Readings'!X19</f>
        <v>3361.679999999702</v>
      </c>
      <c r="O12" s="3">
        <f>'DJB Daily Readings'!AA20-'DJB Daily Readings'!AA19</f>
        <v>4969.4399999994785</v>
      </c>
      <c r="P12" s="3">
        <f>'DJB Daily Readings'!AD20-'DJB Daily Readings'!AD19</f>
        <v>7308</v>
      </c>
      <c r="Q12" s="3">
        <f>'DJB Daily Readings'!AG20-'DJB Daily Readings'!AG19</f>
        <v>876.95999999903142</v>
      </c>
      <c r="R12" s="3">
        <f>'DJB Daily Readings'!AJ20-'DJB Daily Readings'!AJ19</f>
        <v>3848.8799999989569</v>
      </c>
      <c r="S12" s="3">
        <f>'DJB Daily Readings'!AM20-'DJB Daily Readings'!AM19</f>
        <v>3166.7999999988824</v>
      </c>
      <c r="T12" s="3">
        <f>'DJB Daily Readings'!AP20-'DJB Daily Readings'!AP19</f>
        <v>2825.7599999997765</v>
      </c>
      <c r="U12" s="3">
        <f>'DJB Daily Readings'!AS20-'DJB Daily Readings'!AS19</f>
        <v>2143.679999999702</v>
      </c>
      <c r="V12" s="3">
        <f>'DJB Daily Readings'!AV20-'DJB Daily Readings'!AV19</f>
        <v>4530.9599999990314</v>
      </c>
      <c r="W12" s="3">
        <f>'DJB Daily Readings'!AZ20-'DJB Daily Readings'!AZ19</f>
        <v>29700</v>
      </c>
      <c r="X12" s="3">
        <f>'DJB Daily Readings'!BC20-'DJB Daily Readings'!BC19</f>
        <v>54200</v>
      </c>
      <c r="Y12" s="3">
        <f>'DJB Daily Readings'!BF20-'DJB Daily Readings'!BF19</f>
        <v>0</v>
      </c>
      <c r="Z12" s="3">
        <f>('DJB Daily Readings'!CK20-'DJB Daily Readings'!CK19)*1.89</f>
        <v>196.56</v>
      </c>
      <c r="AA12" s="3">
        <f>('DJB Daily Readings'!CN20-'DJB Daily Readings'!CN19)*1.89</f>
        <v>164.42999999999998</v>
      </c>
      <c r="AB12" s="3">
        <f>('DJB Daily Readings'!CQ20-'DJB Daily Readings'!CQ19)*1.89</f>
        <v>0</v>
      </c>
      <c r="AC12" s="3">
        <f>'DJB Daily Readings'!CT20-'DJB Daily Readings'!CT19</f>
        <v>262</v>
      </c>
      <c r="AD12" s="84">
        <f>('DJB Daily Readings'!BY20-'DJB Daily Readings'!BY19)*1.89</f>
        <v>22.68</v>
      </c>
      <c r="AE12" s="84">
        <f>('DJB Daily Readings'!CA20-'DJB Daily Readings'!CA19)*1.89</f>
        <v>17.009999999999998</v>
      </c>
      <c r="AF12" s="84">
        <f>('DJB Daily Readings'!CC20-'DJB Daily Readings'!CC19)*1.89</f>
        <v>15.12</v>
      </c>
      <c r="AG12" s="84">
        <f>('DJB Daily Readings'!CE20-'DJB Daily Readings'!CE19)*1.89</f>
        <v>11.34</v>
      </c>
      <c r="AH12" s="84">
        <f>('DJB Daily Readings'!CG20-'DJB Daily Readings'!CG19)*1.89</f>
        <v>13.229999999999999</v>
      </c>
      <c r="AI12" s="84">
        <f>('DJB Daily Readings'!CI20-'DJB Daily Readings'!CI19)*1.89</f>
        <v>28.349999999999998</v>
      </c>
      <c r="AJ12" s="81">
        <f>'DJB Daily Readings'!CY20-'DJB Daily Readings'!CY19</f>
        <v>2</v>
      </c>
      <c r="AK12" s="81">
        <f>'DJB Daily Readings'!CW20-'DJB Daily Readings'!CW19</f>
        <v>3</v>
      </c>
      <c r="AL12" s="82">
        <f>'DJB Daily Readings'!DC20-'DJB Daily Readings'!DC19</f>
        <v>9.4000000000014552</v>
      </c>
      <c r="AM12" s="82">
        <f>'DJB Daily Readings'!DA20-'DJB Daily Readings'!DA19</f>
        <v>8.0999999999985448</v>
      </c>
      <c r="AN12" s="82">
        <f>'DJB Daily Readings'!DG20-'DJB Daily Readings'!DG19</f>
        <v>0</v>
      </c>
      <c r="AO12" s="82">
        <f>'DJB Daily Readings'!DE20-'DJB Daily Readings'!DE19</f>
        <v>0</v>
      </c>
      <c r="AP12" s="82">
        <f>'DJB Daily Readings'!DK20-'DJB Daily Readings'!DK19</f>
        <v>13</v>
      </c>
      <c r="AQ12" s="82">
        <f>'DJB Daily Readings'!DI20-'DJB Daily Readings'!DI19</f>
        <v>6</v>
      </c>
      <c r="AR12" s="82">
        <f>'DJB Daily Readings'!DO20-'DJB Daily Readings'!DO19</f>
        <v>5</v>
      </c>
      <c r="AS12" s="82">
        <f>'DJB Daily Readings'!DM20-'DJB Daily Readings'!DM19</f>
        <v>0</v>
      </c>
      <c r="AT12" s="82">
        <f>'DJB Daily Readings'!DQ20-'DJB Daily Readings'!DQ19</f>
        <v>18</v>
      </c>
      <c r="AU12" s="82">
        <f>'DJB Daily Readings'!DT20-'DJB Daily Readings'!DT19</f>
        <v>8.1000000000001364</v>
      </c>
      <c r="AW12" s="82">
        <f>'DJB Daily Readings'!DX20-'DJB Daily Readings'!DX19</f>
        <v>6.5</v>
      </c>
      <c r="AX12" s="82">
        <f>'DJB Daily Readings'!DZ20-'DJB Daily Readings'!DZ19</f>
        <v>7.8000000000000114</v>
      </c>
      <c r="AY12" s="82">
        <f>'DJB Daily Readings'!EB20-'DJB Daily Readings'!EB19</f>
        <v>730</v>
      </c>
      <c r="AZ12" s="82">
        <f>'DJB Daily Readings'!ED20-'DJB Daily Readings'!ED19</f>
        <v>159.10000000000582</v>
      </c>
      <c r="BA12" s="82">
        <f>'DJB Daily Readings'!EG20-'DJB Daily Readings'!EG19</f>
        <v>5300</v>
      </c>
      <c r="BB12" s="82">
        <f>'DJB Daily Readings'!EI20-'DJB Daily Readings'!EI19</f>
        <v>270</v>
      </c>
      <c r="BC12" s="82">
        <f>'DJB Daily Readings'!EQ20-'DJB Daily Readings'!EQ19</f>
        <v>3600</v>
      </c>
      <c r="BD12" s="82">
        <f>'DJB Daily Readings'!EK20-'DJB Daily Readings'!EK19</f>
        <v>2200</v>
      </c>
      <c r="BE12" s="82">
        <f>'DJB Daily Readings'!EM20-'DJB Daily Readings'!EM19</f>
        <v>800</v>
      </c>
      <c r="BF12" s="82">
        <f>'DJB Daily Readings'!EO20-'DJB Daily Readings'!EO19</f>
        <v>980</v>
      </c>
      <c r="BG12" s="82">
        <f>('DJB Daily Readings'!ET20-'DJB Daily Readings'!ET19)*1.89</f>
        <v>26.459999999999997</v>
      </c>
      <c r="BH12" s="82">
        <f>('DJB Daily Readings'!EV20-'DJB Daily Readings'!EV19)*1.89</f>
        <v>22.68</v>
      </c>
      <c r="BI12" s="82">
        <f>('DJB Daily Readings'!EZ20-'DJB Daily Readings'!EZ19)*1.89</f>
        <v>26.459999999999997</v>
      </c>
      <c r="BJ12" s="82">
        <f>('DJB Daily Readings'!EX20-'DJB Daily Readings'!EX19)*1.89</f>
        <v>20.79</v>
      </c>
      <c r="BK12" s="82">
        <f>('DJB Daily Readings'!FB20-'DJB Daily Readings'!FB19)*1.89</f>
        <v>62.37</v>
      </c>
    </row>
    <row r="13" spans="1:65" x14ac:dyDescent="0.25">
      <c r="A13" t="s">
        <v>59</v>
      </c>
      <c r="B13">
        <f t="shared" si="0"/>
        <v>12</v>
      </c>
      <c r="C13">
        <v>5</v>
      </c>
      <c r="D13">
        <v>2021</v>
      </c>
      <c r="E13" s="78">
        <f>237*0.58</f>
        <v>137.45999999999998</v>
      </c>
      <c r="F13" s="79">
        <f>232+34</f>
        <v>266</v>
      </c>
      <c r="G13" s="3">
        <f>'DJB Daily Readings'!C21-'DJB Daily Readings'!C20</f>
        <v>552</v>
      </c>
      <c r="H13" s="3">
        <f>'DJB Daily Readings'!F21-'DJB Daily Readings'!F20</f>
        <v>332</v>
      </c>
      <c r="I13" s="3">
        <f>'DJB Daily Readings'!K21-'DJB Daily Readings'!K20</f>
        <v>265</v>
      </c>
      <c r="J13" s="3">
        <f>'DJB Daily Readings'!K21-'DJB Daily Readings'!K20</f>
        <v>265</v>
      </c>
      <c r="K13" s="3">
        <f>'DJB Daily Readings'!O21-'DJB Daily Readings'!O20</f>
        <v>168.97000000000025</v>
      </c>
      <c r="L13" s="3">
        <f>'DJB Daily Readings'!R21-'DJB Daily Readings'!R20</f>
        <v>29</v>
      </c>
      <c r="M13" s="3">
        <f>'DJB Daily Readings'!U21-'DJB Daily Readings'!U20</f>
        <v>1753.9199999989942</v>
      </c>
      <c r="N13" s="3">
        <f>'DJB Daily Readings'!X21-'DJB Daily Readings'!X20</f>
        <v>4969.4400000013411</v>
      </c>
      <c r="O13" s="3">
        <f>'DJB Daily Readings'!AA21-'DJB Daily Readings'!AA20</f>
        <v>7405.4400000013411</v>
      </c>
      <c r="P13" s="3">
        <f>'DJB Daily Readings'!AD21-'DJB Daily Readings'!AD20</f>
        <v>10572.240000000224</v>
      </c>
      <c r="Q13" s="3">
        <f>'DJB Daily Readings'!AG21-'DJB Daily Readings'!AG20</f>
        <v>1169.2800000011921</v>
      </c>
      <c r="R13" s="3">
        <f>'DJB Daily Readings'!AJ21-'DJB Daily Readings'!AJ20</f>
        <v>5359.1999999992549</v>
      </c>
      <c r="S13" s="3">
        <f>'DJB Daily Readings'!AM21-'DJB Daily Readings'!AM20</f>
        <v>4482.2400000002235</v>
      </c>
      <c r="T13" s="3">
        <f>'DJB Daily Readings'!AP21-'DJB Daily Readings'!AP20</f>
        <v>4530.9599999990314</v>
      </c>
      <c r="U13" s="3">
        <f>'DJB Daily Readings'!AS21-'DJB Daily Readings'!AS20</f>
        <v>3020.640000000596</v>
      </c>
      <c r="V13" s="3">
        <f>'DJB Daily Readings'!AV21-'DJB Daily Readings'!AV20</f>
        <v>6431.0400000009686</v>
      </c>
      <c r="W13" s="3">
        <f>'DJB Daily Readings'!AZ21-'DJB Daily Readings'!AZ20</f>
        <v>35800</v>
      </c>
      <c r="X13" s="3">
        <f>'DJB Daily Readings'!BC21-'DJB Daily Readings'!BC20</f>
        <v>49500</v>
      </c>
      <c r="Y13" s="3">
        <f>'DJB Daily Readings'!BF21-'DJB Daily Readings'!BF20</f>
        <v>0</v>
      </c>
      <c r="Z13" s="3">
        <f>('DJB Daily Readings'!CK21-'DJB Daily Readings'!CK20)*1.89</f>
        <v>206.01</v>
      </c>
      <c r="AA13" s="3">
        <f>('DJB Daily Readings'!CN21-'DJB Daily Readings'!CN20)*1.89</f>
        <v>173.88</v>
      </c>
      <c r="AB13" s="3">
        <f>('DJB Daily Readings'!CQ21-'DJB Daily Readings'!CQ20)*1.89</f>
        <v>0</v>
      </c>
      <c r="AC13" s="3">
        <f>'DJB Daily Readings'!CT21-'DJB Daily Readings'!CT20</f>
        <v>279</v>
      </c>
      <c r="AD13" s="84">
        <f>('DJB Daily Readings'!BY21-'DJB Daily Readings'!BY20)*1.89</f>
        <v>32.129999999999995</v>
      </c>
      <c r="AE13" s="84">
        <f>('DJB Daily Readings'!CA21-'DJB Daily Readings'!CA20)*1.89</f>
        <v>24.57</v>
      </c>
      <c r="AF13" s="84">
        <f>('DJB Daily Readings'!CC21-'DJB Daily Readings'!CC20)*1.89</f>
        <v>13.229999999999999</v>
      </c>
      <c r="AG13" s="84">
        <f>('DJB Daily Readings'!CE21-'DJB Daily Readings'!CE20)*1.89</f>
        <v>18.899999999999999</v>
      </c>
      <c r="AH13" s="84">
        <f>('DJB Daily Readings'!CG21-'DJB Daily Readings'!CG20)*1.89</f>
        <v>24.57</v>
      </c>
      <c r="AI13" s="84">
        <f>('DJB Daily Readings'!CI21-'DJB Daily Readings'!CI20)*1.89</f>
        <v>49.14</v>
      </c>
      <c r="AJ13" s="81">
        <f>'DJB Daily Readings'!CY21-'DJB Daily Readings'!CY20</f>
        <v>3</v>
      </c>
      <c r="AK13" s="81">
        <f>'DJB Daily Readings'!CW21-'DJB Daily Readings'!CW20</f>
        <v>3</v>
      </c>
      <c r="AL13" s="82">
        <f>'DJB Daily Readings'!DC21-'DJB Daily Readings'!DC20</f>
        <v>8</v>
      </c>
      <c r="AM13" s="82">
        <f>'DJB Daily Readings'!DA21-'DJB Daily Readings'!DA20</f>
        <v>10</v>
      </c>
      <c r="AN13" s="82">
        <f>'DJB Daily Readings'!DG21-'DJB Daily Readings'!DG20</f>
        <v>23.299999999999272</v>
      </c>
      <c r="AO13" s="82">
        <f>'DJB Daily Readings'!DE21-'DJB Daily Readings'!DE20</f>
        <v>24.299999999999272</v>
      </c>
      <c r="AP13" s="82">
        <f>'DJB Daily Readings'!DK21-'DJB Daily Readings'!DK20</f>
        <v>12</v>
      </c>
      <c r="AQ13" s="82">
        <f>'DJB Daily Readings'!DI21-'DJB Daily Readings'!DI20</f>
        <v>6</v>
      </c>
      <c r="AR13" s="82">
        <f>'DJB Daily Readings'!DO21-'DJB Daily Readings'!DO20</f>
        <v>6</v>
      </c>
      <c r="AS13" s="82">
        <f>'DJB Daily Readings'!DM21-'DJB Daily Readings'!DM20</f>
        <v>0</v>
      </c>
      <c r="AT13" s="82">
        <f>'DJB Daily Readings'!DQ21-'DJB Daily Readings'!DQ20</f>
        <v>19</v>
      </c>
      <c r="AU13" s="82">
        <f>'DJB Daily Readings'!DT21-'DJB Daily Readings'!DT20</f>
        <v>8.2000000000000455</v>
      </c>
      <c r="AW13" s="82">
        <f>'DJB Daily Readings'!DX21-'DJB Daily Readings'!DX20</f>
        <v>7.1000000000000227</v>
      </c>
      <c r="AX13" s="82">
        <f>'DJB Daily Readings'!DZ21-'DJB Daily Readings'!DZ20</f>
        <v>8.1999999999999886</v>
      </c>
      <c r="AY13" s="82">
        <f>'DJB Daily Readings'!EB21-'DJB Daily Readings'!EB20</f>
        <v>699</v>
      </c>
      <c r="AZ13" s="82">
        <f>'DJB Daily Readings'!ED21-'DJB Daily Readings'!ED20</f>
        <v>165.59999999997672</v>
      </c>
      <c r="BA13" s="82">
        <f>'DJB Daily Readings'!EG21-'DJB Daily Readings'!EG20</f>
        <v>6100</v>
      </c>
      <c r="BB13" s="82">
        <f>'DJB Daily Readings'!EI21-'DJB Daily Readings'!EI20</f>
        <v>240</v>
      </c>
      <c r="BC13" s="82">
        <f>'DJB Daily Readings'!EQ21-'DJB Daily Readings'!EQ20</f>
        <v>5100</v>
      </c>
      <c r="BD13" s="82">
        <f>'DJB Daily Readings'!EK21-'DJB Daily Readings'!EK20</f>
        <v>2400</v>
      </c>
      <c r="BE13" s="82">
        <f>'DJB Daily Readings'!EM21-'DJB Daily Readings'!EM20</f>
        <v>800</v>
      </c>
      <c r="BF13" s="82">
        <f>'DJB Daily Readings'!EO21-'DJB Daily Readings'!EO20</f>
        <v>1000</v>
      </c>
      <c r="BG13" s="82">
        <f>('DJB Daily Readings'!ET21-'DJB Daily Readings'!ET20)*1.89</f>
        <v>26.459999999999997</v>
      </c>
      <c r="BH13" s="82">
        <f>('DJB Daily Readings'!EV21-'DJB Daily Readings'!EV20)*1.89</f>
        <v>24.57</v>
      </c>
      <c r="BI13" s="82">
        <f>('DJB Daily Readings'!EZ21-'DJB Daily Readings'!EZ20)*1.89</f>
        <v>22.68</v>
      </c>
      <c r="BJ13" s="82">
        <f>('DJB Daily Readings'!EX21-'DJB Daily Readings'!EX20)*1.89</f>
        <v>22.68</v>
      </c>
      <c r="BK13" s="82">
        <f>('DJB Daily Readings'!FB21-'DJB Daily Readings'!FB20)*1.89</f>
        <v>56.699999999999996</v>
      </c>
    </row>
    <row r="14" spans="1:65" x14ac:dyDescent="0.25">
      <c r="A14" t="s">
        <v>59</v>
      </c>
      <c r="B14">
        <f t="shared" si="0"/>
        <v>13</v>
      </c>
      <c r="C14">
        <v>5</v>
      </c>
      <c r="D14">
        <v>2021</v>
      </c>
      <c r="E14" s="78">
        <f>237*0.7</f>
        <v>165.89999999999998</v>
      </c>
      <c r="F14" s="79">
        <f>268+49</f>
        <v>317</v>
      </c>
      <c r="G14" s="3">
        <f>'DJB Daily Readings'!C22-'DJB Daily Readings'!C21</f>
        <v>572</v>
      </c>
      <c r="H14" s="3">
        <f>'DJB Daily Readings'!F22-'DJB Daily Readings'!F21</f>
        <v>342</v>
      </c>
      <c r="I14" s="3">
        <f>'DJB Daily Readings'!K22-'DJB Daily Readings'!K21</f>
        <v>354</v>
      </c>
      <c r="J14" s="3">
        <f>'DJB Daily Readings'!K22-'DJB Daily Readings'!K21</f>
        <v>354</v>
      </c>
      <c r="K14" s="3">
        <f>'DJB Daily Readings'!O22-'DJB Daily Readings'!O21</f>
        <v>183.17000000000007</v>
      </c>
      <c r="L14" s="3">
        <f>'DJB Daily Readings'!R22-'DJB Daily Readings'!R21</f>
        <v>30</v>
      </c>
      <c r="M14" s="3">
        <f>'DJB Daily Readings'!U22-'DJB Daily Readings'!U21</f>
        <v>2143.6800000015646</v>
      </c>
      <c r="N14" s="3">
        <f>'DJB Daily Readings'!X22-'DJB Daily Readings'!X21</f>
        <v>4677.1199999991804</v>
      </c>
      <c r="O14" s="3">
        <f>'DJB Daily Readings'!AA22-'DJB Daily Readings'!AA21</f>
        <v>8233.679999999702</v>
      </c>
      <c r="P14" s="3">
        <f>'DJB Daily Readings'!AD22-'DJB Daily Readings'!AD21</f>
        <v>11010.720000000671</v>
      </c>
      <c r="Q14" s="3">
        <f>'DJB Daily Readings'!AG22-'DJB Daily Readings'!AG21</f>
        <v>1364.160000000149</v>
      </c>
      <c r="R14" s="3">
        <f>'DJB Daily Readings'!AJ22-'DJB Daily Readings'!AJ21</f>
        <v>5115.6000000014901</v>
      </c>
      <c r="S14" s="3">
        <f>'DJB Daily Readings'!AM22-'DJB Daily Readings'!AM21</f>
        <v>4287.3600000012666</v>
      </c>
      <c r="T14" s="3">
        <f>'DJB Daily Readings'!AP22-'DJB Daily Readings'!AP21</f>
        <v>4043.7600000016391</v>
      </c>
      <c r="U14" s="3">
        <f>'DJB Daily Readings'!AS22-'DJB Daily Readings'!AS21</f>
        <v>3020.640000000596</v>
      </c>
      <c r="V14" s="3">
        <f>'DJB Daily Readings'!AV22-'DJB Daily Readings'!AV21</f>
        <v>6382.320000000298</v>
      </c>
      <c r="W14" s="3">
        <f>'DJB Daily Readings'!AZ22-'DJB Daily Readings'!AZ21</f>
        <v>40500</v>
      </c>
      <c r="X14" s="3">
        <f>'DJB Daily Readings'!BC22-'DJB Daily Readings'!BC21</f>
        <v>54600</v>
      </c>
      <c r="Y14" s="3">
        <f>'DJB Daily Readings'!BF22-'DJB Daily Readings'!BF21</f>
        <v>0</v>
      </c>
      <c r="Z14" s="3">
        <f>('DJB Daily Readings'!CK22-'DJB Daily Readings'!CK21)*1.89</f>
        <v>187.10999999999999</v>
      </c>
      <c r="AA14" s="3">
        <f>('DJB Daily Readings'!CN22-'DJB Daily Readings'!CN21)*1.89</f>
        <v>171.98999999999998</v>
      </c>
      <c r="AB14" s="3">
        <f>('DJB Daily Readings'!CQ22-'DJB Daily Readings'!CQ21)*1.89</f>
        <v>0</v>
      </c>
      <c r="AC14" s="3">
        <f>'DJB Daily Readings'!CT22-'DJB Daily Readings'!CT21</f>
        <v>253</v>
      </c>
      <c r="AD14" s="84">
        <f>('DJB Daily Readings'!BY22-'DJB Daily Readings'!BY21)*1.89</f>
        <v>34.019999999999996</v>
      </c>
      <c r="AE14" s="84">
        <f>('DJB Daily Readings'!CA22-'DJB Daily Readings'!CA21)*1.89</f>
        <v>18.899999999999999</v>
      </c>
      <c r="AF14" s="84">
        <f>('DJB Daily Readings'!CC22-'DJB Daily Readings'!CC21)*1.89</f>
        <v>1.89</v>
      </c>
      <c r="AG14" s="84">
        <f>('DJB Daily Readings'!CE22-'DJB Daily Readings'!CE21)*1.89</f>
        <v>18.899999999999999</v>
      </c>
      <c r="AH14" s="84">
        <f>('DJB Daily Readings'!CG22-'DJB Daily Readings'!CG21)*1.89</f>
        <v>13.229999999999999</v>
      </c>
      <c r="AI14" s="84">
        <f>('DJB Daily Readings'!CI22-'DJB Daily Readings'!CI21)*1.89</f>
        <v>52.919999999999995</v>
      </c>
      <c r="AJ14" s="81">
        <f>'DJB Daily Readings'!CY22-'DJB Daily Readings'!CY21</f>
        <v>6</v>
      </c>
      <c r="AK14" s="81">
        <f>'DJB Daily Readings'!CW22-'DJB Daily Readings'!CW21</f>
        <v>6</v>
      </c>
      <c r="AL14" s="82">
        <f>'DJB Daily Readings'!DC22-'DJB Daily Readings'!DC21</f>
        <v>9.9000000000014552</v>
      </c>
      <c r="AM14" s="82">
        <f>'DJB Daily Readings'!DA22-'DJB Daily Readings'!DA21</f>
        <v>12.700000000000728</v>
      </c>
      <c r="AN14" s="82">
        <f>'DJB Daily Readings'!DG22-'DJB Daily Readings'!DG21</f>
        <v>9</v>
      </c>
      <c r="AO14" s="82">
        <f>'DJB Daily Readings'!DE22-'DJB Daily Readings'!DE21</f>
        <v>8</v>
      </c>
      <c r="AP14" s="82">
        <f>'DJB Daily Readings'!DK22-'DJB Daily Readings'!DK21</f>
        <v>14</v>
      </c>
      <c r="AQ14" s="82">
        <f>'DJB Daily Readings'!DI22-'DJB Daily Readings'!DI21</f>
        <v>8</v>
      </c>
      <c r="AR14" s="82">
        <f>'DJB Daily Readings'!DO22-'DJB Daily Readings'!DO21</f>
        <v>8</v>
      </c>
      <c r="AS14" s="82">
        <f>'DJB Daily Readings'!DM22-'DJB Daily Readings'!DM21</f>
        <v>0</v>
      </c>
      <c r="AT14" s="82">
        <f>'DJB Daily Readings'!DQ22-'DJB Daily Readings'!DQ21</f>
        <v>17</v>
      </c>
      <c r="AU14" s="82">
        <f>'DJB Daily Readings'!DT22-'DJB Daily Readings'!DT21</f>
        <v>8.5</v>
      </c>
      <c r="AW14" s="82">
        <f>'DJB Daily Readings'!DX22-'DJB Daily Readings'!DX21</f>
        <v>6.5999999999999091</v>
      </c>
      <c r="AX14" s="82">
        <f>'DJB Daily Readings'!DZ22-'DJB Daily Readings'!DZ21</f>
        <v>7.6999999999999886</v>
      </c>
      <c r="AY14" s="82">
        <f>'DJB Daily Readings'!EB22-'DJB Daily Readings'!EB21</f>
        <v>831</v>
      </c>
      <c r="AZ14" s="82">
        <f>'DJB Daily Readings'!ED22-'DJB Daily Readings'!ED21</f>
        <v>161.70000000001164</v>
      </c>
      <c r="BA14" s="82">
        <f>'DJB Daily Readings'!EG22-'DJB Daily Readings'!EG21</f>
        <v>5500</v>
      </c>
      <c r="BB14" s="82">
        <f>'DJB Daily Readings'!EI22-'DJB Daily Readings'!EI21</f>
        <v>240</v>
      </c>
      <c r="BC14" s="82">
        <f>'DJB Daily Readings'!EQ22-'DJB Daily Readings'!EQ21</f>
        <v>4900</v>
      </c>
      <c r="BD14" s="82">
        <f>'DJB Daily Readings'!EK22-'DJB Daily Readings'!EK21</f>
        <v>2400</v>
      </c>
      <c r="BE14" s="82">
        <f>'DJB Daily Readings'!EM22-'DJB Daily Readings'!EM21</f>
        <v>800</v>
      </c>
      <c r="BF14" s="82">
        <f>'DJB Daily Readings'!EO22-'DJB Daily Readings'!EO21</f>
        <v>900</v>
      </c>
      <c r="BG14" s="82">
        <f>('DJB Daily Readings'!ET22-'DJB Daily Readings'!ET21)*1.89</f>
        <v>28.349999999999998</v>
      </c>
      <c r="BH14" s="82">
        <f>('DJB Daily Readings'!EV22-'DJB Daily Readings'!EV21)*1.89</f>
        <v>28.349999999999998</v>
      </c>
      <c r="BI14" s="82">
        <f>('DJB Daily Readings'!EZ22-'DJB Daily Readings'!EZ21)*1.89</f>
        <v>34.019999999999996</v>
      </c>
      <c r="BJ14" s="82">
        <f>('DJB Daily Readings'!EX22-'DJB Daily Readings'!EX21)*1.89</f>
        <v>22.68</v>
      </c>
      <c r="BK14" s="82">
        <f>('DJB Daily Readings'!FB22-'DJB Daily Readings'!FB21)*1.89</f>
        <v>66.149999999999991</v>
      </c>
    </row>
    <row r="15" spans="1:65" x14ac:dyDescent="0.25">
      <c r="A15" t="s">
        <v>59</v>
      </c>
      <c r="B15">
        <f t="shared" si="0"/>
        <v>14</v>
      </c>
      <c r="C15">
        <v>5</v>
      </c>
      <c r="D15">
        <v>2021</v>
      </c>
      <c r="E15" s="78">
        <f>237*0.69</f>
        <v>163.53</v>
      </c>
      <c r="F15" s="79">
        <f>285+48</f>
        <v>333</v>
      </c>
      <c r="G15" s="3">
        <f>'DJB Daily Readings'!C23-'DJB Daily Readings'!C22</f>
        <v>631</v>
      </c>
      <c r="H15" s="3">
        <f>'DJB Daily Readings'!F23-'DJB Daily Readings'!F22</f>
        <v>380</v>
      </c>
      <c r="I15" s="3">
        <f>'DJB Daily Readings'!K23-'DJB Daily Readings'!K22</f>
        <v>301</v>
      </c>
      <c r="J15" s="3">
        <f>'DJB Daily Readings'!K23-'DJB Daily Readings'!K22</f>
        <v>301</v>
      </c>
      <c r="K15" s="3">
        <f>'DJB Daily Readings'!O23-'DJB Daily Readings'!O22</f>
        <v>204.63999999999942</v>
      </c>
      <c r="L15" s="3">
        <f>'DJB Daily Readings'!R23-'DJB Daily Readings'!R22</f>
        <v>37</v>
      </c>
      <c r="M15" s="3">
        <f>'DJB Daily Readings'!U23-'DJB Daily Readings'!U22</f>
        <v>2143.679999999702</v>
      </c>
      <c r="N15" s="3">
        <f>'DJB Daily Readings'!X23-'DJB Daily Readings'!X22</f>
        <v>4482.2400000002235</v>
      </c>
      <c r="O15" s="3">
        <f>'DJB Daily Readings'!AA23-'DJB Daily Readings'!AA22</f>
        <v>8720.8799999989569</v>
      </c>
      <c r="P15" s="3">
        <f>'DJB Daily Readings'!AD23-'DJB Daily Readings'!AD22</f>
        <v>11644.080000000075</v>
      </c>
      <c r="Q15" s="3">
        <f>'DJB Daily Readings'!AG23-'DJB Daily Readings'!AG22</f>
        <v>1559.0400000009686</v>
      </c>
      <c r="R15" s="3">
        <f>'DJB Daily Readings'!AJ23-'DJB Daily Readings'!AJ22</f>
        <v>5066.8799999989569</v>
      </c>
      <c r="S15" s="3">
        <f>'DJB Daily Readings'!AM23-'DJB Daily Readings'!AM22</f>
        <v>4238.6399999987334</v>
      </c>
      <c r="T15" s="3">
        <f>'DJB Daily Readings'!AP23-'DJB Daily Readings'!AP22</f>
        <v>3995.0399999991059</v>
      </c>
      <c r="U15" s="3">
        <f>'DJB Daily Readings'!AS23-'DJB Daily Readings'!AS22</f>
        <v>3069.359999999404</v>
      </c>
      <c r="V15" s="3">
        <f>'DJB Daily Readings'!AV23-'DJB Daily Readings'!AV22</f>
        <v>6284.8800000008196</v>
      </c>
      <c r="W15" s="3">
        <f>'DJB Daily Readings'!AZ23-'DJB Daily Readings'!AZ22</f>
        <v>45400</v>
      </c>
      <c r="X15" s="3">
        <f>'DJB Daily Readings'!BC23-'DJB Daily Readings'!BC22</f>
        <v>61900</v>
      </c>
      <c r="Y15" s="3">
        <f>'DJB Daily Readings'!BF23-'DJB Daily Readings'!BF22</f>
        <v>0</v>
      </c>
      <c r="Z15" s="3">
        <f>('DJB Daily Readings'!CK23-'DJB Daily Readings'!CK22)*1.89</f>
        <v>198.45</v>
      </c>
      <c r="AA15" s="3">
        <f>('DJB Daily Readings'!CN23-'DJB Daily Readings'!CN22)*1.89</f>
        <v>190.89</v>
      </c>
      <c r="AB15" s="3">
        <f>('DJB Daily Readings'!CQ23-'DJB Daily Readings'!CQ22)*1.89</f>
        <v>0</v>
      </c>
      <c r="AC15" s="3">
        <f>'DJB Daily Readings'!CT23-'DJB Daily Readings'!CT22</f>
        <v>270</v>
      </c>
      <c r="AD15" s="84">
        <f>('DJB Daily Readings'!BY23-'DJB Daily Readings'!BY22)*1.89</f>
        <v>37.799999999999997</v>
      </c>
      <c r="AE15" s="84">
        <f>('DJB Daily Readings'!CA23-'DJB Daily Readings'!CA22)*1.89</f>
        <v>24.57</v>
      </c>
      <c r="AF15" s="84">
        <f>('DJB Daily Readings'!CC23-'DJB Daily Readings'!CC22)*1.89</f>
        <v>11.34</v>
      </c>
      <c r="AG15" s="84">
        <f>('DJB Daily Readings'!CE23-'DJB Daily Readings'!CE22)*1.89</f>
        <v>18.899999999999999</v>
      </c>
      <c r="AH15" s="84">
        <f>('DJB Daily Readings'!CG23-'DJB Daily Readings'!CG22)*1.89</f>
        <v>7.56</v>
      </c>
      <c r="AI15" s="84">
        <f>('DJB Daily Readings'!CI23-'DJB Daily Readings'!CI22)*1.89</f>
        <v>51.029999999999994</v>
      </c>
      <c r="AJ15" s="81">
        <f>'DJB Daily Readings'!CY23-'DJB Daily Readings'!CY22</f>
        <v>6</v>
      </c>
      <c r="AK15" s="81">
        <f>'DJB Daily Readings'!CW23-'DJB Daily Readings'!CW22</f>
        <v>8</v>
      </c>
      <c r="AL15" s="82">
        <f>'DJB Daily Readings'!DC23-'DJB Daily Readings'!DC22</f>
        <v>10.099999999998545</v>
      </c>
      <c r="AM15" s="82">
        <f>'DJB Daily Readings'!DA23-'DJB Daily Readings'!DA22</f>
        <v>12.399999999997817</v>
      </c>
      <c r="AN15" s="82">
        <f>'DJB Daily Readings'!DG23-'DJB Daily Readings'!DG22</f>
        <v>7</v>
      </c>
      <c r="AO15" s="82">
        <f>'DJB Daily Readings'!DE23-'DJB Daily Readings'!DE22</f>
        <v>8</v>
      </c>
      <c r="AP15" s="82">
        <f>'DJB Daily Readings'!DK23-'DJB Daily Readings'!DK22</f>
        <v>15</v>
      </c>
      <c r="AQ15" s="82">
        <f>'DJB Daily Readings'!DI23-'DJB Daily Readings'!DI22</f>
        <v>7</v>
      </c>
      <c r="AR15" s="82">
        <f>'DJB Daily Readings'!DO23-'DJB Daily Readings'!DO22</f>
        <v>9</v>
      </c>
      <c r="AS15" s="82">
        <f>'DJB Daily Readings'!DM23-'DJB Daily Readings'!DM22</f>
        <v>0</v>
      </c>
      <c r="AT15" s="82">
        <f>'DJB Daily Readings'!DQ23-'DJB Daily Readings'!DQ22</f>
        <v>18</v>
      </c>
      <c r="AU15" s="82">
        <f>'DJB Daily Readings'!DT23-'DJB Daily Readings'!DT22</f>
        <v>8.6999999999998181</v>
      </c>
      <c r="AW15" s="82">
        <f>'DJB Daily Readings'!DX23-'DJB Daily Readings'!DX22</f>
        <v>6.7000000000000455</v>
      </c>
      <c r="AX15" s="82">
        <f>'DJB Daily Readings'!DZ23-'DJB Daily Readings'!DZ22</f>
        <v>8.6000000000000227</v>
      </c>
      <c r="AY15" s="82">
        <f>'DJB Daily Readings'!EB23-'DJB Daily Readings'!EB22</f>
        <v>915</v>
      </c>
      <c r="AZ15" s="82">
        <f>'DJB Daily Readings'!ED23-'DJB Daily Readings'!ED22</f>
        <v>155.79999999998836</v>
      </c>
      <c r="BA15" s="82">
        <f>'DJB Daily Readings'!EG23-'DJB Daily Readings'!EG22</f>
        <v>5900</v>
      </c>
      <c r="BB15" s="82">
        <f>'DJB Daily Readings'!EI23-'DJB Daily Readings'!EI22</f>
        <v>380</v>
      </c>
      <c r="BC15" s="82">
        <f>'DJB Daily Readings'!EQ23-'DJB Daily Readings'!EQ22</f>
        <v>6200</v>
      </c>
      <c r="BD15" s="82">
        <f>'DJB Daily Readings'!EK23-'DJB Daily Readings'!EK22</f>
        <v>2400</v>
      </c>
      <c r="BE15" s="82">
        <f>'DJB Daily Readings'!EM23-'DJB Daily Readings'!EM22</f>
        <v>800</v>
      </c>
      <c r="BF15" s="82">
        <f>'DJB Daily Readings'!EO23-'DJB Daily Readings'!EO22</f>
        <v>1020</v>
      </c>
      <c r="BG15" s="82">
        <f>('DJB Daily Readings'!ET23-'DJB Daily Readings'!ET22)*1.89</f>
        <v>28.349999999999998</v>
      </c>
      <c r="BH15" s="82">
        <f>('DJB Daily Readings'!EV23-'DJB Daily Readings'!EV22)*1.89</f>
        <v>26.459999999999997</v>
      </c>
      <c r="BI15" s="82">
        <f>('DJB Daily Readings'!EZ23-'DJB Daily Readings'!EZ22)*1.89</f>
        <v>34.019999999999996</v>
      </c>
      <c r="BJ15" s="82">
        <f>('DJB Daily Readings'!EX23-'DJB Daily Readings'!EX22)*1.89</f>
        <v>34.019999999999996</v>
      </c>
      <c r="BK15" s="82">
        <f>('DJB Daily Readings'!FB23-'DJB Daily Readings'!FB22)*1.89</f>
        <v>66.149999999999991</v>
      </c>
    </row>
    <row r="16" spans="1:65" x14ac:dyDescent="0.25">
      <c r="A16" t="s">
        <v>59</v>
      </c>
      <c r="B16">
        <f t="shared" si="0"/>
        <v>15</v>
      </c>
      <c r="C16">
        <v>5</v>
      </c>
      <c r="D16">
        <v>2021</v>
      </c>
      <c r="E16" s="78">
        <f>237*0.59</f>
        <v>139.82999999999998</v>
      </c>
      <c r="F16" s="79">
        <f>226+38</f>
        <v>264</v>
      </c>
      <c r="G16" s="3">
        <f>'DJB Daily Readings'!C24-'DJB Daily Readings'!C23</f>
        <v>585</v>
      </c>
      <c r="H16" s="3">
        <f>'DJB Daily Readings'!F24-'DJB Daily Readings'!F23</f>
        <v>320</v>
      </c>
      <c r="I16" s="3">
        <f>'DJB Daily Readings'!K24-'DJB Daily Readings'!K23</f>
        <v>332</v>
      </c>
      <c r="J16" s="3">
        <f>'DJB Daily Readings'!K24-'DJB Daily Readings'!K23</f>
        <v>332</v>
      </c>
      <c r="K16" s="3">
        <f>'DJB Daily Readings'!O24-'DJB Daily Readings'!O23</f>
        <v>198.94000000000051</v>
      </c>
      <c r="L16" s="3">
        <f>'DJB Daily Readings'!R24-'DJB Daily Readings'!R23</f>
        <v>37</v>
      </c>
      <c r="M16" s="3">
        <f>'DJB Daily Readings'!U24-'DJB Daily Readings'!U23</f>
        <v>2874.4799999995157</v>
      </c>
      <c r="N16" s="3">
        <f>'DJB Daily Readings'!X24-'DJB Daily Readings'!X23</f>
        <v>4677.1199999991804</v>
      </c>
      <c r="O16" s="3">
        <f>'DJB Daily Readings'!AA24-'DJB Daily Readings'!AA23</f>
        <v>1169.2800000011921</v>
      </c>
      <c r="P16" s="3">
        <f>'DJB Daily Readings'!AD24-'DJB Daily Readings'!AD23</f>
        <v>7965.7200000006706</v>
      </c>
      <c r="Q16" s="3">
        <f>'DJB Daily Readings'!AG24-'DJB Daily Readings'!AG23</f>
        <v>11790.240000000224</v>
      </c>
      <c r="R16" s="3">
        <f>'DJB Daily Readings'!AJ24-'DJB Daily Readings'!AJ23</f>
        <v>5213.0400000009686</v>
      </c>
      <c r="S16" s="3">
        <f>'DJB Daily Readings'!AM24-'DJB Daily Readings'!AM23</f>
        <v>4384.8000000007451</v>
      </c>
      <c r="T16" s="3">
        <f>'DJB Daily Readings'!AP24-'DJB Daily Readings'!AP23</f>
        <v>4092.480000000447</v>
      </c>
      <c r="U16" s="3">
        <f>'DJB Daily Readings'!AS24-'DJB Daily Readings'!AS23</f>
        <v>2971.9199999999255</v>
      </c>
      <c r="V16" s="3">
        <f>'DJB Daily Readings'!AV24-'DJB Daily Readings'!AV23</f>
        <v>6528.4799999985844</v>
      </c>
      <c r="W16" s="3">
        <f>'DJB Daily Readings'!AZ24-'DJB Daily Readings'!AZ23</f>
        <v>1800</v>
      </c>
      <c r="X16" s="3">
        <f>'DJB Daily Readings'!BC24-'DJB Daily Readings'!BC23</f>
        <v>39500</v>
      </c>
      <c r="Y16" s="3">
        <f>'DJB Daily Readings'!BF24-'DJB Daily Readings'!BF23</f>
        <v>54900</v>
      </c>
      <c r="Z16" s="3">
        <f>('DJB Daily Readings'!CK24-'DJB Daily Readings'!CK23)*1.89</f>
        <v>200.34</v>
      </c>
      <c r="AA16" s="3">
        <f>('DJB Daily Readings'!CN24-'DJB Daily Readings'!CN23)*1.89</f>
        <v>166.32</v>
      </c>
      <c r="AB16" s="3">
        <f>('DJB Daily Readings'!CQ24-'DJB Daily Readings'!CQ23)*1.89</f>
        <v>0</v>
      </c>
      <c r="AC16" s="3">
        <f>'DJB Daily Readings'!CT24-'DJB Daily Readings'!CT23</f>
        <v>279</v>
      </c>
      <c r="AD16" s="84">
        <f>('DJB Daily Readings'!BY24-'DJB Daily Readings'!BY23)*1.89</f>
        <v>28.349999999999998</v>
      </c>
      <c r="AE16" s="84">
        <f>('DJB Daily Readings'!CA24-'DJB Daily Readings'!CA23)*1.89</f>
        <v>22.68</v>
      </c>
      <c r="AF16" s="84">
        <f>('DJB Daily Readings'!CC24-'DJB Daily Readings'!CC23)*1.89</f>
        <v>13.229999999999999</v>
      </c>
      <c r="AG16" s="84">
        <f>('DJB Daily Readings'!CE24-'DJB Daily Readings'!CE23)*1.89</f>
        <v>18.899999999999999</v>
      </c>
      <c r="AH16" s="84">
        <f>('DJB Daily Readings'!CG24-'DJB Daily Readings'!CG23)*1.89</f>
        <v>22.68</v>
      </c>
      <c r="AI16" s="84">
        <f>('DJB Daily Readings'!CI24-'DJB Daily Readings'!CI23)*1.89</f>
        <v>52.919999999999995</v>
      </c>
      <c r="AJ16" s="81">
        <f>'DJB Daily Readings'!CY24-'DJB Daily Readings'!CY23</f>
        <v>6</v>
      </c>
      <c r="AK16" s="81">
        <f>'DJB Daily Readings'!CW24-'DJB Daily Readings'!CW23</f>
        <v>7</v>
      </c>
      <c r="AL16" s="82">
        <f>'DJB Daily Readings'!DC24-'DJB Daily Readings'!DC23</f>
        <v>10.400000000001455</v>
      </c>
      <c r="AM16" s="82">
        <f>'DJB Daily Readings'!DA24-'DJB Daily Readings'!DA23</f>
        <v>11.80000000000291</v>
      </c>
      <c r="AN16" s="82">
        <f>'DJB Daily Readings'!DG24-'DJB Daily Readings'!DG23</f>
        <v>8</v>
      </c>
      <c r="AO16" s="82">
        <f>'DJB Daily Readings'!DE24-'DJB Daily Readings'!DE23</f>
        <v>8</v>
      </c>
      <c r="AP16" s="82">
        <f>'DJB Daily Readings'!DK24-'DJB Daily Readings'!DK23</f>
        <v>12</v>
      </c>
      <c r="AQ16" s="82">
        <f>'DJB Daily Readings'!DI24-'DJB Daily Readings'!DI23</f>
        <v>7</v>
      </c>
      <c r="AR16" s="82">
        <f>'DJB Daily Readings'!DO24-'DJB Daily Readings'!DO23</f>
        <v>7</v>
      </c>
      <c r="AS16" s="82">
        <f>'DJB Daily Readings'!DM24-'DJB Daily Readings'!DM23</f>
        <v>0</v>
      </c>
      <c r="AT16" s="82">
        <f>'DJB Daily Readings'!DQ24-'DJB Daily Readings'!DQ23</f>
        <v>13</v>
      </c>
      <c r="AU16" s="82">
        <f>'DJB Daily Readings'!DT24-'DJB Daily Readings'!DT23</f>
        <v>8.8000000000001819</v>
      </c>
      <c r="AW16" s="82">
        <f>'DJB Daily Readings'!DX24-'DJB Daily Readings'!DX23</f>
        <v>6</v>
      </c>
      <c r="AX16" s="82">
        <f>'DJB Daily Readings'!DZ24-'DJB Daily Readings'!DZ23</f>
        <v>8.1999999999999886</v>
      </c>
      <c r="AY16" s="82">
        <f>'DJB Daily Readings'!EB24-'DJB Daily Readings'!EB23</f>
        <v>856</v>
      </c>
      <c r="AZ16" s="82">
        <f>'DJB Daily Readings'!ED24-'DJB Daily Readings'!ED23</f>
        <v>159.5</v>
      </c>
      <c r="BA16" s="82">
        <f>'DJB Daily Readings'!EG24-'DJB Daily Readings'!EG23</f>
        <v>6000</v>
      </c>
      <c r="BB16" s="82">
        <f>'DJB Daily Readings'!EI24-'DJB Daily Readings'!EI23</f>
        <v>380</v>
      </c>
      <c r="BC16" s="82">
        <f>'DJB Daily Readings'!EQ24-'DJB Daily Readings'!EQ23</f>
        <v>7000</v>
      </c>
      <c r="BD16" s="82">
        <f>'DJB Daily Readings'!EK24-'DJB Daily Readings'!EK23</f>
        <v>2500</v>
      </c>
      <c r="BE16" s="82">
        <f>'DJB Daily Readings'!EM24-'DJB Daily Readings'!EM23</f>
        <v>400</v>
      </c>
      <c r="BF16" s="82">
        <f>'DJB Daily Readings'!EO24-'DJB Daily Readings'!EO23</f>
        <v>1000</v>
      </c>
      <c r="BG16" s="82">
        <f>('DJB Daily Readings'!ET24-'DJB Daily Readings'!ET23)*1.89</f>
        <v>34.019999999999996</v>
      </c>
      <c r="BH16" s="82">
        <f>('DJB Daily Readings'!EV24-'DJB Daily Readings'!EV23)*1.89</f>
        <v>30.24</v>
      </c>
      <c r="BI16" s="82">
        <f>('DJB Daily Readings'!EZ24-'DJB Daily Readings'!EZ23)*1.89</f>
        <v>30.24</v>
      </c>
      <c r="BJ16" s="82">
        <f>('DJB Daily Readings'!EX24-'DJB Daily Readings'!EX23)*1.89</f>
        <v>24.57</v>
      </c>
      <c r="BK16" s="82">
        <f>('DJB Daily Readings'!FB24-'DJB Daily Readings'!FB23)*1.89</f>
        <v>58.589999999999996</v>
      </c>
    </row>
    <row r="17" spans="1:63" x14ac:dyDescent="0.25">
      <c r="A17" t="s">
        <v>59</v>
      </c>
      <c r="B17">
        <f t="shared" si="0"/>
        <v>16</v>
      </c>
      <c r="C17">
        <v>5</v>
      </c>
      <c r="D17">
        <v>2021</v>
      </c>
      <c r="E17" s="78">
        <f>237*0.59</f>
        <v>139.82999999999998</v>
      </c>
      <c r="F17" s="79">
        <f>200+23</f>
        <v>223</v>
      </c>
      <c r="G17" s="3">
        <f>'DJB Daily Readings'!C25-'DJB Daily Readings'!C24</f>
        <v>590</v>
      </c>
      <c r="H17" s="3">
        <f>'DJB Daily Readings'!F25-'DJB Daily Readings'!F24</f>
        <v>337</v>
      </c>
      <c r="I17" s="3">
        <f>'DJB Daily Readings'!K25-'DJB Daily Readings'!K24</f>
        <v>248</v>
      </c>
      <c r="J17" s="3">
        <f>'DJB Daily Readings'!K25-'DJB Daily Readings'!K24</f>
        <v>248</v>
      </c>
      <c r="K17" s="3">
        <f>'DJB Daily Readings'!O25-'DJB Daily Readings'!O24</f>
        <v>195.96000000000004</v>
      </c>
      <c r="L17" s="3">
        <f>'DJB Daily Readings'!R25-'DJB Daily Readings'!R24</f>
        <v>34</v>
      </c>
      <c r="M17" s="3">
        <f>'DJB Daily Readings'!U25-'DJB Daily Readings'!U24</f>
        <v>3507.8400000007823</v>
      </c>
      <c r="N17" s="3">
        <f>'DJB Daily Readings'!X25-'DJB Daily Readings'!X24</f>
        <v>4579.6800000015646</v>
      </c>
      <c r="O17" s="3">
        <f>'DJB Daily Readings'!AA25-'DJB Daily Readings'!AA24</f>
        <v>682.07999999821186</v>
      </c>
      <c r="P17" s="3">
        <f>'DJB Daily Readings'!AD25-'DJB Daily Readings'!AD24</f>
        <v>6065.6399999987334</v>
      </c>
      <c r="Q17" s="3">
        <f>'DJB Daily Readings'!AG25-'DJB Daily Readings'!AG24</f>
        <v>12618.479999998584</v>
      </c>
      <c r="R17" s="3">
        <f>'DJB Daily Readings'!AJ25-'DJB Daily Readings'!AJ24</f>
        <v>4872</v>
      </c>
      <c r="S17" s="3">
        <f>'DJB Daily Readings'!AM25-'DJB Daily Readings'!AM24</f>
        <v>4384.8000000007451</v>
      </c>
      <c r="T17" s="3">
        <f>'DJB Daily Readings'!AP25-'DJB Daily Readings'!AP24</f>
        <v>3702.7199999988079</v>
      </c>
      <c r="U17" s="3">
        <f>'DJB Daily Readings'!AS25-'DJB Daily Readings'!AS24</f>
        <v>2825.7599999997765</v>
      </c>
      <c r="V17" s="3">
        <f>'DJB Daily Readings'!AV25-'DJB Daily Readings'!AV24</f>
        <v>6431.0399999991059</v>
      </c>
      <c r="W17" s="3">
        <f>'DJB Daily Readings'!AZ25-'DJB Daily Readings'!AZ24</f>
        <v>0</v>
      </c>
      <c r="X17" s="3">
        <f>'DJB Daily Readings'!BC25-'DJB Daily Readings'!BC24</f>
        <v>36100</v>
      </c>
      <c r="Y17" s="3">
        <f>'DJB Daily Readings'!BF25-'DJB Daily Readings'!BF24</f>
        <v>60600</v>
      </c>
      <c r="Z17" s="3">
        <f>('DJB Daily Readings'!CK25-'DJB Daily Readings'!CK24)*1.89</f>
        <v>192.78</v>
      </c>
      <c r="AA17" s="3">
        <f>('DJB Daily Readings'!CN25-'DJB Daily Readings'!CN24)*1.89</f>
        <v>171.98999999999998</v>
      </c>
      <c r="AB17" s="3">
        <f>('DJB Daily Readings'!CQ25-'DJB Daily Readings'!CQ24)*1.89</f>
        <v>0</v>
      </c>
      <c r="AC17" s="3">
        <f>'DJB Daily Readings'!CT25-'DJB Daily Readings'!CT24</f>
        <v>262</v>
      </c>
      <c r="AD17" s="84">
        <f>('DJB Daily Readings'!BY25-'DJB Daily Readings'!BY24)*1.89</f>
        <v>34.019999999999996</v>
      </c>
      <c r="AE17" s="84">
        <f>('DJB Daily Readings'!CA25-'DJB Daily Readings'!CA24)*1.89</f>
        <v>30.24</v>
      </c>
      <c r="AF17" s="84">
        <f>('DJB Daily Readings'!CC25-'DJB Daily Readings'!CC24)*1.89</f>
        <v>11.34</v>
      </c>
      <c r="AG17" s="84">
        <f>('DJB Daily Readings'!CE25-'DJB Daily Readings'!CE24)*1.89</f>
        <v>20.79</v>
      </c>
      <c r="AH17" s="84">
        <f>('DJB Daily Readings'!CG25-'DJB Daily Readings'!CG24)*1.89</f>
        <v>18.899999999999999</v>
      </c>
      <c r="AI17" s="84">
        <f>('DJB Daily Readings'!CI25-'DJB Daily Readings'!CI24)*1.89</f>
        <v>47.25</v>
      </c>
      <c r="AJ17" s="81">
        <f>'DJB Daily Readings'!CY25-'DJB Daily Readings'!CY24</f>
        <v>4</v>
      </c>
      <c r="AK17" s="81">
        <f>'DJB Daily Readings'!CW25-'DJB Daily Readings'!CW24</f>
        <v>5</v>
      </c>
      <c r="AL17" s="82">
        <f>'DJB Daily Readings'!DC25-'DJB Daily Readings'!DC24</f>
        <v>11.099999999998545</v>
      </c>
      <c r="AM17" s="82">
        <f>'DJB Daily Readings'!DA25-'DJB Daily Readings'!DA24</f>
        <v>8.5999999999985448</v>
      </c>
      <c r="AN17" s="82">
        <f>'DJB Daily Readings'!DG25-'DJB Daily Readings'!DG24</f>
        <v>11</v>
      </c>
      <c r="AO17" s="82">
        <f>'DJB Daily Readings'!DE25-'DJB Daily Readings'!DE24</f>
        <v>8</v>
      </c>
      <c r="AP17" s="82">
        <f>'DJB Daily Readings'!DK25-'DJB Daily Readings'!DK24</f>
        <v>14</v>
      </c>
      <c r="AQ17" s="82">
        <f>'DJB Daily Readings'!DI25-'DJB Daily Readings'!DI24</f>
        <v>7</v>
      </c>
      <c r="AR17" s="82">
        <f>'DJB Daily Readings'!DO25-'DJB Daily Readings'!DO24</f>
        <v>6</v>
      </c>
      <c r="AS17" s="82">
        <f>'DJB Daily Readings'!DM25-'DJB Daily Readings'!DM24</f>
        <v>0</v>
      </c>
      <c r="AT17" s="82">
        <f>'DJB Daily Readings'!DQ25-'DJB Daily Readings'!DQ24</f>
        <v>14</v>
      </c>
      <c r="AU17" s="82">
        <f>'DJB Daily Readings'!DT25-'DJB Daily Readings'!DT24</f>
        <v>8.5999999999999091</v>
      </c>
      <c r="AW17" s="82">
        <f>'DJB Daily Readings'!DX25-'DJB Daily Readings'!DX24</f>
        <v>7</v>
      </c>
      <c r="AX17" s="82">
        <f>'DJB Daily Readings'!DZ25-'DJB Daily Readings'!DZ24</f>
        <v>8.3000000000000114</v>
      </c>
      <c r="AY17" s="82">
        <f>'DJB Daily Readings'!EB25-'DJB Daily Readings'!EB24</f>
        <v>719</v>
      </c>
      <c r="AZ17" s="82">
        <f>'DJB Daily Readings'!ED25-'DJB Daily Readings'!ED24</f>
        <v>160.80000000001746</v>
      </c>
      <c r="BA17" s="82">
        <f>'DJB Daily Readings'!EG25-'DJB Daily Readings'!EG24</f>
        <v>6100</v>
      </c>
      <c r="BB17" s="82">
        <f>'DJB Daily Readings'!EI25-'DJB Daily Readings'!EI24</f>
        <v>450</v>
      </c>
      <c r="BC17" s="82">
        <f>'DJB Daily Readings'!EQ25-'DJB Daily Readings'!EQ24</f>
        <v>8000</v>
      </c>
      <c r="BD17" s="82">
        <f>'DJB Daily Readings'!EK25-'DJB Daily Readings'!EK24</f>
        <v>2800</v>
      </c>
      <c r="BE17" s="82">
        <f>'DJB Daily Readings'!EM25-'DJB Daily Readings'!EM24</f>
        <v>1300</v>
      </c>
      <c r="BF17" s="82">
        <f>'DJB Daily Readings'!EO25-'DJB Daily Readings'!EO24</f>
        <v>870</v>
      </c>
      <c r="BG17" s="82">
        <f>('DJB Daily Readings'!ET25-'DJB Daily Readings'!ET24)*1.89</f>
        <v>30.24</v>
      </c>
      <c r="BH17" s="82">
        <f>('DJB Daily Readings'!EV25-'DJB Daily Readings'!EV24)*1.89</f>
        <v>22.68</v>
      </c>
      <c r="BI17" s="82">
        <f>('DJB Daily Readings'!EZ25-'DJB Daily Readings'!EZ24)*1.89</f>
        <v>30.24</v>
      </c>
      <c r="BJ17" s="82">
        <f>('DJB Daily Readings'!EX25-'DJB Daily Readings'!EX24)*1.89</f>
        <v>22.68</v>
      </c>
      <c r="BK17" s="82">
        <f>('DJB Daily Readings'!FB25-'DJB Daily Readings'!FB24)*1.89</f>
        <v>52.919999999999995</v>
      </c>
    </row>
    <row r="18" spans="1:63" x14ac:dyDescent="0.25">
      <c r="A18" t="s">
        <v>59</v>
      </c>
      <c r="B18">
        <f t="shared" si="0"/>
        <v>17</v>
      </c>
      <c r="C18">
        <v>5</v>
      </c>
      <c r="D18">
        <v>2021</v>
      </c>
      <c r="E18" s="78">
        <f>237*0.57</f>
        <v>135.08999999999997</v>
      </c>
      <c r="F18" s="79">
        <f>200+23</f>
        <v>223</v>
      </c>
      <c r="G18" s="3">
        <f>'DJB Daily Readings'!C26-'DJB Daily Readings'!C25</f>
        <v>587</v>
      </c>
      <c r="H18" s="3">
        <f>'DJB Daily Readings'!F26-'DJB Daily Readings'!F25</f>
        <v>301</v>
      </c>
      <c r="I18" s="3">
        <f>'DJB Daily Readings'!K26-'DJB Daily Readings'!K25</f>
        <v>325</v>
      </c>
      <c r="J18" s="3">
        <f>'DJB Daily Readings'!K26-'DJB Daily Readings'!K25</f>
        <v>325</v>
      </c>
      <c r="K18" s="3">
        <f>'DJB Daily Readings'!O26-'DJB Daily Readings'!O25</f>
        <v>203.06999999999971</v>
      </c>
      <c r="L18" s="3">
        <f>'DJB Daily Readings'!R26-'DJB Daily Readings'!R25</f>
        <v>38</v>
      </c>
      <c r="M18" s="3">
        <f>'DJB Daily Readings'!U26-'DJB Daily Readings'!U25</f>
        <v>3848.8799999998882</v>
      </c>
      <c r="N18" s="3">
        <f>'DJB Daily Readings'!X26-'DJB Daily Readings'!X25</f>
        <v>4628.4000000003725</v>
      </c>
      <c r="O18" s="3">
        <f>'DJB Daily Readings'!AA26-'DJB Daily Readings'!AA25</f>
        <v>730.80000000074506</v>
      </c>
      <c r="P18" s="3">
        <f>'DJB Daily Readings'!AD26-'DJB Daily Readings'!AD25</f>
        <v>6772.0800000000745</v>
      </c>
      <c r="Q18" s="3">
        <f>'DJB Daily Readings'!AG26-'DJB Daily Readings'!AG25</f>
        <v>12715.919999999925</v>
      </c>
      <c r="R18" s="3">
        <f>'DJB Daily Readings'!AJ26-'DJB Daily Readings'!AJ25</f>
        <v>5407.9199999999255</v>
      </c>
      <c r="S18" s="3">
        <f>'DJB Daily Readings'!AM26-'DJB Daily Readings'!AM25</f>
        <v>4482.2400000002235</v>
      </c>
      <c r="T18" s="3">
        <f>'DJB Daily Readings'!AP26-'DJB Daily Readings'!AP25</f>
        <v>3848.8800000008196</v>
      </c>
      <c r="U18" s="3">
        <f>'DJB Daily Readings'!AS26-'DJB Daily Readings'!AS25</f>
        <v>2923.1999999992549</v>
      </c>
      <c r="V18" s="3">
        <f>'DJB Daily Readings'!AV26-'DJB Daily Readings'!AV25</f>
        <v>5554.0800000019372</v>
      </c>
      <c r="W18" s="3">
        <f>'DJB Daily Readings'!AZ26-'DJB Daily Readings'!AZ25</f>
        <v>0</v>
      </c>
      <c r="X18" s="3">
        <f>'DJB Daily Readings'!BC26-'DJB Daily Readings'!BC25</f>
        <v>39700</v>
      </c>
      <c r="Y18" s="3">
        <f>'DJB Daily Readings'!BF26-'DJB Daily Readings'!BF25</f>
        <v>60000</v>
      </c>
      <c r="Z18" s="3">
        <f>('DJB Daily Readings'!CK26-'DJB Daily Readings'!CK25)*1.89</f>
        <v>190.89</v>
      </c>
      <c r="AA18" s="3">
        <f>('DJB Daily Readings'!CN26-'DJB Daily Readings'!CN25)*1.89</f>
        <v>173.88</v>
      </c>
      <c r="AB18" s="3">
        <f>('DJB Daily Readings'!CQ26-'DJB Daily Readings'!CQ25)*1.89</f>
        <v>0</v>
      </c>
      <c r="AC18" s="3">
        <f>'DJB Daily Readings'!CT26-'DJB Daily Readings'!CT25</f>
        <v>271</v>
      </c>
      <c r="AD18" s="84">
        <f>('DJB Daily Readings'!BY26-'DJB Daily Readings'!BY25)*1.89</f>
        <v>30.24</v>
      </c>
      <c r="AE18" s="84">
        <f>('DJB Daily Readings'!CA26-'DJB Daily Readings'!CA25)*1.89</f>
        <v>26.459999999999997</v>
      </c>
      <c r="AF18" s="84">
        <f>('DJB Daily Readings'!CC26-'DJB Daily Readings'!CC25)*1.89</f>
        <v>11.34</v>
      </c>
      <c r="AG18" s="84">
        <f>('DJB Daily Readings'!CE26-'DJB Daily Readings'!CE25)*1.89</f>
        <v>24.57</v>
      </c>
      <c r="AH18" s="84">
        <f>('DJB Daily Readings'!CG26-'DJB Daily Readings'!CG25)*1.89</f>
        <v>13.229999999999999</v>
      </c>
      <c r="AI18" s="84">
        <f>('DJB Daily Readings'!CI26-'DJB Daily Readings'!CI25)*1.89</f>
        <v>47.25</v>
      </c>
      <c r="AJ18" s="81">
        <f>'DJB Daily Readings'!CY26-'DJB Daily Readings'!CY25</f>
        <v>4</v>
      </c>
      <c r="AK18" s="81">
        <f>'DJB Daily Readings'!CW26-'DJB Daily Readings'!CW25</f>
        <v>4</v>
      </c>
      <c r="AL18" s="82">
        <f>'DJB Daily Readings'!DC26-'DJB Daily Readings'!DC25</f>
        <v>9.7000000000007276</v>
      </c>
      <c r="AM18" s="82">
        <f>'DJB Daily Readings'!DA26-'DJB Daily Readings'!DA25</f>
        <v>9.7000000000007276</v>
      </c>
      <c r="AN18" s="82">
        <f>'DJB Daily Readings'!DG26-'DJB Daily Readings'!DG25</f>
        <v>7.9000000000014552</v>
      </c>
      <c r="AO18" s="82">
        <f>'DJB Daily Readings'!DE26-'DJB Daily Readings'!DE25</f>
        <v>7.5</v>
      </c>
      <c r="AP18" s="82">
        <f>'DJB Daily Readings'!DK26-'DJB Daily Readings'!DK25</f>
        <v>13</v>
      </c>
      <c r="AQ18" s="82">
        <f>'DJB Daily Readings'!DI26-'DJB Daily Readings'!DI25</f>
        <v>6</v>
      </c>
      <c r="AR18" s="82">
        <f>'DJB Daily Readings'!DO26-'DJB Daily Readings'!DO25</f>
        <v>7</v>
      </c>
      <c r="AS18" s="82">
        <f>'DJB Daily Readings'!DM26-'DJB Daily Readings'!DM25</f>
        <v>0</v>
      </c>
      <c r="AT18" s="82">
        <f>'DJB Daily Readings'!DQ26-'DJB Daily Readings'!DQ25</f>
        <v>16</v>
      </c>
      <c r="AU18" s="82">
        <f>'DJB Daily Readings'!DT26-'DJB Daily Readings'!DT25</f>
        <v>8.2999999999999545</v>
      </c>
      <c r="AW18" s="82">
        <f>'DJB Daily Readings'!DX26-'DJB Daily Readings'!DX25</f>
        <v>7.2000000000000455</v>
      </c>
      <c r="AX18" s="82">
        <f>'DJB Daily Readings'!DZ26-'DJB Daily Readings'!DZ25</f>
        <v>8.1999999999999886</v>
      </c>
      <c r="AY18" s="82">
        <f>'DJB Daily Readings'!EB26-'DJB Daily Readings'!EB25</f>
        <v>921</v>
      </c>
      <c r="AZ18" s="82">
        <f>'DJB Daily Readings'!ED26-'DJB Daily Readings'!ED25</f>
        <v>157</v>
      </c>
      <c r="BA18" s="82">
        <f>'DJB Daily Readings'!EG26-'DJB Daily Readings'!EG25</f>
        <v>5600</v>
      </c>
      <c r="BB18" s="82">
        <f>'DJB Daily Readings'!EI26-'DJB Daily Readings'!EI25</f>
        <v>400</v>
      </c>
      <c r="BC18" s="82">
        <f>'DJB Daily Readings'!EQ26-'DJB Daily Readings'!EQ25</f>
        <v>6600</v>
      </c>
      <c r="BD18" s="82">
        <f>'DJB Daily Readings'!EK26-'DJB Daily Readings'!EK25</f>
        <v>2800</v>
      </c>
      <c r="BE18" s="82">
        <f>'DJB Daily Readings'!EM26-'DJB Daily Readings'!EM25</f>
        <v>700</v>
      </c>
      <c r="BF18" s="82">
        <f>'DJB Daily Readings'!EO26-'DJB Daily Readings'!EO25</f>
        <v>900</v>
      </c>
      <c r="BG18" s="82">
        <f>('DJB Daily Readings'!ET26-'DJB Daily Readings'!ET25)*1.89</f>
        <v>28.349999999999998</v>
      </c>
      <c r="BH18" s="82">
        <f>('DJB Daily Readings'!EV26-'DJB Daily Readings'!EV25)*1.89</f>
        <v>26.459999999999997</v>
      </c>
      <c r="BI18" s="82">
        <f>('DJB Daily Readings'!EZ26-'DJB Daily Readings'!EZ25)*1.89</f>
        <v>22.68</v>
      </c>
      <c r="BJ18" s="82">
        <f>('DJB Daily Readings'!EX26-'DJB Daily Readings'!EX25)*1.89</f>
        <v>26.459999999999997</v>
      </c>
      <c r="BK18" s="82">
        <f>('DJB Daily Readings'!FB26-'DJB Daily Readings'!FB25)*1.89</f>
        <v>58.589999999999996</v>
      </c>
    </row>
    <row r="19" spans="1:63" x14ac:dyDescent="0.25">
      <c r="A19" t="s">
        <v>59</v>
      </c>
      <c r="B19">
        <f t="shared" si="0"/>
        <v>18</v>
      </c>
      <c r="C19">
        <v>5</v>
      </c>
      <c r="D19">
        <v>2021</v>
      </c>
      <c r="E19" s="78">
        <f>237*0.65</f>
        <v>154.05000000000001</v>
      </c>
      <c r="F19" s="79">
        <f>236+28</f>
        <v>264</v>
      </c>
      <c r="G19" s="3">
        <f>'DJB Daily Readings'!C27-'DJB Daily Readings'!C26</f>
        <v>531</v>
      </c>
      <c r="H19" s="3">
        <f>'DJB Daily Readings'!F27-'DJB Daily Readings'!F26</f>
        <v>289</v>
      </c>
      <c r="I19" s="3">
        <f>'DJB Daily Readings'!K27-'DJB Daily Readings'!K26</f>
        <v>319</v>
      </c>
      <c r="J19" s="3">
        <f>'DJB Daily Readings'!K27-'DJB Daily Readings'!K26</f>
        <v>319</v>
      </c>
      <c r="K19" s="3">
        <f>'DJB Daily Readings'!O27-'DJB Daily Readings'!O26</f>
        <v>202.17000000000007</v>
      </c>
      <c r="L19" s="3">
        <f>'DJB Daily Readings'!R27-'DJB Daily Readings'!R26</f>
        <v>33</v>
      </c>
      <c r="M19" s="3">
        <f>'DJB Daily Readings'!U27-'DJB Daily Readings'!U26</f>
        <v>3605.2799999993294</v>
      </c>
      <c r="N19" s="3">
        <f>'DJB Daily Readings'!X27-'DJB Daily Readings'!X26</f>
        <v>4579.679999999702</v>
      </c>
      <c r="O19" s="3">
        <f>'DJB Daily Readings'!AA27-'DJB Daily Readings'!AA26</f>
        <v>730.80000000074506</v>
      </c>
      <c r="P19" s="3">
        <f>'DJB Daily Readings'!AD27-'DJB Daily Readings'!AD26</f>
        <v>5456.640000000596</v>
      </c>
      <c r="Q19" s="3">
        <f>'DJB Daily Readings'!AG27-'DJB Daily Readings'!AG26</f>
        <v>12667.200000001118</v>
      </c>
      <c r="R19" s="3">
        <f>'DJB Daily Readings'!AJ27-'DJB Daily Readings'!AJ26</f>
        <v>5456.6399999987334</v>
      </c>
      <c r="S19" s="3">
        <f>'DJB Daily Readings'!AM27-'DJB Daily Readings'!AM26</f>
        <v>4482.2400000002235</v>
      </c>
      <c r="T19" s="3">
        <f>'DJB Daily Readings'!AP27-'DJB Daily Readings'!AP26</f>
        <v>3800.160000000149</v>
      </c>
      <c r="U19" s="3">
        <f>'DJB Daily Readings'!AS27-'DJB Daily Readings'!AS26</f>
        <v>2241.1200000010431</v>
      </c>
      <c r="V19" s="3">
        <f>'DJB Daily Readings'!AV27-'DJB Daily Readings'!AV26</f>
        <v>5797.6799999978393</v>
      </c>
      <c r="W19" s="3">
        <f>'DJB Daily Readings'!AZ27-'DJB Daily Readings'!AZ26</f>
        <v>0</v>
      </c>
      <c r="X19" s="3">
        <f>'DJB Daily Readings'!BC27-'DJB Daily Readings'!BC26</f>
        <v>31900</v>
      </c>
      <c r="Y19" s="3">
        <f>'DJB Daily Readings'!BF27-'DJB Daily Readings'!BF26</f>
        <v>60900</v>
      </c>
      <c r="Z19" s="3">
        <f>('DJB Daily Readings'!CK27-'DJB Daily Readings'!CK26)*1.89</f>
        <v>189</v>
      </c>
      <c r="AA19" s="3">
        <f>('DJB Daily Readings'!CN27-'DJB Daily Readings'!CN26)*1.89</f>
        <v>162.54</v>
      </c>
      <c r="AB19" s="3">
        <f>('DJB Daily Readings'!CQ27-'DJB Daily Readings'!CQ26)*1.89</f>
        <v>0</v>
      </c>
      <c r="AC19" s="3">
        <f>'DJB Daily Readings'!CT27-'DJB Daily Readings'!CT26</f>
        <v>270</v>
      </c>
      <c r="AD19" s="84">
        <f>('DJB Daily Readings'!BY27-'DJB Daily Readings'!BY26)*1.89</f>
        <v>34.019999999999996</v>
      </c>
      <c r="AE19" s="84">
        <f>('DJB Daily Readings'!CA27-'DJB Daily Readings'!CA26)*1.89</f>
        <v>28.349999999999998</v>
      </c>
      <c r="AF19" s="84">
        <f>('DJB Daily Readings'!CC27-'DJB Daily Readings'!CC26)*1.89</f>
        <v>11.34</v>
      </c>
      <c r="AG19" s="84">
        <f>('DJB Daily Readings'!CE27-'DJB Daily Readings'!CE26)*1.89</f>
        <v>11.34</v>
      </c>
      <c r="AH19" s="84">
        <f>('DJB Daily Readings'!CG27-'DJB Daily Readings'!CG26)*1.89</f>
        <v>22.68</v>
      </c>
      <c r="AI19" s="84">
        <f>('DJB Daily Readings'!CI27-'DJB Daily Readings'!CI26)*1.89</f>
        <v>43.47</v>
      </c>
      <c r="AJ19" s="81">
        <f>'DJB Daily Readings'!CY27-'DJB Daily Readings'!CY26</f>
        <v>4</v>
      </c>
      <c r="AK19" s="81">
        <f>'DJB Daily Readings'!CW27-'DJB Daily Readings'!CW26</f>
        <v>4</v>
      </c>
      <c r="AL19" s="82">
        <f>'DJB Daily Readings'!DC27-'DJB Daily Readings'!DC26</f>
        <v>10.200000000000728</v>
      </c>
      <c r="AM19" s="82">
        <f>'DJB Daily Readings'!DA27-'DJB Daily Readings'!DA26</f>
        <v>9.7000000000007276</v>
      </c>
      <c r="AN19" s="82">
        <f>'DJB Daily Readings'!DG27-'DJB Daily Readings'!DG26</f>
        <v>7.1999999999970896</v>
      </c>
      <c r="AO19" s="82">
        <f>'DJB Daily Readings'!DE27-'DJB Daily Readings'!DE26</f>
        <v>7.4000000000014552</v>
      </c>
      <c r="AP19" s="82">
        <f>'DJB Daily Readings'!DK27-'DJB Daily Readings'!DK26</f>
        <v>13</v>
      </c>
      <c r="AQ19" s="82">
        <f>'DJB Daily Readings'!DI27-'DJB Daily Readings'!DI26</f>
        <v>7</v>
      </c>
      <c r="AR19" s="82">
        <f>'DJB Daily Readings'!DO27-'DJB Daily Readings'!DO26</f>
        <v>6</v>
      </c>
      <c r="AS19" s="82">
        <f>'DJB Daily Readings'!DM27-'DJB Daily Readings'!DM26</f>
        <v>0</v>
      </c>
      <c r="AT19" s="82">
        <f>'DJB Daily Readings'!DQ27-'DJB Daily Readings'!DQ26</f>
        <v>17</v>
      </c>
      <c r="AU19" s="82">
        <f>'DJB Daily Readings'!DT27-'DJB Daily Readings'!DT26</f>
        <v>8.2999999999999545</v>
      </c>
      <c r="AW19" s="82">
        <f>'DJB Daily Readings'!DX27-'DJB Daily Readings'!DX26</f>
        <v>6.5</v>
      </c>
      <c r="AX19" s="82">
        <f>'DJB Daily Readings'!DZ27-'DJB Daily Readings'!DZ26</f>
        <v>8.1000000000000227</v>
      </c>
      <c r="AY19" s="82">
        <f>'DJB Daily Readings'!EB27-'DJB Daily Readings'!EB26</f>
        <v>833</v>
      </c>
      <c r="AZ19" s="82">
        <f>'DJB Daily Readings'!ED27-'DJB Daily Readings'!ED26</f>
        <v>159.69999999998254</v>
      </c>
      <c r="BA19" s="82">
        <f>'DJB Daily Readings'!EG27-'DJB Daily Readings'!EG26</f>
        <v>5700</v>
      </c>
      <c r="BB19" s="82">
        <f>'DJB Daily Readings'!EI27-'DJB Daily Readings'!EI26</f>
        <v>420</v>
      </c>
      <c r="BC19" s="82">
        <f>'DJB Daily Readings'!EQ27-'DJB Daily Readings'!EQ26</f>
        <v>6900</v>
      </c>
      <c r="BD19" s="82">
        <f>'DJB Daily Readings'!EK27-'DJB Daily Readings'!EK26</f>
        <v>3100</v>
      </c>
      <c r="BE19" s="82">
        <f>'DJB Daily Readings'!EM27-'DJB Daily Readings'!EM26</f>
        <v>800</v>
      </c>
      <c r="BF19" s="82">
        <f>'DJB Daily Readings'!EO27-'DJB Daily Readings'!EO26</f>
        <v>950</v>
      </c>
      <c r="BG19" s="82">
        <f>('DJB Daily Readings'!ET27-'DJB Daily Readings'!ET26)*1.89</f>
        <v>30.24</v>
      </c>
      <c r="BH19" s="82">
        <f>('DJB Daily Readings'!EV27-'DJB Daily Readings'!EV26)*1.89</f>
        <v>24.57</v>
      </c>
      <c r="BI19" s="82">
        <f>('DJB Daily Readings'!EZ27-'DJB Daily Readings'!EZ26)*1.89</f>
        <v>24.57</v>
      </c>
      <c r="BJ19" s="82">
        <f>('DJB Daily Readings'!EX27-'DJB Daily Readings'!EX26)*1.89</f>
        <v>20.79</v>
      </c>
      <c r="BK19" s="82">
        <f>('DJB Daily Readings'!FB27-'DJB Daily Readings'!FB26)*1.89</f>
        <v>58.589999999999996</v>
      </c>
    </row>
    <row r="20" spans="1:63" x14ac:dyDescent="0.25">
      <c r="A20" t="s">
        <v>59</v>
      </c>
      <c r="B20">
        <f t="shared" si="0"/>
        <v>19</v>
      </c>
      <c r="C20">
        <v>5</v>
      </c>
      <c r="D20">
        <v>2021</v>
      </c>
      <c r="E20" s="78">
        <f>237*0.7</f>
        <v>165.89999999999998</v>
      </c>
      <c r="F20" s="79">
        <f>284+26</f>
        <v>310</v>
      </c>
      <c r="G20" s="3">
        <f>'DJB Daily Readings'!C28-'DJB Daily Readings'!C27</f>
        <v>899</v>
      </c>
      <c r="H20" s="3">
        <f>'DJB Daily Readings'!F28-'DJB Daily Readings'!F27</f>
        <v>332</v>
      </c>
      <c r="I20" s="3">
        <f>'DJB Daily Readings'!K28-'DJB Daily Readings'!K27</f>
        <v>336</v>
      </c>
      <c r="J20" s="3">
        <f>'DJB Daily Readings'!K28-'DJB Daily Readings'!K27</f>
        <v>336</v>
      </c>
      <c r="K20" s="3">
        <f>'DJB Daily Readings'!O28-'DJB Daily Readings'!O27</f>
        <v>221.51000000000022</v>
      </c>
      <c r="L20" s="3">
        <f>'DJB Daily Readings'!R28-'DJB Daily Readings'!R27</f>
        <v>17</v>
      </c>
      <c r="M20" s="3">
        <f>'DJB Daily Readings'!U28-'DJB Daily Readings'!U27</f>
        <v>3800.160000000149</v>
      </c>
      <c r="N20" s="3">
        <f>'DJB Daily Readings'!X28-'DJB Daily Readings'!X27</f>
        <v>4628.4000000003725</v>
      </c>
      <c r="O20" s="3">
        <f>'DJB Daily Readings'!AA28-'DJB Daily Readings'!AA27</f>
        <v>779.51999999955297</v>
      </c>
      <c r="P20" s="3">
        <f>'DJB Daily Readings'!AD28-'DJB Daily Readings'!AD27</f>
        <v>6333.5999999996275</v>
      </c>
      <c r="Q20" s="3">
        <f>'DJB Daily Readings'!AG28-'DJB Daily Readings'!AG27</f>
        <v>14080.080000000075</v>
      </c>
      <c r="R20" s="3">
        <f>'DJB Daily Readings'!AJ28-'DJB Daily Readings'!AJ27</f>
        <v>5018.160000000149</v>
      </c>
      <c r="S20" s="3">
        <f>'DJB Daily Readings'!AM28-'DJB Daily Readings'!AM27</f>
        <v>4530.9599999990314</v>
      </c>
      <c r="T20" s="3">
        <f>'DJB Daily Readings'!AP28-'DJB Daily Readings'!AP27</f>
        <v>3897.5999999996275</v>
      </c>
      <c r="U20" s="3">
        <f>'DJB Daily Readings'!AS28-'DJB Daily Readings'!AS27</f>
        <v>3166.8000000007451</v>
      </c>
      <c r="V20" s="3">
        <f>'DJB Daily Readings'!AV28-'DJB Daily Readings'!AV27</f>
        <v>5797.6800000034273</v>
      </c>
      <c r="W20" s="3">
        <f>'DJB Daily Readings'!AZ28-'DJB Daily Readings'!AZ27</f>
        <v>0</v>
      </c>
      <c r="X20" s="3">
        <f>'DJB Daily Readings'!BC28-'DJB Daily Readings'!BC27</f>
        <v>39100</v>
      </c>
      <c r="Y20" s="3">
        <f>'DJB Daily Readings'!BF28-'DJB Daily Readings'!BF27</f>
        <v>62700</v>
      </c>
      <c r="Z20" s="3">
        <f>('DJB Daily Readings'!CK28-'DJB Daily Readings'!CK27)*1.89</f>
        <v>187.10999999999999</v>
      </c>
      <c r="AA20" s="3">
        <f>('DJB Daily Readings'!CN28-'DJB Daily Readings'!CN27)*1.89</f>
        <v>168.20999999999998</v>
      </c>
      <c r="AB20" s="3">
        <f>('DJB Daily Readings'!CQ28-'DJB Daily Readings'!CQ27)*1.89</f>
        <v>0</v>
      </c>
      <c r="AC20" s="3">
        <f>'DJB Daily Readings'!CT28-'DJB Daily Readings'!CT27</f>
        <v>267</v>
      </c>
      <c r="AD20" s="84">
        <f>('DJB Daily Readings'!BY28-'DJB Daily Readings'!BY27)*1.89</f>
        <v>30.24</v>
      </c>
      <c r="AE20" s="84">
        <f>('DJB Daily Readings'!CA28-'DJB Daily Readings'!CA27)*1.89</f>
        <v>28.349999999999998</v>
      </c>
      <c r="AF20" s="84">
        <f>('DJB Daily Readings'!CC28-'DJB Daily Readings'!CC27)*1.89</f>
        <v>11.34</v>
      </c>
      <c r="AG20" s="84">
        <f>('DJB Daily Readings'!CE28-'DJB Daily Readings'!CE27)*1.89</f>
        <v>20.79</v>
      </c>
      <c r="AH20" s="84">
        <f>('DJB Daily Readings'!CG28-'DJB Daily Readings'!CG27)*1.89</f>
        <v>15.12</v>
      </c>
      <c r="AI20" s="84">
        <f>('DJB Daily Readings'!CI28-'DJB Daily Readings'!CI27)*1.89</f>
        <v>39.69</v>
      </c>
      <c r="AJ20" s="81">
        <f>'DJB Daily Readings'!CY28-'DJB Daily Readings'!CY27</f>
        <v>6</v>
      </c>
      <c r="AK20" s="81">
        <f>'DJB Daily Readings'!CW28-'DJB Daily Readings'!CW27</f>
        <v>6</v>
      </c>
      <c r="AL20" s="82">
        <f>'DJB Daily Readings'!DC28-'DJB Daily Readings'!DC27</f>
        <v>11.69999999999709</v>
      </c>
      <c r="AM20" s="82">
        <f>'DJB Daily Readings'!DA28-'DJB Daily Readings'!DA27</f>
        <v>11.099999999998545</v>
      </c>
      <c r="AN20" s="82">
        <f>'DJB Daily Readings'!DG28-'DJB Daily Readings'!DG27</f>
        <v>8.6000000000021828</v>
      </c>
      <c r="AO20" s="82">
        <f>'DJB Daily Readings'!DE28-'DJB Daily Readings'!DE27</f>
        <v>7.5</v>
      </c>
      <c r="AP20" s="82">
        <f>'DJB Daily Readings'!DK28-'DJB Daily Readings'!DK27</f>
        <v>13</v>
      </c>
      <c r="AQ20" s="82">
        <f>'DJB Daily Readings'!DI28-'DJB Daily Readings'!DI27</f>
        <v>5</v>
      </c>
      <c r="AR20" s="82">
        <f>'DJB Daily Readings'!DO28-'DJB Daily Readings'!DO27</f>
        <v>7</v>
      </c>
      <c r="AS20" s="82">
        <f>'DJB Daily Readings'!DM28-'DJB Daily Readings'!DM27</f>
        <v>0</v>
      </c>
      <c r="AT20" s="82">
        <f>'DJB Daily Readings'!DQ28-'DJB Daily Readings'!DQ27</f>
        <v>18</v>
      </c>
      <c r="AU20" s="82">
        <f>'DJB Daily Readings'!DT28-'DJB Daily Readings'!DT27</f>
        <v>9</v>
      </c>
      <c r="AW20" s="82">
        <f>'DJB Daily Readings'!DX28-'DJB Daily Readings'!DX27</f>
        <v>7.3999999999999773</v>
      </c>
      <c r="AX20" s="82">
        <f>'DJB Daily Readings'!DZ28-'DJB Daily Readings'!DZ27</f>
        <v>8.5999999999999659</v>
      </c>
      <c r="AY20" s="82">
        <f>'DJB Daily Readings'!EB28-'DJB Daily Readings'!EB27</f>
        <v>812</v>
      </c>
      <c r="AZ20" s="82">
        <f>'DJB Daily Readings'!ED28-'DJB Daily Readings'!ED27</f>
        <v>166.90000000002328</v>
      </c>
      <c r="BA20" s="82">
        <f>'DJB Daily Readings'!EG28-'DJB Daily Readings'!EG27</f>
        <v>7600</v>
      </c>
      <c r="BB20" s="82">
        <f>'DJB Daily Readings'!EI28-'DJB Daily Readings'!EI27</f>
        <v>490</v>
      </c>
      <c r="BC20" s="82">
        <f>'DJB Daily Readings'!EQ28-'DJB Daily Readings'!EQ27</f>
        <v>8500</v>
      </c>
      <c r="BD20" s="82">
        <f>'DJB Daily Readings'!EK28-'DJB Daily Readings'!EK27</f>
        <v>3800</v>
      </c>
      <c r="BE20" s="82">
        <f>'DJB Daily Readings'!EM28-'DJB Daily Readings'!EM27</f>
        <v>1100</v>
      </c>
      <c r="BF20" s="82">
        <f>'DJB Daily Readings'!EO28-'DJB Daily Readings'!EO27</f>
        <v>1150</v>
      </c>
      <c r="BG20" s="82">
        <f>('DJB Daily Readings'!ET28-'DJB Daily Readings'!ET27)*1.89</f>
        <v>28.349999999999998</v>
      </c>
      <c r="BH20" s="82">
        <f>('DJB Daily Readings'!EV28-'DJB Daily Readings'!EV27)*1.89</f>
        <v>28.349999999999998</v>
      </c>
      <c r="BI20" s="82">
        <f>('DJB Daily Readings'!EZ28-'DJB Daily Readings'!EZ27)*1.89</f>
        <v>22.68</v>
      </c>
      <c r="BJ20" s="82">
        <f>('DJB Daily Readings'!EX28-'DJB Daily Readings'!EX27)*1.89</f>
        <v>20.79</v>
      </c>
      <c r="BK20" s="82">
        <f>('DJB Daily Readings'!FB28-'DJB Daily Readings'!FB27)*1.89</f>
        <v>56.699999999999996</v>
      </c>
    </row>
    <row r="21" spans="1:63" x14ac:dyDescent="0.25">
      <c r="A21" t="s">
        <v>59</v>
      </c>
      <c r="B21">
        <f t="shared" si="0"/>
        <v>20</v>
      </c>
      <c r="C21">
        <v>5</v>
      </c>
      <c r="D21">
        <v>2021</v>
      </c>
      <c r="E21" s="78">
        <f>237*0.85</f>
        <v>201.45</v>
      </c>
      <c r="F21" s="79">
        <f>337+41</f>
        <v>378</v>
      </c>
      <c r="G21" s="3">
        <f>'DJB Daily Readings'!C29-'DJB Daily Readings'!C28</f>
        <v>788</v>
      </c>
      <c r="H21" s="3">
        <f>'DJB Daily Readings'!F29-'DJB Daily Readings'!F28</f>
        <v>338</v>
      </c>
      <c r="I21" s="3">
        <f>'DJB Daily Readings'!K29-'DJB Daily Readings'!K28</f>
        <v>363</v>
      </c>
      <c r="J21" s="3">
        <f>'DJB Daily Readings'!K29-'DJB Daily Readings'!K28</f>
        <v>363</v>
      </c>
      <c r="K21" s="3">
        <f>'DJB Daily Readings'!O29-'DJB Daily Readings'!O28</f>
        <v>224.48999999999978</v>
      </c>
      <c r="L21" s="3">
        <f>'DJB Daily Readings'!R29-'DJB Daily Readings'!R28</f>
        <v>51</v>
      </c>
      <c r="M21" s="3">
        <f>'DJB Daily Readings'!U29-'DJB Daily Readings'!U28</f>
        <v>3751.4399999994785</v>
      </c>
      <c r="N21" s="3">
        <f>'DJB Daily Readings'!X29-'DJB Daily Readings'!X28</f>
        <v>4628.4000000003725</v>
      </c>
      <c r="O21" s="3">
        <f>'DJB Daily Readings'!AA29-'DJB Daily Readings'!AA28</f>
        <v>97.440000001341105</v>
      </c>
      <c r="P21" s="3">
        <f>'DJB Daily Readings'!AD29-'DJB Daily Readings'!AD28</f>
        <v>6431.0400000009686</v>
      </c>
      <c r="Q21" s="3">
        <f>'DJB Daily Readings'!AG29-'DJB Daily Readings'!AG28</f>
        <v>13641.599999997765</v>
      </c>
      <c r="R21" s="3">
        <f>'DJB Daily Readings'!AJ29-'DJB Daily Readings'!AJ28</f>
        <v>5066.8800000008196</v>
      </c>
      <c r="S21" s="3">
        <f>'DJB Daily Readings'!AM29-'DJB Daily Readings'!AM28</f>
        <v>4384.8000000007451</v>
      </c>
      <c r="T21" s="3">
        <f>'DJB Daily Readings'!AP29-'DJB Daily Readings'!AP28</f>
        <v>4189.9200000017881</v>
      </c>
      <c r="U21" s="3">
        <f>'DJB Daily Readings'!AS29-'DJB Daily Readings'!AS28</f>
        <v>2874.4799999985844</v>
      </c>
      <c r="V21" s="3">
        <f>'DJB Daily Readings'!AV29-'DJB Daily Readings'!AV28</f>
        <v>5456.6399999987334</v>
      </c>
      <c r="W21" s="3">
        <f>'DJB Daily Readings'!AZ29-'DJB Daily Readings'!AZ28</f>
        <v>0</v>
      </c>
      <c r="X21" s="3">
        <f>'DJB Daily Readings'!BC29-'DJB Daily Readings'!BC28</f>
        <v>36700</v>
      </c>
      <c r="Y21" s="3">
        <f>'DJB Daily Readings'!BF29-'DJB Daily Readings'!BF28</f>
        <v>63300</v>
      </c>
      <c r="Z21" s="3">
        <f>('DJB Daily Readings'!CK29-'DJB Daily Readings'!CK28)*1.89</f>
        <v>183.32999999999998</v>
      </c>
      <c r="AA21" s="3">
        <f>('DJB Daily Readings'!CN29-'DJB Daily Readings'!CN28)*1.89</f>
        <v>173.88</v>
      </c>
      <c r="AB21" s="3">
        <f>('DJB Daily Readings'!CQ29-'DJB Daily Readings'!CQ28)*1.89</f>
        <v>0</v>
      </c>
      <c r="AC21" s="3">
        <f>'DJB Daily Readings'!CT29-'DJB Daily Readings'!CT28</f>
        <v>265</v>
      </c>
      <c r="AD21" s="84">
        <f>('DJB Daily Readings'!BY29-'DJB Daily Readings'!BY28)*1.89</f>
        <v>32.129999999999995</v>
      </c>
      <c r="AE21" s="84">
        <f>('DJB Daily Readings'!CA29-'DJB Daily Readings'!CA28)*1.89</f>
        <v>28.349999999999998</v>
      </c>
      <c r="AF21" s="84">
        <f>('DJB Daily Readings'!CC29-'DJB Daily Readings'!CC28)*1.89</f>
        <v>11.34</v>
      </c>
      <c r="AG21" s="84">
        <f>('DJB Daily Readings'!CE29-'DJB Daily Readings'!CE28)*1.89</f>
        <v>20.79</v>
      </c>
      <c r="AH21" s="84">
        <f>('DJB Daily Readings'!CG29-'DJB Daily Readings'!CG28)*1.89</f>
        <v>18.899999999999999</v>
      </c>
      <c r="AI21" s="84">
        <f>('DJB Daily Readings'!CI29-'DJB Daily Readings'!CI28)*1.89</f>
        <v>43.47</v>
      </c>
      <c r="AJ21" s="81">
        <f>'DJB Daily Readings'!CY29-'DJB Daily Readings'!CY28</f>
        <v>5</v>
      </c>
      <c r="AK21" s="81">
        <f>'DJB Daily Readings'!CW29-'DJB Daily Readings'!CW28</f>
        <v>8</v>
      </c>
      <c r="AL21" s="82">
        <f>'DJB Daily Readings'!DC29-'DJB Daily Readings'!DC28</f>
        <v>13.700000000000728</v>
      </c>
      <c r="AM21" s="82">
        <f>'DJB Daily Readings'!DA29-'DJB Daily Readings'!DA28</f>
        <v>11.400000000001455</v>
      </c>
      <c r="AN21" s="82">
        <f>'DJB Daily Readings'!DG29-'DJB Daily Readings'!DG28</f>
        <v>6.5999999999985448</v>
      </c>
      <c r="AO21" s="82">
        <f>'DJB Daily Readings'!DE29-'DJB Daily Readings'!DE28</f>
        <v>7.6999999999970896</v>
      </c>
      <c r="AP21" s="82">
        <f>'DJB Daily Readings'!DK29-'DJB Daily Readings'!DK28</f>
        <v>15</v>
      </c>
      <c r="AQ21" s="82">
        <f>'DJB Daily Readings'!DI29-'DJB Daily Readings'!DI28</f>
        <v>7</v>
      </c>
      <c r="AR21" s="82">
        <f>'DJB Daily Readings'!DO29-'DJB Daily Readings'!DO28</f>
        <v>8</v>
      </c>
      <c r="AS21" s="82">
        <f>'DJB Daily Readings'!DM29-'DJB Daily Readings'!DM28</f>
        <v>0</v>
      </c>
      <c r="AT21" s="82">
        <f>'DJB Daily Readings'!DQ29-'DJB Daily Readings'!DQ28</f>
        <v>17</v>
      </c>
      <c r="AU21" s="82">
        <f>'DJB Daily Readings'!DT29-'DJB Daily Readings'!DT28</f>
        <v>8.8000000000001819</v>
      </c>
      <c r="AW21" s="82">
        <f>'DJB Daily Readings'!DX29-'DJB Daily Readings'!DX28</f>
        <v>6.8999999999999773</v>
      </c>
      <c r="AX21" s="82">
        <f>'DJB Daily Readings'!DZ29-'DJB Daily Readings'!DZ28</f>
        <v>7.8000000000000114</v>
      </c>
      <c r="AY21" s="82">
        <f>'DJB Daily Readings'!EB29-'DJB Daily Readings'!EB28</f>
        <v>827</v>
      </c>
      <c r="AZ21" s="82">
        <f>'DJB Daily Readings'!ED29-'DJB Daily Readings'!ED28</f>
        <v>156.59999999997672</v>
      </c>
      <c r="BA21" s="82">
        <f>'DJB Daily Readings'!EG29-'DJB Daily Readings'!EG28</f>
        <v>3700</v>
      </c>
      <c r="BB21" s="82">
        <f>'DJB Daily Readings'!EI29-'DJB Daily Readings'!EI28</f>
        <v>290</v>
      </c>
      <c r="BC21" s="82">
        <f>'DJB Daily Readings'!EQ29-'DJB Daily Readings'!EQ28</f>
        <v>3300</v>
      </c>
      <c r="BD21" s="82">
        <f>'DJB Daily Readings'!EK29-'DJB Daily Readings'!EK28</f>
        <v>1900</v>
      </c>
      <c r="BE21" s="82">
        <f>'DJB Daily Readings'!EM29-'DJB Daily Readings'!EM28</f>
        <v>700</v>
      </c>
      <c r="BF21" s="82">
        <f>'DJB Daily Readings'!EO29-'DJB Daily Readings'!EO28</f>
        <v>690</v>
      </c>
      <c r="BG21" s="82">
        <f>('DJB Daily Readings'!ET29-'DJB Daily Readings'!ET28)*1.89</f>
        <v>28.349999999999998</v>
      </c>
      <c r="BH21" s="82">
        <f>('DJB Daily Readings'!EV29-'DJB Daily Readings'!EV28)*1.89</f>
        <v>24.57</v>
      </c>
      <c r="BI21" s="82">
        <f>('DJB Daily Readings'!EZ29-'DJB Daily Readings'!EZ28)*1.89</f>
        <v>28.349999999999998</v>
      </c>
      <c r="BJ21" s="82">
        <f>('DJB Daily Readings'!EX29-'DJB Daily Readings'!EX28)*1.89</f>
        <v>22.68</v>
      </c>
      <c r="BK21" s="82">
        <f>('DJB Daily Readings'!FB29-'DJB Daily Readings'!FB28)*1.89</f>
        <v>62.37</v>
      </c>
    </row>
    <row r="22" spans="1:63" x14ac:dyDescent="0.25">
      <c r="A22" t="s">
        <v>59</v>
      </c>
      <c r="B22">
        <f t="shared" si="0"/>
        <v>21</v>
      </c>
      <c r="C22">
        <v>5</v>
      </c>
      <c r="D22">
        <v>2021</v>
      </c>
      <c r="E22" s="78"/>
      <c r="AJ22" s="81"/>
      <c r="AK22" s="81"/>
    </row>
    <row r="23" spans="1:63" x14ac:dyDescent="0.25">
      <c r="A23" t="s">
        <v>59</v>
      </c>
      <c r="B23">
        <f t="shared" si="0"/>
        <v>22</v>
      </c>
      <c r="C23">
        <v>5</v>
      </c>
      <c r="D23">
        <v>2021</v>
      </c>
      <c r="E23" s="78"/>
      <c r="AJ23" s="81"/>
      <c r="AK23" s="81"/>
    </row>
    <row r="24" spans="1:63" x14ac:dyDescent="0.25">
      <c r="A24" t="s">
        <v>59</v>
      </c>
      <c r="B24">
        <f t="shared" si="0"/>
        <v>23</v>
      </c>
      <c r="C24">
        <v>5</v>
      </c>
      <c r="D24">
        <v>2021</v>
      </c>
      <c r="E24" s="78"/>
      <c r="AJ24" s="81"/>
      <c r="AK24" s="81"/>
    </row>
    <row r="25" spans="1:63" x14ac:dyDescent="0.25">
      <c r="A25" t="s">
        <v>59</v>
      </c>
      <c r="B25">
        <f t="shared" si="0"/>
        <v>24</v>
      </c>
      <c r="C25">
        <v>5</v>
      </c>
      <c r="D25">
        <v>2021</v>
      </c>
      <c r="E25" s="78"/>
      <c r="AJ25" s="81"/>
      <c r="AK25" s="81"/>
    </row>
    <row r="26" spans="1:63" x14ac:dyDescent="0.25">
      <c r="A26" t="s">
        <v>59</v>
      </c>
      <c r="B26">
        <f>B25+1</f>
        <v>25</v>
      </c>
      <c r="C26">
        <v>5</v>
      </c>
      <c r="D26">
        <v>2021</v>
      </c>
      <c r="E26" s="78"/>
      <c r="AJ26" s="81"/>
      <c r="AK26" s="81"/>
    </row>
    <row r="27" spans="1:63" x14ac:dyDescent="0.25">
      <c r="A27" t="s">
        <v>59</v>
      </c>
      <c r="B27">
        <f t="shared" si="0"/>
        <v>26</v>
      </c>
      <c r="C27">
        <v>5</v>
      </c>
      <c r="D27">
        <v>2021</v>
      </c>
      <c r="E27" s="78"/>
      <c r="AJ27" s="81"/>
      <c r="AK27" s="81"/>
    </row>
    <row r="28" spans="1:63" x14ac:dyDescent="0.25">
      <c r="A28" t="s">
        <v>59</v>
      </c>
      <c r="B28">
        <f t="shared" si="0"/>
        <v>27</v>
      </c>
      <c r="C28">
        <v>5</v>
      </c>
      <c r="D28">
        <v>2021</v>
      </c>
      <c r="E28" s="78"/>
      <c r="AJ28" s="81"/>
      <c r="AK28" s="81"/>
    </row>
    <row r="29" spans="1:63" x14ac:dyDescent="0.25">
      <c r="A29" t="s">
        <v>59</v>
      </c>
      <c r="B29">
        <f t="shared" si="0"/>
        <v>28</v>
      </c>
      <c r="C29">
        <v>5</v>
      </c>
      <c r="D29">
        <v>2021</v>
      </c>
      <c r="E29" s="78"/>
      <c r="AJ29" s="81"/>
      <c r="AK29" s="81"/>
    </row>
    <row r="30" spans="1:63" x14ac:dyDescent="0.25">
      <c r="A30" t="s">
        <v>59</v>
      </c>
      <c r="B30">
        <f t="shared" si="0"/>
        <v>29</v>
      </c>
      <c r="C30">
        <v>5</v>
      </c>
      <c r="D30">
        <v>2021</v>
      </c>
      <c r="E30" s="78"/>
      <c r="AJ30" s="81"/>
      <c r="AK30" s="81"/>
    </row>
    <row r="31" spans="1:63" x14ac:dyDescent="0.25">
      <c r="A31" t="s">
        <v>59</v>
      </c>
      <c r="B31">
        <f t="shared" si="0"/>
        <v>30</v>
      </c>
      <c r="C31">
        <v>5</v>
      </c>
      <c r="D31">
        <v>2021</v>
      </c>
      <c r="E31" s="78"/>
      <c r="AJ31" s="81"/>
      <c r="AK31" s="81"/>
    </row>
    <row r="32" spans="1:63" x14ac:dyDescent="0.25">
      <c r="A32" t="s">
        <v>59</v>
      </c>
      <c r="B32">
        <f t="shared" si="0"/>
        <v>31</v>
      </c>
      <c r="C32">
        <v>5</v>
      </c>
      <c r="D32">
        <v>2021</v>
      </c>
      <c r="E32" s="78"/>
      <c r="AJ32" s="81"/>
      <c r="AK32" s="8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CB26" activePane="bottomRight" state="frozen"/>
      <selection pane="topRight" activeCell="B1" sqref="B1"/>
      <selection pane="bottomLeft" activeCell="A9" sqref="A9"/>
      <selection pane="bottomRight" activeCell="A41" sqref="A41:CU41"/>
    </sheetView>
  </sheetViews>
  <sheetFormatPr defaultRowHeight="16.5" x14ac:dyDescent="0.3"/>
  <cols>
    <col min="1" max="1" width="43.7109375" style="76" customWidth="1"/>
    <col min="2" max="2" width="15.140625" style="155" customWidth="1"/>
    <col min="3" max="3" width="13.5703125" style="111" bestFit="1" customWidth="1"/>
    <col min="4" max="4" width="12.85546875" style="159" customWidth="1"/>
    <col min="5" max="5" width="12.85546875" style="1" customWidth="1"/>
    <col min="6" max="6" width="10.42578125" style="112" bestFit="1" customWidth="1"/>
    <col min="7" max="7" width="12.85546875" style="2" customWidth="1"/>
    <col min="8" max="8" width="12.85546875" style="1" customWidth="1"/>
    <col min="9" max="9" width="11" style="112" customWidth="1"/>
    <col min="10" max="10" width="12.85546875" style="2" customWidth="1"/>
    <col min="11" max="11" width="11.7109375" style="111" customWidth="1"/>
    <col min="12" max="12" width="12.5703125" style="2" customWidth="1"/>
    <col min="13" max="13" width="12.5703125" style="111" customWidth="1"/>
    <col min="14" max="14" width="12.5703125" style="2" customWidth="1"/>
    <col min="15" max="15" width="10.42578125" style="112" bestFit="1" customWidth="1"/>
    <col min="16" max="16" width="13.140625" style="2" customWidth="1"/>
    <col min="17" max="17" width="13.140625" style="1" customWidth="1"/>
    <col min="18" max="18" width="10.7109375" style="111" customWidth="1"/>
    <col min="19" max="19" width="14" style="2" customWidth="1"/>
    <col min="20" max="20" width="2" customWidth="1"/>
    <col min="21" max="21" width="11.85546875" style="111" customWidth="1"/>
    <col min="22" max="23" width="13.42578125" style="2" customWidth="1"/>
    <col min="24" max="24" width="13.85546875" style="112" bestFit="1" customWidth="1"/>
    <col min="25" max="25" width="13.140625" style="2" bestFit="1" customWidth="1"/>
    <col min="26" max="26" width="13.140625" style="1" customWidth="1"/>
    <col min="27" max="27" width="15.140625" style="112" customWidth="1"/>
    <col min="28" max="28" width="13.140625" style="2" bestFit="1" customWidth="1"/>
    <col min="29" max="29" width="13.140625" style="1" customWidth="1"/>
    <col min="30" max="30" width="13.5703125" style="112" bestFit="1" customWidth="1"/>
    <col min="31" max="31" width="12.5703125" style="2" customWidth="1"/>
    <col min="32" max="32" width="12.5703125" style="1" customWidth="1"/>
    <col min="33" max="33" width="13.5703125" style="112" bestFit="1" customWidth="1"/>
    <col min="34" max="34" width="13.5703125" style="2" bestFit="1" customWidth="1"/>
    <col min="35" max="35" width="13.5703125" style="1" customWidth="1"/>
    <col min="36" max="36" width="13.5703125" style="112" bestFit="1" customWidth="1"/>
    <col min="37" max="37" width="13.5703125" style="2" bestFit="1" customWidth="1"/>
    <col min="38" max="38" width="13.5703125" style="2" customWidth="1"/>
    <col min="39" max="39" width="13.5703125" style="112" bestFit="1" customWidth="1"/>
    <col min="40" max="40" width="13.5703125" style="2" bestFit="1" customWidth="1"/>
    <col min="41" max="41" width="13.5703125" style="2" customWidth="1"/>
    <col min="42" max="42" width="13.5703125" style="112" bestFit="1" customWidth="1"/>
    <col min="43" max="43" width="13.5703125" style="2" bestFit="1" customWidth="1"/>
    <col min="44" max="44" width="13.5703125" style="2" customWidth="1"/>
    <col min="45" max="45" width="13.5703125" style="112" bestFit="1" customWidth="1"/>
    <col min="46" max="46" width="13.5703125" style="2" bestFit="1" customWidth="1"/>
    <col min="47" max="47" width="13.5703125" style="2" customWidth="1"/>
    <col min="48" max="48" width="13.5703125" style="112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1" bestFit="1" customWidth="1"/>
    <col min="53" max="53" width="13.7109375" style="180" customWidth="1"/>
    <col min="54" max="54" width="13.7109375" customWidth="1"/>
    <col min="55" max="55" width="14.42578125" style="112" bestFit="1" customWidth="1"/>
    <col min="56" max="56" width="13.7109375" style="180" customWidth="1"/>
    <col min="57" max="57" width="13.7109375" customWidth="1"/>
    <col min="58" max="58" width="16.7109375" style="112" bestFit="1" customWidth="1"/>
    <col min="59" max="59" width="12.85546875" style="180" customWidth="1"/>
    <col min="60" max="70" width="12.85546875" customWidth="1"/>
    <col min="71" max="71" width="11.7109375" style="112" customWidth="1"/>
    <col min="72" max="72" width="12.5703125" style="188" customWidth="1"/>
    <col min="73" max="73" width="2" customWidth="1"/>
    <col min="74" max="74" width="8.85546875" style="244" customWidth="1"/>
    <col min="75" max="76" width="12.85546875" customWidth="1"/>
    <col min="77" max="77" width="12.85546875" style="112" customWidth="1"/>
    <col min="78" max="78" width="12.85546875" style="188" customWidth="1"/>
    <col min="79" max="79" width="12.85546875" style="112" customWidth="1"/>
    <col min="80" max="80" width="12.85546875" style="188" customWidth="1"/>
    <col min="81" max="81" width="12.85546875" style="112" customWidth="1"/>
    <col min="82" max="82" width="12.85546875" style="188" customWidth="1"/>
    <col min="83" max="83" width="12.85546875" style="112" customWidth="1"/>
    <col min="84" max="84" width="12.85546875" style="188" customWidth="1"/>
    <col min="85" max="85" width="12.85546875" style="112" customWidth="1"/>
    <col min="86" max="86" width="12.85546875" style="188" customWidth="1"/>
    <col min="87" max="87" width="12.85546875" style="112" customWidth="1"/>
    <col min="88" max="88" width="12.85546875" style="188" customWidth="1"/>
    <col min="89" max="89" width="10.85546875" style="112" customWidth="1"/>
    <col min="90" max="90" width="16" style="188" bestFit="1" customWidth="1"/>
    <col min="91" max="91" width="16" customWidth="1"/>
    <col min="92" max="92" width="10.42578125" style="112" customWidth="1"/>
    <col min="93" max="93" width="12.5703125" style="188" customWidth="1"/>
    <col min="94" max="94" width="12.5703125" customWidth="1"/>
    <col min="95" max="95" width="13" style="112" customWidth="1"/>
    <col min="96" max="96" width="13.7109375" style="188" customWidth="1"/>
    <col min="97" max="97" width="13.7109375" customWidth="1"/>
    <col min="98" max="98" width="13.7109375" style="112" customWidth="1"/>
    <col min="99" max="99" width="13" style="190" customWidth="1"/>
    <col min="100" max="100" width="4" customWidth="1"/>
    <col min="101" max="101" width="10" style="111" customWidth="1"/>
    <col min="102" max="102" width="13.7109375" style="4" customWidth="1"/>
    <col min="103" max="103" width="10.85546875" style="112" customWidth="1"/>
    <col min="104" max="104" width="14.140625" style="4" customWidth="1"/>
    <col min="105" max="105" width="11.85546875" style="112" customWidth="1"/>
    <col min="106" max="106" width="14.7109375" style="4" customWidth="1"/>
    <col min="107" max="107" width="11.140625" style="112" customWidth="1"/>
    <col min="108" max="108" width="14.5703125" style="4" customWidth="1"/>
    <col min="109" max="109" width="10.7109375" style="112" customWidth="1"/>
    <col min="110" max="110" width="14.7109375" style="4" customWidth="1"/>
    <col min="111" max="111" width="10.5703125" style="112" customWidth="1"/>
    <col min="112" max="112" width="14.140625" style="4" customWidth="1"/>
    <col min="113" max="113" width="10.42578125" style="112" customWidth="1"/>
    <col min="114" max="114" width="13.85546875" style="4" customWidth="1"/>
    <col min="115" max="115" width="11.140625" style="112" customWidth="1"/>
    <col min="116" max="116" width="14.42578125" style="4" customWidth="1"/>
    <col min="117" max="117" width="10.42578125" style="112" customWidth="1"/>
    <col min="118" max="118" width="14.140625" style="4" customWidth="1"/>
    <col min="119" max="119" width="11.140625" style="112" customWidth="1"/>
    <col min="120" max="120" width="14" style="4" customWidth="1"/>
    <col min="121" max="121" width="9.140625" style="112"/>
    <col min="122" max="122" width="14.28515625" style="4" customWidth="1"/>
    <col min="123" max="123" width="2.5703125" customWidth="1"/>
    <col min="124" max="124" width="12.7109375" style="112" customWidth="1"/>
    <col min="125" max="125" width="11.5703125" style="180" customWidth="1"/>
    <col min="126" max="126" width="10.42578125" style="112" customWidth="1"/>
    <col min="127" max="127" width="11.42578125" style="218" customWidth="1"/>
    <col min="128" max="128" width="12.28515625" style="112" customWidth="1"/>
    <col min="129" max="129" width="12.42578125" style="180" customWidth="1"/>
    <col min="130" max="130" width="11.42578125" style="112" customWidth="1"/>
    <col min="131" max="131" width="12" style="180" customWidth="1"/>
    <col min="132" max="132" width="9.28515625" style="112" bestFit="1" customWidth="1"/>
    <col min="133" max="133" width="11.7109375" style="180" customWidth="1"/>
    <col min="134" max="134" width="9.28515625" style="112" bestFit="1" customWidth="1"/>
    <col min="135" max="135" width="12.7109375" style="180" customWidth="1"/>
    <col min="136" max="136" width="2.5703125" customWidth="1"/>
    <col min="137" max="137" width="11.28515625" style="112" customWidth="1"/>
    <col min="138" max="138" width="11.7109375" style="188" customWidth="1"/>
    <col min="139" max="139" width="11.7109375" style="112" bestFit="1" customWidth="1"/>
    <col min="140" max="140" width="13.28515625" style="188" customWidth="1"/>
    <col min="141" max="141" width="11" style="112" customWidth="1"/>
    <col min="142" max="142" width="11.5703125" style="188" customWidth="1"/>
    <col min="143" max="143" width="11.85546875" style="112" customWidth="1"/>
    <col min="144" max="144" width="11.5703125" style="188" customWidth="1"/>
    <col min="145" max="145" width="10.42578125" style="112" customWidth="1"/>
    <col min="146" max="146" width="12.28515625" style="188" customWidth="1"/>
    <col min="147" max="147" width="10.140625" style="112" bestFit="1" customWidth="1"/>
    <col min="148" max="148" width="16.5703125" style="188" bestFit="1" customWidth="1"/>
    <col min="149" max="149" width="3.42578125" customWidth="1"/>
    <col min="150" max="150" width="10.42578125" style="112" customWidth="1"/>
    <col min="151" max="151" width="12.5703125" style="188" customWidth="1"/>
    <col min="152" max="152" width="10.28515625" style="112" customWidth="1"/>
    <col min="153" max="153" width="12.85546875" style="188" customWidth="1"/>
    <col min="154" max="154" width="10.7109375" style="112" customWidth="1"/>
    <col min="155" max="155" width="12.7109375" style="188" customWidth="1"/>
    <col min="156" max="156" width="10.85546875" style="112" customWidth="1"/>
    <col min="157" max="157" width="12.85546875" style="188" customWidth="1"/>
    <col min="158" max="158" width="9.140625" style="112"/>
    <col min="159" max="159" width="12.85546875" style="188" customWidth="1"/>
  </cols>
  <sheetData>
    <row r="1" spans="1:159" ht="15" x14ac:dyDescent="0.25">
      <c r="A1" s="494" t="s">
        <v>105</v>
      </c>
      <c r="B1" s="494"/>
      <c r="C1" s="494"/>
      <c r="D1" s="494"/>
      <c r="E1" s="494"/>
      <c r="F1" s="494"/>
      <c r="G1" s="494"/>
      <c r="H1" s="494"/>
      <c r="I1" s="494"/>
      <c r="J1" s="494"/>
      <c r="K1" s="494"/>
      <c r="L1" s="494"/>
      <c r="M1" s="494"/>
      <c r="N1" s="494"/>
      <c r="O1" s="494"/>
      <c r="P1" s="494"/>
      <c r="Q1" s="494"/>
      <c r="R1" s="494"/>
      <c r="S1" s="494"/>
      <c r="T1" s="494"/>
      <c r="U1" s="494"/>
      <c r="V1" s="494"/>
      <c r="W1" s="494"/>
      <c r="X1" s="494"/>
      <c r="Y1" s="494"/>
      <c r="Z1" s="494"/>
      <c r="AA1" s="494"/>
      <c r="AB1" s="494"/>
      <c r="AC1" s="494"/>
      <c r="AD1" s="494"/>
      <c r="AE1" s="494"/>
      <c r="AF1" s="494"/>
      <c r="AG1" s="494"/>
      <c r="AH1" s="494"/>
      <c r="AI1" s="494"/>
      <c r="AJ1" s="494"/>
      <c r="AK1" s="494"/>
      <c r="AL1" s="494"/>
      <c r="AM1" s="494"/>
      <c r="AN1" s="494"/>
      <c r="AO1" s="494"/>
      <c r="AP1" s="494"/>
      <c r="AQ1" s="494"/>
      <c r="AR1" s="494"/>
      <c r="AS1" s="494"/>
      <c r="AT1" s="494"/>
      <c r="AU1" s="494"/>
      <c r="AV1" s="494"/>
      <c r="AW1" s="494"/>
      <c r="AX1" s="494"/>
      <c r="AY1" s="494"/>
      <c r="AZ1" s="494"/>
      <c r="BA1" s="494"/>
      <c r="BB1" s="494"/>
      <c r="BC1" s="494"/>
      <c r="BD1" s="494"/>
      <c r="BE1" s="494"/>
      <c r="BF1" s="494"/>
      <c r="BG1" s="494"/>
      <c r="BH1" s="494"/>
      <c r="BI1" s="494"/>
      <c r="BJ1" s="494"/>
      <c r="BK1" s="494"/>
      <c r="BL1" s="494"/>
      <c r="BM1" s="494"/>
      <c r="BN1" s="494"/>
      <c r="BO1" s="494"/>
      <c r="BP1" s="494"/>
      <c r="BQ1" s="494"/>
      <c r="BR1" s="494"/>
      <c r="BS1" s="494"/>
      <c r="BT1" s="494"/>
      <c r="BU1" s="494"/>
      <c r="BV1" s="494"/>
      <c r="BW1" s="494"/>
      <c r="BX1" s="494"/>
      <c r="BY1" s="494"/>
      <c r="BZ1" s="494"/>
      <c r="CA1" s="494"/>
      <c r="CB1" s="494"/>
      <c r="CC1" s="494"/>
      <c r="CD1" s="494"/>
      <c r="CE1" s="494"/>
      <c r="CF1" s="494"/>
      <c r="CG1" s="494"/>
      <c r="CH1" s="494"/>
      <c r="CI1" s="494"/>
      <c r="CJ1" s="494"/>
      <c r="CK1" s="494"/>
      <c r="CL1" s="494"/>
      <c r="CM1" s="494"/>
      <c r="CN1" s="494"/>
      <c r="CO1" s="494"/>
      <c r="CP1" s="494"/>
      <c r="CQ1" s="494"/>
      <c r="CR1" s="494"/>
      <c r="CS1" s="494"/>
      <c r="CT1" s="494"/>
      <c r="CU1" s="494"/>
      <c r="CV1" s="494"/>
      <c r="CW1" s="494"/>
      <c r="CX1" s="494"/>
      <c r="CY1" s="494"/>
      <c r="CZ1" s="494"/>
      <c r="DA1" s="494"/>
      <c r="DB1" s="494"/>
      <c r="DC1" s="494"/>
      <c r="DD1" s="494"/>
      <c r="DE1" s="494"/>
      <c r="DF1" s="494"/>
      <c r="DG1" s="494"/>
      <c r="DH1" s="494"/>
      <c r="DI1" s="494"/>
      <c r="DJ1" s="494"/>
      <c r="DK1" s="494"/>
      <c r="DL1" s="494"/>
      <c r="DM1" s="494"/>
      <c r="DN1" s="494"/>
      <c r="DO1" s="494"/>
      <c r="DP1" s="494"/>
      <c r="DQ1" s="494"/>
      <c r="DR1" s="494"/>
      <c r="DS1" s="494"/>
      <c r="DT1" s="494"/>
      <c r="DU1" s="494"/>
      <c r="DV1" s="494"/>
      <c r="DW1" s="494"/>
      <c r="DX1" s="494"/>
      <c r="DY1" s="494"/>
      <c r="DZ1" s="494"/>
      <c r="EA1" s="494"/>
      <c r="EB1" s="494"/>
      <c r="EC1" s="494"/>
      <c r="ED1" s="494"/>
      <c r="EE1" s="494"/>
      <c r="EF1" s="494"/>
      <c r="EG1" s="494"/>
      <c r="EH1" s="494"/>
      <c r="EI1" s="494"/>
      <c r="EJ1" s="494"/>
      <c r="EK1" s="494"/>
      <c r="EL1" s="494"/>
      <c r="EM1" s="494"/>
      <c r="EN1" s="494"/>
      <c r="EO1" s="494"/>
      <c r="EP1" s="494"/>
      <c r="EQ1" s="494"/>
      <c r="ER1" s="494"/>
      <c r="ES1" s="494"/>
      <c r="ET1" s="494"/>
      <c r="EU1" s="494"/>
      <c r="EV1" s="494"/>
      <c r="EW1" s="494"/>
      <c r="EX1" s="494"/>
      <c r="EY1" s="494"/>
      <c r="EZ1" s="494"/>
      <c r="FA1" s="494"/>
      <c r="FB1" s="494"/>
      <c r="FC1" s="494"/>
    </row>
    <row r="2" spans="1:159" ht="16.5" customHeight="1" x14ac:dyDescent="0.25">
      <c r="A2" s="494"/>
      <c r="B2" s="494"/>
      <c r="C2" s="494"/>
      <c r="D2" s="494"/>
      <c r="E2" s="494"/>
      <c r="F2" s="494"/>
      <c r="G2" s="494"/>
      <c r="H2" s="494"/>
      <c r="I2" s="494"/>
      <c r="J2" s="494"/>
      <c r="K2" s="494"/>
      <c r="L2" s="494"/>
      <c r="M2" s="494"/>
      <c r="N2" s="494"/>
      <c r="O2" s="494"/>
      <c r="P2" s="494"/>
      <c r="Q2" s="494"/>
      <c r="R2" s="494"/>
      <c r="S2" s="494"/>
      <c r="T2" s="494"/>
      <c r="U2" s="494"/>
      <c r="V2" s="494"/>
      <c r="W2" s="494"/>
      <c r="X2" s="494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  <c r="BA2" s="494"/>
      <c r="BB2" s="494"/>
      <c r="BC2" s="494"/>
      <c r="BD2" s="494"/>
      <c r="BE2" s="494"/>
      <c r="BF2" s="494"/>
      <c r="BG2" s="494"/>
      <c r="BH2" s="494"/>
      <c r="BI2" s="494"/>
      <c r="BJ2" s="494"/>
      <c r="BK2" s="494"/>
      <c r="BL2" s="494"/>
      <c r="BM2" s="494"/>
      <c r="BN2" s="494"/>
      <c r="BO2" s="494"/>
      <c r="BP2" s="494"/>
      <c r="BQ2" s="494"/>
      <c r="BR2" s="494"/>
      <c r="BS2" s="494"/>
      <c r="BT2" s="494"/>
      <c r="BU2" s="494"/>
      <c r="BV2" s="494"/>
      <c r="BW2" s="494"/>
      <c r="BX2" s="494"/>
      <c r="BY2" s="494"/>
      <c r="BZ2" s="494"/>
      <c r="CA2" s="494"/>
      <c r="CB2" s="494"/>
      <c r="CC2" s="494"/>
      <c r="CD2" s="494"/>
      <c r="CE2" s="494"/>
      <c r="CF2" s="494"/>
      <c r="CG2" s="494"/>
      <c r="CH2" s="494"/>
      <c r="CI2" s="494"/>
      <c r="CJ2" s="494"/>
      <c r="CK2" s="494"/>
      <c r="CL2" s="494"/>
      <c r="CM2" s="494"/>
      <c r="CN2" s="494"/>
      <c r="CO2" s="494"/>
      <c r="CP2" s="494"/>
      <c r="CQ2" s="494"/>
      <c r="CR2" s="494"/>
      <c r="CS2" s="494"/>
      <c r="CT2" s="494"/>
      <c r="CU2" s="494"/>
      <c r="CV2" s="494"/>
      <c r="CW2" s="494"/>
      <c r="CX2" s="494"/>
      <c r="CY2" s="494"/>
      <c r="CZ2" s="494"/>
      <c r="DA2" s="494"/>
      <c r="DB2" s="494"/>
      <c r="DC2" s="494"/>
      <c r="DD2" s="494"/>
      <c r="DE2" s="494"/>
      <c r="DF2" s="494"/>
      <c r="DG2" s="494"/>
      <c r="DH2" s="494"/>
      <c r="DI2" s="494"/>
      <c r="DJ2" s="494"/>
      <c r="DK2" s="494"/>
      <c r="DL2" s="494"/>
      <c r="DM2" s="494"/>
      <c r="DN2" s="494"/>
      <c r="DO2" s="494"/>
      <c r="DP2" s="494"/>
      <c r="DQ2" s="494"/>
      <c r="DR2" s="494"/>
      <c r="DS2" s="494"/>
      <c r="DT2" s="494"/>
      <c r="DU2" s="494"/>
      <c r="DV2" s="494"/>
      <c r="DW2" s="494"/>
      <c r="DX2" s="494"/>
      <c r="DY2" s="494"/>
      <c r="DZ2" s="494"/>
      <c r="EA2" s="494"/>
      <c r="EB2" s="494"/>
      <c r="EC2" s="494"/>
      <c r="ED2" s="494"/>
      <c r="EE2" s="494"/>
      <c r="EF2" s="494"/>
      <c r="EG2" s="494"/>
      <c r="EH2" s="494"/>
      <c r="EI2" s="494"/>
      <c r="EJ2" s="494"/>
      <c r="EK2" s="494"/>
      <c r="EL2" s="494"/>
      <c r="EM2" s="494"/>
      <c r="EN2" s="494"/>
      <c r="EO2" s="494"/>
      <c r="EP2" s="494"/>
      <c r="EQ2" s="494"/>
      <c r="ER2" s="494"/>
      <c r="ES2" s="494"/>
      <c r="ET2" s="494"/>
      <c r="EU2" s="494"/>
      <c r="EV2" s="494"/>
      <c r="EW2" s="494"/>
      <c r="EX2" s="494"/>
      <c r="EY2" s="494"/>
      <c r="EZ2" s="494"/>
      <c r="FA2" s="494"/>
      <c r="FB2" s="494"/>
      <c r="FC2" s="494"/>
    </row>
    <row r="3" spans="1:159" ht="45" customHeight="1" x14ac:dyDescent="0.25">
      <c r="A3" s="494"/>
      <c r="B3" s="494"/>
      <c r="C3" s="494"/>
      <c r="D3" s="494"/>
      <c r="E3" s="494"/>
      <c r="F3" s="494"/>
      <c r="G3" s="494"/>
      <c r="H3" s="494"/>
      <c r="I3" s="494"/>
      <c r="J3" s="494"/>
      <c r="K3" s="494"/>
      <c r="L3" s="494"/>
      <c r="M3" s="494"/>
      <c r="N3" s="494"/>
      <c r="O3" s="494"/>
      <c r="P3" s="494"/>
      <c r="Q3" s="494"/>
      <c r="R3" s="494"/>
      <c r="S3" s="494"/>
      <c r="T3" s="494"/>
      <c r="U3" s="494"/>
      <c r="V3" s="494"/>
      <c r="W3" s="494"/>
      <c r="X3" s="494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  <c r="BA3" s="494"/>
      <c r="BB3" s="494"/>
      <c r="BC3" s="494"/>
      <c r="BD3" s="494"/>
      <c r="BE3" s="494"/>
      <c r="BF3" s="494"/>
      <c r="BG3" s="494"/>
      <c r="BH3" s="494"/>
      <c r="BI3" s="494"/>
      <c r="BJ3" s="494"/>
      <c r="BK3" s="494"/>
      <c r="BL3" s="494"/>
      <c r="BM3" s="494"/>
      <c r="BN3" s="494"/>
      <c r="BO3" s="494"/>
      <c r="BP3" s="494"/>
      <c r="BQ3" s="494"/>
      <c r="BR3" s="494"/>
      <c r="BS3" s="494"/>
      <c r="BT3" s="494"/>
      <c r="BU3" s="494"/>
      <c r="BV3" s="494"/>
      <c r="BW3" s="494"/>
      <c r="BX3" s="494"/>
      <c r="BY3" s="494"/>
      <c r="BZ3" s="494"/>
      <c r="CA3" s="494"/>
      <c r="CB3" s="494"/>
      <c r="CC3" s="494"/>
      <c r="CD3" s="494"/>
      <c r="CE3" s="494"/>
      <c r="CF3" s="494"/>
      <c r="CG3" s="494"/>
      <c r="CH3" s="494"/>
      <c r="CI3" s="494"/>
      <c r="CJ3" s="494"/>
      <c r="CK3" s="494"/>
      <c r="CL3" s="494"/>
      <c r="CM3" s="494"/>
      <c r="CN3" s="494"/>
      <c r="CO3" s="494"/>
      <c r="CP3" s="494"/>
      <c r="CQ3" s="494"/>
      <c r="CR3" s="494"/>
      <c r="CS3" s="494"/>
      <c r="CT3" s="494"/>
      <c r="CU3" s="494"/>
      <c r="CV3" s="494"/>
      <c r="CW3" s="494"/>
      <c r="CX3" s="494"/>
      <c r="CY3" s="494"/>
      <c r="CZ3" s="494"/>
      <c r="DA3" s="494"/>
      <c r="DB3" s="494"/>
      <c r="DC3" s="494"/>
      <c r="DD3" s="494"/>
      <c r="DE3" s="494"/>
      <c r="DF3" s="494"/>
      <c r="DG3" s="494"/>
      <c r="DH3" s="494"/>
      <c r="DI3" s="494"/>
      <c r="DJ3" s="494"/>
      <c r="DK3" s="494"/>
      <c r="DL3" s="494"/>
      <c r="DM3" s="494"/>
      <c r="DN3" s="494"/>
      <c r="DO3" s="494"/>
      <c r="DP3" s="494"/>
      <c r="DQ3" s="494"/>
      <c r="DR3" s="494"/>
      <c r="DS3" s="494"/>
      <c r="DT3" s="494"/>
      <c r="DU3" s="494"/>
      <c r="DV3" s="494"/>
      <c r="DW3" s="494"/>
      <c r="DX3" s="494"/>
      <c r="DY3" s="494"/>
      <c r="DZ3" s="494"/>
      <c r="EA3" s="494"/>
      <c r="EB3" s="494"/>
      <c r="EC3" s="494"/>
      <c r="ED3" s="494"/>
      <c r="EE3" s="494"/>
      <c r="EF3" s="494"/>
      <c r="EG3" s="494"/>
      <c r="EH3" s="494"/>
      <c r="EI3" s="494"/>
      <c r="EJ3" s="494"/>
      <c r="EK3" s="494"/>
      <c r="EL3" s="494"/>
      <c r="EM3" s="494"/>
      <c r="EN3" s="494"/>
      <c r="EO3" s="494"/>
      <c r="EP3" s="494"/>
      <c r="EQ3" s="494"/>
      <c r="ER3" s="494"/>
      <c r="ES3" s="494"/>
      <c r="ET3" s="494"/>
      <c r="EU3" s="494"/>
      <c r="EV3" s="494"/>
      <c r="EW3" s="494"/>
      <c r="EX3" s="494"/>
      <c r="EY3" s="494"/>
      <c r="EZ3" s="494"/>
      <c r="FA3" s="494"/>
      <c r="FB3" s="494"/>
      <c r="FC3" s="494"/>
    </row>
    <row r="4" spans="1:159" ht="16.5" customHeight="1" x14ac:dyDescent="0.25">
      <c r="A4" s="494"/>
      <c r="B4" s="494"/>
      <c r="C4" s="494"/>
      <c r="D4" s="494"/>
      <c r="E4" s="494"/>
      <c r="F4" s="494"/>
      <c r="G4" s="494"/>
      <c r="H4" s="494"/>
      <c r="I4" s="494"/>
      <c r="J4" s="494"/>
      <c r="K4" s="494"/>
      <c r="L4" s="494"/>
      <c r="M4" s="494"/>
      <c r="N4" s="494"/>
      <c r="O4" s="494"/>
      <c r="P4" s="494"/>
      <c r="Q4" s="494"/>
      <c r="R4" s="494"/>
      <c r="S4" s="494"/>
      <c r="T4" s="494"/>
      <c r="U4" s="494"/>
      <c r="V4" s="494"/>
      <c r="W4" s="494"/>
      <c r="X4" s="494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  <c r="BA4" s="494"/>
      <c r="BB4" s="494"/>
      <c r="BC4" s="494"/>
      <c r="BD4" s="494"/>
      <c r="BE4" s="494"/>
      <c r="BF4" s="494"/>
      <c r="BG4" s="494"/>
      <c r="BH4" s="494"/>
      <c r="BI4" s="494"/>
      <c r="BJ4" s="494"/>
      <c r="BK4" s="494"/>
      <c r="BL4" s="494"/>
      <c r="BM4" s="494"/>
      <c r="BN4" s="494"/>
      <c r="BO4" s="494"/>
      <c r="BP4" s="494"/>
      <c r="BQ4" s="494"/>
      <c r="BR4" s="494"/>
      <c r="BS4" s="494"/>
      <c r="BT4" s="494"/>
      <c r="BU4" s="494"/>
      <c r="BV4" s="494"/>
      <c r="BW4" s="494"/>
      <c r="BX4" s="494"/>
      <c r="BY4" s="494"/>
      <c r="BZ4" s="494"/>
      <c r="CA4" s="494"/>
      <c r="CB4" s="494"/>
      <c r="CC4" s="494"/>
      <c r="CD4" s="494"/>
      <c r="CE4" s="494"/>
      <c r="CF4" s="494"/>
      <c r="CG4" s="494"/>
      <c r="CH4" s="494"/>
      <c r="CI4" s="494"/>
      <c r="CJ4" s="494"/>
      <c r="CK4" s="494"/>
      <c r="CL4" s="494"/>
      <c r="CM4" s="494"/>
      <c r="CN4" s="494"/>
      <c r="CO4" s="494"/>
      <c r="CP4" s="494"/>
      <c r="CQ4" s="494"/>
      <c r="CR4" s="494"/>
      <c r="CS4" s="494"/>
      <c r="CT4" s="494"/>
      <c r="CU4" s="494"/>
      <c r="CV4" s="494"/>
      <c r="CW4" s="494"/>
      <c r="CX4" s="494"/>
      <c r="CY4" s="494"/>
      <c r="CZ4" s="494"/>
      <c r="DA4" s="494"/>
      <c r="DB4" s="494"/>
      <c r="DC4" s="494"/>
      <c r="DD4" s="494"/>
      <c r="DE4" s="494"/>
      <c r="DF4" s="494"/>
      <c r="DG4" s="494"/>
      <c r="DH4" s="494"/>
      <c r="DI4" s="494"/>
      <c r="DJ4" s="494"/>
      <c r="DK4" s="494"/>
      <c r="DL4" s="494"/>
      <c r="DM4" s="494"/>
      <c r="DN4" s="494"/>
      <c r="DO4" s="494"/>
      <c r="DP4" s="494"/>
      <c r="DQ4" s="494"/>
      <c r="DR4" s="494"/>
      <c r="DS4" s="494"/>
      <c r="DT4" s="494"/>
      <c r="DU4" s="494"/>
      <c r="DV4" s="494"/>
      <c r="DW4" s="494"/>
      <c r="DX4" s="494"/>
      <c r="DY4" s="494"/>
      <c r="DZ4" s="494"/>
      <c r="EA4" s="494"/>
      <c r="EB4" s="494"/>
      <c r="EC4" s="494"/>
      <c r="ED4" s="494"/>
      <c r="EE4" s="494"/>
      <c r="EF4" s="494"/>
      <c r="EG4" s="494"/>
      <c r="EH4" s="494"/>
      <c r="EI4" s="494"/>
      <c r="EJ4" s="494"/>
      <c r="EK4" s="494"/>
      <c r="EL4" s="494"/>
      <c r="EM4" s="494"/>
      <c r="EN4" s="494"/>
      <c r="EO4" s="494"/>
      <c r="EP4" s="494"/>
      <c r="EQ4" s="494"/>
      <c r="ER4" s="494"/>
      <c r="ES4" s="494"/>
      <c r="ET4" s="494"/>
      <c r="EU4" s="494"/>
      <c r="EV4" s="494"/>
      <c r="EW4" s="494"/>
      <c r="EX4" s="494"/>
      <c r="EY4" s="494"/>
      <c r="EZ4" s="494"/>
      <c r="FA4" s="494"/>
      <c r="FB4" s="494"/>
      <c r="FC4" s="494"/>
    </row>
    <row r="5" spans="1:159" ht="10.5" customHeight="1" thickBot="1" x14ac:dyDescent="0.3">
      <c r="A5" s="495"/>
      <c r="B5" s="495"/>
      <c r="C5" s="495"/>
      <c r="D5" s="495"/>
      <c r="E5" s="495"/>
      <c r="F5" s="495"/>
      <c r="G5" s="495"/>
      <c r="H5" s="495"/>
      <c r="I5" s="495"/>
      <c r="J5" s="495"/>
      <c r="K5" s="495"/>
      <c r="L5" s="495"/>
      <c r="M5" s="495"/>
      <c r="N5" s="495"/>
      <c r="O5" s="495"/>
      <c r="P5" s="495"/>
      <c r="Q5" s="495"/>
      <c r="R5" s="495"/>
      <c r="S5" s="495"/>
      <c r="T5" s="494"/>
      <c r="U5" s="495"/>
      <c r="V5" s="495"/>
      <c r="W5" s="495"/>
      <c r="X5" s="495"/>
      <c r="Y5" s="495"/>
      <c r="Z5" s="495"/>
      <c r="AA5" s="495"/>
      <c r="AB5" s="495"/>
      <c r="AC5" s="495"/>
      <c r="AD5" s="495"/>
      <c r="AE5" s="495"/>
      <c r="AF5" s="495"/>
      <c r="AG5" s="495"/>
      <c r="AH5" s="495"/>
      <c r="AI5" s="495"/>
      <c r="AJ5" s="495"/>
      <c r="AK5" s="495"/>
      <c r="AL5" s="495"/>
      <c r="AM5" s="495"/>
      <c r="AN5" s="495"/>
      <c r="AO5" s="495"/>
      <c r="AP5" s="495"/>
      <c r="AQ5" s="495"/>
      <c r="AR5" s="495"/>
      <c r="AS5" s="495"/>
      <c r="AT5" s="495"/>
      <c r="AU5" s="495"/>
      <c r="AV5" s="495"/>
      <c r="AW5" s="495"/>
      <c r="AX5" s="495"/>
      <c r="AY5" s="494"/>
      <c r="AZ5" s="495"/>
      <c r="BA5" s="495"/>
      <c r="BB5" s="495"/>
      <c r="BC5" s="495"/>
      <c r="BD5" s="495"/>
      <c r="BE5" s="495"/>
      <c r="BF5" s="495"/>
      <c r="BG5" s="495"/>
      <c r="BH5" s="495"/>
      <c r="BI5" s="495"/>
      <c r="BJ5" s="495"/>
      <c r="BK5" s="495"/>
      <c r="BL5" s="495"/>
      <c r="BM5" s="495"/>
      <c r="BN5" s="495"/>
      <c r="BO5" s="495"/>
      <c r="BP5" s="495"/>
      <c r="BQ5" s="495"/>
      <c r="BR5" s="495"/>
      <c r="BS5" s="495"/>
      <c r="BT5" s="495"/>
      <c r="BU5" s="494"/>
      <c r="BV5" s="495"/>
      <c r="BW5" s="495"/>
      <c r="BX5" s="495"/>
      <c r="BY5" s="495"/>
      <c r="BZ5" s="495"/>
      <c r="CA5" s="495"/>
      <c r="CB5" s="495"/>
      <c r="CC5" s="495"/>
      <c r="CD5" s="495"/>
      <c r="CE5" s="495"/>
      <c r="CF5" s="495"/>
      <c r="CG5" s="495"/>
      <c r="CH5" s="495"/>
      <c r="CI5" s="495"/>
      <c r="CJ5" s="495"/>
      <c r="CK5" s="495"/>
      <c r="CL5" s="495"/>
      <c r="CM5" s="495"/>
      <c r="CN5" s="495"/>
      <c r="CO5" s="495"/>
      <c r="CP5" s="495"/>
      <c r="CQ5" s="495"/>
      <c r="CR5" s="495"/>
      <c r="CS5" s="495"/>
      <c r="CT5" s="495"/>
      <c r="CU5" s="495"/>
      <c r="CV5" s="495"/>
      <c r="CW5" s="495"/>
      <c r="CX5" s="495"/>
      <c r="CY5" s="495"/>
      <c r="CZ5" s="495"/>
      <c r="DA5" s="495"/>
      <c r="DB5" s="495"/>
      <c r="DC5" s="495"/>
      <c r="DD5" s="495"/>
      <c r="DE5" s="495"/>
      <c r="DF5" s="495"/>
      <c r="DG5" s="495"/>
      <c r="DH5" s="495"/>
      <c r="DI5" s="495"/>
      <c r="DJ5" s="495"/>
      <c r="DK5" s="495"/>
      <c r="DL5" s="495"/>
      <c r="DM5" s="495"/>
      <c r="DN5" s="495"/>
      <c r="DO5" s="495"/>
      <c r="DP5" s="495"/>
      <c r="DQ5" s="495"/>
      <c r="DR5" s="495"/>
      <c r="DS5" s="494"/>
      <c r="DT5" s="495"/>
      <c r="DU5" s="495"/>
      <c r="DV5" s="495"/>
      <c r="DW5" s="495"/>
      <c r="DX5" s="495"/>
      <c r="DY5" s="495"/>
      <c r="DZ5" s="495"/>
      <c r="EA5" s="495"/>
      <c r="EB5" s="495"/>
      <c r="EC5" s="495"/>
      <c r="ED5" s="495"/>
      <c r="EE5" s="495"/>
      <c r="EF5" s="494"/>
      <c r="EG5" s="495"/>
      <c r="EH5" s="495"/>
      <c r="EI5" s="495"/>
      <c r="EJ5" s="495"/>
      <c r="EK5" s="495"/>
      <c r="EL5" s="495"/>
      <c r="EM5" s="495"/>
      <c r="EN5" s="495"/>
      <c r="EO5" s="495"/>
      <c r="EP5" s="495"/>
      <c r="EQ5" s="495"/>
      <c r="ER5" s="495"/>
      <c r="ES5" s="494"/>
      <c r="ET5" s="495"/>
      <c r="EU5" s="495"/>
      <c r="EV5" s="495"/>
      <c r="EW5" s="495"/>
      <c r="EX5" s="495"/>
      <c r="EY5" s="495"/>
      <c r="EZ5" s="495"/>
      <c r="FA5" s="495"/>
      <c r="FB5" s="495"/>
      <c r="FC5" s="495"/>
    </row>
    <row r="6" spans="1:159" ht="24.75" customHeight="1" thickBot="1" x14ac:dyDescent="0.3">
      <c r="A6" s="496" t="s">
        <v>191</v>
      </c>
      <c r="B6" s="497"/>
      <c r="C6" s="497"/>
      <c r="D6" s="497"/>
      <c r="E6" s="497"/>
      <c r="F6" s="497"/>
      <c r="G6" s="497"/>
      <c r="H6" s="497"/>
      <c r="I6" s="497"/>
      <c r="J6" s="497"/>
      <c r="K6" s="497"/>
      <c r="L6" s="497"/>
      <c r="M6" s="497"/>
      <c r="N6" s="497"/>
      <c r="O6" s="497"/>
      <c r="P6" s="497"/>
      <c r="Q6" s="497"/>
      <c r="R6" s="497"/>
      <c r="S6" s="498"/>
      <c r="T6" s="520"/>
      <c r="U6" s="499" t="s">
        <v>192</v>
      </c>
      <c r="V6" s="500"/>
      <c r="W6" s="500"/>
      <c r="X6" s="500"/>
      <c r="Y6" s="500"/>
      <c r="Z6" s="500"/>
      <c r="AA6" s="500"/>
      <c r="AB6" s="500"/>
      <c r="AC6" s="500"/>
      <c r="AD6" s="500"/>
      <c r="AE6" s="500"/>
      <c r="AF6" s="500"/>
      <c r="AG6" s="500"/>
      <c r="AH6" s="500"/>
      <c r="AI6" s="500"/>
      <c r="AJ6" s="500"/>
      <c r="AK6" s="500"/>
      <c r="AL6" s="500"/>
      <c r="AM6" s="500"/>
      <c r="AN6" s="500"/>
      <c r="AO6" s="500"/>
      <c r="AP6" s="500"/>
      <c r="AQ6" s="500"/>
      <c r="AR6" s="500"/>
      <c r="AS6" s="500"/>
      <c r="AT6" s="500"/>
      <c r="AU6" s="500"/>
      <c r="AV6" s="500"/>
      <c r="AW6" s="500"/>
      <c r="AX6" s="501"/>
      <c r="AY6" s="427"/>
      <c r="AZ6" s="499" t="s">
        <v>193</v>
      </c>
      <c r="BA6" s="500"/>
      <c r="BB6" s="500"/>
      <c r="BC6" s="500"/>
      <c r="BD6" s="500"/>
      <c r="BE6" s="500"/>
      <c r="BF6" s="500"/>
      <c r="BG6" s="500"/>
      <c r="BH6" s="500"/>
      <c r="BI6" s="500"/>
      <c r="BJ6" s="500"/>
      <c r="BK6" s="500"/>
      <c r="BL6" s="500"/>
      <c r="BM6" s="500"/>
      <c r="BN6" s="500"/>
      <c r="BO6" s="500"/>
      <c r="BP6" s="500"/>
      <c r="BQ6" s="500"/>
      <c r="BR6" s="500"/>
      <c r="BS6" s="500"/>
      <c r="BT6" s="501"/>
      <c r="BU6" s="393"/>
      <c r="BV6" s="502" t="s">
        <v>194</v>
      </c>
      <c r="BW6" s="503"/>
      <c r="BX6" s="503"/>
      <c r="BY6" s="503"/>
      <c r="BZ6" s="503"/>
      <c r="CA6" s="503"/>
      <c r="CB6" s="503"/>
      <c r="CC6" s="503"/>
      <c r="CD6" s="503"/>
      <c r="CE6" s="503"/>
      <c r="CF6" s="503"/>
      <c r="CG6" s="503"/>
      <c r="CH6" s="503"/>
      <c r="CI6" s="503"/>
      <c r="CJ6" s="503"/>
      <c r="CK6" s="503"/>
      <c r="CL6" s="503"/>
      <c r="CM6" s="503"/>
      <c r="CN6" s="503"/>
      <c r="CO6" s="503"/>
      <c r="CP6" s="503"/>
      <c r="CQ6" s="503"/>
      <c r="CR6" s="503"/>
      <c r="CS6" s="503"/>
      <c r="CT6" s="503"/>
      <c r="CU6" s="504"/>
      <c r="CV6" s="453"/>
      <c r="CW6" s="512" t="s">
        <v>195</v>
      </c>
      <c r="CX6" s="512"/>
      <c r="CY6" s="512"/>
      <c r="CZ6" s="512"/>
      <c r="DA6" s="512"/>
      <c r="DB6" s="512"/>
      <c r="DC6" s="512"/>
      <c r="DD6" s="512"/>
      <c r="DE6" s="512"/>
      <c r="DF6" s="512"/>
      <c r="DG6" s="512"/>
      <c r="DH6" s="512"/>
      <c r="DI6" s="512"/>
      <c r="DJ6" s="512"/>
      <c r="DK6" s="512"/>
      <c r="DL6" s="512"/>
      <c r="DM6" s="512"/>
      <c r="DN6" s="512"/>
      <c r="DO6" s="512"/>
      <c r="DP6" s="512"/>
      <c r="DQ6" s="512"/>
      <c r="DR6" s="513"/>
      <c r="DS6" s="438"/>
      <c r="DT6" s="403" t="s">
        <v>196</v>
      </c>
      <c r="DU6" s="404"/>
      <c r="DV6" s="404"/>
      <c r="DW6" s="404"/>
      <c r="DX6" s="404"/>
      <c r="DY6" s="404"/>
      <c r="DZ6" s="404"/>
      <c r="EA6" s="404"/>
      <c r="EB6" s="404"/>
      <c r="EC6" s="404"/>
      <c r="ED6" s="404"/>
      <c r="EE6" s="405"/>
      <c r="EF6" s="377"/>
      <c r="EG6" s="403" t="s">
        <v>197</v>
      </c>
      <c r="EH6" s="404"/>
      <c r="EI6" s="404"/>
      <c r="EJ6" s="404"/>
      <c r="EK6" s="404"/>
      <c r="EL6" s="404"/>
      <c r="EM6" s="404"/>
      <c r="EN6" s="404"/>
      <c r="EO6" s="404"/>
      <c r="EP6" s="404"/>
      <c r="EQ6" s="404"/>
      <c r="ER6" s="405"/>
      <c r="ES6" s="426"/>
      <c r="ET6" s="423" t="s">
        <v>198</v>
      </c>
      <c r="EU6" s="424"/>
      <c r="EV6" s="424"/>
      <c r="EW6" s="424"/>
      <c r="EX6" s="424"/>
      <c r="EY6" s="424"/>
      <c r="EZ6" s="424"/>
      <c r="FA6" s="424"/>
      <c r="FB6" s="424"/>
      <c r="FC6" s="425"/>
    </row>
    <row r="7" spans="1:159" ht="45" customHeight="1" thickBot="1" x14ac:dyDescent="0.3">
      <c r="A7" s="505" t="s">
        <v>18</v>
      </c>
      <c r="B7" s="507" t="s">
        <v>108</v>
      </c>
      <c r="C7" s="466" t="s">
        <v>109</v>
      </c>
      <c r="D7" s="464"/>
      <c r="E7" s="467"/>
      <c r="F7" s="509" t="s">
        <v>0</v>
      </c>
      <c r="G7" s="510"/>
      <c r="H7" s="511"/>
      <c r="I7" s="514" t="s">
        <v>1</v>
      </c>
      <c r="J7" s="514"/>
      <c r="K7" s="515" t="s">
        <v>110</v>
      </c>
      <c r="L7" s="516"/>
      <c r="M7" s="517" t="s">
        <v>111</v>
      </c>
      <c r="N7" s="511"/>
      <c r="O7" s="517" t="s">
        <v>2</v>
      </c>
      <c r="P7" s="510"/>
      <c r="Q7" s="511"/>
      <c r="R7" s="515" t="s">
        <v>112</v>
      </c>
      <c r="S7" s="518"/>
      <c r="T7" s="520"/>
      <c r="U7" s="519" t="s">
        <v>3</v>
      </c>
      <c r="V7" s="479"/>
      <c r="W7" s="480"/>
      <c r="X7" s="478" t="s">
        <v>4</v>
      </c>
      <c r="Y7" s="479"/>
      <c r="Z7" s="480"/>
      <c r="AA7" s="478" t="s">
        <v>5</v>
      </c>
      <c r="AB7" s="479"/>
      <c r="AC7" s="480"/>
      <c r="AD7" s="478" t="s">
        <v>6</v>
      </c>
      <c r="AE7" s="479"/>
      <c r="AF7" s="480"/>
      <c r="AG7" s="478" t="s">
        <v>7</v>
      </c>
      <c r="AH7" s="479"/>
      <c r="AI7" s="480"/>
      <c r="AJ7" s="475" t="s">
        <v>113</v>
      </c>
      <c r="AK7" s="476"/>
      <c r="AL7" s="477"/>
      <c r="AM7" s="475" t="s">
        <v>114</v>
      </c>
      <c r="AN7" s="476"/>
      <c r="AO7" s="477"/>
      <c r="AP7" s="478" t="s">
        <v>8</v>
      </c>
      <c r="AQ7" s="479"/>
      <c r="AR7" s="480"/>
      <c r="AS7" s="475" t="s">
        <v>115</v>
      </c>
      <c r="AT7" s="476"/>
      <c r="AU7" s="477"/>
      <c r="AV7" s="481" t="s">
        <v>9</v>
      </c>
      <c r="AW7" s="482"/>
      <c r="AX7" s="483"/>
      <c r="AY7" s="427"/>
      <c r="AZ7" s="484" t="s">
        <v>10</v>
      </c>
      <c r="BA7" s="482"/>
      <c r="BB7" s="485"/>
      <c r="BC7" s="486" t="s">
        <v>11</v>
      </c>
      <c r="BD7" s="486"/>
      <c r="BE7" s="486"/>
      <c r="BF7" s="486" t="s">
        <v>12</v>
      </c>
      <c r="BG7" s="486"/>
      <c r="BH7" s="486"/>
      <c r="BI7" s="470" t="s">
        <v>116</v>
      </c>
      <c r="BJ7" s="470"/>
      <c r="BK7" s="470" t="s">
        <v>117</v>
      </c>
      <c r="BL7" s="470"/>
      <c r="BM7" s="470" t="s">
        <v>118</v>
      </c>
      <c r="BN7" s="470"/>
      <c r="BO7" s="470" t="s">
        <v>119</v>
      </c>
      <c r="BP7" s="470"/>
      <c r="BQ7" s="471" t="s">
        <v>120</v>
      </c>
      <c r="BR7" s="472"/>
      <c r="BS7" s="473" t="s">
        <v>121</v>
      </c>
      <c r="BT7" s="474"/>
      <c r="BU7" s="394"/>
      <c r="BV7" s="396" t="s">
        <v>13</v>
      </c>
      <c r="BW7" s="397"/>
      <c r="BX7" s="398"/>
      <c r="BY7" s="399" t="s">
        <v>122</v>
      </c>
      <c r="BZ7" s="399"/>
      <c r="CA7" s="400" t="s">
        <v>123</v>
      </c>
      <c r="CB7" s="401"/>
      <c r="CC7" s="400" t="s">
        <v>124</v>
      </c>
      <c r="CD7" s="401"/>
      <c r="CE7" s="400" t="s">
        <v>125</v>
      </c>
      <c r="CF7" s="401"/>
      <c r="CG7" s="400" t="s">
        <v>126</v>
      </c>
      <c r="CH7" s="401"/>
      <c r="CI7" s="400" t="s">
        <v>127</v>
      </c>
      <c r="CJ7" s="401"/>
      <c r="CK7" s="450" t="s">
        <v>14</v>
      </c>
      <c r="CL7" s="397"/>
      <c r="CM7" s="398"/>
      <c r="CN7" s="450" t="s">
        <v>15</v>
      </c>
      <c r="CO7" s="397"/>
      <c r="CP7" s="398"/>
      <c r="CQ7" s="450" t="s">
        <v>16</v>
      </c>
      <c r="CR7" s="397"/>
      <c r="CS7" s="398"/>
      <c r="CT7" s="451" t="s">
        <v>17</v>
      </c>
      <c r="CU7" s="452"/>
      <c r="CV7" s="454"/>
      <c r="CW7" s="421" t="s">
        <v>199</v>
      </c>
      <c r="CX7" s="422"/>
      <c r="CY7" s="422"/>
      <c r="CZ7" s="422"/>
      <c r="DA7" s="463" t="s">
        <v>187</v>
      </c>
      <c r="DB7" s="464"/>
      <c r="DC7" s="464"/>
      <c r="DD7" s="465"/>
      <c r="DE7" s="463" t="s">
        <v>82</v>
      </c>
      <c r="DF7" s="464"/>
      <c r="DG7" s="464"/>
      <c r="DH7" s="464"/>
      <c r="DI7" s="421" t="s">
        <v>83</v>
      </c>
      <c r="DJ7" s="463"/>
      <c r="DK7" s="463"/>
      <c r="DL7" s="429"/>
      <c r="DM7" s="466" t="s">
        <v>84</v>
      </c>
      <c r="DN7" s="464"/>
      <c r="DO7" s="464"/>
      <c r="DP7" s="467"/>
      <c r="DQ7" s="466" t="s">
        <v>85</v>
      </c>
      <c r="DR7" s="467"/>
      <c r="DS7" s="439"/>
      <c r="DT7" s="436" t="s">
        <v>86</v>
      </c>
      <c r="DU7" s="437"/>
      <c r="DV7" s="444" t="s">
        <v>202</v>
      </c>
      <c r="DW7" s="437"/>
      <c r="DX7" s="402" t="s">
        <v>87</v>
      </c>
      <c r="DY7" s="444"/>
      <c r="DZ7" s="444" t="s">
        <v>88</v>
      </c>
      <c r="EA7" s="437"/>
      <c r="EB7" s="444" t="s">
        <v>89</v>
      </c>
      <c r="EC7" s="437"/>
      <c r="ED7" s="444" t="s">
        <v>90</v>
      </c>
      <c r="EE7" s="445"/>
      <c r="EF7" s="378"/>
      <c r="EG7" s="419" t="s">
        <v>91</v>
      </c>
      <c r="EH7" s="402"/>
      <c r="EI7" s="402" t="s">
        <v>92</v>
      </c>
      <c r="EJ7" s="402"/>
      <c r="EK7" s="402" t="s">
        <v>93</v>
      </c>
      <c r="EL7" s="402"/>
      <c r="EM7" s="402" t="s">
        <v>94</v>
      </c>
      <c r="EN7" s="402"/>
      <c r="EO7" s="402" t="s">
        <v>95</v>
      </c>
      <c r="EP7" s="402"/>
      <c r="EQ7" s="402" t="s">
        <v>201</v>
      </c>
      <c r="ER7" s="420"/>
      <c r="ES7" s="426"/>
      <c r="ET7" s="421" t="s">
        <v>96</v>
      </c>
      <c r="EU7" s="422"/>
      <c r="EV7" s="422" t="s">
        <v>97</v>
      </c>
      <c r="EW7" s="422"/>
      <c r="EX7" s="422" t="s">
        <v>98</v>
      </c>
      <c r="EY7" s="422"/>
      <c r="EZ7" s="422" t="s">
        <v>200</v>
      </c>
      <c r="FA7" s="422"/>
      <c r="FB7" s="422" t="s">
        <v>99</v>
      </c>
      <c r="FC7" s="429"/>
    </row>
    <row r="8" spans="1:159" s="4" customFormat="1" ht="44.25" customHeight="1" thickBot="1" x14ac:dyDescent="0.3">
      <c r="A8" s="506"/>
      <c r="B8" s="508"/>
      <c r="C8" s="265" t="s">
        <v>19</v>
      </c>
      <c r="D8" s="266" t="s">
        <v>128</v>
      </c>
      <c r="E8" s="85" t="s">
        <v>190</v>
      </c>
      <c r="F8" s="254" t="s">
        <v>21</v>
      </c>
      <c r="G8" s="21" t="s">
        <v>22</v>
      </c>
      <c r="H8" s="85" t="s">
        <v>190</v>
      </c>
      <c r="I8" s="22" t="s">
        <v>21</v>
      </c>
      <c r="J8" s="21" t="s">
        <v>20</v>
      </c>
      <c r="K8" s="267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190</v>
      </c>
      <c r="R8" s="22" t="s">
        <v>21</v>
      </c>
      <c r="S8" s="268" t="s">
        <v>22</v>
      </c>
      <c r="T8" s="520"/>
      <c r="U8" s="270" t="s">
        <v>23</v>
      </c>
      <c r="V8" s="21" t="s">
        <v>129</v>
      </c>
      <c r="W8" s="86" t="s">
        <v>130</v>
      </c>
      <c r="X8" s="22" t="s">
        <v>25</v>
      </c>
      <c r="Y8" s="21" t="s">
        <v>129</v>
      </c>
      <c r="Z8" s="86" t="s">
        <v>130</v>
      </c>
      <c r="AA8" s="22" t="s">
        <v>25</v>
      </c>
      <c r="AB8" s="21" t="s">
        <v>129</v>
      </c>
      <c r="AC8" s="86" t="s">
        <v>130</v>
      </c>
      <c r="AD8" s="22" t="s">
        <v>25</v>
      </c>
      <c r="AE8" s="21" t="s">
        <v>129</v>
      </c>
      <c r="AF8" s="86" t="s">
        <v>130</v>
      </c>
      <c r="AG8" s="22" t="s">
        <v>23</v>
      </c>
      <c r="AH8" s="21" t="s">
        <v>129</v>
      </c>
      <c r="AI8" s="86" t="s">
        <v>130</v>
      </c>
      <c r="AJ8" s="22" t="s">
        <v>25</v>
      </c>
      <c r="AK8" s="21" t="s">
        <v>129</v>
      </c>
      <c r="AL8" s="86" t="s">
        <v>130</v>
      </c>
      <c r="AM8" s="22" t="s">
        <v>25</v>
      </c>
      <c r="AN8" s="21" t="s">
        <v>129</v>
      </c>
      <c r="AO8" s="86" t="s">
        <v>130</v>
      </c>
      <c r="AP8" s="22" t="s">
        <v>25</v>
      </c>
      <c r="AQ8" s="21" t="s">
        <v>129</v>
      </c>
      <c r="AR8" s="86" t="s">
        <v>130</v>
      </c>
      <c r="AS8" s="22" t="s">
        <v>25</v>
      </c>
      <c r="AT8" s="21" t="s">
        <v>129</v>
      </c>
      <c r="AU8" s="86" t="s">
        <v>130</v>
      </c>
      <c r="AV8" s="22" t="s">
        <v>25</v>
      </c>
      <c r="AW8" s="21" t="s">
        <v>129</v>
      </c>
      <c r="AX8" s="271" t="s">
        <v>130</v>
      </c>
      <c r="AY8" s="427"/>
      <c r="AZ8" s="270" t="s">
        <v>26</v>
      </c>
      <c r="BA8" s="174" t="s">
        <v>131</v>
      </c>
      <c r="BB8" s="86" t="s">
        <v>130</v>
      </c>
      <c r="BC8" s="22" t="s">
        <v>26</v>
      </c>
      <c r="BD8" s="174" t="s">
        <v>131</v>
      </c>
      <c r="BE8" s="86" t="s">
        <v>130</v>
      </c>
      <c r="BF8" s="22" t="s">
        <v>26</v>
      </c>
      <c r="BG8" s="174" t="s">
        <v>131</v>
      </c>
      <c r="BH8" s="86" t="s">
        <v>130</v>
      </c>
      <c r="BI8" s="22" t="s">
        <v>26</v>
      </c>
      <c r="BJ8" s="21" t="s">
        <v>131</v>
      </c>
      <c r="BK8" s="22" t="s">
        <v>26</v>
      </c>
      <c r="BL8" s="21" t="s">
        <v>131</v>
      </c>
      <c r="BM8" s="22" t="s">
        <v>26</v>
      </c>
      <c r="BN8" s="21" t="s">
        <v>131</v>
      </c>
      <c r="BO8" s="22" t="s">
        <v>26</v>
      </c>
      <c r="BP8" s="21" t="s">
        <v>131</v>
      </c>
      <c r="BQ8" s="254" t="s">
        <v>26</v>
      </c>
      <c r="BR8" s="21" t="s">
        <v>131</v>
      </c>
      <c r="BS8" s="254" t="s">
        <v>26</v>
      </c>
      <c r="BT8" s="274" t="s">
        <v>131</v>
      </c>
      <c r="BU8" s="394"/>
      <c r="BV8" s="240" t="s">
        <v>27</v>
      </c>
      <c r="BW8" s="22" t="s">
        <v>28</v>
      </c>
      <c r="BX8" s="85" t="s">
        <v>190</v>
      </c>
      <c r="BY8" s="22" t="s">
        <v>28</v>
      </c>
      <c r="BZ8" s="184" t="s">
        <v>22</v>
      </c>
      <c r="CA8" s="22" t="s">
        <v>28</v>
      </c>
      <c r="CB8" s="184" t="s">
        <v>22</v>
      </c>
      <c r="CC8" s="22" t="s">
        <v>28</v>
      </c>
      <c r="CD8" s="184" t="s">
        <v>22</v>
      </c>
      <c r="CE8" s="22" t="s">
        <v>28</v>
      </c>
      <c r="CF8" s="184" t="s">
        <v>22</v>
      </c>
      <c r="CG8" s="22" t="s">
        <v>28</v>
      </c>
      <c r="CH8" s="184" t="s">
        <v>22</v>
      </c>
      <c r="CI8" s="22" t="s">
        <v>28</v>
      </c>
      <c r="CJ8" s="184" t="s">
        <v>22</v>
      </c>
      <c r="CK8" s="22" t="s">
        <v>28</v>
      </c>
      <c r="CL8" s="184" t="s">
        <v>22</v>
      </c>
      <c r="CM8" s="85" t="s">
        <v>190</v>
      </c>
      <c r="CN8" s="22" t="s">
        <v>28</v>
      </c>
      <c r="CO8" s="184" t="s">
        <v>22</v>
      </c>
      <c r="CP8" s="85" t="s">
        <v>190</v>
      </c>
      <c r="CQ8" s="24" t="s">
        <v>28</v>
      </c>
      <c r="CR8" s="184" t="s">
        <v>22</v>
      </c>
      <c r="CS8" s="85" t="s">
        <v>190</v>
      </c>
      <c r="CT8" s="22" t="s">
        <v>29</v>
      </c>
      <c r="CU8" s="195" t="s">
        <v>30</v>
      </c>
      <c r="CV8" s="454"/>
      <c r="CW8" s="258" t="s">
        <v>100</v>
      </c>
      <c r="CX8" s="259" t="s">
        <v>20</v>
      </c>
      <c r="CY8" s="24" t="s">
        <v>101</v>
      </c>
      <c r="CZ8" s="259" t="s">
        <v>20</v>
      </c>
      <c r="DA8" s="24" t="s">
        <v>100</v>
      </c>
      <c r="DB8" s="259" t="s">
        <v>22</v>
      </c>
      <c r="DC8" s="24" t="s">
        <v>101</v>
      </c>
      <c r="DD8" s="259" t="s">
        <v>22</v>
      </c>
      <c r="DE8" s="24" t="s">
        <v>100</v>
      </c>
      <c r="DF8" s="259" t="s">
        <v>20</v>
      </c>
      <c r="DG8" s="24" t="s">
        <v>101</v>
      </c>
      <c r="DH8" s="259" t="s">
        <v>20</v>
      </c>
      <c r="DI8" s="24" t="s">
        <v>100</v>
      </c>
      <c r="DJ8" s="260" t="s">
        <v>22</v>
      </c>
      <c r="DK8" s="24" t="s">
        <v>101</v>
      </c>
      <c r="DL8" s="260" t="s">
        <v>22</v>
      </c>
      <c r="DM8" s="24" t="s">
        <v>100</v>
      </c>
      <c r="DN8" s="260" t="s">
        <v>22</v>
      </c>
      <c r="DO8" s="24" t="s">
        <v>101</v>
      </c>
      <c r="DP8" s="260" t="s">
        <v>22</v>
      </c>
      <c r="DQ8" s="261" t="s">
        <v>102</v>
      </c>
      <c r="DR8" s="262" t="s">
        <v>22</v>
      </c>
      <c r="DS8" s="439"/>
      <c r="DT8" s="211" t="s">
        <v>23</v>
      </c>
      <c r="DU8" s="220" t="s">
        <v>24</v>
      </c>
      <c r="DV8" s="213" t="s">
        <v>23</v>
      </c>
      <c r="DW8" s="214" t="s">
        <v>24</v>
      </c>
      <c r="DX8" s="212" t="s">
        <v>25</v>
      </c>
      <c r="DY8" s="225" t="s">
        <v>24</v>
      </c>
      <c r="DZ8" s="212" t="s">
        <v>25</v>
      </c>
      <c r="EA8" s="225" t="s">
        <v>24</v>
      </c>
      <c r="EB8" s="212" t="s">
        <v>25</v>
      </c>
      <c r="EC8" s="225" t="s">
        <v>24</v>
      </c>
      <c r="ED8" s="212" t="s">
        <v>25</v>
      </c>
      <c r="EE8" s="228" t="s">
        <v>24</v>
      </c>
      <c r="EF8" s="378"/>
      <c r="EG8" s="211" t="s">
        <v>25</v>
      </c>
      <c r="EH8" s="236" t="s">
        <v>24</v>
      </c>
      <c r="EI8" s="212" t="s">
        <v>25</v>
      </c>
      <c r="EJ8" s="236" t="s">
        <v>24</v>
      </c>
      <c r="EK8" s="212" t="s">
        <v>23</v>
      </c>
      <c r="EL8" s="236" t="s">
        <v>24</v>
      </c>
      <c r="EM8" s="212" t="s">
        <v>25</v>
      </c>
      <c r="EN8" s="236" t="s">
        <v>24</v>
      </c>
      <c r="EO8" s="212" t="s">
        <v>25</v>
      </c>
      <c r="EP8" s="236" t="s">
        <v>24</v>
      </c>
      <c r="EQ8" s="212" t="s">
        <v>25</v>
      </c>
      <c r="ER8" s="237" t="s">
        <v>24</v>
      </c>
      <c r="ES8" s="427"/>
      <c r="ET8" s="247" t="s">
        <v>28</v>
      </c>
      <c r="EU8" s="248" t="s">
        <v>22</v>
      </c>
      <c r="EV8" s="23" t="s">
        <v>28</v>
      </c>
      <c r="EW8" s="248" t="s">
        <v>22</v>
      </c>
      <c r="EX8" s="23" t="s">
        <v>28</v>
      </c>
      <c r="EY8" s="248" t="s">
        <v>22</v>
      </c>
      <c r="EZ8" s="23" t="s">
        <v>28</v>
      </c>
      <c r="FA8" s="248" t="s">
        <v>22</v>
      </c>
      <c r="FB8" s="23" t="s">
        <v>28</v>
      </c>
      <c r="FC8" s="249" t="s">
        <v>22</v>
      </c>
    </row>
    <row r="9" spans="1:159" ht="30" customHeight="1" x14ac:dyDescent="0.25">
      <c r="A9" s="207">
        <v>43830</v>
      </c>
      <c r="B9" s="209">
        <f>'[1]May - 2021'!B9</f>
        <v>0.81</v>
      </c>
      <c r="C9" s="263">
        <f>'[1]May - 2021'!E9</f>
        <v>758494</v>
      </c>
      <c r="D9" s="411">
        <f>C10-C9</f>
        <v>561</v>
      </c>
      <c r="E9" s="413">
        <f>'[1]May - 2021'!G9</f>
        <v>306</v>
      </c>
      <c r="F9" s="168">
        <f>'[1]May - 2021'!H9</f>
        <v>12424</v>
      </c>
      <c r="G9" s="369">
        <f>F10-F9</f>
        <v>381</v>
      </c>
      <c r="H9" s="413">
        <f>'[1]May - 2021'!J9</f>
        <v>188</v>
      </c>
      <c r="I9" s="264">
        <f>'[1]May - 2021'!K9</f>
        <v>130486</v>
      </c>
      <c r="J9" s="369">
        <f>I10-I9</f>
        <v>192</v>
      </c>
      <c r="K9" s="264">
        <f>'[1]May - 2021'!N9</f>
        <v>744395</v>
      </c>
      <c r="L9" s="368">
        <f>K10-K9</f>
        <v>355</v>
      </c>
      <c r="M9" s="264">
        <f>'[1]May - 2021'!Q9</f>
        <v>164186</v>
      </c>
      <c r="N9" s="368">
        <f>M10-M9</f>
        <v>0</v>
      </c>
      <c r="O9" s="264">
        <f>'[1]May - 2021'!S9</f>
        <v>3809.06</v>
      </c>
      <c r="P9" s="369">
        <f>O10-O9</f>
        <v>143.11999999999989</v>
      </c>
      <c r="Q9" s="413">
        <f>'[1]May - 2021'!U9</f>
        <v>97</v>
      </c>
      <c r="R9" s="264">
        <f>'[1]May - 2021'!V9</f>
        <v>2054</v>
      </c>
      <c r="S9" s="415">
        <f>R10-R9</f>
        <v>36</v>
      </c>
      <c r="T9" s="521"/>
      <c r="U9" s="269">
        <f>'[1]May - 2021'!AC9</f>
        <v>6516738.4799999995</v>
      </c>
      <c r="V9" s="417">
        <f>U10-U9</f>
        <v>2825.7600000007078</v>
      </c>
      <c r="W9" s="409">
        <f>'[1]May - 2021'!AD9</f>
        <v>2825.7600000007078</v>
      </c>
      <c r="X9" s="255">
        <f>'[1]May - 2021'!AF9</f>
        <v>12720840.719999999</v>
      </c>
      <c r="Y9" s="369">
        <f>X10-X9</f>
        <v>4872</v>
      </c>
      <c r="Z9" s="409">
        <f>'[1]May - 2021'!AG9</f>
        <v>4872</v>
      </c>
      <c r="AA9" s="255">
        <f>'[1]May - 2021'!AI9</f>
        <v>11999687.280000001</v>
      </c>
      <c r="AB9" s="369">
        <f>AA10-AA9</f>
        <v>11546.639999998733</v>
      </c>
      <c r="AC9" s="409">
        <f>'[1]May - 2021'!AJ9</f>
        <v>11546.639999998733</v>
      </c>
      <c r="AD9" s="255">
        <f>'[1]May - 2021'!AL9</f>
        <v>15145342.799999999</v>
      </c>
      <c r="AE9" s="369">
        <f>AD10-AD9</f>
        <v>1169.2800000011921</v>
      </c>
      <c r="AF9" s="409">
        <f>'[1]May - 2021'!AM9</f>
        <v>1169.2800000011921</v>
      </c>
      <c r="AG9" s="255">
        <f>'[1]May - 2021'!AO9</f>
        <v>15483069.84</v>
      </c>
      <c r="AH9" s="369">
        <f>AG10-AG9</f>
        <v>5407.9199999999255</v>
      </c>
      <c r="AI9" s="409">
        <f>'[1]May - 2021'!AP9</f>
        <v>5407.9199999999255</v>
      </c>
      <c r="AJ9" s="255">
        <f>'[1]May - 2021'!AR9</f>
        <v>14262536.4</v>
      </c>
      <c r="AK9" s="369">
        <f>AJ10-AJ9</f>
        <v>5602.7999999988824</v>
      </c>
      <c r="AL9" s="409">
        <f>'[1]May - 2021'!AS9</f>
        <v>5602.7999999988824</v>
      </c>
      <c r="AM9" s="255">
        <f>'[1]May - 2021'!AU9</f>
        <v>12183459.119999999</v>
      </c>
      <c r="AN9" s="369">
        <f>AM10-AM9</f>
        <v>4579.679999999702</v>
      </c>
      <c r="AO9" s="409">
        <f>'[1]May - 2021'!AV9</f>
        <v>4579.679999999702</v>
      </c>
      <c r="AP9" s="255">
        <f>'[1]May - 2021'!AX9</f>
        <v>11763297.84</v>
      </c>
      <c r="AQ9" s="369">
        <f>AP10-AP9</f>
        <v>4433.519999999553</v>
      </c>
      <c r="AR9" s="409">
        <f>'[1]May - 2021'!AY9</f>
        <v>4433.519999999553</v>
      </c>
      <c r="AS9" s="255">
        <f>'[1]May - 2021'!BA9</f>
        <v>9399306</v>
      </c>
      <c r="AT9" s="369">
        <f>AS10-AS9</f>
        <v>2971.9199999999255</v>
      </c>
      <c r="AU9" s="409">
        <f>'[1]May - 2021'!BB9</f>
        <v>2971.9199999999255</v>
      </c>
      <c r="AV9" s="255">
        <f>'[1]May - 2021'!BD9</f>
        <v>14322315.84</v>
      </c>
      <c r="AW9" s="369">
        <f>AV10-AV9</f>
        <v>5651.519999999553</v>
      </c>
      <c r="AX9" s="490">
        <f>'[1]May - 2021'!BE9</f>
        <v>5651.519999999553</v>
      </c>
      <c r="AY9" s="487"/>
      <c r="AZ9" s="272">
        <f>'[1]May - 2021'!BK9</f>
        <v>59875200</v>
      </c>
      <c r="BA9" s="492">
        <f>AZ10-AZ9</f>
        <v>52700</v>
      </c>
      <c r="BB9" s="488">
        <f>'[1]May - 2021'!BL9</f>
        <v>52700</v>
      </c>
      <c r="BC9" s="272">
        <f>'[1]May - 2021'!BN9</f>
        <v>63081500</v>
      </c>
      <c r="BD9" s="492">
        <f>BC10-BC9</f>
        <v>0</v>
      </c>
      <c r="BE9" s="488">
        <f>'[1]May - 2021'!BO9</f>
        <v>0</v>
      </c>
      <c r="BF9" s="272">
        <f>'[1]May - 2021'!BQ9</f>
        <v>57754600</v>
      </c>
      <c r="BG9" s="492">
        <f>BF10-BF9</f>
        <v>31700</v>
      </c>
      <c r="BH9" s="488">
        <f>'[1]May - 2021'!BR9</f>
        <v>31700</v>
      </c>
      <c r="BI9" s="26"/>
      <c r="BJ9" s="368"/>
      <c r="BK9" s="26"/>
      <c r="BL9" s="26"/>
      <c r="BM9" s="26"/>
      <c r="BN9" s="26"/>
      <c r="BO9" s="26"/>
      <c r="BP9" s="26"/>
      <c r="BQ9" s="26"/>
      <c r="BR9" s="26"/>
      <c r="BS9" s="273">
        <f>'[1]May - 2021'!BT9</f>
        <v>6233240</v>
      </c>
      <c r="BT9" s="386">
        <f>BS10-BS9</f>
        <v>6750</v>
      </c>
      <c r="BU9" s="394"/>
      <c r="BV9" s="88">
        <f>'[1]May - 2021'!BW9</f>
        <v>0.8</v>
      </c>
      <c r="BW9" s="388">
        <f>BV10-BV9</f>
        <v>-5.0000000000000044E-2</v>
      </c>
      <c r="BX9" s="390">
        <f>'[1]May - 2021'!$BX$9:$BX$10</f>
        <v>5.0000000000000044E-2</v>
      </c>
      <c r="BY9" s="89">
        <f>'[1]May - 2021'!BZ9</f>
        <v>53107</v>
      </c>
      <c r="BZ9" s="392">
        <f>BY10-BY9</f>
        <v>17</v>
      </c>
      <c r="CA9" s="89">
        <f>'[1]May - 2021'!CB9</f>
        <v>44827</v>
      </c>
      <c r="CB9" s="392">
        <f>CA10-CA9</f>
        <v>12</v>
      </c>
      <c r="CC9" s="89">
        <f>'[1]May - 2021'!CD9</f>
        <v>15534</v>
      </c>
      <c r="CD9" s="392">
        <f>CC10-CC9</f>
        <v>7</v>
      </c>
      <c r="CE9" s="89">
        <f>'[1]May - 2021'!CF9</f>
        <v>19791</v>
      </c>
      <c r="CF9" s="392">
        <f>CE10-CE9</f>
        <v>10</v>
      </c>
      <c r="CG9" s="89">
        <f>'[1]May - 2021'!CH9</f>
        <v>21496</v>
      </c>
      <c r="CH9" s="392">
        <f>CG10-CG9</f>
        <v>10</v>
      </c>
      <c r="CI9" s="89">
        <f>'[1]May - 2021'!CJ9</f>
        <v>48902</v>
      </c>
      <c r="CJ9" s="392">
        <f>CI10-CI9</f>
        <v>31</v>
      </c>
      <c r="CK9" s="89">
        <f>'[1]May - 2021'!CL9</f>
        <v>212932</v>
      </c>
      <c r="CL9" s="392">
        <f>CK10-CK9</f>
        <v>102</v>
      </c>
      <c r="CM9" s="406">
        <f>'[1]May - 2021'!CM9</f>
        <v>102</v>
      </c>
      <c r="CN9" s="89">
        <f>'[1]May - 2021'!CO9</f>
        <v>161549</v>
      </c>
      <c r="CO9" s="392">
        <f>CN10-CN9</f>
        <v>94</v>
      </c>
      <c r="CP9" s="406">
        <f>'[1]May - 2021'!CP9</f>
        <v>94</v>
      </c>
      <c r="CQ9" s="89">
        <f>'[1]May - 2021'!CR9</f>
        <v>308195</v>
      </c>
      <c r="CR9" s="392">
        <f>CQ10-CQ9</f>
        <v>0</v>
      </c>
      <c r="CS9" s="406">
        <f>'[1]May - 2021'!CS9</f>
        <v>0</v>
      </c>
      <c r="CT9" s="89">
        <f>'[1]May - 2021'!CU9</f>
        <v>567912</v>
      </c>
      <c r="CU9" s="468">
        <f>CT10-CT9</f>
        <v>273</v>
      </c>
      <c r="CV9" s="454"/>
      <c r="CW9" s="256">
        <f>'[1]May - 2021'!CX9</f>
        <v>4878</v>
      </c>
      <c r="CX9" s="380">
        <f>CW10-CW9</f>
        <v>5</v>
      </c>
      <c r="CY9" s="257">
        <f>'[1]May - 2021'!CZ9</f>
        <v>2513</v>
      </c>
      <c r="CZ9" s="380">
        <f>CY10-CY9</f>
        <v>4</v>
      </c>
      <c r="DA9" s="257">
        <f>'[1]May - 2021'!DB9</f>
        <v>23907.9</v>
      </c>
      <c r="DB9" s="380">
        <f>DA10-DA9</f>
        <v>13.19999999999709</v>
      </c>
      <c r="DC9" s="257">
        <f>'[1]May - 2021'!DD9</f>
        <v>24428.799999999999</v>
      </c>
      <c r="DD9" s="380">
        <f>DC10-DC9</f>
        <v>8.9000000000014552</v>
      </c>
      <c r="DE9" s="257">
        <f>'[1]May - 2021'!DF9</f>
        <v>17060.7</v>
      </c>
      <c r="DF9" s="380">
        <f>DE10-DE9</f>
        <v>6.3999999999978172</v>
      </c>
      <c r="DG9" s="257">
        <f>'[1]May - 2021'!DH9</f>
        <v>20031.400000000001</v>
      </c>
      <c r="DH9" s="380">
        <f>DG10-DG9</f>
        <v>6.5</v>
      </c>
      <c r="DI9" s="257">
        <f>'[1]May - 2021'!DJ9</f>
        <v>1427</v>
      </c>
      <c r="DJ9" s="380">
        <f>DI10-DI9</f>
        <v>5</v>
      </c>
      <c r="DK9" s="257">
        <f>'[1]May - 2021'!DL9</f>
        <v>4243</v>
      </c>
      <c r="DL9" s="380">
        <f>DK10-DK9</f>
        <v>13</v>
      </c>
      <c r="DM9" s="257">
        <f>'[1]May - 2021'!DN9</f>
        <v>875</v>
      </c>
      <c r="DN9" s="380">
        <f>DM10-DM9</f>
        <v>3</v>
      </c>
      <c r="DO9" s="257">
        <f>'[1]May - 2021'!DP9</f>
        <v>2245</v>
      </c>
      <c r="DP9" s="380">
        <f>DO10-DO9</f>
        <v>6</v>
      </c>
      <c r="DQ9" s="257">
        <f>'[1]May - 2021'!DR9</f>
        <v>24475</v>
      </c>
      <c r="DR9" s="382">
        <f>DQ10-DQ9</f>
        <v>17</v>
      </c>
      <c r="DS9" s="439"/>
      <c r="DT9" s="210">
        <f>'[1]May - 2021'!DU9</f>
        <v>1042.3</v>
      </c>
      <c r="DU9" s="384">
        <f>DT10-DT9</f>
        <v>7.9000000000000909</v>
      </c>
      <c r="DV9" s="91">
        <f>'[1]May - 2021'!DW9</f>
        <v>6470</v>
      </c>
      <c r="DW9" s="446">
        <f>DV10-DV9</f>
        <v>5.1000000000003638</v>
      </c>
      <c r="DX9" s="91">
        <f>'[1]May - 2021'!DY9</f>
        <v>809.7</v>
      </c>
      <c r="DY9" s="384">
        <f>DX10-DX9</f>
        <v>4.8999999999999773</v>
      </c>
      <c r="DZ9" s="91">
        <f>'[1]May - 2021'!EA9</f>
        <v>357.5</v>
      </c>
      <c r="EA9" s="384">
        <f>DZ10-DZ9</f>
        <v>4.6000000000000227</v>
      </c>
      <c r="EB9" s="91">
        <f>'[1]May - 2021'!EC9</f>
        <v>704924</v>
      </c>
      <c r="EC9" s="384">
        <f>EB10-EB9</f>
        <v>750</v>
      </c>
      <c r="ED9" s="91">
        <f>'[1]May - 2021'!EG9</f>
        <v>141920</v>
      </c>
      <c r="EE9" s="448">
        <f>ED10-ED9</f>
        <v>160</v>
      </c>
      <c r="EF9" s="378"/>
      <c r="EG9" s="235">
        <f>'[1]May - 2021'!EJ9</f>
        <v>8936900</v>
      </c>
      <c r="EH9" s="370">
        <f>EG10-EG9</f>
        <v>3200</v>
      </c>
      <c r="EI9" s="90">
        <f>'[1]May - 2021'!EL9</f>
        <v>737080</v>
      </c>
      <c r="EJ9" s="370">
        <f>EI10-EI9</f>
        <v>400</v>
      </c>
      <c r="EK9" s="90">
        <f>'[1]May - 2021'!EN9</f>
        <v>5742700</v>
      </c>
      <c r="EL9" s="370">
        <f>EK10-EK9</f>
        <v>2800</v>
      </c>
      <c r="EM9" s="90">
        <f>'[1]May - 2021'!EP9</f>
        <v>2027100</v>
      </c>
      <c r="EN9" s="370">
        <f>EM10-EM9</f>
        <v>800</v>
      </c>
      <c r="EO9" s="90">
        <f>'[1]May - 2021'!ER9</f>
        <v>793700</v>
      </c>
      <c r="EP9" s="370">
        <f>EO10-EO9</f>
        <v>1000</v>
      </c>
      <c r="EQ9" s="90">
        <f>'[1]May - 2021'!ET9</f>
        <v>12594400</v>
      </c>
      <c r="ER9" s="434">
        <f>EQ10-EQ9</f>
        <v>5900</v>
      </c>
      <c r="ES9" s="426"/>
      <c r="ET9" s="284">
        <f>'[1]May - 2021'!EW9</f>
        <v>34284</v>
      </c>
      <c r="EU9" s="381">
        <f>ET10-ET9</f>
        <v>15</v>
      </c>
      <c r="EV9" s="285">
        <f>'[1]May - 2021'!EY9</f>
        <v>29659</v>
      </c>
      <c r="EW9" s="381">
        <f>EV10-EV9</f>
        <v>10</v>
      </c>
      <c r="EX9" s="285">
        <f>'[1]May - 2021'!FA9</f>
        <v>652</v>
      </c>
      <c r="EY9" s="381">
        <v>0</v>
      </c>
      <c r="EZ9" s="285">
        <f>'[1]May - 2021'!FC9</f>
        <v>50507</v>
      </c>
      <c r="FA9" s="381">
        <f>EZ10-EZ9</f>
        <v>12</v>
      </c>
      <c r="FB9" s="285">
        <f>'[1]May - 2021'!FE9</f>
        <v>31095</v>
      </c>
      <c r="FC9" s="383">
        <f>FB10-FB9</f>
        <v>29</v>
      </c>
    </row>
    <row r="10" spans="1:159" ht="30" customHeight="1" x14ac:dyDescent="0.25">
      <c r="A10" s="207">
        <v>43831</v>
      </c>
      <c r="B10" s="209">
        <f>'[1]May - 2021'!B10</f>
        <v>0.81</v>
      </c>
      <c r="C10" s="250">
        <f>'[1]May - 2021'!E10</f>
        <v>759055</v>
      </c>
      <c r="D10" s="412"/>
      <c r="E10" s="414"/>
      <c r="F10" s="168">
        <f>'[1]May - 2021'!H10</f>
        <v>12805</v>
      </c>
      <c r="G10" s="408"/>
      <c r="H10" s="414"/>
      <c r="I10" s="168">
        <f>'[1]May - 2021'!K10</f>
        <v>130678</v>
      </c>
      <c r="J10" s="408"/>
      <c r="K10" s="168">
        <f>'[1]May - 2021'!N10</f>
        <v>744750</v>
      </c>
      <c r="L10" s="369"/>
      <c r="M10" s="168">
        <f>'[1]May - 2021'!Q10</f>
        <v>164186</v>
      </c>
      <c r="N10" s="369"/>
      <c r="O10" s="168">
        <f>'[1]May - 2021'!S10</f>
        <v>3952.18</v>
      </c>
      <c r="P10" s="408"/>
      <c r="Q10" s="414"/>
      <c r="R10" s="168">
        <f>'[1]May - 2021'!V10</f>
        <v>2090</v>
      </c>
      <c r="S10" s="416"/>
      <c r="T10" s="521"/>
      <c r="U10" s="269">
        <f>'[1]May - 2021'!AC10</f>
        <v>6519564.2400000002</v>
      </c>
      <c r="V10" s="418"/>
      <c r="W10" s="410"/>
      <c r="X10" s="290">
        <f>'[1]May - 2021'!AF10</f>
        <v>12725712.719999999</v>
      </c>
      <c r="Y10" s="408"/>
      <c r="Z10" s="410"/>
      <c r="AA10" s="290">
        <f>'[1]May - 2021'!AI10</f>
        <v>12011233.92</v>
      </c>
      <c r="AB10" s="408"/>
      <c r="AC10" s="410"/>
      <c r="AD10" s="290">
        <f>'[1]May - 2021'!AL10</f>
        <v>15146512.08</v>
      </c>
      <c r="AE10" s="408"/>
      <c r="AF10" s="410"/>
      <c r="AG10" s="290">
        <f>'[1]May - 2021'!AO10</f>
        <v>15488477.76</v>
      </c>
      <c r="AH10" s="408"/>
      <c r="AI10" s="410"/>
      <c r="AJ10" s="290">
        <f>'[1]May - 2021'!AR10</f>
        <v>14268139.199999999</v>
      </c>
      <c r="AK10" s="408"/>
      <c r="AL10" s="410"/>
      <c r="AM10" s="290">
        <f>'[1]May - 2021'!AU10</f>
        <v>12188038.799999999</v>
      </c>
      <c r="AN10" s="408"/>
      <c r="AO10" s="410"/>
      <c r="AP10" s="290">
        <f>'[1]May - 2021'!AX10</f>
        <v>11767731.359999999</v>
      </c>
      <c r="AQ10" s="408"/>
      <c r="AR10" s="410"/>
      <c r="AS10" s="290">
        <f>'[1]May - 2021'!BA10</f>
        <v>9402277.9199999999</v>
      </c>
      <c r="AT10" s="408"/>
      <c r="AU10" s="410"/>
      <c r="AV10" s="290">
        <f>'[1]May - 2021'!BD10</f>
        <v>14327967.359999999</v>
      </c>
      <c r="AW10" s="408"/>
      <c r="AX10" s="491"/>
      <c r="AY10" s="487"/>
      <c r="AZ10" s="272">
        <f>'[1]May - 2021'!BK10</f>
        <v>59927900</v>
      </c>
      <c r="BA10" s="493"/>
      <c r="BB10" s="489"/>
      <c r="BC10" s="272">
        <f>'[1]May - 2021'!BN10</f>
        <v>63081500</v>
      </c>
      <c r="BD10" s="493"/>
      <c r="BE10" s="489"/>
      <c r="BF10" s="272">
        <f>'[1]May - 2021'!BQ10</f>
        <v>57786300</v>
      </c>
      <c r="BG10" s="493"/>
      <c r="BH10" s="489"/>
      <c r="BI10" s="25"/>
      <c r="BJ10" s="369"/>
      <c r="BK10" s="25"/>
      <c r="BL10" s="25"/>
      <c r="BM10" s="25"/>
      <c r="BN10" s="25"/>
      <c r="BO10" s="25"/>
      <c r="BP10" s="25"/>
      <c r="BQ10" s="25"/>
      <c r="BR10" s="25"/>
      <c r="BS10" s="273">
        <f>'[1]May - 2021'!BT10</f>
        <v>6239990</v>
      </c>
      <c r="BT10" s="387"/>
      <c r="BU10" s="394"/>
      <c r="BV10" s="88">
        <f>'[1]May - 2021'!BW10</f>
        <v>0.75</v>
      </c>
      <c r="BW10" s="389"/>
      <c r="BX10" s="391"/>
      <c r="BY10" s="89">
        <f>'[1]May - 2021'!BZ10</f>
        <v>53124</v>
      </c>
      <c r="BZ10" s="386"/>
      <c r="CA10" s="89">
        <f>'[1]May - 2021'!CB10</f>
        <v>44839</v>
      </c>
      <c r="CB10" s="386"/>
      <c r="CC10" s="89">
        <f>'[1]May - 2021'!CD10</f>
        <v>15541</v>
      </c>
      <c r="CD10" s="386"/>
      <c r="CE10" s="89">
        <f>'[1]May - 2021'!CF10</f>
        <v>19801</v>
      </c>
      <c r="CF10" s="386"/>
      <c r="CG10" s="89">
        <f>'[1]May - 2021'!CH10</f>
        <v>21506</v>
      </c>
      <c r="CH10" s="386"/>
      <c r="CI10" s="89">
        <f>'[1]May - 2021'!CJ10</f>
        <v>48933</v>
      </c>
      <c r="CJ10" s="386"/>
      <c r="CK10" s="89">
        <f>'[1]May - 2021'!CL10</f>
        <v>213034</v>
      </c>
      <c r="CL10" s="386"/>
      <c r="CM10" s="407"/>
      <c r="CN10" s="89">
        <f>'[1]May - 2021'!CO10</f>
        <v>161643</v>
      </c>
      <c r="CO10" s="386"/>
      <c r="CP10" s="407"/>
      <c r="CQ10" s="89">
        <f>'[1]May - 2021'!CR10</f>
        <v>308195</v>
      </c>
      <c r="CR10" s="386"/>
      <c r="CS10" s="407"/>
      <c r="CT10" s="89">
        <f>'[1]May - 2021'!CU10</f>
        <v>568185</v>
      </c>
      <c r="CU10" s="469"/>
      <c r="CV10" s="454"/>
      <c r="CW10" s="256">
        <f>'[1]May - 2021'!CX10</f>
        <v>4883</v>
      </c>
      <c r="CX10" s="381"/>
      <c r="CY10" s="257">
        <f>'[1]May - 2021'!CZ10</f>
        <v>2517</v>
      </c>
      <c r="CZ10" s="381"/>
      <c r="DA10" s="257">
        <f>'[1]May - 2021'!DB10</f>
        <v>23921.1</v>
      </c>
      <c r="DB10" s="381"/>
      <c r="DC10" s="257">
        <f>'[1]May - 2021'!DD10</f>
        <v>24437.7</v>
      </c>
      <c r="DD10" s="381"/>
      <c r="DE10" s="257">
        <f>'[1]May - 2021'!DF10</f>
        <v>17067.099999999999</v>
      </c>
      <c r="DF10" s="381"/>
      <c r="DG10" s="257">
        <f>'[1]May - 2021'!DH10</f>
        <v>20037.900000000001</v>
      </c>
      <c r="DH10" s="381"/>
      <c r="DI10" s="257">
        <f>'[1]May - 2021'!DJ10</f>
        <v>1432</v>
      </c>
      <c r="DJ10" s="381"/>
      <c r="DK10" s="257">
        <f>'[1]May - 2021'!DL10</f>
        <v>4256</v>
      </c>
      <c r="DL10" s="381"/>
      <c r="DM10" s="257">
        <f>'[1]May - 2021'!DN10</f>
        <v>878</v>
      </c>
      <c r="DN10" s="381"/>
      <c r="DO10" s="257">
        <f>'[1]May - 2021'!DP10</f>
        <v>2251</v>
      </c>
      <c r="DP10" s="381"/>
      <c r="DQ10" s="257">
        <f>'[1]May - 2021'!DR10</f>
        <v>24492</v>
      </c>
      <c r="DR10" s="383"/>
      <c r="DS10" s="439"/>
      <c r="DT10" s="210">
        <f>'[1]May - 2021'!DU10</f>
        <v>1050.2</v>
      </c>
      <c r="DU10" s="385"/>
      <c r="DV10" s="91">
        <f>'[1]May - 2021'!DW10</f>
        <v>6475.1</v>
      </c>
      <c r="DW10" s="447"/>
      <c r="DX10" s="91">
        <f>'[1]May - 2021'!DY10</f>
        <v>814.6</v>
      </c>
      <c r="DY10" s="385"/>
      <c r="DZ10" s="91">
        <f>'[1]May - 2021'!EA10</f>
        <v>362.1</v>
      </c>
      <c r="EA10" s="385"/>
      <c r="EB10" s="91">
        <f>'[1]May - 2021'!EC10</f>
        <v>705674</v>
      </c>
      <c r="EC10" s="385"/>
      <c r="ED10" s="91">
        <f>'[1]May - 2021'!EG10</f>
        <v>142080</v>
      </c>
      <c r="EE10" s="449"/>
      <c r="EF10" s="378"/>
      <c r="EG10" s="235">
        <f>'[1]May - 2021'!EJ10</f>
        <v>8940100</v>
      </c>
      <c r="EH10" s="371"/>
      <c r="EI10" s="90">
        <f>'[1]May - 2021'!EL10</f>
        <v>737480</v>
      </c>
      <c r="EJ10" s="371"/>
      <c r="EK10" s="90">
        <f>'[1]May - 2021'!EN10</f>
        <v>5745500</v>
      </c>
      <c r="EL10" s="371"/>
      <c r="EM10" s="90">
        <f>'[1]May - 2021'!EP10</f>
        <v>2027900</v>
      </c>
      <c r="EN10" s="371"/>
      <c r="EO10" s="90">
        <f>'[1]May - 2021'!ER10</f>
        <v>794700</v>
      </c>
      <c r="EP10" s="371"/>
      <c r="EQ10" s="90">
        <f>'[1]May - 2021'!ET10</f>
        <v>12600300</v>
      </c>
      <c r="ER10" s="435"/>
      <c r="ES10" s="426"/>
      <c r="ET10" s="284">
        <f>'[1]May - 2021'!EW10</f>
        <v>34299</v>
      </c>
      <c r="EU10" s="430"/>
      <c r="EV10" s="285">
        <f>'[1]May - 2021'!EY10</f>
        <v>29669</v>
      </c>
      <c r="EW10" s="430"/>
      <c r="EX10" s="285">
        <f>'[1]May - 2021'!FA10</f>
        <v>663</v>
      </c>
      <c r="EY10" s="430"/>
      <c r="EZ10" s="285">
        <f>'[1]May - 2021'!FC10</f>
        <v>50519</v>
      </c>
      <c r="FA10" s="430"/>
      <c r="FB10" s="285">
        <f>'[1]May - 2021'!FE10</f>
        <v>31124</v>
      </c>
      <c r="FC10" s="431"/>
    </row>
    <row r="11" spans="1:159" ht="30" customHeight="1" x14ac:dyDescent="0.25">
      <c r="A11" s="207">
        <v>43832</v>
      </c>
      <c r="B11" s="209">
        <f>'[1]May - 2021'!B11</f>
        <v>0.85</v>
      </c>
      <c r="C11" s="250">
        <f>'[1]May - 2021'!E11</f>
        <v>759737</v>
      </c>
      <c r="D11" s="170">
        <f>'[1]May - 2021'!F11</f>
        <v>682</v>
      </c>
      <c r="E11" s="168">
        <f>'[1]May - 2021'!G11</f>
        <v>295</v>
      </c>
      <c r="F11" s="168">
        <f>'[1]May - 2021'!H11</f>
        <v>13233</v>
      </c>
      <c r="G11" s="170">
        <f>'[1]May - 2021'!I11</f>
        <v>428</v>
      </c>
      <c r="H11" s="168">
        <f>'[1]May - 2021'!J11</f>
        <v>195</v>
      </c>
      <c r="I11" s="168">
        <f>'[1]May - 2021'!K11</f>
        <v>131241</v>
      </c>
      <c r="J11" s="170">
        <f>'[1]May - 2021'!L11</f>
        <v>563</v>
      </c>
      <c r="K11" s="168">
        <f>'[1]May - 2021'!N11</f>
        <v>745198</v>
      </c>
      <c r="L11" s="170">
        <f>'[1]May - 2021'!O11</f>
        <v>448</v>
      </c>
      <c r="M11" s="168">
        <f>'[1]May - 2021'!Q11</f>
        <v>164232</v>
      </c>
      <c r="N11" s="170">
        <f>'[1]May - 2021'!R11</f>
        <v>46</v>
      </c>
      <c r="O11" s="168">
        <f>'[1]May - 2021'!S11</f>
        <v>4092.88</v>
      </c>
      <c r="P11" s="170">
        <f>'[1]May - 2021'!T11</f>
        <v>140.70000000000027</v>
      </c>
      <c r="Q11" s="168">
        <f>'[1]May - 2021'!U11</f>
        <v>92</v>
      </c>
      <c r="R11" s="168">
        <f>'[1]May - 2021'!V11</f>
        <v>2125</v>
      </c>
      <c r="S11" s="208">
        <f>'[1]May - 2021'!W11</f>
        <v>35</v>
      </c>
      <c r="T11" s="521"/>
      <c r="U11" s="269">
        <f>'[1]May - 2021'!AC11</f>
        <v>6521659.2000000002</v>
      </c>
      <c r="V11" s="239">
        <f>'[1]May - 2021'!AD11</f>
        <v>2094.9599999999627</v>
      </c>
      <c r="W11" s="92">
        <f>'[1]May - 2021'!AD11</f>
        <v>2094.9599999999627</v>
      </c>
      <c r="X11" s="290">
        <f>'[1]May - 2021'!AF11</f>
        <v>12730584.719999999</v>
      </c>
      <c r="Y11" s="239">
        <f>'[1]May - 2021'!AG11</f>
        <v>4872</v>
      </c>
      <c r="Z11" s="92">
        <f>'[1]May - 2021'!AG11</f>
        <v>4872</v>
      </c>
      <c r="AA11" s="290">
        <f>'[1]May - 2021'!AI11</f>
        <v>12023413.92</v>
      </c>
      <c r="AB11" s="251">
        <f>'[1]May - 2021'!AJ11</f>
        <v>12180</v>
      </c>
      <c r="AC11" s="92">
        <f>'[1]May - 2021'!AJ11</f>
        <v>12180</v>
      </c>
      <c r="AD11" s="290">
        <f>'[1]May - 2021'!AL11</f>
        <v>15148119.84</v>
      </c>
      <c r="AE11" s="251">
        <f>'[1]May - 2021'!AM11</f>
        <v>1607.7599999997765</v>
      </c>
      <c r="AF11" s="92">
        <f>'[1]May - 2021'!AM11</f>
        <v>1607.7599999997765</v>
      </c>
      <c r="AG11" s="290">
        <f>'[1]May - 2021'!AO11</f>
        <v>15494129.280000001</v>
      </c>
      <c r="AH11" s="251">
        <f>'[1]May - 2021'!AP11</f>
        <v>5651.5200000014156</v>
      </c>
      <c r="AI11" s="92">
        <f>'[1]May - 2021'!AP11</f>
        <v>5651.5200000014156</v>
      </c>
      <c r="AJ11" s="290">
        <f>'[1]May - 2021'!AR11</f>
        <v>14273595.84</v>
      </c>
      <c r="AK11" s="251">
        <f>'[1]May - 2021'!AS11</f>
        <v>5456.640000000596</v>
      </c>
      <c r="AL11" s="92">
        <f>'[1]May - 2021'!AS11</f>
        <v>5456.640000000596</v>
      </c>
      <c r="AM11" s="290">
        <f>'[1]May - 2021'!AU11</f>
        <v>12192667.199999999</v>
      </c>
      <c r="AN11" s="251">
        <f>'[1]May - 2021'!AV11</f>
        <v>4628.4000000003725</v>
      </c>
      <c r="AO11" s="92">
        <f>'[1]May - 2021'!AV11</f>
        <v>4628.4000000003725</v>
      </c>
      <c r="AP11" s="290">
        <f>'[1]May - 2021'!AX11</f>
        <v>11772067.439999999</v>
      </c>
      <c r="AQ11" s="251">
        <f>'[1]May - 2021'!AY11</f>
        <v>4336.0800000000745</v>
      </c>
      <c r="AR11" s="92">
        <f>'[1]May - 2021'!AY11</f>
        <v>4336.0800000000745</v>
      </c>
      <c r="AS11" s="290">
        <f>'[1]May - 2021'!BA11</f>
        <v>9405249.8399999999</v>
      </c>
      <c r="AT11" s="251">
        <f>'[1]May - 2021'!BB11</f>
        <v>2971.9199999999255</v>
      </c>
      <c r="AU11" s="92">
        <f>'[1]May - 2021'!BB11</f>
        <v>2971.9199999999255</v>
      </c>
      <c r="AV11" s="290">
        <f>'[1]May - 2021'!BD11</f>
        <v>14333472.719999999</v>
      </c>
      <c r="AW11" s="252">
        <f>'[1]May - 2021'!BE11</f>
        <v>5505.359999999404</v>
      </c>
      <c r="AX11" s="253">
        <f>'[1]May - 2021'!BE11</f>
        <v>5505.359999999404</v>
      </c>
      <c r="AY11" s="487"/>
      <c r="AZ11" s="272">
        <f>'[1]May - 2021'!BK11</f>
        <v>59985100</v>
      </c>
      <c r="BA11" s="179">
        <f>'[1]May - 2021'!BL11</f>
        <v>57200</v>
      </c>
      <c r="BB11" s="93">
        <f>'[1]May - 2021'!BL11</f>
        <v>57200</v>
      </c>
      <c r="BC11" s="272">
        <f>'[1]May - 2021'!BN11</f>
        <v>63083400</v>
      </c>
      <c r="BD11" s="245">
        <f>'[1]May - 2021'!BO11</f>
        <v>1900</v>
      </c>
      <c r="BE11" s="93">
        <f>'[1]May - 2021'!BO11</f>
        <v>1900</v>
      </c>
      <c r="BF11" s="272">
        <f>'[1]May - 2021'!BQ11</f>
        <v>57814100</v>
      </c>
      <c r="BG11" s="245">
        <f>'[1]May - 2021'!BR11</f>
        <v>27800</v>
      </c>
      <c r="BH11" s="93">
        <f>'[1]May - 2021'!BR11</f>
        <v>27800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3">
        <f>'[1]May - 2021'!BT11</f>
        <v>6247150</v>
      </c>
      <c r="BT11" s="185">
        <f>'[1]May - 2021'!BU11</f>
        <v>7160</v>
      </c>
      <c r="BU11" s="394"/>
      <c r="BV11" s="88">
        <f>'[1]May - 2021'!BW11</f>
        <v>0.8</v>
      </c>
      <c r="BW11" s="241">
        <f>'[1]May - 2021'!BX11</f>
        <v>-5.0000000000000044E-2</v>
      </c>
      <c r="BX11" s="88">
        <f>'[1]May - 2021'!BX11</f>
        <v>-5.0000000000000044E-2</v>
      </c>
      <c r="BY11" s="89">
        <f>'[1]May - 2021'!BZ11</f>
        <v>53143</v>
      </c>
      <c r="BZ11" s="191">
        <f>'[1]May - 2021'!CA11</f>
        <v>19</v>
      </c>
      <c r="CA11" s="89">
        <f>'[1]May - 2021'!CB11</f>
        <v>44856</v>
      </c>
      <c r="CB11" s="191">
        <f>'[1]May - 2021'!CC11</f>
        <v>17</v>
      </c>
      <c r="CC11" s="89">
        <f>'[1]May - 2021'!CD11</f>
        <v>15545</v>
      </c>
      <c r="CD11" s="191">
        <f>'[1]May - 2021'!CE11</f>
        <v>4</v>
      </c>
      <c r="CE11" s="89">
        <f>'[1]May - 2021'!CF11</f>
        <v>19811</v>
      </c>
      <c r="CF11" s="191">
        <f>'[1]May - 2021'!CG11</f>
        <v>10</v>
      </c>
      <c r="CG11" s="89">
        <f>'[1]May - 2021'!CH11</f>
        <v>21518</v>
      </c>
      <c r="CH11" s="191">
        <f>'[1]May - 2021'!CI11</f>
        <v>12</v>
      </c>
      <c r="CI11" s="89">
        <f>'[1]May - 2021'!CJ11</f>
        <v>48964</v>
      </c>
      <c r="CJ11" s="191">
        <f>'[1]May - 2021'!CK11</f>
        <v>31</v>
      </c>
      <c r="CK11" s="89">
        <f>'[1]May - 2021'!CL11</f>
        <v>213144</v>
      </c>
      <c r="CL11" s="246">
        <f>'[1]May - 2021'!CM11</f>
        <v>110</v>
      </c>
      <c r="CM11" s="89">
        <f>'[1]May - 2021'!CM11</f>
        <v>110</v>
      </c>
      <c r="CN11" s="89">
        <f>'[1]May - 2021'!CO11</f>
        <v>161750</v>
      </c>
      <c r="CO11" s="246">
        <f>'[1]May - 2021'!CP11</f>
        <v>107</v>
      </c>
      <c r="CP11" s="89">
        <f>'[1]May - 2021'!CP11</f>
        <v>107</v>
      </c>
      <c r="CQ11" s="89">
        <v>305573</v>
      </c>
      <c r="CR11" s="246">
        <f>'[1]May - 2021'!CS11</f>
        <v>0</v>
      </c>
      <c r="CS11" s="89">
        <f>'[1]May - 2021'!CS11</f>
        <v>0</v>
      </c>
      <c r="CT11" s="89">
        <f>'[1]May - 2021'!CU11</f>
        <v>568488</v>
      </c>
      <c r="CU11" s="191">
        <f>'[1]May - 2021'!CV11</f>
        <v>303</v>
      </c>
      <c r="CV11" s="454"/>
      <c r="CW11" s="256">
        <f>'[1]May - 2021'!CX11</f>
        <v>4892</v>
      </c>
      <c r="CX11" s="198">
        <f>'[1]May - 2021'!CY11</f>
        <v>9</v>
      </c>
      <c r="CY11" s="257">
        <f>'[1]May - 2021'!CZ11</f>
        <v>2520</v>
      </c>
      <c r="CZ11" s="198">
        <f>'[1]May - 2021'!DA11</f>
        <v>0</v>
      </c>
      <c r="DA11" s="257">
        <f>'[1]May - 2021'!DB11</f>
        <v>23932.9</v>
      </c>
      <c r="DB11" s="198">
        <f>'[1]May - 2021'!DC11</f>
        <v>11.80000000000291</v>
      </c>
      <c r="DC11" s="257">
        <f>'[1]May - 2021'!DD11</f>
        <v>24444.6</v>
      </c>
      <c r="DD11" s="198">
        <f>'[1]May - 2021'!DE11</f>
        <v>6.8999999999978172</v>
      </c>
      <c r="DE11" s="257">
        <f>'[1]May - 2021'!DF11</f>
        <v>17075</v>
      </c>
      <c r="DF11" s="198">
        <f>'[1]May - 2021'!DG11</f>
        <v>7.9000000000014552</v>
      </c>
      <c r="DG11" s="257">
        <f>'[1]May - 2021'!DH11</f>
        <v>20045</v>
      </c>
      <c r="DH11" s="198">
        <f>'[1]May - 2021'!DI11</f>
        <v>7.0999999999985448</v>
      </c>
      <c r="DI11" s="257">
        <f>'[1]May - 2021'!DJ11</f>
        <v>1438</v>
      </c>
      <c r="DJ11" s="198">
        <f>'[1]May - 2021'!DK11</f>
        <v>6</v>
      </c>
      <c r="DK11" s="257">
        <f>'[1]May - 2021'!DL11</f>
        <v>4270</v>
      </c>
      <c r="DL11" s="198">
        <f>'[1]May - 2021'!DM11</f>
        <v>14</v>
      </c>
      <c r="DM11" s="257">
        <f>'[1]May - 2021'!DN11</f>
        <v>879</v>
      </c>
      <c r="DN11" s="198">
        <f>'[1]May - 2021'!DO11</f>
        <v>1</v>
      </c>
      <c r="DO11" s="257">
        <f>'[1]May - 2021'!DP11</f>
        <v>2258</v>
      </c>
      <c r="DP11" s="198">
        <f>'[1]May - 2021'!DQ11</f>
        <v>7</v>
      </c>
      <c r="DQ11" s="257">
        <f>'[1]May - 2021'!DR11</f>
        <v>24511</v>
      </c>
      <c r="DR11" s="206">
        <f>'[1]May - 2021'!DS11</f>
        <v>19</v>
      </c>
      <c r="DS11" s="439"/>
      <c r="DT11" s="210">
        <f>'[1]May - 2021'!DU11</f>
        <v>1058.0999999999999</v>
      </c>
      <c r="DU11" s="221">
        <f>'[1]May - 2021'!DV11</f>
        <v>7.8999999999998636</v>
      </c>
      <c r="DV11" s="91">
        <f>'[1]May - 2021'!DW11</f>
        <v>6480.2</v>
      </c>
      <c r="DW11" s="215">
        <f>'[1]May - 2021'!DX11</f>
        <v>5.0999999999994543</v>
      </c>
      <c r="DX11" s="91">
        <f>'[1]May - 2021'!DY11</f>
        <v>820</v>
      </c>
      <c r="DY11" s="215">
        <f>'[1]May - 2021'!DZ11</f>
        <v>5.3999999999999773</v>
      </c>
      <c r="DZ11" s="91">
        <f>'[1]May - 2021'!EA11</f>
        <v>366.6</v>
      </c>
      <c r="EA11" s="215">
        <f>'[1]May - 2021'!EB11</f>
        <v>4.5</v>
      </c>
      <c r="EB11" s="91">
        <f>'[1]May - 2021'!EC11</f>
        <v>706455</v>
      </c>
      <c r="EC11" s="215">
        <f>'[1]May - 2021'!ED11</f>
        <v>781</v>
      </c>
      <c r="ED11" s="91">
        <f>'[1]May - 2021'!EG11</f>
        <v>142241.4</v>
      </c>
      <c r="EE11" s="229">
        <f>'[1]May - 2021'!EH11</f>
        <v>161.39999999999418</v>
      </c>
      <c r="EF11" s="378"/>
      <c r="EG11" s="235">
        <f>'[1]May - 2021'!EJ11</f>
        <v>8943400</v>
      </c>
      <c r="EH11" s="230">
        <f>'[1]May - 2021'!EK11</f>
        <v>3300</v>
      </c>
      <c r="EI11" s="90">
        <f>'[1]May - 2021'!EL11</f>
        <v>737850</v>
      </c>
      <c r="EJ11" s="230">
        <f>'[1]May - 2021'!EM11</f>
        <v>370</v>
      </c>
      <c r="EK11" s="90">
        <f>'[1]May - 2021'!EN11</f>
        <v>5748300</v>
      </c>
      <c r="EL11" s="230">
        <f>'[1]May - 2021'!EO11</f>
        <v>2800</v>
      </c>
      <c r="EM11" s="90">
        <f>'[1]May - 2021'!EP11</f>
        <v>2028700</v>
      </c>
      <c r="EN11" s="230">
        <f>'[1]May - 2021'!EQ11</f>
        <v>800</v>
      </c>
      <c r="EO11" s="90">
        <f>'[1]May - 2021'!ER11</f>
        <v>795740</v>
      </c>
      <c r="EP11" s="230">
        <f>'[1]May - 2021'!ES11</f>
        <v>1040</v>
      </c>
      <c r="EQ11" s="90">
        <f>'[1]May - 2021'!ET11</f>
        <v>12606200</v>
      </c>
      <c r="ER11" s="230">
        <f>'[1]May - 2021'!EU11</f>
        <v>5900</v>
      </c>
      <c r="ES11" s="426"/>
      <c r="ET11" s="284">
        <f>'[1]May - 2021'!EW11</f>
        <v>34312</v>
      </c>
      <c r="EU11" s="278">
        <f>'[1]May - 2021'!EX11</f>
        <v>13</v>
      </c>
      <c r="EV11" s="285">
        <f>'[1]May - 2021'!EY11</f>
        <v>29679</v>
      </c>
      <c r="EW11" s="278">
        <f>'[1]May - 2021'!EZ11</f>
        <v>10</v>
      </c>
      <c r="EX11" s="285">
        <f>'[1]May - 2021'!FA11</f>
        <v>674</v>
      </c>
      <c r="EY11" s="278">
        <f>'[1]May - 2021'!FB11</f>
        <v>11</v>
      </c>
      <c r="EZ11" s="285">
        <f>'[1]May - 2021'!FC11</f>
        <v>50534</v>
      </c>
      <c r="FA11" s="278">
        <f>'[1]May - 2021'!FD11</f>
        <v>15</v>
      </c>
      <c r="FB11" s="285">
        <f>'[1]May - 2021'!FE11</f>
        <v>31156</v>
      </c>
      <c r="FC11" s="279">
        <f>'[1]May - 2021'!FF11</f>
        <v>32</v>
      </c>
    </row>
    <row r="12" spans="1:159" ht="30" customHeight="1" x14ac:dyDescent="0.25">
      <c r="A12" s="207">
        <v>43833</v>
      </c>
      <c r="B12" s="209">
        <f>'[1]May - 2021'!B12</f>
        <v>0.89</v>
      </c>
      <c r="C12" s="250">
        <f>'[1]May - 2021'!E12</f>
        <v>760309</v>
      </c>
      <c r="D12" s="170">
        <f>'[1]May - 2021'!F12</f>
        <v>572</v>
      </c>
      <c r="E12" s="168">
        <f>'[1]May - 2021'!G12</f>
        <v>302</v>
      </c>
      <c r="F12" s="168">
        <f>'[1]May - 2021'!H12</f>
        <v>13605</v>
      </c>
      <c r="G12" s="170">
        <f>'[1]May - 2021'!I12</f>
        <v>372</v>
      </c>
      <c r="H12" s="168">
        <f>'[1]May - 2021'!J12</f>
        <v>169</v>
      </c>
      <c r="I12" s="168">
        <f>'[1]May - 2021'!K12</f>
        <v>131580</v>
      </c>
      <c r="J12" s="170">
        <f>'[1]May - 2021'!L12</f>
        <v>339</v>
      </c>
      <c r="K12" s="168">
        <f>'[1]May - 2021'!N12</f>
        <v>745463</v>
      </c>
      <c r="L12" s="170">
        <f>'[1]May - 2021'!O12</f>
        <v>265</v>
      </c>
      <c r="M12" s="168">
        <f>'[1]May - 2021'!Q12</f>
        <v>164232</v>
      </c>
      <c r="N12" s="170">
        <f>'[1]May - 2021'!R12</f>
        <v>0</v>
      </c>
      <c r="O12" s="168">
        <f>'[1]May - 2021'!S12</f>
        <v>4238.91</v>
      </c>
      <c r="P12" s="170">
        <f>'[1]May - 2021'!T12</f>
        <v>146.02999999999975</v>
      </c>
      <c r="Q12" s="168">
        <f>'[1]May - 2021'!U12</f>
        <v>98</v>
      </c>
      <c r="R12" s="168">
        <f>'[1]May - 2021'!V12</f>
        <v>2139</v>
      </c>
      <c r="S12" s="208">
        <f>'[1]May - 2021'!W12</f>
        <v>14</v>
      </c>
      <c r="T12" s="521"/>
      <c r="U12" s="269">
        <f>'[1]May - 2021'!AC12</f>
        <v>6523364.3999999994</v>
      </c>
      <c r="V12" s="291">
        <f>'[1]May - 2021'!AD12</f>
        <v>1705.1999999992549</v>
      </c>
      <c r="W12" s="92">
        <f>'[1]May - 2021'!AD12</f>
        <v>1705.1999999992549</v>
      </c>
      <c r="X12" s="290">
        <f>'[1]May - 2021'!AF12</f>
        <v>12734920.799999999</v>
      </c>
      <c r="Y12" s="291">
        <f>'[1]May - 2021'!AG12</f>
        <v>4336.0800000000745</v>
      </c>
      <c r="Z12" s="92">
        <f>'[1]May - 2021'!AG12</f>
        <v>4336.0800000000745</v>
      </c>
      <c r="AA12" s="290">
        <f>'[1]May - 2021'!AI12</f>
        <v>12033109.199999999</v>
      </c>
      <c r="AB12" s="291">
        <f>'[1]May - 2021'!AJ12</f>
        <v>9695.2799999993294</v>
      </c>
      <c r="AC12" s="92">
        <f>'[1]May - 2021'!AJ12</f>
        <v>9695.2799999993294</v>
      </c>
      <c r="AD12" s="290">
        <f>'[1]May - 2021'!AL12</f>
        <v>15149094.24</v>
      </c>
      <c r="AE12" s="291">
        <f>'[1]May - 2021'!AM12</f>
        <v>974.40000000037253</v>
      </c>
      <c r="AF12" s="92">
        <f>'[1]May - 2021'!AM12</f>
        <v>974.40000000037253</v>
      </c>
      <c r="AG12" s="290">
        <f>'[1]May - 2021'!AO12</f>
        <v>15499050</v>
      </c>
      <c r="AH12" s="291">
        <f>'[1]May - 2021'!AP12</f>
        <v>4920.7199999988079</v>
      </c>
      <c r="AI12" s="92">
        <f>'[1]May - 2021'!AP12</f>
        <v>4920.7199999988079</v>
      </c>
      <c r="AJ12" s="290">
        <f>'[1]May - 2021'!AR12</f>
        <v>14278516.559999999</v>
      </c>
      <c r="AK12" s="291">
        <f>'[1]May - 2021'!AS12</f>
        <v>4920.7199999988079</v>
      </c>
      <c r="AL12" s="92">
        <f>'[1]May - 2021'!AS12</f>
        <v>4920.7199999988079</v>
      </c>
      <c r="AM12" s="290">
        <f>'[1]May - 2021'!AU12</f>
        <v>12196857.119999999</v>
      </c>
      <c r="AN12" s="291">
        <f>'[1]May - 2021'!AV12</f>
        <v>4189.9199999999255</v>
      </c>
      <c r="AO12" s="92">
        <f>'[1]May - 2021'!AV12</f>
        <v>4189.9199999999255</v>
      </c>
      <c r="AP12" s="290">
        <f>'[1]May - 2021'!AX12</f>
        <v>11775965.040000001</v>
      </c>
      <c r="AQ12" s="291">
        <f>'[1]May - 2021'!AY12</f>
        <v>3897.6000000014901</v>
      </c>
      <c r="AR12" s="92">
        <f>'[1]May - 2021'!AY12</f>
        <v>3897.6000000014901</v>
      </c>
      <c r="AS12" s="290">
        <f>'[1]May - 2021'!BA12</f>
        <v>9404116.0999999996</v>
      </c>
      <c r="AT12" s="291">
        <f>'[1]May - 2021'!BB12</f>
        <v>-1133.7400000002235</v>
      </c>
      <c r="AU12" s="92">
        <f>'[1]May - 2021'!BB12</f>
        <v>-1133.7400000002235</v>
      </c>
      <c r="AV12" s="290">
        <f>'[1]May - 2021'!BD12</f>
        <v>14338296</v>
      </c>
      <c r="AW12" s="252">
        <f>'[1]May - 2021'!BE12</f>
        <v>4823.2800000011921</v>
      </c>
      <c r="AX12" s="253">
        <f>'[1]May - 2021'!BE12</f>
        <v>4823.2800000011921</v>
      </c>
      <c r="AY12" s="487"/>
      <c r="AZ12" s="272">
        <f>'[1]May - 2021'!BK12</f>
        <v>60038800</v>
      </c>
      <c r="BA12" s="179">
        <f>'[1]May - 2021'!BL12</f>
        <v>53700</v>
      </c>
      <c r="BB12" s="93">
        <f>'[1]May - 2021'!BL12</f>
        <v>53700</v>
      </c>
      <c r="BC12" s="272">
        <f>'[1]May - 2021'!BN12</f>
        <v>63083400</v>
      </c>
      <c r="BD12" s="245">
        <f>'[1]May - 2021'!BO12</f>
        <v>0</v>
      </c>
      <c r="BE12" s="93">
        <f>'[1]May - 2021'!BO12</f>
        <v>0</v>
      </c>
      <c r="BF12" s="272">
        <f>'[1]May - 2021'!BQ12</f>
        <v>57837700</v>
      </c>
      <c r="BG12" s="245">
        <f>'[1]May - 2021'!BR12</f>
        <v>23600</v>
      </c>
      <c r="BH12" s="93">
        <f>'[1]May - 2021'!BR12</f>
        <v>23600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3">
        <f>'[1]May - 2021'!BT12</f>
        <v>6254180</v>
      </c>
      <c r="BT12" s="185">
        <f>'[1]May - 2021'!BU12</f>
        <v>7030</v>
      </c>
      <c r="BU12" s="394"/>
      <c r="BV12" s="88">
        <f>'[1]May - 2021'!BW12</f>
        <v>0.75</v>
      </c>
      <c r="BW12" s="241">
        <f>'[1]May - 2021'!BX12</f>
        <v>5.0000000000000044E-2</v>
      </c>
      <c r="BX12" s="88">
        <f>'[1]May - 2021'!BX12</f>
        <v>5.0000000000000044E-2</v>
      </c>
      <c r="BY12" s="89">
        <f>'[1]May - 2021'!BZ12</f>
        <v>53161</v>
      </c>
      <c r="BZ12" s="191">
        <f>'[1]May - 2021'!CA12</f>
        <v>18</v>
      </c>
      <c r="CA12" s="89">
        <f>'[1]May - 2021'!CB12</f>
        <v>44868</v>
      </c>
      <c r="CB12" s="191">
        <f>'[1]May - 2021'!CC12</f>
        <v>12</v>
      </c>
      <c r="CC12" s="89">
        <f>'[1]May - 2021'!CD12</f>
        <v>15551</v>
      </c>
      <c r="CD12" s="191">
        <f>'[1]May - 2021'!CE12</f>
        <v>6</v>
      </c>
      <c r="CE12" s="89">
        <f>'[1]May - 2021'!CF12</f>
        <v>19822</v>
      </c>
      <c r="CF12" s="191">
        <f>'[1]May - 2021'!CG12</f>
        <v>11</v>
      </c>
      <c r="CG12" s="89">
        <f>'[1]May - 2021'!CH12</f>
        <v>21528</v>
      </c>
      <c r="CH12" s="191">
        <f>'[1]May - 2021'!CI12</f>
        <v>10</v>
      </c>
      <c r="CI12" s="89">
        <f>'[1]May - 2021'!CJ12</f>
        <v>48990</v>
      </c>
      <c r="CJ12" s="191">
        <f>'[1]May - 2021'!CK12</f>
        <v>26</v>
      </c>
      <c r="CK12" s="89">
        <f>'[1]May - 2021'!CL12</f>
        <v>213239.92</v>
      </c>
      <c r="CL12" s="246">
        <f>'[1]May - 2021'!CM12</f>
        <v>95.920000000012806</v>
      </c>
      <c r="CM12" s="89">
        <f>'[1]May - 2021'!CM12</f>
        <v>95.920000000012806</v>
      </c>
      <c r="CN12" s="89">
        <f>'[1]May - 2021'!CO12</f>
        <v>161841</v>
      </c>
      <c r="CO12" s="246">
        <f>'[1]May - 2021'!CP12</f>
        <v>91</v>
      </c>
      <c r="CP12" s="89">
        <f>'[1]May - 2021'!CP12</f>
        <v>91</v>
      </c>
      <c r="CQ12" s="89">
        <f>'[1]May - 2021'!CR12</f>
        <v>308195</v>
      </c>
      <c r="CR12" s="246">
        <f>'[1]May - 2021'!CS12</f>
        <v>0</v>
      </c>
      <c r="CS12" s="89">
        <f>'[1]May - 2021'!CS12</f>
        <v>0</v>
      </c>
      <c r="CT12" s="89">
        <f>'[1]May - 2021'!CU12</f>
        <v>568751</v>
      </c>
      <c r="CU12" s="191">
        <f>'[1]May - 2021'!CV12</f>
        <v>263</v>
      </c>
      <c r="CV12" s="454"/>
      <c r="CW12" s="256">
        <f>'[1]May - 2021'!CX12</f>
        <v>4892</v>
      </c>
      <c r="CX12" s="198">
        <f>'[1]May - 2021'!CY12</f>
        <v>0</v>
      </c>
      <c r="CY12" s="257">
        <f>'[1]May - 2021'!CZ12</f>
        <v>2521</v>
      </c>
      <c r="CZ12" s="198">
        <f>'[1]May - 2021'!DA12</f>
        <v>1</v>
      </c>
      <c r="DA12" s="257">
        <f>'[1]May - 2021'!DB12</f>
        <v>23945.9</v>
      </c>
      <c r="DB12" s="198">
        <f>'[1]May - 2021'!DC12</f>
        <v>13</v>
      </c>
      <c r="DC12" s="257">
        <f>'[1]May - 2021'!DD12</f>
        <v>24451.9</v>
      </c>
      <c r="DD12" s="198">
        <f>'[1]May - 2021'!DE12</f>
        <v>7.3000000000029104</v>
      </c>
      <c r="DE12" s="257">
        <f>'[1]May - 2021'!DF12</f>
        <v>17081.599999999999</v>
      </c>
      <c r="DF12" s="198">
        <f>'[1]May - 2021'!DG12</f>
        <v>6.5999999999985448</v>
      </c>
      <c r="DG12" s="257">
        <f>'[1]May - 2021'!DH12</f>
        <v>20052.400000000001</v>
      </c>
      <c r="DH12" s="198">
        <f>'[1]May - 2021'!DI12</f>
        <v>7.4000000000014552</v>
      </c>
      <c r="DI12" s="257">
        <f>'[1]May - 2021'!DJ12</f>
        <v>1443</v>
      </c>
      <c r="DJ12" s="198">
        <f>'[1]May - 2021'!DK12</f>
        <v>5</v>
      </c>
      <c r="DK12" s="257">
        <f>'[1]May - 2021'!DL12</f>
        <v>4284</v>
      </c>
      <c r="DL12" s="198">
        <f>'[1]May - 2021'!DM12</f>
        <v>14</v>
      </c>
      <c r="DM12" s="257">
        <f>'[1]May - 2021'!DN12</f>
        <v>879</v>
      </c>
      <c r="DN12" s="198">
        <f>'[1]May - 2021'!DO12</f>
        <v>0</v>
      </c>
      <c r="DO12" s="257">
        <f>'[1]May - 2021'!DP12</f>
        <v>2264</v>
      </c>
      <c r="DP12" s="198">
        <f>'[1]May - 2021'!DQ12</f>
        <v>6</v>
      </c>
      <c r="DQ12" s="257">
        <f>'[1]May - 2021'!DR12</f>
        <v>24526</v>
      </c>
      <c r="DR12" s="206">
        <f>'[1]May - 2021'!DS12</f>
        <v>15</v>
      </c>
      <c r="DS12" s="439"/>
      <c r="DT12" s="210">
        <f>'[1]May - 2021'!DU12</f>
        <v>1066</v>
      </c>
      <c r="DU12" s="221">
        <f>'[1]May - 2021'!DV12</f>
        <v>7.9000000000000909</v>
      </c>
      <c r="DV12" s="91">
        <f>'[1]May - 2021'!DW12</f>
        <v>6484.8</v>
      </c>
      <c r="DW12" s="215">
        <f>'[1]May - 2021'!DX12</f>
        <v>4.6000000000003638</v>
      </c>
      <c r="DX12" s="91">
        <f>'[1]May - 2021'!DY12</f>
        <v>825.1</v>
      </c>
      <c r="DY12" s="215">
        <f>'[1]May - 2021'!DZ12</f>
        <v>5.1000000000000227</v>
      </c>
      <c r="DZ12" s="91">
        <f>'[1]May - 2021'!EA12</f>
        <v>371.1</v>
      </c>
      <c r="EA12" s="215">
        <f>'[1]May - 2021'!EB12</f>
        <v>4.5</v>
      </c>
      <c r="EB12" s="91">
        <f>'[1]May - 2021'!EC12</f>
        <v>707207</v>
      </c>
      <c r="EC12" s="215">
        <f>'[1]May - 2021'!ED12</f>
        <v>752</v>
      </c>
      <c r="ED12" s="91">
        <f>'[1]May - 2021'!EG12</f>
        <v>142401.20000000001</v>
      </c>
      <c r="EE12" s="229">
        <f>'[1]May - 2021'!EH12</f>
        <v>159.80000000001746</v>
      </c>
      <c r="EF12" s="378"/>
      <c r="EG12" s="235">
        <f>'[1]May - 2021'!EJ12</f>
        <v>8946200</v>
      </c>
      <c r="EH12" s="230">
        <f>'[1]May - 2021'!EK12</f>
        <v>2800</v>
      </c>
      <c r="EI12" s="90">
        <f>'[1]May - 2021'!EL12</f>
        <v>738170</v>
      </c>
      <c r="EJ12" s="230">
        <f>'[1]May - 2021'!EM12</f>
        <v>320</v>
      </c>
      <c r="EK12" s="90">
        <f>'[1]May - 2021'!EN12</f>
        <v>5750700</v>
      </c>
      <c r="EL12" s="230">
        <f>'[1]May - 2021'!EO12</f>
        <v>2400</v>
      </c>
      <c r="EM12" s="90">
        <f>'[1]May - 2021'!EP12</f>
        <v>2029400</v>
      </c>
      <c r="EN12" s="230">
        <f>'[1]May - 2021'!EQ12</f>
        <v>700</v>
      </c>
      <c r="EO12" s="90">
        <f>'[1]May - 2021'!ER12</f>
        <v>796630</v>
      </c>
      <c r="EP12" s="230">
        <f>'[1]May - 2021'!ES12</f>
        <v>890</v>
      </c>
      <c r="EQ12" s="90">
        <f>'[1]May - 2021'!ET12</f>
        <v>12610400</v>
      </c>
      <c r="ER12" s="230">
        <f>'[1]May - 2021'!EU12</f>
        <v>4200</v>
      </c>
      <c r="ES12" s="426"/>
      <c r="ET12" s="284">
        <f>'[1]May - 2021'!EW12</f>
        <v>34327</v>
      </c>
      <c r="EU12" s="278">
        <f>'[1]May - 2021'!EX12</f>
        <v>15</v>
      </c>
      <c r="EV12" s="285">
        <f>'[1]May - 2021'!EY12</f>
        <v>29691</v>
      </c>
      <c r="EW12" s="278">
        <f>'[1]May - 2021'!EZ12</f>
        <v>12</v>
      </c>
      <c r="EX12" s="285">
        <f>'[1]May - 2021'!FA12</f>
        <v>685</v>
      </c>
      <c r="EY12" s="278">
        <f>'[1]May - 2021'!FB12</f>
        <v>11</v>
      </c>
      <c r="EZ12" s="285">
        <f>'[1]May - 2021'!FC12</f>
        <v>50548</v>
      </c>
      <c r="FA12" s="278">
        <f>'[1]May - 2021'!FD12</f>
        <v>14</v>
      </c>
      <c r="FB12" s="285">
        <f>'[1]May - 2021'!FE12</f>
        <v>31188</v>
      </c>
      <c r="FC12" s="279">
        <f>'[1]May - 2021'!FF12</f>
        <v>32</v>
      </c>
    </row>
    <row r="13" spans="1:159" ht="30" customHeight="1" x14ac:dyDescent="0.25">
      <c r="A13" s="207">
        <v>43834</v>
      </c>
      <c r="B13" s="209">
        <f>'[1]May - 2021'!B13</f>
        <v>0.88</v>
      </c>
      <c r="C13" s="250">
        <f>'[1]May - 2021'!E13</f>
        <v>760940</v>
      </c>
      <c r="D13" s="170">
        <f>'[1]May - 2021'!F13</f>
        <v>631</v>
      </c>
      <c r="E13" s="168">
        <f>'[1]May - 2021'!G13</f>
        <v>294</v>
      </c>
      <c r="F13" s="168">
        <f>'[1]May - 2021'!H13</f>
        <v>13995</v>
      </c>
      <c r="G13" s="170">
        <f>'[1]May - 2021'!I13</f>
        <v>390</v>
      </c>
      <c r="H13" s="168">
        <f>'[1]May - 2021'!J13</f>
        <v>176</v>
      </c>
      <c r="I13" s="168">
        <f>'[1]May - 2021'!K13</f>
        <v>131937</v>
      </c>
      <c r="J13" s="170">
        <f>'[1]May - 2021'!L13</f>
        <v>357</v>
      </c>
      <c r="K13" s="168">
        <f>'[1]May - 2021'!N13</f>
        <v>745779</v>
      </c>
      <c r="L13" s="170">
        <f>'[1]May - 2021'!O13</f>
        <v>316</v>
      </c>
      <c r="M13" s="168">
        <f>'[1]May - 2021'!Q13</f>
        <v>164232</v>
      </c>
      <c r="N13" s="170">
        <f>'[1]May - 2021'!R13</f>
        <v>0</v>
      </c>
      <c r="O13" s="168">
        <f>'[1]May - 2021'!S13</f>
        <v>4410.05</v>
      </c>
      <c r="P13" s="170">
        <f>'[1]May - 2021'!T13</f>
        <v>171.14000000000033</v>
      </c>
      <c r="Q13" s="168">
        <f>'[1]May - 2021'!U13</f>
        <v>124</v>
      </c>
      <c r="R13" s="168">
        <f>'[1]May - 2021'!V13</f>
        <v>2177</v>
      </c>
      <c r="S13" s="208">
        <f>'[1]May - 2021'!W13</f>
        <v>38</v>
      </c>
      <c r="T13" s="521"/>
      <c r="U13" s="269">
        <f>'[1]May - 2021'!AC13</f>
        <v>6525313.2000000002</v>
      </c>
      <c r="V13" s="291">
        <f>'[1]May - 2021'!AD13</f>
        <v>1948.8000000007451</v>
      </c>
      <c r="W13" s="92">
        <f>'[1]May - 2021'!AD13</f>
        <v>1948.8000000007451</v>
      </c>
      <c r="X13" s="290">
        <f>'[1]May - 2021'!AF13</f>
        <v>12739695.359999999</v>
      </c>
      <c r="Y13" s="291">
        <f>'[1]May - 2021'!AG13</f>
        <v>4774.5600000005215</v>
      </c>
      <c r="Z13" s="92">
        <f>'[1]May - 2021'!AG13</f>
        <v>4774.5600000005215</v>
      </c>
      <c r="AA13" s="290">
        <f>'[1]May - 2021'!AI13</f>
        <v>12043584</v>
      </c>
      <c r="AB13" s="291">
        <f>'[1]May - 2021'!AJ13</f>
        <v>10474.800000000745</v>
      </c>
      <c r="AC13" s="92">
        <f>'[1]May - 2021'!AJ13</f>
        <v>10474.800000000745</v>
      </c>
      <c r="AD13" s="290">
        <f>'[1]May - 2021'!AL13</f>
        <v>15150214.799999999</v>
      </c>
      <c r="AE13" s="291">
        <f>'[1]May - 2021'!AM13</f>
        <v>1120.5599999986589</v>
      </c>
      <c r="AF13" s="92">
        <f>'[1]May - 2021'!AM13</f>
        <v>1120.5599999986589</v>
      </c>
      <c r="AG13" s="290">
        <f>'[1]May - 2021'!AO13</f>
        <v>15504360.48</v>
      </c>
      <c r="AH13" s="291">
        <f>'[1]May - 2021'!AP13</f>
        <v>5310.480000000447</v>
      </c>
      <c r="AI13" s="92">
        <f>'[1]May - 2021'!AP13</f>
        <v>5310.480000000447</v>
      </c>
      <c r="AJ13" s="290">
        <f>'[1]May - 2021'!AR13</f>
        <v>14283827.039999999</v>
      </c>
      <c r="AK13" s="291">
        <f>'[1]May - 2021'!AS13</f>
        <v>5310.480000000447</v>
      </c>
      <c r="AL13" s="92">
        <f>'[1]May - 2021'!AS13</f>
        <v>5310.480000000447</v>
      </c>
      <c r="AM13" s="290">
        <f>'[1]May - 2021'!AU13</f>
        <v>12201485.52</v>
      </c>
      <c r="AN13" s="291">
        <f>'[1]May - 2021'!AV13</f>
        <v>4628.4000000003725</v>
      </c>
      <c r="AO13" s="92">
        <f>'[1]May - 2021'!AV13</f>
        <v>4628.4000000003725</v>
      </c>
      <c r="AP13" s="290">
        <f>'[1]May - 2021'!AX13</f>
        <v>11780154.959999999</v>
      </c>
      <c r="AQ13" s="291">
        <f>'[1]May - 2021'!AY13</f>
        <v>4189.9199999980628</v>
      </c>
      <c r="AR13" s="92">
        <f>'[1]May - 2021'!AY13</f>
        <v>4189.9199999980628</v>
      </c>
      <c r="AS13" s="290">
        <f>'[1]May - 2021'!BA13</f>
        <v>9410950.0800000001</v>
      </c>
      <c r="AT13" s="291">
        <f>'[1]May - 2021'!BB13</f>
        <v>6833.980000000447</v>
      </c>
      <c r="AU13" s="92">
        <f>'[1]May - 2021'!BB13</f>
        <v>6833.980000000447</v>
      </c>
      <c r="AV13" s="290">
        <f>'[1]May - 2021'!BD13</f>
        <v>14343752.640000001</v>
      </c>
      <c r="AW13" s="252">
        <f>'[1]May - 2021'!BE13</f>
        <v>5456.640000000596</v>
      </c>
      <c r="AX13" s="253">
        <f>'[1]May - 2021'!BE13</f>
        <v>5456.640000000596</v>
      </c>
      <c r="AY13" s="487"/>
      <c r="AZ13" s="272">
        <f>'[1]May - 2021'!BK13</f>
        <v>60092400</v>
      </c>
      <c r="BA13" s="179">
        <f>'[1]May - 2021'!BL13</f>
        <v>53600</v>
      </c>
      <c r="BB13" s="93">
        <f>'[1]May - 2021'!BL13</f>
        <v>53600</v>
      </c>
      <c r="BC13" s="272">
        <f>'[1]May - 2021'!BN13</f>
        <v>63083400</v>
      </c>
      <c r="BD13" s="245">
        <f>'[1]May - 2021'!BO13</f>
        <v>0</v>
      </c>
      <c r="BE13" s="93">
        <f>'[1]May - 2021'!BO13</f>
        <v>0</v>
      </c>
      <c r="BF13" s="272">
        <f>'[1]May - 2021'!BQ13</f>
        <v>57862900</v>
      </c>
      <c r="BG13" s="245">
        <f>'[1]May - 2021'!BR13</f>
        <v>25200</v>
      </c>
      <c r="BH13" s="93">
        <f>'[1]May - 2021'!BR13</f>
        <v>25200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3">
        <f>'[1]May - 2021'!BT13</f>
        <v>6261100</v>
      </c>
      <c r="BT13" s="185">
        <f>'[1]May - 2021'!BU13</f>
        <v>6920</v>
      </c>
      <c r="BU13" s="394"/>
      <c r="BV13" s="88">
        <f>'[1]May - 2021'!BW13</f>
        <v>0.72</v>
      </c>
      <c r="BW13" s="241">
        <f>'[1]May - 2021'!BX13</f>
        <v>3.0000000000000027E-2</v>
      </c>
      <c r="BX13" s="88">
        <f>'[1]May - 2021'!BX13</f>
        <v>3.0000000000000027E-2</v>
      </c>
      <c r="BY13" s="89">
        <f>'[1]May - 2021'!BZ13</f>
        <v>53179</v>
      </c>
      <c r="BZ13" s="191">
        <f>'[1]May - 2021'!CA13</f>
        <v>18</v>
      </c>
      <c r="CA13" s="89">
        <f>'[1]May - 2021'!CB13</f>
        <v>44880</v>
      </c>
      <c r="CB13" s="191">
        <f>'[1]May - 2021'!CC13</f>
        <v>12</v>
      </c>
      <c r="CC13" s="89">
        <f>'[1]May - 2021'!CD13</f>
        <v>15556</v>
      </c>
      <c r="CD13" s="191">
        <f>'[1]May - 2021'!CE13</f>
        <v>5</v>
      </c>
      <c r="CE13" s="89">
        <f>'[1]May - 2021'!CF13</f>
        <v>19832</v>
      </c>
      <c r="CF13" s="191">
        <f>'[1]May - 2021'!CG13</f>
        <v>10</v>
      </c>
      <c r="CG13" s="89">
        <f>'[1]May - 2021'!CH13</f>
        <v>21538</v>
      </c>
      <c r="CH13" s="191">
        <f>'[1]May - 2021'!CI13</f>
        <v>10</v>
      </c>
      <c r="CI13" s="89">
        <f>'[1]May - 2021'!CJ13</f>
        <v>49021</v>
      </c>
      <c r="CJ13" s="191">
        <f>'[1]May - 2021'!CK13</f>
        <v>31</v>
      </c>
      <c r="CK13" s="89">
        <f>'[1]May - 2021'!CL13</f>
        <v>213343</v>
      </c>
      <c r="CL13" s="246">
        <f>'[1]May - 2021'!CM13</f>
        <v>103.07999999998719</v>
      </c>
      <c r="CM13" s="89">
        <f>'[1]May - 2021'!CM13</f>
        <v>103.07999999998719</v>
      </c>
      <c r="CN13" s="89">
        <f>'[1]May - 2021'!CO13</f>
        <v>161938</v>
      </c>
      <c r="CO13" s="246">
        <f>'[1]May - 2021'!CP13</f>
        <v>97</v>
      </c>
      <c r="CP13" s="89">
        <f>'[1]May - 2021'!CP13</f>
        <v>97</v>
      </c>
      <c r="CQ13" s="89">
        <f>'[1]May - 2021'!CR13</f>
        <v>308195</v>
      </c>
      <c r="CR13" s="246">
        <f>'[1]May - 2021'!CS13</f>
        <v>0</v>
      </c>
      <c r="CS13" s="89">
        <f>'[1]May - 2021'!CS13</f>
        <v>0</v>
      </c>
      <c r="CT13" s="89">
        <f>'[1]May - 2021'!CU13</f>
        <v>569036</v>
      </c>
      <c r="CU13" s="191">
        <f>'[1]May - 2021'!CV13</f>
        <v>285</v>
      </c>
      <c r="CV13" s="454"/>
      <c r="CW13" s="256">
        <f>'[1]May - 2021'!CX13</f>
        <v>4893</v>
      </c>
      <c r="CX13" s="198">
        <f>'[1]May - 2021'!CY13</f>
        <v>1</v>
      </c>
      <c r="CY13" s="257">
        <f>'[1]May - 2021'!CZ13</f>
        <v>2524</v>
      </c>
      <c r="CZ13" s="198">
        <f>'[1]May - 2021'!DA13</f>
        <v>3</v>
      </c>
      <c r="DA13" s="257">
        <f>'[1]May - 2021'!DB13</f>
        <v>23958.400000000001</v>
      </c>
      <c r="DB13" s="198">
        <f>'[1]May - 2021'!DC13</f>
        <v>12.5</v>
      </c>
      <c r="DC13" s="257">
        <f>'[1]May - 2021'!DD13</f>
        <v>24459</v>
      </c>
      <c r="DD13" s="198">
        <f>'[1]May - 2021'!DE13</f>
        <v>7.0999999999985448</v>
      </c>
      <c r="DE13" s="257">
        <f>'[1]May - 2021'!DF13</f>
        <v>17087</v>
      </c>
      <c r="DF13" s="198">
        <f>'[1]May - 2021'!DG13</f>
        <v>5.4000000000014552</v>
      </c>
      <c r="DG13" s="257">
        <f>'[1]May - 2021'!DH13</f>
        <v>20057</v>
      </c>
      <c r="DH13" s="198">
        <f>'[1]May - 2021'!DI13</f>
        <v>4.5999999999985448</v>
      </c>
      <c r="DI13" s="257">
        <f>'[1]May - 2021'!DJ13</f>
        <v>1449</v>
      </c>
      <c r="DJ13" s="198">
        <f>'[1]May - 2021'!DK13</f>
        <v>6</v>
      </c>
      <c r="DK13" s="257">
        <f>'[1]May - 2021'!DL13</f>
        <v>4298</v>
      </c>
      <c r="DL13" s="198">
        <f>'[1]May - 2021'!DM13</f>
        <v>14</v>
      </c>
      <c r="DM13" s="257">
        <f>'[1]May - 2021'!DN13</f>
        <v>879</v>
      </c>
      <c r="DN13" s="198">
        <f>'[1]May - 2021'!DO13</f>
        <v>0</v>
      </c>
      <c r="DO13" s="257">
        <f>'[1]May - 2021'!DP13</f>
        <v>2270</v>
      </c>
      <c r="DP13" s="198">
        <f>'[1]May - 2021'!DQ13</f>
        <v>6</v>
      </c>
      <c r="DQ13" s="257">
        <f>'[1]May - 2021'!DR13</f>
        <v>24547</v>
      </c>
      <c r="DR13" s="206">
        <f>'[1]May - 2021'!DS13</f>
        <v>21</v>
      </c>
      <c r="DS13" s="439"/>
      <c r="DT13" s="210">
        <f>'[1]May - 2021'!DU13</f>
        <v>1073.2</v>
      </c>
      <c r="DU13" s="221">
        <f>'[1]May - 2021'!DV13</f>
        <v>7.2000000000000455</v>
      </c>
      <c r="DV13" s="91">
        <f>'[1]May - 2021'!DW13</f>
        <v>6490</v>
      </c>
      <c r="DW13" s="215">
        <f>'[1]May - 2021'!DX13</f>
        <v>5.1999999999998181</v>
      </c>
      <c r="DX13" s="91">
        <f>'[1]May - 2021'!DY13</f>
        <v>830.5</v>
      </c>
      <c r="DY13" s="215">
        <f>'[1]May - 2021'!DZ13</f>
        <v>5.3999999999999773</v>
      </c>
      <c r="DZ13" s="91">
        <f>'[1]May - 2021'!EA13</f>
        <v>375.5</v>
      </c>
      <c r="EA13" s="215">
        <f>'[1]May - 2021'!EB13</f>
        <v>4.3999999999999773</v>
      </c>
      <c r="EB13" s="91">
        <f>'[1]May - 2021'!EC13</f>
        <v>708007</v>
      </c>
      <c r="EC13" s="215">
        <f>'[1]May - 2021'!ED13</f>
        <v>800</v>
      </c>
      <c r="ED13" s="91">
        <f>'[1]May - 2021'!EG13</f>
        <v>142560.29999999999</v>
      </c>
      <c r="EE13" s="229">
        <f>'[1]May - 2021'!EH13</f>
        <v>159.09999999997672</v>
      </c>
      <c r="EF13" s="378"/>
      <c r="EG13" s="235">
        <f>'[1]May - 2021'!EJ13</f>
        <v>8949200</v>
      </c>
      <c r="EH13" s="230">
        <f>'[1]May - 2021'!EK13</f>
        <v>3000</v>
      </c>
      <c r="EI13" s="90">
        <f>'[1]May - 2021'!EL13</f>
        <v>738570</v>
      </c>
      <c r="EJ13" s="230">
        <f>'[1]May - 2021'!EM13</f>
        <v>400</v>
      </c>
      <c r="EK13" s="90">
        <f>'[1]May - 2021'!EN13</f>
        <v>5753500</v>
      </c>
      <c r="EL13" s="230">
        <f>'[1]May - 2021'!EO13</f>
        <v>2800</v>
      </c>
      <c r="EM13" s="90">
        <f>'[1]May - 2021'!EP13</f>
        <v>2030100</v>
      </c>
      <c r="EN13" s="230">
        <f>'[1]May - 2021'!EQ13</f>
        <v>700</v>
      </c>
      <c r="EO13" s="90">
        <f>'[1]May - 2021'!ER13</f>
        <v>797680</v>
      </c>
      <c r="EP13" s="230">
        <f>'[1]May - 2021'!ES13</f>
        <v>1050</v>
      </c>
      <c r="EQ13" s="90">
        <f>'[1]May - 2021'!ET13</f>
        <v>12614200</v>
      </c>
      <c r="ER13" s="230">
        <f>'[1]May - 2021'!EU13</f>
        <v>3800</v>
      </c>
      <c r="ES13" s="426"/>
      <c r="ET13" s="284">
        <f>'[1]May - 2021'!EW13</f>
        <v>34342</v>
      </c>
      <c r="EU13" s="278">
        <f>'[1]May - 2021'!EX13</f>
        <v>15</v>
      </c>
      <c r="EV13" s="285">
        <f>'[1]May - 2021'!EY13</f>
        <v>29701</v>
      </c>
      <c r="EW13" s="278">
        <f>'[1]May - 2021'!EZ13</f>
        <v>10</v>
      </c>
      <c r="EX13" s="285">
        <f>'[1]May - 2021'!FA13</f>
        <v>696</v>
      </c>
      <c r="EY13" s="278">
        <f>'[1]May - 2021'!FB13</f>
        <v>11</v>
      </c>
      <c r="EZ13" s="285">
        <f>'[1]May - 2021'!FC13</f>
        <v>50561</v>
      </c>
      <c r="FA13" s="278">
        <f>'[1]May - 2021'!FD13</f>
        <v>13</v>
      </c>
      <c r="FB13" s="285">
        <f>'[1]May - 2021'!FE13</f>
        <v>31218</v>
      </c>
      <c r="FC13" s="279">
        <f>'[1]May - 2021'!FF13</f>
        <v>30</v>
      </c>
    </row>
    <row r="14" spans="1:159" ht="30" customHeight="1" x14ac:dyDescent="0.25">
      <c r="A14" s="207">
        <v>43835</v>
      </c>
      <c r="B14" s="209">
        <f>'[1]May - 2021'!B14</f>
        <v>0.78</v>
      </c>
      <c r="C14" s="250">
        <f>'[1]May - 2021'!E14</f>
        <v>761617</v>
      </c>
      <c r="D14" s="170">
        <f>'[1]May - 2021'!F14</f>
        <v>677</v>
      </c>
      <c r="E14" s="168">
        <f>'[1]May - 2021'!G14</f>
        <v>312</v>
      </c>
      <c r="F14" s="168">
        <f>'[1]May - 2021'!H14</f>
        <v>14422</v>
      </c>
      <c r="G14" s="170">
        <f>'[1]May - 2021'!I14</f>
        <v>427</v>
      </c>
      <c r="H14" s="168">
        <f>'[1]May - 2021'!J14</f>
        <v>172</v>
      </c>
      <c r="I14" s="168">
        <f>'[1]May - 2021'!K14</f>
        <v>132294</v>
      </c>
      <c r="J14" s="170">
        <f>'[1]May - 2021'!L14</f>
        <v>357</v>
      </c>
      <c r="K14" s="168">
        <f>'[1]May - 2021'!N14</f>
        <v>746031</v>
      </c>
      <c r="L14" s="170">
        <f>'[1]May - 2021'!O14</f>
        <v>252</v>
      </c>
      <c r="M14" s="168">
        <f>'[1]May - 2021'!Q14</f>
        <v>164232</v>
      </c>
      <c r="N14" s="170">
        <f>'[1]May - 2021'!R14</f>
        <v>0</v>
      </c>
      <c r="O14" s="168">
        <f>'[1]May - 2021'!S14</f>
        <v>4590.8100000000004</v>
      </c>
      <c r="P14" s="170">
        <f>'[1]May - 2021'!T14</f>
        <v>180.76000000000022</v>
      </c>
      <c r="Q14" s="168">
        <f>'[1]May - 2021'!U14</f>
        <v>124</v>
      </c>
      <c r="R14" s="168">
        <f>'[1]May - 2021'!V14</f>
        <v>2214</v>
      </c>
      <c r="S14" s="208">
        <f>'[1]May - 2021'!W14</f>
        <v>37</v>
      </c>
      <c r="T14" s="521"/>
      <c r="U14" s="269">
        <f>'[1]May - 2021'!AC14</f>
        <v>6527213.2799999993</v>
      </c>
      <c r="V14" s="291">
        <f>'[1]May - 2021'!AD14</f>
        <v>1900.0799999991432</v>
      </c>
      <c r="W14" s="92">
        <f>'[1]May - 2021'!AD14</f>
        <v>1900.0799999991432</v>
      </c>
      <c r="X14" s="290">
        <f>'[1]May - 2021'!AF14</f>
        <v>12744372.48</v>
      </c>
      <c r="Y14" s="291">
        <f>'[1]May - 2021'!AG14</f>
        <v>4677.1200000010431</v>
      </c>
      <c r="Z14" s="92">
        <f>'[1]May - 2021'!AG14</f>
        <v>4677.1200000010431</v>
      </c>
      <c r="AA14" s="290">
        <f>'[1]May - 2021'!AI14</f>
        <v>12054935.76</v>
      </c>
      <c r="AB14" s="291">
        <f>'[1]May - 2021'!AJ14</f>
        <v>11351.759999999776</v>
      </c>
      <c r="AC14" s="92">
        <f>'[1]May - 2021'!AJ14</f>
        <v>11351.759999999776</v>
      </c>
      <c r="AD14" s="290">
        <f>'[1]May - 2021'!AL14</f>
        <v>15151578.959999999</v>
      </c>
      <c r="AE14" s="291">
        <f>'[1]May - 2021'!AM14</f>
        <v>1364.160000000149</v>
      </c>
      <c r="AF14" s="92">
        <f>'[1]May - 2021'!AM14</f>
        <v>1364.160000000149</v>
      </c>
      <c r="AG14" s="290">
        <f>'[1]May - 2021'!AO14</f>
        <v>15511278.719999999</v>
      </c>
      <c r="AH14" s="291">
        <f>'[1]May - 2021'!AP14</f>
        <v>6918.2399999983609</v>
      </c>
      <c r="AI14" s="92">
        <f>'[1]May - 2021'!AP14</f>
        <v>6918.2399999983609</v>
      </c>
      <c r="AJ14" s="290">
        <f>'[1]May - 2021'!AR14</f>
        <v>14289088.799999999</v>
      </c>
      <c r="AK14" s="291">
        <f>'[1]May - 2021'!AS14</f>
        <v>5261.7599999997765</v>
      </c>
      <c r="AL14" s="92">
        <f>'[1]May - 2021'!AS14</f>
        <v>5261.7599999997765</v>
      </c>
      <c r="AM14" s="290">
        <f>'[1]May - 2021'!AU14</f>
        <v>12206065.199999999</v>
      </c>
      <c r="AN14" s="291">
        <f>'[1]May - 2021'!AV14</f>
        <v>4579.679999999702</v>
      </c>
      <c r="AO14" s="92">
        <f>'[1]May - 2021'!AV14</f>
        <v>4579.679999999702</v>
      </c>
      <c r="AP14" s="290">
        <f>'[1]May - 2021'!AX14</f>
        <v>11784393.6</v>
      </c>
      <c r="AQ14" s="291">
        <f>'[1]May - 2021'!AY14</f>
        <v>4238.640000000596</v>
      </c>
      <c r="AR14" s="92">
        <f>'[1]May - 2021'!AY14</f>
        <v>4238.640000000596</v>
      </c>
      <c r="AS14" s="290">
        <f>'[1]May - 2021'!BA14</f>
        <v>9413824.5599999987</v>
      </c>
      <c r="AT14" s="291">
        <f>'[1]May - 2021'!BB14</f>
        <v>2874.4799999985844</v>
      </c>
      <c r="AU14" s="92">
        <f>'[1]May - 2021'!BB14</f>
        <v>2874.4799999985844</v>
      </c>
      <c r="AV14" s="290">
        <f>'[1]May - 2021'!BD14</f>
        <v>14349111.84</v>
      </c>
      <c r="AW14" s="252">
        <f>'[1]May - 2021'!BE14</f>
        <v>5359.1999999992549</v>
      </c>
      <c r="AX14" s="253">
        <f>'[1]May - 2021'!BE14</f>
        <v>5359.1999999992549</v>
      </c>
      <c r="AY14" s="487"/>
      <c r="AZ14" s="272">
        <f>'[1]May - 2021'!BK14</f>
        <v>60152200</v>
      </c>
      <c r="BA14" s="179">
        <f>'[1]May - 2021'!BL14</f>
        <v>59800</v>
      </c>
      <c r="BB14" s="93">
        <f>'[1]May - 2021'!BL14</f>
        <v>59800</v>
      </c>
      <c r="BC14" s="272">
        <f>'[1]May - 2021'!BN14</f>
        <v>63083400</v>
      </c>
      <c r="BD14" s="245">
        <f>'[1]May - 2021'!BO14</f>
        <v>0</v>
      </c>
      <c r="BE14" s="93">
        <f>'[1]May - 2021'!BO14</f>
        <v>0</v>
      </c>
      <c r="BF14" s="272">
        <f>'[1]May - 2021'!BQ14</f>
        <v>57896300</v>
      </c>
      <c r="BG14" s="245">
        <f>'[1]May - 2021'!BR14</f>
        <v>33400</v>
      </c>
      <c r="BH14" s="93">
        <f>'[1]May - 2021'!BR14</f>
        <v>33400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3">
        <f>'[1]May - 2021'!BT14</f>
        <v>6269130</v>
      </c>
      <c r="BT14" s="185">
        <f>'[1]May - 2021'!BU14</f>
        <v>8030</v>
      </c>
      <c r="BU14" s="394"/>
      <c r="BV14" s="88">
        <f>'[1]May - 2021'!BW14</f>
        <v>0.79</v>
      </c>
      <c r="BW14" s="241">
        <f>'[1]May - 2021'!BX14</f>
        <v>-7.0000000000000062E-2</v>
      </c>
      <c r="BX14" s="88">
        <f>'[1]May - 2021'!BX14</f>
        <v>-7.0000000000000062E-2</v>
      </c>
      <c r="BY14" s="89">
        <f>'[1]May - 2021'!BZ14</f>
        <v>53196</v>
      </c>
      <c r="BZ14" s="191">
        <f>'[1]May - 2021'!CA14</f>
        <v>17</v>
      </c>
      <c r="CA14" s="89">
        <f>'[1]May - 2021'!CB14</f>
        <v>44895</v>
      </c>
      <c r="CB14" s="191">
        <f>'[1]May - 2021'!CC14</f>
        <v>15</v>
      </c>
      <c r="CC14" s="89">
        <f>'[1]May - 2021'!CD14</f>
        <v>15562</v>
      </c>
      <c r="CD14" s="191">
        <f>'[1]May - 2021'!CE14</f>
        <v>6</v>
      </c>
      <c r="CE14" s="89">
        <f>'[1]May - 2021'!CF14</f>
        <v>19841</v>
      </c>
      <c r="CF14" s="191">
        <f>'[1]May - 2021'!CG14</f>
        <v>9</v>
      </c>
      <c r="CG14" s="89">
        <f>'[1]May - 2021'!CH14</f>
        <v>21549</v>
      </c>
      <c r="CH14" s="191">
        <f>'[1]May - 2021'!CI14</f>
        <v>11</v>
      </c>
      <c r="CI14" s="89">
        <f>'[1]May - 2021'!CJ14</f>
        <v>49044</v>
      </c>
      <c r="CJ14" s="191">
        <f>'[1]May - 2021'!CK14</f>
        <v>23</v>
      </c>
      <c r="CK14" s="89">
        <f>'[1]May - 2021'!CL14</f>
        <v>213445</v>
      </c>
      <c r="CL14" s="246">
        <f>'[1]May - 2021'!CM14</f>
        <v>102</v>
      </c>
      <c r="CM14" s="89">
        <f>'[1]May - 2021'!CM14</f>
        <v>102</v>
      </c>
      <c r="CN14" s="89">
        <f>'[1]May - 2021'!CO14</f>
        <v>162032</v>
      </c>
      <c r="CO14" s="246">
        <f>'[1]May - 2021'!CP14</f>
        <v>94</v>
      </c>
      <c r="CP14" s="89">
        <f>'[1]May - 2021'!CP14</f>
        <v>94</v>
      </c>
      <c r="CQ14" s="89">
        <f>'[1]May - 2021'!CR14</f>
        <v>308195</v>
      </c>
      <c r="CR14" s="246">
        <f>'[1]May - 2021'!CS14</f>
        <v>0</v>
      </c>
      <c r="CS14" s="89">
        <f>'[1]May - 2021'!CS14</f>
        <v>0</v>
      </c>
      <c r="CT14" s="89">
        <f>'[1]May - 2021'!CU14</f>
        <v>569310</v>
      </c>
      <c r="CU14" s="191">
        <f>'[1]May - 2021'!CV14</f>
        <v>274</v>
      </c>
      <c r="CV14" s="454"/>
      <c r="CW14" s="256">
        <f>'[1]May - 2021'!CX14</f>
        <v>4898</v>
      </c>
      <c r="CX14" s="198">
        <f>'[1]May - 2021'!CY14</f>
        <v>5</v>
      </c>
      <c r="CY14" s="257">
        <f>'[1]May - 2021'!CZ14</f>
        <v>2528</v>
      </c>
      <c r="CZ14" s="198">
        <f>'[1]May - 2021'!DA14</f>
        <v>4</v>
      </c>
      <c r="DA14" s="257">
        <f>'[1]May - 2021'!DB14</f>
        <v>23971.3</v>
      </c>
      <c r="DB14" s="198">
        <f>'[1]May - 2021'!DC14</f>
        <v>12.899999999997817</v>
      </c>
      <c r="DC14" s="257">
        <f>'[1]May - 2021'!DD14</f>
        <v>24463.3</v>
      </c>
      <c r="DD14" s="198">
        <f>'[1]May - 2021'!DE14</f>
        <v>4.2999999999992724</v>
      </c>
      <c r="DE14" s="257">
        <f>'[1]May - 2021'!DF14</f>
        <v>17095.599999999999</v>
      </c>
      <c r="DF14" s="198">
        <f>'[1]May - 2021'!DG14</f>
        <v>8.5999999999985448</v>
      </c>
      <c r="DG14" s="257">
        <f>'[1]May - 2021'!DH14</f>
        <v>20066.8</v>
      </c>
      <c r="DH14" s="198">
        <f>'[1]May - 2021'!DI14</f>
        <v>9.7999999999992724</v>
      </c>
      <c r="DI14" s="257">
        <f>'[1]May - 2021'!DJ14</f>
        <v>1455</v>
      </c>
      <c r="DJ14" s="198">
        <f>'[1]May - 2021'!DK14</f>
        <v>6</v>
      </c>
      <c r="DK14" s="257">
        <f>'[1]May - 2021'!DL14</f>
        <v>4313</v>
      </c>
      <c r="DL14" s="198">
        <f>'[1]May - 2021'!DM14</f>
        <v>15</v>
      </c>
      <c r="DM14" s="257">
        <f>'[1]May - 2021'!DN14</f>
        <v>879</v>
      </c>
      <c r="DN14" s="198">
        <f>'[1]May - 2021'!DO14</f>
        <v>0</v>
      </c>
      <c r="DO14" s="257">
        <f>'[1]May - 2021'!DP14</f>
        <v>2276</v>
      </c>
      <c r="DP14" s="198">
        <f>'[1]May - 2021'!DQ14</f>
        <v>6</v>
      </c>
      <c r="DQ14" s="257">
        <f>'[1]May - 2021'!DR14</f>
        <v>24566</v>
      </c>
      <c r="DR14" s="206">
        <f>'[1]May - 2021'!DS14</f>
        <v>19</v>
      </c>
      <c r="DS14" s="439"/>
      <c r="DT14" s="210">
        <f>'[1]May - 2021'!DU14</f>
        <v>1080.0999999999999</v>
      </c>
      <c r="DU14" s="221">
        <f>'[1]May - 2021'!DV14</f>
        <v>6.8999999999998636</v>
      </c>
      <c r="DV14" s="91">
        <f>'[1]May - 2021'!DW14</f>
        <v>6494.8</v>
      </c>
      <c r="DW14" s="215">
        <f>'[1]May - 2021'!DX14</f>
        <v>4.8000000000001819</v>
      </c>
      <c r="DX14" s="91">
        <f>'[1]May - 2021'!DY14</f>
        <v>835.8</v>
      </c>
      <c r="DY14" s="215">
        <f>'[1]May - 2021'!DZ14</f>
        <v>5.2999999999999545</v>
      </c>
      <c r="DZ14" s="91">
        <f>'[1]May - 2021'!EA14</f>
        <v>380.1</v>
      </c>
      <c r="EA14" s="215">
        <f>'[1]May - 2021'!EB14</f>
        <v>4.6000000000000227</v>
      </c>
      <c r="EB14" s="91">
        <f>'[1]May - 2021'!EC14</f>
        <v>708715</v>
      </c>
      <c r="EC14" s="215">
        <f>'[1]May - 2021'!ED14</f>
        <v>708</v>
      </c>
      <c r="ED14" s="91">
        <f>'[1]May - 2021'!EG14</f>
        <v>142719.5</v>
      </c>
      <c r="EE14" s="229">
        <f>'[1]May - 2021'!EH14</f>
        <v>159.20000000001164</v>
      </c>
      <c r="EF14" s="378"/>
      <c r="EG14" s="235">
        <f>'[1]May - 2021'!EJ14</f>
        <v>8952300</v>
      </c>
      <c r="EH14" s="230">
        <f>'[1]May - 2021'!EK14</f>
        <v>3100</v>
      </c>
      <c r="EI14" s="90">
        <f>'[1]May - 2021'!EL14</f>
        <v>738980</v>
      </c>
      <c r="EJ14" s="230">
        <f>'[1]May - 2021'!EM14</f>
        <v>410</v>
      </c>
      <c r="EK14" s="90">
        <f>'[1]May - 2021'!EN14</f>
        <v>5756500</v>
      </c>
      <c r="EL14" s="230">
        <f>'[1]May - 2021'!EO14</f>
        <v>3000</v>
      </c>
      <c r="EM14" s="90">
        <f>'[1]May - 2021'!EP14</f>
        <v>2030900</v>
      </c>
      <c r="EN14" s="230">
        <f>'[1]May - 2021'!EQ14</f>
        <v>800</v>
      </c>
      <c r="EO14" s="90">
        <f>'[1]May - 2021'!ER14</f>
        <v>798680</v>
      </c>
      <c r="EP14" s="230">
        <f>'[1]May - 2021'!ES14</f>
        <v>1000</v>
      </c>
      <c r="EQ14" s="90">
        <f>'[1]May - 2021'!ET14</f>
        <v>12621000</v>
      </c>
      <c r="ER14" s="230">
        <f>'[1]May - 2021'!EU14</f>
        <v>6800</v>
      </c>
      <c r="ES14" s="426"/>
      <c r="ET14" s="284">
        <f>'[1]May - 2021'!EW14</f>
        <v>34357</v>
      </c>
      <c r="EU14" s="278">
        <f>'[1]May - 2021'!EX14</f>
        <v>15</v>
      </c>
      <c r="EV14" s="285">
        <f>'[1]May - 2021'!EY14</f>
        <v>29712</v>
      </c>
      <c r="EW14" s="278">
        <f>'[1]May - 2021'!EZ14</f>
        <v>11</v>
      </c>
      <c r="EX14" s="285">
        <f>'[1]May - 2021'!FA14</f>
        <v>707</v>
      </c>
      <c r="EY14" s="278">
        <f>'[1]May - 2021'!FB14</f>
        <v>11</v>
      </c>
      <c r="EZ14" s="285">
        <f>'[1]May - 2021'!FC14</f>
        <v>50577</v>
      </c>
      <c r="FA14" s="278">
        <f>'[1]May - 2021'!FD14</f>
        <v>16</v>
      </c>
      <c r="FB14" s="285">
        <f>'[1]May - 2021'!FE14</f>
        <v>31243</v>
      </c>
      <c r="FC14" s="279">
        <f>'[1]May - 2021'!FF14</f>
        <v>25</v>
      </c>
    </row>
    <row r="15" spans="1:159" ht="30" customHeight="1" x14ac:dyDescent="0.25">
      <c r="A15" s="207">
        <v>43836</v>
      </c>
      <c r="B15" s="209">
        <f>'[1]May - 2021'!B15</f>
        <v>0.75</v>
      </c>
      <c r="C15" s="250">
        <f>'[1]May - 2021'!E15</f>
        <v>762252</v>
      </c>
      <c r="D15" s="170">
        <f>'[1]May - 2021'!F15</f>
        <v>635</v>
      </c>
      <c r="E15" s="168">
        <f>'[1]May - 2021'!G15</f>
        <v>302</v>
      </c>
      <c r="F15" s="168">
        <f>'[1]May - 2021'!H15</f>
        <v>14806</v>
      </c>
      <c r="G15" s="170">
        <f>'[1]May - 2021'!I15</f>
        <v>384</v>
      </c>
      <c r="H15" s="168">
        <f>'[1]May - 2021'!J15</f>
        <v>183</v>
      </c>
      <c r="I15" s="168">
        <f>'[1]May - 2021'!K15</f>
        <v>132676</v>
      </c>
      <c r="J15" s="170">
        <f>'[1]May - 2021'!L15</f>
        <v>382</v>
      </c>
      <c r="K15" s="168">
        <f>'[1]May - 2021'!N15</f>
        <v>746247</v>
      </c>
      <c r="L15" s="170">
        <f>'[1]May - 2021'!O15</f>
        <v>216</v>
      </c>
      <c r="M15" s="168">
        <f>'[1]May - 2021'!Q15</f>
        <v>164232</v>
      </c>
      <c r="N15" s="170">
        <f>'[1]May - 2021'!R15</f>
        <v>0</v>
      </c>
      <c r="O15" s="168">
        <f>'[1]May - 2021'!S15</f>
        <v>4780.58</v>
      </c>
      <c r="P15" s="170">
        <f>'[1]May - 2021'!T15</f>
        <v>189.76999999999953</v>
      </c>
      <c r="Q15" s="168">
        <f>'[1]May - 2021'!U15</f>
        <v>112</v>
      </c>
      <c r="R15" s="168">
        <f>'[1]May - 2021'!V15</f>
        <v>2252</v>
      </c>
      <c r="S15" s="208">
        <f>'[1]May - 2021'!W15</f>
        <v>38</v>
      </c>
      <c r="T15" s="521"/>
      <c r="U15" s="269">
        <f>'[1]May - 2021'!AC15</f>
        <v>6529064.6400000006</v>
      </c>
      <c r="V15" s="291">
        <f>'[1]May - 2021'!AD15</f>
        <v>1851.3600000012666</v>
      </c>
      <c r="W15" s="92">
        <f>'[1]May - 2021'!AD15</f>
        <v>1851.3600000012666</v>
      </c>
      <c r="X15" s="290">
        <f>'[1]May - 2021'!AF15</f>
        <v>12749195.76</v>
      </c>
      <c r="Y15" s="291">
        <f>'[1]May - 2021'!AG15</f>
        <v>4823.2799999993294</v>
      </c>
      <c r="Z15" s="92">
        <f>'[1]May - 2021'!AG15</f>
        <v>4823.2799999993294</v>
      </c>
      <c r="AA15" s="290">
        <f>'[1]May - 2021'!AI15</f>
        <v>12066433.68</v>
      </c>
      <c r="AB15" s="291">
        <f>'[1]May - 2021'!AJ15</f>
        <v>11497.919999999925</v>
      </c>
      <c r="AC15" s="92">
        <f>'[1]May - 2021'!AJ15</f>
        <v>11497.919999999925</v>
      </c>
      <c r="AD15" s="290">
        <f>'[1]May - 2021'!AL15</f>
        <v>15153040.559999999</v>
      </c>
      <c r="AE15" s="291">
        <f>'[1]May - 2021'!AM15</f>
        <v>1461.5999999996275</v>
      </c>
      <c r="AF15" s="92">
        <f>'[1]May - 2021'!AM15</f>
        <v>1461.5999999996275</v>
      </c>
      <c r="AG15" s="290">
        <f>'[1]May - 2021'!AO15</f>
        <v>15519463.68</v>
      </c>
      <c r="AH15" s="291">
        <f>'[1]May - 2021'!AP15</f>
        <v>8184.9600000008941</v>
      </c>
      <c r="AI15" s="92">
        <f>'[1]May - 2021'!AP15</f>
        <v>8184.9600000008941</v>
      </c>
      <c r="AJ15" s="290">
        <f>'[1]May - 2021'!AR15</f>
        <v>14294350.559999999</v>
      </c>
      <c r="AK15" s="291">
        <f>'[1]May - 2021'!AS15</f>
        <v>5261.7599999997765</v>
      </c>
      <c r="AL15" s="92">
        <f>'[1]May - 2021'!AS15</f>
        <v>5261.7599999997765</v>
      </c>
      <c r="AM15" s="290">
        <f>'[1]May - 2021'!AU15</f>
        <v>12210450</v>
      </c>
      <c r="AN15" s="291">
        <f>'[1]May - 2021'!AV15</f>
        <v>4384.8000000007451</v>
      </c>
      <c r="AO15" s="92">
        <f>'[1]May - 2021'!AV15</f>
        <v>4384.8000000007451</v>
      </c>
      <c r="AP15" s="290">
        <f>'[1]May - 2021'!AX15</f>
        <v>11788729.68</v>
      </c>
      <c r="AQ15" s="291">
        <f>'[1]May - 2021'!AY15</f>
        <v>4336.0800000000745</v>
      </c>
      <c r="AR15" s="92">
        <f>'[1]May - 2021'!AY15</f>
        <v>4336.0800000000745</v>
      </c>
      <c r="AS15" s="290">
        <f>'[1]May - 2021'!BA15</f>
        <v>9416893.9199999999</v>
      </c>
      <c r="AT15" s="291">
        <f>'[1]May - 2021'!BB15</f>
        <v>3069.3600000012666</v>
      </c>
      <c r="AU15" s="92">
        <f>'[1]May - 2021'!BB15</f>
        <v>3069.3600000012666</v>
      </c>
      <c r="AV15" s="290">
        <f>'[1]May - 2021'!BD15</f>
        <v>14354860.799999999</v>
      </c>
      <c r="AW15" s="252">
        <f>'[1]May - 2021'!BE15</f>
        <v>5748.9599999990314</v>
      </c>
      <c r="AX15" s="253">
        <f>'[1]May - 2021'!BE15</f>
        <v>5748.9599999990314</v>
      </c>
      <c r="AY15" s="487"/>
      <c r="AZ15" s="272">
        <f>'[1]May - 2021'!BK15</f>
        <v>60210800</v>
      </c>
      <c r="BA15" s="179">
        <f>'[1]May - 2021'!BL15</f>
        <v>58600</v>
      </c>
      <c r="BB15" s="93">
        <f>'[1]May - 2021'!BL15</f>
        <v>58600</v>
      </c>
      <c r="BC15" s="272">
        <f>'[1]May - 2021'!BN15</f>
        <v>63083400</v>
      </c>
      <c r="BD15" s="245">
        <f>'[1]May - 2021'!BO15</f>
        <v>0</v>
      </c>
      <c r="BE15" s="93">
        <f>'[1]May - 2021'!BO15</f>
        <v>0</v>
      </c>
      <c r="BF15" s="272">
        <f>'[1]May - 2021'!BQ15</f>
        <v>57936300</v>
      </c>
      <c r="BG15" s="245">
        <f>'[1]May - 2021'!BR15</f>
        <v>40000</v>
      </c>
      <c r="BH15" s="93">
        <f>'[1]May - 2021'!BR15</f>
        <v>40000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3">
        <f>'[1]May - 2021'!BT15</f>
        <v>6276220</v>
      </c>
      <c r="BT15" s="185">
        <f>'[1]May - 2021'!BU15</f>
        <v>7090</v>
      </c>
      <c r="BU15" s="394"/>
      <c r="BV15" s="88">
        <f>'[1]May - 2021'!BW15</f>
        <v>0.75</v>
      </c>
      <c r="BW15" s="241">
        <f>'[1]May - 2021'!BX15</f>
        <v>4.0000000000000036E-2</v>
      </c>
      <c r="BX15" s="88">
        <f>'[1]May - 2021'!BX15</f>
        <v>4.0000000000000036E-2</v>
      </c>
      <c r="BY15" s="89">
        <f>'[1]May - 2021'!BZ15</f>
        <v>53214</v>
      </c>
      <c r="BZ15" s="191">
        <f>'[1]May - 2021'!CA15</f>
        <v>18</v>
      </c>
      <c r="CA15" s="89">
        <f>'[1]May - 2021'!CB15</f>
        <v>44910</v>
      </c>
      <c r="CB15" s="191">
        <f>'[1]May - 2021'!CC15</f>
        <v>15</v>
      </c>
      <c r="CC15" s="89">
        <f>'[1]May - 2021'!CD15</f>
        <v>15569</v>
      </c>
      <c r="CD15" s="191">
        <f>'[1]May - 2021'!CE15</f>
        <v>7</v>
      </c>
      <c r="CE15" s="89">
        <f>'[1]May - 2021'!CF15</f>
        <v>19850</v>
      </c>
      <c r="CF15" s="191">
        <f>'[1]May - 2021'!CG15</f>
        <v>9</v>
      </c>
      <c r="CG15" s="89">
        <f>'[1]May - 2021'!CH15</f>
        <v>21561</v>
      </c>
      <c r="CH15" s="191">
        <f>'[1]May - 2021'!CI15</f>
        <v>12</v>
      </c>
      <c r="CI15" s="89">
        <f>'[1]May - 2021'!CJ15</f>
        <v>49068</v>
      </c>
      <c r="CJ15" s="191">
        <f>'[1]May - 2021'!CK15</f>
        <v>24</v>
      </c>
      <c r="CK15" s="89">
        <f>'[1]May - 2021'!CL15</f>
        <v>213547</v>
      </c>
      <c r="CL15" s="246">
        <f>'[1]May - 2021'!CM15</f>
        <v>102</v>
      </c>
      <c r="CM15" s="89">
        <f>'[1]May - 2021'!CM15</f>
        <v>102</v>
      </c>
      <c r="CN15" s="89">
        <f>'[1]May - 2021'!CO15</f>
        <v>162133</v>
      </c>
      <c r="CO15" s="246">
        <f>'[1]May - 2021'!CP15</f>
        <v>101</v>
      </c>
      <c r="CP15" s="89">
        <f>'[1]May - 2021'!CP15</f>
        <v>101</v>
      </c>
      <c r="CQ15" s="89">
        <f>'[1]May - 2021'!CR15</f>
        <v>308195</v>
      </c>
      <c r="CR15" s="246">
        <f>'[1]May - 2021'!CS15</f>
        <v>0</v>
      </c>
      <c r="CS15" s="89">
        <f>'[1]May - 2021'!CS15</f>
        <v>0</v>
      </c>
      <c r="CT15" s="89">
        <f>'[1]May - 2021'!CU15</f>
        <v>569589</v>
      </c>
      <c r="CU15" s="191">
        <f>'[1]May - 2021'!CV15</f>
        <v>279</v>
      </c>
      <c r="CV15" s="454"/>
      <c r="CW15" s="256">
        <f>'[1]May - 2021'!CX15</f>
        <v>4904</v>
      </c>
      <c r="CX15" s="198">
        <f>'[1]May - 2021'!CY15</f>
        <v>6</v>
      </c>
      <c r="CY15" s="257">
        <f>'[1]May - 2021'!CZ15</f>
        <v>2532</v>
      </c>
      <c r="CZ15" s="198">
        <f>'[1]May - 2021'!DA15</f>
        <v>4</v>
      </c>
      <c r="DA15" s="257">
        <f>'[1]May - 2021'!DB15</f>
        <v>23983.200000000001</v>
      </c>
      <c r="DB15" s="198">
        <f>'[1]May - 2021'!DC15</f>
        <v>11.900000000001455</v>
      </c>
      <c r="DC15" s="257">
        <f>'[1]May - 2021'!DD15</f>
        <v>24474.5</v>
      </c>
      <c r="DD15" s="198">
        <f>'[1]May - 2021'!DE15</f>
        <v>11.200000000000728</v>
      </c>
      <c r="DE15" s="257">
        <f>'[1]May - 2021'!DF15</f>
        <v>17102</v>
      </c>
      <c r="DF15" s="198">
        <f>'[1]May - 2021'!DG15</f>
        <v>6.4000000000014552</v>
      </c>
      <c r="DG15" s="257">
        <f>'[1]May - 2021'!DH15</f>
        <v>20075.7</v>
      </c>
      <c r="DH15" s="198">
        <f>'[1]May - 2021'!DI15</f>
        <v>8.9000000000014552</v>
      </c>
      <c r="DI15" s="257">
        <f>'[1]May - 2021'!DJ15</f>
        <v>1462</v>
      </c>
      <c r="DJ15" s="198">
        <f>'[1]May - 2021'!DK15</f>
        <v>7</v>
      </c>
      <c r="DK15" s="257">
        <f>'[1]May - 2021'!DL15</f>
        <v>4320</v>
      </c>
      <c r="DL15" s="198">
        <f>'[1]May - 2021'!DM15</f>
        <v>7</v>
      </c>
      <c r="DM15" s="257">
        <f>'[1]May - 2021'!DN15</f>
        <v>879</v>
      </c>
      <c r="DN15" s="198">
        <f>'[1]May - 2021'!DO15</f>
        <v>0</v>
      </c>
      <c r="DO15" s="257">
        <f>'[1]May - 2021'!DP15</f>
        <v>2283</v>
      </c>
      <c r="DP15" s="198">
        <f>'[1]May - 2021'!DQ15</f>
        <v>7</v>
      </c>
      <c r="DQ15" s="257">
        <f>'[1]May - 2021'!DR15</f>
        <v>24575</v>
      </c>
      <c r="DR15" s="206">
        <f>'[1]May - 2021'!DS15</f>
        <v>9</v>
      </c>
      <c r="DS15" s="439"/>
      <c r="DT15" s="210">
        <f>'[1]May - 2021'!DU15</f>
        <v>1089.2</v>
      </c>
      <c r="DU15" s="221">
        <f>'[1]May - 2021'!DV15</f>
        <v>9.1000000000001364</v>
      </c>
      <c r="DV15" s="91">
        <f>'[1]May - 2021'!DW15</f>
        <v>6500.4</v>
      </c>
      <c r="DW15" s="215">
        <f>'[1]May - 2021'!DX15</f>
        <v>5.5999999999994543</v>
      </c>
      <c r="DX15" s="91">
        <f>'[1]May - 2021'!DY15</f>
        <v>841</v>
      </c>
      <c r="DY15" s="215">
        <f>'[1]May - 2021'!DZ15</f>
        <v>5.2000000000000455</v>
      </c>
      <c r="DZ15" s="91">
        <f>'[1]May - 2021'!EA15</f>
        <v>384.5</v>
      </c>
      <c r="EA15" s="215">
        <f>'[1]May - 2021'!EB15</f>
        <v>4.3999999999999773</v>
      </c>
      <c r="EB15" s="91">
        <f>'[1]May - 2021'!EC15</f>
        <v>709591</v>
      </c>
      <c r="EC15" s="215">
        <f>'[1]May - 2021'!ED15</f>
        <v>876</v>
      </c>
      <c r="ED15" s="91">
        <f>'[1]May - 2021'!EG15</f>
        <v>142884.20000000001</v>
      </c>
      <c r="EE15" s="229">
        <f>'[1]May - 2021'!EH15</f>
        <v>164.70000000001164</v>
      </c>
      <c r="EF15" s="378"/>
      <c r="EG15" s="235">
        <f>'[1]May - 2021'!EJ15</f>
        <v>8956500</v>
      </c>
      <c r="EH15" s="230">
        <f>'[1]May - 2021'!EK15</f>
        <v>4200</v>
      </c>
      <c r="EI15" s="90">
        <f>'[1]May - 2021'!EL15</f>
        <v>739390</v>
      </c>
      <c r="EJ15" s="230">
        <f>'[1]May - 2021'!EM15</f>
        <v>410</v>
      </c>
      <c r="EK15" s="90">
        <f>'[1]May - 2021'!EN15</f>
        <v>5759700</v>
      </c>
      <c r="EL15" s="230">
        <f>'[1]May - 2021'!EO15</f>
        <v>3200</v>
      </c>
      <c r="EM15" s="90">
        <f>'[1]May - 2021'!EP15</f>
        <v>2031700</v>
      </c>
      <c r="EN15" s="230">
        <f>'[1]May - 2021'!EQ15</f>
        <v>800</v>
      </c>
      <c r="EO15" s="90">
        <f>'[1]May - 2021'!ER15</f>
        <v>799660</v>
      </c>
      <c r="EP15" s="230">
        <f>'[1]May - 2021'!ES15</f>
        <v>980</v>
      </c>
      <c r="EQ15" s="90">
        <f>'[1]May - 2021'!ET15</f>
        <v>12629500</v>
      </c>
      <c r="ER15" s="230">
        <f>'[1]May - 2021'!EU15</f>
        <v>8500</v>
      </c>
      <c r="ES15" s="426"/>
      <c r="ET15" s="284">
        <f>'[1]May - 2021'!EW15</f>
        <v>34372</v>
      </c>
      <c r="EU15" s="278">
        <f>'[1]May - 2021'!EX15</f>
        <v>15</v>
      </c>
      <c r="EV15" s="285">
        <f>'[1]May - 2021'!EY15</f>
        <v>29722</v>
      </c>
      <c r="EW15" s="278">
        <f>'[1]May - 2021'!EZ15</f>
        <v>10</v>
      </c>
      <c r="EX15" s="285">
        <f>'[1]May - 2021'!FA15</f>
        <v>720</v>
      </c>
      <c r="EY15" s="278">
        <f>'[1]May - 2021'!FB15</f>
        <v>13</v>
      </c>
      <c r="EZ15" s="285">
        <f>'[1]May - 2021'!FC15</f>
        <v>50592</v>
      </c>
      <c r="FA15" s="278">
        <f>'[1]May - 2021'!FD15</f>
        <v>15</v>
      </c>
      <c r="FB15" s="285">
        <f>'[1]May - 2021'!FE15</f>
        <v>31279</v>
      </c>
      <c r="FC15" s="279">
        <f>'[1]May - 2021'!FF15</f>
        <v>36</v>
      </c>
    </row>
    <row r="16" spans="1:159" ht="30" customHeight="1" x14ac:dyDescent="0.25">
      <c r="A16" s="207">
        <v>43837</v>
      </c>
      <c r="B16" s="209">
        <f>'[1]May - 2021'!B16</f>
        <v>0.77</v>
      </c>
      <c r="C16" s="250">
        <f>'[1]May - 2021'!E16</f>
        <v>762938</v>
      </c>
      <c r="D16" s="170">
        <f>'[1]May - 2021'!F16</f>
        <v>686</v>
      </c>
      <c r="E16" s="168">
        <f>'[1]May - 2021'!G16</f>
        <v>312</v>
      </c>
      <c r="F16" s="168">
        <f>'[1]May - 2021'!H16</f>
        <v>15226</v>
      </c>
      <c r="G16" s="170">
        <f>'[1]May - 2021'!I16</f>
        <v>420</v>
      </c>
      <c r="H16" s="168">
        <f>'[1]May - 2021'!J16</f>
        <v>175</v>
      </c>
      <c r="I16" s="168">
        <f>'[1]May - 2021'!K16</f>
        <v>133081</v>
      </c>
      <c r="J16" s="170">
        <f>'[1]May - 2021'!L16</f>
        <v>405</v>
      </c>
      <c r="K16" s="168">
        <f>'[1]May - 2021'!N16</f>
        <v>746612.6</v>
      </c>
      <c r="L16" s="170">
        <f>'[1]May - 2021'!O16</f>
        <v>365.59999999997672</v>
      </c>
      <c r="M16" s="168">
        <f>'[1]May - 2021'!Q16</f>
        <v>164275</v>
      </c>
      <c r="N16" s="170">
        <f>'[1]May - 2021'!R16</f>
        <v>43</v>
      </c>
      <c r="O16" s="168">
        <f>'[1]May - 2021'!S16</f>
        <v>4966</v>
      </c>
      <c r="P16" s="170">
        <f>'[1]May - 2021'!T16</f>
        <v>185.42000000000007</v>
      </c>
      <c r="Q16" s="168">
        <f>'[1]May - 2021'!U16</f>
        <v>130</v>
      </c>
      <c r="R16" s="168">
        <f>'[1]May - 2021'!V16</f>
        <v>2287</v>
      </c>
      <c r="S16" s="208">
        <f>'[1]May - 2021'!W16</f>
        <v>35</v>
      </c>
      <c r="T16" s="521"/>
      <c r="U16" s="269">
        <f>'[1]May - 2021'!AC16</f>
        <v>6531110.8799999999</v>
      </c>
      <c r="V16" s="291">
        <f>'[1]May - 2021'!AD16</f>
        <v>2046.2399999992922</v>
      </c>
      <c r="W16" s="92">
        <f>'[1]May - 2021'!AD16</f>
        <v>2046.2399999992922</v>
      </c>
      <c r="X16" s="290">
        <f>'[1]May - 2021'!AF16</f>
        <v>12753970.319999998</v>
      </c>
      <c r="Y16" s="291">
        <f>'[1]May - 2021'!AG16</f>
        <v>4774.5599999986589</v>
      </c>
      <c r="Z16" s="92">
        <f>'[1]May - 2021'!AG16</f>
        <v>4774.5599999986589</v>
      </c>
      <c r="AA16" s="290">
        <f>'[1]May - 2021'!AI16</f>
        <v>12078516.24</v>
      </c>
      <c r="AB16" s="291">
        <f>'[1]May - 2021'!AJ16</f>
        <v>12082.560000000522</v>
      </c>
      <c r="AC16" s="92">
        <f>'[1]May - 2021'!AJ16</f>
        <v>12082.560000000522</v>
      </c>
      <c r="AD16" s="290">
        <f>'[1]May - 2021'!AL16</f>
        <v>15154453.439999999</v>
      </c>
      <c r="AE16" s="291">
        <f>'[1]May - 2021'!AM16</f>
        <v>1412.8800000008196</v>
      </c>
      <c r="AF16" s="92">
        <f>'[1]May - 2021'!AM16</f>
        <v>1412.8800000008196</v>
      </c>
      <c r="AG16" s="290">
        <f>'[1]May - 2021'!AO16</f>
        <v>15526674.24</v>
      </c>
      <c r="AH16" s="291">
        <f>'[1]May - 2021'!AP16</f>
        <v>7210.5600000005215</v>
      </c>
      <c r="AI16" s="92">
        <f>'[1]May - 2021'!AP16</f>
        <v>7210.5600000005215</v>
      </c>
      <c r="AJ16" s="290">
        <f>'[1]May - 2021'!AR16</f>
        <v>14299904.640000001</v>
      </c>
      <c r="AK16" s="291">
        <f>'[1]May - 2021'!AS16</f>
        <v>5554.0800000019372</v>
      </c>
      <c r="AL16" s="92">
        <f>'[1]May - 2021'!AS16</f>
        <v>5554.0800000019372</v>
      </c>
      <c r="AM16" s="290">
        <f>'[1]May - 2021'!AU16</f>
        <v>12215078.4</v>
      </c>
      <c r="AN16" s="291">
        <f>'[1]May - 2021'!AV16</f>
        <v>4628.4000000003725</v>
      </c>
      <c r="AO16" s="92">
        <f>'[1]May - 2021'!AV16</f>
        <v>4628.4000000003725</v>
      </c>
      <c r="AP16" s="290">
        <f>'[1]May - 2021'!AX16</f>
        <v>11792919.6</v>
      </c>
      <c r="AQ16" s="291">
        <f>'[1]May - 2021'!AY16</f>
        <v>4189.9199999999255</v>
      </c>
      <c r="AR16" s="92">
        <f>'[1]May - 2021'!AY16</f>
        <v>4189.9199999999255</v>
      </c>
      <c r="AS16" s="290">
        <f>'[1]May - 2021'!BA16</f>
        <v>9419865.8399999999</v>
      </c>
      <c r="AT16" s="291">
        <f>'[1]May - 2021'!BB16</f>
        <v>2971.9199999999255</v>
      </c>
      <c r="AU16" s="92">
        <f>'[1]May - 2021'!BB16</f>
        <v>2971.9199999999255</v>
      </c>
      <c r="AV16" s="290">
        <f>'[1]May - 2021'!BD16</f>
        <v>14360609.76</v>
      </c>
      <c r="AW16" s="252">
        <f>'[1]May - 2021'!BE16</f>
        <v>5748.9600000008941</v>
      </c>
      <c r="AX16" s="253">
        <f>'[1]May - 2021'!BE16</f>
        <v>5748.9600000008941</v>
      </c>
      <c r="AY16" s="487"/>
      <c r="AZ16" s="272">
        <f>'[1]May - 2021'!BK16</f>
        <v>60269700</v>
      </c>
      <c r="BA16" s="179">
        <f>'[1]May - 2021'!BL16</f>
        <v>58900</v>
      </c>
      <c r="BB16" s="93">
        <f>'[1]May - 2021'!BL16</f>
        <v>58900</v>
      </c>
      <c r="BC16" s="272">
        <f>'[1]May - 2021'!BN16</f>
        <v>63083400</v>
      </c>
      <c r="BD16" s="245">
        <f>'[1]May - 2021'!BO16</f>
        <v>0</v>
      </c>
      <c r="BE16" s="93">
        <f>'[1]May - 2021'!BO16</f>
        <v>0</v>
      </c>
      <c r="BF16" s="272">
        <f>'[1]May - 2021'!BQ16</f>
        <v>57971600</v>
      </c>
      <c r="BG16" s="245">
        <f>'[1]May - 2021'!BR16</f>
        <v>35300</v>
      </c>
      <c r="BH16" s="93">
        <f>'[1]May - 2021'!BR16</f>
        <v>35300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3">
        <f>'[1]May - 2021'!BT16</f>
        <v>6283400</v>
      </c>
      <c r="BT16" s="185">
        <f>'[1]May - 2021'!BU16</f>
        <v>7180</v>
      </c>
      <c r="BU16" s="394"/>
      <c r="BV16" s="88">
        <f>'[1]May - 2021'!BW16</f>
        <v>0.8</v>
      </c>
      <c r="BW16" s="241">
        <f>'[1]May - 2021'!BX16</f>
        <v>-5.0000000000000044E-2</v>
      </c>
      <c r="BX16" s="88">
        <f>'[1]May - 2021'!BX16</f>
        <v>-5.0000000000000044E-2</v>
      </c>
      <c r="BY16" s="89">
        <f>'[1]May - 2021'!BZ16</f>
        <v>53234</v>
      </c>
      <c r="BZ16" s="191">
        <f>'[1]May - 2021'!CA16</f>
        <v>20</v>
      </c>
      <c r="CA16" s="89">
        <f>'[1]May - 2021'!CB16</f>
        <v>44925</v>
      </c>
      <c r="CB16" s="191">
        <f>'[1]May - 2021'!CC16</f>
        <v>15</v>
      </c>
      <c r="CC16" s="89">
        <f>'[1]May - 2021'!CD16</f>
        <v>15575</v>
      </c>
      <c r="CD16" s="191">
        <f>'[1]May - 2021'!CE16</f>
        <v>6</v>
      </c>
      <c r="CE16" s="89">
        <f>'[1]May - 2021'!CF16</f>
        <v>19861</v>
      </c>
      <c r="CF16" s="191">
        <f>'[1]May - 2021'!CG16</f>
        <v>11</v>
      </c>
      <c r="CG16" s="89">
        <f>'[1]May - 2021'!CH16</f>
        <v>21575</v>
      </c>
      <c r="CH16" s="191">
        <f>'[1]May - 2021'!CI16</f>
        <v>14</v>
      </c>
      <c r="CI16" s="89">
        <f>'[1]May - 2021'!CJ16</f>
        <v>49093</v>
      </c>
      <c r="CJ16" s="191">
        <f>'[1]May - 2021'!CK16</f>
        <v>25</v>
      </c>
      <c r="CK16" s="89">
        <f>'[1]May - 2021'!CL16</f>
        <v>213652.3</v>
      </c>
      <c r="CL16" s="246">
        <f>'[1]May - 2021'!CM16</f>
        <v>105.29999999998836</v>
      </c>
      <c r="CM16" s="89">
        <f>'[1]May - 2021'!CM16</f>
        <v>105.29999999998836</v>
      </c>
      <c r="CN16" s="89">
        <f>'[1]May - 2021'!CO16</f>
        <v>162238</v>
      </c>
      <c r="CO16" s="246">
        <f>'[1]May - 2021'!CP16</f>
        <v>105</v>
      </c>
      <c r="CP16" s="89">
        <f>'[1]May - 2021'!CP16</f>
        <v>105</v>
      </c>
      <c r="CQ16" s="89">
        <f>'[1]May - 2021'!CR16</f>
        <v>308195</v>
      </c>
      <c r="CR16" s="246">
        <f>'[1]May - 2021'!CS16</f>
        <v>0</v>
      </c>
      <c r="CS16" s="89">
        <f>'[1]May - 2021'!CS16</f>
        <v>0</v>
      </c>
      <c r="CT16" s="89">
        <f>'[1]May - 2021'!CU16</f>
        <v>569878</v>
      </c>
      <c r="CU16" s="191">
        <f>'[1]May - 2021'!CV16</f>
        <v>289</v>
      </c>
      <c r="CV16" s="454"/>
      <c r="CW16" s="256">
        <f>'[1]May - 2021'!CX16</f>
        <v>4910</v>
      </c>
      <c r="CX16" s="198">
        <f>'[1]May - 2021'!CY16</f>
        <v>6</v>
      </c>
      <c r="CY16" s="257">
        <f>'[1]May - 2021'!CZ16</f>
        <v>2537</v>
      </c>
      <c r="CZ16" s="198">
        <f>'[1]May - 2021'!DA16</f>
        <v>5</v>
      </c>
      <c r="DA16" s="257">
        <f>'[1]May - 2021'!DB16</f>
        <v>23996</v>
      </c>
      <c r="DB16" s="198">
        <f>'[1]May - 2021'!DC16</f>
        <v>12.799999999999272</v>
      </c>
      <c r="DC16" s="257">
        <f>'[1]May - 2021'!DD16</f>
        <v>24483.4</v>
      </c>
      <c r="DD16" s="198">
        <f>'[1]May - 2021'!DE16</f>
        <v>8.9000000000014552</v>
      </c>
      <c r="DE16" s="257">
        <f>'[1]May - 2021'!DF16</f>
        <v>17109.7</v>
      </c>
      <c r="DF16" s="198">
        <f>'[1]May - 2021'!DG16</f>
        <v>7.7000000000007276</v>
      </c>
      <c r="DG16" s="257">
        <f>'[1]May - 2021'!DH16</f>
        <v>20084.8</v>
      </c>
      <c r="DH16" s="198">
        <f>'[1]May - 2021'!DI16</f>
        <v>9.0999999999985448</v>
      </c>
      <c r="DI16" s="257">
        <f>'[1]May - 2021'!DJ16</f>
        <v>1468</v>
      </c>
      <c r="DJ16" s="198">
        <f>'[1]May - 2021'!DK16</f>
        <v>6</v>
      </c>
      <c r="DK16" s="257">
        <f>'[1]May - 2021'!DL16</f>
        <v>4345</v>
      </c>
      <c r="DL16" s="198">
        <f>'[1]May - 2021'!DM16</f>
        <v>25</v>
      </c>
      <c r="DM16" s="257">
        <f>'[1]May - 2021'!DN16</f>
        <v>879</v>
      </c>
      <c r="DN16" s="198">
        <f>'[1]May - 2021'!DO16</f>
        <v>0</v>
      </c>
      <c r="DO16" s="257">
        <f>'[1]May - 2021'!DP16</f>
        <v>2289</v>
      </c>
      <c r="DP16" s="198">
        <f>'[1]May - 2021'!DQ16</f>
        <v>6</v>
      </c>
      <c r="DQ16" s="257">
        <f>'[1]May - 2021'!DR16</f>
        <v>24600</v>
      </c>
      <c r="DR16" s="206">
        <f>'[1]May - 2021'!DS16</f>
        <v>25</v>
      </c>
      <c r="DS16" s="439"/>
      <c r="DT16" s="210">
        <f>'[1]May - 2021'!DU16</f>
        <v>1098.4000000000001</v>
      </c>
      <c r="DU16" s="221">
        <f>'[1]May - 2021'!DV16</f>
        <v>9.2000000000000455</v>
      </c>
      <c r="DV16" s="91">
        <f>'[1]May - 2021'!DW16</f>
        <v>6505.7</v>
      </c>
      <c r="DW16" s="215">
        <f>'[1]May - 2021'!DX16</f>
        <v>5.3000000000001819</v>
      </c>
      <c r="DX16" s="91">
        <f>'[1]May - 2021'!DY16</f>
        <v>846.8</v>
      </c>
      <c r="DY16" s="215">
        <f>'[1]May - 2021'!DZ16</f>
        <v>5.7999999999999545</v>
      </c>
      <c r="DZ16" s="91">
        <f>'[1]May - 2021'!EA16</f>
        <v>390.3</v>
      </c>
      <c r="EA16" s="215">
        <f>'[1]May - 2021'!EB16</f>
        <v>5.8000000000000114</v>
      </c>
      <c r="EB16" s="91">
        <f>'[1]May - 2021'!EC16</f>
        <v>710446</v>
      </c>
      <c r="EC16" s="215">
        <f>'[1]May - 2021'!ED16</f>
        <v>855</v>
      </c>
      <c r="ED16" s="91">
        <f>'[1]May - 2021'!EG16</f>
        <v>143062.5</v>
      </c>
      <c r="EE16" s="229">
        <f>'[1]May - 2021'!EH16</f>
        <v>178.29999999998836</v>
      </c>
      <c r="EF16" s="378"/>
      <c r="EG16" s="235">
        <f>'[1]May - 2021'!EJ16</f>
        <v>8959800</v>
      </c>
      <c r="EH16" s="230">
        <f>'[1]May - 2021'!EK16</f>
        <v>3300</v>
      </c>
      <c r="EI16" s="90">
        <f>'[1]May - 2021'!EL16</f>
        <v>739790</v>
      </c>
      <c r="EJ16" s="230">
        <f>'[1]May - 2021'!EM16</f>
        <v>400</v>
      </c>
      <c r="EK16" s="90">
        <f>'[1]May - 2021'!EN16</f>
        <v>5762800</v>
      </c>
      <c r="EL16" s="230">
        <f>'[1]May - 2021'!EO16</f>
        <v>3100</v>
      </c>
      <c r="EM16" s="90">
        <f>'[1]May - 2021'!EP16</f>
        <v>2032500</v>
      </c>
      <c r="EN16" s="230">
        <f>'[1]May - 2021'!EQ16</f>
        <v>800</v>
      </c>
      <c r="EO16" s="90">
        <f>'[1]May - 2021'!ER16</f>
        <v>800660</v>
      </c>
      <c r="EP16" s="230">
        <f>'[1]May - 2021'!ES16</f>
        <v>1000</v>
      </c>
      <c r="EQ16" s="90">
        <f>'[1]May - 2021'!ET16</f>
        <v>12634500</v>
      </c>
      <c r="ER16" s="230">
        <f>'[1]May - 2021'!EU16</f>
        <v>5000</v>
      </c>
      <c r="ES16" s="426"/>
      <c r="ET16" s="284">
        <f>'[1]May - 2021'!EW16</f>
        <v>34388</v>
      </c>
      <c r="EU16" s="278">
        <f>'[1]May - 2021'!EX16</f>
        <v>16</v>
      </c>
      <c r="EV16" s="285">
        <f>'[1]May - 2021'!EY16</f>
        <v>29736</v>
      </c>
      <c r="EW16" s="278">
        <f>'[1]May - 2021'!EZ16</f>
        <v>14</v>
      </c>
      <c r="EX16" s="285">
        <f>'[1]May - 2021'!FA16</f>
        <v>737</v>
      </c>
      <c r="EY16" s="278">
        <f>'[1]May - 2021'!FB16</f>
        <v>17</v>
      </c>
      <c r="EZ16" s="285">
        <f>'[1]May - 2021'!FC16</f>
        <v>50608</v>
      </c>
      <c r="FA16" s="278">
        <f>'[1]May - 2021'!FD16</f>
        <v>16</v>
      </c>
      <c r="FB16" s="285">
        <f>'[1]May - 2021'!FE16</f>
        <v>31311</v>
      </c>
      <c r="FC16" s="279">
        <f>'[1]May - 2021'!FF16</f>
        <v>32</v>
      </c>
    </row>
    <row r="17" spans="1:159" ht="30" customHeight="1" x14ac:dyDescent="0.25">
      <c r="A17" s="207">
        <v>43838</v>
      </c>
      <c r="B17" s="209">
        <f>'[1]May - 2021'!B17</f>
        <v>0.77</v>
      </c>
      <c r="C17" s="250">
        <f>'[1]May - 2021'!E17</f>
        <v>763515</v>
      </c>
      <c r="D17" s="170">
        <f>'[1]May - 2021'!F17</f>
        <v>577</v>
      </c>
      <c r="E17" s="168">
        <f>'[1]May - 2021'!G17</f>
        <v>279</v>
      </c>
      <c r="F17" s="168">
        <f>'[1]May - 2021'!H17</f>
        <v>15589</v>
      </c>
      <c r="G17" s="170">
        <f>'[1]May - 2021'!I17</f>
        <v>363</v>
      </c>
      <c r="H17" s="168">
        <f>'[1]May - 2021'!J17</f>
        <v>158</v>
      </c>
      <c r="I17" s="168">
        <f>'[1]May - 2021'!K17</f>
        <v>133333</v>
      </c>
      <c r="J17" s="170">
        <f>'[1]May - 2021'!L17</f>
        <v>252</v>
      </c>
      <c r="K17" s="168">
        <f>'[1]May - 2021'!N17</f>
        <v>746803</v>
      </c>
      <c r="L17" s="170">
        <f>'[1]May - 2021'!O17</f>
        <v>190.40000000002328</v>
      </c>
      <c r="M17" s="168">
        <f>'[1]May - 2021'!Q17</f>
        <v>164275</v>
      </c>
      <c r="N17" s="170">
        <f>'[1]May - 2021'!R17</f>
        <v>0</v>
      </c>
      <c r="O17" s="168">
        <f>'[1]May - 2021'!S17</f>
        <v>5144.17</v>
      </c>
      <c r="P17" s="170">
        <f>'[1]May - 2021'!T17</f>
        <v>178.17000000000007</v>
      </c>
      <c r="Q17" s="168">
        <f>'[1]May - 2021'!U17</f>
        <v>129</v>
      </c>
      <c r="R17" s="168">
        <f>'[1]May - 2021'!V17</f>
        <v>2319</v>
      </c>
      <c r="S17" s="208">
        <f>'[1]May - 2021'!W17</f>
        <v>32</v>
      </c>
      <c r="T17" s="521"/>
      <c r="U17" s="269">
        <f>'[1]May - 2021'!AC17</f>
        <v>6532913.5200000005</v>
      </c>
      <c r="V17" s="291">
        <f>'[1]May - 2021'!AD17</f>
        <v>1802.640000000596</v>
      </c>
      <c r="W17" s="92">
        <f>'[1]May - 2021'!AD17</f>
        <v>1802.640000000596</v>
      </c>
      <c r="X17" s="290">
        <f>'[1]May - 2021'!AF17</f>
        <v>12758647.439999999</v>
      </c>
      <c r="Y17" s="291">
        <f>'[1]May - 2021'!AG17</f>
        <v>4677.1200000010431</v>
      </c>
      <c r="Z17" s="92">
        <f>'[1]May - 2021'!AG17</f>
        <v>4677.1200000010431</v>
      </c>
      <c r="AA17" s="290">
        <f>'[1]May - 2021'!AI17</f>
        <v>12085531.92</v>
      </c>
      <c r="AB17" s="291">
        <f>'[1]May - 2021'!AJ17</f>
        <v>7015.679999999702</v>
      </c>
      <c r="AC17" s="92">
        <f>'[1]May - 2021'!AJ17</f>
        <v>7015.679999999702</v>
      </c>
      <c r="AD17" s="290">
        <f>'[1]May - 2021'!AL17</f>
        <v>15164002.559999999</v>
      </c>
      <c r="AE17" s="291">
        <f>'[1]May - 2021'!AM17</f>
        <v>9549.1199999991804</v>
      </c>
      <c r="AF17" s="92">
        <f>'[1]May - 2021'!AM17</f>
        <v>9549.1199999991804</v>
      </c>
      <c r="AG17" s="290">
        <f>'[1]May - 2021'!AO17</f>
        <v>15527843.52</v>
      </c>
      <c r="AH17" s="291">
        <f>'[1]May - 2021'!AP17</f>
        <v>1169.2799999993294</v>
      </c>
      <c r="AI17" s="92">
        <f>'[1]May - 2021'!AP17</f>
        <v>1169.2799999993294</v>
      </c>
      <c r="AJ17" s="290">
        <f>'[1]May - 2021'!AR17</f>
        <v>14305020.24</v>
      </c>
      <c r="AK17" s="291">
        <f>'[1]May - 2021'!AS17</f>
        <v>5115.5999999996275</v>
      </c>
      <c r="AL17" s="92">
        <f>'[1]May - 2021'!AS17</f>
        <v>5115.5999999996275</v>
      </c>
      <c r="AM17" s="290">
        <f>'[1]May - 2021'!AU17</f>
        <v>12219463.199999999</v>
      </c>
      <c r="AN17" s="291">
        <f>'[1]May - 2021'!AV17</f>
        <v>4384.7999999988824</v>
      </c>
      <c r="AO17" s="92">
        <f>'[1]May - 2021'!AV17</f>
        <v>4384.7999999988824</v>
      </c>
      <c r="AP17" s="290">
        <f>'[1]May - 2021'!AX17</f>
        <v>11796768.48</v>
      </c>
      <c r="AQ17" s="291">
        <f>'[1]May - 2021'!AY17</f>
        <v>3848.8800000008196</v>
      </c>
      <c r="AR17" s="92">
        <f>'[1]May - 2021'!AY17</f>
        <v>3848.8800000008196</v>
      </c>
      <c r="AS17" s="290">
        <f>'[1]May - 2021'!BA17</f>
        <v>9422642.8800000008</v>
      </c>
      <c r="AT17" s="291">
        <f>'[1]May - 2021'!BB17</f>
        <v>2777.0400000009686</v>
      </c>
      <c r="AU17" s="92">
        <f>'[1]May - 2021'!BB17</f>
        <v>2777.0400000009686</v>
      </c>
      <c r="AV17" s="290">
        <f>'[1]May - 2021'!BD17</f>
        <v>14366115.119999999</v>
      </c>
      <c r="AW17" s="252">
        <f>'[1]May - 2021'!BE17</f>
        <v>5505.359999999404</v>
      </c>
      <c r="AX17" s="253">
        <f>'[1]May - 2021'!BE17</f>
        <v>5505.359999999404</v>
      </c>
      <c r="AY17" s="487"/>
      <c r="AZ17" s="272">
        <f>'[1]May - 2021'!BK17</f>
        <v>60310300</v>
      </c>
      <c r="BA17" s="179">
        <f>'[1]May - 2021'!BL17</f>
        <v>40600</v>
      </c>
      <c r="BB17" s="93">
        <f>'[1]May - 2021'!BL17</f>
        <v>40600</v>
      </c>
      <c r="BC17" s="272">
        <f>'[1]May - 2021'!BN17</f>
        <v>63131700</v>
      </c>
      <c r="BD17" s="245">
        <f>'[1]May - 2021'!BO17</f>
        <v>48300</v>
      </c>
      <c r="BE17" s="93">
        <f>'[1]May - 2021'!BO17</f>
        <v>48300</v>
      </c>
      <c r="BF17" s="272">
        <f>'[1]May - 2021'!BQ17</f>
        <v>57971600</v>
      </c>
      <c r="BG17" s="245">
        <f>'[1]May - 2021'!BR17</f>
        <v>0</v>
      </c>
      <c r="BH17" s="93">
        <f>'[1]May - 2021'!BR17</f>
        <v>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3">
        <f>'[1]May - 2021'!BT17</f>
        <v>6289310</v>
      </c>
      <c r="BT17" s="185">
        <f>'[1]May - 2021'!BU17</f>
        <v>5910</v>
      </c>
      <c r="BU17" s="394"/>
      <c r="BV17" s="88">
        <f>'[1]May - 2021'!BW17</f>
        <v>0</v>
      </c>
      <c r="BW17" s="241">
        <f>'[1]May - 2021'!BX17</f>
        <v>0.8</v>
      </c>
      <c r="BX17" s="88">
        <f>'[1]May - 2021'!BX17</f>
        <v>0.8</v>
      </c>
      <c r="BY17" s="89">
        <f>'[1]May - 2021'!BZ17</f>
        <v>53247</v>
      </c>
      <c r="BZ17" s="191">
        <f>'[1]May - 2021'!CA17</f>
        <v>13</v>
      </c>
      <c r="CA17" s="89">
        <f>'[1]May - 2021'!CB17</f>
        <v>44938</v>
      </c>
      <c r="CB17" s="191">
        <f>'[1]May - 2021'!CC17</f>
        <v>13</v>
      </c>
      <c r="CC17" s="89">
        <f>'[1]May - 2021'!CD17</f>
        <v>15581</v>
      </c>
      <c r="CD17" s="191">
        <f>'[1]May - 2021'!CE17</f>
        <v>6</v>
      </c>
      <c r="CE17" s="89">
        <f>'[1]May - 2021'!CF17</f>
        <v>19870</v>
      </c>
      <c r="CF17" s="191">
        <f>'[1]May - 2021'!CG17</f>
        <v>9</v>
      </c>
      <c r="CG17" s="89">
        <f>'[1]May - 2021'!CH17</f>
        <v>21588</v>
      </c>
      <c r="CH17" s="191">
        <f>'[1]May - 2021'!CI17</f>
        <v>13</v>
      </c>
      <c r="CI17" s="89">
        <f>'[1]May - 2021'!CJ17</f>
        <v>49117</v>
      </c>
      <c r="CJ17" s="191">
        <f>'[1]May - 2021'!CK17</f>
        <v>24</v>
      </c>
      <c r="CK17" s="89">
        <f>'[1]May - 2021'!CL17</f>
        <v>213750</v>
      </c>
      <c r="CL17" s="246">
        <f>'[1]May - 2021'!CM17</f>
        <v>97.700000000011642</v>
      </c>
      <c r="CM17" s="89">
        <f>'[1]May - 2021'!CM17</f>
        <v>97.700000000011642</v>
      </c>
      <c r="CN17" s="89">
        <f>'[1]May - 2021'!CO17</f>
        <v>162329</v>
      </c>
      <c r="CO17" s="246">
        <f>'[1]May - 2021'!CP17</f>
        <v>91</v>
      </c>
      <c r="CP17" s="89">
        <f>'[1]May - 2021'!CP17</f>
        <v>91</v>
      </c>
      <c r="CQ17" s="89">
        <f>'[1]May - 2021'!CR17</f>
        <v>308195</v>
      </c>
      <c r="CR17" s="246">
        <f>'[1]May - 2021'!CS17</f>
        <v>0</v>
      </c>
      <c r="CS17" s="89">
        <f>'[1]May - 2021'!CS17</f>
        <v>0</v>
      </c>
      <c r="CT17" s="89">
        <f>'[1]May - 2021'!CU17</f>
        <v>570100</v>
      </c>
      <c r="CU17" s="191">
        <f>'[1]May - 2021'!CV17</f>
        <v>222</v>
      </c>
      <c r="CV17" s="454"/>
      <c r="CW17" s="256">
        <f>'[1]May - 2021'!CX17</f>
        <v>4914</v>
      </c>
      <c r="CX17" s="198">
        <f>'[1]May - 2021'!CY17</f>
        <v>4</v>
      </c>
      <c r="CY17" s="257">
        <f>'[1]May - 2021'!CZ17</f>
        <v>2540</v>
      </c>
      <c r="CZ17" s="198">
        <f>'[1]May - 2021'!DA17</f>
        <v>3</v>
      </c>
      <c r="DA17" s="257">
        <f>'[1]May - 2021'!DB17</f>
        <v>24008.6</v>
      </c>
      <c r="DB17" s="198">
        <f>'[1]May - 2021'!DC17</f>
        <v>12.599999999998545</v>
      </c>
      <c r="DC17" s="257">
        <f>'[1]May - 2021'!DD17</f>
        <v>24490.400000000001</v>
      </c>
      <c r="DD17" s="198">
        <f>'[1]May - 2021'!DE17</f>
        <v>7</v>
      </c>
      <c r="DE17" s="257">
        <f>'[1]May - 2021'!DF17</f>
        <v>17116</v>
      </c>
      <c r="DF17" s="198">
        <f>'[1]May - 2021'!DG17</f>
        <v>6.2999999999992724</v>
      </c>
      <c r="DG17" s="257">
        <f>'[1]May - 2021'!DH17</f>
        <v>20090.400000000001</v>
      </c>
      <c r="DH17" s="198">
        <f>'[1]May - 2021'!DI17</f>
        <v>5.6000000000021828</v>
      </c>
      <c r="DI17" s="257">
        <f>'[1]May - 2021'!DJ17</f>
        <v>1473</v>
      </c>
      <c r="DJ17" s="198">
        <f>'[1]May - 2021'!DK17</f>
        <v>5</v>
      </c>
      <c r="DK17" s="257">
        <f>'[1]May - 2021'!DL17</f>
        <v>4359</v>
      </c>
      <c r="DL17" s="198">
        <f>'[1]May - 2021'!DM17</f>
        <v>14</v>
      </c>
      <c r="DM17" s="257">
        <f>'[1]May - 2021'!DN17</f>
        <v>879</v>
      </c>
      <c r="DN17" s="198">
        <f>'[1]May - 2021'!DO17</f>
        <v>0</v>
      </c>
      <c r="DO17" s="257">
        <f>'[1]May - 2021'!DP17</f>
        <v>2294</v>
      </c>
      <c r="DP17" s="198">
        <f>'[1]May - 2021'!DQ17</f>
        <v>5</v>
      </c>
      <c r="DQ17" s="257">
        <f>'[1]May - 2021'!DR17</f>
        <v>24609</v>
      </c>
      <c r="DR17" s="206">
        <f>'[1]May - 2021'!DS17</f>
        <v>9</v>
      </c>
      <c r="DS17" s="439"/>
      <c r="DT17" s="210">
        <f>'[1]May - 2021'!DU17</f>
        <v>1106</v>
      </c>
      <c r="DU17" s="221">
        <f>'[1]May - 2021'!DV17</f>
        <v>7.5999999999999091</v>
      </c>
      <c r="DV17" s="91">
        <f>'[1]May - 2021'!DW17</f>
        <v>6510.3</v>
      </c>
      <c r="DW17" s="215">
        <f>'[1]May - 2021'!DX17</f>
        <v>4.6000000000003638</v>
      </c>
      <c r="DX17" s="91">
        <f>'[1]May - 2021'!DY17</f>
        <v>851.8</v>
      </c>
      <c r="DY17" s="215">
        <f>'[1]May - 2021'!DZ17</f>
        <v>5</v>
      </c>
      <c r="DZ17" s="91">
        <f>'[1]May - 2021'!EA17</f>
        <v>394.6</v>
      </c>
      <c r="EA17" s="215">
        <f>'[1]May - 2021'!EB17</f>
        <v>4.3000000000000114</v>
      </c>
      <c r="EB17" s="91">
        <f>'[1]May - 2021'!EC17</f>
        <v>711039</v>
      </c>
      <c r="EC17" s="215">
        <f>'[1]May - 2021'!ED17</f>
        <v>593</v>
      </c>
      <c r="ED17" s="91">
        <f>'[1]May - 2021'!EG17</f>
        <v>143207.6</v>
      </c>
      <c r="EE17" s="229">
        <f>'[1]May - 2021'!EH17</f>
        <v>145.10000000000582</v>
      </c>
      <c r="EF17" s="378"/>
      <c r="EG17" s="235">
        <f>'[1]May - 2021'!EJ17</f>
        <v>8965200</v>
      </c>
      <c r="EH17" s="230">
        <f>'[1]May - 2021'!EK17</f>
        <v>5400</v>
      </c>
      <c r="EI17" s="90">
        <f>'[1]May - 2021'!EL17</f>
        <v>740090</v>
      </c>
      <c r="EJ17" s="230">
        <f>'[1]May - 2021'!EM17</f>
        <v>300</v>
      </c>
      <c r="EK17" s="90">
        <f>'[1]May - 2021'!EN17</f>
        <v>5764800</v>
      </c>
      <c r="EL17" s="230">
        <f>'[1]May - 2021'!EO17</f>
        <v>2000</v>
      </c>
      <c r="EM17" s="90">
        <f>'[1]May - 2021'!EP17</f>
        <v>2033300</v>
      </c>
      <c r="EN17" s="230">
        <f>'[1]May - 2021'!EQ17</f>
        <v>800</v>
      </c>
      <c r="EO17" s="90">
        <f>'[1]May - 2021'!ER17</f>
        <v>801630</v>
      </c>
      <c r="EP17" s="230">
        <f>'[1]May - 2021'!ES17</f>
        <v>970</v>
      </c>
      <c r="EQ17" s="90">
        <f>'[1]May - 2021'!ET17</f>
        <v>12642200</v>
      </c>
      <c r="ER17" s="230">
        <f>'[1]May - 2021'!EU17</f>
        <v>7700</v>
      </c>
      <c r="ES17" s="426"/>
      <c r="ET17" s="284">
        <f>'[1]May - 2021'!EW17</f>
        <v>34400</v>
      </c>
      <c r="EU17" s="278">
        <f>'[1]May - 2021'!EX17</f>
        <v>12</v>
      </c>
      <c r="EV17" s="285">
        <f>'[1]May - 2021'!EY17</f>
        <v>29744</v>
      </c>
      <c r="EW17" s="278">
        <f>'[1]May - 2021'!EZ17</f>
        <v>8</v>
      </c>
      <c r="EX17" s="285">
        <f>'[1]May - 2021'!FA17</f>
        <v>750</v>
      </c>
      <c r="EY17" s="278">
        <f>'[1]May - 2021'!FB17</f>
        <v>13</v>
      </c>
      <c r="EZ17" s="285">
        <f>'[1]May - 2021'!FC17</f>
        <v>50621</v>
      </c>
      <c r="FA17" s="278">
        <f>'[1]May - 2021'!FD17</f>
        <v>13</v>
      </c>
      <c r="FB17" s="285">
        <f>'[1]May - 2021'!FE17</f>
        <v>31336</v>
      </c>
      <c r="FC17" s="279">
        <f>'[1]May - 2021'!FF17</f>
        <v>25</v>
      </c>
    </row>
    <row r="18" spans="1:159" ht="30" customHeight="1" x14ac:dyDescent="0.25">
      <c r="A18" s="207">
        <v>43839</v>
      </c>
      <c r="B18" s="209">
        <f>'[1]May - 2021'!B18</f>
        <v>0.64</v>
      </c>
      <c r="C18" s="250">
        <f>'[1]May - 2021'!E18</f>
        <v>764108</v>
      </c>
      <c r="D18" s="170">
        <f>'[1]May - 2021'!F18</f>
        <v>593</v>
      </c>
      <c r="E18" s="168">
        <f>'[1]May - 2021'!G18</f>
        <v>323</v>
      </c>
      <c r="F18" s="168">
        <f>'[1]May - 2021'!H18</f>
        <v>15957</v>
      </c>
      <c r="G18" s="170">
        <f>'[1]May - 2021'!I18</f>
        <v>368</v>
      </c>
      <c r="H18" s="168">
        <f>'[1]May - 2021'!J18</f>
        <v>164</v>
      </c>
      <c r="I18" s="168">
        <f>'[1]May - 2021'!K18</f>
        <v>133755</v>
      </c>
      <c r="J18" s="170">
        <f>'[1]May - 2021'!L18</f>
        <v>422</v>
      </c>
      <c r="K18" s="168">
        <f>'[1]May - 2021'!N18</f>
        <v>747087</v>
      </c>
      <c r="L18" s="170">
        <f>'[1]May - 2021'!O18</f>
        <v>284</v>
      </c>
      <c r="M18" s="168">
        <f>'[1]May - 2021'!Q18</f>
        <v>164275</v>
      </c>
      <c r="N18" s="170">
        <f>'[1]May - 2021'!R18</f>
        <v>0</v>
      </c>
      <c r="O18" s="168">
        <f>'[1]May - 2021'!S18</f>
        <v>5312.14</v>
      </c>
      <c r="P18" s="170">
        <f>'[1]May - 2021'!T18</f>
        <v>167.97000000000025</v>
      </c>
      <c r="Q18" s="168">
        <f>'[1]May - 2021'!U18</f>
        <v>129</v>
      </c>
      <c r="R18" s="168">
        <f>'[1]May - 2021'!V18</f>
        <v>2348</v>
      </c>
      <c r="S18" s="208">
        <f>'[1]May - 2021'!W18</f>
        <v>29</v>
      </c>
      <c r="T18" s="521"/>
      <c r="U18" s="269">
        <f>'[1]May - 2021'!AC18</f>
        <v>6534813.5999999996</v>
      </c>
      <c r="V18" s="291">
        <f>'[1]May - 2021'!AD18</f>
        <v>1900.0799999991432</v>
      </c>
      <c r="W18" s="92">
        <f>'[1]May - 2021'!AD18</f>
        <v>1900.0799999991432</v>
      </c>
      <c r="X18" s="290">
        <f>'[1]May - 2021'!AF18</f>
        <v>12763275.84</v>
      </c>
      <c r="Y18" s="291">
        <f>'[1]May - 2021'!AG18</f>
        <v>4628.4000000003725</v>
      </c>
      <c r="Z18" s="92">
        <f>'[1]May - 2021'!AG18</f>
        <v>4628.4000000003725</v>
      </c>
      <c r="AA18" s="290">
        <f>'[1]May - 2021'!AI18</f>
        <v>12091865.52</v>
      </c>
      <c r="AB18" s="291">
        <f>'[1]May - 2021'!AJ18</f>
        <v>6333.5999999996275</v>
      </c>
      <c r="AC18" s="92">
        <f>'[1]May - 2021'!AJ18</f>
        <v>6333.5999999996275</v>
      </c>
      <c r="AD18" s="290">
        <f>'[1]May - 2021'!AL18</f>
        <v>15174185.039999999</v>
      </c>
      <c r="AE18" s="291">
        <f>'[1]May - 2021'!AM18</f>
        <v>10182.480000000447</v>
      </c>
      <c r="AF18" s="92">
        <f>'[1]May - 2021'!AM18</f>
        <v>10182.480000000447</v>
      </c>
      <c r="AG18" s="290">
        <f>'[1]May - 2021'!AO18</f>
        <v>15529012.799999999</v>
      </c>
      <c r="AH18" s="291">
        <f>'[1]May - 2021'!AP18</f>
        <v>1169.2799999993294</v>
      </c>
      <c r="AI18" s="92">
        <f>'[1]May - 2021'!AP18</f>
        <v>1169.2799999993294</v>
      </c>
      <c r="AJ18" s="290">
        <f>'[1]May - 2021'!AR18</f>
        <v>14310379.439999999</v>
      </c>
      <c r="AK18" s="291">
        <f>'[1]May - 2021'!AS18</f>
        <v>5359.1999999992549</v>
      </c>
      <c r="AL18" s="92">
        <f>'[1]May - 2021'!AS18</f>
        <v>5359.1999999992549</v>
      </c>
      <c r="AM18" s="290">
        <f>'[1]May - 2021'!AU18</f>
        <v>12223945.439999999</v>
      </c>
      <c r="AN18" s="291">
        <f>'[1]May - 2021'!AV18</f>
        <v>4482.2400000002235</v>
      </c>
      <c r="AO18" s="92">
        <f>'[1]May - 2021'!AV18</f>
        <v>4482.2400000002235</v>
      </c>
      <c r="AP18" s="290">
        <f>'[1]May - 2021'!AX18</f>
        <v>11800812.24</v>
      </c>
      <c r="AQ18" s="291">
        <f>'[1]May - 2021'!AY18</f>
        <v>4043.7599999997765</v>
      </c>
      <c r="AR18" s="92">
        <f>'[1]May - 2021'!AY18</f>
        <v>4043.7599999997765</v>
      </c>
      <c r="AS18" s="290">
        <f>'[1]May - 2021'!BA18</f>
        <v>9425712.2400000002</v>
      </c>
      <c r="AT18" s="291">
        <f>'[1]May - 2021'!BB18</f>
        <v>3069.359999999404</v>
      </c>
      <c r="AU18" s="92">
        <f>'[1]May - 2021'!BB18</f>
        <v>3069.359999999404</v>
      </c>
      <c r="AV18" s="290">
        <f>'[1]May - 2021'!BD18</f>
        <v>14371571.76</v>
      </c>
      <c r="AW18" s="252">
        <f>'[1]May - 2021'!BE18</f>
        <v>5456.640000000596</v>
      </c>
      <c r="AX18" s="253">
        <f>'[1]May - 2021'!BE18</f>
        <v>5456.640000000596</v>
      </c>
      <c r="AY18" s="487"/>
      <c r="AZ18" s="272">
        <f>'[1]May - 2021'!BK18</f>
        <v>60341300</v>
      </c>
      <c r="BA18" s="179">
        <f>'[1]May - 2021'!BL18</f>
        <v>31000</v>
      </c>
      <c r="BB18" s="93">
        <f>'[1]May - 2021'!BL18</f>
        <v>31000</v>
      </c>
      <c r="BC18" s="272">
        <f>'[1]May - 2021'!BN18</f>
        <v>63184500</v>
      </c>
      <c r="BD18" s="245">
        <f>'[1]May - 2021'!BO18</f>
        <v>52800</v>
      </c>
      <c r="BE18" s="93">
        <f>'[1]May - 2021'!BO18</f>
        <v>52800</v>
      </c>
      <c r="BF18" s="272">
        <f>'[1]May - 2021'!BQ18</f>
        <v>57971600</v>
      </c>
      <c r="BG18" s="245">
        <f>'[1]May - 2021'!BR18</f>
        <v>0</v>
      </c>
      <c r="BH18" s="93">
        <f>'[1]May - 2021'!BR18</f>
        <v>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3">
        <f>'[1]May - 2021'!BT18</f>
        <v>6295830</v>
      </c>
      <c r="BT18" s="185">
        <f>'[1]May - 2021'!BU18</f>
        <v>6520</v>
      </c>
      <c r="BU18" s="394"/>
      <c r="BV18" s="88">
        <f>'[1]May - 2021'!BW18</f>
        <v>0.8</v>
      </c>
      <c r="BW18" s="241">
        <f>'[1]May - 2021'!BX18</f>
        <v>-0.8</v>
      </c>
      <c r="BX18" s="88">
        <f>'[1]May - 2021'!BX18</f>
        <v>-0.8</v>
      </c>
      <c r="BY18" s="89">
        <f>'[1]May - 2021'!BZ18</f>
        <v>53265</v>
      </c>
      <c r="BZ18" s="191">
        <f>'[1]May - 2021'!CA18</f>
        <v>18</v>
      </c>
      <c r="CA18" s="89">
        <f>'[1]May - 2021'!CB18</f>
        <v>44953</v>
      </c>
      <c r="CB18" s="191">
        <f>'[1]May - 2021'!CC18</f>
        <v>15</v>
      </c>
      <c r="CC18" s="89">
        <f>'[1]May - 2021'!CD18</f>
        <v>15588</v>
      </c>
      <c r="CD18" s="191">
        <f>'[1]May - 2021'!CE18</f>
        <v>7</v>
      </c>
      <c r="CE18" s="89">
        <f>'[1]May - 2021'!CF18</f>
        <v>19881</v>
      </c>
      <c r="CF18" s="191">
        <f>'[1]May - 2021'!CG18</f>
        <v>11</v>
      </c>
      <c r="CG18" s="89">
        <f>'[1]May - 2021'!CH18</f>
        <v>21601</v>
      </c>
      <c r="CH18" s="191">
        <f>'[1]May - 2021'!CI18</f>
        <v>13</v>
      </c>
      <c r="CI18" s="89">
        <f>'[1]May - 2021'!CJ18</f>
        <v>49145</v>
      </c>
      <c r="CJ18" s="191">
        <f>'[1]May - 2021'!CK18</f>
        <v>28</v>
      </c>
      <c r="CK18" s="89">
        <f>'[1]May - 2021'!CL18</f>
        <v>213854</v>
      </c>
      <c r="CL18" s="246">
        <f>'[1]May - 2021'!CM18</f>
        <v>104</v>
      </c>
      <c r="CM18" s="89">
        <f>'[1]May - 2021'!CM18</f>
        <v>104</v>
      </c>
      <c r="CN18" s="89">
        <f>'[1]May - 2021'!CO18</f>
        <v>162425</v>
      </c>
      <c r="CO18" s="246">
        <f>'[1]May - 2021'!CP18</f>
        <v>96</v>
      </c>
      <c r="CP18" s="89">
        <f>'[1]May - 2021'!CP18</f>
        <v>96</v>
      </c>
      <c r="CQ18" s="89">
        <f>'[1]May - 2021'!CR18</f>
        <v>308195</v>
      </c>
      <c r="CR18" s="246">
        <f>'[1]May - 2021'!CS18</f>
        <v>0</v>
      </c>
      <c r="CS18" s="89">
        <f>'[1]May - 2021'!CS18</f>
        <v>0</v>
      </c>
      <c r="CT18" s="89">
        <f>'[1]May - 2021'!CU18</f>
        <v>570354</v>
      </c>
      <c r="CU18" s="191">
        <f>'[1]May - 2021'!CV18</f>
        <v>254</v>
      </c>
      <c r="CV18" s="454"/>
      <c r="CW18" s="256">
        <f>'[1]May - 2021'!CX18</f>
        <v>4918</v>
      </c>
      <c r="CX18" s="198">
        <f>'[1]May - 2021'!CY18</f>
        <v>4</v>
      </c>
      <c r="CY18" s="257">
        <f>'[1]May - 2021'!CZ18</f>
        <v>2542</v>
      </c>
      <c r="CZ18" s="198">
        <f>'[1]May - 2021'!DA18</f>
        <v>2</v>
      </c>
      <c r="DA18" s="257">
        <f>'[1]May - 2021'!DB18</f>
        <v>24021</v>
      </c>
      <c r="DB18" s="198">
        <f>'[1]May - 2021'!DC18</f>
        <v>12.400000000001455</v>
      </c>
      <c r="DC18" s="257">
        <f>'[1]May - 2021'!DD18</f>
        <v>24499.4</v>
      </c>
      <c r="DD18" s="198">
        <f>'[1]May - 2021'!DE18</f>
        <v>9</v>
      </c>
      <c r="DE18" s="257">
        <f>'[1]May - 2021'!DF18</f>
        <v>17123.7</v>
      </c>
      <c r="DF18" s="198">
        <f>'[1]May - 2021'!DG18</f>
        <v>7.7000000000007276</v>
      </c>
      <c r="DG18" s="257">
        <f>'[1]May - 2021'!DH18</f>
        <v>20096.7</v>
      </c>
      <c r="DH18" s="198">
        <f>'[1]May - 2021'!DI18</f>
        <v>6.2999999999992724</v>
      </c>
      <c r="DI18" s="257">
        <f>'[1]May - 2021'!DJ18</f>
        <v>1478</v>
      </c>
      <c r="DJ18" s="198">
        <f>'[1]May - 2021'!DK18</f>
        <v>5</v>
      </c>
      <c r="DK18" s="257">
        <f>'[1]May - 2021'!DL18</f>
        <v>4375</v>
      </c>
      <c r="DL18" s="198">
        <f>'[1]May - 2021'!DM18</f>
        <v>16</v>
      </c>
      <c r="DM18" s="257">
        <f>'[1]May - 2021'!DN18</f>
        <v>879</v>
      </c>
      <c r="DN18" s="198">
        <f>'[1]May - 2021'!DO18</f>
        <v>0</v>
      </c>
      <c r="DO18" s="257">
        <f>'[1]May - 2021'!DP18</f>
        <v>2300</v>
      </c>
      <c r="DP18" s="198">
        <f>'[1]May - 2021'!DQ18</f>
        <v>6</v>
      </c>
      <c r="DQ18" s="257">
        <f>'[1]May - 2021'!DR18</f>
        <v>24636</v>
      </c>
      <c r="DR18" s="206">
        <f>'[1]May - 2021'!DS18</f>
        <v>27</v>
      </c>
      <c r="DS18" s="439"/>
      <c r="DT18" s="210">
        <f>'[1]May - 2021'!DU18</f>
        <v>1115</v>
      </c>
      <c r="DU18" s="221">
        <f>'[1]May - 2021'!DV18</f>
        <v>9</v>
      </c>
      <c r="DV18" s="91">
        <f>'[1]May - 2021'!DW18</f>
        <v>6515.2</v>
      </c>
      <c r="DW18" s="215">
        <f>'[1]May - 2021'!DX18</f>
        <v>4.8999999999996362</v>
      </c>
      <c r="DX18" s="91">
        <f>'[1]May - 2021'!DY18</f>
        <v>858.2</v>
      </c>
      <c r="DY18" s="215">
        <f>'[1]May - 2021'!DZ18</f>
        <v>6.4000000000000909</v>
      </c>
      <c r="DZ18" s="91">
        <f>'[1]May - 2021'!EA18</f>
        <v>399.6</v>
      </c>
      <c r="EA18" s="215">
        <f>'[1]May - 2021'!EB18</f>
        <v>5</v>
      </c>
      <c r="EB18" s="91">
        <f>'[1]May - 2021'!EC18</f>
        <v>711817</v>
      </c>
      <c r="EC18" s="215">
        <f>'[1]May - 2021'!ED18</f>
        <v>778</v>
      </c>
      <c r="ED18" s="91">
        <f>'[1]May - 2021'!EG18</f>
        <v>143385.5</v>
      </c>
      <c r="EE18" s="229">
        <f>'[1]May - 2021'!EH18</f>
        <v>177.89999999999418</v>
      </c>
      <c r="EF18" s="378"/>
      <c r="EG18" s="235">
        <f>'[1]May - 2021'!EJ18</f>
        <v>8971600</v>
      </c>
      <c r="EH18" s="230">
        <f>'[1]May - 2021'!EK18</f>
        <v>6400</v>
      </c>
      <c r="EI18" s="90">
        <f>'[1]May - 2021'!EL18</f>
        <v>740500</v>
      </c>
      <c r="EJ18" s="230">
        <f>'[1]May - 2021'!EM18</f>
        <v>410</v>
      </c>
      <c r="EK18" s="90">
        <f>'[1]May - 2021'!EN18</f>
        <v>5767300</v>
      </c>
      <c r="EL18" s="230">
        <f>'[1]May - 2021'!EO18</f>
        <v>2500</v>
      </c>
      <c r="EM18" s="90">
        <f>'[1]May - 2021'!EP18</f>
        <v>2034100</v>
      </c>
      <c r="EN18" s="230">
        <f>'[1]May - 2021'!EQ18</f>
        <v>800</v>
      </c>
      <c r="EO18" s="90">
        <f>'[1]May - 2021'!ER18</f>
        <v>802500</v>
      </c>
      <c r="EP18" s="230">
        <f>'[1]May - 2021'!ES18</f>
        <v>870</v>
      </c>
      <c r="EQ18" s="90">
        <f>'[1]May - 2021'!ET18</f>
        <v>12651000</v>
      </c>
      <c r="ER18" s="230">
        <f>'[1]May - 2021'!EU18</f>
        <v>8800</v>
      </c>
      <c r="ES18" s="426"/>
      <c r="ET18" s="284">
        <f>'[1]May - 2021'!EW18</f>
        <v>34416</v>
      </c>
      <c r="EU18" s="278">
        <f>'[1]May - 2021'!EX18</f>
        <v>16</v>
      </c>
      <c r="EV18" s="285">
        <f>'[1]May - 2021'!EY18</f>
        <v>29757</v>
      </c>
      <c r="EW18" s="278">
        <f>'[1]May - 2021'!EZ18</f>
        <v>13</v>
      </c>
      <c r="EX18" s="285">
        <f>'[1]May - 2021'!FA18</f>
        <v>761</v>
      </c>
      <c r="EY18" s="278">
        <f>'[1]May - 2021'!FB18</f>
        <v>11</v>
      </c>
      <c r="EZ18" s="285">
        <f>'[1]May - 2021'!FC18</f>
        <v>50634</v>
      </c>
      <c r="FA18" s="278">
        <f>'[1]May - 2021'!FD18</f>
        <v>13</v>
      </c>
      <c r="FB18" s="285">
        <f>'[1]May - 2021'!FE18</f>
        <v>31369</v>
      </c>
      <c r="FC18" s="279">
        <f>'[1]May - 2021'!FF18</f>
        <v>33</v>
      </c>
    </row>
    <row r="19" spans="1:159" ht="30" customHeight="1" x14ac:dyDescent="0.25">
      <c r="A19" s="207">
        <v>43840</v>
      </c>
      <c r="B19" s="209">
        <f>'[1]May - 2021'!B19</f>
        <v>0.57999999999999996</v>
      </c>
      <c r="C19" s="250">
        <f>'[1]May - 2021'!E19</f>
        <v>764637</v>
      </c>
      <c r="D19" s="170">
        <f>'[1]May - 2021'!F19</f>
        <v>529</v>
      </c>
      <c r="E19" s="168">
        <f>'[1]May - 2021'!G19</f>
        <v>319</v>
      </c>
      <c r="F19" s="168">
        <f>'[1]May - 2021'!H19</f>
        <v>16274</v>
      </c>
      <c r="G19" s="170">
        <f>'[1]May - 2021'!I19</f>
        <v>317</v>
      </c>
      <c r="H19" s="168">
        <f>'[1]May - 2021'!J19</f>
        <v>179</v>
      </c>
      <c r="I19" s="168">
        <f>'[1]May - 2021'!K19</f>
        <v>133986</v>
      </c>
      <c r="J19" s="170">
        <f>'[1]May - 2021'!L19</f>
        <v>231</v>
      </c>
      <c r="K19" s="168">
        <f>'[1]May - 2021'!N19</f>
        <v>747395</v>
      </c>
      <c r="L19" s="170">
        <f>'[1]May - 2021'!O19</f>
        <v>308</v>
      </c>
      <c r="M19" s="168">
        <f>'[1]May - 2021'!Q19</f>
        <v>164275</v>
      </c>
      <c r="N19" s="170">
        <f>'[1]May - 2021'!R19</f>
        <v>0</v>
      </c>
      <c r="O19" s="168">
        <f>'[1]May - 2021'!S19</f>
        <v>5466.23</v>
      </c>
      <c r="P19" s="170">
        <f>'[1]May - 2021'!T19</f>
        <v>154.08999999999924</v>
      </c>
      <c r="Q19" s="168">
        <f>'[1]May - 2021'!U19</f>
        <v>145</v>
      </c>
      <c r="R19" s="168">
        <f>'[1]May - 2021'!V19</f>
        <v>2373</v>
      </c>
      <c r="S19" s="208">
        <f>'[1]May - 2021'!W19</f>
        <v>25</v>
      </c>
      <c r="T19" s="521"/>
      <c r="U19" s="169">
        <f>'[1]May - 2021'!AC19</f>
        <v>6537054.7199999997</v>
      </c>
      <c r="V19" s="291">
        <f>'[1]May - 2021'!AD19</f>
        <v>2241.1200000001118</v>
      </c>
      <c r="W19" s="92">
        <f>'[1]May - 2021'!AD19</f>
        <v>2241.1200000001118</v>
      </c>
      <c r="X19" s="290">
        <f>'[1]May - 2021'!AF19</f>
        <v>12769317.119999999</v>
      </c>
      <c r="Y19" s="291">
        <f>'[1]May - 2021'!AG19</f>
        <v>6041.2799999993294</v>
      </c>
      <c r="Z19" s="92">
        <f>'[1]May - 2021'!AG19</f>
        <v>6041.2799999993294</v>
      </c>
      <c r="AA19" s="290">
        <f>'[1]May - 2021'!AI19</f>
        <v>12099173.52</v>
      </c>
      <c r="AB19" s="291">
        <f>'[1]May - 2021'!AJ19</f>
        <v>7308</v>
      </c>
      <c r="AC19" s="92">
        <f>'[1]May - 2021'!AJ19</f>
        <v>7308</v>
      </c>
      <c r="AD19" s="290">
        <f>'[1]May - 2021'!AL19</f>
        <v>15187047.119999999</v>
      </c>
      <c r="AE19" s="291">
        <f>'[1]May - 2021'!AM19</f>
        <v>12862.080000000075</v>
      </c>
      <c r="AF19" s="92">
        <f>'[1]May - 2021'!AM19</f>
        <v>12862.080000000075</v>
      </c>
      <c r="AG19" s="290">
        <f>'[1]May - 2021'!AO19</f>
        <v>15530376.959999999</v>
      </c>
      <c r="AH19" s="291">
        <f>'[1]May - 2021'!AP19</f>
        <v>1364.160000000149</v>
      </c>
      <c r="AI19" s="92">
        <f>'[1]May - 2021'!AP19</f>
        <v>1364.160000000149</v>
      </c>
      <c r="AJ19" s="290">
        <f>'[1]May - 2021'!AR19</f>
        <v>14316810.48</v>
      </c>
      <c r="AK19" s="291">
        <f>'[1]May - 2021'!AS19</f>
        <v>6431.0400000009686</v>
      </c>
      <c r="AL19" s="92">
        <f>'[1]May - 2021'!AS19</f>
        <v>6431.0400000009686</v>
      </c>
      <c r="AM19" s="290">
        <f>'[1]May - 2021'!AU19</f>
        <v>12229499.52</v>
      </c>
      <c r="AN19" s="291">
        <f>'[1]May - 2021'!AV19</f>
        <v>5554.0800000000745</v>
      </c>
      <c r="AO19" s="92">
        <f>'[1]May - 2021'!AV19</f>
        <v>5554.0800000000745</v>
      </c>
      <c r="AP19" s="290">
        <f>'[1]May - 2021'!AX19</f>
        <v>11806074</v>
      </c>
      <c r="AQ19" s="291">
        <f>'[1]May - 2021'!AY19</f>
        <v>5261.7599999997765</v>
      </c>
      <c r="AR19" s="92">
        <f>'[1]May - 2021'!AY19</f>
        <v>5261.7599999997765</v>
      </c>
      <c r="AS19" s="290">
        <f>'[1]May - 2021'!BA19</f>
        <v>9429561.1199999992</v>
      </c>
      <c r="AT19" s="291">
        <f>'[1]May - 2021'!BB19</f>
        <v>3848.8799999989569</v>
      </c>
      <c r="AU19" s="92">
        <f>'[1]May - 2021'!BB19</f>
        <v>3848.8799999989569</v>
      </c>
      <c r="AV19" s="290">
        <f>'[1]May - 2021'!BD19</f>
        <v>14379172.08</v>
      </c>
      <c r="AW19" s="252">
        <f>'[1]May - 2021'!BE19</f>
        <v>7600.320000000298</v>
      </c>
      <c r="AX19" s="253">
        <f>'[1]May - 2021'!BE19</f>
        <v>7600.320000000298</v>
      </c>
      <c r="AY19" s="487"/>
      <c r="AZ19" s="272">
        <f>'[1]May - 2021'!BK19</f>
        <v>60371200</v>
      </c>
      <c r="BA19" s="179">
        <f>'[1]May - 2021'!BL19</f>
        <v>29900</v>
      </c>
      <c r="BB19" s="93">
        <f>'[1]May - 2021'!BL19</f>
        <v>29900</v>
      </c>
      <c r="BC19" s="272">
        <f>'[1]May - 2021'!BN19</f>
        <v>63233300</v>
      </c>
      <c r="BD19" s="245">
        <f>'[1]May - 2021'!BO19</f>
        <v>48800</v>
      </c>
      <c r="BE19" s="93">
        <f>'[1]May - 2021'!BO19</f>
        <v>48800</v>
      </c>
      <c r="BF19" s="272">
        <f>'[1]May - 2021'!BQ19</f>
        <v>57971600</v>
      </c>
      <c r="BG19" s="245">
        <f>'[1]May - 2021'!BR19</f>
        <v>0</v>
      </c>
      <c r="BH19" s="93">
        <f>'[1]May - 2021'!BR19</f>
        <v>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3">
        <f>'[1]May - 2021'!BT19</f>
        <v>6301000</v>
      </c>
      <c r="BT19" s="185">
        <f>'[1]May - 2021'!BU19</f>
        <v>5170</v>
      </c>
      <c r="BU19" s="394"/>
      <c r="BV19" s="88">
        <f>'[1]May - 2021'!BW19</f>
        <v>0.77</v>
      </c>
      <c r="BW19" s="241">
        <f>'[1]May - 2021'!BX19</f>
        <v>3.0000000000000027E-2</v>
      </c>
      <c r="BX19" s="88">
        <f>'[1]May - 2021'!BX19</f>
        <v>3.0000000000000027E-2</v>
      </c>
      <c r="BY19" s="89">
        <f>'[1]May - 2021'!BZ19</f>
        <v>53286</v>
      </c>
      <c r="BZ19" s="191">
        <f>'[1]May - 2021'!CA19</f>
        <v>21</v>
      </c>
      <c r="CA19" s="89">
        <f>'[1]May - 2021'!CB19</f>
        <v>44968</v>
      </c>
      <c r="CB19" s="191">
        <f>'[1]May - 2021'!CC19</f>
        <v>15</v>
      </c>
      <c r="CC19" s="89">
        <f>'[1]May - 2021'!CD19</f>
        <v>15595</v>
      </c>
      <c r="CD19" s="191">
        <f>'[1]May - 2021'!CE19</f>
        <v>7</v>
      </c>
      <c r="CE19" s="89">
        <f>'[1]May - 2021'!CF19</f>
        <v>19894</v>
      </c>
      <c r="CF19" s="191">
        <f>'[1]May - 2021'!CG19</f>
        <v>13</v>
      </c>
      <c r="CG19" s="89">
        <f>'[1]May - 2021'!CH19</f>
        <v>21617</v>
      </c>
      <c r="CH19" s="191">
        <f>'[1]May - 2021'!CI19</f>
        <v>16</v>
      </c>
      <c r="CI19" s="89">
        <f>'[1]May - 2021'!CJ19</f>
        <v>49176</v>
      </c>
      <c r="CJ19" s="191">
        <f>'[1]May - 2021'!CK19</f>
        <v>31</v>
      </c>
      <c r="CK19" s="89">
        <f>'[1]May - 2021'!CL19</f>
        <v>213957</v>
      </c>
      <c r="CL19" s="246">
        <f>'[1]May - 2021'!CM19</f>
        <v>103</v>
      </c>
      <c r="CM19" s="89">
        <f>'[1]May - 2021'!CM19</f>
        <v>103</v>
      </c>
      <c r="CN19" s="89">
        <f>'[1]May - 2021'!CO19</f>
        <v>162520</v>
      </c>
      <c r="CO19" s="246">
        <f>'[1]May - 2021'!CP19</f>
        <v>95</v>
      </c>
      <c r="CP19" s="89">
        <f>'[1]May - 2021'!CP19</f>
        <v>95</v>
      </c>
      <c r="CQ19" s="89">
        <f>'[1]May - 2021'!CR19</f>
        <v>308195</v>
      </c>
      <c r="CR19" s="246">
        <f>'[1]May - 2021'!CS19</f>
        <v>0</v>
      </c>
      <c r="CS19" s="89">
        <f>'[1]May - 2021'!CS19</f>
        <v>0</v>
      </c>
      <c r="CT19" s="89">
        <f>'[1]May - 2021'!CU19</f>
        <v>570606</v>
      </c>
      <c r="CU19" s="191">
        <f>'[1]May - 2021'!CV19</f>
        <v>252</v>
      </c>
      <c r="CV19" s="454"/>
      <c r="CW19" s="256">
        <f>'[1]May - 2021'!CX19</f>
        <v>4920</v>
      </c>
      <c r="CX19" s="198">
        <f>'[1]May - 2021'!CY19</f>
        <v>2</v>
      </c>
      <c r="CY19" s="257">
        <f>'[1]May - 2021'!CZ19</f>
        <v>2544</v>
      </c>
      <c r="CZ19" s="198">
        <f>'[1]May - 2021'!DA19</f>
        <v>2</v>
      </c>
      <c r="DA19" s="257">
        <f>'[1]May - 2021'!DB19</f>
        <v>24030.400000000001</v>
      </c>
      <c r="DB19" s="198">
        <f>'[1]May - 2021'!DC19</f>
        <v>9.4000000000014552</v>
      </c>
      <c r="DC19" s="257">
        <f>'[1]May - 2021'!DD19</f>
        <v>24507.1</v>
      </c>
      <c r="DD19" s="198">
        <f>'[1]May - 2021'!DE19</f>
        <v>7.6999999999970896</v>
      </c>
      <c r="DE19" s="257">
        <f>'[1]May - 2021'!DF19</f>
        <v>17123.7</v>
      </c>
      <c r="DF19" s="198">
        <f>'[1]May - 2021'!DG19</f>
        <v>0</v>
      </c>
      <c r="DG19" s="257">
        <f>'[1]May - 2021'!DH19</f>
        <v>20096.7</v>
      </c>
      <c r="DH19" s="198">
        <f>'[1]May - 2021'!DI19</f>
        <v>0</v>
      </c>
      <c r="DI19" s="257">
        <f>'[1]May - 2021'!DJ19</f>
        <v>1484</v>
      </c>
      <c r="DJ19" s="198">
        <f>'[1]May - 2021'!DK19</f>
        <v>6</v>
      </c>
      <c r="DK19" s="257">
        <f>'[1]May - 2021'!DL19</f>
        <v>4387</v>
      </c>
      <c r="DL19" s="198">
        <f>'[1]May - 2021'!DM19</f>
        <v>12</v>
      </c>
      <c r="DM19" s="257">
        <f>'[1]May - 2021'!DN19</f>
        <v>879</v>
      </c>
      <c r="DN19" s="198">
        <f>'[1]May - 2021'!DO19</f>
        <v>0</v>
      </c>
      <c r="DO19" s="257">
        <f>'[1]May - 2021'!DP19</f>
        <v>2305</v>
      </c>
      <c r="DP19" s="198">
        <f>'[1]May - 2021'!DQ19</f>
        <v>5</v>
      </c>
      <c r="DQ19" s="257">
        <f>'[1]May - 2021'!DR19</f>
        <v>24645</v>
      </c>
      <c r="DR19" s="206">
        <f>'[1]May - 2021'!DS19</f>
        <v>9</v>
      </c>
      <c r="DS19" s="439"/>
      <c r="DT19" s="210">
        <f>'[1]May - 2021'!DU19</f>
        <v>1122.0999999999999</v>
      </c>
      <c r="DU19" s="221">
        <f>'[1]May - 2021'!DV19</f>
        <v>7.0999999999999091</v>
      </c>
      <c r="DV19" s="91">
        <f>'[1]May - 2021'!DW19</f>
        <v>6521.3</v>
      </c>
      <c r="DW19" s="215">
        <f>'[1]May - 2021'!DX19</f>
        <v>6.1000000000003638</v>
      </c>
      <c r="DX19" s="91">
        <f>'[1]May - 2021'!DY19</f>
        <v>864.1</v>
      </c>
      <c r="DY19" s="215">
        <f>'[1]May - 2021'!DZ19</f>
        <v>5.8999999999999773</v>
      </c>
      <c r="DZ19" s="91">
        <f>'[1]May - 2021'!EA19</f>
        <v>406</v>
      </c>
      <c r="EA19" s="215">
        <f>'[1]May - 2021'!EB19</f>
        <v>6.3999999999999773</v>
      </c>
      <c r="EB19" s="91">
        <f>'[1]May - 2021'!EC19</f>
        <v>712509</v>
      </c>
      <c r="EC19" s="215">
        <f>'[1]May - 2021'!ED19</f>
        <v>692</v>
      </c>
      <c r="ED19" s="91">
        <f>'[1]May - 2021'!EG19</f>
        <v>143527.1</v>
      </c>
      <c r="EE19" s="229">
        <f>'[1]May - 2021'!EH19</f>
        <v>141.60000000000582</v>
      </c>
      <c r="EF19" s="378"/>
      <c r="EG19" s="235">
        <f>'[1]May - 2021'!EJ19</f>
        <v>8975100</v>
      </c>
      <c r="EH19" s="230">
        <f>'[1]May - 2021'!EK19</f>
        <v>3500</v>
      </c>
      <c r="EI19" s="90">
        <f>'[1]May - 2021'!EL19</f>
        <v>740720</v>
      </c>
      <c r="EJ19" s="230">
        <f>'[1]May - 2021'!EM19</f>
        <v>220</v>
      </c>
      <c r="EK19" s="90">
        <f>'[1]May - 2021'!EN19</f>
        <v>5768900</v>
      </c>
      <c r="EL19" s="230">
        <f>'[1]May - 2021'!EO19</f>
        <v>1600</v>
      </c>
      <c r="EM19" s="90">
        <f>'[1]May - 2021'!EP19</f>
        <v>2034700</v>
      </c>
      <c r="EN19" s="230">
        <f>'[1]May - 2021'!EQ19</f>
        <v>600</v>
      </c>
      <c r="EO19" s="90">
        <f>'[1]May - 2021'!ER19</f>
        <v>803230</v>
      </c>
      <c r="EP19" s="230">
        <f>'[1]May - 2021'!ES19</f>
        <v>730</v>
      </c>
      <c r="EQ19" s="90">
        <f>'[1]May - 2021'!ET19</f>
        <v>12655900</v>
      </c>
      <c r="ER19" s="230">
        <f>'[1]May - 2021'!EU19</f>
        <v>4900</v>
      </c>
      <c r="ES19" s="426"/>
      <c r="ET19" s="284">
        <f>'[1]May - 2021'!EW19</f>
        <v>34429</v>
      </c>
      <c r="EU19" s="278">
        <f>'[1]May - 2021'!EX19</f>
        <v>13</v>
      </c>
      <c r="EV19" s="285">
        <f>'[1]May - 2021'!EY19</f>
        <v>29766</v>
      </c>
      <c r="EW19" s="278">
        <f>'[1]May - 2021'!EZ19</f>
        <v>9</v>
      </c>
      <c r="EX19" s="285">
        <f>'[1]May - 2021'!FA19</f>
        <v>773</v>
      </c>
      <c r="EY19" s="278">
        <f>'[1]May - 2021'!FB19</f>
        <v>12</v>
      </c>
      <c r="EZ19" s="285">
        <f>'[1]May - 2021'!FC19</f>
        <v>50646</v>
      </c>
      <c r="FA19" s="278">
        <f>'[1]May - 2021'!FD19</f>
        <v>12</v>
      </c>
      <c r="FB19" s="285">
        <f>'[1]May - 2021'!FE19</f>
        <v>31392</v>
      </c>
      <c r="FC19" s="279">
        <f>'[1]May - 2021'!FF19</f>
        <v>23</v>
      </c>
    </row>
    <row r="20" spans="1:159" ht="30" customHeight="1" x14ac:dyDescent="0.25">
      <c r="A20" s="207">
        <v>43841</v>
      </c>
      <c r="B20" s="209">
        <f>'[1]May - 2021'!B20</f>
        <v>0.75</v>
      </c>
      <c r="C20" s="250">
        <f>'[1]May - 2021'!E20</f>
        <v>765144</v>
      </c>
      <c r="D20" s="170">
        <f>'[1]May - 2021'!F20</f>
        <v>507</v>
      </c>
      <c r="E20" s="168">
        <f>'[1]May - 2021'!G20</f>
        <v>328</v>
      </c>
      <c r="F20" s="168">
        <f>'[1]May - 2021'!H20</f>
        <v>16580</v>
      </c>
      <c r="G20" s="170">
        <f>'[1]May - 2021'!I20</f>
        <v>306</v>
      </c>
      <c r="H20" s="168">
        <f>'[1]May - 2021'!J20</f>
        <v>139</v>
      </c>
      <c r="I20" s="168">
        <f>'[1]May - 2021'!K20</f>
        <v>134182</v>
      </c>
      <c r="J20" s="170">
        <f>'[1]May - 2021'!L20</f>
        <v>196</v>
      </c>
      <c r="K20" s="168">
        <f>'[1]May - 2021'!N20</f>
        <v>747671</v>
      </c>
      <c r="L20" s="170">
        <f>'[1]May - 2021'!O20</f>
        <v>276</v>
      </c>
      <c r="M20" s="168">
        <f>'[1]May - 2021'!Q20</f>
        <v>164275</v>
      </c>
      <c r="N20" s="170">
        <f>'[1]May - 2021'!R20</f>
        <v>0</v>
      </c>
      <c r="O20" s="168">
        <f>'[1]May - 2021'!S20</f>
        <v>5628.37</v>
      </c>
      <c r="P20" s="170">
        <f>'[1]May - 2021'!T20</f>
        <v>162.14000000000033</v>
      </c>
      <c r="Q20" s="168">
        <f>'[1]May - 2021'!U20</f>
        <v>122</v>
      </c>
      <c r="R20" s="168">
        <f>'[1]May - 2021'!V20</f>
        <v>2403</v>
      </c>
      <c r="S20" s="208">
        <f>'[1]May - 2021'!W20</f>
        <v>30</v>
      </c>
      <c r="T20" s="521"/>
      <c r="U20" s="169">
        <f>'[1]May - 2021'!AC20</f>
        <v>6538565.04</v>
      </c>
      <c r="V20" s="291">
        <f>'[1]May - 2021'!AD20</f>
        <v>1510.320000000298</v>
      </c>
      <c r="W20" s="92">
        <f>'[1]May - 2021'!AD20</f>
        <v>1510.320000000298</v>
      </c>
      <c r="X20" s="290">
        <f>'[1]May - 2021'!AF20</f>
        <v>12772678.799999999</v>
      </c>
      <c r="Y20" s="291">
        <f>'[1]May - 2021'!AG20</f>
        <v>3361.679999999702</v>
      </c>
      <c r="Z20" s="92">
        <f>'[1]May - 2021'!AG20</f>
        <v>3361.679999999702</v>
      </c>
      <c r="AA20" s="290">
        <f>'[1]May - 2021'!AI20</f>
        <v>12104142.959999999</v>
      </c>
      <c r="AB20" s="291">
        <f>'[1]May - 2021'!AJ20</f>
        <v>4969.4399999994785</v>
      </c>
      <c r="AC20" s="92">
        <f>'[1]May - 2021'!AJ20</f>
        <v>4969.4399999994785</v>
      </c>
      <c r="AD20" s="290">
        <f>'[1]May - 2021'!AL20</f>
        <v>15194355.119999999</v>
      </c>
      <c r="AE20" s="291">
        <f>'[1]May - 2021'!AM20</f>
        <v>7308</v>
      </c>
      <c r="AF20" s="92">
        <f>'[1]May - 2021'!AM20</f>
        <v>7308</v>
      </c>
      <c r="AG20" s="290">
        <f>'[1]May - 2021'!AO20</f>
        <v>15531253.919999998</v>
      </c>
      <c r="AH20" s="291">
        <f>'[1]May - 2021'!AP20</f>
        <v>876.95999999903142</v>
      </c>
      <c r="AI20" s="92">
        <f>'[1]May - 2021'!AP20</f>
        <v>876.95999999903142</v>
      </c>
      <c r="AJ20" s="290">
        <f>'[1]May - 2021'!AR20</f>
        <v>14320659.359999999</v>
      </c>
      <c r="AK20" s="291">
        <f>'[1]May - 2021'!AS20</f>
        <v>3848.8799999989569</v>
      </c>
      <c r="AL20" s="92">
        <f>'[1]May - 2021'!AS20</f>
        <v>3848.8799999989569</v>
      </c>
      <c r="AM20" s="290">
        <f>'[1]May - 2021'!AU20</f>
        <v>12232666.319999998</v>
      </c>
      <c r="AN20" s="291">
        <f>'[1]May - 2021'!AV20</f>
        <v>3166.7999999988824</v>
      </c>
      <c r="AO20" s="92">
        <f>'[1]May - 2021'!AV20</f>
        <v>3166.7999999988824</v>
      </c>
      <c r="AP20" s="290">
        <f>'[1]May - 2021'!AX20</f>
        <v>11808899.76</v>
      </c>
      <c r="AQ20" s="291">
        <f>'[1]May - 2021'!AY20</f>
        <v>2825.7599999997765</v>
      </c>
      <c r="AR20" s="92">
        <f>'[1]May - 2021'!AY20</f>
        <v>2825.7599999997765</v>
      </c>
      <c r="AS20" s="290">
        <f>'[1]May - 2021'!BA20</f>
        <v>9431704.7999999989</v>
      </c>
      <c r="AT20" s="292">
        <f>'[1]May - 2021'!BB20</f>
        <v>2143.679999999702</v>
      </c>
      <c r="AU20" s="92">
        <f>'[1]May - 2021'!BB20</f>
        <v>2143.679999999702</v>
      </c>
      <c r="AV20" s="290">
        <f>'[1]May - 2021'!BD20</f>
        <v>14383703.039999999</v>
      </c>
      <c r="AW20" s="252">
        <f>'[1]May - 2021'!BE20</f>
        <v>4530.9599999990314</v>
      </c>
      <c r="AX20" s="253">
        <f>'[1]May - 2021'!BE20</f>
        <v>4530.9599999990314</v>
      </c>
      <c r="AY20" s="487"/>
      <c r="AZ20" s="272">
        <f>'[1]May - 2021'!BK20</f>
        <v>60400900</v>
      </c>
      <c r="BA20" s="179">
        <f>'[1]May - 2021'!BL20</f>
        <v>29700</v>
      </c>
      <c r="BB20" s="93">
        <f>'[1]May - 2021'!BL20</f>
        <v>29700</v>
      </c>
      <c r="BC20" s="272">
        <f>'[1]May - 2021'!BN20</f>
        <v>63287500</v>
      </c>
      <c r="BD20" s="245">
        <f>'[1]May - 2021'!BO20</f>
        <v>54200</v>
      </c>
      <c r="BE20" s="93">
        <f>'[1]May - 2021'!BO20</f>
        <v>54200</v>
      </c>
      <c r="BF20" s="272">
        <f>'[1]May - 2021'!BQ20</f>
        <v>57971600</v>
      </c>
      <c r="BG20" s="245">
        <f>'[1]May - 2021'!BR20</f>
        <v>0</v>
      </c>
      <c r="BH20" s="93">
        <f>'[1]May - 2021'!BR20</f>
        <v>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3">
        <f>'[1]May - 2021'!BT20</f>
        <v>6306840</v>
      </c>
      <c r="BT20" s="185">
        <f>'[1]May - 2021'!BU20</f>
        <v>5840</v>
      </c>
      <c r="BU20" s="394"/>
      <c r="BV20" s="88">
        <f>'[1]May - 2021'!BW20</f>
        <v>0.8</v>
      </c>
      <c r="BW20" s="241">
        <f>'[1]May - 2021'!BX20</f>
        <v>-3.0000000000000027E-2</v>
      </c>
      <c r="BX20" s="88">
        <f>'[1]May - 2021'!BX20</f>
        <v>-3.0000000000000027E-2</v>
      </c>
      <c r="BY20" s="89">
        <f>'[1]May - 2021'!BZ20</f>
        <v>53298</v>
      </c>
      <c r="BZ20" s="191">
        <f>'[1]May - 2021'!CA20</f>
        <v>12</v>
      </c>
      <c r="CA20" s="89">
        <f>'[1]May - 2021'!CB20</f>
        <v>44977</v>
      </c>
      <c r="CB20" s="191">
        <f>'[1]May - 2021'!CC20</f>
        <v>9</v>
      </c>
      <c r="CC20" s="89">
        <f>'[1]May - 2021'!CD20</f>
        <v>15603</v>
      </c>
      <c r="CD20" s="191">
        <f>'[1]May - 2021'!CE20</f>
        <v>14</v>
      </c>
      <c r="CE20" s="89">
        <f>'[1]May - 2021'!CF20</f>
        <v>19900</v>
      </c>
      <c r="CF20" s="191">
        <f>'[1]May - 2021'!CG20</f>
        <v>6</v>
      </c>
      <c r="CG20" s="89">
        <f>'[1]May - 2021'!CH20</f>
        <v>21624</v>
      </c>
      <c r="CH20" s="191">
        <f>'[1]May - 2021'!CI20</f>
        <v>7</v>
      </c>
      <c r="CI20" s="89">
        <f>'[1]May - 2021'!CJ20</f>
        <v>49191</v>
      </c>
      <c r="CJ20" s="191">
        <f>'[1]May - 2021'!CK20</f>
        <v>15</v>
      </c>
      <c r="CK20" s="89">
        <f>'[1]May - 2021'!CL20</f>
        <v>214061</v>
      </c>
      <c r="CL20" s="246">
        <f>'[1]May - 2021'!CM20</f>
        <v>104</v>
      </c>
      <c r="CM20" s="89">
        <f>'[1]May - 2021'!CM20</f>
        <v>104</v>
      </c>
      <c r="CN20" s="89">
        <f>'[1]May - 2021'!CO20</f>
        <v>162607</v>
      </c>
      <c r="CO20" s="246">
        <f>'[1]May - 2021'!CP20</f>
        <v>87</v>
      </c>
      <c r="CP20" s="89">
        <f>'[1]May - 2021'!CP20</f>
        <v>87</v>
      </c>
      <c r="CQ20" s="89">
        <f>'[1]May - 2021'!CR20</f>
        <v>308195</v>
      </c>
      <c r="CR20" s="246">
        <f>'[1]May - 2021'!CS20</f>
        <v>0</v>
      </c>
      <c r="CS20" s="89">
        <f>'[1]May - 2021'!CS20</f>
        <v>0</v>
      </c>
      <c r="CT20" s="89">
        <f>'[1]May - 2021'!CU20</f>
        <v>570868</v>
      </c>
      <c r="CU20" s="191">
        <f>'[1]May - 2021'!CV20</f>
        <v>262</v>
      </c>
      <c r="CV20" s="454"/>
      <c r="CW20" s="256">
        <f>'[1]May - 2021'!CX20</f>
        <v>4923</v>
      </c>
      <c r="CX20" s="198">
        <f>'[1]May - 2021'!CY20</f>
        <v>3</v>
      </c>
      <c r="CY20" s="257">
        <f>'[1]May - 2021'!CZ20</f>
        <v>2546</v>
      </c>
      <c r="CZ20" s="198">
        <f>'[1]May - 2021'!DA20</f>
        <v>2</v>
      </c>
      <c r="DA20" s="257">
        <f>'[1]May - 2021'!DB20</f>
        <v>24038.5</v>
      </c>
      <c r="DB20" s="198">
        <f>'[1]May - 2021'!DC20</f>
        <v>8.0999999999985448</v>
      </c>
      <c r="DC20" s="257">
        <f>'[1]May - 2021'!DD20</f>
        <v>24516.5</v>
      </c>
      <c r="DD20" s="198">
        <f>'[1]May - 2021'!DE20</f>
        <v>9.4000000000014552</v>
      </c>
      <c r="DE20" s="257">
        <f>'[1]May - 2021'!DF20</f>
        <v>17123.7</v>
      </c>
      <c r="DF20" s="198">
        <f>'[1]May - 2021'!DG20</f>
        <v>0</v>
      </c>
      <c r="DG20" s="257">
        <f>'[1]May - 2021'!DH20</f>
        <v>20096.7</v>
      </c>
      <c r="DH20" s="198">
        <f>'[1]May - 2021'!DI20</f>
        <v>0</v>
      </c>
      <c r="DI20" s="257">
        <f>'[1]May - 2021'!DJ20</f>
        <v>1490</v>
      </c>
      <c r="DJ20" s="198">
        <f>'[1]May - 2021'!DK20</f>
        <v>6</v>
      </c>
      <c r="DK20" s="257">
        <f>'[1]May - 2021'!DL20</f>
        <v>4400</v>
      </c>
      <c r="DL20" s="198">
        <f>'[1]May - 2021'!DM20</f>
        <v>13</v>
      </c>
      <c r="DM20" s="257">
        <f>'[1]May - 2021'!DN20</f>
        <v>879</v>
      </c>
      <c r="DN20" s="198">
        <f>'[1]May - 2021'!DO20</f>
        <v>0</v>
      </c>
      <c r="DO20" s="257">
        <f>'[1]May - 2021'!DP20</f>
        <v>2310</v>
      </c>
      <c r="DP20" s="198">
        <f>'[1]May - 2021'!DQ20</f>
        <v>5</v>
      </c>
      <c r="DQ20" s="257">
        <f>'[1]May - 2021'!DR20</f>
        <v>24663</v>
      </c>
      <c r="DR20" s="206">
        <f>'[1]May - 2021'!DS20</f>
        <v>18</v>
      </c>
      <c r="DS20" s="439"/>
      <c r="DT20" s="210">
        <f>'[1]May - 2021'!DU20</f>
        <v>1130.2</v>
      </c>
      <c r="DU20" s="221">
        <f>'[1]May - 2021'!DV20</f>
        <v>8.1000000000001364</v>
      </c>
      <c r="DV20" s="91">
        <f>'[1]May - 2021'!DW20</f>
        <v>6525.1</v>
      </c>
      <c r="DW20" s="215">
        <f>'[1]May - 2021'!DX20</f>
        <v>3.8000000000001819</v>
      </c>
      <c r="DX20" s="91">
        <f>'[1]May - 2021'!DY20</f>
        <v>870.6</v>
      </c>
      <c r="DY20" s="215">
        <f>'[1]May - 2021'!DZ20</f>
        <v>6.5</v>
      </c>
      <c r="DZ20" s="91">
        <f>'[1]May - 2021'!EA20</f>
        <v>413.8</v>
      </c>
      <c r="EA20" s="215">
        <f>'[1]May - 2021'!EB20</f>
        <v>7.8000000000000114</v>
      </c>
      <c r="EB20" s="91">
        <f>'[1]May - 2021'!EC20</f>
        <v>713239</v>
      </c>
      <c r="EC20" s="215">
        <f>'[1]May - 2021'!ED20</f>
        <v>730</v>
      </c>
      <c r="ED20" s="91">
        <f>'[1]May - 2021'!EG20</f>
        <v>143686.20000000001</v>
      </c>
      <c r="EE20" s="229">
        <f>'[1]May - 2021'!EH20</f>
        <v>159.10000000000582</v>
      </c>
      <c r="EF20" s="378"/>
      <c r="EG20" s="235">
        <f>'[1]May - 2021'!EJ20</f>
        <v>8980400</v>
      </c>
      <c r="EH20" s="230">
        <f>'[1]May - 2021'!EK20</f>
        <v>5300</v>
      </c>
      <c r="EI20" s="90">
        <f>'[1]May - 2021'!EL20</f>
        <v>740990</v>
      </c>
      <c r="EJ20" s="230">
        <f>'[1]May - 2021'!EM20</f>
        <v>270</v>
      </c>
      <c r="EK20" s="90">
        <f>'[1]May - 2021'!EN20</f>
        <v>5771100</v>
      </c>
      <c r="EL20" s="230">
        <f>'[1]May - 2021'!EO20</f>
        <v>2200</v>
      </c>
      <c r="EM20" s="90">
        <f>'[1]May - 2021'!EP20</f>
        <v>2035500</v>
      </c>
      <c r="EN20" s="230">
        <f>'[1]May - 2021'!EQ20</f>
        <v>800</v>
      </c>
      <c r="EO20" s="90">
        <f>'[1]May - 2021'!ER20</f>
        <v>804210</v>
      </c>
      <c r="EP20" s="230">
        <f>'[1]May - 2021'!ES20</f>
        <v>980</v>
      </c>
      <c r="EQ20" s="90">
        <f>'[1]May - 2021'!ET20</f>
        <v>12659500</v>
      </c>
      <c r="ER20" s="230">
        <f>'[1]May - 2021'!EU20</f>
        <v>3600</v>
      </c>
      <c r="ES20" s="426"/>
      <c r="ET20" s="284">
        <f>'[1]May - 2021'!EW20</f>
        <v>34443</v>
      </c>
      <c r="EU20" s="278">
        <f>'[1]May - 2021'!EX20</f>
        <v>14</v>
      </c>
      <c r="EV20" s="285">
        <f>'[1]May - 2021'!EY20</f>
        <v>29778</v>
      </c>
      <c r="EW20" s="278">
        <f>'[1]May - 2021'!EZ20</f>
        <v>12</v>
      </c>
      <c r="EX20" s="285">
        <f>'[1]May - 2021'!FA20</f>
        <v>784</v>
      </c>
      <c r="EY20" s="278">
        <f>'[1]May - 2021'!FB20</f>
        <v>11</v>
      </c>
      <c r="EZ20" s="285">
        <f>'[1]May - 2021'!FC20</f>
        <v>50660</v>
      </c>
      <c r="FA20" s="278">
        <f>'[1]May - 2021'!FD20</f>
        <v>14</v>
      </c>
      <c r="FB20" s="285">
        <f>'[1]May - 2021'!FE20</f>
        <v>31425</v>
      </c>
      <c r="FC20" s="279">
        <f>'[1]May - 2021'!FF20</f>
        <v>33</v>
      </c>
    </row>
    <row r="21" spans="1:159" ht="30" customHeight="1" x14ac:dyDescent="0.25">
      <c r="A21" s="207">
        <v>43842</v>
      </c>
      <c r="B21" s="209">
        <f>'[1]May - 2021'!B21</f>
        <v>0.57999999999999996</v>
      </c>
      <c r="C21" s="250">
        <f>'[1]May - 2021'!E21</f>
        <v>765696</v>
      </c>
      <c r="D21" s="170">
        <f>'[1]May - 2021'!F21</f>
        <v>552</v>
      </c>
      <c r="E21" s="168">
        <f>'[1]May - 2021'!G21</f>
        <v>260</v>
      </c>
      <c r="F21" s="168">
        <f>'[1]May - 2021'!H21</f>
        <v>16912</v>
      </c>
      <c r="G21" s="170">
        <f>'[1]May - 2021'!I21</f>
        <v>332</v>
      </c>
      <c r="H21" s="168">
        <f>'[1]May - 2021'!J21</f>
        <v>200</v>
      </c>
      <c r="I21" s="168">
        <f>'[1]May - 2021'!K21</f>
        <v>134477</v>
      </c>
      <c r="J21" s="170">
        <f>'[1]May - 2021'!L21</f>
        <v>295</v>
      </c>
      <c r="K21" s="168">
        <f>'[1]May - 2021'!N21</f>
        <v>747936</v>
      </c>
      <c r="L21" s="170">
        <f>'[1]May - 2021'!O21</f>
        <v>265</v>
      </c>
      <c r="M21" s="168">
        <f>'[1]May - 2021'!Q21</f>
        <v>164275</v>
      </c>
      <c r="N21" s="170">
        <f>'[1]May - 2021'!R21</f>
        <v>0</v>
      </c>
      <c r="O21" s="168">
        <f>'[1]May - 2021'!S21</f>
        <v>5797.34</v>
      </c>
      <c r="P21" s="170">
        <f>'[1]May - 2021'!T21</f>
        <v>168.97000000000025</v>
      </c>
      <c r="Q21" s="168">
        <f>'[1]May - 2021'!U21</f>
        <v>94</v>
      </c>
      <c r="R21" s="168">
        <f>'[1]May - 2021'!V21</f>
        <v>2432</v>
      </c>
      <c r="S21" s="208">
        <f>'[1]May - 2021'!W21</f>
        <v>29</v>
      </c>
      <c r="T21" s="521"/>
      <c r="U21" s="169">
        <f>'[1]May - 2021'!AC21</f>
        <v>6540318.959999999</v>
      </c>
      <c r="V21" s="291">
        <f>'[1]May - 2021'!AD21</f>
        <v>1753.9199999989942</v>
      </c>
      <c r="W21" s="92">
        <f>'[1]May - 2021'!AD21</f>
        <v>1753.9199999989942</v>
      </c>
      <c r="X21" s="290">
        <f>'[1]May - 2021'!AF21</f>
        <v>12777648.24</v>
      </c>
      <c r="Y21" s="291">
        <f>'[1]May - 2021'!AG21</f>
        <v>4969.4400000013411</v>
      </c>
      <c r="Z21" s="92">
        <f>'[1]May - 2021'!AG21</f>
        <v>4969.4400000013411</v>
      </c>
      <c r="AA21" s="290">
        <f>'[1]May - 2021'!AI21</f>
        <v>12111548.4</v>
      </c>
      <c r="AB21" s="291">
        <f>'[1]May - 2021'!AJ21</f>
        <v>7405.4400000013411</v>
      </c>
      <c r="AC21" s="92">
        <f>'[1]May - 2021'!AJ21</f>
        <v>7405.4400000013411</v>
      </c>
      <c r="AD21" s="290">
        <f>'[1]May - 2021'!AL21</f>
        <v>15204927.359999999</v>
      </c>
      <c r="AE21" s="291">
        <f>'[1]May - 2021'!AM21</f>
        <v>10572.240000000224</v>
      </c>
      <c r="AF21" s="92">
        <f>'[1]May - 2021'!AM21</f>
        <v>10572.240000000224</v>
      </c>
      <c r="AG21" s="290">
        <f>'[1]May - 2021'!AO21</f>
        <v>15532423.199999999</v>
      </c>
      <c r="AH21" s="291">
        <f>'[1]May - 2021'!AP21</f>
        <v>1169.2800000011921</v>
      </c>
      <c r="AI21" s="92">
        <f>'[1]May - 2021'!AP21</f>
        <v>1169.2800000011921</v>
      </c>
      <c r="AJ21" s="290">
        <f>'[1]May - 2021'!AR21</f>
        <v>14326018.559999999</v>
      </c>
      <c r="AK21" s="291">
        <f>'[1]May - 2021'!AS21</f>
        <v>5359.1999999992549</v>
      </c>
      <c r="AL21" s="92">
        <f>'[1]May - 2021'!AS21</f>
        <v>5359.1999999992549</v>
      </c>
      <c r="AM21" s="290">
        <f>'[1]May - 2021'!AU21</f>
        <v>12237148.559999999</v>
      </c>
      <c r="AN21" s="291">
        <f>'[1]May - 2021'!AV21</f>
        <v>4482.2400000002235</v>
      </c>
      <c r="AO21" s="286">
        <f>'[1]May - 2021'!AV21</f>
        <v>4482.2400000002235</v>
      </c>
      <c r="AP21" s="290">
        <f>'[1]May - 2021'!AX21</f>
        <v>11813430.719999999</v>
      </c>
      <c r="AQ21" s="291">
        <f>'[1]May - 2021'!AY21</f>
        <v>4530.9599999990314</v>
      </c>
      <c r="AR21" s="92">
        <f>'[1]May - 2021'!AY21</f>
        <v>4530.9599999990314</v>
      </c>
      <c r="AS21" s="293">
        <f>'[1]May - 2021'!BA21</f>
        <v>9434725.4399999995</v>
      </c>
      <c r="AT21" s="292">
        <f>'[1]May - 2021'!BB21</f>
        <v>3020.640000000596</v>
      </c>
      <c r="AU21" s="92">
        <f>'[1]May - 2021'!BB21</f>
        <v>3020.640000000596</v>
      </c>
      <c r="AV21" s="290">
        <f>'[1]May - 2021'!BD21</f>
        <v>14390134.08</v>
      </c>
      <c r="AW21" s="252">
        <f>'[1]May - 2021'!BE21</f>
        <v>6431.0400000009686</v>
      </c>
      <c r="AX21" s="253">
        <f>'[1]May - 2021'!BE21</f>
        <v>6431.0400000009686</v>
      </c>
      <c r="AY21" s="487"/>
      <c r="AZ21" s="272">
        <f>'[1]May - 2021'!BK21</f>
        <v>60436700</v>
      </c>
      <c r="BA21" s="179">
        <f>'[1]May - 2021'!BL21</f>
        <v>35800</v>
      </c>
      <c r="BB21" s="93">
        <f>'[1]May - 2021'!BL21</f>
        <v>35800</v>
      </c>
      <c r="BC21" s="272">
        <f>'[1]May - 2021'!BN21</f>
        <v>63337000</v>
      </c>
      <c r="BD21" s="245">
        <f>'[1]May - 2021'!BO21</f>
        <v>49500</v>
      </c>
      <c r="BE21" s="93">
        <f>'[1]May - 2021'!BO21</f>
        <v>49500</v>
      </c>
      <c r="BF21" s="272">
        <f>'[1]May - 2021'!BQ21</f>
        <v>57971600</v>
      </c>
      <c r="BG21" s="245">
        <f>'[1]May - 2021'!BR21</f>
        <v>0</v>
      </c>
      <c r="BH21" s="93">
        <f>'[1]May - 2021'!BR21</f>
        <v>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3">
        <f>'[1]May - 2021'!BT21</f>
        <v>6312690</v>
      </c>
      <c r="BT21" s="185">
        <f>'[1]May - 2021'!BU21</f>
        <v>5850</v>
      </c>
      <c r="BU21" s="394"/>
      <c r="BV21" s="88">
        <f>'[1]May - 2021'!BW21</f>
        <v>0.75</v>
      </c>
      <c r="BW21" s="241">
        <f>'[1]May - 2021'!BX21</f>
        <v>5.0000000000000044E-2</v>
      </c>
      <c r="BX21" s="88">
        <f>'[1]May - 2021'!BX21</f>
        <v>5.0000000000000044E-2</v>
      </c>
      <c r="BY21" s="89">
        <f>'[1]May - 2021'!BZ21</f>
        <v>53315</v>
      </c>
      <c r="BZ21" s="191">
        <f>'[1]May - 2021'!CA21</f>
        <v>17</v>
      </c>
      <c r="CA21" s="89">
        <f>'[1]May - 2021'!CB21</f>
        <v>44990</v>
      </c>
      <c r="CB21" s="191">
        <f>'[1]May - 2021'!CC21</f>
        <v>13</v>
      </c>
      <c r="CC21" s="89">
        <f>'[1]May - 2021'!CD21</f>
        <v>15610</v>
      </c>
      <c r="CD21" s="191">
        <f>'[1]May - 2021'!CE21</f>
        <v>7</v>
      </c>
      <c r="CE21" s="89">
        <f>'[1]May - 2021'!CF21</f>
        <v>19910</v>
      </c>
      <c r="CF21" s="191">
        <f>'[1]May - 2021'!CG21</f>
        <v>10</v>
      </c>
      <c r="CG21" s="89">
        <f>'[1]May - 2021'!CH21</f>
        <v>21637</v>
      </c>
      <c r="CH21" s="191">
        <f>'[1]May - 2021'!CI21</f>
        <v>13</v>
      </c>
      <c r="CI21" s="89">
        <f>'[1]May - 2021'!CJ21</f>
        <v>49217</v>
      </c>
      <c r="CJ21" s="191">
        <f>'[1]May - 2021'!CK21</f>
        <v>26</v>
      </c>
      <c r="CK21" s="89">
        <f>'[1]May - 2021'!CL21</f>
        <v>214170</v>
      </c>
      <c r="CL21" s="246">
        <f>'[1]May - 2021'!CM21</f>
        <v>109</v>
      </c>
      <c r="CM21" s="89">
        <f>'[1]May - 2021'!CM21</f>
        <v>109</v>
      </c>
      <c r="CN21" s="89">
        <f>'[1]May - 2021'!CO21</f>
        <v>162699</v>
      </c>
      <c r="CO21" s="246">
        <f>'[1]May - 2021'!CP21</f>
        <v>92</v>
      </c>
      <c r="CP21" s="89">
        <f>'[1]May - 2021'!CP21</f>
        <v>92</v>
      </c>
      <c r="CQ21" s="89">
        <f>'[1]May - 2021'!CR21</f>
        <v>308195</v>
      </c>
      <c r="CR21" s="246">
        <f>'[1]May - 2021'!CS21</f>
        <v>0</v>
      </c>
      <c r="CS21" s="89">
        <f>'[1]May - 2021'!CS21</f>
        <v>0</v>
      </c>
      <c r="CT21" s="89">
        <f>'[1]May - 2021'!CU21</f>
        <v>571147</v>
      </c>
      <c r="CU21" s="191">
        <f>'[1]May - 2021'!CV21</f>
        <v>279</v>
      </c>
      <c r="CV21" s="454"/>
      <c r="CW21" s="256">
        <f>'[1]May - 2021'!CX21</f>
        <v>4926</v>
      </c>
      <c r="CX21" s="198">
        <f>'[1]May - 2021'!CY21</f>
        <v>3</v>
      </c>
      <c r="CY21" s="257">
        <f>'[1]May - 2021'!CZ21</f>
        <v>2549</v>
      </c>
      <c r="CZ21" s="198">
        <f>'[1]May - 2021'!DA21</f>
        <v>3</v>
      </c>
      <c r="DA21" s="257">
        <f>'[1]May - 2021'!DB21</f>
        <v>24048.5</v>
      </c>
      <c r="DB21" s="198">
        <f>'[1]May - 2021'!DC21</f>
        <v>10</v>
      </c>
      <c r="DC21" s="257">
        <f>'[1]May - 2021'!DD21</f>
        <v>24524.5</v>
      </c>
      <c r="DD21" s="198">
        <f>'[1]May - 2021'!DE21</f>
        <v>8</v>
      </c>
      <c r="DE21" s="257">
        <f>'[1]May - 2021'!DF21</f>
        <v>17148</v>
      </c>
      <c r="DF21" s="198">
        <f>'[1]May - 2021'!DG21</f>
        <v>24.299999999999272</v>
      </c>
      <c r="DG21" s="257">
        <f>'[1]May - 2021'!DH21</f>
        <v>20120</v>
      </c>
      <c r="DH21" s="198">
        <f>'[1]May - 2021'!DI21</f>
        <v>23.299999999999272</v>
      </c>
      <c r="DI21" s="257">
        <f>'[1]May - 2021'!DJ21</f>
        <v>1496</v>
      </c>
      <c r="DJ21" s="198">
        <f>'[1]May - 2021'!DK21</f>
        <v>6</v>
      </c>
      <c r="DK21" s="257">
        <f>'[1]May - 2021'!DL21</f>
        <v>4412</v>
      </c>
      <c r="DL21" s="198">
        <f>'[1]May - 2021'!DM21</f>
        <v>12</v>
      </c>
      <c r="DM21" s="257">
        <f>'[1]May - 2021'!DN21</f>
        <v>879</v>
      </c>
      <c r="DN21" s="198">
        <f>'[1]May - 2021'!DO21</f>
        <v>0</v>
      </c>
      <c r="DO21" s="257">
        <f>'[1]May - 2021'!DP21</f>
        <v>2316</v>
      </c>
      <c r="DP21" s="198">
        <f>'[1]May - 2021'!DQ21</f>
        <v>6</v>
      </c>
      <c r="DQ21" s="257">
        <f>'[1]May - 2021'!DR21</f>
        <v>24682</v>
      </c>
      <c r="DR21" s="206">
        <f>'[1]May - 2021'!DS21</f>
        <v>19</v>
      </c>
      <c r="DS21" s="439"/>
      <c r="DT21" s="210">
        <f>'[1]May - 2021'!DU21</f>
        <v>1138.4000000000001</v>
      </c>
      <c r="DU21" s="221">
        <f>'[1]May - 2021'!DV21</f>
        <v>8.2000000000000455</v>
      </c>
      <c r="DV21" s="91">
        <f>'[1]May - 2021'!DW21</f>
        <v>6530.3</v>
      </c>
      <c r="DW21" s="215">
        <f>'[1]May - 2021'!DX21</f>
        <v>5.1999999999998181</v>
      </c>
      <c r="DX21" s="91">
        <f>'[1]May - 2021'!DY21</f>
        <v>877.7</v>
      </c>
      <c r="DY21" s="215">
        <f>'[1]May - 2021'!DZ21</f>
        <v>7.1000000000000227</v>
      </c>
      <c r="DZ21" s="91">
        <f>'[1]May - 2021'!EA21</f>
        <v>422</v>
      </c>
      <c r="EA21" s="215">
        <f>'[1]May - 2021'!EB21</f>
        <v>8.1999999999999886</v>
      </c>
      <c r="EB21" s="91">
        <f>'[1]May - 2021'!EC21</f>
        <v>713938</v>
      </c>
      <c r="EC21" s="215">
        <f>'[1]May - 2021'!ED21</f>
        <v>699</v>
      </c>
      <c r="ED21" s="91">
        <f>'[1]May - 2021'!EG21</f>
        <v>143851.79999999999</v>
      </c>
      <c r="EE21" s="229">
        <f>'[1]May - 2021'!EH21</f>
        <v>165.59999999997672</v>
      </c>
      <c r="EF21" s="378"/>
      <c r="EG21" s="235">
        <f>'[1]May - 2021'!EJ21</f>
        <v>8986500</v>
      </c>
      <c r="EH21" s="230">
        <f>'[1]May - 2021'!EK21</f>
        <v>6100</v>
      </c>
      <c r="EI21" s="90">
        <f>'[1]May - 2021'!EL21</f>
        <v>741230</v>
      </c>
      <c r="EJ21" s="230">
        <f>'[1]May - 2021'!EM21</f>
        <v>240</v>
      </c>
      <c r="EK21" s="90">
        <f>'[1]May - 2021'!EN21</f>
        <v>5773500</v>
      </c>
      <c r="EL21" s="230">
        <f>'[1]May - 2021'!EO21</f>
        <v>2400</v>
      </c>
      <c r="EM21" s="90">
        <f>'[1]May - 2021'!EP21</f>
        <v>2036300</v>
      </c>
      <c r="EN21" s="230">
        <f>'[1]May - 2021'!EQ21</f>
        <v>800</v>
      </c>
      <c r="EO21" s="90">
        <f>'[1]May - 2021'!ER21</f>
        <v>805210</v>
      </c>
      <c r="EP21" s="230">
        <f>'[1]May - 2021'!ES21</f>
        <v>1000</v>
      </c>
      <c r="EQ21" s="90">
        <f>'[1]May - 2021'!ET21</f>
        <v>12664600</v>
      </c>
      <c r="ER21" s="230">
        <f>'[1]May - 2021'!EU21</f>
        <v>5100</v>
      </c>
      <c r="ES21" s="426"/>
      <c r="ET21" s="284">
        <f>'[1]May - 2021'!EW21</f>
        <v>34457</v>
      </c>
      <c r="EU21" s="278">
        <f>'[1]May - 2021'!EX21</f>
        <v>14</v>
      </c>
      <c r="EV21" s="285">
        <f>'[1]May - 2021'!EY21</f>
        <v>29791</v>
      </c>
      <c r="EW21" s="278">
        <f>'[1]May - 2021'!EZ21</f>
        <v>13</v>
      </c>
      <c r="EX21" s="285">
        <f>'[1]May - 2021'!FA21</f>
        <v>796</v>
      </c>
      <c r="EY21" s="278">
        <f>'[1]May - 2021'!FB21</f>
        <v>12</v>
      </c>
      <c r="EZ21" s="285">
        <f>'[1]May - 2021'!FC21</f>
        <v>50672</v>
      </c>
      <c r="FA21" s="278">
        <f>'[1]May - 2021'!FD21</f>
        <v>12</v>
      </c>
      <c r="FB21" s="285">
        <f>'[1]May - 2021'!FE21</f>
        <v>31455</v>
      </c>
      <c r="FC21" s="279">
        <f>'[1]May - 2021'!FF21</f>
        <v>30</v>
      </c>
    </row>
    <row r="22" spans="1:159" ht="30" customHeight="1" x14ac:dyDescent="0.25">
      <c r="A22" s="207">
        <v>43843</v>
      </c>
      <c r="B22" s="209">
        <f>'[1]May - 2021'!B22</f>
        <v>0.7</v>
      </c>
      <c r="C22" s="250">
        <f>'[1]May - 2021'!E22</f>
        <v>766268</v>
      </c>
      <c r="D22" s="170">
        <f>'[1]May - 2021'!F22</f>
        <v>572</v>
      </c>
      <c r="E22" s="168">
        <f>'[1]May - 2021'!G22</f>
        <v>276</v>
      </c>
      <c r="F22" s="168">
        <f>'[1]May - 2021'!H22</f>
        <v>17254</v>
      </c>
      <c r="G22" s="170">
        <f>'[1]May - 2021'!I22</f>
        <v>342</v>
      </c>
      <c r="H22" s="168">
        <f>'[1]May - 2021'!J22</f>
        <v>151</v>
      </c>
      <c r="I22" s="168">
        <f>'[1]May - 2021'!K22</f>
        <v>134925</v>
      </c>
      <c r="J22" s="170">
        <f>'[1]May - 2021'!L22</f>
        <v>448</v>
      </c>
      <c r="K22" s="168">
        <f>'[1]May - 2021'!N22</f>
        <v>748290</v>
      </c>
      <c r="L22" s="170">
        <f>'[1]May - 2021'!O22</f>
        <v>354</v>
      </c>
      <c r="M22" s="168">
        <f>'[1]May - 2021'!Q22</f>
        <v>164275</v>
      </c>
      <c r="N22" s="170">
        <f>'[1]May - 2021'!R22</f>
        <v>0</v>
      </c>
      <c r="O22" s="168">
        <f>'[1]May - 2021'!S22</f>
        <v>5980.51</v>
      </c>
      <c r="P22" s="170">
        <f>'[1]May - 2021'!T22</f>
        <v>183.17000000000007</v>
      </c>
      <c r="Q22" s="168">
        <f>'[1]May - 2021'!U22</f>
        <v>86</v>
      </c>
      <c r="R22" s="168">
        <f>'[1]May - 2021'!V22</f>
        <v>2462</v>
      </c>
      <c r="S22" s="208">
        <f>'[1]May - 2021'!W22</f>
        <v>30</v>
      </c>
      <c r="T22" s="521"/>
      <c r="U22" s="169">
        <f>'[1]May - 2021'!AC22</f>
        <v>6542462.6400000006</v>
      </c>
      <c r="V22" s="291">
        <f>'[1]May - 2021'!AD22</f>
        <v>2143.6800000015646</v>
      </c>
      <c r="W22" s="92">
        <f>'[1]May - 2021'!AD22</f>
        <v>2143.6800000015646</v>
      </c>
      <c r="X22" s="290">
        <f>'[1]May - 2021'!AF22</f>
        <v>12782325.359999999</v>
      </c>
      <c r="Y22" s="291">
        <f>'[1]May - 2021'!AG22</f>
        <v>4677.1199999991804</v>
      </c>
      <c r="Z22" s="92">
        <f>'[1]May - 2021'!AG22</f>
        <v>4677.1199999991804</v>
      </c>
      <c r="AA22" s="290">
        <f>'[1]May - 2021'!AI22</f>
        <v>12119782.08</v>
      </c>
      <c r="AB22" s="291">
        <f>'[1]May - 2021'!AJ22</f>
        <v>8233.679999999702</v>
      </c>
      <c r="AC22" s="92">
        <f>'[1]May - 2021'!AJ22</f>
        <v>8233.679999999702</v>
      </c>
      <c r="AD22" s="290">
        <f>'[1]May - 2021'!AL22</f>
        <v>15215938.08</v>
      </c>
      <c r="AE22" s="291">
        <f>'[1]May - 2021'!AM22</f>
        <v>11010.720000000671</v>
      </c>
      <c r="AF22" s="92">
        <f>'[1]May - 2021'!AM22</f>
        <v>11010.720000000671</v>
      </c>
      <c r="AG22" s="290">
        <f>'[1]May - 2021'!AO22</f>
        <v>15533787.359999999</v>
      </c>
      <c r="AH22" s="291">
        <f>'[1]May - 2021'!AP22</f>
        <v>1364.160000000149</v>
      </c>
      <c r="AI22" s="92">
        <f>'[1]May - 2021'!AP22</f>
        <v>1364.160000000149</v>
      </c>
      <c r="AJ22" s="290">
        <f>'[1]May - 2021'!AR22</f>
        <v>14331134.16</v>
      </c>
      <c r="AK22" s="291">
        <f>'[1]May - 2021'!AS22</f>
        <v>5115.6000000014901</v>
      </c>
      <c r="AL22" s="92">
        <f>'[1]May - 2021'!AS22</f>
        <v>5115.6000000014901</v>
      </c>
      <c r="AM22" s="290">
        <f>'[1]May - 2021'!AU22</f>
        <v>12241435.92</v>
      </c>
      <c r="AN22" s="291">
        <f>'[1]May - 2021'!AV22</f>
        <v>4287.3600000012666</v>
      </c>
      <c r="AO22" s="286">
        <f>'[1]May - 2021'!AV22</f>
        <v>4287.3600000012666</v>
      </c>
      <c r="AP22" s="290">
        <f>'[1]May - 2021'!AX22</f>
        <v>11817474.48</v>
      </c>
      <c r="AQ22" s="291">
        <f>'[1]May - 2021'!AY22</f>
        <v>4043.7600000016391</v>
      </c>
      <c r="AR22" s="92">
        <f>'[1]May - 2021'!AY22</f>
        <v>4043.7600000016391</v>
      </c>
      <c r="AS22" s="290">
        <f>'[1]May - 2021'!BA22</f>
        <v>9437746.0800000001</v>
      </c>
      <c r="AT22" s="292">
        <f>'[1]May - 2021'!BB22</f>
        <v>3020.640000000596</v>
      </c>
      <c r="AU22" s="92">
        <f>'[1]May - 2021'!BB22</f>
        <v>3020.640000000596</v>
      </c>
      <c r="AV22" s="290">
        <f>'[1]May - 2021'!BD22</f>
        <v>14396516.4</v>
      </c>
      <c r="AW22" s="252">
        <f>'[1]May - 2021'!BE22</f>
        <v>6382.320000000298</v>
      </c>
      <c r="AX22" s="253">
        <f>'[1]May - 2021'!BE22</f>
        <v>6382.320000000298</v>
      </c>
      <c r="AY22" s="487"/>
      <c r="AZ22" s="272">
        <f>'[1]May - 2021'!BK22</f>
        <v>60477200</v>
      </c>
      <c r="BA22" s="179">
        <f>'[1]May - 2021'!BL22</f>
        <v>40500</v>
      </c>
      <c r="BB22" s="93">
        <f>'[1]May - 2021'!BL22</f>
        <v>40500</v>
      </c>
      <c r="BC22" s="272">
        <f>'[1]May - 2021'!BN22</f>
        <v>63391600</v>
      </c>
      <c r="BD22" s="245">
        <f>'[1]May - 2021'!BO22</f>
        <v>54600</v>
      </c>
      <c r="BE22" s="93">
        <f>'[1]May - 2021'!BO22</f>
        <v>54600</v>
      </c>
      <c r="BF22" s="272">
        <f>'[1]May - 2021'!BQ22</f>
        <v>57971600</v>
      </c>
      <c r="BG22" s="245">
        <f>'[1]May - 2021'!BR22</f>
        <v>0</v>
      </c>
      <c r="BH22" s="93">
        <f>'[1]May - 2021'!BR22</f>
        <v>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3">
        <f>'[1]May - 2021'!BT22</f>
        <v>6318820</v>
      </c>
      <c r="BT22" s="185">
        <f>'[1]May - 2021'!BU22</f>
        <v>6130</v>
      </c>
      <c r="BU22" s="394"/>
      <c r="BV22" s="88">
        <f>'[1]May - 2021'!BW22</f>
        <v>0.78</v>
      </c>
      <c r="BW22" s="241">
        <f>'[1]May - 2021'!BX22</f>
        <v>-3.0000000000000027E-2</v>
      </c>
      <c r="BX22" s="88">
        <f>'[1]May - 2021'!BX22</f>
        <v>-3.0000000000000027E-2</v>
      </c>
      <c r="BY22" s="89">
        <f>'[1]May - 2021'!BZ22</f>
        <v>53333</v>
      </c>
      <c r="BZ22" s="191">
        <f>'[1]May - 2021'!CA22</f>
        <v>18</v>
      </c>
      <c r="CA22" s="89">
        <f>'[1]May - 2021'!CB22</f>
        <v>45000</v>
      </c>
      <c r="CB22" s="191">
        <f>'[1]May - 2021'!CC22</f>
        <v>10</v>
      </c>
      <c r="CC22" s="89">
        <f>'[1]May - 2021'!CD22</f>
        <v>15611</v>
      </c>
      <c r="CD22" s="191">
        <f>'[1]May - 2021'!CE22</f>
        <v>1</v>
      </c>
      <c r="CE22" s="89">
        <f>'[1]May - 2021'!CF22</f>
        <v>19920</v>
      </c>
      <c r="CF22" s="191">
        <f>'[1]May - 2021'!CG22</f>
        <v>10</v>
      </c>
      <c r="CG22" s="89">
        <f>'[1]May - 2021'!CH22</f>
        <v>21644</v>
      </c>
      <c r="CH22" s="191">
        <f>'[1]May - 2021'!CI22</f>
        <v>7</v>
      </c>
      <c r="CI22" s="89">
        <f>'[1]May - 2021'!CJ22</f>
        <v>49245</v>
      </c>
      <c r="CJ22" s="191">
        <f>'[1]May - 2021'!CK22</f>
        <v>28</v>
      </c>
      <c r="CK22" s="89">
        <f>'[1]May - 2021'!CL22</f>
        <v>214269</v>
      </c>
      <c r="CL22" s="246">
        <f>'[1]May - 2021'!CM22</f>
        <v>99</v>
      </c>
      <c r="CM22" s="89">
        <f>'[1]May - 2021'!CM22</f>
        <v>99</v>
      </c>
      <c r="CN22" s="89">
        <f>'[1]May - 2021'!CO22</f>
        <v>162790</v>
      </c>
      <c r="CO22" s="246">
        <f>'[1]May - 2021'!CP22</f>
        <v>91</v>
      </c>
      <c r="CP22" s="89">
        <f>'[1]May - 2021'!CP22</f>
        <v>91</v>
      </c>
      <c r="CQ22" s="89">
        <f>'[1]May - 2021'!CR22</f>
        <v>308195</v>
      </c>
      <c r="CR22" s="246">
        <f>'[1]May - 2021'!CS22</f>
        <v>0</v>
      </c>
      <c r="CS22" s="89">
        <f>'[1]May - 2021'!CS22</f>
        <v>0</v>
      </c>
      <c r="CT22" s="89">
        <f>'[1]May - 2021'!CU22</f>
        <v>571400</v>
      </c>
      <c r="CU22" s="191">
        <f>'[1]May - 2021'!CV22</f>
        <v>253</v>
      </c>
      <c r="CV22" s="454"/>
      <c r="CW22" s="256">
        <f>'[1]May - 2021'!CX22</f>
        <v>4932</v>
      </c>
      <c r="CX22" s="198">
        <f>'[1]May - 2021'!CY22</f>
        <v>6</v>
      </c>
      <c r="CY22" s="257">
        <f>'[1]May - 2021'!CZ22</f>
        <v>2555</v>
      </c>
      <c r="CZ22" s="198">
        <f>'[1]May - 2021'!DA22</f>
        <v>6</v>
      </c>
      <c r="DA22" s="257">
        <f>'[1]May - 2021'!DB22</f>
        <v>24061.200000000001</v>
      </c>
      <c r="DB22" s="198">
        <f>'[1]May - 2021'!DC22</f>
        <v>12.700000000000728</v>
      </c>
      <c r="DC22" s="257">
        <f>'[1]May - 2021'!DD22</f>
        <v>24534.400000000001</v>
      </c>
      <c r="DD22" s="198">
        <f>'[1]May - 2021'!DE22</f>
        <v>9.9000000000014552</v>
      </c>
      <c r="DE22" s="257">
        <f>'[1]May - 2021'!DF22</f>
        <v>17156</v>
      </c>
      <c r="DF22" s="198">
        <f>'[1]May - 2021'!DG22</f>
        <v>8</v>
      </c>
      <c r="DG22" s="257">
        <f>'[1]May - 2021'!DH22</f>
        <v>20129</v>
      </c>
      <c r="DH22" s="198">
        <f>'[1]May - 2021'!DI22</f>
        <v>9</v>
      </c>
      <c r="DI22" s="257">
        <f>'[1]May - 2021'!DJ22</f>
        <v>1504</v>
      </c>
      <c r="DJ22" s="198">
        <f>'[1]May - 2021'!DK22</f>
        <v>8</v>
      </c>
      <c r="DK22" s="257">
        <f>'[1]May - 2021'!DL22</f>
        <v>4426</v>
      </c>
      <c r="DL22" s="198">
        <f>'[1]May - 2021'!DM22</f>
        <v>14</v>
      </c>
      <c r="DM22" s="257">
        <f>'[1]May - 2021'!DN22</f>
        <v>879</v>
      </c>
      <c r="DN22" s="198">
        <f>'[1]May - 2021'!DO22</f>
        <v>0</v>
      </c>
      <c r="DO22" s="257">
        <f>'[1]May - 2021'!DP22</f>
        <v>2324</v>
      </c>
      <c r="DP22" s="198">
        <f>'[1]May - 2021'!DQ22</f>
        <v>8</v>
      </c>
      <c r="DQ22" s="257">
        <f>'[1]May - 2021'!DR22</f>
        <v>24699</v>
      </c>
      <c r="DR22" s="206">
        <f>'[1]May - 2021'!DS22</f>
        <v>17</v>
      </c>
      <c r="DS22" s="439"/>
      <c r="DT22" s="210">
        <f>'[1]May - 2021'!DU22</f>
        <v>1146.9000000000001</v>
      </c>
      <c r="DU22" s="221">
        <f>'[1]May - 2021'!DV22</f>
        <v>8.5</v>
      </c>
      <c r="DV22" s="91">
        <f>'[1]May - 2021'!DW22</f>
        <v>6536.2</v>
      </c>
      <c r="DW22" s="215">
        <f>'[1]May - 2021'!DX22</f>
        <v>5.8999999999996362</v>
      </c>
      <c r="DX22" s="91">
        <f>'[1]May - 2021'!DY22</f>
        <v>884.3</v>
      </c>
      <c r="DY22" s="215">
        <f>'[1]May - 2021'!DZ22</f>
        <v>6.5999999999999091</v>
      </c>
      <c r="DZ22" s="91">
        <f>'[1]May - 2021'!EA22</f>
        <v>429.7</v>
      </c>
      <c r="EA22" s="215">
        <f>'[1]May - 2021'!EB22</f>
        <v>7.6999999999999886</v>
      </c>
      <c r="EB22" s="91">
        <f>'[1]May - 2021'!EC22</f>
        <v>714769</v>
      </c>
      <c r="EC22" s="215">
        <f>'[1]May - 2021'!ED22</f>
        <v>831</v>
      </c>
      <c r="ED22" s="91">
        <f>'[1]May - 2021'!EG22</f>
        <v>144013.5</v>
      </c>
      <c r="EE22" s="229">
        <f>'[1]May - 2021'!EH22</f>
        <v>161.70000000001164</v>
      </c>
      <c r="EF22" s="378"/>
      <c r="EG22" s="235">
        <f>'[1]May - 2021'!EJ22</f>
        <v>8992000</v>
      </c>
      <c r="EH22" s="230">
        <f>'[1]May - 2021'!EK22</f>
        <v>5500</v>
      </c>
      <c r="EI22" s="90">
        <f>'[1]May - 2021'!EL22</f>
        <v>741470</v>
      </c>
      <c r="EJ22" s="230">
        <f>'[1]May - 2021'!EM22</f>
        <v>240</v>
      </c>
      <c r="EK22" s="90">
        <f>'[1]May - 2021'!EN22</f>
        <v>5775900</v>
      </c>
      <c r="EL22" s="230">
        <f>'[1]May - 2021'!EO22</f>
        <v>2400</v>
      </c>
      <c r="EM22" s="90">
        <f>'[1]May - 2021'!EP22</f>
        <v>2037100</v>
      </c>
      <c r="EN22" s="230">
        <f>'[1]May - 2021'!EQ22</f>
        <v>800</v>
      </c>
      <c r="EO22" s="90">
        <f>'[1]May - 2021'!ER22</f>
        <v>806110</v>
      </c>
      <c r="EP22" s="230">
        <f>'[1]May - 2021'!ES22</f>
        <v>900</v>
      </c>
      <c r="EQ22" s="90">
        <f>'[1]May - 2021'!ET22</f>
        <v>12669500</v>
      </c>
      <c r="ER22" s="230">
        <f>'[1]May - 2021'!EU22</f>
        <v>4900</v>
      </c>
      <c r="ES22" s="426"/>
      <c r="ET22" s="284">
        <f>'[1]May - 2021'!EW22</f>
        <v>34472</v>
      </c>
      <c r="EU22" s="278">
        <f>'[1]May - 2021'!EX22</f>
        <v>15</v>
      </c>
      <c r="EV22" s="285">
        <f>'[1]May - 2021'!EY22</f>
        <v>29806</v>
      </c>
      <c r="EW22" s="278">
        <f>'[1]May - 2021'!EZ22</f>
        <v>15</v>
      </c>
      <c r="EX22" s="285">
        <f>'[1]May - 2021'!FA22</f>
        <v>808</v>
      </c>
      <c r="EY22" s="278">
        <f>'[1]May - 2021'!FB22</f>
        <v>12</v>
      </c>
      <c r="EZ22" s="285">
        <f>'[1]May - 2021'!FC22</f>
        <v>50690</v>
      </c>
      <c r="FA22" s="278">
        <f>'[1]May - 2021'!FD22</f>
        <v>18</v>
      </c>
      <c r="FB22" s="285">
        <f>'[1]May - 2021'!FE22</f>
        <v>31490</v>
      </c>
      <c r="FC22" s="279">
        <f>'[1]May - 2021'!FF22</f>
        <v>35</v>
      </c>
    </row>
    <row r="23" spans="1:159" ht="30" customHeight="1" x14ac:dyDescent="0.25">
      <c r="A23" s="207">
        <v>43844</v>
      </c>
      <c r="B23" s="209">
        <f>'[1]May - 2021'!B23</f>
        <v>0.69</v>
      </c>
      <c r="C23" s="250">
        <f>'[1]May - 2021'!E23</f>
        <v>766899</v>
      </c>
      <c r="D23" s="170">
        <f>'[1]May - 2021'!F23</f>
        <v>631</v>
      </c>
      <c r="E23" s="168">
        <f>'[1]May - 2021'!G23</f>
        <v>258</v>
      </c>
      <c r="F23" s="168">
        <f>'[1]May - 2021'!H23</f>
        <v>17634</v>
      </c>
      <c r="G23" s="170">
        <f>'[1]May - 2021'!I23</f>
        <v>380</v>
      </c>
      <c r="H23" s="168">
        <f>'[1]May - 2021'!J23</f>
        <v>166</v>
      </c>
      <c r="I23" s="168">
        <f>'[1]May - 2021'!K23</f>
        <v>135197</v>
      </c>
      <c r="J23" s="170">
        <f>'[1]May - 2021'!L23</f>
        <v>272</v>
      </c>
      <c r="K23" s="168">
        <f>'[1]May - 2021'!N23</f>
        <v>748591</v>
      </c>
      <c r="L23" s="170">
        <f>'[1]May - 2021'!O23</f>
        <v>301</v>
      </c>
      <c r="M23" s="168">
        <f>'[1]May - 2021'!Q23</f>
        <v>164275</v>
      </c>
      <c r="N23" s="170">
        <f>'[1]May - 2021'!R23</f>
        <v>0</v>
      </c>
      <c r="O23" s="168">
        <f>'[1]May - 2021'!S23</f>
        <v>6185.15</v>
      </c>
      <c r="P23" s="170">
        <f>'[1]May - 2021'!T23</f>
        <v>204.63999999999942</v>
      </c>
      <c r="Q23" s="168">
        <f>'[1]May - 2021'!U23</f>
        <v>96</v>
      </c>
      <c r="R23" s="168">
        <f>'[1]May - 2021'!V23</f>
        <v>2499</v>
      </c>
      <c r="S23" s="208">
        <f>'[1]May - 2021'!W23</f>
        <v>37</v>
      </c>
      <c r="T23" s="521"/>
      <c r="U23" s="169">
        <f>'[1]May - 2021'!AC23</f>
        <v>6544606.3200000003</v>
      </c>
      <c r="V23" s="291">
        <f>'[1]May - 2021'!AD23</f>
        <v>2143.679999999702</v>
      </c>
      <c r="W23" s="92">
        <f>'[1]May - 2021'!AD23</f>
        <v>2143.679999999702</v>
      </c>
      <c r="X23" s="290">
        <f>'[1]May - 2021'!AF23</f>
        <v>12786807.6</v>
      </c>
      <c r="Y23" s="291">
        <f>'[1]May - 2021'!AG23</f>
        <v>4482.2400000002235</v>
      </c>
      <c r="Z23" s="92">
        <f>'[1]May - 2021'!AG23</f>
        <v>4482.2400000002235</v>
      </c>
      <c r="AA23" s="290">
        <f>'[1]May - 2021'!AI23</f>
        <v>12128502.959999999</v>
      </c>
      <c r="AB23" s="291">
        <f>'[1]May - 2021'!AJ23</f>
        <v>8720.8799999989569</v>
      </c>
      <c r="AC23" s="92">
        <f>'[1]May - 2021'!AJ23</f>
        <v>8720.8799999989569</v>
      </c>
      <c r="AD23" s="290">
        <f>'[1]May - 2021'!AL23</f>
        <v>15227582.16</v>
      </c>
      <c r="AE23" s="291">
        <f>'[1]May - 2021'!AM23</f>
        <v>11644.080000000075</v>
      </c>
      <c r="AF23" s="92">
        <f>'[1]May - 2021'!AM23</f>
        <v>11644.080000000075</v>
      </c>
      <c r="AG23" s="290">
        <f>'[1]May - 2021'!AO23</f>
        <v>15535346.4</v>
      </c>
      <c r="AH23" s="291">
        <f>'[1]May - 2021'!AP23</f>
        <v>1559.0400000009686</v>
      </c>
      <c r="AI23" s="92">
        <f>'[1]May - 2021'!AP23</f>
        <v>1559.0400000009686</v>
      </c>
      <c r="AJ23" s="290">
        <f>'[1]May - 2021'!AR23</f>
        <v>14336201.039999999</v>
      </c>
      <c r="AK23" s="291">
        <f>'[1]May - 2021'!AS23</f>
        <v>5066.8799999989569</v>
      </c>
      <c r="AL23" s="92">
        <f>'[1]May - 2021'!AS23</f>
        <v>5066.8799999989569</v>
      </c>
      <c r="AM23" s="290">
        <f>'[1]May - 2021'!AU23</f>
        <v>12245674.559999999</v>
      </c>
      <c r="AN23" s="291">
        <f>'[1]May - 2021'!AV23</f>
        <v>4238.6399999987334</v>
      </c>
      <c r="AO23" s="92">
        <f>'[1]May - 2021'!AV23</f>
        <v>4238.6399999987334</v>
      </c>
      <c r="AP23" s="290">
        <f>'[1]May - 2021'!AX23</f>
        <v>11821469.52</v>
      </c>
      <c r="AQ23" s="291">
        <f>'[1]May - 2021'!AY23</f>
        <v>3995.0399999991059</v>
      </c>
      <c r="AR23" s="92">
        <f>'[1]May - 2021'!AY23</f>
        <v>3995.0399999991059</v>
      </c>
      <c r="AS23" s="290">
        <f>'[1]May - 2021'!BA23</f>
        <v>9440815.4399999995</v>
      </c>
      <c r="AT23" s="291">
        <f>'[1]May - 2021'!BB23</f>
        <v>3069.359999999404</v>
      </c>
      <c r="AU23" s="92">
        <f>'[1]May - 2021'!BB23</f>
        <v>3069.359999999404</v>
      </c>
      <c r="AV23" s="290">
        <f>'[1]May - 2021'!BD23</f>
        <v>14402801.280000001</v>
      </c>
      <c r="AW23" s="252">
        <f>'[1]May - 2021'!BE23</f>
        <v>6284.8800000008196</v>
      </c>
      <c r="AX23" s="253">
        <f>'[1]May - 2021'!BE23</f>
        <v>6284.8800000008196</v>
      </c>
      <c r="AY23" s="487"/>
      <c r="AZ23" s="272">
        <f>'[1]May - 2021'!BK23</f>
        <v>60522600</v>
      </c>
      <c r="BA23" s="179">
        <f>'[1]May - 2021'!BL23</f>
        <v>45400</v>
      </c>
      <c r="BB23" s="93">
        <f>'[1]May - 2021'!BL23</f>
        <v>45400</v>
      </c>
      <c r="BC23" s="272">
        <f>'[1]May - 2021'!BN23</f>
        <v>63453500</v>
      </c>
      <c r="BD23" s="245">
        <f>'[1]May - 2021'!BO23</f>
        <v>61900</v>
      </c>
      <c r="BE23" s="93">
        <f>'[1]May - 2021'!BO23</f>
        <v>61900</v>
      </c>
      <c r="BF23" s="272">
        <f>'[1]May - 2021'!BQ23</f>
        <v>57971600</v>
      </c>
      <c r="BG23" s="245">
        <f>'[1]May - 2021'!BR23</f>
        <v>0</v>
      </c>
      <c r="BH23" s="93">
        <f>'[1]May - 2021'!BR23</f>
        <v>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3">
        <f>'[1]May - 2021'!BT23</f>
        <v>6325570</v>
      </c>
      <c r="BT23" s="185">
        <f>'[1]May - 2021'!BU23</f>
        <v>6750</v>
      </c>
      <c r="BU23" s="394"/>
      <c r="BV23" s="88">
        <f>'[1]May - 2021'!BW23</f>
        <v>0.75</v>
      </c>
      <c r="BW23" s="241">
        <f>'[1]May - 2021'!BX23</f>
        <v>3.0000000000000027E-2</v>
      </c>
      <c r="BX23" s="88">
        <f>'[1]May - 2021'!BX23</f>
        <v>3.0000000000000027E-2</v>
      </c>
      <c r="BY23" s="89">
        <f>'[1]May - 2021'!BZ23</f>
        <v>53353</v>
      </c>
      <c r="BZ23" s="191">
        <f>'[1]May - 2021'!CA23</f>
        <v>20</v>
      </c>
      <c r="CA23" s="89">
        <f>'[1]May - 2021'!CB23</f>
        <v>45013</v>
      </c>
      <c r="CB23" s="191">
        <f>'[1]May - 2021'!CC23</f>
        <v>13</v>
      </c>
      <c r="CC23" s="89">
        <f>'[1]May - 2021'!CD23</f>
        <v>15617</v>
      </c>
      <c r="CD23" s="191">
        <f>'[1]May - 2021'!CE23</f>
        <v>6</v>
      </c>
      <c r="CE23" s="89">
        <f>'[1]May - 2021'!CF23</f>
        <v>19930</v>
      </c>
      <c r="CF23" s="191">
        <f>'[1]May - 2021'!CG23</f>
        <v>10</v>
      </c>
      <c r="CG23" s="89">
        <f>'[1]May - 2021'!CH23</f>
        <v>21648</v>
      </c>
      <c r="CH23" s="191">
        <f>'[1]May - 2021'!CI23</f>
        <v>4</v>
      </c>
      <c r="CI23" s="89">
        <f>'[1]May - 2021'!CJ23</f>
        <v>49272</v>
      </c>
      <c r="CJ23" s="191">
        <f>'[1]May - 2021'!CK23</f>
        <v>27</v>
      </c>
      <c r="CK23" s="89">
        <f>'[1]May - 2021'!CL23</f>
        <v>214374</v>
      </c>
      <c r="CL23" s="246">
        <f>'[1]May - 2021'!CM23</f>
        <v>105</v>
      </c>
      <c r="CM23" s="89">
        <f>'[1]May - 2021'!CM23</f>
        <v>105</v>
      </c>
      <c r="CN23" s="89">
        <f>'[1]May - 2021'!CO23</f>
        <v>162891</v>
      </c>
      <c r="CO23" s="246">
        <f>'[1]May - 2021'!CP23</f>
        <v>101</v>
      </c>
      <c r="CP23" s="89">
        <f>'[1]May - 2021'!CP23</f>
        <v>101</v>
      </c>
      <c r="CQ23" s="89">
        <f>'[1]May - 2021'!CR23</f>
        <v>308195</v>
      </c>
      <c r="CR23" s="246">
        <f>'[1]May - 2021'!CS23</f>
        <v>0</v>
      </c>
      <c r="CS23" s="89">
        <f>'[1]May - 2021'!CS23</f>
        <v>0</v>
      </c>
      <c r="CT23" s="89">
        <f>'[1]May - 2021'!CU23</f>
        <v>571670</v>
      </c>
      <c r="CU23" s="191">
        <f>'[1]May - 2021'!CV23</f>
        <v>270</v>
      </c>
      <c r="CV23" s="454"/>
      <c r="CW23" s="256">
        <f>'[1]May - 2021'!CX23</f>
        <v>4940</v>
      </c>
      <c r="CX23" s="198">
        <f>'[1]May - 2021'!CY23</f>
        <v>8</v>
      </c>
      <c r="CY23" s="257">
        <f>'[1]May - 2021'!CZ23</f>
        <v>2561</v>
      </c>
      <c r="CZ23" s="198">
        <f>'[1]May - 2021'!DA23</f>
        <v>6</v>
      </c>
      <c r="DA23" s="257">
        <f>'[1]May - 2021'!DB23</f>
        <v>24073.599999999999</v>
      </c>
      <c r="DB23" s="198">
        <f>'[1]May - 2021'!DC23</f>
        <v>12.399999999997817</v>
      </c>
      <c r="DC23" s="257">
        <f>'[1]May - 2021'!DD23</f>
        <v>24544.5</v>
      </c>
      <c r="DD23" s="198">
        <f>'[1]May - 2021'!DE23</f>
        <v>10.099999999998545</v>
      </c>
      <c r="DE23" s="257">
        <f>'[1]May - 2021'!DF23</f>
        <v>17164</v>
      </c>
      <c r="DF23" s="198">
        <f>'[1]May - 2021'!DG23</f>
        <v>8</v>
      </c>
      <c r="DG23" s="257">
        <f>'[1]May - 2021'!DH23</f>
        <v>20136</v>
      </c>
      <c r="DH23" s="198">
        <f>'[1]May - 2021'!DI23</f>
        <v>7</v>
      </c>
      <c r="DI23" s="257">
        <f>'[1]May - 2021'!DJ23</f>
        <v>1511</v>
      </c>
      <c r="DJ23" s="198">
        <f>'[1]May - 2021'!DK23</f>
        <v>7</v>
      </c>
      <c r="DK23" s="257">
        <f>'[1]May - 2021'!DL23</f>
        <v>4441</v>
      </c>
      <c r="DL23" s="198">
        <f>'[1]May - 2021'!DM23</f>
        <v>15</v>
      </c>
      <c r="DM23" s="257">
        <f>'[1]May - 2021'!DN23</f>
        <v>879</v>
      </c>
      <c r="DN23" s="198">
        <f>'[1]May - 2021'!DO23</f>
        <v>0</v>
      </c>
      <c r="DO23" s="257">
        <f>'[1]May - 2021'!DP23</f>
        <v>2333</v>
      </c>
      <c r="DP23" s="198">
        <f>'[1]May - 2021'!DQ23</f>
        <v>9</v>
      </c>
      <c r="DQ23" s="257">
        <f>'[1]May - 2021'!DR23</f>
        <v>24717</v>
      </c>
      <c r="DR23" s="206">
        <f>'[1]May - 2021'!DS23</f>
        <v>18</v>
      </c>
      <c r="DS23" s="439"/>
      <c r="DT23" s="210">
        <f>'[1]May - 2021'!DU23</f>
        <v>1155.5999999999999</v>
      </c>
      <c r="DU23" s="221">
        <f>'[1]May - 2021'!DV23</f>
        <v>8.6999999999998181</v>
      </c>
      <c r="DV23" s="91">
        <f>'[1]May - 2021'!DW23</f>
        <v>6542.2</v>
      </c>
      <c r="DW23" s="215">
        <f>'[1]May - 2021'!DX23</f>
        <v>6</v>
      </c>
      <c r="DX23" s="91">
        <f>'[1]May - 2021'!DY23</f>
        <v>891</v>
      </c>
      <c r="DY23" s="215">
        <f>'[1]May - 2021'!DZ23</f>
        <v>6.7000000000000455</v>
      </c>
      <c r="DZ23" s="91">
        <f>'[1]May - 2021'!EA23</f>
        <v>438.3</v>
      </c>
      <c r="EA23" s="215">
        <f>'[1]May - 2021'!EB23</f>
        <v>8.6000000000000227</v>
      </c>
      <c r="EB23" s="91">
        <f>'[1]May - 2021'!EC23</f>
        <v>715684</v>
      </c>
      <c r="EC23" s="215">
        <f>'[1]May - 2021'!ED23</f>
        <v>915</v>
      </c>
      <c r="ED23" s="91">
        <f>'[1]May - 2021'!EG23</f>
        <v>144169.29999999999</v>
      </c>
      <c r="EE23" s="229">
        <f>'[1]May - 2021'!EH23</f>
        <v>155.79999999998836</v>
      </c>
      <c r="EF23" s="378"/>
      <c r="EG23" s="235">
        <f>'[1]May - 2021'!EJ23</f>
        <v>8997900</v>
      </c>
      <c r="EH23" s="230">
        <f>'[1]May - 2021'!EK23</f>
        <v>5900</v>
      </c>
      <c r="EI23" s="90">
        <f>'[1]May - 2021'!EL23</f>
        <v>741850</v>
      </c>
      <c r="EJ23" s="230">
        <f>'[1]May - 2021'!EM23</f>
        <v>380</v>
      </c>
      <c r="EK23" s="90">
        <f>'[1]May - 2021'!EN23</f>
        <v>5778300</v>
      </c>
      <c r="EL23" s="230">
        <f>'[1]May - 2021'!EO23</f>
        <v>2400</v>
      </c>
      <c r="EM23" s="90">
        <f>'[1]May - 2021'!EP23</f>
        <v>2037900</v>
      </c>
      <c r="EN23" s="230">
        <f>'[1]May - 2021'!EQ23</f>
        <v>800</v>
      </c>
      <c r="EO23" s="90">
        <f>'[1]May - 2021'!ER23</f>
        <v>807130</v>
      </c>
      <c r="EP23" s="230">
        <f>'[1]May - 2021'!ES23</f>
        <v>1020</v>
      </c>
      <c r="EQ23" s="90">
        <f>'[1]May - 2021'!ET23</f>
        <v>12675700</v>
      </c>
      <c r="ER23" s="230">
        <f>'[1]May - 2021'!EU23</f>
        <v>6200</v>
      </c>
      <c r="ES23" s="426"/>
      <c r="ET23" s="284">
        <f>'[1]May - 2021'!EW23</f>
        <v>34487</v>
      </c>
      <c r="EU23" s="278">
        <f>'[1]May - 2021'!EX23</f>
        <v>15</v>
      </c>
      <c r="EV23" s="285">
        <f>'[1]May - 2021'!EY23</f>
        <v>29820</v>
      </c>
      <c r="EW23" s="278">
        <f>'[1]May - 2021'!EZ23</f>
        <v>14</v>
      </c>
      <c r="EX23" s="285">
        <f>'[1]May - 2021'!FA23</f>
        <v>826</v>
      </c>
      <c r="EY23" s="278">
        <f>'[1]May - 2021'!FB23</f>
        <v>18</v>
      </c>
      <c r="EZ23" s="285">
        <f>'[1]May - 2021'!FC23</f>
        <v>50708</v>
      </c>
      <c r="FA23" s="278">
        <f>'[1]May - 2021'!FD23</f>
        <v>18</v>
      </c>
      <c r="FB23" s="285">
        <f>'[1]May - 2021'!FE23</f>
        <v>31525</v>
      </c>
      <c r="FC23" s="279">
        <f>'[1]May - 2021'!FF23</f>
        <v>35</v>
      </c>
    </row>
    <row r="24" spans="1:159" ht="30" customHeight="1" x14ac:dyDescent="0.25">
      <c r="A24" s="207">
        <v>43845</v>
      </c>
      <c r="B24" s="209">
        <f>'[1]May - 2021'!B24</f>
        <v>0.59</v>
      </c>
      <c r="C24" s="250">
        <f>'[1]May - 2021'!E24</f>
        <v>767484</v>
      </c>
      <c r="D24" s="170">
        <f>'[1]May - 2021'!F24</f>
        <v>585</v>
      </c>
      <c r="E24" s="168">
        <f>'[1]May - 2021'!G24</f>
        <v>276</v>
      </c>
      <c r="F24" s="168">
        <f>'[1]May - 2021'!H24</f>
        <v>17954</v>
      </c>
      <c r="G24" s="170">
        <f>'[1]May - 2021'!I24</f>
        <v>320</v>
      </c>
      <c r="H24" s="168">
        <f>'[1]May - 2021'!J24</f>
        <v>158</v>
      </c>
      <c r="I24" s="168">
        <f>'[1]May - 2021'!K24</f>
        <v>135555</v>
      </c>
      <c r="J24" s="170">
        <f>'[1]May - 2021'!L24</f>
        <v>358</v>
      </c>
      <c r="K24" s="168">
        <f>'[1]May - 2021'!N24</f>
        <v>748923</v>
      </c>
      <c r="L24" s="170">
        <f>'[1]May - 2021'!O24</f>
        <v>332</v>
      </c>
      <c r="M24" s="168">
        <f>'[1]May - 2021'!Q24</f>
        <v>164275</v>
      </c>
      <c r="N24" s="170">
        <f>'[1]May - 2021'!R24</f>
        <v>0</v>
      </c>
      <c r="O24" s="168">
        <f>'[1]May - 2021'!S24</f>
        <v>6384.09</v>
      </c>
      <c r="P24" s="170">
        <f>'[1]May - 2021'!T24</f>
        <v>198.94000000000051</v>
      </c>
      <c r="Q24" s="168">
        <f>'[1]May - 2021'!U24</f>
        <v>106</v>
      </c>
      <c r="R24" s="168">
        <f>'[1]May - 2021'!V24</f>
        <v>2536</v>
      </c>
      <c r="S24" s="208">
        <f>'[1]May - 2021'!W24</f>
        <v>37</v>
      </c>
      <c r="T24" s="521"/>
      <c r="U24" s="169">
        <f>'[1]May - 2021'!AC24</f>
        <v>6547480.7999999998</v>
      </c>
      <c r="V24" s="291">
        <f>'[1]May - 2021'!AD24</f>
        <v>2874.4799999995157</v>
      </c>
      <c r="W24" s="92">
        <f>'[1]May - 2021'!AD24</f>
        <v>2874.4799999995157</v>
      </c>
      <c r="X24" s="290">
        <f>'[1]May - 2021'!AF24</f>
        <v>12791484.719999999</v>
      </c>
      <c r="Y24" s="291">
        <f>'[1]May - 2021'!AG24</f>
        <v>4677.1199999991804</v>
      </c>
      <c r="Z24" s="92">
        <f>'[1]May - 2021'!AG24</f>
        <v>4677.1199999991804</v>
      </c>
      <c r="AA24" s="290">
        <f>'[1]May - 2021'!AI24</f>
        <v>12129672.24</v>
      </c>
      <c r="AB24" s="291">
        <f>'[1]May - 2021'!AJ24</f>
        <v>1169.2800000011921</v>
      </c>
      <c r="AC24" s="92">
        <f>'[1]May - 2021'!AJ24</f>
        <v>1169.2800000011921</v>
      </c>
      <c r="AD24" s="290">
        <f>'[1]May - 2021'!AL24</f>
        <v>15235547.880000001</v>
      </c>
      <c r="AE24" s="291">
        <f>'[1]May - 2021'!AM24</f>
        <v>7965.7200000006706</v>
      </c>
      <c r="AF24" s="92">
        <f>'[1]May - 2021'!AM24</f>
        <v>7965.7200000006706</v>
      </c>
      <c r="AG24" s="290">
        <f>'[1]May - 2021'!AO24</f>
        <v>15547136.640000001</v>
      </c>
      <c r="AH24" s="291">
        <f>'[1]May - 2021'!AP24</f>
        <v>11790.240000000224</v>
      </c>
      <c r="AI24" s="92">
        <f>'[1]May - 2021'!AP24</f>
        <v>11790.240000000224</v>
      </c>
      <c r="AJ24" s="290">
        <f>'[1]May - 2021'!AR24</f>
        <v>14341414.08</v>
      </c>
      <c r="AK24" s="291">
        <f>'[1]May - 2021'!AS24</f>
        <v>5213.0400000009686</v>
      </c>
      <c r="AL24" s="92">
        <f>'[1]May - 2021'!AS24</f>
        <v>5213.0400000009686</v>
      </c>
      <c r="AM24" s="290">
        <f>'[1]May - 2021'!AU24</f>
        <v>12250059.359999999</v>
      </c>
      <c r="AN24" s="291">
        <f>'[1]May - 2021'!AV24</f>
        <v>4384.8000000007451</v>
      </c>
      <c r="AO24" s="92">
        <f>'[1]May - 2021'!AV24</f>
        <v>4384.8000000007451</v>
      </c>
      <c r="AP24" s="290">
        <f>'[1]May - 2021'!AX24</f>
        <v>11825562</v>
      </c>
      <c r="AQ24" s="291">
        <f>'[1]May - 2021'!AY24</f>
        <v>4092.480000000447</v>
      </c>
      <c r="AR24" s="92">
        <f>'[1]May - 2021'!AY24</f>
        <v>4092.480000000447</v>
      </c>
      <c r="AS24" s="290">
        <f>'[1]May - 2021'!BA24</f>
        <v>9443787.3599999994</v>
      </c>
      <c r="AT24" s="291">
        <f>'[1]May - 2021'!BB24</f>
        <v>2971.9199999999255</v>
      </c>
      <c r="AU24" s="92">
        <f>'[1]May - 2021'!BB24</f>
        <v>2971.9199999999255</v>
      </c>
      <c r="AV24" s="290">
        <f>'[1]May - 2021'!BD24</f>
        <v>14409329.76</v>
      </c>
      <c r="AW24" s="252">
        <f>'[1]May - 2021'!BE24</f>
        <v>6528.4799999985844</v>
      </c>
      <c r="AX24" s="253">
        <f>'[1]May - 2021'!BE24</f>
        <v>6528.4799999985844</v>
      </c>
      <c r="AY24" s="487"/>
      <c r="AZ24" s="272">
        <f>'[1]May - 2021'!BK24</f>
        <v>60524400</v>
      </c>
      <c r="BA24" s="179">
        <f>'[1]May - 2021'!BL24</f>
        <v>1800</v>
      </c>
      <c r="BB24" s="93">
        <f>'[1]May - 2021'!BL24</f>
        <v>1800</v>
      </c>
      <c r="BC24" s="272">
        <f>'[1]May - 2021'!BN24</f>
        <v>63493000</v>
      </c>
      <c r="BD24" s="245">
        <f>'[1]May - 2021'!BO24</f>
        <v>39500</v>
      </c>
      <c r="BE24" s="93">
        <f>'[1]May - 2021'!BO24</f>
        <v>39500</v>
      </c>
      <c r="BF24" s="272">
        <f>'[1]May - 2021'!BQ24</f>
        <v>58026500</v>
      </c>
      <c r="BG24" s="245">
        <f>'[1]May - 2021'!BR24</f>
        <v>54900</v>
      </c>
      <c r="BH24" s="93">
        <f>'[1]May - 2021'!BR24</f>
        <v>54900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3">
        <f>'[1]May - 2021'!BT24</f>
        <v>6330970</v>
      </c>
      <c r="BT24" s="185">
        <f>'[1]May - 2021'!BU24</f>
        <v>5400</v>
      </c>
      <c r="BU24" s="394"/>
      <c r="BV24" s="88">
        <f>'[1]May - 2021'!BW24</f>
        <v>0.78</v>
      </c>
      <c r="BW24" s="241">
        <f>'[1]May - 2021'!BX24</f>
        <v>-3.0000000000000027E-2</v>
      </c>
      <c r="BX24" s="88">
        <f>'[1]May - 2021'!BX24</f>
        <v>-3.0000000000000027E-2</v>
      </c>
      <c r="BY24" s="89">
        <f>'[1]May - 2021'!BZ24</f>
        <v>53368</v>
      </c>
      <c r="BZ24" s="191">
        <f>'[1]May - 2021'!CA24</f>
        <v>15</v>
      </c>
      <c r="CA24" s="89">
        <f>'[1]May - 2021'!CB24</f>
        <v>45025</v>
      </c>
      <c r="CB24" s="191">
        <f>'[1]May - 2021'!CC24</f>
        <v>12</v>
      </c>
      <c r="CC24" s="89">
        <f>'[1]May - 2021'!CD24</f>
        <v>15624</v>
      </c>
      <c r="CD24" s="191">
        <f>'[1]May - 2021'!CE24</f>
        <v>7</v>
      </c>
      <c r="CE24" s="89">
        <f>'[1]May - 2021'!CF24</f>
        <v>19940</v>
      </c>
      <c r="CF24" s="191">
        <f>'[1]May - 2021'!CG24</f>
        <v>10</v>
      </c>
      <c r="CG24" s="89">
        <f>'[1]May - 2021'!CH24</f>
        <v>21660</v>
      </c>
      <c r="CH24" s="191">
        <f>'[1]May - 2021'!CI24</f>
        <v>12</v>
      </c>
      <c r="CI24" s="89">
        <f>'[1]May - 2021'!CJ24</f>
        <v>49300</v>
      </c>
      <c r="CJ24" s="191">
        <f>'[1]May - 2021'!CK24</f>
        <v>28</v>
      </c>
      <c r="CK24" s="89">
        <f>'[1]May - 2021'!CL24</f>
        <v>214480</v>
      </c>
      <c r="CL24" s="246">
        <f>'[1]May - 2021'!CM24</f>
        <v>106</v>
      </c>
      <c r="CM24" s="89">
        <f>'[1]May - 2021'!CM24</f>
        <v>106</v>
      </c>
      <c r="CN24" s="89">
        <f>'[1]May - 2021'!CO24</f>
        <v>162979</v>
      </c>
      <c r="CO24" s="246">
        <f>'[1]May - 2021'!CP24</f>
        <v>88</v>
      </c>
      <c r="CP24" s="89">
        <f>'[1]May - 2021'!CP24</f>
        <v>88</v>
      </c>
      <c r="CQ24" s="89">
        <f>'[1]May - 2021'!CR24</f>
        <v>308195</v>
      </c>
      <c r="CR24" s="246">
        <f>'[1]May - 2021'!CS24</f>
        <v>0</v>
      </c>
      <c r="CS24" s="89">
        <f>'[1]May - 2021'!CS24</f>
        <v>0</v>
      </c>
      <c r="CT24" s="89">
        <f>'[1]May - 2021'!CU24</f>
        <v>571949</v>
      </c>
      <c r="CU24" s="191">
        <f>'[1]May - 2021'!CV24</f>
        <v>279</v>
      </c>
      <c r="CV24" s="454"/>
      <c r="CW24" s="256">
        <f>'[1]May - 2021'!CX24</f>
        <v>4947</v>
      </c>
      <c r="CX24" s="198">
        <f>'[1]May - 2021'!CY24</f>
        <v>7</v>
      </c>
      <c r="CY24" s="257">
        <f>'[1]May - 2021'!CZ24</f>
        <v>2567</v>
      </c>
      <c r="CZ24" s="198">
        <f>'[1]May - 2021'!DA24</f>
        <v>6</v>
      </c>
      <c r="DA24" s="257">
        <f>'[1]May - 2021'!DB24</f>
        <v>24085.4</v>
      </c>
      <c r="DB24" s="198">
        <f>'[1]May - 2021'!DC24</f>
        <v>11.80000000000291</v>
      </c>
      <c r="DC24" s="257">
        <f>'[1]May - 2021'!DD24</f>
        <v>24554.9</v>
      </c>
      <c r="DD24" s="198">
        <f>'[1]May - 2021'!DE24</f>
        <v>10.400000000001455</v>
      </c>
      <c r="DE24" s="257">
        <f>'[1]May - 2021'!DF24</f>
        <v>17172</v>
      </c>
      <c r="DF24" s="198">
        <f>'[1]May - 2021'!DG24</f>
        <v>8</v>
      </c>
      <c r="DG24" s="257">
        <f>'[1]May - 2021'!DH24</f>
        <v>20144</v>
      </c>
      <c r="DH24" s="198">
        <f>'[1]May - 2021'!DI24</f>
        <v>8</v>
      </c>
      <c r="DI24" s="257">
        <f>'[1]May - 2021'!DJ24</f>
        <v>1518</v>
      </c>
      <c r="DJ24" s="198">
        <f>'[1]May - 2021'!DK24</f>
        <v>7</v>
      </c>
      <c r="DK24" s="257">
        <f>'[1]May - 2021'!DL24</f>
        <v>4453</v>
      </c>
      <c r="DL24" s="198">
        <f>'[1]May - 2021'!DM24</f>
        <v>12</v>
      </c>
      <c r="DM24" s="257">
        <f>'[1]May - 2021'!DN24</f>
        <v>879</v>
      </c>
      <c r="DN24" s="198">
        <f>'[1]May - 2021'!DO24</f>
        <v>0</v>
      </c>
      <c r="DO24" s="257">
        <f>'[1]May - 2021'!DP24</f>
        <v>2340</v>
      </c>
      <c r="DP24" s="198">
        <f>'[1]May - 2021'!DQ24</f>
        <v>7</v>
      </c>
      <c r="DQ24" s="257">
        <f>'[1]May - 2021'!DR24</f>
        <v>24730</v>
      </c>
      <c r="DR24" s="206">
        <f>'[1]May - 2021'!DS24</f>
        <v>13</v>
      </c>
      <c r="DS24" s="439"/>
      <c r="DT24" s="210">
        <f>'[1]May - 2021'!DU24</f>
        <v>1164.4000000000001</v>
      </c>
      <c r="DU24" s="221">
        <f>'[1]May - 2021'!DV24</f>
        <v>8.8000000000001819</v>
      </c>
      <c r="DV24" s="91">
        <f>'[1]May - 2021'!DW24</f>
        <v>6547.9</v>
      </c>
      <c r="DW24" s="215">
        <f>'[1]May - 2021'!DX24</f>
        <v>5.6999999999998181</v>
      </c>
      <c r="DX24" s="91">
        <f>'[1]May - 2021'!DY24</f>
        <v>897</v>
      </c>
      <c r="DY24" s="215">
        <f>'[1]May - 2021'!DZ24</f>
        <v>6</v>
      </c>
      <c r="DZ24" s="91">
        <f>'[1]May - 2021'!EA24</f>
        <v>446.5</v>
      </c>
      <c r="EA24" s="215">
        <f>'[1]May - 2021'!EB24</f>
        <v>8.1999999999999886</v>
      </c>
      <c r="EB24" s="91">
        <f>'[1]May - 2021'!EC24</f>
        <v>716540</v>
      </c>
      <c r="EC24" s="215">
        <f>'[1]May - 2021'!ED24</f>
        <v>856</v>
      </c>
      <c r="ED24" s="91">
        <f>'[1]May - 2021'!EG24</f>
        <v>144328.79999999999</v>
      </c>
      <c r="EE24" s="229">
        <f>'[1]May - 2021'!EH24</f>
        <v>159.5</v>
      </c>
      <c r="EF24" s="378"/>
      <c r="EG24" s="235">
        <f>'[1]May - 2021'!EJ24</f>
        <v>9003900</v>
      </c>
      <c r="EH24" s="230">
        <f>'[1]May - 2021'!EK24</f>
        <v>6000</v>
      </c>
      <c r="EI24" s="90">
        <f>'[1]May - 2021'!EL24</f>
        <v>742230</v>
      </c>
      <c r="EJ24" s="230">
        <f>'[1]May - 2021'!EM24</f>
        <v>380</v>
      </c>
      <c r="EK24" s="90">
        <f>'[1]May - 2021'!EN24</f>
        <v>5780800</v>
      </c>
      <c r="EL24" s="230">
        <f>'[1]May - 2021'!EO24</f>
        <v>2500</v>
      </c>
      <c r="EM24" s="90">
        <f>'[1]May - 2021'!EP24</f>
        <v>2038300</v>
      </c>
      <c r="EN24" s="230">
        <f>'[1]May - 2021'!EQ24</f>
        <v>400</v>
      </c>
      <c r="EO24" s="90">
        <f>'[1]May - 2021'!ER24</f>
        <v>808130</v>
      </c>
      <c r="EP24" s="230">
        <f>'[1]May - 2021'!ES24</f>
        <v>1000</v>
      </c>
      <c r="EQ24" s="90">
        <f>'[1]May - 2021'!ET24</f>
        <v>12682700</v>
      </c>
      <c r="ER24" s="230">
        <f>'[1]May - 2021'!EU24</f>
        <v>7000</v>
      </c>
      <c r="ES24" s="426"/>
      <c r="ET24" s="284">
        <f>'[1]May - 2021'!EW24</f>
        <v>34505</v>
      </c>
      <c r="EU24" s="278">
        <f>'[1]May - 2021'!EX24</f>
        <v>18</v>
      </c>
      <c r="EV24" s="285">
        <f>'[1]May - 2021'!EY24</f>
        <v>29836</v>
      </c>
      <c r="EW24" s="278">
        <f>'[1]May - 2021'!EZ24</f>
        <v>16</v>
      </c>
      <c r="EX24" s="285">
        <f>'[1]May - 2021'!FA24</f>
        <v>839</v>
      </c>
      <c r="EY24" s="278">
        <f>'[1]May - 2021'!FB24</f>
        <v>13</v>
      </c>
      <c r="EZ24" s="285">
        <f>'[1]May - 2021'!FC24</f>
        <v>50724</v>
      </c>
      <c r="FA24" s="278">
        <f>'[1]May - 2021'!FD24</f>
        <v>16</v>
      </c>
      <c r="FB24" s="285">
        <f>'[1]May - 2021'!FE24</f>
        <v>31556</v>
      </c>
      <c r="FC24" s="279">
        <f>'[1]May - 2021'!FF24</f>
        <v>31</v>
      </c>
    </row>
    <row r="25" spans="1:159" ht="30" customHeight="1" x14ac:dyDescent="0.25">
      <c r="A25" s="207">
        <v>43846</v>
      </c>
      <c r="B25" s="209">
        <f>'[1]May - 2021'!B25</f>
        <v>0.51</v>
      </c>
      <c r="C25" s="250">
        <f>'[1]May - 2021'!E25</f>
        <v>768074</v>
      </c>
      <c r="D25" s="170">
        <f>'[1]May - 2021'!F25</f>
        <v>590</v>
      </c>
      <c r="E25" s="168">
        <f>'[1]May - 2021'!G25</f>
        <v>301</v>
      </c>
      <c r="F25" s="168">
        <f>'[1]May - 2021'!H25</f>
        <v>18291</v>
      </c>
      <c r="G25" s="170">
        <f>'[1]May - 2021'!I25</f>
        <v>337</v>
      </c>
      <c r="H25" s="168">
        <f>'[1]May - 2021'!J25</f>
        <v>178</v>
      </c>
      <c r="I25" s="168">
        <f>'[1]May - 2021'!K25</f>
        <v>135888</v>
      </c>
      <c r="J25" s="170">
        <f>'[1]May - 2021'!L25</f>
        <v>333</v>
      </c>
      <c r="K25" s="168">
        <f>'[1]May - 2021'!N25</f>
        <v>749171</v>
      </c>
      <c r="L25" s="170">
        <f>'[1]May - 2021'!O25</f>
        <v>248</v>
      </c>
      <c r="M25" s="168">
        <f>'[1]May - 2021'!Q25</f>
        <v>164275</v>
      </c>
      <c r="N25" s="170">
        <f>'[1]May - 2021'!R25</f>
        <v>0</v>
      </c>
      <c r="O25" s="168">
        <f>'[1]May - 2021'!S25</f>
        <v>6580.05</v>
      </c>
      <c r="P25" s="170">
        <f>'[1]May - 2021'!T25</f>
        <v>195.96000000000004</v>
      </c>
      <c r="Q25" s="168">
        <f>'[1]May - 2021'!U25</f>
        <v>119</v>
      </c>
      <c r="R25" s="168">
        <f>'[1]May - 2021'!V25</f>
        <v>2570</v>
      </c>
      <c r="S25" s="208">
        <f>'[1]May - 2021'!W25</f>
        <v>34</v>
      </c>
      <c r="T25" s="521"/>
      <c r="U25" s="169">
        <f>'[1]May - 2021'!AC25</f>
        <v>6550988.6400000006</v>
      </c>
      <c r="V25" s="291">
        <f>'[1]May - 2021'!AD25</f>
        <v>3507.8400000007823</v>
      </c>
      <c r="W25" s="92">
        <f>'[1]May - 2021'!AD25</f>
        <v>3507.8400000007823</v>
      </c>
      <c r="X25" s="290">
        <f>'[1]May - 2021'!AF25</f>
        <v>12796064.4</v>
      </c>
      <c r="Y25" s="291">
        <f>'[1]May - 2021'!AG25</f>
        <v>4579.6800000015646</v>
      </c>
      <c r="Z25" s="92">
        <f>'[1]May - 2021'!AG25</f>
        <v>4579.6800000015646</v>
      </c>
      <c r="AA25" s="290">
        <f>'[1]May - 2021'!AI25</f>
        <v>12130354.319999998</v>
      </c>
      <c r="AB25" s="291">
        <f>'[1]May - 2021'!AJ25</f>
        <v>682.07999999821186</v>
      </c>
      <c r="AC25" s="92">
        <f>'[1]May - 2021'!AJ25</f>
        <v>682.07999999821186</v>
      </c>
      <c r="AD25" s="290">
        <f>'[1]May - 2021'!AL25</f>
        <v>15241613.52</v>
      </c>
      <c r="AE25" s="291">
        <f>'[1]May - 2021'!AM25</f>
        <v>6065.6399999987334</v>
      </c>
      <c r="AF25" s="92">
        <f>'[1]May - 2021'!AM25</f>
        <v>6065.6399999987334</v>
      </c>
      <c r="AG25" s="290">
        <f>'[1]May - 2021'!AO25</f>
        <v>15559755.119999999</v>
      </c>
      <c r="AH25" s="291">
        <f>'[1]May - 2021'!AP25</f>
        <v>12618.479999998584</v>
      </c>
      <c r="AI25" s="92">
        <f>'[1]May - 2021'!AP25</f>
        <v>12618.479999998584</v>
      </c>
      <c r="AJ25" s="290">
        <f>'[1]May - 2021'!AR25</f>
        <v>14346286.08</v>
      </c>
      <c r="AK25" s="291">
        <f>'[1]May - 2021'!AS25</f>
        <v>4872</v>
      </c>
      <c r="AL25" s="92">
        <f>'[1]May - 2021'!AS25</f>
        <v>4872</v>
      </c>
      <c r="AM25" s="290">
        <f>'[1]May - 2021'!AU25</f>
        <v>12254444.16</v>
      </c>
      <c r="AN25" s="291">
        <f>'[1]May - 2021'!AV25</f>
        <v>4384.8000000007451</v>
      </c>
      <c r="AO25" s="92">
        <f>'[1]May - 2021'!AV25</f>
        <v>4384.8000000007451</v>
      </c>
      <c r="AP25" s="290">
        <f>'[1]May - 2021'!AX25</f>
        <v>11829264.719999999</v>
      </c>
      <c r="AQ25" s="291">
        <f>'[1]May - 2021'!AY25</f>
        <v>3702.7199999988079</v>
      </c>
      <c r="AR25" s="92">
        <f>'[1]May - 2021'!AY25</f>
        <v>3702.7199999988079</v>
      </c>
      <c r="AS25" s="290">
        <f>'[1]May - 2021'!BA25</f>
        <v>9446613.1199999992</v>
      </c>
      <c r="AT25" s="291">
        <f>'[1]May - 2021'!BB25</f>
        <v>2825.7599999997765</v>
      </c>
      <c r="AU25" s="92">
        <f>'[1]May - 2021'!BB25</f>
        <v>2825.7599999997765</v>
      </c>
      <c r="AV25" s="290">
        <f>'[1]May - 2021'!BD25</f>
        <v>14415760.799999999</v>
      </c>
      <c r="AW25" s="252">
        <f>'[1]May - 2021'!BE25</f>
        <v>6431.0399999991059</v>
      </c>
      <c r="AX25" s="253">
        <f>'[1]May - 2021'!BE25</f>
        <v>6431.0399999991059</v>
      </c>
      <c r="AY25" s="487"/>
      <c r="AZ25" s="272">
        <f>'[1]May - 2021'!BK25</f>
        <v>60524400</v>
      </c>
      <c r="BA25" s="179">
        <f>'[1]May - 2021'!BL25</f>
        <v>0</v>
      </c>
      <c r="BB25" s="93">
        <f>'[1]May - 2021'!BL25</f>
        <v>0</v>
      </c>
      <c r="BC25" s="272">
        <f>'[1]May - 2021'!BN25</f>
        <v>63529100</v>
      </c>
      <c r="BD25" s="245">
        <f>'[1]May - 2021'!BO25</f>
        <v>36100</v>
      </c>
      <c r="BE25" s="93">
        <f>'[1]May - 2021'!BO25</f>
        <v>36100</v>
      </c>
      <c r="BF25" s="272">
        <f>'[1]May - 2021'!BQ25</f>
        <v>58087100</v>
      </c>
      <c r="BG25" s="245">
        <f>'[1]May - 2021'!BR25</f>
        <v>60600</v>
      </c>
      <c r="BH25" s="93">
        <f>'[1]May - 2021'!BR25</f>
        <v>60600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3">
        <f>'[1]May - 2021'!BT25</f>
        <v>6337320</v>
      </c>
      <c r="BT25" s="185">
        <f>'[1]May - 2021'!BU25</f>
        <v>6350</v>
      </c>
      <c r="BU25" s="394"/>
      <c r="BV25" s="88">
        <f>'[1]May - 2021'!BW25</f>
        <v>0.75</v>
      </c>
      <c r="BW25" s="241">
        <f>'[1]May - 2021'!BX25</f>
        <v>3.0000000000000027E-2</v>
      </c>
      <c r="BX25" s="88">
        <f>'[1]May - 2021'!BX25</f>
        <v>3.0000000000000027E-2</v>
      </c>
      <c r="BY25" s="89">
        <f>'[1]May - 2021'!BZ25</f>
        <v>53386</v>
      </c>
      <c r="BZ25" s="191">
        <f>'[1]May - 2021'!CA25</f>
        <v>18</v>
      </c>
      <c r="CA25" s="89">
        <f>'[1]May - 2021'!CB25</f>
        <v>45041</v>
      </c>
      <c r="CB25" s="191">
        <f>'[1]May - 2021'!CC25</f>
        <v>16</v>
      </c>
      <c r="CC25" s="89">
        <f>'[1]May - 2021'!CD25</f>
        <v>15630</v>
      </c>
      <c r="CD25" s="191">
        <f>'[1]May - 2021'!CE25</f>
        <v>6</v>
      </c>
      <c r="CE25" s="89">
        <f>'[1]May - 2021'!CF25</f>
        <v>19951</v>
      </c>
      <c r="CF25" s="191">
        <f>'[1]May - 2021'!CG25</f>
        <v>11</v>
      </c>
      <c r="CG25" s="89">
        <f>'[1]May - 2021'!CH25</f>
        <v>21670</v>
      </c>
      <c r="CH25" s="191">
        <f>'[1]May - 2021'!CI25</f>
        <v>10</v>
      </c>
      <c r="CI25" s="89">
        <f>'[1]May - 2021'!CJ25</f>
        <v>49325</v>
      </c>
      <c r="CJ25" s="191">
        <f>'[1]May - 2021'!CK25</f>
        <v>25</v>
      </c>
      <c r="CK25" s="89">
        <f>'[1]May - 2021'!CL25</f>
        <v>214582</v>
      </c>
      <c r="CL25" s="246">
        <f>'[1]May - 2021'!CM25</f>
        <v>102</v>
      </c>
      <c r="CM25" s="89">
        <f>'[1]May - 2021'!CM25</f>
        <v>102</v>
      </c>
      <c r="CN25" s="89">
        <f>'[1]May - 2021'!CO25</f>
        <v>163070</v>
      </c>
      <c r="CO25" s="246">
        <f>'[1]May - 2021'!CP25</f>
        <v>91</v>
      </c>
      <c r="CP25" s="89">
        <f>'[1]May - 2021'!CP25</f>
        <v>91</v>
      </c>
      <c r="CQ25" s="89">
        <f>'[1]May - 2021'!CR25</f>
        <v>308195</v>
      </c>
      <c r="CR25" s="246">
        <f>'[1]May - 2021'!CS25</f>
        <v>0</v>
      </c>
      <c r="CS25" s="89">
        <f>'[1]May - 2021'!CS25</f>
        <v>0</v>
      </c>
      <c r="CT25" s="89">
        <f>'[1]May - 2021'!CU25</f>
        <v>572211</v>
      </c>
      <c r="CU25" s="191">
        <f>'[1]May - 2021'!CV25</f>
        <v>262</v>
      </c>
      <c r="CV25" s="454"/>
      <c r="CW25" s="256">
        <f>'[1]May - 2021'!CX25</f>
        <v>4952</v>
      </c>
      <c r="CX25" s="198">
        <f>'[1]May - 2021'!CY25</f>
        <v>5</v>
      </c>
      <c r="CY25" s="257">
        <f>'[1]May - 2021'!CZ25</f>
        <v>2571</v>
      </c>
      <c r="CZ25" s="198">
        <f>'[1]May - 2021'!DA25</f>
        <v>4</v>
      </c>
      <c r="DA25" s="257">
        <f>'[1]May - 2021'!DB25</f>
        <v>24094</v>
      </c>
      <c r="DB25" s="198">
        <f>'[1]May - 2021'!DC25</f>
        <v>8.5999999999985448</v>
      </c>
      <c r="DC25" s="257">
        <f>'[1]May - 2021'!DD25</f>
        <v>24566</v>
      </c>
      <c r="DD25" s="198">
        <f>'[1]May - 2021'!DE25</f>
        <v>11.099999999998545</v>
      </c>
      <c r="DE25" s="257">
        <f>'[1]May - 2021'!DF25</f>
        <v>17180</v>
      </c>
      <c r="DF25" s="198">
        <f>'[1]May - 2021'!DG25</f>
        <v>8</v>
      </c>
      <c r="DG25" s="257">
        <f>'[1]May - 2021'!DH25</f>
        <v>20155</v>
      </c>
      <c r="DH25" s="198">
        <f>'[1]May - 2021'!DI25</f>
        <v>11</v>
      </c>
      <c r="DI25" s="257">
        <f>'[1]May - 2021'!DJ25</f>
        <v>1525</v>
      </c>
      <c r="DJ25" s="198">
        <f>'[1]May - 2021'!DK25</f>
        <v>7</v>
      </c>
      <c r="DK25" s="257">
        <f>'[1]May - 2021'!DL25</f>
        <v>4467</v>
      </c>
      <c r="DL25" s="198">
        <f>'[1]May - 2021'!DM25</f>
        <v>14</v>
      </c>
      <c r="DM25" s="257">
        <f>'[1]May - 2021'!DN25</f>
        <v>879</v>
      </c>
      <c r="DN25" s="198">
        <f>'[1]May - 2021'!DO25</f>
        <v>0</v>
      </c>
      <c r="DO25" s="257">
        <f>'[1]May - 2021'!DP25</f>
        <v>2346</v>
      </c>
      <c r="DP25" s="198">
        <f>'[1]May - 2021'!DQ25</f>
        <v>6</v>
      </c>
      <c r="DQ25" s="257">
        <f>'[1]May - 2021'!DR25</f>
        <v>24744</v>
      </c>
      <c r="DR25" s="206">
        <f>'[1]May - 2021'!DS25</f>
        <v>14</v>
      </c>
      <c r="DS25" s="439"/>
      <c r="DT25" s="210">
        <f>'[1]May - 2021'!DU25</f>
        <v>1173</v>
      </c>
      <c r="DU25" s="221">
        <f>'[1]May - 2021'!DV25</f>
        <v>8.5999999999999091</v>
      </c>
      <c r="DV25" s="91">
        <f>'[1]May - 2021'!DW25</f>
        <v>6552.6</v>
      </c>
      <c r="DW25" s="215">
        <f>'[1]May - 2021'!DX25</f>
        <v>4.7000000000007276</v>
      </c>
      <c r="DX25" s="91">
        <f>'[1]May - 2021'!DY25</f>
        <v>904</v>
      </c>
      <c r="DY25" s="215">
        <f>'[1]May - 2021'!DZ25</f>
        <v>7</v>
      </c>
      <c r="DZ25" s="91">
        <f>'[1]May - 2021'!EA25</f>
        <v>454.8</v>
      </c>
      <c r="EA25" s="215">
        <f>'[1]May - 2021'!EB25</f>
        <v>8.3000000000000114</v>
      </c>
      <c r="EB25" s="91">
        <f>'[1]May - 2021'!EC25</f>
        <v>717259</v>
      </c>
      <c r="EC25" s="215">
        <f>'[1]May - 2021'!ED25</f>
        <v>719</v>
      </c>
      <c r="ED25" s="91">
        <f>'[1]May - 2021'!EG25</f>
        <v>144489.60000000001</v>
      </c>
      <c r="EE25" s="229">
        <f>'[1]May - 2021'!EH25</f>
        <v>160.80000000001746</v>
      </c>
      <c r="EF25" s="378"/>
      <c r="EG25" s="235">
        <f>'[1]May - 2021'!EJ25</f>
        <v>9010000</v>
      </c>
      <c r="EH25" s="230">
        <f>'[1]May - 2021'!EK25</f>
        <v>6100</v>
      </c>
      <c r="EI25" s="90">
        <f>'[1]May - 2021'!EL25</f>
        <v>742680</v>
      </c>
      <c r="EJ25" s="230">
        <f>'[1]May - 2021'!EM25</f>
        <v>450</v>
      </c>
      <c r="EK25" s="90">
        <f>'[1]May - 2021'!EN25</f>
        <v>5783600</v>
      </c>
      <c r="EL25" s="230">
        <f>'[1]May - 2021'!EO25</f>
        <v>2800</v>
      </c>
      <c r="EM25" s="90">
        <f>'[1]May - 2021'!EP25</f>
        <v>2039600</v>
      </c>
      <c r="EN25" s="230">
        <f>'[1]May - 2021'!EQ25</f>
        <v>1300</v>
      </c>
      <c r="EO25" s="90">
        <f>'[1]May - 2021'!ER25</f>
        <v>809000</v>
      </c>
      <c r="EP25" s="230">
        <f>'[1]May - 2021'!ES25</f>
        <v>870</v>
      </c>
      <c r="EQ25" s="90">
        <f>'[1]May - 2021'!ET25</f>
        <v>12690700</v>
      </c>
      <c r="ER25" s="230">
        <f>'[1]May - 2021'!EU25</f>
        <v>8000</v>
      </c>
      <c r="ES25" s="426"/>
      <c r="ET25" s="284">
        <f>'[1]May - 2021'!EW25</f>
        <v>34521</v>
      </c>
      <c r="EU25" s="278">
        <f>'[1]May - 2021'!EX25</f>
        <v>16</v>
      </c>
      <c r="EV25" s="285">
        <f>'[1]May - 2021'!EY25</f>
        <v>29848</v>
      </c>
      <c r="EW25" s="278">
        <f>'[1]May - 2021'!EZ25</f>
        <v>12</v>
      </c>
      <c r="EX25" s="285">
        <f>'[1]May - 2021'!FA25</f>
        <v>851</v>
      </c>
      <c r="EY25" s="278">
        <f>'[1]May - 2021'!FB25</f>
        <v>12</v>
      </c>
      <c r="EZ25" s="285">
        <f>'[1]May - 2021'!FC25</f>
        <v>50740</v>
      </c>
      <c r="FA25" s="278">
        <f>'[1]May - 2021'!FD25</f>
        <v>16</v>
      </c>
      <c r="FB25" s="285">
        <f>'[1]May - 2021'!FE25</f>
        <v>31584</v>
      </c>
      <c r="FC25" s="279">
        <f>'[1]May - 2021'!FF25</f>
        <v>28</v>
      </c>
    </row>
    <row r="26" spans="1:159" ht="30" customHeight="1" x14ac:dyDescent="0.25">
      <c r="A26" s="207">
        <v>43847</v>
      </c>
      <c r="B26" s="209">
        <f>'[1]May - 2021'!B26</f>
        <v>0.56999999999999995</v>
      </c>
      <c r="C26" s="250">
        <f>'[1]May - 2021'!E26</f>
        <v>768661</v>
      </c>
      <c r="D26" s="170">
        <f>'[1]May - 2021'!F26</f>
        <v>587</v>
      </c>
      <c r="E26" s="168">
        <f>'[1]May - 2021'!G26</f>
        <v>294</v>
      </c>
      <c r="F26" s="168">
        <f>'[1]May - 2021'!H26</f>
        <v>18592</v>
      </c>
      <c r="G26" s="170">
        <f>'[1]May - 2021'!I26</f>
        <v>301</v>
      </c>
      <c r="H26" s="168">
        <f>'[1]May - 2021'!J26</f>
        <v>155</v>
      </c>
      <c r="I26" s="168">
        <f>'[1]May - 2021'!K26</f>
        <v>136172</v>
      </c>
      <c r="J26" s="170">
        <f>'[1]May - 2021'!L26</f>
        <v>284</v>
      </c>
      <c r="K26" s="168">
        <f>'[1]May - 2021'!N26</f>
        <v>749496</v>
      </c>
      <c r="L26" s="170">
        <f>'[1]May - 2021'!O26</f>
        <v>325</v>
      </c>
      <c r="M26" s="168">
        <f>'[1]May - 2021'!Q26</f>
        <v>164310</v>
      </c>
      <c r="N26" s="170">
        <f>'[1]May - 2021'!R26</f>
        <v>35</v>
      </c>
      <c r="O26" s="168">
        <f>'[1]May - 2021'!S26</f>
        <v>6783.12</v>
      </c>
      <c r="P26" s="170">
        <f>'[1]May - 2021'!T26</f>
        <v>203.06999999999971</v>
      </c>
      <c r="Q26" s="168">
        <f>'[1]May - 2021'!U26</f>
        <v>110</v>
      </c>
      <c r="R26" s="168">
        <f>'[1]May - 2021'!V26</f>
        <v>2608</v>
      </c>
      <c r="S26" s="208">
        <f>'[1]May - 2021'!W26</f>
        <v>38</v>
      </c>
      <c r="T26" s="521"/>
      <c r="U26" s="169">
        <f>'[1]May - 2021'!AC26</f>
        <v>6554837.5200000005</v>
      </c>
      <c r="V26" s="291">
        <f>'[1]May - 2021'!AD26</f>
        <v>3848.8799999998882</v>
      </c>
      <c r="W26" s="92">
        <f>'[1]May - 2021'!AD26</f>
        <v>3848.8799999998882</v>
      </c>
      <c r="X26" s="290">
        <f>'[1]May - 2021'!AF26</f>
        <v>12800692.800000001</v>
      </c>
      <c r="Y26" s="291">
        <f>'[1]May - 2021'!AG26</f>
        <v>4628.4000000003725</v>
      </c>
      <c r="Z26" s="92">
        <f>'[1]May - 2021'!AG26</f>
        <v>4628.4000000003725</v>
      </c>
      <c r="AA26" s="290">
        <f>'[1]May - 2021'!AI26</f>
        <v>12131085.119999999</v>
      </c>
      <c r="AB26" s="291">
        <f>'[1]May - 2021'!AJ26</f>
        <v>730.80000000074506</v>
      </c>
      <c r="AC26" s="92">
        <f>'[1]May - 2021'!AJ26</f>
        <v>730.80000000074506</v>
      </c>
      <c r="AD26" s="290">
        <f>'[1]May - 2021'!AL26</f>
        <v>15248385.6</v>
      </c>
      <c r="AE26" s="291">
        <f>'[1]May - 2021'!AM26</f>
        <v>6772.0800000000745</v>
      </c>
      <c r="AF26" s="92">
        <f>'[1]May - 2021'!AM26</f>
        <v>6772.0800000000745</v>
      </c>
      <c r="AG26" s="290">
        <f>'[1]May - 2021'!AO26</f>
        <v>15572471.039999999</v>
      </c>
      <c r="AH26" s="291">
        <f>'[1]May - 2021'!AP26</f>
        <v>12715.919999999925</v>
      </c>
      <c r="AI26" s="92">
        <f>'[1]May - 2021'!AP26</f>
        <v>12715.919999999925</v>
      </c>
      <c r="AJ26" s="290">
        <f>'[1]May - 2021'!AR26</f>
        <v>14351694</v>
      </c>
      <c r="AK26" s="291">
        <f>'[1]May - 2021'!AS26</f>
        <v>5407.9199999999255</v>
      </c>
      <c r="AL26" s="92">
        <f>'[1]May - 2021'!AS26</f>
        <v>5407.9199999999255</v>
      </c>
      <c r="AM26" s="290">
        <f>'[1]May - 2021'!AU26</f>
        <v>12258926.4</v>
      </c>
      <c r="AN26" s="291">
        <f>'[1]May - 2021'!AV26</f>
        <v>4482.2400000002235</v>
      </c>
      <c r="AO26" s="92">
        <f>'[1]May - 2021'!AV26</f>
        <v>4482.2400000002235</v>
      </c>
      <c r="AP26" s="290">
        <f>'[1]May - 2021'!AX26</f>
        <v>11833113.6</v>
      </c>
      <c r="AQ26" s="291">
        <f>'[1]May - 2021'!AY26</f>
        <v>3848.8800000008196</v>
      </c>
      <c r="AR26" s="92">
        <f>'[1]May - 2021'!AY26</f>
        <v>3848.8800000008196</v>
      </c>
      <c r="AS26" s="290">
        <f>'[1]May - 2021'!BA26</f>
        <v>9449536.3199999984</v>
      </c>
      <c r="AT26" s="291">
        <f>'[1]May - 2021'!BB26</f>
        <v>2923.1999999992549</v>
      </c>
      <c r="AU26" s="92">
        <f>'[1]May - 2021'!BB26</f>
        <v>2923.1999999992549</v>
      </c>
      <c r="AV26" s="290">
        <f>'[1]May - 2021'!BD26</f>
        <v>14421314.880000001</v>
      </c>
      <c r="AW26" s="252">
        <f>'[1]May - 2021'!BE26</f>
        <v>5554.0800000019372</v>
      </c>
      <c r="AX26" s="253">
        <f>'[1]May - 2021'!BE26</f>
        <v>5554.0800000019372</v>
      </c>
      <c r="AY26" s="487"/>
      <c r="AZ26" s="272">
        <f>'[1]May - 2021'!BK26</f>
        <v>60524400</v>
      </c>
      <c r="BA26" s="179">
        <f>'[1]May - 2021'!BL26</f>
        <v>0</v>
      </c>
      <c r="BB26" s="93">
        <f>'[1]May - 2021'!BL26</f>
        <v>0</v>
      </c>
      <c r="BC26" s="272">
        <f>'[1]May - 2021'!BN26</f>
        <v>63568800</v>
      </c>
      <c r="BD26" s="245">
        <f>'[1]May - 2021'!BO26</f>
        <v>39700</v>
      </c>
      <c r="BE26" s="93">
        <f>'[1]May - 2021'!BO26</f>
        <v>39700</v>
      </c>
      <c r="BF26" s="272">
        <f>'[1]May - 2021'!BQ26</f>
        <v>58147100</v>
      </c>
      <c r="BG26" s="245">
        <f>'[1]May - 2021'!BR26</f>
        <v>60000</v>
      </c>
      <c r="BH26" s="93">
        <f>'[1]May - 2021'!BR26</f>
        <v>60000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3">
        <f>'[1]May - 2021'!BT26</f>
        <v>6343070</v>
      </c>
      <c r="BT26" s="185">
        <f>'[1]May - 2021'!BU26</f>
        <v>5750</v>
      </c>
      <c r="BU26" s="394"/>
      <c r="BV26" s="88">
        <f>'[1]May - 2021'!BW26</f>
        <v>0.8</v>
      </c>
      <c r="BW26" s="241">
        <f>'[1]May - 2021'!BX26</f>
        <v>-5.0000000000000044E-2</v>
      </c>
      <c r="BX26" s="88">
        <f>'[1]May - 2021'!BX26</f>
        <v>-5.0000000000000044E-2</v>
      </c>
      <c r="BY26" s="89">
        <f>'[1]May - 2021'!BZ26</f>
        <v>53402</v>
      </c>
      <c r="BZ26" s="191">
        <f>'[1]May - 2021'!CA26</f>
        <v>16</v>
      </c>
      <c r="CA26" s="89">
        <f>'[1]May - 2021'!CB26</f>
        <v>45055</v>
      </c>
      <c r="CB26" s="191">
        <f>'[1]May - 2021'!CC26</f>
        <v>14</v>
      </c>
      <c r="CC26" s="89">
        <f>'[1]May - 2021'!CD26</f>
        <v>15636</v>
      </c>
      <c r="CD26" s="191">
        <f>'[1]May - 2021'!CE26</f>
        <v>6</v>
      </c>
      <c r="CE26" s="89">
        <f>'[1]May - 2021'!CF26</f>
        <v>19964</v>
      </c>
      <c r="CF26" s="191">
        <f>'[1]May - 2021'!CG26</f>
        <v>13</v>
      </c>
      <c r="CG26" s="89">
        <f>'[1]May - 2021'!CH26</f>
        <v>21677</v>
      </c>
      <c r="CH26" s="191">
        <f>'[1]May - 2021'!CI26</f>
        <v>7</v>
      </c>
      <c r="CI26" s="89">
        <f>'[1]May - 2021'!CJ26</f>
        <v>49350</v>
      </c>
      <c r="CJ26" s="191">
        <f>'[1]May - 2021'!CK26</f>
        <v>25</v>
      </c>
      <c r="CK26" s="89">
        <f>'[1]May - 2021'!CL26</f>
        <v>214683</v>
      </c>
      <c r="CL26" s="246">
        <f>'[1]May - 2021'!CM26</f>
        <v>101</v>
      </c>
      <c r="CM26" s="89">
        <f>'[1]May - 2021'!CM26</f>
        <v>101</v>
      </c>
      <c r="CN26" s="89">
        <f>'[1]May - 2021'!CO26</f>
        <v>163162</v>
      </c>
      <c r="CO26" s="246">
        <f>'[1]May - 2021'!CP26</f>
        <v>92</v>
      </c>
      <c r="CP26" s="89">
        <f>'[1]May - 2021'!CP26</f>
        <v>92</v>
      </c>
      <c r="CQ26" s="89">
        <f>'[1]May - 2021'!CR26</f>
        <v>308195</v>
      </c>
      <c r="CR26" s="246">
        <f>'[1]May - 2021'!CS26</f>
        <v>0</v>
      </c>
      <c r="CS26" s="89">
        <f>'[1]May - 2021'!CS26</f>
        <v>0</v>
      </c>
      <c r="CT26" s="89">
        <f>'[1]May - 2021'!CU26</f>
        <v>572482</v>
      </c>
      <c r="CU26" s="191">
        <f>'[1]May - 2021'!CV26</f>
        <v>271</v>
      </c>
      <c r="CV26" s="454"/>
      <c r="CW26" s="256">
        <f>'[1]May - 2021'!CX26</f>
        <v>4956</v>
      </c>
      <c r="CX26" s="198">
        <f>'[1]May - 2021'!CY26</f>
        <v>4</v>
      </c>
      <c r="CY26" s="257">
        <f>'[1]May - 2021'!CZ26</f>
        <v>2575</v>
      </c>
      <c r="CZ26" s="198">
        <f>'[1]May - 2021'!DA26</f>
        <v>4</v>
      </c>
      <c r="DA26" s="257">
        <f>'[1]May - 2021'!DB26</f>
        <v>24103.7</v>
      </c>
      <c r="DB26" s="198">
        <f>'[1]May - 2021'!DC26</f>
        <v>9.7000000000007276</v>
      </c>
      <c r="DC26" s="257">
        <f>'[1]May - 2021'!DD26</f>
        <v>24575.7</v>
      </c>
      <c r="DD26" s="198">
        <f>'[1]May - 2021'!DE26</f>
        <v>9.7000000000007276</v>
      </c>
      <c r="DE26" s="257">
        <f>'[1]May - 2021'!DF26</f>
        <v>17187.5</v>
      </c>
      <c r="DF26" s="198">
        <f>'[1]May - 2021'!DG26</f>
        <v>7.5</v>
      </c>
      <c r="DG26" s="257">
        <f>'[1]May - 2021'!DH26</f>
        <v>20162.900000000001</v>
      </c>
      <c r="DH26" s="198">
        <f>'[1]May - 2021'!DI26</f>
        <v>7.9000000000014552</v>
      </c>
      <c r="DI26" s="257">
        <f>'[1]May - 2021'!DJ26</f>
        <v>1531</v>
      </c>
      <c r="DJ26" s="198">
        <f>'[1]May - 2021'!DK26</f>
        <v>6</v>
      </c>
      <c r="DK26" s="257">
        <f>'[1]May - 2021'!DL26</f>
        <v>4480</v>
      </c>
      <c r="DL26" s="198">
        <f>'[1]May - 2021'!DM26</f>
        <v>13</v>
      </c>
      <c r="DM26" s="257">
        <f>'[1]May - 2021'!DN26</f>
        <v>879</v>
      </c>
      <c r="DN26" s="198">
        <f>'[1]May - 2021'!DO26</f>
        <v>0</v>
      </c>
      <c r="DO26" s="257">
        <f>'[1]May - 2021'!DP26</f>
        <v>2353</v>
      </c>
      <c r="DP26" s="198">
        <f>'[1]May - 2021'!DQ26</f>
        <v>7</v>
      </c>
      <c r="DQ26" s="257">
        <f>'[1]May - 2021'!DR26</f>
        <v>24760</v>
      </c>
      <c r="DR26" s="206">
        <f>'[1]May - 2021'!DS26</f>
        <v>16</v>
      </c>
      <c r="DS26" s="439"/>
      <c r="DT26" s="210">
        <f>'[1]May - 2021'!DU26</f>
        <v>1181.3</v>
      </c>
      <c r="DU26" s="221">
        <f>'[1]May - 2021'!DV26</f>
        <v>8.2999999999999545</v>
      </c>
      <c r="DV26" s="91">
        <f>'[1]May - 2021'!DW26</f>
        <v>6560.4</v>
      </c>
      <c r="DW26" s="215">
        <f>'[1]May - 2021'!DX26</f>
        <v>7.7999999999992724</v>
      </c>
      <c r="DX26" s="91">
        <f>'[1]May - 2021'!DY26</f>
        <v>911.2</v>
      </c>
      <c r="DY26" s="215">
        <f>'[1]May - 2021'!DZ26</f>
        <v>7.2000000000000455</v>
      </c>
      <c r="DZ26" s="91">
        <f>'[1]May - 2021'!EA26</f>
        <v>463</v>
      </c>
      <c r="EA26" s="215">
        <f>'[1]May - 2021'!EB26</f>
        <v>8.1999999999999886</v>
      </c>
      <c r="EB26" s="91">
        <f>'[1]May - 2021'!EC26</f>
        <v>718180</v>
      </c>
      <c r="EC26" s="215">
        <f>'[1]May - 2021'!ED26</f>
        <v>921</v>
      </c>
      <c r="ED26" s="91">
        <f>'[1]May - 2021'!EG26</f>
        <v>144646.6</v>
      </c>
      <c r="EE26" s="229">
        <f>'[1]May - 2021'!EH26</f>
        <v>157</v>
      </c>
      <c r="EF26" s="378"/>
      <c r="EG26" s="235">
        <f>'[1]May - 2021'!EJ26</f>
        <v>9015600</v>
      </c>
      <c r="EH26" s="230">
        <f>'[1]May - 2021'!EK26</f>
        <v>5600</v>
      </c>
      <c r="EI26" s="90">
        <f>'[1]May - 2021'!EL26</f>
        <v>743080</v>
      </c>
      <c r="EJ26" s="230">
        <f>'[1]May - 2021'!EM26</f>
        <v>400</v>
      </c>
      <c r="EK26" s="90">
        <f>'[1]May - 2021'!EN26</f>
        <v>5786400</v>
      </c>
      <c r="EL26" s="230">
        <f>'[1]May - 2021'!EO26</f>
        <v>2800</v>
      </c>
      <c r="EM26" s="90">
        <f>'[1]May - 2021'!EP26</f>
        <v>2040300</v>
      </c>
      <c r="EN26" s="230">
        <f>'[1]May - 2021'!EQ26</f>
        <v>700</v>
      </c>
      <c r="EO26" s="90">
        <f>'[1]May - 2021'!ER26</f>
        <v>809900</v>
      </c>
      <c r="EP26" s="230">
        <f>'[1]May - 2021'!ES26</f>
        <v>900</v>
      </c>
      <c r="EQ26" s="90">
        <f>'[1]May - 2021'!ET26</f>
        <v>12697300</v>
      </c>
      <c r="ER26" s="230">
        <f>'[1]May - 2021'!EU26</f>
        <v>6600</v>
      </c>
      <c r="ES26" s="426"/>
      <c r="ET26" s="284">
        <f>'[1]May - 2021'!EW26</f>
        <v>34536</v>
      </c>
      <c r="EU26" s="278">
        <f>'[1]May - 2021'!EX26</f>
        <v>15</v>
      </c>
      <c r="EV26" s="285">
        <f>'[1]May - 2021'!EY26</f>
        <v>29862</v>
      </c>
      <c r="EW26" s="278">
        <f>'[1]May - 2021'!EZ26</f>
        <v>14</v>
      </c>
      <c r="EX26" s="285">
        <f>'[1]May - 2021'!FA26</f>
        <v>865</v>
      </c>
      <c r="EY26" s="278">
        <f>'[1]May - 2021'!FB26</f>
        <v>14</v>
      </c>
      <c r="EZ26" s="285">
        <f>'[1]May - 2021'!FC26</f>
        <v>50752</v>
      </c>
      <c r="FA26" s="278">
        <f>'[1]May - 2021'!FD26</f>
        <v>12</v>
      </c>
      <c r="FB26" s="285">
        <f>'[1]May - 2021'!FE26</f>
        <v>31615</v>
      </c>
      <c r="FC26" s="279">
        <f>'[1]May - 2021'!FF26</f>
        <v>31</v>
      </c>
    </row>
    <row r="27" spans="1:159" ht="30" customHeight="1" x14ac:dyDescent="0.25">
      <c r="A27" s="207">
        <v>43848</v>
      </c>
      <c r="B27" s="209">
        <f>'[1]May - 2021'!B27</f>
        <v>0.65</v>
      </c>
      <c r="C27" s="250">
        <f>'[1]May - 2021'!E27</f>
        <v>769192</v>
      </c>
      <c r="D27" s="170">
        <f>'[1]May - 2021'!F27</f>
        <v>531</v>
      </c>
      <c r="E27" s="168">
        <f>'[1]May - 2021'!G27</f>
        <v>280</v>
      </c>
      <c r="F27" s="168">
        <f>'[1]May - 2021'!H27</f>
        <v>18881</v>
      </c>
      <c r="G27" s="170">
        <f>'[1]May - 2021'!I27</f>
        <v>289</v>
      </c>
      <c r="H27" s="168">
        <f>'[1]May - 2021'!J27</f>
        <v>169</v>
      </c>
      <c r="I27" s="168">
        <f>'[1]May - 2021'!K27</f>
        <v>136471</v>
      </c>
      <c r="J27" s="170">
        <f>'[1]May - 2021'!L27</f>
        <v>299</v>
      </c>
      <c r="K27" s="168">
        <f>'[1]May - 2021'!N27</f>
        <v>749815</v>
      </c>
      <c r="L27" s="170">
        <f>'[1]May - 2021'!O27</f>
        <v>319</v>
      </c>
      <c r="M27" s="168">
        <f>'[1]May - 2021'!Q27</f>
        <v>164319</v>
      </c>
      <c r="N27" s="170">
        <f>'[1]May - 2021'!R27</f>
        <v>9</v>
      </c>
      <c r="O27" s="168">
        <f>'[1]May - 2021'!S27</f>
        <v>6985.29</v>
      </c>
      <c r="P27" s="170">
        <f>'[1]May - 2021'!T27</f>
        <v>202.17000000000007</v>
      </c>
      <c r="Q27" s="168">
        <f>'[1]May - 2021'!U27</f>
        <v>104</v>
      </c>
      <c r="R27" s="168">
        <f>'[1]May - 2021'!V27</f>
        <v>2641</v>
      </c>
      <c r="S27" s="208">
        <f>'[1]May - 2021'!W27</f>
        <v>33</v>
      </c>
      <c r="T27" s="521"/>
      <c r="U27" s="169">
        <f>'[1]May - 2021'!AC27</f>
        <v>6558442.7999999998</v>
      </c>
      <c r="V27" s="291">
        <f>'[1]May - 2021'!AD27</f>
        <v>3605.2799999993294</v>
      </c>
      <c r="W27" s="92">
        <f>'[1]May - 2021'!AD27</f>
        <v>3605.2799999993294</v>
      </c>
      <c r="X27" s="290">
        <f>'[1]May - 2021'!AF27</f>
        <v>12805272.48</v>
      </c>
      <c r="Y27" s="291">
        <f>'[1]May - 2021'!AG27</f>
        <v>4579.679999999702</v>
      </c>
      <c r="Z27" s="92">
        <f>'[1]May - 2021'!AG27</f>
        <v>4579.679999999702</v>
      </c>
      <c r="AA27" s="290">
        <f>'[1]May - 2021'!AI27</f>
        <v>12131815.92</v>
      </c>
      <c r="AB27" s="291">
        <f>'[1]May - 2021'!AJ27</f>
        <v>730.80000000074506</v>
      </c>
      <c r="AC27" s="92">
        <f>'[1]May - 2021'!AJ27</f>
        <v>730.80000000074506</v>
      </c>
      <c r="AD27" s="290">
        <f>'[1]May - 2021'!AL27</f>
        <v>15253842.24</v>
      </c>
      <c r="AE27" s="291">
        <f>'[1]May - 2021'!AM27</f>
        <v>5456.640000000596</v>
      </c>
      <c r="AF27" s="92">
        <f>'[1]May - 2021'!AM27</f>
        <v>5456.640000000596</v>
      </c>
      <c r="AG27" s="290">
        <f>'[1]May - 2021'!AO27</f>
        <v>15585138.24</v>
      </c>
      <c r="AH27" s="291">
        <f>'[1]May - 2021'!AP27</f>
        <v>12667.200000001118</v>
      </c>
      <c r="AI27" s="92">
        <f>'[1]May - 2021'!AP27</f>
        <v>12667.200000001118</v>
      </c>
      <c r="AJ27" s="290">
        <f>'[1]May - 2021'!AR27</f>
        <v>14357150.639999999</v>
      </c>
      <c r="AK27" s="291">
        <f>'[1]May - 2021'!AS27</f>
        <v>5456.6399999987334</v>
      </c>
      <c r="AL27" s="92">
        <f>'[1]May - 2021'!AS27</f>
        <v>5456.6399999987334</v>
      </c>
      <c r="AM27" s="290">
        <f>'[1]May - 2021'!AU27</f>
        <v>12263408.640000001</v>
      </c>
      <c r="AN27" s="291">
        <f>'[1]May - 2021'!AV27</f>
        <v>4482.2400000002235</v>
      </c>
      <c r="AO27" s="92">
        <f>'[1]May - 2021'!AV27</f>
        <v>4482.2400000002235</v>
      </c>
      <c r="AP27" s="290">
        <f>'[1]May - 2021'!AX27</f>
        <v>11836913.76</v>
      </c>
      <c r="AQ27" s="291">
        <f>'[1]May - 2021'!AY27</f>
        <v>3800.160000000149</v>
      </c>
      <c r="AR27" s="92">
        <f>'[1]May - 2021'!AY27</f>
        <v>3800.160000000149</v>
      </c>
      <c r="AS27" s="290">
        <f>'[1]May - 2021'!BA27</f>
        <v>9451777.4399999995</v>
      </c>
      <c r="AT27" s="291">
        <f>'[1]May - 2021'!BB27</f>
        <v>2241.1200000010431</v>
      </c>
      <c r="AU27" s="92">
        <f>'[1]May - 2021'!BB27</f>
        <v>2241.1200000010431</v>
      </c>
      <c r="AV27" s="290">
        <f>'[1]May - 2021'!BD27</f>
        <v>14427112.559999999</v>
      </c>
      <c r="AW27" s="252">
        <f>'[1]May - 2021'!BE27</f>
        <v>5797.6799999978393</v>
      </c>
      <c r="AX27" s="253">
        <f>'[1]May - 2021'!BE27</f>
        <v>5797.6799999978393</v>
      </c>
      <c r="AY27" s="487"/>
      <c r="AZ27" s="272">
        <f>'[1]May - 2021'!BK27</f>
        <v>60524400</v>
      </c>
      <c r="BA27" s="179">
        <f>'[1]May - 2021'!BL27</f>
        <v>0</v>
      </c>
      <c r="BB27" s="93">
        <f>'[1]May - 2021'!BL27</f>
        <v>0</v>
      </c>
      <c r="BC27" s="272">
        <f>'[1]May - 2021'!BN27</f>
        <v>63600700</v>
      </c>
      <c r="BD27" s="245">
        <f>'[1]May - 2021'!BO27</f>
        <v>31900</v>
      </c>
      <c r="BE27" s="93">
        <f>'[1]May - 2021'!BO27</f>
        <v>31900</v>
      </c>
      <c r="BF27" s="272">
        <f>'[1]May - 2021'!BQ27</f>
        <v>58208000</v>
      </c>
      <c r="BG27" s="245">
        <f>'[1]May - 2021'!BR27</f>
        <v>60900</v>
      </c>
      <c r="BH27" s="93">
        <f>'[1]May - 2021'!BR27</f>
        <v>60900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3">
        <f>'[1]May - 2021'!BT27</f>
        <v>6348250</v>
      </c>
      <c r="BT27" s="185">
        <f>'[1]May - 2021'!BU27</f>
        <v>5180</v>
      </c>
      <c r="BU27" s="394"/>
      <c r="BV27" s="88">
        <f>'[1]May - 2021'!BW27</f>
        <v>0.75</v>
      </c>
      <c r="BW27" s="241">
        <f>'[1]May - 2021'!BX27</f>
        <v>5.0000000000000044E-2</v>
      </c>
      <c r="BX27" s="88">
        <f>'[1]May - 2021'!BX27</f>
        <v>5.0000000000000044E-2</v>
      </c>
      <c r="BY27" s="89">
        <f>'[1]May - 2021'!BZ27</f>
        <v>53420</v>
      </c>
      <c r="BZ27" s="191">
        <f>'[1]May - 2021'!CA27</f>
        <v>18</v>
      </c>
      <c r="CA27" s="89">
        <f>'[1]May - 2021'!CB27</f>
        <v>45070</v>
      </c>
      <c r="CB27" s="191">
        <f>'[1]May - 2021'!CC27</f>
        <v>15</v>
      </c>
      <c r="CC27" s="89">
        <f>'[1]May - 2021'!CD27</f>
        <v>15642</v>
      </c>
      <c r="CD27" s="191">
        <f>'[1]May - 2021'!CE27</f>
        <v>6</v>
      </c>
      <c r="CE27" s="89">
        <f>'[1]May - 2021'!CF27</f>
        <v>19970</v>
      </c>
      <c r="CF27" s="191">
        <f>'[1]May - 2021'!CG27</f>
        <v>6</v>
      </c>
      <c r="CG27" s="89">
        <f>'[1]May - 2021'!CH27</f>
        <v>21689</v>
      </c>
      <c r="CH27" s="191">
        <f>'[1]May - 2021'!CI27</f>
        <v>12</v>
      </c>
      <c r="CI27" s="89">
        <f>'[1]May - 2021'!CJ27</f>
        <v>49373</v>
      </c>
      <c r="CJ27" s="191">
        <f>'[1]May - 2021'!CK27</f>
        <v>23</v>
      </c>
      <c r="CK27" s="89">
        <f>'[1]May - 2021'!CL27</f>
        <v>214783</v>
      </c>
      <c r="CL27" s="246">
        <f>'[1]May - 2021'!CM27</f>
        <v>100</v>
      </c>
      <c r="CM27" s="89">
        <f>'[1]May - 2021'!CM27</f>
        <v>100</v>
      </c>
      <c r="CN27" s="89">
        <f>'[1]May - 2021'!CO27</f>
        <v>163248</v>
      </c>
      <c r="CO27" s="246">
        <f>'[1]May - 2021'!CP27</f>
        <v>86</v>
      </c>
      <c r="CP27" s="89">
        <f>'[1]May - 2021'!CP27</f>
        <v>86</v>
      </c>
      <c r="CQ27" s="89">
        <f>'[1]May - 2021'!CR27</f>
        <v>308195</v>
      </c>
      <c r="CR27" s="246">
        <f>'[1]May - 2021'!CS27</f>
        <v>0</v>
      </c>
      <c r="CS27" s="89">
        <f>'[1]May - 2021'!CS27</f>
        <v>0</v>
      </c>
      <c r="CT27" s="89">
        <f>'[1]May - 2021'!CU27</f>
        <v>572752</v>
      </c>
      <c r="CU27" s="191">
        <f>'[1]May - 2021'!CV27</f>
        <v>270</v>
      </c>
      <c r="CV27" s="454"/>
      <c r="CW27" s="256">
        <f>'[1]May - 2021'!CX27</f>
        <v>4960</v>
      </c>
      <c r="CX27" s="198">
        <f>'[1]May - 2021'!CY27</f>
        <v>4</v>
      </c>
      <c r="CY27" s="257">
        <f>'[1]May - 2021'!CZ27</f>
        <v>2579</v>
      </c>
      <c r="CZ27" s="198">
        <f>'[1]May - 2021'!DA27</f>
        <v>4</v>
      </c>
      <c r="DA27" s="257">
        <f>'[1]May - 2021'!DB27</f>
        <v>24113.4</v>
      </c>
      <c r="DB27" s="198">
        <f>'[1]May - 2021'!DC27</f>
        <v>9.7000000000007276</v>
      </c>
      <c r="DC27" s="257">
        <f>'[1]May - 2021'!DD27</f>
        <v>24585.9</v>
      </c>
      <c r="DD27" s="198">
        <f>'[1]May - 2021'!DE27</f>
        <v>10.200000000000728</v>
      </c>
      <c r="DE27" s="257">
        <f>'[1]May - 2021'!DF27</f>
        <v>17194.900000000001</v>
      </c>
      <c r="DF27" s="198">
        <f>'[1]May - 2021'!DG27</f>
        <v>7.4000000000014552</v>
      </c>
      <c r="DG27" s="257">
        <f>'[1]May - 2021'!DH27</f>
        <v>20170.099999999999</v>
      </c>
      <c r="DH27" s="198">
        <f>'[1]May - 2021'!DI27</f>
        <v>7.1999999999970896</v>
      </c>
      <c r="DI27" s="257">
        <f>'[1]May - 2021'!DJ27</f>
        <v>1538</v>
      </c>
      <c r="DJ27" s="198">
        <f>'[1]May - 2021'!DK27</f>
        <v>7</v>
      </c>
      <c r="DK27" s="257">
        <f>'[1]May - 2021'!DL27</f>
        <v>4493</v>
      </c>
      <c r="DL27" s="198">
        <f>'[1]May - 2021'!DM27</f>
        <v>13</v>
      </c>
      <c r="DM27" s="257">
        <f>'[1]May - 2021'!DN27</f>
        <v>879</v>
      </c>
      <c r="DN27" s="198">
        <f>'[1]May - 2021'!DO27</f>
        <v>0</v>
      </c>
      <c r="DO27" s="257">
        <f>'[1]May - 2021'!DP27</f>
        <v>2359</v>
      </c>
      <c r="DP27" s="198">
        <f>'[1]May - 2021'!DQ27</f>
        <v>6</v>
      </c>
      <c r="DQ27" s="257">
        <f>'[1]May - 2021'!DR27</f>
        <v>24777</v>
      </c>
      <c r="DR27" s="206">
        <f>'[1]May - 2021'!DS27</f>
        <v>17</v>
      </c>
      <c r="DS27" s="439"/>
      <c r="DT27" s="210">
        <f>'[1]May - 2021'!DU27</f>
        <v>1189.5999999999999</v>
      </c>
      <c r="DU27" s="221">
        <f>'[1]May - 2021'!DV27</f>
        <v>8.2999999999999545</v>
      </c>
      <c r="DV27" s="91">
        <f>'[1]May - 2021'!DW27</f>
        <v>6565.2</v>
      </c>
      <c r="DW27" s="215">
        <f>'[1]May - 2021'!DX27</f>
        <v>4.8000000000001819</v>
      </c>
      <c r="DX27" s="91">
        <f>'[1]May - 2021'!DY27</f>
        <v>917.7</v>
      </c>
      <c r="DY27" s="215">
        <f>'[1]May - 2021'!DZ27</f>
        <v>6.5</v>
      </c>
      <c r="DZ27" s="91">
        <f>'[1]May - 2021'!EA27</f>
        <v>471.1</v>
      </c>
      <c r="EA27" s="215">
        <f>'[1]May - 2021'!EB27</f>
        <v>8.1000000000000227</v>
      </c>
      <c r="EB27" s="91">
        <f>'[1]May - 2021'!EC27</f>
        <v>719013</v>
      </c>
      <c r="EC27" s="215">
        <f>'[1]May - 2021'!ED27</f>
        <v>833</v>
      </c>
      <c r="ED27" s="91">
        <f>'[1]May - 2021'!EG27</f>
        <v>144806.29999999999</v>
      </c>
      <c r="EE27" s="229">
        <f>'[1]May - 2021'!EH27</f>
        <v>159.69999999998254</v>
      </c>
      <c r="EF27" s="378"/>
      <c r="EG27" s="235">
        <f>'[1]May - 2021'!EJ27</f>
        <v>9021300</v>
      </c>
      <c r="EH27" s="230">
        <f>'[1]May - 2021'!EK27</f>
        <v>5700</v>
      </c>
      <c r="EI27" s="90">
        <f>'[1]May - 2021'!EL27</f>
        <v>743500</v>
      </c>
      <c r="EJ27" s="230">
        <f>'[1]May - 2021'!EM27</f>
        <v>420</v>
      </c>
      <c r="EK27" s="90">
        <f>'[1]May - 2021'!EN27</f>
        <v>5789500</v>
      </c>
      <c r="EL27" s="230">
        <f>'[1]May - 2021'!EO27</f>
        <v>3100</v>
      </c>
      <c r="EM27" s="90">
        <f>'[1]May - 2021'!EP27</f>
        <v>2041100</v>
      </c>
      <c r="EN27" s="230">
        <f>'[1]May - 2021'!EQ27</f>
        <v>800</v>
      </c>
      <c r="EO27" s="90">
        <f>'[1]May - 2021'!ER27</f>
        <v>810850</v>
      </c>
      <c r="EP27" s="230">
        <f>'[1]May - 2021'!ES27</f>
        <v>950</v>
      </c>
      <c r="EQ27" s="90">
        <f>'[1]May - 2021'!ET27</f>
        <v>12704200</v>
      </c>
      <c r="ER27" s="230">
        <f>'[1]May - 2021'!EU27</f>
        <v>6900</v>
      </c>
      <c r="ES27" s="426"/>
      <c r="ET27" s="284">
        <f>'[1]May - 2021'!EW27</f>
        <v>34552</v>
      </c>
      <c r="EU27" s="278">
        <f>'[1]May - 2021'!EX27</f>
        <v>16</v>
      </c>
      <c r="EV27" s="285">
        <f>'[1]May - 2021'!EY27</f>
        <v>29875</v>
      </c>
      <c r="EW27" s="278">
        <f>'[1]May - 2021'!EZ27</f>
        <v>13</v>
      </c>
      <c r="EX27" s="285">
        <f>'[1]May - 2021'!FA27</f>
        <v>876</v>
      </c>
      <c r="EY27" s="278">
        <f>'[1]May - 2021'!FB27</f>
        <v>11</v>
      </c>
      <c r="EZ27" s="285">
        <f>'[1]May - 2021'!FC27</f>
        <v>50765</v>
      </c>
      <c r="FA27" s="278">
        <f>'[1]May - 2021'!FD27</f>
        <v>13</v>
      </c>
      <c r="FB27" s="285">
        <f>'[1]May - 2021'!FE27</f>
        <v>31646</v>
      </c>
      <c r="FC27" s="279">
        <f>'[1]May - 2021'!FF27</f>
        <v>31</v>
      </c>
    </row>
    <row r="28" spans="1:159" ht="30" customHeight="1" x14ac:dyDescent="0.25">
      <c r="A28" s="207">
        <v>43849</v>
      </c>
      <c r="B28" s="209">
        <f>'[1]May - 2021'!B28</f>
        <v>0.7</v>
      </c>
      <c r="C28" s="250">
        <f>'[1]May - 2021'!E28</f>
        <v>770091</v>
      </c>
      <c r="D28" s="170">
        <f>'[1]May - 2021'!F28</f>
        <v>899</v>
      </c>
      <c r="E28" s="168">
        <f>'[1]May - 2021'!G28</f>
        <v>284</v>
      </c>
      <c r="F28" s="168">
        <f>'[1]May - 2021'!H28</f>
        <v>19213</v>
      </c>
      <c r="G28" s="170">
        <f>'[1]May - 2021'!I28</f>
        <v>332</v>
      </c>
      <c r="H28" s="168">
        <f>'[1]May - 2021'!J28</f>
        <v>157</v>
      </c>
      <c r="I28" s="168">
        <f>'[1]May - 2021'!K28</f>
        <v>136801</v>
      </c>
      <c r="J28" s="170">
        <f>'[1]May - 2021'!L28</f>
        <v>330</v>
      </c>
      <c r="K28" s="168">
        <f>'[1]May - 2021'!N28</f>
        <v>750151</v>
      </c>
      <c r="L28" s="170">
        <f>'[1]May - 2021'!O28</f>
        <v>336</v>
      </c>
      <c r="M28" s="168">
        <f>'[1]May - 2021'!Q28</f>
        <v>164577</v>
      </c>
      <c r="N28" s="170">
        <f>'[1]May - 2021'!R28</f>
        <v>258</v>
      </c>
      <c r="O28" s="168">
        <f>'[1]May - 2021'!S28</f>
        <v>7206.8</v>
      </c>
      <c r="P28" s="170">
        <f>'[1]May - 2021'!T28</f>
        <v>221.51000000000022</v>
      </c>
      <c r="Q28" s="168">
        <f>'[1]May - 2021'!U28</f>
        <v>105</v>
      </c>
      <c r="R28" s="168">
        <f>'[1]May - 2021'!V28</f>
        <v>2658</v>
      </c>
      <c r="S28" s="208">
        <f>'[1]May - 2021'!W28</f>
        <v>17</v>
      </c>
      <c r="T28" s="521"/>
      <c r="U28" s="169">
        <f>'[1]May - 2021'!AC28</f>
        <v>6562242.96</v>
      </c>
      <c r="V28" s="291">
        <f>'[1]May - 2021'!AD28</f>
        <v>3800.160000000149</v>
      </c>
      <c r="W28" s="92">
        <f>'[1]May - 2021'!AD28</f>
        <v>3800.160000000149</v>
      </c>
      <c r="X28" s="290">
        <f>'[1]May - 2021'!AF28</f>
        <v>12809900.880000001</v>
      </c>
      <c r="Y28" s="291">
        <f>'[1]May - 2021'!AG28</f>
        <v>4628.4000000003725</v>
      </c>
      <c r="Z28" s="92">
        <f>'[1]May - 2021'!AG28</f>
        <v>4628.4000000003725</v>
      </c>
      <c r="AA28" s="290">
        <f>'[1]May - 2021'!AI28</f>
        <v>12132595.439999999</v>
      </c>
      <c r="AB28" s="291">
        <f>'[1]May - 2021'!AJ28</f>
        <v>779.51999999955297</v>
      </c>
      <c r="AC28" s="92">
        <f>'[1]May - 2021'!AJ28</f>
        <v>779.51999999955297</v>
      </c>
      <c r="AD28" s="290">
        <f>'[1]May - 2021'!AL28</f>
        <v>15260175.84</v>
      </c>
      <c r="AE28" s="291">
        <f>'[1]May - 2021'!AM28</f>
        <v>6333.5999999996275</v>
      </c>
      <c r="AF28" s="92">
        <f>'[1]May - 2021'!AM28</f>
        <v>6333.5999999996275</v>
      </c>
      <c r="AG28" s="290">
        <f>'[1]May - 2021'!AO28</f>
        <v>15599218.32</v>
      </c>
      <c r="AH28" s="291">
        <f>'[1]May - 2021'!AP28</f>
        <v>14080.080000000075</v>
      </c>
      <c r="AI28" s="92">
        <f>'[1]May - 2021'!AP28</f>
        <v>14080.080000000075</v>
      </c>
      <c r="AJ28" s="290">
        <f>'[1]May - 2021'!AR28</f>
        <v>14362168.799999999</v>
      </c>
      <c r="AK28" s="291">
        <f>'[1]May - 2021'!AS28</f>
        <v>5018.160000000149</v>
      </c>
      <c r="AL28" s="92">
        <f>'[1]May - 2021'!AS28</f>
        <v>5018.160000000149</v>
      </c>
      <c r="AM28" s="290">
        <f>'[1]May - 2021'!AU28</f>
        <v>12267939.6</v>
      </c>
      <c r="AN28" s="291">
        <f>'[1]May - 2021'!AV28</f>
        <v>4530.9599999990314</v>
      </c>
      <c r="AO28" s="92">
        <f>'[1]May - 2021'!AV28</f>
        <v>4530.9599999990314</v>
      </c>
      <c r="AP28" s="299">
        <f>'[1]May - 2021'!AX28</f>
        <v>11840811.359999999</v>
      </c>
      <c r="AQ28" s="291">
        <f>'[1]May - 2021'!AY28</f>
        <v>3897.5999999996275</v>
      </c>
      <c r="AR28" s="92">
        <f>'[1]May - 2021'!AY28</f>
        <v>3897.5999999996275</v>
      </c>
      <c r="AS28" s="290">
        <f>'[1]May - 2021'!BA28</f>
        <v>9454944.2400000002</v>
      </c>
      <c r="AT28" s="291">
        <f>'[1]May - 2021'!BB28</f>
        <v>3166.8000000007451</v>
      </c>
      <c r="AU28" s="92">
        <f>'[1]May - 2021'!BB28</f>
        <v>3166.8000000007451</v>
      </c>
      <c r="AV28" s="290">
        <f>'[1]May - 2021'!BD28</f>
        <v>14432910.240000002</v>
      </c>
      <c r="AW28" s="252">
        <f>'[1]May - 2021'!BE28</f>
        <v>5797.6800000034273</v>
      </c>
      <c r="AX28" s="253">
        <f>'[1]May - 2021'!BE28</f>
        <v>5797.6800000034273</v>
      </c>
      <c r="AY28" s="487"/>
      <c r="AZ28" s="272">
        <f>'[1]May - 2021'!BK28</f>
        <v>60524400</v>
      </c>
      <c r="BA28" s="179">
        <f>'[1]May - 2021'!BL28</f>
        <v>0</v>
      </c>
      <c r="BB28" s="93">
        <f>'[1]May - 2021'!BL28</f>
        <v>0</v>
      </c>
      <c r="BC28" s="272">
        <f>'[1]May - 2021'!BN28</f>
        <v>63639800</v>
      </c>
      <c r="BD28" s="245">
        <f>'[1]May - 2021'!BO28</f>
        <v>39100</v>
      </c>
      <c r="BE28" s="93">
        <f>'[1]May - 2021'!BO28</f>
        <v>39100</v>
      </c>
      <c r="BF28" s="272">
        <f>'[1]May - 2021'!BQ28</f>
        <v>58270700</v>
      </c>
      <c r="BG28" s="245">
        <f>'[1]May - 2021'!BR28</f>
        <v>62700</v>
      </c>
      <c r="BH28" s="93">
        <f>'[1]May - 2021'!BR28</f>
        <v>62700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3">
        <f>'[1]May - 2021'!BT28</f>
        <v>6354870</v>
      </c>
      <c r="BT28" s="185">
        <f>'[1]May - 2021'!BU28</f>
        <v>6620</v>
      </c>
      <c r="BU28" s="394"/>
      <c r="BV28" s="88">
        <f>'[1]May - 2021'!BW28</f>
        <v>0.8</v>
      </c>
      <c r="BW28" s="241">
        <f>'[1]May - 2021'!BX28</f>
        <v>-5.0000000000000044E-2</v>
      </c>
      <c r="BX28" s="88">
        <f>'[1]May - 2021'!BX28</f>
        <v>-5.0000000000000044E-2</v>
      </c>
      <c r="BY28" s="89">
        <f>'[1]May - 2021'!BZ28</f>
        <v>53436</v>
      </c>
      <c r="BZ28" s="191">
        <f>'[1]May - 2021'!CA28</f>
        <v>16</v>
      </c>
      <c r="CA28" s="89">
        <f>'[1]May - 2021'!CB28</f>
        <v>45085</v>
      </c>
      <c r="CB28" s="191">
        <f>'[1]May - 2021'!CC28</f>
        <v>15</v>
      </c>
      <c r="CC28" s="89">
        <f>'[1]May - 2021'!CD28</f>
        <v>15648</v>
      </c>
      <c r="CD28" s="191">
        <f>'[1]May - 2021'!CE28</f>
        <v>6</v>
      </c>
      <c r="CE28" s="89">
        <f>'[1]May - 2021'!CF28</f>
        <v>19981</v>
      </c>
      <c r="CF28" s="191">
        <f>'[1]May - 2021'!CG28</f>
        <v>11</v>
      </c>
      <c r="CG28" s="89">
        <f>'[1]May - 2021'!CH28</f>
        <v>21697</v>
      </c>
      <c r="CH28" s="191">
        <f>'[1]May - 2021'!CI28</f>
        <v>8</v>
      </c>
      <c r="CI28" s="89">
        <f>'[1]May - 2021'!CJ28</f>
        <v>49394</v>
      </c>
      <c r="CJ28" s="191">
        <f>'[1]May - 2021'!CK28</f>
        <v>21</v>
      </c>
      <c r="CK28" s="89">
        <f>'[1]May - 2021'!CL28</f>
        <v>214882</v>
      </c>
      <c r="CL28" s="246">
        <f>'[1]May - 2021'!CM28</f>
        <v>99</v>
      </c>
      <c r="CM28" s="89">
        <f>'[1]May - 2021'!CM28</f>
        <v>99</v>
      </c>
      <c r="CN28" s="89">
        <f>'[1]May - 2021'!CO28</f>
        <v>163337</v>
      </c>
      <c r="CO28" s="246">
        <f>'[1]May - 2021'!CP28</f>
        <v>89</v>
      </c>
      <c r="CP28" s="89">
        <f>'[1]May - 2021'!CP28</f>
        <v>89</v>
      </c>
      <c r="CQ28" s="89">
        <f>'[1]May - 2021'!CR28</f>
        <v>308195</v>
      </c>
      <c r="CR28" s="246">
        <f>'[1]May - 2021'!CS28</f>
        <v>0</v>
      </c>
      <c r="CS28" s="89">
        <f>'[1]May - 2021'!CS28</f>
        <v>0</v>
      </c>
      <c r="CT28" s="89">
        <f>'[1]May - 2021'!CU28</f>
        <v>573019</v>
      </c>
      <c r="CU28" s="191">
        <f>'[1]May - 2021'!CV28</f>
        <v>267</v>
      </c>
      <c r="CV28" s="454"/>
      <c r="CW28" s="256">
        <f>'[1]May - 2021'!CX28</f>
        <v>4966</v>
      </c>
      <c r="CX28" s="198">
        <f>'[1]May - 2021'!CY28</f>
        <v>6</v>
      </c>
      <c r="CY28" s="257">
        <f>'[1]May - 2021'!CZ28</f>
        <v>2585</v>
      </c>
      <c r="CZ28" s="198">
        <f>'[1]May - 2021'!DA28</f>
        <v>6</v>
      </c>
      <c r="DA28" s="257">
        <f>'[1]May - 2021'!DB28</f>
        <v>24124.5</v>
      </c>
      <c r="DB28" s="198">
        <f>'[1]May - 2021'!DC28</f>
        <v>11.099999999998545</v>
      </c>
      <c r="DC28" s="257">
        <f>'[1]May - 2021'!DD28</f>
        <v>24597.599999999999</v>
      </c>
      <c r="DD28" s="198">
        <f>'[1]May - 2021'!DE28</f>
        <v>11.69999999999709</v>
      </c>
      <c r="DE28" s="257">
        <f>'[1]May - 2021'!DF28</f>
        <v>17202.400000000001</v>
      </c>
      <c r="DF28" s="198">
        <f>'[1]May - 2021'!DG28</f>
        <v>7.5</v>
      </c>
      <c r="DG28" s="257">
        <f>'[1]May - 2021'!DH28</f>
        <v>20178.7</v>
      </c>
      <c r="DH28" s="198">
        <f>'[1]May - 2021'!DI28</f>
        <v>8.6000000000021828</v>
      </c>
      <c r="DI28" s="257">
        <f>'[1]May - 2021'!DJ28</f>
        <v>1543</v>
      </c>
      <c r="DJ28" s="198">
        <f>'[1]May - 2021'!DK28</f>
        <v>5</v>
      </c>
      <c r="DK28" s="257">
        <f>'[1]May - 2021'!DL28</f>
        <v>4506</v>
      </c>
      <c r="DL28" s="198">
        <f>'[1]May - 2021'!DM28</f>
        <v>13</v>
      </c>
      <c r="DM28" s="257">
        <f>'[1]May - 2021'!DN28</f>
        <v>879</v>
      </c>
      <c r="DN28" s="198">
        <f>'[1]May - 2021'!DO28</f>
        <v>0</v>
      </c>
      <c r="DO28" s="257">
        <f>'[1]May - 2021'!DP28</f>
        <v>2366</v>
      </c>
      <c r="DP28" s="198">
        <f>'[1]May - 2021'!DQ28</f>
        <v>7</v>
      </c>
      <c r="DQ28" s="257">
        <f>'[1]May - 2021'!DR28</f>
        <v>24795</v>
      </c>
      <c r="DR28" s="206">
        <f>'[1]May - 2021'!DS28</f>
        <v>18</v>
      </c>
      <c r="DS28" s="439"/>
      <c r="DT28" s="210">
        <f>'[1]May - 2021'!DU28</f>
        <v>1198.5999999999999</v>
      </c>
      <c r="DU28" s="221">
        <f>'[1]May - 2021'!DV28</f>
        <v>9</v>
      </c>
      <c r="DV28" s="91">
        <f>'[1]May - 2021'!DW28</f>
        <v>6576.3</v>
      </c>
      <c r="DW28" s="215">
        <f>'[1]May - 2021'!DX28</f>
        <v>11.100000000000364</v>
      </c>
      <c r="DX28" s="91">
        <f>'[1]May - 2021'!DY28</f>
        <v>925.1</v>
      </c>
      <c r="DY28" s="215">
        <f>'[1]May - 2021'!DZ28</f>
        <v>7.3999999999999773</v>
      </c>
      <c r="DZ28" s="91">
        <f>'[1]May - 2021'!EA28</f>
        <v>479.7</v>
      </c>
      <c r="EA28" s="215">
        <f>'[1]May - 2021'!EB28</f>
        <v>8.5999999999999659</v>
      </c>
      <c r="EB28" s="91">
        <f>'[1]May - 2021'!EC28</f>
        <v>719825</v>
      </c>
      <c r="EC28" s="215">
        <f>'[1]May - 2021'!ED28</f>
        <v>812</v>
      </c>
      <c r="ED28" s="91">
        <f>'[1]May - 2021'!EG28</f>
        <v>144973.20000000001</v>
      </c>
      <c r="EE28" s="229">
        <f>'[1]May - 2021'!EH28</f>
        <v>166.90000000002328</v>
      </c>
      <c r="EF28" s="378"/>
      <c r="EG28" s="235">
        <f>'[1]May - 2021'!EJ28</f>
        <v>9028900</v>
      </c>
      <c r="EH28" s="230">
        <f>'[1]May - 2021'!EK28</f>
        <v>7600</v>
      </c>
      <c r="EI28" s="90">
        <f>'[1]May - 2021'!EL28</f>
        <v>743990</v>
      </c>
      <c r="EJ28" s="230">
        <f>'[1]May - 2021'!EM28</f>
        <v>490</v>
      </c>
      <c r="EK28" s="90">
        <f>'[1]May - 2021'!EN28</f>
        <v>5793300</v>
      </c>
      <c r="EL28" s="230">
        <f>'[1]May - 2021'!EO28</f>
        <v>3800</v>
      </c>
      <c r="EM28" s="90">
        <f>'[1]May - 2021'!EP28</f>
        <v>2042200</v>
      </c>
      <c r="EN28" s="230">
        <f>'[1]May - 2021'!EQ28</f>
        <v>1100</v>
      </c>
      <c r="EO28" s="90">
        <f>'[1]May - 2021'!ER28</f>
        <v>812000</v>
      </c>
      <c r="EP28" s="230">
        <f>'[1]May - 2021'!ES28</f>
        <v>1150</v>
      </c>
      <c r="EQ28" s="90">
        <f>'[1]May - 2021'!ET28</f>
        <v>12712700</v>
      </c>
      <c r="ER28" s="230">
        <f>'[1]May - 2021'!EU28</f>
        <v>8500</v>
      </c>
      <c r="ES28" s="426"/>
      <c r="ET28" s="284">
        <f>'[1]May - 2021'!EW28</f>
        <v>34567</v>
      </c>
      <c r="EU28" s="278">
        <f>'[1]May - 2021'!EX28</f>
        <v>15</v>
      </c>
      <c r="EV28" s="285">
        <f>'[1]May - 2021'!EY28</f>
        <v>29890</v>
      </c>
      <c r="EW28" s="278">
        <f>'[1]May - 2021'!EZ28</f>
        <v>15</v>
      </c>
      <c r="EX28" s="285">
        <f>'[1]May - 2021'!FA28</f>
        <v>887</v>
      </c>
      <c r="EY28" s="278">
        <f>'[1]May - 2021'!FB28</f>
        <v>11</v>
      </c>
      <c r="EZ28" s="285">
        <f>'[1]May - 2021'!FC28</f>
        <v>50777</v>
      </c>
      <c r="FA28" s="278">
        <f>'[1]May - 2021'!FD28</f>
        <v>12</v>
      </c>
      <c r="FB28" s="285">
        <f>'[1]May - 2021'!FE28</f>
        <v>31676</v>
      </c>
      <c r="FC28" s="279">
        <f>'[1]May - 2021'!FF28</f>
        <v>30</v>
      </c>
    </row>
    <row r="29" spans="1:159" ht="30" customHeight="1" x14ac:dyDescent="0.25">
      <c r="A29" s="207">
        <v>43850</v>
      </c>
      <c r="B29" s="209">
        <f>'[1]May - 2021'!B29</f>
        <v>0.85</v>
      </c>
      <c r="C29" s="250">
        <f>'[1]May - 2021'!E29</f>
        <v>770879</v>
      </c>
      <c r="D29" s="170">
        <f>'[1]May - 2021'!F29</f>
        <v>788</v>
      </c>
      <c r="E29" s="168">
        <f>'[1]May - 2021'!G29</f>
        <v>250</v>
      </c>
      <c r="F29" s="168">
        <f>'[1]May - 2021'!H29</f>
        <v>19551</v>
      </c>
      <c r="G29" s="170">
        <f>'[1]May - 2021'!I29</f>
        <v>338</v>
      </c>
      <c r="H29" s="168">
        <f>'[1]May - 2021'!J29</f>
        <v>159</v>
      </c>
      <c r="I29" s="168">
        <f>'[1]May - 2021'!K29</f>
        <v>137119</v>
      </c>
      <c r="J29" s="170">
        <f>'[1]May - 2021'!L29</f>
        <v>318</v>
      </c>
      <c r="K29" s="168">
        <f>'[1]May - 2021'!N29</f>
        <v>750514</v>
      </c>
      <c r="L29" s="170">
        <f>'[1]May - 2021'!O29</f>
        <v>363</v>
      </c>
      <c r="M29" s="168">
        <f>'[1]May - 2021'!Q29</f>
        <v>164763</v>
      </c>
      <c r="N29" s="170">
        <f>'[1]May - 2021'!R29</f>
        <v>186</v>
      </c>
      <c r="O29" s="168">
        <f>'[1]May - 2021'!S29</f>
        <v>7431.29</v>
      </c>
      <c r="P29" s="170">
        <f>'[1]May - 2021'!T29</f>
        <v>224.48999999999978</v>
      </c>
      <c r="Q29" s="168">
        <f>'[1]May - 2021'!U29</f>
        <v>98</v>
      </c>
      <c r="R29" s="168">
        <f>'[1]May - 2021'!V29</f>
        <v>2709</v>
      </c>
      <c r="S29" s="208">
        <f>'[1]May - 2021'!W29</f>
        <v>51</v>
      </c>
      <c r="T29" s="521"/>
      <c r="U29" s="169">
        <f>'[1]May - 2021'!AC29</f>
        <v>6565994.3999999994</v>
      </c>
      <c r="V29" s="291">
        <f>'[1]May - 2021'!AD29</f>
        <v>3751.4399999994785</v>
      </c>
      <c r="W29" s="92">
        <f>'[1]May - 2021'!AD29</f>
        <v>3751.4399999994785</v>
      </c>
      <c r="X29" s="290">
        <f>'[1]May - 2021'!AF29</f>
        <v>12814529.280000001</v>
      </c>
      <c r="Y29" s="291">
        <f>'[1]May - 2021'!AG29</f>
        <v>4628.4000000003725</v>
      </c>
      <c r="Z29" s="92">
        <f>'[1]May - 2021'!AG29</f>
        <v>4628.4000000003725</v>
      </c>
      <c r="AA29" s="290">
        <f>'[1]May - 2021'!AI29</f>
        <v>12132692.880000001</v>
      </c>
      <c r="AB29" s="291">
        <f>'[1]May - 2021'!AJ29</f>
        <v>97.440000001341105</v>
      </c>
      <c r="AC29" s="92">
        <f>'[1]May - 2021'!AJ29</f>
        <v>97.440000001341105</v>
      </c>
      <c r="AD29" s="290">
        <f>'[1]May - 2021'!AL29</f>
        <v>15266606.880000001</v>
      </c>
      <c r="AE29" s="291">
        <f>'[1]May - 2021'!AM29</f>
        <v>6431.0400000009686</v>
      </c>
      <c r="AF29" s="92">
        <f>'[1]May - 2021'!AM29</f>
        <v>6431.0400000009686</v>
      </c>
      <c r="AG29" s="290">
        <f>'[1]May - 2021'!AO29</f>
        <v>15612859.919999998</v>
      </c>
      <c r="AH29" s="291">
        <f>'[1]May - 2021'!AP29</f>
        <v>13641.599999997765</v>
      </c>
      <c r="AI29" s="92">
        <f>'[1]May - 2021'!AP29</f>
        <v>13641.599999997765</v>
      </c>
      <c r="AJ29" s="290">
        <f>'[1]May - 2021'!AR29</f>
        <v>14367235.68</v>
      </c>
      <c r="AK29" s="291">
        <f>'[1]May - 2021'!AS29</f>
        <v>5066.8800000008196</v>
      </c>
      <c r="AL29" s="92">
        <f>'[1]May - 2021'!AS29</f>
        <v>5066.8800000008196</v>
      </c>
      <c r="AM29" s="290">
        <f>'[1]May - 2021'!AU29</f>
        <v>12272324.4</v>
      </c>
      <c r="AN29" s="291">
        <f>'[1]May - 2021'!AV29</f>
        <v>4384.8000000007451</v>
      </c>
      <c r="AO29" s="92">
        <f>'[1]May - 2021'!AV29</f>
        <v>4384.8000000007451</v>
      </c>
      <c r="AP29" s="290">
        <f>'[1]May - 2021'!AX29</f>
        <v>11845001.280000001</v>
      </c>
      <c r="AQ29" s="291">
        <f>'[1]May - 2021'!AY29</f>
        <v>4189.9200000017881</v>
      </c>
      <c r="AR29" s="92">
        <f>'[1]May - 2021'!AY29</f>
        <v>4189.9200000017881</v>
      </c>
      <c r="AS29" s="290">
        <f>'[1]May - 2021'!BA29</f>
        <v>9457818.7199999988</v>
      </c>
      <c r="AT29" s="291">
        <f>'[1]May - 2021'!BB29</f>
        <v>2874.4799999985844</v>
      </c>
      <c r="AU29" s="92">
        <f>'[1]May - 2021'!BB29</f>
        <v>2874.4799999985844</v>
      </c>
      <c r="AV29" s="290">
        <f>'[1]May - 2021'!BD29</f>
        <v>14438366.880000001</v>
      </c>
      <c r="AW29" s="252">
        <f>'[1]May - 2021'!BE29</f>
        <v>5456.6399999987334</v>
      </c>
      <c r="AX29" s="253">
        <f>'[1]May - 2021'!BE29</f>
        <v>5456.6399999987334</v>
      </c>
      <c r="AY29" s="487"/>
      <c r="AZ29" s="272">
        <f>'[1]May - 2021'!BK29</f>
        <v>60524400</v>
      </c>
      <c r="BA29" s="179">
        <f>'[1]May - 2021'!BL29</f>
        <v>0</v>
      </c>
      <c r="BB29" s="93">
        <f>'[1]May - 2021'!BL29</f>
        <v>0</v>
      </c>
      <c r="BC29" s="272">
        <f>'[1]May - 2021'!BN29</f>
        <v>63676500</v>
      </c>
      <c r="BD29" s="245">
        <f>'[1]May - 2021'!BO29</f>
        <v>36700</v>
      </c>
      <c r="BE29" s="93">
        <f>'[1]May - 2021'!BO29</f>
        <v>36700</v>
      </c>
      <c r="BF29" s="272">
        <f>'[1]May - 2021'!BQ29</f>
        <v>58334000</v>
      </c>
      <c r="BG29" s="245">
        <f>'[1]May - 2021'!BR29</f>
        <v>63300</v>
      </c>
      <c r="BH29" s="93">
        <f>'[1]May - 2021'!BR29</f>
        <v>63300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3">
        <f>'[1]May - 2021'!BT29</f>
        <v>6361020</v>
      </c>
      <c r="BT29" s="185">
        <f>'[1]May - 2021'!BU29</f>
        <v>6150</v>
      </c>
      <c r="BU29" s="394"/>
      <c r="BV29" s="88">
        <f>'[1]May - 2021'!BW29</f>
        <v>0.75</v>
      </c>
      <c r="BW29" s="241">
        <f>'[1]May - 2021'!BX29</f>
        <v>5.0000000000000044E-2</v>
      </c>
      <c r="BX29" s="88">
        <f>'[1]May - 2021'!BX29</f>
        <v>5.0000000000000044E-2</v>
      </c>
      <c r="BY29" s="89">
        <f>'[1]May - 2021'!BZ29</f>
        <v>53453</v>
      </c>
      <c r="BZ29" s="191">
        <f>'[1]May - 2021'!CA29</f>
        <v>17</v>
      </c>
      <c r="CA29" s="89">
        <f>'[1]May - 2021'!CB29</f>
        <v>45100</v>
      </c>
      <c r="CB29" s="191">
        <f>'[1]May - 2021'!CC29</f>
        <v>15</v>
      </c>
      <c r="CC29" s="89">
        <f>'[1]May - 2021'!CD29</f>
        <v>15654</v>
      </c>
      <c r="CD29" s="191">
        <f>'[1]May - 2021'!CE29</f>
        <v>6</v>
      </c>
      <c r="CE29" s="89">
        <f>'[1]May - 2021'!CF29</f>
        <v>19992</v>
      </c>
      <c r="CF29" s="191">
        <f>'[1]May - 2021'!CG29</f>
        <v>11</v>
      </c>
      <c r="CG29" s="89">
        <f>'[1]May - 2021'!CH29</f>
        <v>21707</v>
      </c>
      <c r="CH29" s="191">
        <f>'[1]May - 2021'!CI29</f>
        <v>10</v>
      </c>
      <c r="CI29" s="89">
        <f>'[1]May - 2021'!CJ29</f>
        <v>49417</v>
      </c>
      <c r="CJ29" s="191">
        <f>'[1]May - 2021'!CK29</f>
        <v>23</v>
      </c>
      <c r="CK29" s="89">
        <f>'[1]May - 2021'!CL29</f>
        <v>214979</v>
      </c>
      <c r="CL29" s="246">
        <f>'[1]May - 2021'!CM29</f>
        <v>97</v>
      </c>
      <c r="CM29" s="89">
        <f>'[1]May - 2021'!CM29</f>
        <v>97</v>
      </c>
      <c r="CN29" s="89">
        <f>'[1]May - 2021'!CO29</f>
        <v>163429</v>
      </c>
      <c r="CO29" s="246">
        <f>'[1]May - 2021'!CP29</f>
        <v>92</v>
      </c>
      <c r="CP29" s="89">
        <f>'[1]May - 2021'!CP29</f>
        <v>92</v>
      </c>
      <c r="CQ29" s="89">
        <f>'[1]May - 2021'!CR29</f>
        <v>308195</v>
      </c>
      <c r="CR29" s="246">
        <f>'[1]May - 2021'!CS29</f>
        <v>0</v>
      </c>
      <c r="CS29" s="89">
        <f>'[1]May - 2021'!CS29</f>
        <v>0</v>
      </c>
      <c r="CT29" s="89">
        <f>'[1]May - 2021'!CU29</f>
        <v>573284</v>
      </c>
      <c r="CU29" s="191">
        <f>'[1]May - 2021'!CV29</f>
        <v>265</v>
      </c>
      <c r="CV29" s="454"/>
      <c r="CW29" s="256">
        <f>'[1]May - 2021'!CX29</f>
        <v>4974</v>
      </c>
      <c r="CX29" s="198">
        <f>'[1]May - 2021'!CY29</f>
        <v>8</v>
      </c>
      <c r="CY29" s="257">
        <f>'[1]May - 2021'!CZ29</f>
        <v>2590</v>
      </c>
      <c r="CZ29" s="198">
        <f>'[1]May - 2021'!DA29</f>
        <v>5</v>
      </c>
      <c r="DA29" s="257">
        <f>'[1]May - 2021'!DB29</f>
        <v>24135.9</v>
      </c>
      <c r="DB29" s="198">
        <f>'[1]May - 2021'!DC29</f>
        <v>11.400000000001455</v>
      </c>
      <c r="DC29" s="257">
        <f>'[1]May - 2021'!DD29</f>
        <v>24611.3</v>
      </c>
      <c r="DD29" s="198">
        <f>'[1]May - 2021'!DE29</f>
        <v>13.700000000000728</v>
      </c>
      <c r="DE29" s="257">
        <f>'[1]May - 2021'!DF29</f>
        <v>17210.099999999999</v>
      </c>
      <c r="DF29" s="198">
        <f>'[1]May - 2021'!DG29</f>
        <v>7.6999999999970896</v>
      </c>
      <c r="DG29" s="257">
        <f>'[1]May - 2021'!DH29</f>
        <v>20185.3</v>
      </c>
      <c r="DH29" s="198">
        <f>'[1]May - 2021'!DI29</f>
        <v>6.5999999999985448</v>
      </c>
      <c r="DI29" s="257">
        <f>'[1]May - 2021'!DJ29</f>
        <v>1550</v>
      </c>
      <c r="DJ29" s="198">
        <f>'[1]May - 2021'!DK29</f>
        <v>7</v>
      </c>
      <c r="DK29" s="257">
        <f>'[1]May - 2021'!DL29</f>
        <v>4521</v>
      </c>
      <c r="DL29" s="198">
        <f>'[1]May - 2021'!DM29</f>
        <v>15</v>
      </c>
      <c r="DM29" s="257">
        <f>'[1]May - 2021'!DN29</f>
        <v>879</v>
      </c>
      <c r="DN29" s="198">
        <f>'[1]May - 2021'!DO29</f>
        <v>0</v>
      </c>
      <c r="DO29" s="257">
        <f>'[1]May - 2021'!DP29</f>
        <v>2374</v>
      </c>
      <c r="DP29" s="198">
        <f>'[1]May - 2021'!DQ29</f>
        <v>8</v>
      </c>
      <c r="DQ29" s="257">
        <f>'[1]May - 2021'!DR29</f>
        <v>24812</v>
      </c>
      <c r="DR29" s="206">
        <f>'[1]May - 2021'!DS29</f>
        <v>17</v>
      </c>
      <c r="DS29" s="439"/>
      <c r="DT29" s="210">
        <f>'[1]May - 2021'!DU29</f>
        <v>1207.4000000000001</v>
      </c>
      <c r="DU29" s="221">
        <f>'[1]May - 2021'!DV29</f>
        <v>8.8000000000001819</v>
      </c>
      <c r="DV29" s="91">
        <f>'[1]May - 2021'!DW29</f>
        <v>6581.4</v>
      </c>
      <c r="DW29" s="215">
        <f>'[1]May - 2021'!DX29</f>
        <v>5.0999999999994543</v>
      </c>
      <c r="DX29" s="91">
        <f>'[1]May - 2021'!DY29</f>
        <v>932</v>
      </c>
      <c r="DY29" s="215">
        <f>'[1]May - 2021'!DZ29</f>
        <v>6.8999999999999773</v>
      </c>
      <c r="DZ29" s="91">
        <f>'[1]May - 2021'!EA29</f>
        <v>487.5</v>
      </c>
      <c r="EA29" s="215">
        <f>'[1]May - 2021'!EB29</f>
        <v>7.8000000000000114</v>
      </c>
      <c r="EB29" s="91">
        <f>'[1]May - 2021'!EC29</f>
        <v>720652</v>
      </c>
      <c r="EC29" s="215">
        <f>'[1]May - 2021'!ED29</f>
        <v>827</v>
      </c>
      <c r="ED29" s="91">
        <f>'[1]May - 2021'!EG29</f>
        <v>145129.79999999999</v>
      </c>
      <c r="EE29" s="229">
        <f>'[1]May - 2021'!EH29</f>
        <v>156.59999999997672</v>
      </c>
      <c r="EF29" s="378"/>
      <c r="EG29" s="235">
        <f>'[1]May - 2021'!EJ29</f>
        <v>9032600</v>
      </c>
      <c r="EH29" s="230">
        <f>'[1]May - 2021'!EK29</f>
        <v>3700</v>
      </c>
      <c r="EI29" s="90">
        <f>'[1]May - 2021'!EL29</f>
        <v>744280</v>
      </c>
      <c r="EJ29" s="230">
        <f>'[1]May - 2021'!EM29</f>
        <v>290</v>
      </c>
      <c r="EK29" s="90">
        <f>'[1]May - 2021'!EN29</f>
        <v>5795200</v>
      </c>
      <c r="EL29" s="230">
        <f>'[1]May - 2021'!EO29</f>
        <v>1900</v>
      </c>
      <c r="EM29" s="90">
        <f>'[1]May - 2021'!EP29</f>
        <v>2042900</v>
      </c>
      <c r="EN29" s="230">
        <f>'[1]May - 2021'!EQ29</f>
        <v>700</v>
      </c>
      <c r="EO29" s="90">
        <f>'[1]May - 2021'!ER29</f>
        <v>812690</v>
      </c>
      <c r="EP29" s="230">
        <f>'[1]May - 2021'!ES29</f>
        <v>690</v>
      </c>
      <c r="EQ29" s="90">
        <f>'[1]May - 2021'!ET29</f>
        <v>12716000</v>
      </c>
      <c r="ER29" s="230">
        <f>'[1]May - 2021'!EU29</f>
        <v>3300</v>
      </c>
      <c r="ES29" s="426"/>
      <c r="ET29" s="284">
        <f>'[1]May - 2021'!EW29</f>
        <v>34582</v>
      </c>
      <c r="EU29" s="278">
        <f>'[1]May - 2021'!EX29</f>
        <v>15</v>
      </c>
      <c r="EV29" s="285">
        <f>'[1]May - 2021'!EY29</f>
        <v>29903</v>
      </c>
      <c r="EW29" s="278">
        <f>'[1]May - 2021'!EZ29</f>
        <v>13</v>
      </c>
      <c r="EX29" s="285">
        <f>'[1]May - 2021'!FA29</f>
        <v>899</v>
      </c>
      <c r="EY29" s="278">
        <f>'[1]May - 2021'!FB29</f>
        <v>12</v>
      </c>
      <c r="EZ29" s="285">
        <f>'[1]May - 2021'!FC29</f>
        <v>50792</v>
      </c>
      <c r="FA29" s="278">
        <f>'[1]May - 2021'!FD29</f>
        <v>15</v>
      </c>
      <c r="FB29" s="285">
        <f>'[1]May - 2021'!FE29</f>
        <v>31709</v>
      </c>
      <c r="FC29" s="279">
        <f>'[1]May - 2021'!FF29</f>
        <v>33</v>
      </c>
    </row>
    <row r="30" spans="1:159" ht="30" customHeight="1" x14ac:dyDescent="0.25">
      <c r="A30" s="207">
        <v>43851</v>
      </c>
      <c r="B30" s="209">
        <f>'[1]May - 2021'!B30</f>
        <v>0.91</v>
      </c>
      <c r="C30" s="250">
        <f>'[1]May - 2021'!E30</f>
        <v>771592</v>
      </c>
      <c r="D30" s="170">
        <f>'[1]May - 2021'!F30</f>
        <v>713</v>
      </c>
      <c r="E30" s="168">
        <f>'[1]May - 2021'!G30</f>
        <v>280</v>
      </c>
      <c r="F30" s="168">
        <f>'[1]May - 2021'!H30</f>
        <v>19927</v>
      </c>
      <c r="G30" s="170">
        <f>'[1]May - 2021'!I30</f>
        <v>376</v>
      </c>
      <c r="H30" s="168">
        <f>'[1]May - 2021'!J30</f>
        <v>149</v>
      </c>
      <c r="I30" s="168">
        <f>'[1]May - 2021'!K30</f>
        <v>137485</v>
      </c>
      <c r="J30" s="170">
        <f>'[1]May - 2021'!L30</f>
        <v>366</v>
      </c>
      <c r="K30" s="168">
        <f>'[1]May - 2021'!N30</f>
        <v>750957</v>
      </c>
      <c r="L30" s="170">
        <f>'[1]May - 2021'!O30</f>
        <v>443</v>
      </c>
      <c r="M30" s="168">
        <f>'[1]May - 2021'!Q30</f>
        <v>164925</v>
      </c>
      <c r="N30" s="170">
        <f>'[1]May - 2021'!R30</f>
        <v>162</v>
      </c>
      <c r="O30" s="168">
        <f>'[1]May - 2021'!S30</f>
        <v>7663.05</v>
      </c>
      <c r="P30" s="170">
        <f>'[1]May - 2021'!T30</f>
        <v>231.76000000000022</v>
      </c>
      <c r="Q30" s="168">
        <f>'[1]May - 2021'!U30</f>
        <v>106</v>
      </c>
      <c r="R30" s="168">
        <f>'[1]May - 2021'!V30</f>
        <v>2743</v>
      </c>
      <c r="S30" s="208">
        <f>'[1]May - 2021'!W30</f>
        <v>34</v>
      </c>
      <c r="T30" s="521"/>
      <c r="U30" s="169">
        <f>'[1]May - 2021'!AC30</f>
        <v>6570086.8799999999</v>
      </c>
      <c r="V30" s="291">
        <f>'[1]May - 2021'!AD30</f>
        <v>4092.480000000447</v>
      </c>
      <c r="W30" s="92">
        <f>'[1]May - 2021'!AD30</f>
        <v>4092.480000000447</v>
      </c>
      <c r="X30" s="290">
        <f>'[1]May - 2021'!AF30</f>
        <v>12819255.119999999</v>
      </c>
      <c r="Y30" s="291">
        <f>'[1]May - 2021'!AG30</f>
        <v>4725.8399999979883</v>
      </c>
      <c r="Z30" s="92">
        <f>'[1]May - 2021'!AG30</f>
        <v>4725.8399999979883</v>
      </c>
      <c r="AA30" s="290">
        <f>'[1]May - 2021'!AI30</f>
        <v>12133472.4</v>
      </c>
      <c r="AB30" s="291">
        <f>'[1]May - 2021'!AJ30</f>
        <v>779.51999999955297</v>
      </c>
      <c r="AC30" s="92">
        <f>'[1]May - 2021'!AJ30</f>
        <v>779.51999999955297</v>
      </c>
      <c r="AD30" s="290">
        <f>'[1]May - 2021'!AL30</f>
        <v>15274645.68</v>
      </c>
      <c r="AE30" s="291">
        <f>'[1]May - 2021'!AM30</f>
        <v>8038.7999999988824</v>
      </c>
      <c r="AF30" s="92">
        <f>'[1]May - 2021'!AM30</f>
        <v>8038.7999999988824</v>
      </c>
      <c r="AG30" s="290">
        <f>'[1]May - 2021'!AO30</f>
        <v>15628352.880000001</v>
      </c>
      <c r="AH30" s="291">
        <f>'[1]May - 2021'!AP30</f>
        <v>15492.960000002757</v>
      </c>
      <c r="AI30" s="92">
        <f>'[1]May - 2021'!AP30</f>
        <v>15492.960000002757</v>
      </c>
      <c r="AJ30" s="290">
        <f>'[1]May - 2021'!AR30</f>
        <v>14372789.76</v>
      </c>
      <c r="AK30" s="291">
        <f>'[1]May - 2021'!AS30</f>
        <v>5554.0800000000745</v>
      </c>
      <c r="AL30" s="92">
        <f>'[1]May - 2021'!AS30</f>
        <v>5554.0800000000745</v>
      </c>
      <c r="AM30" s="290">
        <f>'[1]May - 2021'!AU30</f>
        <v>12276904.08</v>
      </c>
      <c r="AN30" s="291">
        <f>'[1]May - 2021'!AV30</f>
        <v>4579.679999999702</v>
      </c>
      <c r="AO30" s="92">
        <f>'[1]May - 2021'!AV30</f>
        <v>4579.679999999702</v>
      </c>
      <c r="AP30" s="290">
        <f>'[1]May - 2021'!AX30</f>
        <v>11848947.6</v>
      </c>
      <c r="AQ30" s="291">
        <f>'[1]May - 2021'!AY30</f>
        <v>3946.3199999984354</v>
      </c>
      <c r="AR30" s="92">
        <f>'[1]May - 2021'!AY30</f>
        <v>3946.3199999984354</v>
      </c>
      <c r="AS30" s="290">
        <f>'[1]May - 2021'!BA30</f>
        <v>9460693.1999999993</v>
      </c>
      <c r="AT30" s="291">
        <f>'[1]May - 2021'!BB30</f>
        <v>2874.480000000447</v>
      </c>
      <c r="AU30" s="92">
        <f>'[1]May - 2021'!BB30</f>
        <v>2874.480000000447</v>
      </c>
      <c r="AV30" s="290">
        <f>'[1]May - 2021'!BD30</f>
        <v>14443823.52</v>
      </c>
      <c r="AW30" s="252">
        <f>'[1]May - 2021'!BE30</f>
        <v>5456.6399999987334</v>
      </c>
      <c r="AX30" s="253">
        <f>'[1]May - 2021'!BE30</f>
        <v>5456.6399999987334</v>
      </c>
      <c r="AY30" s="487"/>
      <c r="AZ30" s="272">
        <f>'[1]May - 2021'!BK30</f>
        <v>60524400</v>
      </c>
      <c r="BA30" s="179">
        <f>'[1]May - 2021'!BL30</f>
        <v>0</v>
      </c>
      <c r="BB30" s="93">
        <f>'[1]May - 2021'!BL30</f>
        <v>0</v>
      </c>
      <c r="BC30" s="272">
        <f>'[1]May - 2021'!BN30</f>
        <v>63723200</v>
      </c>
      <c r="BD30" s="245">
        <f>'[1]May - 2021'!BO30</f>
        <v>46700</v>
      </c>
      <c r="BE30" s="93">
        <f>'[1]May - 2021'!BO30</f>
        <v>46700</v>
      </c>
      <c r="BF30" s="272">
        <f>'[1]May - 2021'!BQ30</f>
        <v>58400500</v>
      </c>
      <c r="BG30" s="245">
        <f>'[1]May - 2021'!BR30</f>
        <v>66500</v>
      </c>
      <c r="BH30" s="93">
        <f>'[1]May - 2021'!BR30</f>
        <v>66500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3">
        <f>'[1]May - 2021'!BT30</f>
        <v>6367610</v>
      </c>
      <c r="BT30" s="185">
        <f>'[1]May - 2021'!BU30</f>
        <v>6590</v>
      </c>
      <c r="BU30" s="394"/>
      <c r="BV30" s="88">
        <f>'[1]May - 2021'!BW30</f>
        <v>0.8</v>
      </c>
      <c r="BW30" s="241">
        <f>'[1]May - 2021'!BX30</f>
        <v>-5.0000000000000044E-2</v>
      </c>
      <c r="BX30" s="88">
        <f>'[1]May - 2021'!BX30</f>
        <v>-5.0000000000000044E-2</v>
      </c>
      <c r="BY30" s="89">
        <f>'[1]May - 2021'!BZ30</f>
        <v>53472</v>
      </c>
      <c r="BZ30" s="191">
        <f>'[1]May - 2021'!CA30</f>
        <v>19</v>
      </c>
      <c r="CA30" s="89">
        <f>'[1]May - 2021'!CB30</f>
        <v>45116</v>
      </c>
      <c r="CB30" s="191">
        <f>'[1]May - 2021'!CC30</f>
        <v>16</v>
      </c>
      <c r="CC30" s="89">
        <f>'[1]May - 2021'!CD30</f>
        <v>15661</v>
      </c>
      <c r="CD30" s="191">
        <f>'[1]May - 2021'!CE30</f>
        <v>7</v>
      </c>
      <c r="CE30" s="89">
        <f>'[1]May - 2021'!CF30</f>
        <v>20002</v>
      </c>
      <c r="CF30" s="191">
        <f>'[1]May - 2021'!CG30</f>
        <v>10</v>
      </c>
      <c r="CG30" s="89">
        <f>'[1]May - 2021'!CH30</f>
        <v>21717</v>
      </c>
      <c r="CH30" s="191">
        <f>'[1]May - 2021'!CI30</f>
        <v>10</v>
      </c>
      <c r="CI30" s="89">
        <f>'[1]May - 2021'!CJ30</f>
        <v>49442</v>
      </c>
      <c r="CJ30" s="191">
        <f>'[1]May - 2021'!CK30</f>
        <v>25</v>
      </c>
      <c r="CK30" s="89">
        <f>'[1]May - 2021'!CL30</f>
        <v>215077</v>
      </c>
      <c r="CL30" s="246">
        <f>'[1]May - 2021'!CM30</f>
        <v>98</v>
      </c>
      <c r="CM30" s="89">
        <f>'[1]May - 2021'!CM30</f>
        <v>98</v>
      </c>
      <c r="CN30" s="89">
        <f>'[1]May - 2021'!CO30</f>
        <v>163521</v>
      </c>
      <c r="CO30" s="246">
        <f>'[1]May - 2021'!CP30</f>
        <v>92</v>
      </c>
      <c r="CP30" s="89">
        <f>'[1]May - 2021'!CP30</f>
        <v>92</v>
      </c>
      <c r="CQ30" s="89">
        <f>'[1]May - 2021'!CR30</f>
        <v>308195</v>
      </c>
      <c r="CR30" s="246">
        <f>'[1]May - 2021'!CS30</f>
        <v>0</v>
      </c>
      <c r="CS30" s="89">
        <f>'[1]May - 2021'!CS30</f>
        <v>0</v>
      </c>
      <c r="CT30" s="89">
        <f>'[1]May - 2021'!CU30</f>
        <v>573558</v>
      </c>
      <c r="CU30" s="191">
        <f>'[1]May - 2021'!CV30</f>
        <v>274</v>
      </c>
      <c r="CV30" s="454"/>
      <c r="CW30" s="256">
        <f>'[1]May - 2021'!CX30</f>
        <v>4982</v>
      </c>
      <c r="CX30" s="198">
        <f>'[1]May - 2021'!CY30</f>
        <v>8</v>
      </c>
      <c r="CY30" s="257">
        <f>'[1]May - 2021'!CZ30</f>
        <v>2595</v>
      </c>
      <c r="CZ30" s="198">
        <f>'[1]May - 2021'!DA30</f>
        <v>5</v>
      </c>
      <c r="DA30" s="257">
        <f>'[1]May - 2021'!DB30</f>
        <v>24145.9</v>
      </c>
      <c r="DB30" s="198">
        <f>'[1]May - 2021'!DC30</f>
        <v>10</v>
      </c>
      <c r="DC30" s="257">
        <f>'[1]May - 2021'!DD30</f>
        <v>24625</v>
      </c>
      <c r="DD30" s="198">
        <f>'[1]May - 2021'!DE30</f>
        <v>13.700000000000728</v>
      </c>
      <c r="DE30" s="257">
        <f>'[1]May - 2021'!DF30</f>
        <v>17217.7</v>
      </c>
      <c r="DF30" s="198">
        <f>'[1]May - 2021'!DG30</f>
        <v>7.6000000000021828</v>
      </c>
      <c r="DG30" s="257">
        <f>'[1]May - 2021'!DH30</f>
        <v>20192.900000000001</v>
      </c>
      <c r="DH30" s="198">
        <f>'[1]May - 2021'!DI30</f>
        <v>7.6000000000021828</v>
      </c>
      <c r="DI30" s="257">
        <f>'[1]May - 2021'!DJ30</f>
        <v>1557</v>
      </c>
      <c r="DJ30" s="198">
        <f>'[1]May - 2021'!DK30</f>
        <v>7</v>
      </c>
      <c r="DK30" s="257">
        <f>'[1]May - 2021'!DL30</f>
        <v>4536</v>
      </c>
      <c r="DL30" s="198">
        <f>'[1]May - 2021'!DM30</f>
        <v>15</v>
      </c>
      <c r="DM30" s="257">
        <f>'[1]May - 2021'!DN30</f>
        <v>879</v>
      </c>
      <c r="DN30" s="198">
        <f>'[1]May - 2021'!DO30</f>
        <v>0</v>
      </c>
      <c r="DO30" s="257">
        <f>'[1]May - 2021'!DP30</f>
        <v>2382</v>
      </c>
      <c r="DP30" s="198">
        <f>'[1]May - 2021'!DQ30</f>
        <v>8</v>
      </c>
      <c r="DQ30" s="257">
        <f>'[1]May - 2021'!DR30</f>
        <v>24829</v>
      </c>
      <c r="DR30" s="206">
        <f>'[1]May - 2021'!DS30</f>
        <v>17</v>
      </c>
      <c r="DS30" s="439"/>
      <c r="DT30" s="210">
        <f>'[1]May - 2021'!DU30</f>
        <v>1216.9000000000001</v>
      </c>
      <c r="DU30" s="221">
        <f>'[1]May - 2021'!DV30</f>
        <v>9.5</v>
      </c>
      <c r="DV30" s="91">
        <f>'[1]May - 2021'!DW30</f>
        <v>6592.7</v>
      </c>
      <c r="DW30" s="215">
        <f>'[1]May - 2021'!DX30</f>
        <v>11.300000000000182</v>
      </c>
      <c r="DX30" s="91">
        <f>'[1]May - 2021'!DY30</f>
        <v>938.9</v>
      </c>
      <c r="DY30" s="215">
        <f>'[1]May - 2021'!DZ30</f>
        <v>6.8999999999999773</v>
      </c>
      <c r="DZ30" s="91">
        <f>'[1]May - 2021'!EA30</f>
        <v>493.4</v>
      </c>
      <c r="EA30" s="215">
        <f>'[1]May - 2021'!EB30</f>
        <v>5.8999999999999773</v>
      </c>
      <c r="EB30" s="91">
        <f>'[1]May - 2021'!EC30</f>
        <v>721486</v>
      </c>
      <c r="EC30" s="215">
        <f>'[1]May - 2021'!ED30</f>
        <v>834</v>
      </c>
      <c r="ED30" s="91">
        <f>'[1]May - 2021'!EG30</f>
        <v>145290.70000000001</v>
      </c>
      <c r="EE30" s="229">
        <f>'[1]May - 2021'!EH30</f>
        <v>160.90000000002328</v>
      </c>
      <c r="EF30" s="378"/>
      <c r="EG30" s="235">
        <f>'[1]May - 2021'!EJ30</f>
        <v>9039600</v>
      </c>
      <c r="EH30" s="230">
        <f>'[1]May - 2021'!EK30</f>
        <v>7000</v>
      </c>
      <c r="EI30" s="90">
        <f>'[1]May - 2021'!EL30</f>
        <v>744710</v>
      </c>
      <c r="EJ30" s="230">
        <f>'[1]May - 2021'!EM30</f>
        <v>430</v>
      </c>
      <c r="EK30" s="90">
        <f>'[1]May - 2021'!EN30</f>
        <v>5798500</v>
      </c>
      <c r="EL30" s="230">
        <f>'[1]May - 2021'!EO30</f>
        <v>3300</v>
      </c>
      <c r="EM30" s="90">
        <f>'[1]May - 2021'!EP30</f>
        <v>2044300</v>
      </c>
      <c r="EN30" s="230">
        <f>'[1]May - 2021'!EQ30</f>
        <v>1400</v>
      </c>
      <c r="EO30" s="90">
        <f>'[1]May - 2021'!ER30</f>
        <v>813700</v>
      </c>
      <c r="EP30" s="230">
        <f>'[1]May - 2021'!ES30</f>
        <v>1010</v>
      </c>
      <c r="EQ30" s="90">
        <f>'[1]May - 2021'!ET30</f>
        <v>12724900</v>
      </c>
      <c r="ER30" s="230">
        <f>'[1]May - 2021'!EU30</f>
        <v>8900</v>
      </c>
      <c r="ES30" s="426"/>
      <c r="ET30" s="284">
        <f>'[1]May - 2021'!EW30</f>
        <v>34597</v>
      </c>
      <c r="EU30" s="278">
        <f>'[1]May - 2021'!EX30</f>
        <v>15</v>
      </c>
      <c r="EV30" s="285">
        <f>'[1]May - 2021'!EY30</f>
        <v>29921</v>
      </c>
      <c r="EW30" s="278">
        <f>'[1]May - 2021'!EZ30</f>
        <v>18</v>
      </c>
      <c r="EX30" s="285">
        <f>'[1]May - 2021'!FA30</f>
        <v>918</v>
      </c>
      <c r="EY30" s="278">
        <f>'[1]May - 2021'!FB30</f>
        <v>19</v>
      </c>
      <c r="EZ30" s="285">
        <f>'[1]May - 2021'!FC30</f>
        <v>50814</v>
      </c>
      <c r="FA30" s="278">
        <f>'[1]May - 2021'!FD30</f>
        <v>22</v>
      </c>
      <c r="FB30" s="285">
        <f>'[1]May - 2021'!FE30</f>
        <v>31743</v>
      </c>
      <c r="FC30" s="279">
        <f>'[1]May - 2021'!FF30</f>
        <v>34</v>
      </c>
    </row>
    <row r="31" spans="1:159" ht="30" customHeight="1" x14ac:dyDescent="0.25">
      <c r="A31" s="207">
        <v>43852</v>
      </c>
      <c r="B31" s="209">
        <f>'[1]May - 2021'!B31</f>
        <v>0</v>
      </c>
      <c r="C31" s="250">
        <f>'[1]May - 2021'!E31</f>
        <v>0</v>
      </c>
      <c r="D31" s="170">
        <f>'[1]May - 2021'!F31</f>
        <v>-771592</v>
      </c>
      <c r="E31" s="168">
        <f>'[1]May - 2021'!G31</f>
        <v>272</v>
      </c>
      <c r="F31" s="168">
        <f>'[1]May - 2021'!H31</f>
        <v>0</v>
      </c>
      <c r="G31" s="170">
        <f>'[1]May - 2021'!I31</f>
        <v>-19927</v>
      </c>
      <c r="H31" s="168">
        <f>'[1]May - 2021'!J31</f>
        <v>156</v>
      </c>
      <c r="I31" s="168">
        <f>'[1]May - 2021'!K31</f>
        <v>0</v>
      </c>
      <c r="J31" s="170">
        <f>'[1]May - 2021'!L31</f>
        <v>-137485</v>
      </c>
      <c r="K31" s="168">
        <f>'[1]May - 2021'!N31</f>
        <v>0</v>
      </c>
      <c r="L31" s="170">
        <f>'[1]May - 2021'!O31</f>
        <v>-750957</v>
      </c>
      <c r="M31" s="168">
        <f>'[1]May - 2021'!Q31</f>
        <v>0</v>
      </c>
      <c r="N31" s="170">
        <f>'[1]May - 2021'!R31</f>
        <v>-164925</v>
      </c>
      <c r="O31" s="168">
        <f>'[1]May - 2021'!S31</f>
        <v>0</v>
      </c>
      <c r="P31" s="170">
        <f>'[1]May - 2021'!T31</f>
        <v>-7663.05</v>
      </c>
      <c r="Q31" s="168">
        <f>'[1]May - 2021'!U31</f>
        <v>114</v>
      </c>
      <c r="R31" s="168">
        <f>'[1]May - 2021'!V31</f>
        <v>0</v>
      </c>
      <c r="S31" s="208">
        <f>'[1]May - 2021'!W31</f>
        <v>-2743</v>
      </c>
      <c r="T31" s="521"/>
      <c r="U31" s="169">
        <f>'[1]May - 2021'!AC31</f>
        <v>0</v>
      </c>
      <c r="V31" s="291">
        <f>'[1]May - 2021'!AD31</f>
        <v>-6570086.8799999999</v>
      </c>
      <c r="W31" s="92">
        <f>'[1]May - 2021'!AD31</f>
        <v>-6570086.8799999999</v>
      </c>
      <c r="X31" s="290">
        <f>'[1]May - 2021'!AF31</f>
        <v>0</v>
      </c>
      <c r="Y31" s="291">
        <f>'[1]May - 2021'!AG31</f>
        <v>-12819255.119999999</v>
      </c>
      <c r="Z31" s="92">
        <f>'[1]May - 2021'!AG31</f>
        <v>-12819255.119999999</v>
      </c>
      <c r="AA31" s="290">
        <f>'[1]May - 2021'!AI31</f>
        <v>0</v>
      </c>
      <c r="AB31" s="291">
        <f>'[1]May - 2021'!AJ31</f>
        <v>-12133472.4</v>
      </c>
      <c r="AC31" s="92">
        <f>'[1]May - 2021'!AJ31</f>
        <v>-12133472.4</v>
      </c>
      <c r="AD31" s="290">
        <f>'[1]May - 2021'!AL31</f>
        <v>0</v>
      </c>
      <c r="AE31" s="291">
        <f>'[1]May - 2021'!AM31</f>
        <v>-15274645.68</v>
      </c>
      <c r="AF31" s="92">
        <f>'[1]May - 2021'!AM31</f>
        <v>-15274645.68</v>
      </c>
      <c r="AG31" s="290">
        <f>'[1]May - 2021'!AO31</f>
        <v>0</v>
      </c>
      <c r="AH31" s="291">
        <f>'[1]May - 2021'!AP31</f>
        <v>-15628352.880000001</v>
      </c>
      <c r="AI31" s="92">
        <f>'[1]May - 2021'!AP31</f>
        <v>-15628352.880000001</v>
      </c>
      <c r="AJ31" s="290">
        <f>'[1]May - 2021'!AR31</f>
        <v>0</v>
      </c>
      <c r="AK31" s="291">
        <f>'[1]May - 2021'!AS31</f>
        <v>-14372789.76</v>
      </c>
      <c r="AL31" s="92">
        <f>'[1]May - 2021'!AS31</f>
        <v>-14372789.76</v>
      </c>
      <c r="AM31" s="290">
        <f>'[1]May - 2021'!AU31</f>
        <v>0</v>
      </c>
      <c r="AN31" s="291">
        <f>'[1]May - 2021'!AV31</f>
        <v>-12276904.08</v>
      </c>
      <c r="AO31" s="92">
        <f>'[1]May - 2021'!AV31</f>
        <v>-12276904.08</v>
      </c>
      <c r="AP31" s="290">
        <f>'[1]May - 2021'!AX31</f>
        <v>0</v>
      </c>
      <c r="AQ31" s="291">
        <f>'[1]May - 2021'!AY31</f>
        <v>-11848947.6</v>
      </c>
      <c r="AR31" s="92">
        <f>'[1]May - 2021'!AY31</f>
        <v>-11848947.6</v>
      </c>
      <c r="AS31" s="290">
        <f>'[1]May - 2021'!BA31</f>
        <v>0</v>
      </c>
      <c r="AT31" s="291">
        <f>'[1]May - 2021'!BB31</f>
        <v>-9460693.1999999993</v>
      </c>
      <c r="AU31" s="92">
        <f>'[1]May - 2021'!BB31</f>
        <v>-9460693.1999999993</v>
      </c>
      <c r="AV31" s="290">
        <f>'[1]May - 2021'!BD31</f>
        <v>0</v>
      </c>
      <c r="AW31" s="252">
        <f>'[1]May - 2021'!BE31</f>
        <v>-14443823.52</v>
      </c>
      <c r="AX31" s="253">
        <f>'[1]May - 2021'!BE31</f>
        <v>-14443823.52</v>
      </c>
      <c r="AY31" s="487"/>
      <c r="AZ31" s="272">
        <f>'[1]May - 2021'!BK31</f>
        <v>0</v>
      </c>
      <c r="BA31" s="179">
        <f>'[1]May - 2021'!BL31</f>
        <v>-60524400</v>
      </c>
      <c r="BB31" s="93">
        <f>'[1]May - 2021'!BL31</f>
        <v>-60524400</v>
      </c>
      <c r="BC31" s="272">
        <f>'[1]May - 2021'!BN31</f>
        <v>0</v>
      </c>
      <c r="BD31" s="245">
        <f>'[1]May - 2021'!BO31</f>
        <v>-63723200</v>
      </c>
      <c r="BE31" s="93">
        <f>'[1]May - 2021'!BO31</f>
        <v>-63723200</v>
      </c>
      <c r="BF31" s="272">
        <f>'[1]May - 2021'!BQ31</f>
        <v>0</v>
      </c>
      <c r="BG31" s="245">
        <f>'[1]May - 2021'!BR31</f>
        <v>-58400500</v>
      </c>
      <c r="BH31" s="93">
        <f>'[1]May - 2021'!BR31</f>
        <v>-58400500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3">
        <f>'[1]May - 2021'!BT31</f>
        <v>0</v>
      </c>
      <c r="BT31" s="185">
        <f>'[1]May - 2021'!BU31</f>
        <v>-6367610</v>
      </c>
      <c r="BU31" s="394"/>
      <c r="BV31" s="88">
        <f>'[1]May - 2021'!BW31</f>
        <v>0</v>
      </c>
      <c r="BW31" s="241">
        <f>'[1]May - 2021'!BX31</f>
        <v>0.8</v>
      </c>
      <c r="BX31" s="88">
        <f>'[1]May - 2021'!BX31</f>
        <v>0.8</v>
      </c>
      <c r="BY31" s="89">
        <f>'[1]May - 2021'!BZ31</f>
        <v>0</v>
      </c>
      <c r="BZ31" s="191">
        <f>'[1]May - 2021'!CA31</f>
        <v>-53472</v>
      </c>
      <c r="CA31" s="89">
        <f>'[1]May - 2021'!CB31</f>
        <v>0</v>
      </c>
      <c r="CB31" s="191">
        <f>'[1]May - 2021'!CC31</f>
        <v>-45116</v>
      </c>
      <c r="CC31" s="89">
        <f>'[1]May - 2021'!CD31</f>
        <v>0</v>
      </c>
      <c r="CD31" s="191">
        <f>'[1]May - 2021'!CE31</f>
        <v>-15661</v>
      </c>
      <c r="CE31" s="89">
        <f>'[1]May - 2021'!CF31</f>
        <v>0</v>
      </c>
      <c r="CF31" s="191">
        <f>'[1]May - 2021'!CG31</f>
        <v>-20002</v>
      </c>
      <c r="CG31" s="89">
        <f>'[1]May - 2021'!CH31</f>
        <v>0</v>
      </c>
      <c r="CH31" s="191">
        <f>'[1]May - 2021'!CI31</f>
        <v>-21717</v>
      </c>
      <c r="CI31" s="89">
        <f>'[1]May - 2021'!CJ31</f>
        <v>0</v>
      </c>
      <c r="CJ31" s="191">
        <f>'[1]May - 2021'!CK31</f>
        <v>-49442</v>
      </c>
      <c r="CK31" s="89">
        <f>'[1]May - 2021'!CL31</f>
        <v>0</v>
      </c>
      <c r="CL31" s="246">
        <f>'[1]May - 2021'!CM31</f>
        <v>-215077</v>
      </c>
      <c r="CM31" s="89">
        <f>'[1]May - 2021'!CM31</f>
        <v>-215077</v>
      </c>
      <c r="CN31" s="89">
        <f>'[1]May - 2021'!CO31</f>
        <v>0</v>
      </c>
      <c r="CO31" s="246">
        <f>'[1]May - 2021'!CP31</f>
        <v>-163521</v>
      </c>
      <c r="CP31" s="89">
        <f>'[1]May - 2021'!CP31</f>
        <v>-163521</v>
      </c>
      <c r="CQ31" s="89">
        <f>'[1]May - 2021'!CR31</f>
        <v>0</v>
      </c>
      <c r="CR31" s="246">
        <f>'[1]May - 2021'!CS31</f>
        <v>-308195</v>
      </c>
      <c r="CS31" s="89">
        <f>'[1]May - 2021'!CS31</f>
        <v>-308195</v>
      </c>
      <c r="CT31" s="89">
        <f>'[1]May - 2021'!CU31</f>
        <v>0</v>
      </c>
      <c r="CU31" s="191">
        <f>'[1]May - 2021'!CV31</f>
        <v>-573558</v>
      </c>
      <c r="CV31" s="454"/>
      <c r="CW31" s="256">
        <f>'[1]May - 2021'!CX31</f>
        <v>0</v>
      </c>
      <c r="CX31" s="198">
        <f>'[1]May - 2021'!CY31</f>
        <v>-4982</v>
      </c>
      <c r="CY31" s="257">
        <f>'[1]May - 2021'!CZ31</f>
        <v>0</v>
      </c>
      <c r="CZ31" s="198">
        <f>'[1]May - 2021'!DA31</f>
        <v>-2595</v>
      </c>
      <c r="DA31" s="257">
        <f>'[1]May - 2021'!DB31</f>
        <v>0</v>
      </c>
      <c r="DB31" s="198">
        <f>'[1]May - 2021'!DC31</f>
        <v>-24145.9</v>
      </c>
      <c r="DC31" s="257">
        <f>'[1]May - 2021'!DD31</f>
        <v>0</v>
      </c>
      <c r="DD31" s="198">
        <f>'[1]May - 2021'!DE31</f>
        <v>-24625</v>
      </c>
      <c r="DE31" s="257">
        <f>'[1]May - 2021'!DF31</f>
        <v>0</v>
      </c>
      <c r="DF31" s="198">
        <f>'[1]May - 2021'!DG31</f>
        <v>-17217.7</v>
      </c>
      <c r="DG31" s="257">
        <f>'[1]May - 2021'!DH31</f>
        <v>0</v>
      </c>
      <c r="DH31" s="198">
        <f>'[1]May - 2021'!DI31</f>
        <v>-20192.900000000001</v>
      </c>
      <c r="DI31" s="257">
        <f>'[1]May - 2021'!DJ31</f>
        <v>0</v>
      </c>
      <c r="DJ31" s="198">
        <f>'[1]May - 2021'!DK31</f>
        <v>-1557</v>
      </c>
      <c r="DK31" s="257">
        <f>'[1]May - 2021'!DL31</f>
        <v>0</v>
      </c>
      <c r="DL31" s="198">
        <f>'[1]May - 2021'!DM31</f>
        <v>-4536</v>
      </c>
      <c r="DM31" s="257">
        <f>'[1]May - 2021'!DN31</f>
        <v>0</v>
      </c>
      <c r="DN31" s="198">
        <f>'[1]May - 2021'!DO31</f>
        <v>-879</v>
      </c>
      <c r="DO31" s="257">
        <f>'[1]May - 2021'!DP31</f>
        <v>0</v>
      </c>
      <c r="DP31" s="198">
        <f>'[1]May - 2021'!DQ31</f>
        <v>-2382</v>
      </c>
      <c r="DQ31" s="257">
        <f>'[1]May - 2021'!DR31</f>
        <v>0</v>
      </c>
      <c r="DR31" s="206">
        <f>'[1]May - 2021'!DS31</f>
        <v>-24829</v>
      </c>
      <c r="DS31" s="439"/>
      <c r="DT31" s="210">
        <f>'[1]May - 2021'!DU31</f>
        <v>0</v>
      </c>
      <c r="DU31" s="221">
        <f>'[1]May - 2021'!DV31</f>
        <v>-1216.9000000000001</v>
      </c>
      <c r="DV31" s="91">
        <f>'[1]May - 2021'!DW31</f>
        <v>0</v>
      </c>
      <c r="DW31" s="215">
        <f>'[1]May - 2021'!DX31</f>
        <v>-6592.7</v>
      </c>
      <c r="DX31" s="91">
        <f>'[1]May - 2021'!DY31</f>
        <v>0</v>
      </c>
      <c r="DY31" s="215">
        <f>'[1]May - 2021'!DZ31</f>
        <v>-938.9</v>
      </c>
      <c r="DZ31" s="91">
        <f>'[1]May - 2021'!EA31</f>
        <v>0</v>
      </c>
      <c r="EA31" s="215">
        <f>'[1]May - 2021'!EB31</f>
        <v>-493.4</v>
      </c>
      <c r="EB31" s="91">
        <f>'[1]May - 2021'!EC31</f>
        <v>0</v>
      </c>
      <c r="EC31" s="215">
        <f>'[1]May - 2021'!ED31</f>
        <v>-721486</v>
      </c>
      <c r="ED31" s="91">
        <f>'[1]May - 2021'!EG31</f>
        <v>0</v>
      </c>
      <c r="EE31" s="229">
        <f>'[1]May - 2021'!EH31</f>
        <v>-145290.70000000001</v>
      </c>
      <c r="EF31" s="378"/>
      <c r="EG31" s="235">
        <f>'[1]May - 2021'!EJ31</f>
        <v>0</v>
      </c>
      <c r="EH31" s="230">
        <f>'[1]May - 2021'!EK31</f>
        <v>-9039600</v>
      </c>
      <c r="EI31" s="90">
        <f>'[1]May - 2021'!EL31</f>
        <v>0</v>
      </c>
      <c r="EJ31" s="230">
        <f>'[1]May - 2021'!EM31</f>
        <v>-744710</v>
      </c>
      <c r="EK31" s="90">
        <f>'[1]May - 2021'!EN31</f>
        <v>0</v>
      </c>
      <c r="EL31" s="230">
        <f>'[1]May - 2021'!EO31</f>
        <v>-5798500</v>
      </c>
      <c r="EM31" s="90">
        <f>'[1]May - 2021'!EP31</f>
        <v>0</v>
      </c>
      <c r="EN31" s="230">
        <f>'[1]May - 2021'!EQ31</f>
        <v>-2044300</v>
      </c>
      <c r="EO31" s="90">
        <f>'[1]May - 2021'!ER31</f>
        <v>0</v>
      </c>
      <c r="EP31" s="230">
        <f>'[1]May - 2021'!ES31</f>
        <v>-813700</v>
      </c>
      <c r="EQ31" s="90">
        <f>'[1]May - 2021'!ET31</f>
        <v>0</v>
      </c>
      <c r="ER31" s="230">
        <f>'[1]May - 2021'!EU31</f>
        <v>-12724900</v>
      </c>
      <c r="ES31" s="426"/>
      <c r="ET31" s="284">
        <f>'[1]May - 2021'!EW31</f>
        <v>0</v>
      </c>
      <c r="EU31" s="278">
        <f>'[1]May - 2021'!EX31</f>
        <v>-34597</v>
      </c>
      <c r="EV31" s="285">
        <f>'[1]May - 2021'!EY31</f>
        <v>0</v>
      </c>
      <c r="EW31" s="278">
        <f>'[1]May - 2021'!EZ31</f>
        <v>-29921</v>
      </c>
      <c r="EX31" s="285">
        <f>'[1]May - 2021'!FA31</f>
        <v>0</v>
      </c>
      <c r="EY31" s="278">
        <f>'[1]May - 2021'!FB31</f>
        <v>-918</v>
      </c>
      <c r="EZ31" s="285">
        <f>'[1]May - 2021'!FC31</f>
        <v>0</v>
      </c>
      <c r="FA31" s="278">
        <f>'[1]May - 2021'!FD31</f>
        <v>-50814</v>
      </c>
      <c r="FB31" s="285">
        <f>'[1]May - 2021'!FE31</f>
        <v>0</v>
      </c>
      <c r="FC31" s="279">
        <f>'[1]May - 2021'!FF31</f>
        <v>-31743</v>
      </c>
    </row>
    <row r="32" spans="1:159" ht="30" customHeight="1" x14ac:dyDescent="0.25">
      <c r="A32" s="207">
        <v>43853</v>
      </c>
      <c r="B32" s="209">
        <f>'[1]May - 2021'!B32</f>
        <v>0</v>
      </c>
      <c r="C32" s="250">
        <f>'[1]May - 2021'!E32</f>
        <v>0</v>
      </c>
      <c r="D32" s="170">
        <f>'[1]May - 2021'!F32</f>
        <v>0</v>
      </c>
      <c r="E32" s="168">
        <f>'[1]May - 2021'!G32</f>
        <v>303</v>
      </c>
      <c r="F32" s="168">
        <f>'[1]May - 2021'!H32</f>
        <v>0</v>
      </c>
      <c r="G32" s="170">
        <f>'[1]May - 2021'!I32</f>
        <v>0</v>
      </c>
      <c r="H32" s="168">
        <f>'[1]May - 2021'!J32</f>
        <v>94</v>
      </c>
      <c r="I32" s="168">
        <f>'[1]May - 2021'!K32</f>
        <v>0</v>
      </c>
      <c r="J32" s="170">
        <f>'[1]May - 2021'!L32</f>
        <v>0</v>
      </c>
      <c r="K32" s="168">
        <f>'[1]May - 2021'!N32</f>
        <v>0</v>
      </c>
      <c r="L32" s="170">
        <f>'[1]May - 2021'!O32</f>
        <v>0</v>
      </c>
      <c r="M32" s="168">
        <f>'[1]May - 2021'!Q32</f>
        <v>0</v>
      </c>
      <c r="N32" s="170">
        <f>'[1]May - 2021'!R32</f>
        <v>0</v>
      </c>
      <c r="O32" s="168">
        <f>'[1]May - 2021'!S32</f>
        <v>0</v>
      </c>
      <c r="P32" s="170">
        <f>'[1]May - 2021'!T32</f>
        <v>0</v>
      </c>
      <c r="Q32" s="168">
        <f>'[1]May - 2021'!U32</f>
        <v>115</v>
      </c>
      <c r="R32" s="168">
        <f>'[1]May - 2021'!V32</f>
        <v>0</v>
      </c>
      <c r="S32" s="208">
        <f>'[1]May - 2021'!W32</f>
        <v>0</v>
      </c>
      <c r="T32" s="521"/>
      <c r="U32" s="169">
        <f>'[1]May - 2021'!AC32</f>
        <v>0</v>
      </c>
      <c r="V32" s="291">
        <f>'[1]May - 2021'!AD32</f>
        <v>0</v>
      </c>
      <c r="W32" s="92">
        <f>'[1]May - 2021'!AD32</f>
        <v>0</v>
      </c>
      <c r="X32" s="290">
        <f>'[1]May - 2021'!AF32</f>
        <v>0</v>
      </c>
      <c r="Y32" s="291">
        <f>'[1]May - 2021'!AG32</f>
        <v>0</v>
      </c>
      <c r="Z32" s="92">
        <f>'[1]May - 2021'!AG32</f>
        <v>0</v>
      </c>
      <c r="AA32" s="290">
        <f>'[1]May - 2021'!AI32</f>
        <v>0</v>
      </c>
      <c r="AB32" s="291">
        <f>'[1]May - 2021'!AJ32</f>
        <v>0</v>
      </c>
      <c r="AC32" s="92">
        <f>'[1]May - 2021'!AJ32</f>
        <v>0</v>
      </c>
      <c r="AD32" s="290">
        <f>'[1]May - 2021'!AL32</f>
        <v>0</v>
      </c>
      <c r="AE32" s="291">
        <f>'[1]May - 2021'!AM32</f>
        <v>0</v>
      </c>
      <c r="AF32" s="92">
        <f>'[1]May - 2021'!AM32</f>
        <v>0</v>
      </c>
      <c r="AG32" s="290">
        <f>'[1]May - 2021'!AO32</f>
        <v>0</v>
      </c>
      <c r="AH32" s="291">
        <f>'[1]May - 2021'!AP32</f>
        <v>0</v>
      </c>
      <c r="AI32" s="92">
        <f>'[1]May - 2021'!AP32</f>
        <v>0</v>
      </c>
      <c r="AJ32" s="290">
        <f>'[1]May - 2021'!AR32</f>
        <v>0</v>
      </c>
      <c r="AK32" s="291">
        <f>'[1]May - 2021'!AS32</f>
        <v>0</v>
      </c>
      <c r="AL32" s="92">
        <f>'[1]May - 2021'!AS32</f>
        <v>0</v>
      </c>
      <c r="AM32" s="290">
        <f>'[1]May - 2021'!AU32</f>
        <v>0</v>
      </c>
      <c r="AN32" s="291">
        <f>'[1]May - 2021'!AV32</f>
        <v>0</v>
      </c>
      <c r="AO32" s="92">
        <f>'[1]May - 2021'!AV32</f>
        <v>0</v>
      </c>
      <c r="AP32" s="290">
        <f>'[1]May - 2021'!AX32</f>
        <v>0</v>
      </c>
      <c r="AQ32" s="291">
        <f>'[1]May - 2021'!AY32</f>
        <v>0</v>
      </c>
      <c r="AR32" s="92">
        <f>'[1]May - 2021'!AY32</f>
        <v>0</v>
      </c>
      <c r="AS32" s="290">
        <f>'[1]May - 2021'!BA32</f>
        <v>0</v>
      </c>
      <c r="AT32" s="291">
        <f>'[1]May - 2021'!BB32</f>
        <v>0</v>
      </c>
      <c r="AU32" s="92">
        <f>'[1]May - 2021'!BB32</f>
        <v>0</v>
      </c>
      <c r="AV32" s="290">
        <f>'[1]May - 2021'!BD32</f>
        <v>0</v>
      </c>
      <c r="AW32" s="252">
        <f>'[1]May - 2021'!BE32</f>
        <v>0</v>
      </c>
      <c r="AX32" s="253">
        <f>'[1]May - 2021'!BE32</f>
        <v>0</v>
      </c>
      <c r="AY32" s="487"/>
      <c r="AZ32" s="272">
        <f>'[1]May - 2021'!BK32</f>
        <v>0</v>
      </c>
      <c r="BA32" s="179">
        <f>'[1]May - 2021'!BL32</f>
        <v>0</v>
      </c>
      <c r="BB32" s="93">
        <f>'[1]May - 2021'!BL32</f>
        <v>0</v>
      </c>
      <c r="BC32" s="272">
        <f>'[1]May - 2021'!BN32</f>
        <v>0</v>
      </c>
      <c r="BD32" s="245">
        <f>'[1]May - 2021'!BO32</f>
        <v>0</v>
      </c>
      <c r="BE32" s="93">
        <f>'[1]May - 2021'!BO32</f>
        <v>0</v>
      </c>
      <c r="BF32" s="272">
        <f>'[1]May - 2021'!BQ32</f>
        <v>0</v>
      </c>
      <c r="BG32" s="245">
        <f>'[1]May - 2021'!BR32</f>
        <v>0</v>
      </c>
      <c r="BH32" s="93">
        <f>'[1]May - 2021'!BR32</f>
        <v>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3">
        <f>'[1]May - 2021'!BT32</f>
        <v>0</v>
      </c>
      <c r="BT32" s="185">
        <f>'[1]May - 2021'!BU32</f>
        <v>0</v>
      </c>
      <c r="BU32" s="394"/>
      <c r="BV32" s="88">
        <f>'[1]May - 2021'!BW32</f>
        <v>0</v>
      </c>
      <c r="BW32" s="241">
        <f>'[1]May - 2021'!BX32</f>
        <v>0</v>
      </c>
      <c r="BX32" s="88">
        <f>'[1]May - 2021'!BX32</f>
        <v>0</v>
      </c>
      <c r="BY32" s="89">
        <f>'[1]May - 2021'!BZ32</f>
        <v>0</v>
      </c>
      <c r="BZ32" s="191">
        <f>'[1]May - 2021'!CA32</f>
        <v>0</v>
      </c>
      <c r="CA32" s="89">
        <f>'[1]May - 2021'!CB32</f>
        <v>0</v>
      </c>
      <c r="CB32" s="191">
        <f>'[1]May - 2021'!CC32</f>
        <v>0</v>
      </c>
      <c r="CC32" s="89">
        <f>'[1]May - 2021'!CD32</f>
        <v>0</v>
      </c>
      <c r="CD32" s="191">
        <f>'[1]May - 2021'!CE32</f>
        <v>0</v>
      </c>
      <c r="CE32" s="89">
        <f>'[1]May - 2021'!CF32</f>
        <v>0</v>
      </c>
      <c r="CF32" s="191">
        <f>'[1]May - 2021'!CG32</f>
        <v>0</v>
      </c>
      <c r="CG32" s="89">
        <f>'[1]May - 2021'!CH32</f>
        <v>0</v>
      </c>
      <c r="CH32" s="191">
        <f>'[1]May - 2021'!CI32</f>
        <v>0</v>
      </c>
      <c r="CI32" s="89">
        <f>'[1]May - 2021'!CJ32</f>
        <v>0</v>
      </c>
      <c r="CJ32" s="191">
        <f>'[1]May - 2021'!CK32</f>
        <v>0</v>
      </c>
      <c r="CK32" s="89">
        <f>'[1]May - 2021'!CL32</f>
        <v>0</v>
      </c>
      <c r="CL32" s="246">
        <f>'[1]May - 2021'!CM32</f>
        <v>0</v>
      </c>
      <c r="CM32" s="89">
        <f>'[1]May - 2021'!CM32</f>
        <v>0</v>
      </c>
      <c r="CN32" s="89">
        <f>'[1]May - 2021'!CO32</f>
        <v>0</v>
      </c>
      <c r="CO32" s="246">
        <f>'[1]May - 2021'!CP32</f>
        <v>0</v>
      </c>
      <c r="CP32" s="89">
        <f>'[1]May - 2021'!CP32</f>
        <v>0</v>
      </c>
      <c r="CQ32" s="89">
        <f>'[1]May - 2021'!CR32</f>
        <v>0</v>
      </c>
      <c r="CR32" s="246">
        <f>'[1]May - 2021'!CS32</f>
        <v>0</v>
      </c>
      <c r="CS32" s="89">
        <f>'[1]May - 2021'!CS32</f>
        <v>0</v>
      </c>
      <c r="CT32" s="89">
        <f>'[1]May - 2021'!CU32</f>
        <v>0</v>
      </c>
      <c r="CU32" s="191">
        <f>'[1]May - 2021'!CV32</f>
        <v>0</v>
      </c>
      <c r="CV32" s="454"/>
      <c r="CW32" s="256">
        <f>'[1]May - 2021'!CX32</f>
        <v>0</v>
      </c>
      <c r="CX32" s="198">
        <f>'[1]May - 2021'!CY32</f>
        <v>0</v>
      </c>
      <c r="CY32" s="257">
        <f>'[1]May - 2021'!CZ32</f>
        <v>0</v>
      </c>
      <c r="CZ32" s="198">
        <f>'[1]May - 2021'!DA32</f>
        <v>0</v>
      </c>
      <c r="DA32" s="257">
        <f>'[1]May - 2021'!DB32</f>
        <v>0</v>
      </c>
      <c r="DB32" s="198">
        <f>'[1]May - 2021'!DC32</f>
        <v>0</v>
      </c>
      <c r="DC32" s="257">
        <f>'[1]May - 2021'!DD32</f>
        <v>0</v>
      </c>
      <c r="DD32" s="198">
        <f>'[1]May - 2021'!DE32</f>
        <v>0</v>
      </c>
      <c r="DE32" s="257">
        <f>'[1]May - 2021'!DF32</f>
        <v>0</v>
      </c>
      <c r="DF32" s="198">
        <f>'[1]May - 2021'!DG32</f>
        <v>0</v>
      </c>
      <c r="DG32" s="257">
        <f>'[1]May - 2021'!DH32</f>
        <v>0</v>
      </c>
      <c r="DH32" s="198">
        <f>'[1]May - 2021'!DI32</f>
        <v>0</v>
      </c>
      <c r="DI32" s="257">
        <f>'[1]May - 2021'!DJ32</f>
        <v>0</v>
      </c>
      <c r="DJ32" s="198">
        <f>'[1]May - 2021'!DK32</f>
        <v>0</v>
      </c>
      <c r="DK32" s="257">
        <f>'[1]May - 2021'!DL32</f>
        <v>0</v>
      </c>
      <c r="DL32" s="198">
        <f>'[1]May - 2021'!DM32</f>
        <v>0</v>
      </c>
      <c r="DM32" s="257">
        <f>'[1]May - 2021'!DN32</f>
        <v>0</v>
      </c>
      <c r="DN32" s="198">
        <f>'[1]May - 2021'!DO32</f>
        <v>0</v>
      </c>
      <c r="DO32" s="257">
        <f>'[1]May - 2021'!DP32</f>
        <v>0</v>
      </c>
      <c r="DP32" s="198">
        <f>'[1]May - 2021'!DQ32</f>
        <v>0</v>
      </c>
      <c r="DQ32" s="257">
        <f>'[1]May - 2021'!DR32</f>
        <v>0</v>
      </c>
      <c r="DR32" s="206">
        <f>'[1]May - 2021'!DS32</f>
        <v>-24829</v>
      </c>
      <c r="DS32" s="439"/>
      <c r="DT32" s="210">
        <f>'[1]May - 2021'!DU32</f>
        <v>0</v>
      </c>
      <c r="DU32" s="221">
        <f>'[1]May - 2021'!DV32</f>
        <v>0</v>
      </c>
      <c r="DV32" s="91">
        <f>'[1]May - 2021'!DW32</f>
        <v>0</v>
      </c>
      <c r="DW32" s="215">
        <f>'[1]May - 2021'!DX32</f>
        <v>0</v>
      </c>
      <c r="DX32" s="91">
        <f>'[1]May - 2021'!DY32</f>
        <v>0</v>
      </c>
      <c r="DY32" s="215">
        <f>'[1]May - 2021'!DZ32</f>
        <v>0</v>
      </c>
      <c r="DZ32" s="91">
        <f>'[1]May - 2021'!EA32</f>
        <v>0</v>
      </c>
      <c r="EA32" s="215">
        <f>'[1]May - 2021'!EB32</f>
        <v>0</v>
      </c>
      <c r="EB32" s="91">
        <f>'[1]May - 2021'!EC32</f>
        <v>0</v>
      </c>
      <c r="EC32" s="215">
        <f>'[1]May - 2021'!ED32</f>
        <v>0</v>
      </c>
      <c r="ED32" s="91">
        <f>'[1]May - 2021'!EG32</f>
        <v>0</v>
      </c>
      <c r="EE32" s="229">
        <f>'[1]May - 2021'!EH32</f>
        <v>0</v>
      </c>
      <c r="EF32" s="378"/>
      <c r="EG32" s="235">
        <f>'[1]May - 2021'!EJ32</f>
        <v>0</v>
      </c>
      <c r="EH32" s="230">
        <f>'[1]May - 2021'!EK32</f>
        <v>0</v>
      </c>
      <c r="EI32" s="90">
        <f>'[1]May - 2021'!EL32</f>
        <v>0</v>
      </c>
      <c r="EJ32" s="230">
        <f>'[1]May - 2021'!EM32</f>
        <v>0</v>
      </c>
      <c r="EK32" s="90">
        <f>'[1]May - 2021'!EN32</f>
        <v>0</v>
      </c>
      <c r="EL32" s="230">
        <f>'[1]May - 2021'!EO32</f>
        <v>0</v>
      </c>
      <c r="EM32" s="90">
        <f>'[1]May - 2021'!EP32</f>
        <v>0</v>
      </c>
      <c r="EN32" s="230">
        <f>'[1]May - 2021'!EQ32</f>
        <v>0</v>
      </c>
      <c r="EO32" s="90">
        <f>'[1]May - 2021'!ER32</f>
        <v>0</v>
      </c>
      <c r="EP32" s="230">
        <f>'[1]May - 2021'!ES32</f>
        <v>0</v>
      </c>
      <c r="EQ32" s="90">
        <f>'[1]May - 2021'!ET32</f>
        <v>0</v>
      </c>
      <c r="ER32" s="230">
        <f>'[1]May - 2021'!EU32</f>
        <v>0</v>
      </c>
      <c r="ES32" s="426"/>
      <c r="ET32" s="284">
        <f>'[1]May - 2021'!EW32</f>
        <v>0</v>
      </c>
      <c r="EU32" s="278">
        <f>'[1]May - 2021'!EX32</f>
        <v>0</v>
      </c>
      <c r="EV32" s="285">
        <f>'[1]May - 2021'!EY32</f>
        <v>0</v>
      </c>
      <c r="EW32" s="278">
        <f>'[1]May - 2021'!EZ32</f>
        <v>0</v>
      </c>
      <c r="EX32" s="285">
        <f>'[1]May - 2021'!FA32</f>
        <v>0</v>
      </c>
      <c r="EY32" s="278">
        <f>'[1]May - 2021'!FB32</f>
        <v>0</v>
      </c>
      <c r="EZ32" s="285">
        <f>'[1]May - 2021'!FC32</f>
        <v>0</v>
      </c>
      <c r="FA32" s="278">
        <f>'[1]May - 2021'!FD32</f>
        <v>0</v>
      </c>
      <c r="FB32" s="285">
        <f>'[1]May - 2021'!FE32</f>
        <v>0</v>
      </c>
      <c r="FC32" s="279">
        <f>'[1]May - 2021'!FF32</f>
        <v>0</v>
      </c>
    </row>
    <row r="33" spans="1:160" ht="30" customHeight="1" x14ac:dyDescent="0.25">
      <c r="A33" s="207">
        <v>43854</v>
      </c>
      <c r="B33" s="209">
        <f>'[1]May - 2021'!B33</f>
        <v>0</v>
      </c>
      <c r="C33" s="250">
        <f>'[1]May - 2021'!E33</f>
        <v>0</v>
      </c>
      <c r="D33" s="170">
        <f>'[1]May - 2021'!F33</f>
        <v>0</v>
      </c>
      <c r="E33" s="168">
        <f>'[1]May - 2021'!G33</f>
        <v>333</v>
      </c>
      <c r="F33" s="168">
        <f>'[1]May - 2021'!H33</f>
        <v>0</v>
      </c>
      <c r="G33" s="170">
        <f>'[1]May - 2021'!I33</f>
        <v>0</v>
      </c>
      <c r="H33" s="168">
        <f>'[1]May - 2021'!J33</f>
        <v>284</v>
      </c>
      <c r="I33" s="168">
        <f>'[1]May - 2021'!K33</f>
        <v>0</v>
      </c>
      <c r="J33" s="170">
        <f>'[1]May - 2021'!L33</f>
        <v>0</v>
      </c>
      <c r="K33" s="168">
        <f>'[1]May - 2021'!N33</f>
        <v>0</v>
      </c>
      <c r="L33" s="170">
        <f>'[1]May - 2021'!O33</f>
        <v>0</v>
      </c>
      <c r="M33" s="168">
        <f>'[1]May - 2021'!Q33</f>
        <v>0</v>
      </c>
      <c r="N33" s="170">
        <f>'[1]May - 2021'!R33</f>
        <v>0</v>
      </c>
      <c r="O33" s="168">
        <f>'[1]May - 2021'!S33</f>
        <v>0</v>
      </c>
      <c r="P33" s="170">
        <f>'[1]May - 2021'!T33</f>
        <v>0</v>
      </c>
      <c r="Q33" s="168">
        <f>'[1]May - 2021'!U33</f>
        <v>140</v>
      </c>
      <c r="R33" s="168">
        <f>'[1]May - 2021'!V33</f>
        <v>0</v>
      </c>
      <c r="S33" s="208">
        <f>'[1]May - 2021'!W33</f>
        <v>0</v>
      </c>
      <c r="T33" s="521"/>
      <c r="U33" s="169">
        <f>'[1]May - 2021'!AC33</f>
        <v>0</v>
      </c>
      <c r="V33" s="291">
        <f>'[1]May - 2021'!AD33</f>
        <v>0</v>
      </c>
      <c r="W33" s="92">
        <f>'[1]May - 2021'!AD33</f>
        <v>0</v>
      </c>
      <c r="X33" s="290">
        <f>'[1]May - 2021'!AF33</f>
        <v>0</v>
      </c>
      <c r="Y33" s="291">
        <f>'[1]May - 2021'!AG33</f>
        <v>0</v>
      </c>
      <c r="Z33" s="92">
        <f>'[1]May - 2021'!AG33</f>
        <v>0</v>
      </c>
      <c r="AA33" s="290">
        <f>'[1]May - 2021'!AI33</f>
        <v>0</v>
      </c>
      <c r="AB33" s="291">
        <f>'[1]May - 2021'!AJ33</f>
        <v>0</v>
      </c>
      <c r="AC33" s="92">
        <f>'[1]May - 2021'!AJ33</f>
        <v>0</v>
      </c>
      <c r="AD33" s="290">
        <f>'[1]May - 2021'!AL33</f>
        <v>0</v>
      </c>
      <c r="AE33" s="291">
        <f>'[1]May - 2021'!AM33</f>
        <v>0</v>
      </c>
      <c r="AF33" s="92">
        <f>'[1]May - 2021'!AM33</f>
        <v>0</v>
      </c>
      <c r="AG33" s="290">
        <f>'[1]May - 2021'!AO33</f>
        <v>0</v>
      </c>
      <c r="AH33" s="291">
        <f>'[1]May - 2021'!AP33</f>
        <v>0</v>
      </c>
      <c r="AI33" s="92">
        <f>'[1]May - 2021'!AP33</f>
        <v>0</v>
      </c>
      <c r="AJ33" s="290">
        <f>'[1]May - 2021'!AR33</f>
        <v>0</v>
      </c>
      <c r="AK33" s="291">
        <f>'[1]May - 2021'!AS33</f>
        <v>0</v>
      </c>
      <c r="AL33" s="92">
        <f>'[1]May - 2021'!AS33</f>
        <v>0</v>
      </c>
      <c r="AM33" s="290">
        <f>'[1]May - 2021'!AU33</f>
        <v>0</v>
      </c>
      <c r="AN33" s="291">
        <f>'[1]May - 2021'!AV33</f>
        <v>0</v>
      </c>
      <c r="AO33" s="92">
        <f>'[1]May - 2021'!AV33</f>
        <v>0</v>
      </c>
      <c r="AP33" s="290">
        <f>'[1]May - 2021'!AX33</f>
        <v>0</v>
      </c>
      <c r="AQ33" s="291">
        <f>'[1]May - 2021'!AY33</f>
        <v>0</v>
      </c>
      <c r="AR33" s="92">
        <f>'[1]May - 2021'!AY33</f>
        <v>0</v>
      </c>
      <c r="AS33" s="290">
        <f>'[1]May - 2021'!BA33</f>
        <v>0</v>
      </c>
      <c r="AT33" s="291">
        <f>'[1]May - 2021'!BB33</f>
        <v>0</v>
      </c>
      <c r="AU33" s="92">
        <f>'[1]May - 2021'!BB33</f>
        <v>0</v>
      </c>
      <c r="AV33" s="290">
        <f>'[1]May - 2021'!BD33</f>
        <v>0</v>
      </c>
      <c r="AW33" s="252">
        <f>'[1]May - 2021'!BE33</f>
        <v>0</v>
      </c>
      <c r="AX33" s="253">
        <f>'[1]May - 2021'!BE33</f>
        <v>0</v>
      </c>
      <c r="AY33" s="487"/>
      <c r="AZ33" s="272">
        <f>'[1]May - 2021'!BK33</f>
        <v>0</v>
      </c>
      <c r="BA33" s="179">
        <f>'[1]May - 2021'!BL33</f>
        <v>0</v>
      </c>
      <c r="BB33" s="93">
        <f>'[1]May - 2021'!BL33</f>
        <v>0</v>
      </c>
      <c r="BC33" s="272">
        <f>'[1]May - 2021'!BN33</f>
        <v>0</v>
      </c>
      <c r="BD33" s="245">
        <f>'[1]May - 2021'!BO33</f>
        <v>0</v>
      </c>
      <c r="BE33" s="93">
        <f>'[1]May - 2021'!BO33</f>
        <v>0</v>
      </c>
      <c r="BF33" s="272">
        <f>'[1]May - 2021'!BQ33</f>
        <v>0</v>
      </c>
      <c r="BG33" s="245">
        <f>'[1]May - 2021'!BR33</f>
        <v>0</v>
      </c>
      <c r="BH33" s="93">
        <f>'[1]May - 2021'!BR33</f>
        <v>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3">
        <f>'[1]May - 2021'!BT33</f>
        <v>0</v>
      </c>
      <c r="BT33" s="185">
        <f>'[1]May - 2021'!BU33</f>
        <v>0</v>
      </c>
      <c r="BU33" s="394"/>
      <c r="BV33" s="88">
        <f>'[1]May - 2021'!BW33</f>
        <v>0</v>
      </c>
      <c r="BW33" s="241">
        <f>'[1]May - 2021'!BX33</f>
        <v>0</v>
      </c>
      <c r="BX33" s="88">
        <f>'[1]May - 2021'!BX33</f>
        <v>0</v>
      </c>
      <c r="BY33" s="89">
        <f>'[1]May - 2021'!BZ33</f>
        <v>0</v>
      </c>
      <c r="BZ33" s="191">
        <f>'[1]May - 2021'!CA33</f>
        <v>0</v>
      </c>
      <c r="CA33" s="89">
        <f>'[1]May - 2021'!CB33</f>
        <v>0</v>
      </c>
      <c r="CB33" s="191">
        <f>'[1]May - 2021'!CC33</f>
        <v>0</v>
      </c>
      <c r="CC33" s="89">
        <f>'[1]May - 2021'!CD33</f>
        <v>0</v>
      </c>
      <c r="CD33" s="191">
        <f>'[1]May - 2021'!CE33</f>
        <v>0</v>
      </c>
      <c r="CE33" s="89">
        <f>'[1]May - 2021'!CF33</f>
        <v>0</v>
      </c>
      <c r="CF33" s="191">
        <f>'[1]May - 2021'!CG33</f>
        <v>0</v>
      </c>
      <c r="CG33" s="89">
        <f>'[1]May - 2021'!CH33</f>
        <v>0</v>
      </c>
      <c r="CH33" s="191">
        <f>'[1]May - 2021'!CI33</f>
        <v>0</v>
      </c>
      <c r="CI33" s="89">
        <f>'[1]May - 2021'!CJ33</f>
        <v>0</v>
      </c>
      <c r="CJ33" s="191">
        <f>'[1]May - 2021'!CK33</f>
        <v>0</v>
      </c>
      <c r="CK33" s="89">
        <f>'[1]May - 2021'!CL33</f>
        <v>0</v>
      </c>
      <c r="CL33" s="246">
        <f>'[1]May - 2021'!CM33</f>
        <v>0</v>
      </c>
      <c r="CM33" s="89">
        <f>'[1]May - 2021'!CM33</f>
        <v>0</v>
      </c>
      <c r="CN33" s="89">
        <f>'[1]May - 2021'!CO33</f>
        <v>0</v>
      </c>
      <c r="CO33" s="246">
        <f>'[1]May - 2021'!CP33</f>
        <v>0</v>
      </c>
      <c r="CP33" s="89">
        <f>'[1]May - 2021'!CP33</f>
        <v>0</v>
      </c>
      <c r="CQ33" s="89">
        <f>'[1]May - 2021'!CR33</f>
        <v>0</v>
      </c>
      <c r="CR33" s="246">
        <f>'[1]May - 2021'!CS33</f>
        <v>0</v>
      </c>
      <c r="CS33" s="89">
        <f>'[1]May - 2021'!CS33</f>
        <v>0</v>
      </c>
      <c r="CT33" s="89">
        <f>'[1]May - 2021'!CU33</f>
        <v>0</v>
      </c>
      <c r="CU33" s="191">
        <f>'[1]May - 2021'!CV33</f>
        <v>0</v>
      </c>
      <c r="CV33" s="454"/>
      <c r="CW33" s="256">
        <f>'[1]May - 2021'!CX33</f>
        <v>0</v>
      </c>
      <c r="CX33" s="198">
        <f>'[1]May - 2021'!CY33</f>
        <v>0</v>
      </c>
      <c r="CY33" s="257">
        <f>'[1]May - 2021'!CZ33</f>
        <v>0</v>
      </c>
      <c r="CZ33" s="198">
        <f>'[1]May - 2021'!DA33</f>
        <v>0</v>
      </c>
      <c r="DA33" s="257">
        <f>'[1]May - 2021'!DB33</f>
        <v>0</v>
      </c>
      <c r="DB33" s="198">
        <f>'[1]May - 2021'!DC33</f>
        <v>0</v>
      </c>
      <c r="DC33" s="257">
        <f>'[1]May - 2021'!DD33</f>
        <v>0</v>
      </c>
      <c r="DD33" s="198">
        <f>'[1]May - 2021'!DE33</f>
        <v>0</v>
      </c>
      <c r="DE33" s="257">
        <f>'[1]May - 2021'!DF33</f>
        <v>0</v>
      </c>
      <c r="DF33" s="198">
        <f>'[1]May - 2021'!DG33</f>
        <v>0</v>
      </c>
      <c r="DG33" s="257">
        <f>'[1]May - 2021'!DH33</f>
        <v>0</v>
      </c>
      <c r="DH33" s="198">
        <f>'[1]May - 2021'!DI33</f>
        <v>0</v>
      </c>
      <c r="DI33" s="257">
        <f>'[1]May - 2021'!DJ33</f>
        <v>0</v>
      </c>
      <c r="DJ33" s="198">
        <f>'[1]May - 2021'!DK33</f>
        <v>0</v>
      </c>
      <c r="DK33" s="257">
        <f>'[1]May - 2021'!DL33</f>
        <v>0</v>
      </c>
      <c r="DL33" s="198">
        <f>'[1]May - 2021'!DM33</f>
        <v>0</v>
      </c>
      <c r="DM33" s="257">
        <f>'[1]May - 2021'!DN33</f>
        <v>0</v>
      </c>
      <c r="DN33" s="198">
        <f>'[1]May - 2021'!DO33</f>
        <v>0</v>
      </c>
      <c r="DO33" s="257">
        <f>'[1]May - 2021'!DP33</f>
        <v>0</v>
      </c>
      <c r="DP33" s="198">
        <f>'[1]May - 2021'!DQ33</f>
        <v>0</v>
      </c>
      <c r="DQ33" s="257">
        <f>'[1]May - 2021'!DR33</f>
        <v>0</v>
      </c>
      <c r="DR33" s="206">
        <f>'[1]May - 2021'!DS33</f>
        <v>0</v>
      </c>
      <c r="DS33" s="439"/>
      <c r="DT33" s="210">
        <f>'[1]May - 2021'!DU33</f>
        <v>0</v>
      </c>
      <c r="DU33" s="221">
        <f>'[1]May - 2021'!DV33</f>
        <v>0</v>
      </c>
      <c r="DV33" s="91">
        <f>'[1]May - 2021'!DW33</f>
        <v>0</v>
      </c>
      <c r="DW33" s="215">
        <f>'[1]May - 2021'!DX33</f>
        <v>0</v>
      </c>
      <c r="DX33" s="91">
        <f>'[1]May - 2021'!DY33</f>
        <v>0</v>
      </c>
      <c r="DY33" s="215">
        <f>'[1]May - 2021'!DZ33</f>
        <v>0</v>
      </c>
      <c r="DZ33" s="91">
        <f>'[1]May - 2021'!EA33</f>
        <v>0</v>
      </c>
      <c r="EA33" s="215">
        <f>'[1]May - 2021'!EB33</f>
        <v>0</v>
      </c>
      <c r="EB33" s="91">
        <f>'[1]May - 2021'!EC33</f>
        <v>0</v>
      </c>
      <c r="EC33" s="215">
        <f>'[1]May - 2021'!ED33</f>
        <v>0</v>
      </c>
      <c r="ED33" s="91">
        <f>'[1]May - 2021'!EG33</f>
        <v>0</v>
      </c>
      <c r="EE33" s="229">
        <f>'[1]May - 2021'!EH33</f>
        <v>0</v>
      </c>
      <c r="EF33" s="378"/>
      <c r="EG33" s="235">
        <f>'[1]May - 2021'!EJ33</f>
        <v>0</v>
      </c>
      <c r="EH33" s="230">
        <f>'[1]May - 2021'!EK33</f>
        <v>0</v>
      </c>
      <c r="EI33" s="90">
        <f>'[1]May - 2021'!EL33</f>
        <v>0</v>
      </c>
      <c r="EJ33" s="230">
        <f>'[1]May - 2021'!EM33</f>
        <v>0</v>
      </c>
      <c r="EK33" s="90">
        <f>'[1]May - 2021'!EN33</f>
        <v>0</v>
      </c>
      <c r="EL33" s="230">
        <f>'[1]May - 2021'!EO33</f>
        <v>0</v>
      </c>
      <c r="EM33" s="90">
        <f>'[1]May - 2021'!EP33</f>
        <v>0</v>
      </c>
      <c r="EN33" s="230">
        <f>'[1]May - 2021'!EQ33</f>
        <v>0</v>
      </c>
      <c r="EO33" s="90">
        <f>'[1]May - 2021'!ER33</f>
        <v>0</v>
      </c>
      <c r="EP33" s="230">
        <f>'[1]May - 2021'!ES33</f>
        <v>0</v>
      </c>
      <c r="EQ33" s="90">
        <f>'[1]May - 2021'!ET33</f>
        <v>0</v>
      </c>
      <c r="ER33" s="230">
        <f>'[1]May - 2021'!EU33</f>
        <v>0</v>
      </c>
      <c r="ES33" s="426"/>
      <c r="ET33" s="284">
        <f>'[1]May - 2021'!EW33</f>
        <v>0</v>
      </c>
      <c r="EU33" s="278">
        <f>'[1]May - 2021'!EX33</f>
        <v>0</v>
      </c>
      <c r="EV33" s="285">
        <f>'[1]May - 2021'!EY33</f>
        <v>0</v>
      </c>
      <c r="EW33" s="278">
        <f>'[1]May - 2021'!EZ33</f>
        <v>0</v>
      </c>
      <c r="EX33" s="285">
        <f>'[1]May - 2021'!FA33</f>
        <v>0</v>
      </c>
      <c r="EY33" s="278">
        <f>'[1]May - 2021'!FB33</f>
        <v>0</v>
      </c>
      <c r="EZ33" s="285">
        <f>'[1]May - 2021'!FC33</f>
        <v>0</v>
      </c>
      <c r="FA33" s="278">
        <f>'[1]May - 2021'!FD33</f>
        <v>0</v>
      </c>
      <c r="FB33" s="285">
        <f>'[1]May - 2021'!FE33</f>
        <v>0</v>
      </c>
      <c r="FC33" s="279">
        <f>'[1]May - 2021'!FF33</f>
        <v>0</v>
      </c>
    </row>
    <row r="34" spans="1:160" ht="30" customHeight="1" x14ac:dyDescent="0.25">
      <c r="A34" s="207">
        <v>43855</v>
      </c>
      <c r="B34" s="209">
        <f>'[1]May - 2021'!B34</f>
        <v>0</v>
      </c>
      <c r="C34" s="250">
        <f>'[1]May - 2021'!E34</f>
        <v>0</v>
      </c>
      <c r="D34" s="170">
        <f>'[1]May - 2021'!F34</f>
        <v>0</v>
      </c>
      <c r="E34" s="168">
        <f>'[1]May - 2021'!G34</f>
        <v>377</v>
      </c>
      <c r="F34" s="168">
        <f>'[1]May - 2021'!H34</f>
        <v>0</v>
      </c>
      <c r="G34" s="170">
        <f>'[1]May - 2021'!I34</f>
        <v>0</v>
      </c>
      <c r="H34" s="168">
        <f>'[1]May - 2021'!J34</f>
        <v>208</v>
      </c>
      <c r="I34" s="168">
        <f>'[1]May - 2021'!K34</f>
        <v>0</v>
      </c>
      <c r="J34" s="170">
        <f>'[1]May - 2021'!L34</f>
        <v>0</v>
      </c>
      <c r="K34" s="168">
        <f>'[1]May - 2021'!N34</f>
        <v>0</v>
      </c>
      <c r="L34" s="170">
        <f>'[1]May - 2021'!O34</f>
        <v>0</v>
      </c>
      <c r="M34" s="168">
        <f>'[1]May - 2021'!Q34</f>
        <v>0</v>
      </c>
      <c r="N34" s="170">
        <f>'[1]May - 2021'!R34</f>
        <v>0</v>
      </c>
      <c r="O34" s="168">
        <f>'[1]May - 2021'!S34</f>
        <v>0</v>
      </c>
      <c r="P34" s="170">
        <f>'[1]May - 2021'!T34</f>
        <v>0</v>
      </c>
      <c r="Q34" s="168">
        <f>'[1]May - 2021'!U34</f>
        <v>141</v>
      </c>
      <c r="R34" s="168">
        <f>'[1]May - 2021'!V34</f>
        <v>0</v>
      </c>
      <c r="S34" s="208">
        <f>'[1]May - 2021'!W34</f>
        <v>0</v>
      </c>
      <c r="T34" s="521"/>
      <c r="U34" s="169">
        <f>'[1]May - 2021'!AC34</f>
        <v>0</v>
      </c>
      <c r="V34" s="291">
        <f>'[1]May - 2021'!AD34</f>
        <v>0</v>
      </c>
      <c r="W34" s="92">
        <f>'[1]May - 2021'!AD34</f>
        <v>0</v>
      </c>
      <c r="X34" s="290">
        <f>'[1]May - 2021'!AF34</f>
        <v>0</v>
      </c>
      <c r="Y34" s="291">
        <f>'[1]May - 2021'!AG34</f>
        <v>0</v>
      </c>
      <c r="Z34" s="92">
        <f>'[1]May - 2021'!AG34</f>
        <v>0</v>
      </c>
      <c r="AA34" s="290">
        <f>'[1]May - 2021'!AI34</f>
        <v>0</v>
      </c>
      <c r="AB34" s="291">
        <f>'[1]May - 2021'!AJ34</f>
        <v>0</v>
      </c>
      <c r="AC34" s="92">
        <f>'[1]May - 2021'!AJ34</f>
        <v>0</v>
      </c>
      <c r="AD34" s="290">
        <f>'[1]May - 2021'!AL34</f>
        <v>0</v>
      </c>
      <c r="AE34" s="291">
        <f>'[1]May - 2021'!AM34</f>
        <v>0</v>
      </c>
      <c r="AF34" s="92">
        <f>'[1]May - 2021'!AM34</f>
        <v>0</v>
      </c>
      <c r="AG34" s="290">
        <f>'[1]May - 2021'!AO34</f>
        <v>0</v>
      </c>
      <c r="AH34" s="291">
        <f>'[1]May - 2021'!AP34</f>
        <v>0</v>
      </c>
      <c r="AI34" s="92">
        <f>'[1]May - 2021'!AP34</f>
        <v>0</v>
      </c>
      <c r="AJ34" s="290">
        <f>'[1]May - 2021'!AR34</f>
        <v>0</v>
      </c>
      <c r="AK34" s="291">
        <f>'[1]May - 2021'!AS34</f>
        <v>0</v>
      </c>
      <c r="AL34" s="92">
        <f>'[1]May - 2021'!AS34</f>
        <v>0</v>
      </c>
      <c r="AM34" s="290">
        <f>'[1]May - 2021'!AU34</f>
        <v>0</v>
      </c>
      <c r="AN34" s="291">
        <f>'[1]May - 2021'!AV34</f>
        <v>0</v>
      </c>
      <c r="AO34" s="92">
        <f>'[1]May - 2021'!AV34</f>
        <v>0</v>
      </c>
      <c r="AP34" s="290">
        <f>'[1]May - 2021'!AX34</f>
        <v>0</v>
      </c>
      <c r="AQ34" s="291">
        <f>'[1]May - 2021'!AY34</f>
        <v>0</v>
      </c>
      <c r="AR34" s="92">
        <f>'[1]May - 2021'!AY34</f>
        <v>0</v>
      </c>
      <c r="AS34" s="290">
        <f>'[1]May - 2021'!BA34</f>
        <v>0</v>
      </c>
      <c r="AT34" s="291">
        <f>'[1]May - 2021'!BB34</f>
        <v>0</v>
      </c>
      <c r="AU34" s="92">
        <f>'[1]May - 2021'!BB34</f>
        <v>0</v>
      </c>
      <c r="AV34" s="290">
        <f>'[1]May - 2021'!BD34</f>
        <v>0</v>
      </c>
      <c r="AW34" s="252">
        <f>'[1]May - 2021'!BE34</f>
        <v>0</v>
      </c>
      <c r="AX34" s="253">
        <f>'[1]May - 2021'!BE34</f>
        <v>0</v>
      </c>
      <c r="AY34" s="487"/>
      <c r="AZ34" s="272">
        <f>'[1]May - 2021'!BK34</f>
        <v>0</v>
      </c>
      <c r="BA34" s="179">
        <f>'[1]May - 2021'!BL34</f>
        <v>0</v>
      </c>
      <c r="BB34" s="93">
        <f>'[1]May - 2021'!BL34</f>
        <v>0</v>
      </c>
      <c r="BC34" s="272">
        <f>'[1]May - 2021'!BN34</f>
        <v>0</v>
      </c>
      <c r="BD34" s="245">
        <f>'[1]May - 2021'!BO34</f>
        <v>0</v>
      </c>
      <c r="BE34" s="93">
        <f>'[1]May - 2021'!BO34</f>
        <v>0</v>
      </c>
      <c r="BF34" s="272">
        <f>'[1]May - 2021'!BQ34</f>
        <v>0</v>
      </c>
      <c r="BG34" s="245">
        <f>'[1]May - 2021'!BR34</f>
        <v>0</v>
      </c>
      <c r="BH34" s="93">
        <f>'[1]May - 2021'!BR34</f>
        <v>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3">
        <f>'[1]May - 2021'!BT34</f>
        <v>0</v>
      </c>
      <c r="BT34" s="185">
        <f>'[1]May - 2021'!BU34</f>
        <v>0</v>
      </c>
      <c r="BU34" s="394"/>
      <c r="BV34" s="88">
        <f>'[1]May - 2021'!BW34</f>
        <v>0</v>
      </c>
      <c r="BW34" s="241">
        <f>'[1]May - 2021'!BX34</f>
        <v>0</v>
      </c>
      <c r="BX34" s="88">
        <f>'[1]May - 2021'!BX34</f>
        <v>0</v>
      </c>
      <c r="BY34" s="89">
        <f>'[1]May - 2021'!BZ34</f>
        <v>0</v>
      </c>
      <c r="BZ34" s="191">
        <f>'[1]May - 2021'!CA34</f>
        <v>0</v>
      </c>
      <c r="CA34" s="89">
        <f>'[1]May - 2021'!CB34</f>
        <v>0</v>
      </c>
      <c r="CB34" s="191">
        <f>'[1]May - 2021'!CC34</f>
        <v>0</v>
      </c>
      <c r="CC34" s="89">
        <f>'[1]May - 2021'!CD34</f>
        <v>0</v>
      </c>
      <c r="CD34" s="191">
        <f>'[1]May - 2021'!CE34</f>
        <v>0</v>
      </c>
      <c r="CE34" s="89">
        <f>'[1]May - 2021'!CF34</f>
        <v>0</v>
      </c>
      <c r="CF34" s="191">
        <f>'[1]May - 2021'!CG34</f>
        <v>0</v>
      </c>
      <c r="CG34" s="89">
        <f>'[1]May - 2021'!CH34</f>
        <v>0</v>
      </c>
      <c r="CH34" s="191">
        <f>'[1]May - 2021'!CI34</f>
        <v>0</v>
      </c>
      <c r="CI34" s="89">
        <f>'[1]May - 2021'!CJ34</f>
        <v>0</v>
      </c>
      <c r="CJ34" s="191">
        <f>'[1]May - 2021'!CK34</f>
        <v>0</v>
      </c>
      <c r="CK34" s="89">
        <f>'[1]May - 2021'!CL34</f>
        <v>0</v>
      </c>
      <c r="CL34" s="246">
        <f>'[1]May - 2021'!CM34</f>
        <v>0</v>
      </c>
      <c r="CM34" s="89">
        <f>'[1]May - 2021'!CM34</f>
        <v>0</v>
      </c>
      <c r="CN34" s="89">
        <f>'[1]May - 2021'!CO34</f>
        <v>0</v>
      </c>
      <c r="CO34" s="246">
        <f>'[1]May - 2021'!CP34</f>
        <v>0</v>
      </c>
      <c r="CP34" s="89">
        <f>'[1]May - 2021'!CP34</f>
        <v>0</v>
      </c>
      <c r="CQ34" s="89">
        <f>'[1]May - 2021'!CR34</f>
        <v>0</v>
      </c>
      <c r="CR34" s="246">
        <f>'[1]May - 2021'!CS34</f>
        <v>0</v>
      </c>
      <c r="CS34" s="89">
        <f>'[1]May - 2021'!CS34</f>
        <v>0</v>
      </c>
      <c r="CT34" s="89">
        <f>'[1]May - 2021'!CU34</f>
        <v>0</v>
      </c>
      <c r="CU34" s="191">
        <f>'[1]May - 2021'!CV34</f>
        <v>0</v>
      </c>
      <c r="CV34" s="454"/>
      <c r="CW34" s="256">
        <f>'[1]May - 2021'!CX34</f>
        <v>0</v>
      </c>
      <c r="CX34" s="198">
        <f>'[1]May - 2021'!CY34</f>
        <v>0</v>
      </c>
      <c r="CY34" s="257">
        <f>'[1]May - 2021'!CZ34</f>
        <v>0</v>
      </c>
      <c r="CZ34" s="198">
        <f>'[1]May - 2021'!DA34</f>
        <v>0</v>
      </c>
      <c r="DA34" s="257">
        <f>'[1]May - 2021'!DB34</f>
        <v>0</v>
      </c>
      <c r="DB34" s="198">
        <f>'[1]May - 2021'!DC34</f>
        <v>0</v>
      </c>
      <c r="DC34" s="257">
        <f>'[1]May - 2021'!DD34</f>
        <v>0</v>
      </c>
      <c r="DD34" s="198">
        <f>'[1]May - 2021'!DE34</f>
        <v>0</v>
      </c>
      <c r="DE34" s="257">
        <f>'[1]May - 2021'!DF34</f>
        <v>0</v>
      </c>
      <c r="DF34" s="198">
        <f>'[1]May - 2021'!DG34</f>
        <v>0</v>
      </c>
      <c r="DG34" s="257">
        <f>'[1]May - 2021'!DH34</f>
        <v>0</v>
      </c>
      <c r="DH34" s="198">
        <f>'[1]May - 2021'!DI34</f>
        <v>0</v>
      </c>
      <c r="DI34" s="257">
        <f>'[1]May - 2021'!DJ34</f>
        <v>0</v>
      </c>
      <c r="DJ34" s="198">
        <f>'[1]May - 2021'!DK34</f>
        <v>0</v>
      </c>
      <c r="DK34" s="257">
        <f>'[1]May - 2021'!DL34</f>
        <v>0</v>
      </c>
      <c r="DL34" s="198">
        <f>'[1]May - 2021'!DM34</f>
        <v>0</v>
      </c>
      <c r="DM34" s="257">
        <f>'[1]May - 2021'!DN34</f>
        <v>0</v>
      </c>
      <c r="DN34" s="198">
        <f>'[1]May - 2021'!DO34</f>
        <v>0</v>
      </c>
      <c r="DO34" s="257">
        <f>'[1]May - 2021'!DP34</f>
        <v>0</v>
      </c>
      <c r="DP34" s="198">
        <f>'[1]May - 2021'!DQ34</f>
        <v>0</v>
      </c>
      <c r="DQ34" s="257">
        <f>'[1]May - 2021'!DR34</f>
        <v>0</v>
      </c>
      <c r="DR34" s="206">
        <f>'[1]May - 2021'!DS34</f>
        <v>0</v>
      </c>
      <c r="DS34" s="439"/>
      <c r="DT34" s="210">
        <f>'[1]May - 2021'!DU34</f>
        <v>0</v>
      </c>
      <c r="DU34" s="221">
        <f>'[1]May - 2021'!DV34</f>
        <v>0</v>
      </c>
      <c r="DV34" s="91">
        <f>'[1]May - 2021'!DW34</f>
        <v>0</v>
      </c>
      <c r="DW34" s="215">
        <f>'[1]May - 2021'!DX34</f>
        <v>0</v>
      </c>
      <c r="DX34" s="91">
        <f>'[1]May - 2021'!DY34</f>
        <v>0</v>
      </c>
      <c r="DY34" s="215">
        <f>'[1]May - 2021'!DZ34</f>
        <v>0</v>
      </c>
      <c r="DZ34" s="91">
        <f>'[1]May - 2021'!EA34</f>
        <v>0</v>
      </c>
      <c r="EA34" s="215">
        <f>'[1]May - 2021'!EB34</f>
        <v>0</v>
      </c>
      <c r="EB34" s="91">
        <f>'[1]May - 2021'!EC34</f>
        <v>0</v>
      </c>
      <c r="EC34" s="215">
        <f>'[1]May - 2021'!ED34</f>
        <v>0</v>
      </c>
      <c r="ED34" s="91">
        <f>'[1]May - 2021'!EG34</f>
        <v>0</v>
      </c>
      <c r="EE34" s="229">
        <f>'[1]May - 2021'!EH34</f>
        <v>0</v>
      </c>
      <c r="EF34" s="378"/>
      <c r="EG34" s="235">
        <f>'[1]May - 2021'!EJ34</f>
        <v>0</v>
      </c>
      <c r="EH34" s="230">
        <f>'[1]May - 2021'!EK34</f>
        <v>0</v>
      </c>
      <c r="EI34" s="90">
        <f>'[1]May - 2021'!EL34</f>
        <v>0</v>
      </c>
      <c r="EJ34" s="230">
        <f>'[1]May - 2021'!EM34</f>
        <v>0</v>
      </c>
      <c r="EK34" s="90">
        <f>'[1]May - 2021'!EN34</f>
        <v>0</v>
      </c>
      <c r="EL34" s="230">
        <f>'[1]May - 2021'!EO34</f>
        <v>0</v>
      </c>
      <c r="EM34" s="90">
        <f>'[1]May - 2021'!EP34</f>
        <v>0</v>
      </c>
      <c r="EN34" s="230">
        <f>'[1]May - 2021'!EQ34</f>
        <v>0</v>
      </c>
      <c r="EO34" s="90">
        <f>'[1]May - 2021'!ER34</f>
        <v>0</v>
      </c>
      <c r="EP34" s="230">
        <f>'[1]May - 2021'!ES34</f>
        <v>0</v>
      </c>
      <c r="EQ34" s="90">
        <f>'[1]May - 2021'!ET34</f>
        <v>0</v>
      </c>
      <c r="ER34" s="230">
        <f>'[1]May - 2021'!EU34</f>
        <v>0</v>
      </c>
      <c r="ES34" s="426"/>
      <c r="ET34" s="284">
        <f>'[1]May - 2021'!EW34</f>
        <v>0</v>
      </c>
      <c r="EU34" s="278">
        <f>'[1]May - 2021'!EX34</f>
        <v>0</v>
      </c>
      <c r="EV34" s="285">
        <f>'[1]May - 2021'!EY34</f>
        <v>0</v>
      </c>
      <c r="EW34" s="278">
        <f>'[1]May - 2021'!EZ34</f>
        <v>0</v>
      </c>
      <c r="EX34" s="285">
        <f>'[1]May - 2021'!FA34</f>
        <v>0</v>
      </c>
      <c r="EY34" s="278">
        <f>'[1]May - 2021'!FB34</f>
        <v>0</v>
      </c>
      <c r="EZ34" s="285">
        <f>'[1]May - 2021'!FC34</f>
        <v>0</v>
      </c>
      <c r="FA34" s="278">
        <f>'[1]May - 2021'!FD34</f>
        <v>0</v>
      </c>
      <c r="FB34" s="285">
        <f>'[1]May - 2021'!FE34</f>
        <v>0</v>
      </c>
      <c r="FC34" s="279">
        <f>'[1]May - 2021'!FF34</f>
        <v>0</v>
      </c>
    </row>
    <row r="35" spans="1:160" ht="30" customHeight="1" x14ac:dyDescent="0.25">
      <c r="A35" s="207">
        <v>43856</v>
      </c>
      <c r="B35" s="209">
        <f>'[1]May - 2021'!B35</f>
        <v>0</v>
      </c>
      <c r="C35" s="250">
        <f>'[1]May - 2021'!E35</f>
        <v>0</v>
      </c>
      <c r="D35" s="170">
        <f>'[1]May - 2021'!F35</f>
        <v>0</v>
      </c>
      <c r="E35" s="168">
        <f>'[1]May - 2021'!G35</f>
        <v>377</v>
      </c>
      <c r="F35" s="168">
        <f>'[1]May - 2021'!H35</f>
        <v>0</v>
      </c>
      <c r="G35" s="170">
        <f>'[1]May - 2021'!I35</f>
        <v>0</v>
      </c>
      <c r="H35" s="168">
        <f>'[1]May - 2021'!J35</f>
        <v>234</v>
      </c>
      <c r="I35" s="168">
        <f>'[1]May - 2021'!K35</f>
        <v>0</v>
      </c>
      <c r="J35" s="170">
        <f>'[1]May - 2021'!L35</f>
        <v>0</v>
      </c>
      <c r="K35" s="168">
        <f>'[1]May - 2021'!N35</f>
        <v>0</v>
      </c>
      <c r="L35" s="170">
        <f>'[1]May - 2021'!O35</f>
        <v>0</v>
      </c>
      <c r="M35" s="168">
        <f>'[1]May - 2021'!Q35</f>
        <v>0</v>
      </c>
      <c r="N35" s="170">
        <f>'[1]May - 2021'!R35</f>
        <v>0</v>
      </c>
      <c r="O35" s="168">
        <f>'[1]May - 2021'!S35</f>
        <v>0</v>
      </c>
      <c r="P35" s="170">
        <f>'[1]May - 2021'!T35</f>
        <v>0</v>
      </c>
      <c r="Q35" s="168">
        <f>'[1]May - 2021'!U35</f>
        <v>155</v>
      </c>
      <c r="R35" s="168">
        <f>'[1]May - 2021'!V35</f>
        <v>0</v>
      </c>
      <c r="S35" s="208">
        <f>'[1]May - 2021'!W35</f>
        <v>0</v>
      </c>
      <c r="T35" s="521"/>
      <c r="U35" s="169">
        <f>'[1]May - 2021'!AC35</f>
        <v>0</v>
      </c>
      <c r="V35" s="291">
        <f>'[1]May - 2021'!AD35</f>
        <v>0</v>
      </c>
      <c r="W35" s="92">
        <f>'[1]May - 2021'!AD35</f>
        <v>0</v>
      </c>
      <c r="X35" s="290">
        <f>'[1]May - 2021'!AF35</f>
        <v>0</v>
      </c>
      <c r="Y35" s="291">
        <f>'[1]May - 2021'!AG35</f>
        <v>0</v>
      </c>
      <c r="Z35" s="92">
        <f>'[1]May - 2021'!AG35</f>
        <v>0</v>
      </c>
      <c r="AA35" s="290">
        <f>'[1]May - 2021'!AI35</f>
        <v>0</v>
      </c>
      <c r="AB35" s="291">
        <f>'[1]May - 2021'!AJ35</f>
        <v>0</v>
      </c>
      <c r="AC35" s="92">
        <f>'[1]May - 2021'!AJ35</f>
        <v>0</v>
      </c>
      <c r="AD35" s="290">
        <f>'[1]May - 2021'!AL35</f>
        <v>0</v>
      </c>
      <c r="AE35" s="291">
        <f>'[1]May - 2021'!AM35</f>
        <v>0</v>
      </c>
      <c r="AF35" s="92">
        <f>'[1]May - 2021'!AM35</f>
        <v>0</v>
      </c>
      <c r="AG35" s="290">
        <f>'[1]May - 2021'!AO35</f>
        <v>0</v>
      </c>
      <c r="AH35" s="291">
        <f>'[1]May - 2021'!AP35</f>
        <v>0</v>
      </c>
      <c r="AI35" s="92">
        <f>'[1]May - 2021'!AP35</f>
        <v>0</v>
      </c>
      <c r="AJ35" s="290">
        <f>'[1]May - 2021'!AR35</f>
        <v>0</v>
      </c>
      <c r="AK35" s="291">
        <f>'[1]May - 2021'!AS35</f>
        <v>0</v>
      </c>
      <c r="AL35" s="92">
        <f>'[1]May - 2021'!AS35</f>
        <v>0</v>
      </c>
      <c r="AM35" s="290">
        <f>'[1]May - 2021'!AU35</f>
        <v>0</v>
      </c>
      <c r="AN35" s="291">
        <f>'[1]May - 2021'!AV35</f>
        <v>0</v>
      </c>
      <c r="AO35" s="92">
        <f>'[1]May - 2021'!AV35</f>
        <v>0</v>
      </c>
      <c r="AP35" s="290">
        <f>'[1]May - 2021'!AX35</f>
        <v>0</v>
      </c>
      <c r="AQ35" s="291">
        <f>'[1]May - 2021'!AY35</f>
        <v>0</v>
      </c>
      <c r="AR35" s="92">
        <f>'[1]May - 2021'!AY35</f>
        <v>0</v>
      </c>
      <c r="AS35" s="290">
        <f>'[1]May - 2021'!BA35</f>
        <v>0</v>
      </c>
      <c r="AT35" s="291">
        <f>'[1]May - 2021'!BB35</f>
        <v>0</v>
      </c>
      <c r="AU35" s="92">
        <f>'[1]May - 2021'!BB35</f>
        <v>0</v>
      </c>
      <c r="AV35" s="290">
        <f>'[1]May - 2021'!BD35</f>
        <v>0</v>
      </c>
      <c r="AW35" s="252">
        <f>'[1]May - 2021'!BE35</f>
        <v>0</v>
      </c>
      <c r="AX35" s="253">
        <f>'[1]May - 2021'!BE35</f>
        <v>0</v>
      </c>
      <c r="AY35" s="487"/>
      <c r="AZ35" s="272">
        <f>'[1]May - 2021'!BK35</f>
        <v>0</v>
      </c>
      <c r="BA35" s="179">
        <f>'[1]May - 2021'!BL35</f>
        <v>0</v>
      </c>
      <c r="BB35" s="93">
        <f>'[1]May - 2021'!BL35</f>
        <v>0</v>
      </c>
      <c r="BC35" s="272">
        <f>'[1]May - 2021'!BN35</f>
        <v>0</v>
      </c>
      <c r="BD35" s="245">
        <f>'[1]May - 2021'!BO35</f>
        <v>0</v>
      </c>
      <c r="BE35" s="93">
        <f>'[1]May - 2021'!BO35</f>
        <v>0</v>
      </c>
      <c r="BF35" s="272">
        <f>'[1]May - 2021'!BQ35</f>
        <v>0</v>
      </c>
      <c r="BG35" s="245">
        <f>'[1]May - 2021'!BR35</f>
        <v>0</v>
      </c>
      <c r="BH35" s="93">
        <f>'[1]May - 2021'!BR35</f>
        <v>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3">
        <f>'[1]May - 2021'!BT35</f>
        <v>0</v>
      </c>
      <c r="BT35" s="185">
        <f>'[1]May - 2021'!BU35</f>
        <v>0</v>
      </c>
      <c r="BU35" s="394"/>
      <c r="BV35" s="88">
        <f>'[1]May - 2021'!BW35</f>
        <v>0</v>
      </c>
      <c r="BW35" s="241">
        <f>'[1]May - 2021'!BX35</f>
        <v>0</v>
      </c>
      <c r="BX35" s="88">
        <f>'[1]May - 2021'!BX35</f>
        <v>0</v>
      </c>
      <c r="BY35" s="89">
        <f>'[1]May - 2021'!BZ35</f>
        <v>0</v>
      </c>
      <c r="BZ35" s="191">
        <f>'[1]May - 2021'!CA35</f>
        <v>0</v>
      </c>
      <c r="CA35" s="89">
        <f>'[1]May - 2021'!CB35</f>
        <v>0</v>
      </c>
      <c r="CB35" s="191">
        <f>'[1]May - 2021'!CC35</f>
        <v>0</v>
      </c>
      <c r="CC35" s="89">
        <f>'[1]May - 2021'!CD35</f>
        <v>0</v>
      </c>
      <c r="CD35" s="191">
        <f>'[1]May - 2021'!CE35</f>
        <v>0</v>
      </c>
      <c r="CE35" s="89">
        <f>'[1]May - 2021'!CF35</f>
        <v>0</v>
      </c>
      <c r="CF35" s="191">
        <f>'[1]May - 2021'!CG35</f>
        <v>0</v>
      </c>
      <c r="CG35" s="89">
        <f>'[1]May - 2021'!CH35</f>
        <v>0</v>
      </c>
      <c r="CH35" s="191">
        <f>'[1]May - 2021'!CI35</f>
        <v>0</v>
      </c>
      <c r="CI35" s="89">
        <f>'[1]May - 2021'!CJ35</f>
        <v>0</v>
      </c>
      <c r="CJ35" s="191">
        <f>'[1]May - 2021'!CK35</f>
        <v>0</v>
      </c>
      <c r="CK35" s="89">
        <f>'[1]May - 2021'!CL35</f>
        <v>0</v>
      </c>
      <c r="CL35" s="246">
        <f>'[1]May - 2021'!CM35</f>
        <v>0</v>
      </c>
      <c r="CM35" s="89">
        <f>'[1]May - 2021'!CM35</f>
        <v>0</v>
      </c>
      <c r="CN35" s="89">
        <f>'[1]May - 2021'!CO35</f>
        <v>0</v>
      </c>
      <c r="CO35" s="246">
        <f>'[1]May - 2021'!CP35</f>
        <v>0</v>
      </c>
      <c r="CP35" s="89">
        <f>'[1]May - 2021'!CP35</f>
        <v>0</v>
      </c>
      <c r="CQ35" s="89">
        <f>'[1]May - 2021'!CR35</f>
        <v>0</v>
      </c>
      <c r="CR35" s="246">
        <f>'[1]May - 2021'!CS35</f>
        <v>0</v>
      </c>
      <c r="CS35" s="89">
        <f>'[1]May - 2021'!CS35</f>
        <v>0</v>
      </c>
      <c r="CT35" s="89">
        <f>'[1]May - 2021'!CU35</f>
        <v>0</v>
      </c>
      <c r="CU35" s="191">
        <f>'[1]May - 2021'!CV35</f>
        <v>0</v>
      </c>
      <c r="CV35" s="454"/>
      <c r="CW35" s="256">
        <f>'[1]May - 2021'!CX35</f>
        <v>0</v>
      </c>
      <c r="CX35" s="198">
        <f>'[1]May - 2021'!CY35</f>
        <v>0</v>
      </c>
      <c r="CY35" s="257">
        <f>'[1]May - 2021'!CZ35</f>
        <v>0</v>
      </c>
      <c r="CZ35" s="198">
        <f>'[1]May - 2021'!DA35</f>
        <v>0</v>
      </c>
      <c r="DA35" s="257">
        <f>'[1]May - 2021'!DB35</f>
        <v>0</v>
      </c>
      <c r="DB35" s="198">
        <f>'[1]May - 2021'!DC35</f>
        <v>0</v>
      </c>
      <c r="DC35" s="257">
        <f>'[1]May - 2021'!DD35</f>
        <v>0</v>
      </c>
      <c r="DD35" s="198">
        <f>'[1]May - 2021'!DE35</f>
        <v>0</v>
      </c>
      <c r="DE35" s="257">
        <f>'[1]May - 2021'!DF35</f>
        <v>0</v>
      </c>
      <c r="DF35" s="198">
        <f>'[1]May - 2021'!DG35</f>
        <v>0</v>
      </c>
      <c r="DG35" s="257">
        <f>'[1]May - 2021'!DH35</f>
        <v>0</v>
      </c>
      <c r="DH35" s="198">
        <f>'[1]May - 2021'!DI35</f>
        <v>0</v>
      </c>
      <c r="DI35" s="257">
        <f>'[1]May - 2021'!DJ35</f>
        <v>0</v>
      </c>
      <c r="DJ35" s="198">
        <f>'[1]May - 2021'!DK35</f>
        <v>0</v>
      </c>
      <c r="DK35" s="257">
        <f>'[1]May - 2021'!DL35</f>
        <v>0</v>
      </c>
      <c r="DL35" s="198">
        <f>'[1]May - 2021'!DM35</f>
        <v>0</v>
      </c>
      <c r="DM35" s="257">
        <f>'[1]May - 2021'!DN35</f>
        <v>0</v>
      </c>
      <c r="DN35" s="198">
        <f>'[1]May - 2021'!DO35</f>
        <v>0</v>
      </c>
      <c r="DO35" s="257">
        <f>'[1]May - 2021'!DP35</f>
        <v>0</v>
      </c>
      <c r="DP35" s="198">
        <f>'[1]May - 2021'!DQ35</f>
        <v>0</v>
      </c>
      <c r="DQ35" s="257">
        <f>'[1]May - 2021'!DR35</f>
        <v>0</v>
      </c>
      <c r="DR35" s="206">
        <f>'[1]May - 2021'!DS35</f>
        <v>0</v>
      </c>
      <c r="DS35" s="439"/>
      <c r="DT35" s="210">
        <f>'[1]May - 2021'!DU35</f>
        <v>0</v>
      </c>
      <c r="DU35" s="221">
        <f>'[1]May - 2021'!DV35</f>
        <v>0</v>
      </c>
      <c r="DV35" s="91">
        <f>'[1]May - 2021'!DW35</f>
        <v>0</v>
      </c>
      <c r="DW35" s="215">
        <f>'[1]May - 2021'!DX35</f>
        <v>0</v>
      </c>
      <c r="DX35" s="91">
        <f>'[1]May - 2021'!DY35</f>
        <v>0</v>
      </c>
      <c r="DY35" s="215">
        <f>'[1]May - 2021'!DZ35</f>
        <v>0</v>
      </c>
      <c r="DZ35" s="91">
        <f>'[1]May - 2021'!EA35</f>
        <v>0</v>
      </c>
      <c r="EA35" s="215">
        <f>'[1]May - 2021'!EB35</f>
        <v>0</v>
      </c>
      <c r="EB35" s="91">
        <f>'[1]May - 2021'!EC35</f>
        <v>0</v>
      </c>
      <c r="EC35" s="215">
        <f>'[1]May - 2021'!ED35</f>
        <v>0</v>
      </c>
      <c r="ED35" s="91">
        <f>'[1]May - 2021'!EG35</f>
        <v>0</v>
      </c>
      <c r="EE35" s="229">
        <f>'[1]May - 2021'!EH35</f>
        <v>0</v>
      </c>
      <c r="EF35" s="378"/>
      <c r="EG35" s="235">
        <f>'[1]May - 2021'!EJ35</f>
        <v>0</v>
      </c>
      <c r="EH35" s="230">
        <f>'[1]May - 2021'!EK35</f>
        <v>0</v>
      </c>
      <c r="EI35" s="90">
        <f>'[1]May - 2021'!EL35</f>
        <v>0</v>
      </c>
      <c r="EJ35" s="230">
        <f>'[1]May - 2021'!EM35</f>
        <v>0</v>
      </c>
      <c r="EK35" s="90">
        <f>'[1]May - 2021'!EN35</f>
        <v>0</v>
      </c>
      <c r="EL35" s="230">
        <f>'[1]May - 2021'!EO35</f>
        <v>0</v>
      </c>
      <c r="EM35" s="90">
        <f>'[1]May - 2021'!EP35</f>
        <v>0</v>
      </c>
      <c r="EN35" s="230">
        <f>'[1]May - 2021'!EQ35</f>
        <v>0</v>
      </c>
      <c r="EO35" s="90">
        <f>'[1]May - 2021'!ER35</f>
        <v>0</v>
      </c>
      <c r="EP35" s="230">
        <f>'[1]May - 2021'!ES35</f>
        <v>0</v>
      </c>
      <c r="EQ35" s="90">
        <f>'[1]May - 2021'!ET35</f>
        <v>0</v>
      </c>
      <c r="ER35" s="230">
        <f>'[1]May - 2021'!EU35</f>
        <v>0</v>
      </c>
      <c r="ES35" s="426"/>
      <c r="ET35" s="284">
        <f>'[1]May - 2021'!EW35</f>
        <v>0</v>
      </c>
      <c r="EU35" s="278">
        <f>'[1]May - 2021'!EX35</f>
        <v>0</v>
      </c>
      <c r="EV35" s="285">
        <f>'[1]May - 2021'!EY35</f>
        <v>0</v>
      </c>
      <c r="EW35" s="278">
        <f>'[1]May - 2021'!EZ35</f>
        <v>0</v>
      </c>
      <c r="EX35" s="285">
        <f>'[1]May - 2021'!FA35</f>
        <v>0</v>
      </c>
      <c r="EY35" s="278">
        <f>'[1]May - 2021'!FB35</f>
        <v>0</v>
      </c>
      <c r="EZ35" s="285">
        <f>'[1]May - 2021'!FC35</f>
        <v>0</v>
      </c>
      <c r="FA35" s="278">
        <f>'[1]May - 2021'!FD35</f>
        <v>0</v>
      </c>
      <c r="FB35" s="285">
        <f>'[1]May - 2021'!FE35</f>
        <v>0</v>
      </c>
      <c r="FC35" s="279">
        <f>'[1]May - 2021'!FF35</f>
        <v>0</v>
      </c>
    </row>
    <row r="36" spans="1:160" ht="30" customHeight="1" x14ac:dyDescent="0.25">
      <c r="A36" s="207">
        <v>43857</v>
      </c>
      <c r="B36" s="209">
        <f>'[1]May - 2021'!B36</f>
        <v>0</v>
      </c>
      <c r="C36" s="250">
        <f>'[1]May - 2021'!E36</f>
        <v>0</v>
      </c>
      <c r="D36" s="170">
        <f>'[1]May - 2021'!F36</f>
        <v>0</v>
      </c>
      <c r="E36" s="168">
        <f>'[1]May - 2021'!G36</f>
        <v>343</v>
      </c>
      <c r="F36" s="168">
        <f>'[1]May - 2021'!H36</f>
        <v>0</v>
      </c>
      <c r="G36" s="170">
        <f>'[1]May - 2021'!I36</f>
        <v>0</v>
      </c>
      <c r="H36" s="168">
        <f>'[1]May - 2021'!J36</f>
        <v>172</v>
      </c>
      <c r="I36" s="168">
        <f>'[1]May - 2021'!K36</f>
        <v>0</v>
      </c>
      <c r="J36" s="170">
        <f>'[1]May - 2021'!L36</f>
        <v>0</v>
      </c>
      <c r="K36" s="168">
        <f>'[1]May - 2021'!N36</f>
        <v>0</v>
      </c>
      <c r="L36" s="170">
        <f>'[1]May - 2021'!O36</f>
        <v>0</v>
      </c>
      <c r="M36" s="168">
        <f>'[1]May - 2021'!Q36</f>
        <v>0</v>
      </c>
      <c r="N36" s="170">
        <f>'[1]May - 2021'!R36</f>
        <v>0</v>
      </c>
      <c r="O36" s="168">
        <f>'[1]May - 2021'!S36</f>
        <v>0</v>
      </c>
      <c r="P36" s="170">
        <f>'[1]May - 2021'!T36</f>
        <v>0</v>
      </c>
      <c r="Q36" s="168">
        <f>'[1]May - 2021'!U36</f>
        <v>140</v>
      </c>
      <c r="R36" s="168">
        <f>'[1]May - 2021'!V36</f>
        <v>0</v>
      </c>
      <c r="S36" s="208">
        <f>'[1]May - 2021'!W36</f>
        <v>0</v>
      </c>
      <c r="T36" s="521"/>
      <c r="U36" s="169">
        <f>'[1]May - 2021'!AC36</f>
        <v>0</v>
      </c>
      <c r="V36" s="291">
        <f>'[1]May - 2021'!AD36</f>
        <v>0</v>
      </c>
      <c r="W36" s="92">
        <f>'[1]May - 2021'!AD36</f>
        <v>0</v>
      </c>
      <c r="X36" s="290">
        <f>'[1]May - 2021'!AF36</f>
        <v>0</v>
      </c>
      <c r="Y36" s="291">
        <f>'[1]May - 2021'!AG36</f>
        <v>0</v>
      </c>
      <c r="Z36" s="92">
        <f>'[1]May - 2021'!AG36</f>
        <v>0</v>
      </c>
      <c r="AA36" s="290">
        <f>'[1]May - 2021'!AI36</f>
        <v>0</v>
      </c>
      <c r="AB36" s="291">
        <f>'[1]May - 2021'!AJ36</f>
        <v>0</v>
      </c>
      <c r="AC36" s="92">
        <f>'[1]May - 2021'!AJ36</f>
        <v>0</v>
      </c>
      <c r="AD36" s="290">
        <f>'[1]May - 2021'!AL36</f>
        <v>0</v>
      </c>
      <c r="AE36" s="291">
        <f>'[1]May - 2021'!AM36</f>
        <v>0</v>
      </c>
      <c r="AF36" s="92">
        <f>'[1]May - 2021'!AM36</f>
        <v>0</v>
      </c>
      <c r="AG36" s="290">
        <f>'[1]May - 2021'!AO36</f>
        <v>0</v>
      </c>
      <c r="AH36" s="291">
        <f>'[1]May - 2021'!AP36</f>
        <v>0</v>
      </c>
      <c r="AI36" s="92">
        <f>'[1]May - 2021'!AP36</f>
        <v>0</v>
      </c>
      <c r="AJ36" s="290">
        <f>'[1]May - 2021'!AR36</f>
        <v>0</v>
      </c>
      <c r="AK36" s="291">
        <f>'[1]May - 2021'!AS36</f>
        <v>0</v>
      </c>
      <c r="AL36" s="92">
        <f>'[1]May - 2021'!AS36</f>
        <v>0</v>
      </c>
      <c r="AM36" s="290">
        <f>'[1]May - 2021'!AU36</f>
        <v>0</v>
      </c>
      <c r="AN36" s="291">
        <f>'[1]May - 2021'!AV36</f>
        <v>0</v>
      </c>
      <c r="AO36" s="92">
        <f>'[1]May - 2021'!AV36</f>
        <v>0</v>
      </c>
      <c r="AP36" s="290">
        <f>'[1]May - 2021'!AX36</f>
        <v>0</v>
      </c>
      <c r="AQ36" s="291">
        <f>'[1]May - 2021'!AY36</f>
        <v>0</v>
      </c>
      <c r="AR36" s="92">
        <f>'[1]May - 2021'!AY36</f>
        <v>0</v>
      </c>
      <c r="AS36" s="290">
        <f>'[1]May - 2021'!BA36</f>
        <v>0</v>
      </c>
      <c r="AT36" s="291">
        <f>'[1]May - 2021'!BB36</f>
        <v>0</v>
      </c>
      <c r="AU36" s="92">
        <f>'[1]May - 2021'!BB36</f>
        <v>0</v>
      </c>
      <c r="AV36" s="290">
        <f>'[1]May - 2021'!BD36</f>
        <v>0</v>
      </c>
      <c r="AW36" s="252">
        <f>'[1]May - 2021'!BE36</f>
        <v>0</v>
      </c>
      <c r="AX36" s="253">
        <f>'[1]May - 2021'!BE36</f>
        <v>0</v>
      </c>
      <c r="AY36" s="487"/>
      <c r="AZ36" s="272">
        <f>'[1]May - 2021'!BK36</f>
        <v>0</v>
      </c>
      <c r="BA36" s="179">
        <f>'[1]May - 2021'!BL36</f>
        <v>0</v>
      </c>
      <c r="BB36" s="93">
        <f>'[1]May - 2021'!BL36</f>
        <v>0</v>
      </c>
      <c r="BC36" s="272">
        <f>'[1]May - 2021'!BN36</f>
        <v>0</v>
      </c>
      <c r="BD36" s="245">
        <f>'[1]May - 2021'!BO36</f>
        <v>0</v>
      </c>
      <c r="BE36" s="93">
        <f>'[1]May - 2021'!BO36</f>
        <v>0</v>
      </c>
      <c r="BF36" s="272">
        <f>'[1]May - 2021'!BQ36</f>
        <v>0</v>
      </c>
      <c r="BG36" s="245">
        <f>'[1]May - 2021'!BR36</f>
        <v>0</v>
      </c>
      <c r="BH36" s="93">
        <f>'[1]May - 2021'!BR36</f>
        <v>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3">
        <f>'[1]May - 2021'!BT36</f>
        <v>0</v>
      </c>
      <c r="BT36" s="185">
        <f>'[1]May - 2021'!BU36</f>
        <v>0</v>
      </c>
      <c r="BU36" s="394"/>
      <c r="BV36" s="88">
        <f>'[1]May - 2021'!BW36</f>
        <v>0</v>
      </c>
      <c r="BW36" s="241">
        <f>'[1]May - 2021'!BX36</f>
        <v>0</v>
      </c>
      <c r="BX36" s="88">
        <f>'[1]May - 2021'!BX36</f>
        <v>0</v>
      </c>
      <c r="BY36" s="89">
        <f>'[1]May - 2021'!BZ36</f>
        <v>0</v>
      </c>
      <c r="BZ36" s="191">
        <f>'[1]May - 2021'!CA36</f>
        <v>0</v>
      </c>
      <c r="CA36" s="89">
        <f>'[1]May - 2021'!CB36</f>
        <v>0</v>
      </c>
      <c r="CB36" s="191">
        <f>'[1]May - 2021'!CC36</f>
        <v>0</v>
      </c>
      <c r="CC36" s="89">
        <f>'[1]May - 2021'!CD36</f>
        <v>0</v>
      </c>
      <c r="CD36" s="191">
        <f>'[1]May - 2021'!CE36</f>
        <v>0</v>
      </c>
      <c r="CE36" s="89">
        <f>'[1]May - 2021'!CF36</f>
        <v>0</v>
      </c>
      <c r="CF36" s="191">
        <f>'[1]May - 2021'!CG36</f>
        <v>0</v>
      </c>
      <c r="CG36" s="89">
        <f>'[1]May - 2021'!CH36</f>
        <v>0</v>
      </c>
      <c r="CH36" s="191">
        <f>'[1]May - 2021'!CI36</f>
        <v>0</v>
      </c>
      <c r="CI36" s="89">
        <f>'[1]May - 2021'!CJ36</f>
        <v>0</v>
      </c>
      <c r="CJ36" s="191">
        <f>'[1]May - 2021'!CK36</f>
        <v>0</v>
      </c>
      <c r="CK36" s="89">
        <f>'[1]May - 2021'!CL36</f>
        <v>0</v>
      </c>
      <c r="CL36" s="246">
        <f>'[1]May - 2021'!CM36</f>
        <v>0</v>
      </c>
      <c r="CM36" s="89">
        <f>'[1]May - 2021'!CM36</f>
        <v>0</v>
      </c>
      <c r="CN36" s="89">
        <f>'[1]May - 2021'!CO36</f>
        <v>0</v>
      </c>
      <c r="CO36" s="246">
        <f>'[1]May - 2021'!CP36</f>
        <v>0</v>
      </c>
      <c r="CP36" s="89">
        <f>'[1]May - 2021'!CP36</f>
        <v>0</v>
      </c>
      <c r="CQ36" s="89">
        <f>'[1]May - 2021'!CR36</f>
        <v>0</v>
      </c>
      <c r="CR36" s="246">
        <f>'[1]May - 2021'!CS36</f>
        <v>0</v>
      </c>
      <c r="CS36" s="89">
        <f>'[1]May - 2021'!CS36</f>
        <v>0</v>
      </c>
      <c r="CT36" s="89">
        <f>'[1]May - 2021'!CU36</f>
        <v>0</v>
      </c>
      <c r="CU36" s="191">
        <f>'[1]May - 2021'!CV36</f>
        <v>0</v>
      </c>
      <c r="CV36" s="454"/>
      <c r="CW36" s="256">
        <f>'[1]May - 2021'!CX36</f>
        <v>0</v>
      </c>
      <c r="CX36" s="198">
        <f>'[1]May - 2021'!CY36</f>
        <v>0</v>
      </c>
      <c r="CY36" s="257">
        <f>'[1]May - 2021'!CZ36</f>
        <v>0</v>
      </c>
      <c r="CZ36" s="198">
        <f>'[1]May - 2021'!DA36</f>
        <v>0</v>
      </c>
      <c r="DA36" s="257">
        <f>'[1]May - 2021'!DB36</f>
        <v>0</v>
      </c>
      <c r="DB36" s="198">
        <f>'[1]May - 2021'!DC36</f>
        <v>0</v>
      </c>
      <c r="DC36" s="257">
        <f>'[1]May - 2021'!DD36</f>
        <v>0</v>
      </c>
      <c r="DD36" s="198">
        <f>'[1]May - 2021'!DE36</f>
        <v>0</v>
      </c>
      <c r="DE36" s="257">
        <f>'[1]May - 2021'!DF36</f>
        <v>0</v>
      </c>
      <c r="DF36" s="198">
        <f>'[1]May - 2021'!DG36</f>
        <v>0</v>
      </c>
      <c r="DG36" s="257">
        <f>'[1]May - 2021'!DH36</f>
        <v>0</v>
      </c>
      <c r="DH36" s="198">
        <f>'[1]May - 2021'!DI36</f>
        <v>0</v>
      </c>
      <c r="DI36" s="257">
        <f>'[1]May - 2021'!DJ36</f>
        <v>0</v>
      </c>
      <c r="DJ36" s="198">
        <f>'[1]May - 2021'!DK36</f>
        <v>0</v>
      </c>
      <c r="DK36" s="257">
        <f>'[1]May - 2021'!DL36</f>
        <v>0</v>
      </c>
      <c r="DL36" s="198">
        <f>'[1]May - 2021'!DM36</f>
        <v>0</v>
      </c>
      <c r="DM36" s="257">
        <f>'[1]May - 2021'!DN36</f>
        <v>0</v>
      </c>
      <c r="DN36" s="198">
        <f>'[1]May - 2021'!DO36</f>
        <v>0</v>
      </c>
      <c r="DO36" s="257">
        <f>'[1]May - 2021'!DP36</f>
        <v>0</v>
      </c>
      <c r="DP36" s="198">
        <f>'[1]May - 2021'!DQ36</f>
        <v>0</v>
      </c>
      <c r="DQ36" s="257">
        <f>'[1]May - 2021'!DR36</f>
        <v>0</v>
      </c>
      <c r="DR36" s="206">
        <f>'[1]May - 2021'!DS36</f>
        <v>0</v>
      </c>
      <c r="DS36" s="439"/>
      <c r="DT36" s="210">
        <f>'[1]May - 2021'!DU36</f>
        <v>0</v>
      </c>
      <c r="DU36" s="221">
        <f>'[1]May - 2021'!DV36</f>
        <v>0</v>
      </c>
      <c r="DV36" s="91">
        <f>'[1]May - 2021'!DW36</f>
        <v>0</v>
      </c>
      <c r="DW36" s="215">
        <f>'[1]May - 2021'!DX36</f>
        <v>0</v>
      </c>
      <c r="DX36" s="91">
        <f>'[1]May - 2021'!DY36</f>
        <v>0</v>
      </c>
      <c r="DY36" s="215">
        <f>'[1]May - 2021'!DZ36</f>
        <v>0</v>
      </c>
      <c r="DZ36" s="91">
        <f>'[1]May - 2021'!EA36</f>
        <v>0</v>
      </c>
      <c r="EA36" s="215">
        <f>'[1]May - 2021'!EB36</f>
        <v>0</v>
      </c>
      <c r="EB36" s="91">
        <f>'[1]May - 2021'!EC36</f>
        <v>0</v>
      </c>
      <c r="EC36" s="215">
        <f>'[1]May - 2021'!ED36</f>
        <v>0</v>
      </c>
      <c r="ED36" s="91">
        <f>'[1]May - 2021'!EG36</f>
        <v>0</v>
      </c>
      <c r="EE36" s="229">
        <f>'[1]May - 2021'!EH36</f>
        <v>0</v>
      </c>
      <c r="EF36" s="378"/>
      <c r="EG36" s="235">
        <f>'[1]May - 2021'!EJ36</f>
        <v>0</v>
      </c>
      <c r="EH36" s="230">
        <f>'[1]May - 2021'!EK36</f>
        <v>0</v>
      </c>
      <c r="EI36" s="90">
        <f>'[1]May - 2021'!EL36</f>
        <v>0</v>
      </c>
      <c r="EJ36" s="230">
        <f>'[1]May - 2021'!EM36</f>
        <v>0</v>
      </c>
      <c r="EK36" s="90">
        <f>'[1]May - 2021'!EN36</f>
        <v>0</v>
      </c>
      <c r="EL36" s="230">
        <f>'[1]May - 2021'!EO36</f>
        <v>0</v>
      </c>
      <c r="EM36" s="90">
        <f>'[1]May - 2021'!EP36</f>
        <v>0</v>
      </c>
      <c r="EN36" s="230">
        <f>'[1]May - 2021'!EQ36</f>
        <v>0</v>
      </c>
      <c r="EO36" s="90">
        <f>'[1]May - 2021'!ER36</f>
        <v>0</v>
      </c>
      <c r="EP36" s="230">
        <f>'[1]May - 2021'!ES36</f>
        <v>0</v>
      </c>
      <c r="EQ36" s="90">
        <f>'[1]May - 2021'!ET36</f>
        <v>0</v>
      </c>
      <c r="ER36" s="230">
        <f>'[1]May - 2021'!EU36</f>
        <v>0</v>
      </c>
      <c r="ES36" s="426"/>
      <c r="ET36" s="284">
        <f>'[1]May - 2021'!EW36</f>
        <v>0</v>
      </c>
      <c r="EU36" s="278">
        <f>'[1]May - 2021'!EX36</f>
        <v>0</v>
      </c>
      <c r="EV36" s="285">
        <f>'[1]May - 2021'!EY36</f>
        <v>0</v>
      </c>
      <c r="EW36" s="278">
        <f>'[1]May - 2021'!EZ36</f>
        <v>0</v>
      </c>
      <c r="EX36" s="285">
        <f>'[1]May - 2021'!FA36</f>
        <v>0</v>
      </c>
      <c r="EY36" s="278">
        <f>'[1]May - 2021'!FB36</f>
        <v>0</v>
      </c>
      <c r="EZ36" s="285">
        <f>'[1]May - 2021'!FC36</f>
        <v>0</v>
      </c>
      <c r="FA36" s="278">
        <f>'[1]May - 2021'!FD36</f>
        <v>0</v>
      </c>
      <c r="FB36" s="285">
        <f>'[1]May - 2021'!FE36</f>
        <v>0</v>
      </c>
      <c r="FC36" s="279">
        <f>'[1]May - 2021'!FF36</f>
        <v>0</v>
      </c>
    </row>
    <row r="37" spans="1:160" ht="30" customHeight="1" x14ac:dyDescent="0.25">
      <c r="A37" s="207">
        <v>43858</v>
      </c>
      <c r="B37" s="209">
        <f>'[1]May - 2021'!B37</f>
        <v>0</v>
      </c>
      <c r="C37" s="250">
        <f>'[1]May - 2021'!E37</f>
        <v>0</v>
      </c>
      <c r="D37" s="170">
        <f>'[1]May - 2021'!F37</f>
        <v>0</v>
      </c>
      <c r="E37" s="168">
        <f>'[1]May - 2021'!G37</f>
        <v>348</v>
      </c>
      <c r="F37" s="168">
        <f>'[1]May - 2021'!H37</f>
        <v>0</v>
      </c>
      <c r="G37" s="170">
        <f>'[1]May - 2021'!I37</f>
        <v>0</v>
      </c>
      <c r="H37" s="168">
        <f>'[1]May - 2021'!J37</f>
        <v>202</v>
      </c>
      <c r="I37" s="168">
        <f>'[1]May - 2021'!K37</f>
        <v>0</v>
      </c>
      <c r="J37" s="170">
        <f>'[1]May - 2021'!L37</f>
        <v>0</v>
      </c>
      <c r="K37" s="168">
        <f>'[1]May - 2021'!N37</f>
        <v>0</v>
      </c>
      <c r="L37" s="170">
        <f>'[1]May - 2021'!O37</f>
        <v>0</v>
      </c>
      <c r="M37" s="168">
        <f>'[1]May - 2021'!Q37</f>
        <v>0</v>
      </c>
      <c r="N37" s="170">
        <f>'[1]May - 2021'!R37</f>
        <v>0</v>
      </c>
      <c r="O37" s="168">
        <f>'[1]May - 2021'!S37</f>
        <v>0</v>
      </c>
      <c r="P37" s="170">
        <f>'[1]May - 2021'!T37</f>
        <v>0</v>
      </c>
      <c r="Q37" s="168">
        <f>'[1]May - 2021'!U37</f>
        <v>210</v>
      </c>
      <c r="R37" s="168">
        <f>'[1]May - 2021'!V37</f>
        <v>0</v>
      </c>
      <c r="S37" s="208">
        <f>'[1]May - 2021'!W37</f>
        <v>0</v>
      </c>
      <c r="T37" s="521"/>
      <c r="U37" s="169">
        <f>'[1]May - 2021'!AC37</f>
        <v>0</v>
      </c>
      <c r="V37" s="291">
        <f>'[1]May - 2021'!AD37</f>
        <v>0</v>
      </c>
      <c r="W37" s="92">
        <f>'[1]May - 2021'!AD37</f>
        <v>0</v>
      </c>
      <c r="X37" s="290">
        <f>'[1]May - 2021'!AF37</f>
        <v>0</v>
      </c>
      <c r="Y37" s="291">
        <f>'[1]May - 2021'!AG37</f>
        <v>0</v>
      </c>
      <c r="Z37" s="92">
        <f>'[1]May - 2021'!AG37</f>
        <v>0</v>
      </c>
      <c r="AA37" s="290">
        <f>'[1]May - 2021'!AI37</f>
        <v>0</v>
      </c>
      <c r="AB37" s="291">
        <f>'[1]May - 2021'!AJ37</f>
        <v>0</v>
      </c>
      <c r="AC37" s="92">
        <f>'[1]May - 2021'!AJ37</f>
        <v>0</v>
      </c>
      <c r="AD37" s="290">
        <f>'[1]May - 2021'!AL37</f>
        <v>0</v>
      </c>
      <c r="AE37" s="291">
        <f>'[1]May - 2021'!AM37</f>
        <v>0</v>
      </c>
      <c r="AF37" s="92">
        <f>'[1]May - 2021'!AM37</f>
        <v>0</v>
      </c>
      <c r="AG37" s="290">
        <f>'[1]May - 2021'!AO37</f>
        <v>0</v>
      </c>
      <c r="AH37" s="291">
        <f>'[1]May - 2021'!AP37</f>
        <v>0</v>
      </c>
      <c r="AI37" s="92">
        <f>'[1]May - 2021'!AP37</f>
        <v>0</v>
      </c>
      <c r="AJ37" s="290">
        <f>'[1]May - 2021'!AR37</f>
        <v>0</v>
      </c>
      <c r="AK37" s="291">
        <f>'[1]May - 2021'!AS37</f>
        <v>0</v>
      </c>
      <c r="AL37" s="92">
        <f>'[1]May - 2021'!AS37</f>
        <v>0</v>
      </c>
      <c r="AM37" s="290">
        <f>'[1]May - 2021'!AU37</f>
        <v>0</v>
      </c>
      <c r="AN37" s="291">
        <f>'[1]May - 2021'!AV37</f>
        <v>0</v>
      </c>
      <c r="AO37" s="92">
        <f>'[1]May - 2021'!AV37</f>
        <v>0</v>
      </c>
      <c r="AP37" s="290">
        <f>'[1]May - 2021'!AX37</f>
        <v>0</v>
      </c>
      <c r="AQ37" s="291">
        <f>'[1]May - 2021'!AY37</f>
        <v>0</v>
      </c>
      <c r="AR37" s="92">
        <f>'[1]May - 2021'!AY37</f>
        <v>0</v>
      </c>
      <c r="AS37" s="290">
        <f>'[1]May - 2021'!BA37</f>
        <v>0</v>
      </c>
      <c r="AT37" s="291">
        <f>'[1]May - 2021'!BB37</f>
        <v>0</v>
      </c>
      <c r="AU37" s="92">
        <f>'[1]May - 2021'!BB37</f>
        <v>0</v>
      </c>
      <c r="AV37" s="290">
        <f>'[1]May - 2021'!BD37</f>
        <v>0</v>
      </c>
      <c r="AW37" s="252">
        <f>'[1]May - 2021'!BE37</f>
        <v>0</v>
      </c>
      <c r="AX37" s="253">
        <f>'[1]May - 2021'!BE37</f>
        <v>0</v>
      </c>
      <c r="AY37" s="487"/>
      <c r="AZ37" s="272">
        <f>'[1]May - 2021'!BK37</f>
        <v>0</v>
      </c>
      <c r="BA37" s="179">
        <f>'[1]May - 2021'!BL37</f>
        <v>0</v>
      </c>
      <c r="BB37" s="93">
        <f>'[1]May - 2021'!BL37</f>
        <v>0</v>
      </c>
      <c r="BC37" s="272">
        <f>'[1]May - 2021'!BN37</f>
        <v>0</v>
      </c>
      <c r="BD37" s="245">
        <f>'[1]May - 2021'!BO37</f>
        <v>0</v>
      </c>
      <c r="BE37" s="93">
        <f>'[1]May - 2021'!BO37</f>
        <v>0</v>
      </c>
      <c r="BF37" s="272">
        <f>'[1]May - 2021'!BQ37</f>
        <v>0</v>
      </c>
      <c r="BG37" s="245">
        <f>'[1]May - 2021'!BR37</f>
        <v>0</v>
      </c>
      <c r="BH37" s="93">
        <f>'[1]May - 2021'!BR37</f>
        <v>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3">
        <f>'[1]May - 2021'!BT37</f>
        <v>0</v>
      </c>
      <c r="BT37" s="185">
        <f>'[1]May - 2021'!BU37</f>
        <v>0</v>
      </c>
      <c r="BU37" s="394"/>
      <c r="BV37" s="88">
        <f>'[1]May - 2021'!BW37</f>
        <v>0</v>
      </c>
      <c r="BW37" s="241">
        <f>'[1]May - 2021'!BX37</f>
        <v>0</v>
      </c>
      <c r="BX37" s="88">
        <f>'[1]May - 2021'!BX37</f>
        <v>0</v>
      </c>
      <c r="BY37" s="89">
        <f>'[1]May - 2021'!BZ37</f>
        <v>0</v>
      </c>
      <c r="BZ37" s="191">
        <f>'[1]May - 2021'!CA37</f>
        <v>0</v>
      </c>
      <c r="CA37" s="89">
        <f>'[1]May - 2021'!CB37</f>
        <v>0</v>
      </c>
      <c r="CB37" s="191">
        <f>'[1]May - 2021'!CC37</f>
        <v>0</v>
      </c>
      <c r="CC37" s="89">
        <f>'[1]May - 2021'!CD37</f>
        <v>0</v>
      </c>
      <c r="CD37" s="191">
        <f>'[1]May - 2021'!CE37</f>
        <v>0</v>
      </c>
      <c r="CE37" s="89">
        <f>'[1]May - 2021'!CF37</f>
        <v>0</v>
      </c>
      <c r="CF37" s="191">
        <f>'[1]May - 2021'!CG37</f>
        <v>0</v>
      </c>
      <c r="CG37" s="89">
        <f>'[1]May - 2021'!CH37</f>
        <v>0</v>
      </c>
      <c r="CH37" s="191">
        <f>'[1]May - 2021'!CI37</f>
        <v>0</v>
      </c>
      <c r="CI37" s="89">
        <f>'[1]May - 2021'!CJ37</f>
        <v>0</v>
      </c>
      <c r="CJ37" s="191">
        <f>'[1]May - 2021'!CK37</f>
        <v>0</v>
      </c>
      <c r="CK37" s="89">
        <f>'[1]May - 2021'!CL37</f>
        <v>0</v>
      </c>
      <c r="CL37" s="246">
        <f>'[1]May - 2021'!CM37</f>
        <v>0</v>
      </c>
      <c r="CM37" s="89">
        <f>'[1]May - 2021'!CM37</f>
        <v>0</v>
      </c>
      <c r="CN37" s="89">
        <f>'[1]May - 2021'!CO37</f>
        <v>0</v>
      </c>
      <c r="CO37" s="246">
        <f>'[1]May - 2021'!CP37</f>
        <v>0</v>
      </c>
      <c r="CP37" s="89">
        <f>'[1]May - 2021'!CP37</f>
        <v>0</v>
      </c>
      <c r="CQ37" s="89">
        <f>'[1]May - 2021'!CR37</f>
        <v>0</v>
      </c>
      <c r="CR37" s="246">
        <f>'[1]May - 2021'!CS37</f>
        <v>0</v>
      </c>
      <c r="CS37" s="89">
        <f>'[1]May - 2021'!CS37</f>
        <v>0</v>
      </c>
      <c r="CT37" s="89">
        <f>'[1]May - 2021'!CU37</f>
        <v>0</v>
      </c>
      <c r="CU37" s="191">
        <f>'[1]May - 2021'!CV37</f>
        <v>0</v>
      </c>
      <c r="CV37" s="454"/>
      <c r="CW37" s="256">
        <f>'[1]May - 2021'!CX37</f>
        <v>0</v>
      </c>
      <c r="CX37" s="198">
        <f>'[1]May - 2021'!CY37</f>
        <v>0</v>
      </c>
      <c r="CY37" s="257">
        <f>'[1]May - 2021'!CZ37</f>
        <v>0</v>
      </c>
      <c r="CZ37" s="198">
        <f>'[1]May - 2021'!DA37</f>
        <v>0</v>
      </c>
      <c r="DA37" s="257">
        <f>'[1]May - 2021'!DB37</f>
        <v>0</v>
      </c>
      <c r="DB37" s="198">
        <f>'[1]May - 2021'!DC37</f>
        <v>0</v>
      </c>
      <c r="DC37" s="257">
        <f>'[1]May - 2021'!DD37</f>
        <v>0</v>
      </c>
      <c r="DD37" s="198">
        <f>'[1]May - 2021'!DE37</f>
        <v>0</v>
      </c>
      <c r="DE37" s="257">
        <f>'[1]May - 2021'!DF37</f>
        <v>0</v>
      </c>
      <c r="DF37" s="198">
        <f>'[1]May - 2021'!DG37</f>
        <v>0</v>
      </c>
      <c r="DG37" s="257">
        <f>'[1]May - 2021'!DH37</f>
        <v>0</v>
      </c>
      <c r="DH37" s="198">
        <f>'[1]May - 2021'!DI37</f>
        <v>0</v>
      </c>
      <c r="DI37" s="257">
        <f>'[1]May - 2021'!DJ37</f>
        <v>0</v>
      </c>
      <c r="DJ37" s="198">
        <f>'[1]May - 2021'!DK37</f>
        <v>0</v>
      </c>
      <c r="DK37" s="257">
        <f>'[1]May - 2021'!DL37</f>
        <v>0</v>
      </c>
      <c r="DL37" s="198">
        <f>'[1]May - 2021'!DM37</f>
        <v>0</v>
      </c>
      <c r="DM37" s="257">
        <f>'[1]May - 2021'!DN37</f>
        <v>0</v>
      </c>
      <c r="DN37" s="198">
        <f>'[1]May - 2021'!DO37</f>
        <v>0</v>
      </c>
      <c r="DO37" s="257">
        <f>'[1]May - 2021'!DP37</f>
        <v>0</v>
      </c>
      <c r="DP37" s="198">
        <f>'[1]May - 2021'!DQ37</f>
        <v>0</v>
      </c>
      <c r="DQ37" s="257">
        <f>'[1]May - 2021'!DR37</f>
        <v>0</v>
      </c>
      <c r="DR37" s="206">
        <f>'[1]May - 2021'!DS37</f>
        <v>0</v>
      </c>
      <c r="DS37" s="439"/>
      <c r="DT37" s="210">
        <f>'[1]May - 2021'!DU37</f>
        <v>0</v>
      </c>
      <c r="DU37" s="221">
        <f>'[1]May - 2021'!DV37</f>
        <v>0</v>
      </c>
      <c r="DV37" s="91">
        <f>'[1]May - 2021'!DW37</f>
        <v>0</v>
      </c>
      <c r="DW37" s="215">
        <f>'[1]May - 2021'!DX37</f>
        <v>0</v>
      </c>
      <c r="DX37" s="91">
        <f>'[1]May - 2021'!DY37</f>
        <v>0</v>
      </c>
      <c r="DY37" s="215">
        <f>'[1]May - 2021'!DZ37</f>
        <v>0</v>
      </c>
      <c r="DZ37" s="91">
        <f>'[1]May - 2021'!EA37</f>
        <v>0</v>
      </c>
      <c r="EA37" s="215">
        <f>'[1]May - 2021'!EB37</f>
        <v>0</v>
      </c>
      <c r="EB37" s="91">
        <f>'[1]May - 2021'!EC37</f>
        <v>0</v>
      </c>
      <c r="EC37" s="215">
        <f>'[1]May - 2021'!ED37</f>
        <v>0</v>
      </c>
      <c r="ED37" s="91">
        <f>'[1]May - 2021'!EG37</f>
        <v>0</v>
      </c>
      <c r="EE37" s="229">
        <f>'[1]May - 2021'!EH37</f>
        <v>0</v>
      </c>
      <c r="EF37" s="378"/>
      <c r="EG37" s="235">
        <f>'[1]May - 2021'!EJ37</f>
        <v>0</v>
      </c>
      <c r="EH37" s="230">
        <f>'[1]May - 2021'!EK37</f>
        <v>0</v>
      </c>
      <c r="EI37" s="90">
        <f>'[1]May - 2021'!EL37</f>
        <v>0</v>
      </c>
      <c r="EJ37" s="230">
        <f>'[1]May - 2021'!EM37</f>
        <v>0</v>
      </c>
      <c r="EK37" s="90">
        <f>'[1]May - 2021'!EN37</f>
        <v>0</v>
      </c>
      <c r="EL37" s="230">
        <f>'[1]May - 2021'!EO37</f>
        <v>0</v>
      </c>
      <c r="EM37" s="90">
        <f>'[1]May - 2021'!EP37</f>
        <v>0</v>
      </c>
      <c r="EN37" s="230">
        <f>'[1]May - 2021'!EQ37</f>
        <v>0</v>
      </c>
      <c r="EO37" s="90">
        <f>'[1]May - 2021'!ER37</f>
        <v>0</v>
      </c>
      <c r="EP37" s="230">
        <f>'[1]May - 2021'!ES37</f>
        <v>0</v>
      </c>
      <c r="EQ37" s="90">
        <f>'[1]May - 2021'!ET37</f>
        <v>0</v>
      </c>
      <c r="ER37" s="230">
        <f>'[1]May - 2021'!EU37</f>
        <v>0</v>
      </c>
      <c r="ES37" s="426"/>
      <c r="ET37" s="284">
        <f>'[1]May - 2021'!EW37</f>
        <v>0</v>
      </c>
      <c r="EU37" s="278">
        <f>'[1]May - 2021'!EX37</f>
        <v>0</v>
      </c>
      <c r="EV37" s="285">
        <f>'[1]May - 2021'!EY37</f>
        <v>0</v>
      </c>
      <c r="EW37" s="278">
        <f>'[1]May - 2021'!EZ37</f>
        <v>0</v>
      </c>
      <c r="EX37" s="285">
        <f>'[1]May - 2021'!FA37</f>
        <v>0</v>
      </c>
      <c r="EY37" s="278">
        <f>'[1]May - 2021'!FB37</f>
        <v>0</v>
      </c>
      <c r="EZ37" s="285">
        <f>'[1]May - 2021'!FC37</f>
        <v>0</v>
      </c>
      <c r="FA37" s="278">
        <f>'[1]May - 2021'!FD37</f>
        <v>0</v>
      </c>
      <c r="FB37" s="285">
        <f>'[1]May - 2021'!FE37</f>
        <v>0</v>
      </c>
      <c r="FC37" s="279">
        <f>'[1]May - 2021'!FF37</f>
        <v>0</v>
      </c>
    </row>
    <row r="38" spans="1:160" ht="30" customHeight="1" x14ac:dyDescent="0.25">
      <c r="A38" s="207">
        <v>43859</v>
      </c>
      <c r="B38" s="209">
        <f>'[1]May - 2021'!B38</f>
        <v>0</v>
      </c>
      <c r="C38" s="250">
        <f>'[1]May - 2021'!E38</f>
        <v>0</v>
      </c>
      <c r="D38" s="170">
        <f>'[1]May - 2021'!F38</f>
        <v>0</v>
      </c>
      <c r="E38" s="168">
        <f>'[1]May - 2021'!G38</f>
        <v>368</v>
      </c>
      <c r="F38" s="168">
        <f>'[1]May - 2021'!H38</f>
        <v>0</v>
      </c>
      <c r="G38" s="170">
        <f>'[1]May - 2021'!I38</f>
        <v>0</v>
      </c>
      <c r="H38" s="168">
        <f>'[1]May - 2021'!J38</f>
        <v>206</v>
      </c>
      <c r="I38" s="168">
        <f>'[1]May - 2021'!K38</f>
        <v>0</v>
      </c>
      <c r="J38" s="170">
        <f>'[1]May - 2021'!L38</f>
        <v>0</v>
      </c>
      <c r="K38" s="168">
        <f>'[1]May - 2021'!N38</f>
        <v>0</v>
      </c>
      <c r="L38" s="170">
        <f>'[1]May - 2021'!O38</f>
        <v>0</v>
      </c>
      <c r="M38" s="168">
        <f>'[1]May - 2021'!Q38</f>
        <v>0</v>
      </c>
      <c r="N38" s="170">
        <f>'[1]May - 2021'!R38</f>
        <v>0</v>
      </c>
      <c r="O38" s="168">
        <f>'[1]May - 2021'!S38</f>
        <v>0</v>
      </c>
      <c r="P38" s="170">
        <f>'[1]May - 2021'!T38</f>
        <v>0</v>
      </c>
      <c r="Q38" s="168">
        <f>'[1]May - 2021'!U38</f>
        <v>97</v>
      </c>
      <c r="R38" s="168">
        <f>'[1]May - 2021'!V38</f>
        <v>0</v>
      </c>
      <c r="S38" s="208">
        <f>'[1]May - 2021'!W38</f>
        <v>0</v>
      </c>
      <c r="T38" s="521"/>
      <c r="U38" s="169">
        <f>'[1]May - 2021'!AC38</f>
        <v>0</v>
      </c>
      <c r="V38" s="291">
        <f>'[1]May - 2021'!AD38</f>
        <v>0</v>
      </c>
      <c r="W38" s="92">
        <f>'[1]May - 2021'!AD38</f>
        <v>0</v>
      </c>
      <c r="X38" s="290">
        <f>'[1]May - 2021'!AF38</f>
        <v>0</v>
      </c>
      <c r="Y38" s="291">
        <f>'[1]May - 2021'!AG38</f>
        <v>0</v>
      </c>
      <c r="Z38" s="92">
        <f>'[1]May - 2021'!AG38</f>
        <v>0</v>
      </c>
      <c r="AA38" s="290">
        <f>'[1]May - 2021'!AI38</f>
        <v>0</v>
      </c>
      <c r="AB38" s="291">
        <f>'[1]May - 2021'!AJ38</f>
        <v>0</v>
      </c>
      <c r="AC38" s="92">
        <f>'[1]May - 2021'!AJ38</f>
        <v>0</v>
      </c>
      <c r="AD38" s="290">
        <f>'[1]May - 2021'!AL38</f>
        <v>0</v>
      </c>
      <c r="AE38" s="291">
        <f>'[1]May - 2021'!AM38</f>
        <v>0</v>
      </c>
      <c r="AF38" s="92">
        <f>'[1]May - 2021'!AM38</f>
        <v>0</v>
      </c>
      <c r="AG38" s="290">
        <f>'[1]May - 2021'!AO38</f>
        <v>0</v>
      </c>
      <c r="AH38" s="291">
        <f>'[1]May - 2021'!AP38</f>
        <v>0</v>
      </c>
      <c r="AI38" s="92">
        <f>'[1]May - 2021'!AP38</f>
        <v>0</v>
      </c>
      <c r="AJ38" s="290">
        <f>'[1]May - 2021'!AR38</f>
        <v>0</v>
      </c>
      <c r="AK38" s="291">
        <f>'[1]May - 2021'!AS38</f>
        <v>0</v>
      </c>
      <c r="AL38" s="92">
        <f>'[1]May - 2021'!AS38</f>
        <v>0</v>
      </c>
      <c r="AM38" s="290">
        <f>'[1]May - 2021'!AU38</f>
        <v>0</v>
      </c>
      <c r="AN38" s="291">
        <f>'[1]May - 2021'!AV38</f>
        <v>0</v>
      </c>
      <c r="AO38" s="92">
        <f>'[1]May - 2021'!AV38</f>
        <v>0</v>
      </c>
      <c r="AP38" s="290">
        <f>'[1]May - 2021'!AX38</f>
        <v>0</v>
      </c>
      <c r="AQ38" s="291">
        <f>'[1]May - 2021'!AY38</f>
        <v>0</v>
      </c>
      <c r="AR38" s="92">
        <f>'[1]May - 2021'!AY38</f>
        <v>0</v>
      </c>
      <c r="AS38" s="290">
        <f>'[1]May - 2021'!BA38</f>
        <v>0</v>
      </c>
      <c r="AT38" s="291">
        <f>'[1]May - 2021'!BB38</f>
        <v>0</v>
      </c>
      <c r="AU38" s="92">
        <f>'[1]May - 2021'!BB38</f>
        <v>0</v>
      </c>
      <c r="AV38" s="290">
        <f>'[1]May - 2021'!BD38</f>
        <v>0</v>
      </c>
      <c r="AW38" s="252">
        <f>'[1]May - 2021'!BE38</f>
        <v>0</v>
      </c>
      <c r="AX38" s="253">
        <f>'[1]May - 2021'!BE38</f>
        <v>0</v>
      </c>
      <c r="AY38" s="487"/>
      <c r="AZ38" s="272">
        <f>'[1]May - 2021'!BK38</f>
        <v>0</v>
      </c>
      <c r="BA38" s="179">
        <f>'[1]May - 2021'!BL38</f>
        <v>0</v>
      </c>
      <c r="BB38" s="93">
        <f>'[1]May - 2021'!BL38</f>
        <v>0</v>
      </c>
      <c r="BC38" s="272">
        <f>'[1]May - 2021'!BN38</f>
        <v>0</v>
      </c>
      <c r="BD38" s="245">
        <f>'[1]May - 2021'!BO38</f>
        <v>0</v>
      </c>
      <c r="BE38" s="93">
        <f>'[1]May - 2021'!BO38</f>
        <v>0</v>
      </c>
      <c r="BF38" s="272">
        <f>'[1]May - 2021'!BQ38</f>
        <v>0</v>
      </c>
      <c r="BG38" s="245">
        <f>'[1]May - 2021'!BR38</f>
        <v>0</v>
      </c>
      <c r="BH38" s="93">
        <f>'[1]May - 2021'!BR38</f>
        <v>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3">
        <f>'[1]May - 2021'!BT38</f>
        <v>0</v>
      </c>
      <c r="BT38" s="185">
        <f>'[1]May - 2021'!BU38</f>
        <v>0</v>
      </c>
      <c r="BU38" s="394"/>
      <c r="BV38" s="88">
        <f>'[1]May - 2021'!BW38</f>
        <v>0</v>
      </c>
      <c r="BW38" s="241">
        <f>'[1]May - 2021'!BX38</f>
        <v>0</v>
      </c>
      <c r="BX38" s="88">
        <f>'[1]May - 2021'!BX38</f>
        <v>0</v>
      </c>
      <c r="BY38" s="89">
        <f>'[1]May - 2021'!BZ38</f>
        <v>0</v>
      </c>
      <c r="BZ38" s="191">
        <f>'[1]May - 2021'!CA38</f>
        <v>0</v>
      </c>
      <c r="CA38" s="89">
        <f>'[1]May - 2021'!CB38</f>
        <v>0</v>
      </c>
      <c r="CB38" s="191">
        <f>'[1]May - 2021'!CC38</f>
        <v>0</v>
      </c>
      <c r="CC38" s="89">
        <f>'[1]May - 2021'!CD38</f>
        <v>0</v>
      </c>
      <c r="CD38" s="191">
        <f>'[1]May - 2021'!CE38</f>
        <v>0</v>
      </c>
      <c r="CE38" s="89">
        <f>'[1]May - 2021'!CF38</f>
        <v>0</v>
      </c>
      <c r="CF38" s="191">
        <f>'[1]May - 2021'!CG38</f>
        <v>0</v>
      </c>
      <c r="CG38" s="89">
        <f>'[1]May - 2021'!CH38</f>
        <v>0</v>
      </c>
      <c r="CH38" s="191">
        <f>'[1]May - 2021'!CI38</f>
        <v>0</v>
      </c>
      <c r="CI38" s="89">
        <f>'[1]May - 2021'!CJ38</f>
        <v>0</v>
      </c>
      <c r="CJ38" s="191">
        <f>'[1]May - 2021'!CK38</f>
        <v>0</v>
      </c>
      <c r="CK38" s="89">
        <f>'[1]May - 2021'!CL38</f>
        <v>0</v>
      </c>
      <c r="CL38" s="246">
        <f>'[1]May - 2021'!CM38</f>
        <v>0</v>
      </c>
      <c r="CM38" s="89">
        <f>'[1]May - 2021'!CM38</f>
        <v>0</v>
      </c>
      <c r="CN38" s="89">
        <f>'[1]May - 2021'!CO38</f>
        <v>0</v>
      </c>
      <c r="CO38" s="246">
        <f>'[1]May - 2021'!CP38</f>
        <v>0</v>
      </c>
      <c r="CP38" s="89">
        <f>'[1]May - 2021'!CP38</f>
        <v>0</v>
      </c>
      <c r="CQ38" s="89">
        <f>'[1]May - 2021'!CR38</f>
        <v>0</v>
      </c>
      <c r="CR38" s="246">
        <f>'[1]May - 2021'!CS38</f>
        <v>0</v>
      </c>
      <c r="CS38" s="89">
        <f>'[1]May - 2021'!CS38</f>
        <v>0</v>
      </c>
      <c r="CT38" s="89">
        <f>'[1]May - 2021'!CU38</f>
        <v>0</v>
      </c>
      <c r="CU38" s="191">
        <f>'[1]May - 2021'!CV38</f>
        <v>0</v>
      </c>
      <c r="CV38" s="454"/>
      <c r="CW38" s="256">
        <f>'[1]May - 2021'!CX38</f>
        <v>0</v>
      </c>
      <c r="CX38" s="198">
        <f>'[1]May - 2021'!CY38</f>
        <v>0</v>
      </c>
      <c r="CY38" s="257">
        <f>'[1]May - 2021'!CZ38</f>
        <v>0</v>
      </c>
      <c r="CZ38" s="198">
        <f>'[1]May - 2021'!DA38</f>
        <v>0</v>
      </c>
      <c r="DA38" s="257">
        <f>'[1]May - 2021'!DB38</f>
        <v>0</v>
      </c>
      <c r="DB38" s="198">
        <f>'[1]May - 2021'!DC38</f>
        <v>0</v>
      </c>
      <c r="DC38" s="257">
        <f>'[1]May - 2021'!DD38</f>
        <v>0</v>
      </c>
      <c r="DD38" s="198">
        <f>'[1]May - 2021'!DE38</f>
        <v>0</v>
      </c>
      <c r="DE38" s="257">
        <f>'[1]May - 2021'!DF38</f>
        <v>0</v>
      </c>
      <c r="DF38" s="198">
        <f>'[1]May - 2021'!DG38</f>
        <v>0</v>
      </c>
      <c r="DG38" s="257">
        <f>'[1]May - 2021'!DH38</f>
        <v>0</v>
      </c>
      <c r="DH38" s="198">
        <f>'[1]May - 2021'!DI38</f>
        <v>0</v>
      </c>
      <c r="DI38" s="257">
        <f>'[1]May - 2021'!DJ38</f>
        <v>0</v>
      </c>
      <c r="DJ38" s="198">
        <f>'[1]May - 2021'!DK38</f>
        <v>0</v>
      </c>
      <c r="DK38" s="257">
        <f>'[1]May - 2021'!DL38</f>
        <v>0</v>
      </c>
      <c r="DL38" s="198">
        <f>'[1]May - 2021'!DM38</f>
        <v>0</v>
      </c>
      <c r="DM38" s="257">
        <f>'[1]May - 2021'!DN38</f>
        <v>0</v>
      </c>
      <c r="DN38" s="198">
        <f>'[1]May - 2021'!DO38</f>
        <v>0</v>
      </c>
      <c r="DO38" s="257">
        <f>'[1]May - 2021'!DP38</f>
        <v>0</v>
      </c>
      <c r="DP38" s="198">
        <f>'[1]May - 2021'!DQ38</f>
        <v>0</v>
      </c>
      <c r="DQ38" s="257">
        <f>'[1]May - 2021'!DR38</f>
        <v>0</v>
      </c>
      <c r="DR38" s="206">
        <f>'[1]May - 2021'!DS38</f>
        <v>0</v>
      </c>
      <c r="DS38" s="439"/>
      <c r="DT38" s="210">
        <f>'[1]May - 2021'!DU38</f>
        <v>0</v>
      </c>
      <c r="DU38" s="221">
        <f>'[1]May - 2021'!DV38</f>
        <v>0</v>
      </c>
      <c r="DV38" s="91">
        <f>'[1]May - 2021'!DW38</f>
        <v>0</v>
      </c>
      <c r="DW38" s="215">
        <f>'[1]May - 2021'!DX38</f>
        <v>0</v>
      </c>
      <c r="DX38" s="91">
        <f>'[1]May - 2021'!DY38</f>
        <v>0</v>
      </c>
      <c r="DY38" s="215">
        <f>'[1]May - 2021'!DZ38</f>
        <v>0</v>
      </c>
      <c r="DZ38" s="91">
        <f>'[1]May - 2021'!EA38</f>
        <v>0</v>
      </c>
      <c r="EA38" s="215">
        <f>'[1]May - 2021'!EB38</f>
        <v>0</v>
      </c>
      <c r="EB38" s="91">
        <f>'[1]May - 2021'!EC38</f>
        <v>0</v>
      </c>
      <c r="EC38" s="215">
        <f>'[1]May - 2021'!ED38</f>
        <v>0</v>
      </c>
      <c r="ED38" s="91">
        <f>'[1]May - 2021'!EG38</f>
        <v>0</v>
      </c>
      <c r="EE38" s="229">
        <f>'[1]May - 2021'!EH38</f>
        <v>0</v>
      </c>
      <c r="EF38" s="378"/>
      <c r="EG38" s="235">
        <f>'[1]May - 2021'!EJ38</f>
        <v>0</v>
      </c>
      <c r="EH38" s="230">
        <f>'[1]May - 2021'!EK38</f>
        <v>0</v>
      </c>
      <c r="EI38" s="90">
        <f>'[1]May - 2021'!EL38</f>
        <v>0</v>
      </c>
      <c r="EJ38" s="230">
        <f>'[1]May - 2021'!EM38</f>
        <v>0</v>
      </c>
      <c r="EK38" s="90">
        <f>'[1]May - 2021'!EN38</f>
        <v>0</v>
      </c>
      <c r="EL38" s="230">
        <f>'[1]May - 2021'!EO38</f>
        <v>0</v>
      </c>
      <c r="EM38" s="90">
        <f>'[1]May - 2021'!EP38</f>
        <v>0</v>
      </c>
      <c r="EN38" s="230">
        <f>'[1]May - 2021'!EQ38</f>
        <v>0</v>
      </c>
      <c r="EO38" s="90">
        <f>'[1]May - 2021'!ER38</f>
        <v>0</v>
      </c>
      <c r="EP38" s="230">
        <f>'[1]May - 2021'!ES38</f>
        <v>0</v>
      </c>
      <c r="EQ38" s="90">
        <f>'[1]May - 2021'!ET38</f>
        <v>0</v>
      </c>
      <c r="ER38" s="230">
        <f>'[1]May - 2021'!EU38</f>
        <v>0</v>
      </c>
      <c r="ES38" s="426"/>
      <c r="ET38" s="284">
        <f>'[1]May - 2021'!EW38</f>
        <v>0</v>
      </c>
      <c r="EU38" s="278">
        <f>'[1]May - 2021'!EX38</f>
        <v>0</v>
      </c>
      <c r="EV38" s="285">
        <f>'[1]May - 2021'!EY38</f>
        <v>0</v>
      </c>
      <c r="EW38" s="278">
        <f>'[1]May - 2021'!EZ38</f>
        <v>0</v>
      </c>
      <c r="EX38" s="285">
        <f>'[1]May - 2021'!FA38</f>
        <v>0</v>
      </c>
      <c r="EY38" s="278">
        <f>'[1]May - 2021'!FB38</f>
        <v>0</v>
      </c>
      <c r="EZ38" s="285">
        <f>'[1]May - 2021'!FC38</f>
        <v>0</v>
      </c>
      <c r="FA38" s="278">
        <f>'[1]May - 2021'!FD38</f>
        <v>0</v>
      </c>
      <c r="FB38" s="285">
        <f>'[1]May - 2021'!FE38</f>
        <v>0</v>
      </c>
      <c r="FC38" s="279">
        <f>'[1]May - 2021'!FF38</f>
        <v>0</v>
      </c>
    </row>
    <row r="39" spans="1:160" ht="30" customHeight="1" x14ac:dyDescent="0.25">
      <c r="A39" s="207">
        <v>43860</v>
      </c>
      <c r="B39" s="209">
        <f>'[1]May - 2021'!B39</f>
        <v>0</v>
      </c>
      <c r="C39" s="250">
        <f>'[1]May - 2021'!E39</f>
        <v>0</v>
      </c>
      <c r="D39" s="170">
        <f>'[1]May - 2021'!F39</f>
        <v>0</v>
      </c>
      <c r="E39" s="168">
        <f>'[1]May - 2021'!G39</f>
        <v>393</v>
      </c>
      <c r="F39" s="168">
        <f>'[1]May - 2021'!H39</f>
        <v>0</v>
      </c>
      <c r="G39" s="170">
        <f>'[1]May - 2021'!I39</f>
        <v>0</v>
      </c>
      <c r="H39" s="168">
        <f>'[1]May - 2021'!J39</f>
        <v>206</v>
      </c>
      <c r="I39" s="168">
        <f>'[1]May - 2021'!K39</f>
        <v>0</v>
      </c>
      <c r="J39" s="170">
        <f>'[1]May - 2021'!L39</f>
        <v>0</v>
      </c>
      <c r="K39" s="168">
        <f>'[1]May - 2021'!N39</f>
        <v>0</v>
      </c>
      <c r="L39" s="170">
        <f>'[1]May - 2021'!O39</f>
        <v>0</v>
      </c>
      <c r="M39" s="168">
        <f>'[1]May - 2021'!Q39</f>
        <v>0</v>
      </c>
      <c r="N39" s="170">
        <f>'[1]May - 2021'!R39</f>
        <v>0</v>
      </c>
      <c r="O39" s="168">
        <f>'[1]May - 2021'!S39</f>
        <v>0</v>
      </c>
      <c r="P39" s="170">
        <f>'[1]May - 2021'!T39</f>
        <v>0</v>
      </c>
      <c r="Q39" s="168">
        <f>'[1]May - 2021'!U39</f>
        <v>179</v>
      </c>
      <c r="R39" s="168">
        <f>'[1]May - 2021'!V39</f>
        <v>0</v>
      </c>
      <c r="S39" s="208">
        <f>'[1]May - 2021'!W39</f>
        <v>0</v>
      </c>
      <c r="T39" s="521"/>
      <c r="U39" s="169">
        <f>'[1]May - 2021'!AC39</f>
        <v>0</v>
      </c>
      <c r="V39" s="291">
        <f>'[1]May - 2021'!AD39</f>
        <v>0</v>
      </c>
      <c r="W39" s="92">
        <f>'[1]May - 2021'!AD39</f>
        <v>0</v>
      </c>
      <c r="X39" s="290">
        <f>'[1]May - 2021'!AF39</f>
        <v>0</v>
      </c>
      <c r="Y39" s="291">
        <f>'[1]May - 2021'!AG39</f>
        <v>0</v>
      </c>
      <c r="Z39" s="92">
        <f>'[1]May - 2021'!AG39</f>
        <v>0</v>
      </c>
      <c r="AA39" s="290">
        <f>'[1]May - 2021'!AI39</f>
        <v>0</v>
      </c>
      <c r="AB39" s="291">
        <f>'[1]May - 2021'!AJ39</f>
        <v>0</v>
      </c>
      <c r="AC39" s="92">
        <f>'[1]May - 2021'!AJ39</f>
        <v>0</v>
      </c>
      <c r="AD39" s="290">
        <f>'[1]May - 2021'!AL39</f>
        <v>0</v>
      </c>
      <c r="AE39" s="291">
        <f>'[1]May - 2021'!AM39</f>
        <v>0</v>
      </c>
      <c r="AF39" s="92">
        <f>'[1]May - 2021'!AM39</f>
        <v>0</v>
      </c>
      <c r="AG39" s="290">
        <f>'[1]May - 2021'!AO39</f>
        <v>0</v>
      </c>
      <c r="AH39" s="291">
        <f>'[1]May - 2021'!AP39</f>
        <v>0</v>
      </c>
      <c r="AI39" s="92">
        <f>'[1]May - 2021'!AP39</f>
        <v>0</v>
      </c>
      <c r="AJ39" s="290">
        <f>'[1]May - 2021'!AR39</f>
        <v>0</v>
      </c>
      <c r="AK39" s="291">
        <f>'[1]May - 2021'!AS39</f>
        <v>0</v>
      </c>
      <c r="AL39" s="92">
        <f>'[1]May - 2021'!AS39</f>
        <v>0</v>
      </c>
      <c r="AM39" s="290">
        <f>'[1]May - 2021'!AU39</f>
        <v>0</v>
      </c>
      <c r="AN39" s="291">
        <f>'[1]May - 2021'!AV39</f>
        <v>0</v>
      </c>
      <c r="AO39" s="92">
        <f>'[1]May - 2021'!AV39</f>
        <v>0</v>
      </c>
      <c r="AP39" s="290">
        <f>'[1]May - 2021'!AX39</f>
        <v>0</v>
      </c>
      <c r="AQ39" s="291">
        <f>'[1]May - 2021'!AY39</f>
        <v>0</v>
      </c>
      <c r="AR39" s="92">
        <f>'[1]May - 2021'!AY39</f>
        <v>0</v>
      </c>
      <c r="AS39" s="290">
        <f>'[1]May - 2021'!BA39</f>
        <v>0</v>
      </c>
      <c r="AT39" s="291">
        <f>'[1]May - 2021'!BB39</f>
        <v>0</v>
      </c>
      <c r="AU39" s="92">
        <f>'[1]May - 2021'!BB39</f>
        <v>0</v>
      </c>
      <c r="AV39" s="290">
        <f>'[1]May - 2021'!BD39</f>
        <v>0</v>
      </c>
      <c r="AW39" s="252">
        <f>'[1]May - 2021'!BE39</f>
        <v>0</v>
      </c>
      <c r="AX39" s="253">
        <f>'[1]May - 2021'!BE39</f>
        <v>0</v>
      </c>
      <c r="AY39" s="487"/>
      <c r="AZ39" s="272">
        <f>'[1]May - 2021'!BK39</f>
        <v>0</v>
      </c>
      <c r="BA39" s="179">
        <f>'[1]May - 2021'!BL39</f>
        <v>0</v>
      </c>
      <c r="BB39" s="93">
        <f>'[1]May - 2021'!BL39</f>
        <v>0</v>
      </c>
      <c r="BC39" s="272">
        <f>'[1]May - 2021'!BN39</f>
        <v>0</v>
      </c>
      <c r="BD39" s="245">
        <f>'[1]May - 2021'!BO39</f>
        <v>0</v>
      </c>
      <c r="BE39" s="93">
        <f>'[1]May - 2021'!BO39</f>
        <v>0</v>
      </c>
      <c r="BF39" s="272">
        <f>'[1]May - 2021'!BQ39</f>
        <v>0</v>
      </c>
      <c r="BG39" s="245">
        <f>'[1]May - 2021'!BR39</f>
        <v>0</v>
      </c>
      <c r="BH39" s="93">
        <f>'[1]May - 2021'!BR39</f>
        <v>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3">
        <f>'[1]May - 2021'!BT39</f>
        <v>0</v>
      </c>
      <c r="BT39" s="185">
        <f>'[1]May - 2021'!BU39</f>
        <v>0</v>
      </c>
      <c r="BU39" s="395"/>
      <c r="BV39" s="88">
        <f>'[1]May - 2021'!BW39</f>
        <v>0</v>
      </c>
      <c r="BW39" s="241">
        <f>'[1]May - 2021'!BX39</f>
        <v>0</v>
      </c>
      <c r="BX39" s="88">
        <f>'[1]May - 2021'!BX39</f>
        <v>0</v>
      </c>
      <c r="BY39" s="89">
        <f>'[1]May - 2021'!BZ39</f>
        <v>0</v>
      </c>
      <c r="BZ39" s="191">
        <f>'[1]May - 2021'!CA39</f>
        <v>0</v>
      </c>
      <c r="CA39" s="89">
        <f>'[1]May - 2021'!CB39</f>
        <v>0</v>
      </c>
      <c r="CB39" s="191">
        <f>'[1]May - 2021'!CC39</f>
        <v>0</v>
      </c>
      <c r="CC39" s="89">
        <f>'[1]May - 2021'!CD39</f>
        <v>0</v>
      </c>
      <c r="CD39" s="191">
        <f>'[1]May - 2021'!CE39</f>
        <v>0</v>
      </c>
      <c r="CE39" s="89">
        <f>'[1]May - 2021'!CF39</f>
        <v>0</v>
      </c>
      <c r="CF39" s="191">
        <f>'[1]May - 2021'!CG39</f>
        <v>0</v>
      </c>
      <c r="CG39" s="89">
        <f>'[1]May - 2021'!CH39</f>
        <v>0</v>
      </c>
      <c r="CH39" s="191">
        <f>'[1]May - 2021'!CI39</f>
        <v>0</v>
      </c>
      <c r="CI39" s="89">
        <f>'[1]May - 2021'!CJ39</f>
        <v>0</v>
      </c>
      <c r="CJ39" s="191">
        <f>'[1]May - 2021'!CK39</f>
        <v>0</v>
      </c>
      <c r="CK39" s="89">
        <f>'[1]May - 2021'!CL39</f>
        <v>0</v>
      </c>
      <c r="CL39" s="246">
        <f>'[1]May - 2021'!CM39</f>
        <v>0</v>
      </c>
      <c r="CM39" s="89">
        <f>'[1]May - 2021'!CM39</f>
        <v>0</v>
      </c>
      <c r="CN39" s="89">
        <f>'[1]May - 2021'!CO39</f>
        <v>0</v>
      </c>
      <c r="CO39" s="246">
        <f>'[1]May - 2021'!CP39</f>
        <v>0</v>
      </c>
      <c r="CP39" s="89">
        <f>'[1]May - 2021'!CP39</f>
        <v>0</v>
      </c>
      <c r="CQ39" s="89">
        <f>'[1]May - 2021'!CR39</f>
        <v>0</v>
      </c>
      <c r="CR39" s="246">
        <f>'[1]May - 2021'!CS39</f>
        <v>0</v>
      </c>
      <c r="CS39" s="89">
        <f>'[1]May - 2021'!CS39</f>
        <v>0</v>
      </c>
      <c r="CT39" s="89">
        <f>'[1]May - 2021'!CU39</f>
        <v>0</v>
      </c>
      <c r="CU39" s="191">
        <f>'[1]May - 2021'!CV39</f>
        <v>0</v>
      </c>
      <c r="CV39" s="454"/>
      <c r="CW39" s="256">
        <f>'[1]May - 2021'!CX39</f>
        <v>0</v>
      </c>
      <c r="CX39" s="198">
        <f>'[1]May - 2021'!CY39</f>
        <v>0</v>
      </c>
      <c r="CY39" s="257">
        <f>'[1]May - 2021'!CZ39</f>
        <v>0</v>
      </c>
      <c r="CZ39" s="198">
        <f>'[1]May - 2021'!DA39</f>
        <v>0</v>
      </c>
      <c r="DA39" s="257">
        <f>'[1]May - 2021'!DB39</f>
        <v>0</v>
      </c>
      <c r="DB39" s="198">
        <f>'[1]May - 2021'!DC39</f>
        <v>0</v>
      </c>
      <c r="DC39" s="257">
        <f>'[1]May - 2021'!DD39</f>
        <v>0</v>
      </c>
      <c r="DD39" s="198">
        <f>'[1]May - 2021'!DE39</f>
        <v>0</v>
      </c>
      <c r="DE39" s="257">
        <f>'[1]May - 2021'!DF39</f>
        <v>0</v>
      </c>
      <c r="DF39" s="198">
        <f>'[1]May - 2021'!DG39</f>
        <v>0</v>
      </c>
      <c r="DG39" s="257">
        <f>'[1]May - 2021'!DH39</f>
        <v>0</v>
      </c>
      <c r="DH39" s="198">
        <f>'[1]May - 2021'!DI39</f>
        <v>0</v>
      </c>
      <c r="DI39" s="257">
        <f>'[1]May - 2021'!DJ39</f>
        <v>0</v>
      </c>
      <c r="DJ39" s="198">
        <f>'[1]May - 2021'!DK39</f>
        <v>0</v>
      </c>
      <c r="DK39" s="257">
        <f>'[1]May - 2021'!DL39</f>
        <v>0</v>
      </c>
      <c r="DL39" s="198">
        <f>'[1]May - 2021'!DM39</f>
        <v>0</v>
      </c>
      <c r="DM39" s="257">
        <f>'[1]May - 2021'!DN39</f>
        <v>0</v>
      </c>
      <c r="DN39" s="198">
        <f>'[1]May - 2021'!DO39</f>
        <v>0</v>
      </c>
      <c r="DO39" s="257">
        <f>'[1]May - 2021'!DP39</f>
        <v>0</v>
      </c>
      <c r="DP39" s="198">
        <f>'[1]May - 2021'!DQ39</f>
        <v>0</v>
      </c>
      <c r="DQ39" s="257">
        <f>'[1]May - 2021'!DR39</f>
        <v>0</v>
      </c>
      <c r="DR39" s="206">
        <f>'[1]May - 2021'!DS39</f>
        <v>0</v>
      </c>
      <c r="DS39" s="439"/>
      <c r="DT39" s="210">
        <f>'[1]May - 2021'!DU39</f>
        <v>0</v>
      </c>
      <c r="DU39" s="221">
        <f>'[1]May - 2021'!DV39</f>
        <v>0</v>
      </c>
      <c r="DV39" s="91">
        <f>'[1]May - 2021'!DW39</f>
        <v>0</v>
      </c>
      <c r="DW39" s="215">
        <f>'[1]May - 2021'!DX39</f>
        <v>0</v>
      </c>
      <c r="DX39" s="91">
        <f>'[1]May - 2021'!DY39</f>
        <v>0</v>
      </c>
      <c r="DY39" s="215">
        <f>'[1]May - 2021'!DZ39</f>
        <v>0</v>
      </c>
      <c r="DZ39" s="91">
        <f>'[1]May - 2021'!EA39</f>
        <v>0</v>
      </c>
      <c r="EA39" s="215">
        <f>'[1]May - 2021'!EB39</f>
        <v>0</v>
      </c>
      <c r="EB39" s="91">
        <f>'[1]May - 2021'!EC39</f>
        <v>0</v>
      </c>
      <c r="EC39" s="215">
        <f>'[1]May - 2021'!ED39</f>
        <v>0</v>
      </c>
      <c r="ED39" s="91">
        <f>'[1]May - 2021'!EG39</f>
        <v>0</v>
      </c>
      <c r="EE39" s="229">
        <f>'[1]May - 2021'!EH39</f>
        <v>0</v>
      </c>
      <c r="EF39" s="378"/>
      <c r="EG39" s="235">
        <f>'[1]May - 2021'!EJ39</f>
        <v>0</v>
      </c>
      <c r="EH39" s="230">
        <f>'[1]May - 2021'!EK39</f>
        <v>0</v>
      </c>
      <c r="EI39" s="90">
        <f>'[1]May - 2021'!EL39</f>
        <v>0</v>
      </c>
      <c r="EJ39" s="230">
        <f>'[1]May - 2021'!EM39</f>
        <v>0</v>
      </c>
      <c r="EK39" s="90">
        <f>'[1]May - 2021'!EN39</f>
        <v>0</v>
      </c>
      <c r="EL39" s="230">
        <f>'[1]May - 2021'!EO39</f>
        <v>0</v>
      </c>
      <c r="EM39" s="90">
        <f>'[1]May - 2021'!EP39</f>
        <v>0</v>
      </c>
      <c r="EN39" s="230">
        <f>'[1]May - 2021'!EQ39</f>
        <v>0</v>
      </c>
      <c r="EO39" s="90">
        <f>'[1]May - 2021'!ER39</f>
        <v>0</v>
      </c>
      <c r="EP39" s="230">
        <f>'[1]May - 2021'!ES39</f>
        <v>0</v>
      </c>
      <c r="EQ39" s="90">
        <f>'[1]May - 2021'!ET39</f>
        <v>0</v>
      </c>
      <c r="ER39" s="230">
        <f>'[1]May - 2021'!EU39</f>
        <v>0</v>
      </c>
      <c r="ES39" s="426"/>
      <c r="ET39" s="284">
        <f>'[1]May - 2021'!EW39</f>
        <v>0</v>
      </c>
      <c r="EU39" s="278">
        <f>'[1]May - 2021'!EX39</f>
        <v>0</v>
      </c>
      <c r="EV39" s="285">
        <f>'[1]May - 2021'!EY39</f>
        <v>0</v>
      </c>
      <c r="EW39" s="278">
        <f>'[1]May - 2021'!EZ39</f>
        <v>0</v>
      </c>
      <c r="EX39" s="285">
        <f>'[1]May - 2021'!FA39</f>
        <v>0</v>
      </c>
      <c r="EY39" s="278">
        <f>'[1]May - 2021'!FB39</f>
        <v>0</v>
      </c>
      <c r="EZ39" s="285">
        <f>'[1]May - 2021'!FC39</f>
        <v>0</v>
      </c>
      <c r="FA39" s="278">
        <f>'[1]May - 2021'!FD39</f>
        <v>0</v>
      </c>
      <c r="FB39" s="285">
        <f>'[1]May - 2021'!FE39</f>
        <v>0</v>
      </c>
      <c r="FC39" s="279">
        <f>'[1]May - 2021'!FF39</f>
        <v>0</v>
      </c>
    </row>
    <row r="40" spans="1:160" ht="30" customHeight="1" thickBot="1" x14ac:dyDescent="0.45">
      <c r="A40" s="207">
        <v>43861</v>
      </c>
      <c r="B40" s="298">
        <f>'[1]May - 2021'!B40</f>
        <v>0</v>
      </c>
      <c r="C40" s="250">
        <f>'[1]May - 2021'!E40</f>
        <v>0</v>
      </c>
      <c r="D40" s="170">
        <f>'[1]May - 2021'!F40</f>
        <v>0</v>
      </c>
      <c r="E40" s="168">
        <f>'[1]May - 2021'!G40</f>
        <v>284</v>
      </c>
      <c r="F40" s="168">
        <f>'[1]May - 2021'!H40</f>
        <v>0</v>
      </c>
      <c r="G40" s="170">
        <f>'[1]May - 2021'!I40</f>
        <v>0</v>
      </c>
      <c r="H40" s="168">
        <f>'[1]May - 2021'!J40</f>
        <v>164</v>
      </c>
      <c r="I40" s="168">
        <f>'[1]May - 2021'!K40</f>
        <v>0</v>
      </c>
      <c r="J40" s="170">
        <f>'[1]May - 2021'!L40</f>
        <v>0</v>
      </c>
      <c r="K40" s="168">
        <f>'[1]May - 2021'!N40</f>
        <v>0</v>
      </c>
      <c r="L40" s="170">
        <f>'[1]May - 2021'!O40</f>
        <v>0</v>
      </c>
      <c r="M40" s="168">
        <f>'[1]May - 2021'!Q40</f>
        <v>0</v>
      </c>
      <c r="N40" s="170">
        <f>'[1]May - 2021'!R40</f>
        <v>0</v>
      </c>
      <c r="O40" s="168">
        <f>'[1]May - 2021'!S40</f>
        <v>0</v>
      </c>
      <c r="P40" s="170">
        <f>'[1]May - 2021'!T40</f>
        <v>0</v>
      </c>
      <c r="Q40" s="168">
        <f>'[1]May - 2021'!U40</f>
        <v>169</v>
      </c>
      <c r="R40" s="168">
        <f>'[1]May - 2021'!V40</f>
        <v>0</v>
      </c>
      <c r="S40" s="208">
        <f>'[1]May - 2021'!W40</f>
        <v>0</v>
      </c>
      <c r="T40" s="287"/>
      <c r="U40" s="294">
        <f>'[1]May - 2021'!AC40</f>
        <v>0</v>
      </c>
      <c r="V40" s="295">
        <f>'[1]May - 2021'!AD40</f>
        <v>0</v>
      </c>
      <c r="W40" s="296">
        <f>'[1]May - 2021'!AD40</f>
        <v>0</v>
      </c>
      <c r="X40" s="297">
        <f>'[1]May - 2021'!AF40</f>
        <v>0</v>
      </c>
      <c r="Y40" s="295">
        <f>'[1]May - 2021'!AG40</f>
        <v>0</v>
      </c>
      <c r="Z40" s="296">
        <f>'[1]May - 2021'!AG40</f>
        <v>0</v>
      </c>
      <c r="AA40" s="297">
        <f>'[1]May - 2021'!AI40</f>
        <v>0</v>
      </c>
      <c r="AB40" s="295">
        <f>'[1]May - 2021'!AJ40</f>
        <v>0</v>
      </c>
      <c r="AC40" s="296">
        <f>'[1]May - 2021'!AJ40</f>
        <v>0</v>
      </c>
      <c r="AD40" s="297">
        <f>'[1]May - 2021'!AL40</f>
        <v>0</v>
      </c>
      <c r="AE40" s="295">
        <f>'[1]May - 2021'!AM40</f>
        <v>0</v>
      </c>
      <c r="AF40" s="296">
        <f>'[1]May - 2021'!AM40</f>
        <v>0</v>
      </c>
      <c r="AG40" s="297">
        <f>'[1]May - 2021'!AO40</f>
        <v>0</v>
      </c>
      <c r="AH40" s="295">
        <f>'[1]May - 2021'!AP40</f>
        <v>0</v>
      </c>
      <c r="AI40" s="296">
        <f>'[1]May - 2021'!AP40</f>
        <v>0</v>
      </c>
      <c r="AJ40" s="297">
        <f>'[1]May - 2021'!AR40</f>
        <v>0</v>
      </c>
      <c r="AK40" s="295">
        <f>'[1]May - 2021'!AS40</f>
        <v>0</v>
      </c>
      <c r="AL40" s="296">
        <f>'[1]May - 2021'!AS40</f>
        <v>0</v>
      </c>
      <c r="AM40" s="297">
        <f>'[1]May - 2021'!AU40</f>
        <v>0</v>
      </c>
      <c r="AN40" s="295">
        <f>'[1]May - 2021'!AV40</f>
        <v>0</v>
      </c>
      <c r="AO40" s="296">
        <f>'[1]May - 2021'!AV40</f>
        <v>0</v>
      </c>
      <c r="AP40" s="297">
        <f>'[1]May - 2021'!AX40</f>
        <v>0</v>
      </c>
      <c r="AQ40" s="295">
        <f>'[1]May - 2021'!AY40</f>
        <v>0</v>
      </c>
      <c r="AR40" s="296">
        <f>'[1]May - 2021'!AY40</f>
        <v>0</v>
      </c>
      <c r="AS40" s="297">
        <f>'[1]May - 2021'!BA40</f>
        <v>0</v>
      </c>
      <c r="AT40" s="295">
        <f>'[1]May - 2021'!BB40</f>
        <v>0</v>
      </c>
      <c r="AU40" s="296">
        <f>'[1]May - 2021'!BB40</f>
        <v>0</v>
      </c>
      <c r="AV40" s="297">
        <f>'[1]May - 2021'!BD40</f>
        <v>0</v>
      </c>
      <c r="AW40" s="252">
        <f>'[1]May - 2021'!BE40</f>
        <v>0</v>
      </c>
      <c r="AX40" s="253">
        <f>'[1]May - 2021'!BE40</f>
        <v>0</v>
      </c>
      <c r="AY40" s="288"/>
      <c r="AZ40" s="272">
        <f>'[1]May - 2021'!BK40</f>
        <v>0</v>
      </c>
      <c r="BA40" s="179">
        <f>'[1]May - 2021'!BL40</f>
        <v>0</v>
      </c>
      <c r="BB40" s="93">
        <f>'[1]May - 2021'!BL40</f>
        <v>0</v>
      </c>
      <c r="BC40" s="272">
        <f>'[1]May - 2021'!BN40</f>
        <v>0</v>
      </c>
      <c r="BD40" s="245">
        <f>'[1]May - 2021'!BO40</f>
        <v>0</v>
      </c>
      <c r="BE40" s="93">
        <f>'[1]May - 2021'!BO40</f>
        <v>0</v>
      </c>
      <c r="BF40" s="272">
        <f>'[1]May - 2021'!BQ40</f>
        <v>0</v>
      </c>
      <c r="BG40" s="245">
        <f>'[1]May - 2021'!BR40</f>
        <v>0</v>
      </c>
      <c r="BH40" s="93">
        <f>'[1]May - 2021'!BR40</f>
        <v>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3">
        <f>'[1]May - 2021'!BT40</f>
        <v>0</v>
      </c>
      <c r="BT40" s="185">
        <f>'[1]May - 2021'!BU40</f>
        <v>0</v>
      </c>
      <c r="BU40" s="289"/>
      <c r="BV40" s="88">
        <f>'[1]May - 2021'!BW40</f>
        <v>0</v>
      </c>
      <c r="BW40" s="241">
        <f>'[1]May - 2021'!BX40</f>
        <v>0</v>
      </c>
      <c r="BX40" s="88">
        <f>'[1]May - 2021'!BX40</f>
        <v>0</v>
      </c>
      <c r="BY40" s="89">
        <f>'[1]May - 2021'!BZ40</f>
        <v>0</v>
      </c>
      <c r="BZ40" s="191">
        <f>'[1]May - 2021'!CA40</f>
        <v>0</v>
      </c>
      <c r="CA40" s="89">
        <f>'[1]May - 2021'!CB40</f>
        <v>0</v>
      </c>
      <c r="CB40" s="191">
        <f>'[1]May - 2021'!CC40</f>
        <v>0</v>
      </c>
      <c r="CC40" s="89">
        <f>'[1]May - 2021'!CD40</f>
        <v>0</v>
      </c>
      <c r="CD40" s="191">
        <f>'[1]May - 2021'!CE40</f>
        <v>0</v>
      </c>
      <c r="CE40" s="89">
        <f>'[1]May - 2021'!CF40</f>
        <v>0</v>
      </c>
      <c r="CF40" s="191">
        <f>'[1]May - 2021'!CG40</f>
        <v>0</v>
      </c>
      <c r="CG40" s="89">
        <f>'[1]May - 2021'!CH40</f>
        <v>0</v>
      </c>
      <c r="CH40" s="191">
        <f>'[1]May - 2021'!CI40</f>
        <v>0</v>
      </c>
      <c r="CI40" s="89">
        <f>'[1]May - 2021'!CJ40</f>
        <v>0</v>
      </c>
      <c r="CJ40" s="191">
        <f>'[1]May - 2021'!CK40</f>
        <v>0</v>
      </c>
      <c r="CK40" s="89">
        <f>'[1]May - 2021'!CL40</f>
        <v>0</v>
      </c>
      <c r="CL40" s="246">
        <f>'[1]May - 2021'!CM40</f>
        <v>0</v>
      </c>
      <c r="CM40" s="89">
        <f>'[1]May - 2021'!CM40</f>
        <v>0</v>
      </c>
      <c r="CN40" s="89">
        <f>'[1]May - 2021'!CO40</f>
        <v>0</v>
      </c>
      <c r="CO40" s="246">
        <f>'[1]May - 2021'!CP40</f>
        <v>0</v>
      </c>
      <c r="CP40" s="89">
        <f>'[1]May - 2021'!CP40</f>
        <v>0</v>
      </c>
      <c r="CQ40" s="89">
        <f>'[1]May - 2021'!CR40</f>
        <v>0</v>
      </c>
      <c r="CR40" s="246">
        <f>'[1]May - 2021'!CS40</f>
        <v>0</v>
      </c>
      <c r="CS40" s="89">
        <f>'[1]May - 2021'!CS40</f>
        <v>0</v>
      </c>
      <c r="CT40" s="89">
        <f>'[1]May - 2021'!CU40</f>
        <v>0</v>
      </c>
      <c r="CU40" s="191">
        <f>'[1]May - 2021'!CV40</f>
        <v>0</v>
      </c>
      <c r="CV40" s="454"/>
      <c r="CW40" s="256">
        <f>'[1]May - 2021'!CX40</f>
        <v>0</v>
      </c>
      <c r="CX40" s="198">
        <f>'[1]May - 2021'!CY40</f>
        <v>0</v>
      </c>
      <c r="CY40" s="257">
        <f>'[1]May - 2021'!CZ40</f>
        <v>0</v>
      </c>
      <c r="CZ40" s="198">
        <f>'[1]May - 2021'!DA40</f>
        <v>0</v>
      </c>
      <c r="DA40" s="257">
        <f>'[1]May - 2021'!DB40</f>
        <v>0</v>
      </c>
      <c r="DB40" s="198">
        <f>'[1]May - 2021'!DC40</f>
        <v>0</v>
      </c>
      <c r="DC40" s="257">
        <f>'[1]May - 2021'!DD40</f>
        <v>0</v>
      </c>
      <c r="DD40" s="198">
        <f>'[1]May - 2021'!DE40</f>
        <v>0</v>
      </c>
      <c r="DE40" s="257">
        <f>'[1]May - 2021'!DF40</f>
        <v>0</v>
      </c>
      <c r="DF40" s="198">
        <f>'[1]May - 2021'!DG40</f>
        <v>0</v>
      </c>
      <c r="DG40" s="257">
        <f>'[1]May - 2021'!DH40</f>
        <v>0</v>
      </c>
      <c r="DH40" s="198">
        <f>'[1]May - 2021'!DI40</f>
        <v>0</v>
      </c>
      <c r="DI40" s="257">
        <f>'[1]May - 2021'!DJ40</f>
        <v>0</v>
      </c>
      <c r="DJ40" s="198">
        <f>'[1]May - 2021'!DK40</f>
        <v>0</v>
      </c>
      <c r="DK40" s="257">
        <f>'[1]May - 2021'!DL40</f>
        <v>0</v>
      </c>
      <c r="DL40" s="198">
        <f>'[1]May - 2021'!DM40</f>
        <v>0</v>
      </c>
      <c r="DM40" s="257">
        <f>'[1]May - 2021'!DN40</f>
        <v>0</v>
      </c>
      <c r="DN40" s="198">
        <f>'[1]May - 2021'!DO40</f>
        <v>0</v>
      </c>
      <c r="DO40" s="257">
        <f>'[1]May - 2021'!DP40</f>
        <v>0</v>
      </c>
      <c r="DP40" s="198">
        <f>'[1]May - 2021'!DQ40</f>
        <v>0</v>
      </c>
      <c r="DQ40" s="257">
        <f>'[1]May - 2021'!DR40</f>
        <v>0</v>
      </c>
      <c r="DR40" s="206">
        <f>'[1]May - 2021'!DS40</f>
        <v>0</v>
      </c>
      <c r="DS40" s="439"/>
      <c r="DT40" s="210">
        <f>'[1]May - 2021'!DU40</f>
        <v>0</v>
      </c>
      <c r="DU40" s="221">
        <f>'[1]May - 2021'!DV40</f>
        <v>0</v>
      </c>
      <c r="DV40" s="91">
        <f>'[1]May - 2021'!DW40</f>
        <v>0</v>
      </c>
      <c r="DW40" s="215">
        <f>'[1]May - 2021'!DX40</f>
        <v>0</v>
      </c>
      <c r="DX40" s="91">
        <f>'[1]May - 2021'!DY40</f>
        <v>0</v>
      </c>
      <c r="DY40" s="215">
        <f>'[1]May - 2021'!DZ40</f>
        <v>0</v>
      </c>
      <c r="DZ40" s="91">
        <f>'[1]May - 2021'!EA40</f>
        <v>0</v>
      </c>
      <c r="EA40" s="215">
        <f>'[1]May - 2021'!EB40</f>
        <v>0</v>
      </c>
      <c r="EB40" s="91">
        <f>'[1]May - 2021'!EC40</f>
        <v>0</v>
      </c>
      <c r="EC40" s="215">
        <f>'[1]May - 2021'!ED40</f>
        <v>0</v>
      </c>
      <c r="ED40" s="91">
        <f>'[1]May - 2021'!EG40</f>
        <v>0</v>
      </c>
      <c r="EE40" s="229">
        <f>'[1]May - 2021'!EH40</f>
        <v>0</v>
      </c>
      <c r="EF40" s="378"/>
      <c r="EG40" s="235">
        <f>'[1]May - 2021'!EJ40</f>
        <v>0</v>
      </c>
      <c r="EH40" s="230">
        <f>'[1]May - 2021'!EK40</f>
        <v>0</v>
      </c>
      <c r="EI40" s="90">
        <f>'[1]May - 2021'!EL40</f>
        <v>0</v>
      </c>
      <c r="EJ40" s="230">
        <f>'[1]May - 2021'!EM40</f>
        <v>0</v>
      </c>
      <c r="EK40" s="90">
        <f>'[1]May - 2021'!EN40</f>
        <v>0</v>
      </c>
      <c r="EL40" s="230">
        <f>'[1]May - 2021'!EO40</f>
        <v>0</v>
      </c>
      <c r="EM40" s="90">
        <f>'[1]May - 2021'!EP40</f>
        <v>0</v>
      </c>
      <c r="EN40" s="230">
        <f>'[1]May - 2021'!EQ40</f>
        <v>0</v>
      </c>
      <c r="EO40" s="90">
        <f>'[1]May - 2021'!ER40</f>
        <v>0</v>
      </c>
      <c r="EP40" s="230">
        <f>'[1]May - 2021'!ES40</f>
        <v>0</v>
      </c>
      <c r="EQ40" s="90">
        <f>'[1]May - 2021'!ET40</f>
        <v>0</v>
      </c>
      <c r="ER40" s="230">
        <f>'[1]May - 2021'!EU40</f>
        <v>0</v>
      </c>
      <c r="ES40" s="428"/>
      <c r="ET40" s="284">
        <f>'[1]May - 2021'!EW40</f>
        <v>0</v>
      </c>
      <c r="EU40" s="278">
        <f>'[1]May - 2021'!EX40</f>
        <v>0</v>
      </c>
      <c r="EV40" s="285">
        <f>'[1]May - 2021'!EY40</f>
        <v>0</v>
      </c>
      <c r="EW40" s="278">
        <f>'[1]May - 2021'!EZ40</f>
        <v>0</v>
      </c>
      <c r="EX40" s="285">
        <f>'[1]May - 2021'!FA40</f>
        <v>0</v>
      </c>
      <c r="EY40" s="278">
        <f>'[1]May - 2021'!FB40</f>
        <v>0</v>
      </c>
      <c r="EZ40" s="285">
        <f>'[1]May - 2021'!FC40</f>
        <v>0</v>
      </c>
      <c r="FA40" s="278">
        <f>'[1]May - 2021'!FD40</f>
        <v>0</v>
      </c>
      <c r="FB40" s="285">
        <f>'[1]May - 2021'!FE40</f>
        <v>0</v>
      </c>
      <c r="FC40" s="279">
        <f>'[1]May - 2021'!FF40</f>
        <v>0</v>
      </c>
    </row>
    <row r="41" spans="1:160" s="29" customFormat="1" ht="14.25" customHeight="1" thickBot="1" x14ac:dyDescent="0.35">
      <c r="A41" s="542"/>
      <c r="B41" s="543"/>
      <c r="C41" s="543"/>
      <c r="D41" s="543"/>
      <c r="E41" s="543"/>
      <c r="F41" s="543"/>
      <c r="G41" s="543"/>
      <c r="H41" s="543"/>
      <c r="I41" s="543"/>
      <c r="J41" s="543"/>
      <c r="K41" s="543"/>
      <c r="L41" s="543"/>
      <c r="M41" s="543"/>
      <c r="N41" s="543"/>
      <c r="O41" s="543"/>
      <c r="P41" s="543"/>
      <c r="Q41" s="543"/>
      <c r="R41" s="543"/>
      <c r="S41" s="543"/>
      <c r="T41" s="544"/>
      <c r="U41" s="543"/>
      <c r="V41" s="543"/>
      <c r="W41" s="543"/>
      <c r="X41" s="543"/>
      <c r="Y41" s="543"/>
      <c r="Z41" s="543"/>
      <c r="AA41" s="543"/>
      <c r="AB41" s="543"/>
      <c r="AC41" s="543"/>
      <c r="AD41" s="543"/>
      <c r="AE41" s="543"/>
      <c r="AF41" s="543"/>
      <c r="AG41" s="543"/>
      <c r="AH41" s="543"/>
      <c r="AI41" s="543"/>
      <c r="AJ41" s="543"/>
      <c r="AK41" s="543"/>
      <c r="AL41" s="543"/>
      <c r="AM41" s="543"/>
      <c r="AN41" s="543"/>
      <c r="AO41" s="543"/>
      <c r="AP41" s="543"/>
      <c r="AQ41" s="543"/>
      <c r="AR41" s="543"/>
      <c r="AS41" s="543"/>
      <c r="AT41" s="543"/>
      <c r="AU41" s="543"/>
      <c r="AV41" s="543"/>
      <c r="AW41" s="543"/>
      <c r="AX41" s="543"/>
      <c r="AY41" s="545"/>
      <c r="AZ41" s="543"/>
      <c r="BA41" s="543"/>
      <c r="BB41" s="543"/>
      <c r="BC41" s="543"/>
      <c r="BD41" s="543"/>
      <c r="BE41" s="543"/>
      <c r="BF41" s="543"/>
      <c r="BG41" s="543"/>
      <c r="BH41" s="543"/>
      <c r="BI41" s="543"/>
      <c r="BJ41" s="543"/>
      <c r="BK41" s="543"/>
      <c r="BL41" s="543"/>
      <c r="BM41" s="543"/>
      <c r="BN41" s="543"/>
      <c r="BO41" s="543"/>
      <c r="BP41" s="543"/>
      <c r="BQ41" s="543"/>
      <c r="BR41" s="543"/>
      <c r="BS41" s="543"/>
      <c r="BT41" s="543"/>
      <c r="BU41" s="546"/>
      <c r="BV41" s="543"/>
      <c r="BW41" s="543"/>
      <c r="BX41" s="543"/>
      <c r="BY41" s="543"/>
      <c r="BZ41" s="543"/>
      <c r="CA41" s="543"/>
      <c r="CB41" s="543"/>
      <c r="CC41" s="543"/>
      <c r="CD41" s="543"/>
      <c r="CE41" s="543"/>
      <c r="CF41" s="543"/>
      <c r="CG41" s="543"/>
      <c r="CH41" s="543"/>
      <c r="CI41" s="543"/>
      <c r="CJ41" s="543"/>
      <c r="CK41" s="543"/>
      <c r="CL41" s="543"/>
      <c r="CM41" s="543"/>
      <c r="CN41" s="543"/>
      <c r="CO41" s="543"/>
      <c r="CP41" s="543"/>
      <c r="CQ41" s="543"/>
      <c r="CR41" s="543"/>
      <c r="CS41" s="543"/>
      <c r="CT41" s="543"/>
      <c r="CU41" s="543"/>
      <c r="CV41" s="454"/>
      <c r="CW41" s="456"/>
      <c r="CX41" s="456"/>
      <c r="CY41" s="456"/>
      <c r="CZ41" s="456"/>
      <c r="DA41" s="456"/>
      <c r="DB41" s="456"/>
      <c r="DC41" s="456"/>
      <c r="DD41" s="456"/>
      <c r="DE41" s="456"/>
      <c r="DF41" s="456"/>
      <c r="DG41" s="456"/>
      <c r="DH41" s="456"/>
      <c r="DI41" s="456"/>
      <c r="DJ41" s="456"/>
      <c r="DK41" s="456"/>
      <c r="DL41" s="456"/>
      <c r="DM41" s="456"/>
      <c r="DN41" s="456"/>
      <c r="DO41" s="456"/>
      <c r="DP41" s="456"/>
      <c r="DQ41" s="456"/>
      <c r="DR41" s="457"/>
      <c r="DS41" s="440"/>
      <c r="DT41" s="441"/>
      <c r="DU41" s="442"/>
      <c r="DV41" s="442"/>
      <c r="DW41" s="442"/>
      <c r="DX41" s="442"/>
      <c r="DY41" s="442"/>
      <c r="DZ41" s="442"/>
      <c r="EA41" s="442"/>
      <c r="EB41" s="442"/>
      <c r="EC41" s="442"/>
      <c r="ED41" s="442"/>
      <c r="EE41" s="443"/>
      <c r="EF41" s="379"/>
      <c r="EG41" s="432"/>
      <c r="EH41" s="432"/>
      <c r="EI41" s="432"/>
      <c r="EJ41" s="432"/>
      <c r="EK41" s="432"/>
      <c r="EL41" s="432"/>
      <c r="EM41" s="432"/>
      <c r="EN41" s="432"/>
      <c r="EO41" s="432"/>
      <c r="EP41" s="432"/>
      <c r="EQ41" s="432"/>
      <c r="ER41" s="432"/>
      <c r="ES41" s="428"/>
      <c r="ET41" s="433"/>
      <c r="EU41" s="433"/>
      <c r="EV41" s="433"/>
      <c r="EW41" s="433"/>
      <c r="EX41" s="433"/>
      <c r="EY41" s="433"/>
      <c r="EZ41" s="433"/>
      <c r="FA41" s="433"/>
      <c r="FB41" s="433"/>
      <c r="FC41" s="433"/>
      <c r="FD41" s="28"/>
    </row>
    <row r="42" spans="1:160" ht="28.5" customHeight="1" thickBot="1" x14ac:dyDescent="0.35">
      <c r="A42" s="522" t="s">
        <v>132</v>
      </c>
      <c r="B42" s="523"/>
      <c r="C42" s="523"/>
      <c r="D42" s="523"/>
      <c r="E42" s="523"/>
      <c r="F42" s="523"/>
      <c r="G42" s="523"/>
      <c r="H42" s="523"/>
      <c r="I42" s="523"/>
      <c r="J42" s="523"/>
      <c r="K42" s="523"/>
      <c r="L42" s="523"/>
      <c r="M42" s="523"/>
      <c r="N42" s="523"/>
      <c r="O42" s="523"/>
      <c r="P42" s="523"/>
      <c r="Q42" s="523"/>
      <c r="R42" s="523"/>
      <c r="S42" s="524"/>
      <c r="T42" s="525"/>
      <c r="U42" s="528" t="s">
        <v>106</v>
      </c>
      <c r="V42" s="528"/>
      <c r="W42" s="528"/>
      <c r="X42" s="528"/>
      <c r="Y42" s="528"/>
      <c r="Z42" s="528"/>
      <c r="AA42" s="528"/>
      <c r="AB42" s="528"/>
      <c r="AC42" s="528"/>
      <c r="AD42" s="528"/>
      <c r="AE42" s="528"/>
      <c r="AF42" s="528"/>
      <c r="AG42" s="528"/>
      <c r="AH42" s="528"/>
      <c r="AI42" s="528"/>
      <c r="AJ42" s="528"/>
      <c r="AK42" s="528"/>
      <c r="AL42" s="528"/>
      <c r="AM42" s="528"/>
      <c r="AN42" s="528"/>
      <c r="AO42" s="528"/>
      <c r="AP42" s="528"/>
      <c r="AQ42" s="528"/>
      <c r="AR42" s="528"/>
      <c r="AS42" s="528"/>
      <c r="AT42" s="528"/>
      <c r="AU42" s="528"/>
      <c r="AV42" s="528"/>
      <c r="AW42" s="528"/>
      <c r="AX42" s="528"/>
      <c r="AY42" s="529"/>
      <c r="AZ42" s="530" t="s">
        <v>133</v>
      </c>
      <c r="BA42" s="531"/>
      <c r="BB42" s="531"/>
      <c r="BC42" s="531"/>
      <c r="BD42" s="531"/>
      <c r="BE42" s="531"/>
      <c r="BF42" s="531"/>
      <c r="BG42" s="531"/>
      <c r="BH42" s="532"/>
      <c r="BI42" s="533"/>
      <c r="BJ42" s="534"/>
      <c r="BK42" s="534"/>
      <c r="BL42" s="534"/>
      <c r="BM42" s="534"/>
      <c r="BN42" s="534"/>
      <c r="BO42" s="534"/>
      <c r="BP42" s="534"/>
      <c r="BQ42" s="534"/>
      <c r="BR42" s="535"/>
      <c r="BS42" s="536" t="s">
        <v>134</v>
      </c>
      <c r="BT42" s="537"/>
      <c r="BU42" s="30"/>
      <c r="BV42" s="372" t="s">
        <v>107</v>
      </c>
      <c r="BW42" s="373"/>
      <c r="BX42" s="373"/>
      <c r="BY42" s="373"/>
      <c r="BZ42" s="373"/>
      <c r="CA42" s="373"/>
      <c r="CB42" s="373"/>
      <c r="CC42" s="373"/>
      <c r="CD42" s="373"/>
      <c r="CE42" s="373"/>
      <c r="CF42" s="373"/>
      <c r="CG42" s="373"/>
      <c r="CH42" s="373"/>
      <c r="CI42" s="373"/>
      <c r="CJ42" s="373"/>
      <c r="CK42" s="373"/>
      <c r="CL42" s="373"/>
      <c r="CM42" s="373"/>
      <c r="CN42" s="373"/>
      <c r="CO42" s="373"/>
      <c r="CP42" s="373"/>
      <c r="CQ42" s="373"/>
      <c r="CR42" s="373"/>
      <c r="CS42" s="373"/>
      <c r="CT42" s="373"/>
      <c r="CU42" s="374"/>
      <c r="CV42" s="454"/>
      <c r="CW42" s="538"/>
      <c r="CX42" s="539"/>
      <c r="CY42" s="539"/>
      <c r="CZ42" s="539"/>
      <c r="DA42" s="539"/>
      <c r="DB42" s="539"/>
      <c r="DC42" s="539"/>
      <c r="DD42" s="539"/>
      <c r="DE42" s="539"/>
      <c r="DF42" s="539"/>
      <c r="DG42" s="539"/>
      <c r="DH42" s="539"/>
      <c r="DI42" s="539"/>
      <c r="DJ42" s="539"/>
      <c r="DK42" s="539"/>
      <c r="DL42" s="539"/>
      <c r="DM42" s="539"/>
      <c r="DN42" s="539"/>
      <c r="DO42" s="539"/>
      <c r="DP42" s="539"/>
      <c r="DQ42" s="539"/>
      <c r="DR42" s="540"/>
      <c r="DS42" s="440"/>
      <c r="DT42" s="9"/>
      <c r="DU42" s="222" t="s">
        <v>103</v>
      </c>
      <c r="DV42" s="9"/>
      <c r="DW42" s="216"/>
      <c r="DX42" s="9"/>
      <c r="DY42" s="222"/>
      <c r="DZ42" s="9"/>
      <c r="EA42" s="222"/>
      <c r="EB42" s="9"/>
      <c r="EC42" s="226"/>
      <c r="ED42" s="10"/>
      <c r="EE42" s="226"/>
      <c r="EF42" s="379"/>
      <c r="EG42" s="280"/>
      <c r="EH42" s="191"/>
      <c r="EI42" s="280"/>
      <c r="EJ42" s="231"/>
      <c r="EK42" s="89"/>
      <c r="EL42" s="191"/>
      <c r="EM42" s="280"/>
      <c r="EN42" s="191"/>
      <c r="EO42" s="280"/>
      <c r="EP42" s="191"/>
      <c r="EQ42" s="89"/>
      <c r="ER42" s="191"/>
      <c r="ES42" s="428"/>
      <c r="ET42" s="11"/>
      <c r="EU42" s="232"/>
      <c r="EV42" s="12"/>
      <c r="EW42" s="232"/>
      <c r="EX42" s="12"/>
      <c r="EY42" s="234"/>
      <c r="EZ42" s="12"/>
      <c r="FA42" s="232"/>
      <c r="FB42" s="94"/>
      <c r="FC42" s="233"/>
    </row>
    <row r="43" spans="1:160" ht="34.5" customHeight="1" thickBot="1" x14ac:dyDescent="0.35">
      <c r="A43" s="541" t="s">
        <v>31</v>
      </c>
      <c r="B43" s="541"/>
      <c r="C43" s="560" t="s">
        <v>32</v>
      </c>
      <c r="D43" s="560"/>
      <c r="E43" s="561"/>
      <c r="F43" s="559" t="s">
        <v>33</v>
      </c>
      <c r="G43" s="560"/>
      <c r="H43" s="561"/>
      <c r="I43" s="562" t="s">
        <v>34</v>
      </c>
      <c r="J43" s="562"/>
      <c r="K43" s="562" t="s">
        <v>35</v>
      </c>
      <c r="L43" s="562"/>
      <c r="M43" s="562"/>
      <c r="N43" s="562"/>
      <c r="O43" s="559" t="s">
        <v>135</v>
      </c>
      <c r="P43" s="560"/>
      <c r="Q43" s="560"/>
      <c r="R43" s="560"/>
      <c r="S43" s="560"/>
      <c r="T43" s="526"/>
      <c r="U43" s="559" t="s">
        <v>36</v>
      </c>
      <c r="V43" s="560"/>
      <c r="W43" s="561"/>
      <c r="X43" s="559" t="s">
        <v>37</v>
      </c>
      <c r="Y43" s="560"/>
      <c r="Z43" s="561"/>
      <c r="AA43" s="559" t="s">
        <v>38</v>
      </c>
      <c r="AB43" s="560"/>
      <c r="AC43" s="561"/>
      <c r="AD43" s="559" t="s">
        <v>39</v>
      </c>
      <c r="AE43" s="560"/>
      <c r="AF43" s="561"/>
      <c r="AG43" s="559" t="s">
        <v>40</v>
      </c>
      <c r="AH43" s="560"/>
      <c r="AI43" s="561"/>
      <c r="AJ43" s="559" t="s">
        <v>41</v>
      </c>
      <c r="AK43" s="560"/>
      <c r="AL43" s="561"/>
      <c r="AM43" s="559" t="s">
        <v>42</v>
      </c>
      <c r="AN43" s="560"/>
      <c r="AO43" s="561"/>
      <c r="AP43" s="559" t="s">
        <v>43</v>
      </c>
      <c r="AQ43" s="560"/>
      <c r="AR43" s="561"/>
      <c r="AS43" s="559" t="s">
        <v>44</v>
      </c>
      <c r="AT43" s="560"/>
      <c r="AU43" s="561"/>
      <c r="AV43" s="559" t="s">
        <v>45</v>
      </c>
      <c r="AW43" s="560"/>
      <c r="AX43" s="560"/>
      <c r="AY43" s="585"/>
      <c r="AZ43" s="375" t="s">
        <v>136</v>
      </c>
      <c r="BA43" s="376"/>
      <c r="BB43" s="376"/>
      <c r="BC43" s="376" t="s">
        <v>137</v>
      </c>
      <c r="BD43" s="376"/>
      <c r="BE43" s="376"/>
      <c r="BF43" s="376" t="s">
        <v>138</v>
      </c>
      <c r="BG43" s="376"/>
      <c r="BH43" s="376"/>
      <c r="BI43" s="564"/>
      <c r="BJ43" s="565"/>
      <c r="BK43" s="564"/>
      <c r="BL43" s="565"/>
      <c r="BM43" s="564"/>
      <c r="BN43" s="565"/>
      <c r="BO43" s="564"/>
      <c r="BP43" s="565"/>
      <c r="BQ43" s="564"/>
      <c r="BR43" s="565"/>
      <c r="BS43" s="564" t="s">
        <v>139</v>
      </c>
      <c r="BT43" s="565"/>
      <c r="BU43" s="566"/>
      <c r="BV43" s="567" t="s">
        <v>13</v>
      </c>
      <c r="BW43" s="568"/>
      <c r="BX43" s="95"/>
      <c r="BY43" s="569" t="s">
        <v>122</v>
      </c>
      <c r="BZ43" s="569"/>
      <c r="CA43" s="458" t="s">
        <v>123</v>
      </c>
      <c r="CB43" s="459"/>
      <c r="CC43" s="458" t="s">
        <v>124</v>
      </c>
      <c r="CD43" s="459"/>
      <c r="CE43" s="458" t="s">
        <v>125</v>
      </c>
      <c r="CF43" s="459"/>
      <c r="CG43" s="458" t="s">
        <v>126</v>
      </c>
      <c r="CH43" s="459"/>
      <c r="CI43" s="458" t="s">
        <v>127</v>
      </c>
      <c r="CJ43" s="459"/>
      <c r="CK43" s="460" t="s">
        <v>14</v>
      </c>
      <c r="CL43" s="461"/>
      <c r="CM43" s="462"/>
      <c r="CN43" s="572" t="s">
        <v>15</v>
      </c>
      <c r="CO43" s="573"/>
      <c r="CP43" s="574"/>
      <c r="CQ43" s="460" t="s">
        <v>140</v>
      </c>
      <c r="CR43" s="461"/>
      <c r="CS43" s="462"/>
      <c r="CT43" s="580" t="s">
        <v>141</v>
      </c>
      <c r="CU43" s="581"/>
      <c r="CV43" s="454"/>
      <c r="CW43" s="13"/>
      <c r="CX43" s="199"/>
      <c r="CY43" s="14"/>
      <c r="CZ43" s="199"/>
      <c r="DA43" s="14"/>
      <c r="DB43" s="199"/>
      <c r="DC43" s="14"/>
      <c r="DD43" s="199"/>
      <c r="DE43" s="14"/>
      <c r="DF43" s="199"/>
      <c r="DG43" s="14"/>
      <c r="DH43" s="199"/>
      <c r="DI43" s="14"/>
      <c r="DJ43" s="203"/>
      <c r="DK43" s="15"/>
      <c r="DL43" s="203"/>
      <c r="DM43" s="15"/>
      <c r="DN43" s="203"/>
      <c r="DO43" s="15"/>
      <c r="DP43" s="203"/>
      <c r="DQ43" s="15"/>
      <c r="DR43" s="203"/>
      <c r="DS43" s="440"/>
      <c r="DT43" s="9"/>
      <c r="DU43" s="222"/>
      <c r="DV43" s="9"/>
      <c r="DW43" s="216"/>
      <c r="DX43" s="9"/>
      <c r="DY43" s="222"/>
      <c r="DZ43" s="9"/>
      <c r="EA43" s="222"/>
      <c r="EB43" s="9"/>
      <c r="EC43" s="226"/>
      <c r="ED43" s="10"/>
      <c r="EE43" s="226"/>
      <c r="EF43" s="379"/>
      <c r="EG43" s="280"/>
      <c r="EH43" s="191"/>
      <c r="EI43" s="280"/>
      <c r="EJ43" s="231"/>
      <c r="EK43" s="89"/>
      <c r="EL43" s="191"/>
      <c r="EM43" s="280"/>
      <c r="EN43" s="191"/>
      <c r="EO43" s="280"/>
      <c r="EP43" s="191"/>
      <c r="EQ43" s="89"/>
      <c r="ER43" s="191"/>
      <c r="ES43" s="428"/>
      <c r="ET43" s="16"/>
      <c r="EU43" s="233"/>
      <c r="EV43" s="94"/>
      <c r="EW43" s="233"/>
      <c r="EX43" s="94"/>
      <c r="EY43" s="233"/>
      <c r="EZ43" s="94"/>
      <c r="FA43" s="233"/>
      <c r="FB43" s="94"/>
      <c r="FC43" s="233"/>
    </row>
    <row r="44" spans="1:160" ht="40.5" customHeight="1" x14ac:dyDescent="0.25">
      <c r="A44" s="547" t="s">
        <v>142</v>
      </c>
      <c r="B44" s="547"/>
      <c r="C44" s="548">
        <f>SUM(E9:E24)</f>
        <v>4442</v>
      </c>
      <c r="D44" s="549"/>
      <c r="E44" s="550"/>
      <c r="F44" s="551">
        <f>SUM(H9:H24)</f>
        <v>2573</v>
      </c>
      <c r="G44" s="552"/>
      <c r="H44" s="553"/>
      <c r="I44" s="551"/>
      <c r="J44" s="553"/>
      <c r="K44" s="554"/>
      <c r="L44" s="555"/>
      <c r="M44" s="556"/>
      <c r="N44" s="556"/>
      <c r="O44" s="551">
        <f>SUM(Q9:Q24)</f>
        <v>1684</v>
      </c>
      <c r="P44" s="552"/>
      <c r="Q44" s="553"/>
      <c r="R44" s="557"/>
      <c r="S44" s="558"/>
      <c r="T44" s="526"/>
      <c r="U44" s="363">
        <f>SUM(W9:W24)</f>
        <v>30742.320000000298</v>
      </c>
      <c r="V44" s="364"/>
      <c r="W44" s="365"/>
      <c r="X44" s="363">
        <f>SUM(Z9:Z24)</f>
        <v>70644</v>
      </c>
      <c r="Y44" s="364"/>
      <c r="Z44" s="365"/>
      <c r="AA44" s="363">
        <f>SUM(AC9:AC24)</f>
        <v>129984.95999999903</v>
      </c>
      <c r="AB44" s="364"/>
      <c r="AC44" s="365"/>
      <c r="AD44" s="363">
        <f>SUM(AF9:AF24)</f>
        <v>90205.080000001937</v>
      </c>
      <c r="AE44" s="364"/>
      <c r="AF44" s="365"/>
      <c r="AG44" s="363">
        <f>SUM(AI9:AI24)</f>
        <v>64066.800000000745</v>
      </c>
      <c r="AH44" s="364"/>
      <c r="AI44" s="365"/>
      <c r="AJ44" s="363">
        <f>SUM(AL9:AL24)</f>
        <v>78877.679999999702</v>
      </c>
      <c r="AK44" s="364"/>
      <c r="AL44" s="365"/>
      <c r="AM44" s="363">
        <f>SUM(AO9:AO24)</f>
        <v>66600.240000000224</v>
      </c>
      <c r="AN44" s="364"/>
      <c r="AO44" s="365"/>
      <c r="AP44" s="363">
        <f>SUM(AR9:AR24)</f>
        <v>62264.160000000149</v>
      </c>
      <c r="AQ44" s="364"/>
      <c r="AR44" s="365"/>
      <c r="AS44" s="363">
        <f>SUM(AU9:AU24)</f>
        <v>44481.359999999404</v>
      </c>
      <c r="AT44" s="364"/>
      <c r="AU44" s="365"/>
      <c r="AV44" s="363">
        <f>SUM(AX9:AX24)</f>
        <v>87013.919999999925</v>
      </c>
      <c r="AW44" s="364"/>
      <c r="AX44" s="364"/>
      <c r="AY44" s="585"/>
      <c r="AZ44" s="364">
        <f>SUM(BB9:BB24)</f>
        <v>649200</v>
      </c>
      <c r="BA44" s="364"/>
      <c r="BB44" s="364"/>
      <c r="BC44" s="363">
        <f>SUM(BE9:BE24)</f>
        <v>411500</v>
      </c>
      <c r="BD44" s="364"/>
      <c r="BE44" s="364"/>
      <c r="BF44" s="358">
        <f>SUM(BH9:BH24)</f>
        <v>271900</v>
      </c>
      <c r="BG44" s="358"/>
      <c r="BH44" s="358"/>
      <c r="BI44" s="96"/>
      <c r="BJ44" s="96"/>
      <c r="BK44" s="96"/>
      <c r="BL44" s="96"/>
      <c r="BM44" s="96"/>
      <c r="BN44" s="96"/>
      <c r="BO44" s="96"/>
      <c r="BP44" s="96"/>
      <c r="BQ44" s="96"/>
      <c r="BR44" s="96"/>
      <c r="BS44" s="97"/>
      <c r="BT44" s="186"/>
      <c r="BU44" s="566"/>
      <c r="BV44" s="242"/>
      <c r="BW44" s="95"/>
      <c r="BX44" s="98"/>
      <c r="BY44" s="99"/>
      <c r="BZ44" s="192"/>
      <c r="CA44" s="99"/>
      <c r="CB44" s="192"/>
      <c r="CC44" s="99"/>
      <c r="CD44" s="192"/>
      <c r="CE44" s="99"/>
      <c r="CF44" s="192"/>
      <c r="CG44" s="99"/>
      <c r="CH44" s="192"/>
      <c r="CI44" s="99"/>
      <c r="CJ44" s="192"/>
      <c r="CK44" s="358">
        <f>SUM(CM9:CM24)</f>
        <v>1548</v>
      </c>
      <c r="CL44" s="358"/>
      <c r="CM44" s="358"/>
      <c r="CN44" s="358">
        <f>SUM(CP9:CP24)</f>
        <v>1430</v>
      </c>
      <c r="CO44" s="358"/>
      <c r="CP44" s="358"/>
      <c r="CQ44" s="358">
        <f>SUM(CS9:CS24)</f>
        <v>0</v>
      </c>
      <c r="CR44" s="358"/>
      <c r="CS44" s="358"/>
      <c r="CT44" s="100"/>
      <c r="CU44" s="196"/>
      <c r="CV44" s="454"/>
      <c r="CW44" s="101"/>
      <c r="CX44" s="200"/>
      <c r="CY44" s="102"/>
      <c r="CZ44" s="200"/>
      <c r="DA44" s="102"/>
      <c r="DB44" s="200"/>
      <c r="DC44" s="102"/>
      <c r="DD44" s="200"/>
      <c r="DE44" s="102"/>
      <c r="DF44" s="200"/>
      <c r="DG44" s="102"/>
      <c r="DH44" s="200"/>
      <c r="DI44" s="102"/>
      <c r="DJ44" s="204"/>
      <c r="DK44" s="103"/>
      <c r="DL44" s="204"/>
      <c r="DM44" s="103"/>
      <c r="DN44" s="204"/>
      <c r="DO44" s="103"/>
      <c r="DP44" s="204"/>
      <c r="DQ44" s="103"/>
      <c r="DR44" s="204"/>
      <c r="DS44" s="440"/>
      <c r="DT44" s="17"/>
      <c r="DU44" s="223"/>
      <c r="DV44" s="17"/>
      <c r="DW44" s="217"/>
      <c r="DX44" s="17"/>
      <c r="DY44" s="223"/>
      <c r="DZ44" s="17"/>
      <c r="EA44" s="223"/>
      <c r="EB44" s="17"/>
      <c r="EC44" s="227"/>
      <c r="ED44" s="18"/>
      <c r="EE44" s="227"/>
      <c r="EF44" s="379"/>
      <c r="EG44" s="281"/>
      <c r="EH44" s="282"/>
      <c r="EI44" s="281"/>
      <c r="EJ44" s="231"/>
      <c r="EK44" s="283"/>
      <c r="EL44" s="282"/>
      <c r="EM44" s="281"/>
      <c r="EN44" s="282"/>
      <c r="EO44" s="281"/>
      <c r="EP44" s="282"/>
      <c r="EQ44" s="283"/>
      <c r="ER44" s="282"/>
      <c r="ES44" s="428"/>
      <c r="ET44" s="16"/>
      <c r="EU44" s="233"/>
      <c r="EV44" s="94"/>
      <c r="EW44" s="233"/>
      <c r="EX44" s="94"/>
      <c r="EY44" s="233"/>
      <c r="EZ44" s="94"/>
      <c r="FA44" s="233"/>
      <c r="FB44" s="94"/>
      <c r="FC44" s="233"/>
    </row>
    <row r="45" spans="1:160" ht="39" customHeight="1" x14ac:dyDescent="0.3">
      <c r="A45" s="359" t="s">
        <v>143</v>
      </c>
      <c r="B45" s="359"/>
      <c r="C45" s="360">
        <f>SUM(D9:D24)</f>
        <v>8990</v>
      </c>
      <c r="D45" s="360"/>
      <c r="E45" s="361"/>
      <c r="F45" s="360">
        <f>SUM(G9:G24)</f>
        <v>5530</v>
      </c>
      <c r="G45" s="360"/>
      <c r="H45" s="361"/>
      <c r="I45" s="362"/>
      <c r="J45" s="362"/>
      <c r="K45" s="362"/>
      <c r="L45" s="362"/>
      <c r="M45" s="362"/>
      <c r="N45" s="362"/>
      <c r="O45" s="360">
        <f>SUM(P9:P24)</f>
        <v>2575.0300000000002</v>
      </c>
      <c r="P45" s="360"/>
      <c r="Q45" s="361"/>
      <c r="R45" s="366"/>
      <c r="S45" s="367"/>
      <c r="T45" s="527"/>
      <c r="U45" s="351">
        <f>SUM(V9:V24)</f>
        <v>30742.320000000298</v>
      </c>
      <c r="V45" s="351"/>
      <c r="W45" s="352"/>
      <c r="X45" s="351">
        <f>SUM(Y9:Y24)</f>
        <v>70644</v>
      </c>
      <c r="Y45" s="351"/>
      <c r="Z45" s="352"/>
      <c r="AA45" s="351">
        <f>SUM(AB9:AB24)</f>
        <v>129984.95999999903</v>
      </c>
      <c r="AB45" s="351"/>
      <c r="AC45" s="352"/>
      <c r="AD45" s="351">
        <f>SUM(AE9:AE24)</f>
        <v>90205.080000001937</v>
      </c>
      <c r="AE45" s="351"/>
      <c r="AF45" s="352"/>
      <c r="AG45" s="351">
        <f>SUM(AH9:AH24)</f>
        <v>64066.800000000745</v>
      </c>
      <c r="AH45" s="351"/>
      <c r="AI45" s="352"/>
      <c r="AJ45" s="351">
        <f>SUM(AK9:AK24)</f>
        <v>78877.679999999702</v>
      </c>
      <c r="AK45" s="351"/>
      <c r="AL45" s="352"/>
      <c r="AM45" s="351">
        <f>SUM(AN9:AN24)</f>
        <v>66600.240000000224</v>
      </c>
      <c r="AN45" s="351"/>
      <c r="AO45" s="352"/>
      <c r="AP45" s="351">
        <f>SUM(AQ9:AQ24)</f>
        <v>62264.160000000149</v>
      </c>
      <c r="AQ45" s="351"/>
      <c r="AR45" s="352"/>
      <c r="AS45" s="351">
        <f>SUM(AT9:AT24)</f>
        <v>44481.359999999404</v>
      </c>
      <c r="AT45" s="351"/>
      <c r="AU45" s="352"/>
      <c r="AV45" s="351">
        <f>SUM(AW9:AW24)</f>
        <v>87013.919999999925</v>
      </c>
      <c r="AW45" s="351"/>
      <c r="AX45" s="351"/>
      <c r="AY45" s="585"/>
      <c r="AZ45" s="352">
        <f>SUM(BA9:BA24)</f>
        <v>649200</v>
      </c>
      <c r="BA45" s="358"/>
      <c r="BB45" s="358"/>
      <c r="BC45" s="358">
        <f>SUM(BD9:BD24)</f>
        <v>411500</v>
      </c>
      <c r="BD45" s="358"/>
      <c r="BE45" s="358"/>
      <c r="BF45" s="358">
        <f>SUM(BG9:BG24)</f>
        <v>271900</v>
      </c>
      <c r="BG45" s="358"/>
      <c r="BH45" s="358"/>
      <c r="BI45" s="96"/>
      <c r="BJ45" s="96"/>
      <c r="BK45" s="96"/>
      <c r="BL45" s="96"/>
      <c r="BM45" s="96"/>
      <c r="BN45" s="96"/>
      <c r="BO45" s="96"/>
      <c r="BP45" s="96"/>
      <c r="BQ45" s="96"/>
      <c r="BR45" s="96"/>
      <c r="BS45" s="97"/>
      <c r="BT45" s="186"/>
      <c r="BU45" s="566"/>
      <c r="BV45" s="242"/>
      <c r="BW45" s="95"/>
      <c r="BX45" s="98"/>
      <c r="BY45" s="104"/>
      <c r="BZ45" s="193"/>
      <c r="CA45" s="104"/>
      <c r="CB45" s="193"/>
      <c r="CC45" s="104"/>
      <c r="CD45" s="193"/>
      <c r="CE45" s="104"/>
      <c r="CF45" s="193"/>
      <c r="CG45" s="104"/>
      <c r="CH45" s="193"/>
      <c r="CI45" s="104"/>
      <c r="CJ45" s="193"/>
      <c r="CK45" s="358">
        <f>SUM(CL9:CL24)</f>
        <v>1548</v>
      </c>
      <c r="CL45" s="358"/>
      <c r="CM45" s="358"/>
      <c r="CN45" s="358">
        <f>SUM(CO9:CO24)</f>
        <v>1430</v>
      </c>
      <c r="CO45" s="358"/>
      <c r="CP45" s="358"/>
      <c r="CQ45" s="358">
        <f>SUM(CR9:CR24)</f>
        <v>0</v>
      </c>
      <c r="CR45" s="358"/>
      <c r="CS45" s="358"/>
      <c r="CT45" s="105"/>
      <c r="CU45" s="197"/>
      <c r="CV45" s="454"/>
      <c r="CW45" s="106"/>
      <c r="CX45" s="201"/>
      <c r="CY45" s="107"/>
      <c r="CZ45" s="202"/>
      <c r="DA45" s="94"/>
      <c r="DB45" s="202"/>
      <c r="DC45" s="107"/>
      <c r="DD45" s="202"/>
      <c r="DE45" s="94"/>
      <c r="DF45" s="202"/>
      <c r="DG45" s="107"/>
      <c r="DH45" s="202"/>
      <c r="DI45" s="94"/>
      <c r="DJ45" s="205"/>
      <c r="DK45" s="108"/>
      <c r="DL45" s="19"/>
      <c r="DM45" s="109"/>
      <c r="DN45" s="19"/>
      <c r="DO45" s="109"/>
      <c r="DP45" s="19"/>
      <c r="DQ45" s="109"/>
      <c r="DR45" s="19"/>
      <c r="DS45" s="440"/>
      <c r="DT45" s="582" t="s">
        <v>104</v>
      </c>
      <c r="DU45" s="583"/>
      <c r="DV45" s="583"/>
      <c r="DW45" s="583"/>
      <c r="DX45" s="583"/>
      <c r="DY45" s="583"/>
      <c r="DZ45" s="583"/>
      <c r="EA45" s="583"/>
      <c r="EB45" s="583"/>
      <c r="EC45" s="583"/>
      <c r="ED45" s="583"/>
      <c r="EE45" s="583"/>
      <c r="EF45" s="583"/>
      <c r="EG45" s="583"/>
      <c r="EH45" s="583"/>
      <c r="EI45" s="583"/>
      <c r="EJ45" s="584"/>
      <c r="EK45" s="563"/>
      <c r="EL45" s="563"/>
      <c r="EM45" s="563"/>
      <c r="EN45" s="563"/>
      <c r="EO45" s="563"/>
      <c r="EP45" s="563"/>
      <c r="EQ45" s="563"/>
      <c r="ER45" s="563"/>
      <c r="ES45" s="19"/>
      <c r="ET45" s="20"/>
      <c r="EU45" s="233"/>
      <c r="EV45" s="94"/>
      <c r="EW45" s="233"/>
      <c r="EX45" s="94"/>
      <c r="EY45" s="233"/>
      <c r="EZ45" s="94"/>
      <c r="FA45" s="233"/>
      <c r="FB45" s="94"/>
      <c r="FC45" s="233"/>
    </row>
    <row r="46" spans="1:160" ht="24" customHeight="1" x14ac:dyDescent="0.25">
      <c r="A46" s="31" t="s">
        <v>46</v>
      </c>
      <c r="B46" s="149"/>
      <c r="C46" s="110"/>
      <c r="D46" s="145"/>
      <c r="E46" s="32"/>
      <c r="F46" s="110"/>
      <c r="G46" s="32"/>
      <c r="H46" s="32"/>
      <c r="I46" s="110"/>
      <c r="J46" s="32"/>
      <c r="K46" s="110"/>
      <c r="L46" s="32"/>
      <c r="M46" s="110"/>
      <c r="N46" s="32"/>
      <c r="O46" s="110"/>
      <c r="P46" s="32"/>
      <c r="Q46" s="32"/>
      <c r="R46" s="110"/>
      <c r="S46" s="32"/>
      <c r="T46" s="32"/>
      <c r="U46" s="110"/>
      <c r="V46" s="32"/>
      <c r="W46" s="32"/>
      <c r="X46" s="110"/>
      <c r="Y46" s="32"/>
      <c r="Z46" s="32"/>
      <c r="AA46" s="110"/>
      <c r="AB46" s="32"/>
      <c r="AC46" s="32"/>
      <c r="AD46" s="110"/>
      <c r="AE46" s="32"/>
      <c r="AF46" s="32"/>
      <c r="AG46" s="110"/>
      <c r="AH46" s="32"/>
      <c r="AI46" s="32"/>
      <c r="AJ46" s="110"/>
      <c r="AK46" s="32"/>
      <c r="AL46" s="32"/>
      <c r="AM46" s="110"/>
      <c r="AN46" s="32"/>
      <c r="AO46" s="32"/>
      <c r="AP46" s="110"/>
      <c r="AQ46" s="32"/>
      <c r="AR46" s="32"/>
      <c r="AS46" s="110"/>
      <c r="AT46" s="32"/>
      <c r="AU46" s="32"/>
      <c r="AV46" s="110"/>
      <c r="AW46" s="32"/>
      <c r="AX46" s="32"/>
      <c r="AY46" s="585"/>
      <c r="AZ46" s="356">
        <f>AZ44-AZ45</f>
        <v>0</v>
      </c>
      <c r="BA46" s="357"/>
      <c r="BB46" s="357"/>
      <c r="BC46" s="356">
        <f>BC45-BC44</f>
        <v>0</v>
      </c>
      <c r="BD46" s="357"/>
      <c r="BE46" s="357"/>
      <c r="BF46" s="356">
        <f>BF45-BF44</f>
        <v>0</v>
      </c>
      <c r="BG46" s="357"/>
      <c r="BH46" s="357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7"/>
      <c r="BU46" s="566"/>
      <c r="BV46" s="570"/>
      <c r="BW46" s="570"/>
      <c r="BX46" s="570"/>
      <c r="BY46" s="570"/>
      <c r="BZ46" s="570"/>
      <c r="CA46" s="570"/>
      <c r="CB46" s="570"/>
      <c r="CC46" s="570"/>
      <c r="CD46" s="570"/>
      <c r="CE46" s="570"/>
      <c r="CF46" s="570"/>
      <c r="CG46" s="570"/>
      <c r="CH46" s="570"/>
      <c r="CI46" s="570"/>
      <c r="CJ46" s="570"/>
      <c r="CK46" s="570"/>
      <c r="CL46" s="570"/>
      <c r="CM46" s="570"/>
      <c r="CN46" s="570"/>
      <c r="CO46" s="570"/>
      <c r="CP46" s="570"/>
      <c r="CQ46" s="570"/>
      <c r="CR46" s="570"/>
      <c r="CS46" s="570"/>
      <c r="CT46" s="570"/>
      <c r="CU46" s="571"/>
      <c r="CV46" s="454"/>
    </row>
    <row r="47" spans="1:160" ht="33.75" customHeight="1" x14ac:dyDescent="0.25">
      <c r="A47" s="575" t="s">
        <v>144</v>
      </c>
      <c r="B47" s="575"/>
      <c r="C47" s="576">
        <f>SUM(E9:E39)</f>
        <v>9245</v>
      </c>
      <c r="D47" s="577"/>
      <c r="E47" s="578"/>
      <c r="F47" s="576">
        <f>SUM(H9:H39)</f>
        <v>5302</v>
      </c>
      <c r="G47" s="577"/>
      <c r="H47" s="578"/>
      <c r="I47" s="579">
        <v>7048.9</v>
      </c>
      <c r="J47" s="579"/>
      <c r="K47" s="579">
        <v>7702.2000000000116</v>
      </c>
      <c r="L47" s="579"/>
      <c r="M47" s="579"/>
      <c r="N47" s="579"/>
      <c r="O47" s="579">
        <f>SUM(Q9:Q39)</f>
        <v>3617</v>
      </c>
      <c r="P47" s="579"/>
      <c r="Q47" s="579"/>
      <c r="R47" s="576">
        <v>476</v>
      </c>
      <c r="S47" s="577"/>
      <c r="T47" s="586"/>
      <c r="U47" s="350">
        <f>SUM(W9:W39)</f>
        <v>-6516738.4799999995</v>
      </c>
      <c r="V47" s="351"/>
      <c r="W47" s="352"/>
      <c r="X47" s="350">
        <f>SUM(Z9:Z39)</f>
        <v>-12720840.719999999</v>
      </c>
      <c r="Y47" s="351"/>
      <c r="Z47" s="352"/>
      <c r="AA47" s="350">
        <f>SUM(AC9:AC39)</f>
        <v>-11999687.280000001</v>
      </c>
      <c r="AB47" s="351"/>
      <c r="AC47" s="352"/>
      <c r="AD47" s="350">
        <f>SUM(AF9:AF39)</f>
        <v>-15145342.799999999</v>
      </c>
      <c r="AE47" s="351"/>
      <c r="AF47" s="352"/>
      <c r="AG47" s="350">
        <f>SUM(AI9:AI39)</f>
        <v>-15483069.84</v>
      </c>
      <c r="AH47" s="351"/>
      <c r="AI47" s="352"/>
      <c r="AJ47" s="350">
        <f>SUM(AL9:AL39)</f>
        <v>-14262536.4</v>
      </c>
      <c r="AK47" s="351"/>
      <c r="AL47" s="352"/>
      <c r="AM47" s="350">
        <f>SUM(AO9:AO39)</f>
        <v>-12183459.119999999</v>
      </c>
      <c r="AN47" s="351"/>
      <c r="AO47" s="352"/>
      <c r="AP47" s="350">
        <f>SUM(AR9:AR39)</f>
        <v>-11763297.84</v>
      </c>
      <c r="AQ47" s="351"/>
      <c r="AR47" s="352"/>
      <c r="AS47" s="350">
        <f>SUM(AU9:AU39)</f>
        <v>-9399306</v>
      </c>
      <c r="AT47" s="351"/>
      <c r="AU47" s="352"/>
      <c r="AV47" s="350">
        <f>SUM(AX9:AX39)</f>
        <v>-14322315.84</v>
      </c>
      <c r="AW47" s="351"/>
      <c r="AX47" s="351"/>
      <c r="AY47" s="585"/>
      <c r="AZ47" s="336">
        <v>347300</v>
      </c>
      <c r="BA47" s="336"/>
      <c r="BB47" s="337"/>
      <c r="BC47" s="344">
        <v>361100</v>
      </c>
      <c r="BD47" s="336"/>
      <c r="BE47" s="337"/>
      <c r="BF47" s="344">
        <v>558842</v>
      </c>
      <c r="BG47" s="336"/>
      <c r="BH47" s="337"/>
      <c r="BI47" s="113"/>
      <c r="BJ47" s="113"/>
      <c r="BK47" s="113"/>
      <c r="BL47" s="113"/>
      <c r="BM47" s="113"/>
      <c r="BN47" s="113"/>
      <c r="BO47" s="113"/>
      <c r="BP47" s="113"/>
      <c r="BQ47" s="113"/>
      <c r="BR47" s="113"/>
      <c r="BS47" s="345">
        <v>131110</v>
      </c>
      <c r="BT47" s="346"/>
      <c r="BU47" s="566"/>
      <c r="BV47" s="347"/>
      <c r="BW47" s="347"/>
      <c r="BX47" s="114"/>
      <c r="BY47" s="348">
        <v>718</v>
      </c>
      <c r="BZ47" s="349"/>
      <c r="CA47" s="348">
        <v>719</v>
      </c>
      <c r="CB47" s="349"/>
      <c r="CC47" s="348">
        <v>234</v>
      </c>
      <c r="CD47" s="349"/>
      <c r="CE47" s="348">
        <v>265</v>
      </c>
      <c r="CF47" s="349"/>
      <c r="CG47" s="348">
        <v>368</v>
      </c>
      <c r="CH47" s="349"/>
      <c r="CI47" s="348">
        <v>820</v>
      </c>
      <c r="CJ47" s="349"/>
      <c r="CK47" s="350">
        <f>SUM(CM9:CM39)</f>
        <v>-212932</v>
      </c>
      <c r="CL47" s="351"/>
      <c r="CM47" s="352"/>
      <c r="CN47" s="350">
        <f>SUM(CP9:CP39)</f>
        <v>-161549</v>
      </c>
      <c r="CO47" s="351"/>
      <c r="CP47" s="352"/>
      <c r="CQ47" s="350">
        <f>SUM(CS9:CS39)</f>
        <v>-308195</v>
      </c>
      <c r="CR47" s="351"/>
      <c r="CS47" s="352"/>
      <c r="CT47" s="338">
        <v>3894</v>
      </c>
      <c r="CU47" s="339"/>
      <c r="CV47" s="454"/>
      <c r="DJ47" s="4">
        <v>487.2</v>
      </c>
    </row>
    <row r="48" spans="1:160" ht="30" customHeight="1" x14ac:dyDescent="0.25">
      <c r="A48" s="591" t="s">
        <v>145</v>
      </c>
      <c r="B48" s="591"/>
      <c r="C48" s="576">
        <f>SUM(D10:D39)</f>
        <v>-759055</v>
      </c>
      <c r="D48" s="577"/>
      <c r="E48" s="578"/>
      <c r="F48" s="576">
        <f>SUM(G9:G39)</f>
        <v>-12424</v>
      </c>
      <c r="G48" s="577"/>
      <c r="H48" s="578"/>
      <c r="I48" s="576">
        <f>SUM(J10:J39)</f>
        <v>-130678</v>
      </c>
      <c r="J48" s="578"/>
      <c r="K48" s="576">
        <f>SUM(L9:L39)</f>
        <v>-744395</v>
      </c>
      <c r="L48" s="578"/>
      <c r="M48" s="576"/>
      <c r="N48" s="578"/>
      <c r="O48" s="576">
        <f>SUM(P9:P39)</f>
        <v>-3809.06</v>
      </c>
      <c r="P48" s="577"/>
      <c r="Q48" s="578"/>
      <c r="R48" s="576">
        <f>SUM(S9:S39)</f>
        <v>-2054</v>
      </c>
      <c r="S48" s="577"/>
      <c r="T48" s="586"/>
      <c r="U48" s="587">
        <f>SUM(V9:V39)</f>
        <v>-6516738.4799999995</v>
      </c>
      <c r="V48" s="588"/>
      <c r="W48" s="589"/>
      <c r="X48" s="587">
        <f>SUM(Y9:Y39)</f>
        <v>-12720840.719999999</v>
      </c>
      <c r="Y48" s="588"/>
      <c r="Z48" s="589"/>
      <c r="AA48" s="340">
        <f>SUM(AB9:AB39)</f>
        <v>-11999687.280000001</v>
      </c>
      <c r="AB48" s="341"/>
      <c r="AC48" s="342"/>
      <c r="AD48" s="340">
        <f>SUM(AE9:AE39)</f>
        <v>-15145342.799999999</v>
      </c>
      <c r="AE48" s="341"/>
      <c r="AF48" s="342"/>
      <c r="AG48" s="340">
        <f>SUM(AH9:AH39)</f>
        <v>-15483069.84</v>
      </c>
      <c r="AH48" s="341"/>
      <c r="AI48" s="342"/>
      <c r="AJ48" s="340">
        <f>SUM(AK9:AK39)</f>
        <v>-14262536.4</v>
      </c>
      <c r="AK48" s="341"/>
      <c r="AL48" s="342"/>
      <c r="AM48" s="340">
        <f>SUM(AN9:AN39)</f>
        <v>-12183459.119999999</v>
      </c>
      <c r="AN48" s="341"/>
      <c r="AO48" s="342"/>
      <c r="AP48" s="340">
        <f>SUM(AQ9:AQ39)</f>
        <v>-11763297.84</v>
      </c>
      <c r="AQ48" s="341"/>
      <c r="AR48" s="342"/>
      <c r="AS48" s="340">
        <f>SUM(AT9:AT39)</f>
        <v>-9399306</v>
      </c>
      <c r="AT48" s="341"/>
      <c r="AU48" s="342"/>
      <c r="AV48" s="340">
        <f>SUM(AW9:AW39)</f>
        <v>-14322315.84</v>
      </c>
      <c r="AW48" s="341"/>
      <c r="AX48" s="341"/>
      <c r="AY48" s="585"/>
      <c r="AZ48" s="336">
        <f>SUM(BA9:BA40)</f>
        <v>-59875200</v>
      </c>
      <c r="BA48" s="336"/>
      <c r="BB48" s="337"/>
      <c r="BC48" s="336">
        <f t="shared" ref="BC48" si="0">SUM(BD9:BD40)</f>
        <v>-63081500</v>
      </c>
      <c r="BD48" s="336"/>
      <c r="BE48" s="337"/>
      <c r="BF48" s="336">
        <f t="shared" ref="BF48" si="1">SUM(BG9:BG40)</f>
        <v>-57754600</v>
      </c>
      <c r="BG48" s="336"/>
      <c r="BH48" s="337"/>
      <c r="BI48" s="116"/>
      <c r="BJ48" s="116"/>
      <c r="BK48" s="116"/>
      <c r="BL48" s="116"/>
      <c r="BM48" s="116"/>
      <c r="BN48" s="116"/>
      <c r="BO48" s="116"/>
      <c r="BP48" s="116"/>
      <c r="BQ48" s="116"/>
      <c r="BR48" s="116"/>
      <c r="BS48" s="343">
        <f>SUM(BT9:BT39)</f>
        <v>-6233240</v>
      </c>
      <c r="BT48" s="343"/>
      <c r="BU48" s="566"/>
      <c r="BV48" s="353"/>
      <c r="BW48" s="354"/>
      <c r="BX48" s="117"/>
      <c r="BY48" s="348">
        <f>SUM(BZ9:BZ39)</f>
        <v>-53107</v>
      </c>
      <c r="BZ48" s="349"/>
      <c r="CA48" s="348">
        <f>SUM(CB9:CB39)</f>
        <v>-44827</v>
      </c>
      <c r="CB48" s="349"/>
      <c r="CC48" s="348">
        <f>SUM(CD9:CD39)</f>
        <v>-15528</v>
      </c>
      <c r="CD48" s="349"/>
      <c r="CE48" s="348">
        <f>SUM(CF9:CF39)</f>
        <v>-19791</v>
      </c>
      <c r="CF48" s="349"/>
      <c r="CG48" s="348">
        <f>SUM(CH9:CH39)</f>
        <v>-21496</v>
      </c>
      <c r="CH48" s="349"/>
      <c r="CI48" s="348">
        <f>SUM(CJ9:CJ39)</f>
        <v>-48902</v>
      </c>
      <c r="CJ48" s="349"/>
      <c r="CK48" s="348">
        <f>SUM(CL9:CL39)</f>
        <v>-212932</v>
      </c>
      <c r="CL48" s="355"/>
      <c r="CM48" s="349"/>
      <c r="CN48" s="348">
        <f>SUM(CO9:CO39)</f>
        <v>-161549</v>
      </c>
      <c r="CO48" s="355"/>
      <c r="CP48" s="349"/>
      <c r="CQ48" s="348">
        <f>SUM(CR9:CR39)</f>
        <v>-308195</v>
      </c>
      <c r="CR48" s="355"/>
      <c r="CS48" s="349"/>
      <c r="CT48" s="348">
        <f>SUM(CU9:CU39)</f>
        <v>-567912</v>
      </c>
      <c r="CU48" s="355"/>
      <c r="CV48" s="454"/>
    </row>
    <row r="49" spans="1:159" ht="30" customHeight="1" x14ac:dyDescent="0.25">
      <c r="A49" s="302" t="s">
        <v>46</v>
      </c>
      <c r="B49" s="302"/>
      <c r="C49" s="303">
        <f>C47-C48</f>
        <v>768300</v>
      </c>
      <c r="D49" s="304"/>
      <c r="E49" s="305"/>
      <c r="F49" s="303">
        <f>F47-F48</f>
        <v>17726</v>
      </c>
      <c r="G49" s="304"/>
      <c r="H49" s="305"/>
      <c r="I49" s="303">
        <f>I47-I48</f>
        <v>137726.9</v>
      </c>
      <c r="J49" s="305"/>
      <c r="K49" s="303">
        <f>K47-K48</f>
        <v>752097.2</v>
      </c>
      <c r="L49" s="305"/>
      <c r="M49" s="303"/>
      <c r="N49" s="305"/>
      <c r="O49" s="590">
        <f>O47-O48</f>
        <v>7426.0599999999995</v>
      </c>
      <c r="P49" s="590"/>
      <c r="Q49" s="590"/>
      <c r="R49" s="303">
        <f>R47-R48</f>
        <v>2530</v>
      </c>
      <c r="S49" s="304"/>
      <c r="T49" s="586"/>
      <c r="U49" s="300">
        <f>U48-U47</f>
        <v>0</v>
      </c>
      <c r="V49" s="301"/>
      <c r="W49" s="592"/>
      <c r="X49" s="300">
        <f>X47-X48</f>
        <v>0</v>
      </c>
      <c r="Y49" s="301"/>
      <c r="Z49" s="592"/>
      <c r="AA49" s="300">
        <f>AA47-AA48</f>
        <v>0</v>
      </c>
      <c r="AB49" s="301"/>
      <c r="AC49" s="592"/>
      <c r="AD49" s="300">
        <f>AD47-AD48</f>
        <v>0</v>
      </c>
      <c r="AE49" s="301"/>
      <c r="AF49" s="592"/>
      <c r="AG49" s="300">
        <f>AG47-AG48</f>
        <v>0</v>
      </c>
      <c r="AH49" s="301"/>
      <c r="AI49" s="592"/>
      <c r="AJ49" s="300">
        <f>AJ47-AJ48</f>
        <v>0</v>
      </c>
      <c r="AK49" s="301"/>
      <c r="AL49" s="592"/>
      <c r="AM49" s="300">
        <f>AM47-AM48</f>
        <v>0</v>
      </c>
      <c r="AN49" s="301"/>
      <c r="AO49" s="592"/>
      <c r="AP49" s="300">
        <f>AP47-AP48</f>
        <v>0</v>
      </c>
      <c r="AQ49" s="301"/>
      <c r="AR49" s="592"/>
      <c r="AS49" s="300">
        <f>AS47-AS48</f>
        <v>0</v>
      </c>
      <c r="AT49" s="301"/>
      <c r="AU49" s="592"/>
      <c r="AV49" s="300">
        <f>AV47-AV48</f>
        <v>0</v>
      </c>
      <c r="AW49" s="301"/>
      <c r="AX49" s="301"/>
      <c r="AY49" s="585"/>
      <c r="AZ49" s="336">
        <f>AZ48-AZ47</f>
        <v>-60222500</v>
      </c>
      <c r="BA49" s="336"/>
      <c r="BB49" s="337"/>
      <c r="BC49" s="336">
        <f t="shared" ref="BC49" si="2">BC48-BC47</f>
        <v>-63442600</v>
      </c>
      <c r="BD49" s="336"/>
      <c r="BE49" s="337"/>
      <c r="BF49" s="336">
        <f t="shared" ref="BF49" si="3">BF48-BF47</f>
        <v>-58313442</v>
      </c>
      <c r="BG49" s="336"/>
      <c r="BH49" s="337"/>
      <c r="BI49" s="115"/>
      <c r="BJ49" s="115"/>
      <c r="BK49" s="115"/>
      <c r="BL49" s="115"/>
      <c r="BM49" s="115"/>
      <c r="BN49" s="115"/>
      <c r="BO49" s="115"/>
      <c r="BP49" s="115"/>
      <c r="BQ49" s="115"/>
      <c r="BR49" s="115"/>
      <c r="BS49" s="344"/>
      <c r="BT49" s="337"/>
      <c r="BU49" s="566"/>
      <c r="BV49" s="328"/>
      <c r="BW49" s="334"/>
      <c r="BX49" s="118"/>
      <c r="BY49" s="119"/>
      <c r="BZ49" s="194"/>
      <c r="CA49" s="119"/>
      <c r="CB49" s="194"/>
      <c r="CC49" s="119"/>
      <c r="CD49" s="194"/>
      <c r="CE49" s="119"/>
      <c r="CF49" s="194"/>
      <c r="CG49" s="119"/>
      <c r="CH49" s="194"/>
      <c r="CI49" s="119"/>
      <c r="CJ49" s="194"/>
      <c r="CK49" s="307">
        <f>CK47-CK48</f>
        <v>0</v>
      </c>
      <c r="CL49" s="593"/>
      <c r="CM49" s="594"/>
      <c r="CN49" s="307">
        <f>CN47-CN48</f>
        <v>0</v>
      </c>
      <c r="CO49" s="593"/>
      <c r="CP49" s="594"/>
      <c r="CQ49" s="307">
        <f>CQ47-CQ48</f>
        <v>0</v>
      </c>
      <c r="CR49" s="593"/>
      <c r="CS49" s="594"/>
      <c r="CT49" s="306">
        <f>CT47-CT48</f>
        <v>571806</v>
      </c>
      <c r="CU49" s="307"/>
      <c r="CV49" s="454"/>
    </row>
    <row r="50" spans="1:159" ht="31.5" customHeight="1" thickBot="1" x14ac:dyDescent="0.3">
      <c r="A50" s="308" t="s">
        <v>146</v>
      </c>
      <c r="B50" s="308"/>
      <c r="C50" s="308"/>
      <c r="D50" s="308"/>
      <c r="E50" s="308"/>
      <c r="F50" s="308"/>
      <c r="G50" s="308"/>
      <c r="H50" s="308"/>
      <c r="I50" s="308"/>
      <c r="J50" s="308"/>
      <c r="K50" s="308"/>
      <c r="L50" s="308"/>
      <c r="M50" s="308"/>
      <c r="N50" s="308"/>
      <c r="O50" s="308"/>
      <c r="P50" s="308"/>
      <c r="Q50" s="308"/>
      <c r="R50" s="308"/>
      <c r="S50" s="308"/>
      <c r="T50" s="308"/>
      <c r="U50" s="309" t="s">
        <v>147</v>
      </c>
      <c r="V50" s="310"/>
      <c r="W50" s="310"/>
      <c r="X50" s="310"/>
      <c r="Y50" s="310"/>
      <c r="Z50" s="311"/>
      <c r="AA50" s="312">
        <f>SUM(U47,X47,AA47,AD47,AG47,AJ47,AM47,AP47,AS47,AV47)</f>
        <v>-123796594.32000002</v>
      </c>
      <c r="AB50" s="313"/>
      <c r="AC50" s="313"/>
      <c r="AD50" s="313"/>
      <c r="AE50" s="313"/>
      <c r="AF50" s="314"/>
      <c r="AG50" s="315" t="s">
        <v>148</v>
      </c>
      <c r="AH50" s="316"/>
      <c r="AI50" s="316"/>
      <c r="AJ50" s="316"/>
      <c r="AK50" s="316"/>
      <c r="AL50" s="317"/>
      <c r="AM50" s="318">
        <f>SUM(U48,X48,AA48,AD48,AG48,AJ48,AM48,AP48,AS48,AV48)</f>
        <v>-123796594.32000002</v>
      </c>
      <c r="AN50" s="319"/>
      <c r="AO50" s="319"/>
      <c r="AP50" s="319"/>
      <c r="AQ50" s="319"/>
      <c r="AR50" s="320"/>
      <c r="AS50" s="321" t="s">
        <v>149</v>
      </c>
      <c r="AT50" s="322"/>
      <c r="AU50" s="323"/>
      <c r="AV50" s="321">
        <f>AA50-AM50</f>
        <v>0</v>
      </c>
      <c r="AW50" s="322"/>
      <c r="AX50" s="322"/>
      <c r="AY50" s="585"/>
      <c r="AZ50" s="324">
        <v>42751</v>
      </c>
      <c r="BA50" s="325"/>
      <c r="BB50" s="326"/>
      <c r="BC50" s="324">
        <v>43116</v>
      </c>
      <c r="BD50" s="325"/>
      <c r="BE50" s="326"/>
      <c r="BF50" s="329" t="s">
        <v>46</v>
      </c>
      <c r="BG50" s="330"/>
      <c r="BH50" s="331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332"/>
      <c r="BT50" s="333"/>
      <c r="BU50" s="566"/>
      <c r="BV50" s="328"/>
      <c r="BW50" s="334"/>
      <c r="BX50" s="118"/>
      <c r="BY50" s="119"/>
      <c r="BZ50" s="194"/>
      <c r="CA50" s="119"/>
      <c r="CB50" s="194"/>
      <c r="CC50" s="119"/>
      <c r="CD50" s="194"/>
      <c r="CE50" s="119"/>
      <c r="CF50" s="194"/>
      <c r="CG50" s="119"/>
      <c r="CH50" s="194"/>
      <c r="CI50" s="119"/>
      <c r="CJ50" s="194"/>
      <c r="CK50" s="328"/>
      <c r="CL50" s="335"/>
      <c r="CM50" s="334"/>
      <c r="CN50" s="328"/>
      <c r="CO50" s="335"/>
      <c r="CP50" s="334"/>
      <c r="CQ50" s="328"/>
      <c r="CR50" s="335"/>
      <c r="CS50" s="334"/>
      <c r="CT50" s="327"/>
      <c r="CU50" s="328"/>
      <c r="CV50" s="455"/>
    </row>
    <row r="51" spans="1:159" ht="27.75" customHeight="1" x14ac:dyDescent="0.3">
      <c r="A51" s="595"/>
      <c r="B51" s="595"/>
      <c r="C51" s="595"/>
      <c r="D51" s="595"/>
      <c r="E51" s="595"/>
      <c r="F51" s="595"/>
      <c r="G51" s="595"/>
      <c r="H51" s="595"/>
      <c r="I51" s="595"/>
      <c r="J51" s="595"/>
      <c r="K51" s="595"/>
      <c r="L51" s="595"/>
      <c r="M51" s="595"/>
      <c r="N51" s="595"/>
      <c r="O51" s="595"/>
      <c r="P51" s="595"/>
      <c r="Q51" s="595"/>
      <c r="R51" s="595"/>
      <c r="S51" s="595"/>
      <c r="T51" s="34"/>
      <c r="U51" s="596" t="s">
        <v>150</v>
      </c>
      <c r="V51" s="597"/>
      <c r="W51" s="597"/>
      <c r="X51" s="597"/>
      <c r="Y51" s="597"/>
      <c r="Z51" s="598"/>
      <c r="AA51" s="312">
        <f>SUM(U44:AX44)</f>
        <v>724880.52000000142</v>
      </c>
      <c r="AB51" s="313"/>
      <c r="AC51" s="313"/>
      <c r="AD51" s="313"/>
      <c r="AE51" s="313"/>
      <c r="AF51" s="314"/>
      <c r="AG51" s="599" t="s">
        <v>151</v>
      </c>
      <c r="AH51" s="600"/>
      <c r="AI51" s="600"/>
      <c r="AJ51" s="600"/>
      <c r="AK51" s="600"/>
      <c r="AL51" s="601"/>
      <c r="AM51" s="602">
        <f>SUM(U45:AX45)</f>
        <v>724880.52000000142</v>
      </c>
      <c r="AN51" s="602"/>
      <c r="AO51" s="602"/>
      <c r="AP51" s="602"/>
      <c r="AQ51" s="602"/>
      <c r="AR51" s="602"/>
      <c r="AS51" s="321" t="s">
        <v>149</v>
      </c>
      <c r="AT51" s="322"/>
      <c r="AU51" s="323"/>
      <c r="AV51" s="321">
        <f>AA51-AM51</f>
        <v>0</v>
      </c>
      <c r="AW51" s="322"/>
      <c r="AX51" s="323"/>
      <c r="AY51" s="585"/>
      <c r="AZ51" s="329">
        <f>SUM(AZ47,BC47,BF47)</f>
        <v>1267242</v>
      </c>
      <c r="BA51" s="330"/>
      <c r="BB51" s="331"/>
      <c r="BC51" s="329">
        <f>SUM(AZ48:BG48)</f>
        <v>-180711300</v>
      </c>
      <c r="BD51" s="330"/>
      <c r="BE51" s="331"/>
      <c r="BF51" s="329">
        <v>643100</v>
      </c>
      <c r="BG51" s="330"/>
      <c r="BH51" s="330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332"/>
      <c r="BT51" s="333"/>
      <c r="BU51" s="566"/>
      <c r="BV51" s="243"/>
      <c r="BW51" s="35"/>
      <c r="BX51" s="35"/>
      <c r="BY51" s="122"/>
      <c r="BZ51" s="189"/>
      <c r="CA51" s="122"/>
      <c r="CB51" s="189"/>
      <c r="CC51" s="122"/>
      <c r="CD51" s="189"/>
      <c r="CE51" s="122"/>
      <c r="CF51" s="189"/>
      <c r="CG51" s="122"/>
      <c r="CH51" s="189"/>
      <c r="CI51" s="122"/>
      <c r="CJ51" s="189"/>
      <c r="CK51" s="122"/>
      <c r="CL51" s="189"/>
      <c r="CM51" s="35"/>
      <c r="CN51" s="122"/>
      <c r="CO51" s="189"/>
      <c r="CP51" s="35"/>
      <c r="CQ51" s="111"/>
      <c r="CR51" s="189"/>
      <c r="CS51" s="35"/>
      <c r="CT51" s="122"/>
    </row>
    <row r="52" spans="1:159" ht="22.5" customHeight="1" x14ac:dyDescent="0.4">
      <c r="A52" s="605"/>
      <c r="B52" s="605"/>
      <c r="C52" s="605"/>
      <c r="D52" s="606"/>
      <c r="E52" s="606"/>
      <c r="F52" s="606"/>
      <c r="G52" s="607"/>
      <c r="H52" s="607"/>
      <c r="I52" s="607"/>
      <c r="J52" s="607"/>
      <c r="K52" s="123"/>
      <c r="L52" s="606"/>
      <c r="M52" s="606"/>
      <c r="N52" s="606"/>
      <c r="O52" s="606"/>
      <c r="P52" s="36"/>
      <c r="Q52" s="36"/>
      <c r="R52" s="124"/>
      <c r="S52" s="37"/>
      <c r="T52" s="38"/>
      <c r="U52" s="608"/>
      <c r="V52" s="608"/>
      <c r="W52" s="39"/>
      <c r="X52" s="609"/>
      <c r="Y52" s="609"/>
      <c r="Z52" s="7"/>
      <c r="AA52" s="125"/>
      <c r="AY52" s="585"/>
    </row>
    <row r="53" spans="1:159" ht="25.5" customHeight="1" x14ac:dyDescent="0.25">
      <c r="A53" s="610">
        <v>487.2</v>
      </c>
      <c r="B53" s="610"/>
      <c r="C53" s="610"/>
      <c r="D53" s="610"/>
      <c r="E53" s="610"/>
      <c r="F53" s="610"/>
      <c r="G53" s="610"/>
      <c r="H53" s="610"/>
      <c r="I53" s="610"/>
      <c r="J53" s="610"/>
      <c r="K53" s="610"/>
      <c r="L53" s="610"/>
      <c r="M53" s="610"/>
      <c r="N53" s="610"/>
      <c r="O53" s="610"/>
      <c r="P53" s="610"/>
      <c r="Q53" s="610"/>
      <c r="R53" s="610"/>
      <c r="S53" s="610"/>
      <c r="T53" s="610"/>
      <c r="U53" s="610"/>
      <c r="V53" s="610"/>
      <c r="W53" s="610"/>
      <c r="X53" s="610"/>
      <c r="Y53" s="610"/>
      <c r="Z53" s="610"/>
      <c r="AA53" s="610"/>
      <c r="AB53" s="610"/>
      <c r="AC53" s="610"/>
      <c r="AD53" s="610"/>
      <c r="AE53" s="610"/>
      <c r="AF53" s="610"/>
      <c r="AG53" s="610"/>
      <c r="AH53" s="610"/>
      <c r="AI53" s="610"/>
      <c r="AJ53" s="610"/>
      <c r="AK53" s="610"/>
      <c r="AL53" s="610"/>
      <c r="AM53" s="610"/>
      <c r="AN53" s="610"/>
      <c r="AO53" s="610"/>
      <c r="AP53" s="610"/>
      <c r="AQ53" s="610"/>
      <c r="AR53" s="610"/>
      <c r="AS53" s="610"/>
      <c r="AT53" s="610"/>
      <c r="AU53" s="610"/>
      <c r="AV53" s="610"/>
      <c r="AW53" s="610"/>
      <c r="AX53" s="610"/>
      <c r="AY53" s="610"/>
      <c r="AZ53" s="610"/>
      <c r="BA53" s="610"/>
      <c r="BB53" s="610"/>
      <c r="BC53" s="610"/>
      <c r="BD53" s="610"/>
      <c r="BE53" s="610"/>
      <c r="BF53" s="610"/>
      <c r="BG53" s="610"/>
      <c r="BH53" s="610"/>
      <c r="BI53" s="610"/>
      <c r="BJ53" s="610"/>
      <c r="BK53" s="610"/>
      <c r="BL53" s="610"/>
      <c r="BM53" s="610"/>
      <c r="BN53" s="610"/>
      <c r="BO53" s="610"/>
      <c r="BP53" s="610"/>
      <c r="BQ53" s="610"/>
      <c r="BR53" s="610"/>
      <c r="BS53" s="610"/>
      <c r="BT53" s="610"/>
      <c r="BU53" s="610"/>
      <c r="BV53" s="610"/>
      <c r="BW53" s="610"/>
      <c r="BX53" s="610"/>
      <c r="BY53" s="610"/>
      <c r="BZ53" s="610"/>
      <c r="CA53" s="610"/>
      <c r="CB53" s="610"/>
      <c r="CC53" s="610"/>
      <c r="CD53" s="610"/>
      <c r="CE53" s="610"/>
      <c r="CF53" s="610"/>
      <c r="CG53" s="610"/>
      <c r="CH53" s="610"/>
      <c r="CI53" s="610"/>
      <c r="CJ53" s="610"/>
      <c r="CK53" s="610"/>
      <c r="CL53" s="610"/>
      <c r="CM53" s="610"/>
      <c r="CN53" s="610"/>
      <c r="CO53" s="610"/>
      <c r="CP53" s="610"/>
      <c r="CQ53" s="610"/>
      <c r="CR53" s="610"/>
      <c r="CS53" s="610"/>
      <c r="CT53" s="610"/>
      <c r="CU53" s="610"/>
    </row>
    <row r="54" spans="1:159" s="1" customFormat="1" ht="12.75" customHeight="1" x14ac:dyDescent="0.4">
      <c r="A54" s="605"/>
      <c r="B54" s="605"/>
      <c r="C54" s="605"/>
      <c r="D54" s="605"/>
      <c r="E54" s="605"/>
      <c r="F54" s="605"/>
      <c r="G54" s="605"/>
      <c r="H54" s="605"/>
      <c r="I54" s="605"/>
      <c r="J54" s="605"/>
      <c r="K54" s="605"/>
      <c r="L54" s="605"/>
      <c r="M54" s="605"/>
      <c r="N54" s="605"/>
      <c r="O54" s="605"/>
      <c r="P54" s="605"/>
      <c r="Q54" s="40"/>
      <c r="R54" s="40"/>
      <c r="S54" s="167"/>
      <c r="T54" s="38"/>
      <c r="U54" s="616"/>
      <c r="V54" s="616"/>
      <c r="W54" s="616"/>
      <c r="X54" s="616"/>
      <c r="Y54" s="616"/>
      <c r="Z54" s="8"/>
      <c r="AA54" s="111"/>
      <c r="AB54" s="2"/>
      <c r="AD54" s="112"/>
      <c r="AE54" s="2"/>
      <c r="AG54" s="112"/>
      <c r="AH54" s="2"/>
      <c r="AJ54" s="112"/>
      <c r="AK54" s="2"/>
      <c r="AL54" s="2"/>
      <c r="AM54" s="112"/>
      <c r="AN54" s="2"/>
      <c r="AO54" s="2"/>
      <c r="AP54" s="112"/>
      <c r="AQ54" s="2"/>
      <c r="AR54" s="2"/>
      <c r="AS54" s="112"/>
      <c r="AT54" s="2"/>
      <c r="AU54" s="2"/>
      <c r="AV54" s="112"/>
      <c r="AW54" s="2"/>
      <c r="AX54" s="2"/>
      <c r="AY54" s="2"/>
      <c r="AZ54" s="111"/>
      <c r="BA54" s="180"/>
      <c r="BB54"/>
      <c r="BC54" s="112"/>
      <c r="BD54" s="180"/>
      <c r="BE54"/>
      <c r="BF54" s="112"/>
      <c r="BG54" s="180"/>
      <c r="BH54"/>
      <c r="BI54"/>
      <c r="BJ54"/>
      <c r="BK54"/>
      <c r="BL54"/>
      <c r="BM54"/>
      <c r="BN54"/>
      <c r="BO54"/>
      <c r="BP54"/>
      <c r="BQ54"/>
      <c r="BR54"/>
      <c r="BS54" s="112"/>
      <c r="BT54" s="188"/>
      <c r="BU54"/>
      <c r="BV54" s="244"/>
      <c r="BW54"/>
      <c r="BX54"/>
      <c r="BY54" s="112"/>
      <c r="BZ54" s="188"/>
      <c r="CA54" s="112"/>
      <c r="CB54" s="188"/>
      <c r="CC54" s="112"/>
      <c r="CD54" s="188"/>
      <c r="CE54" s="112"/>
      <c r="CF54" s="188"/>
      <c r="CG54" s="112"/>
      <c r="CH54" s="188"/>
      <c r="CI54" s="112"/>
      <c r="CJ54" s="188"/>
      <c r="CK54" s="112"/>
      <c r="CL54" s="188"/>
      <c r="CM54"/>
      <c r="CN54" s="112"/>
      <c r="CO54" s="188"/>
      <c r="CP54"/>
      <c r="CQ54" s="112"/>
      <c r="CR54" s="188"/>
      <c r="CS54"/>
      <c r="CT54" s="112"/>
      <c r="CU54" s="190"/>
      <c r="CV54"/>
      <c r="CW54" s="111"/>
      <c r="CX54" s="2"/>
      <c r="CY54" s="111"/>
      <c r="CZ54" s="2"/>
      <c r="DA54" s="111"/>
      <c r="DB54" s="2"/>
      <c r="DC54" s="111"/>
      <c r="DD54" s="2"/>
      <c r="DE54" s="111"/>
      <c r="DF54" s="2"/>
      <c r="DG54" s="111"/>
      <c r="DH54" s="2"/>
      <c r="DI54" s="111"/>
      <c r="DJ54" s="2"/>
      <c r="DK54" s="111"/>
      <c r="DL54" s="2"/>
      <c r="DM54" s="111"/>
      <c r="DN54" s="2"/>
      <c r="DO54" s="111"/>
      <c r="DP54" s="2"/>
      <c r="DQ54" s="111"/>
      <c r="DR54" s="2"/>
      <c r="DT54" s="111"/>
      <c r="DU54" s="224"/>
      <c r="DV54" s="111"/>
      <c r="DW54" s="219"/>
      <c r="DX54" s="111"/>
      <c r="DY54" s="224"/>
      <c r="DZ54" s="111"/>
      <c r="EA54" s="224"/>
      <c r="EB54" s="111"/>
      <c r="EC54" s="224"/>
      <c r="ED54" s="111"/>
      <c r="EE54" s="224"/>
      <c r="EG54" s="111"/>
      <c r="EH54" s="190"/>
      <c r="EI54" s="111"/>
      <c r="EJ54" s="190"/>
      <c r="EK54" s="111"/>
      <c r="EL54" s="190"/>
      <c r="EM54" s="111"/>
      <c r="EN54" s="190"/>
      <c r="EO54" s="111"/>
      <c r="EP54" s="190"/>
      <c r="EQ54" s="111"/>
      <c r="ER54" s="190"/>
      <c r="ET54" s="111"/>
      <c r="EU54" s="190"/>
      <c r="EV54" s="111"/>
      <c r="EW54" s="190"/>
      <c r="EX54" s="111"/>
      <c r="EY54" s="190"/>
      <c r="EZ54" s="111"/>
      <c r="FA54" s="190"/>
      <c r="FB54" s="111"/>
      <c r="FC54" s="190"/>
    </row>
    <row r="55" spans="1:159" s="1" customFormat="1" ht="24" customHeight="1" x14ac:dyDescent="0.25">
      <c r="A55" s="614"/>
      <c r="B55" s="614"/>
      <c r="C55" s="614"/>
      <c r="D55" s="614"/>
      <c r="E55" s="614"/>
      <c r="F55" s="614"/>
      <c r="G55" s="614"/>
      <c r="H55" s="614"/>
      <c r="I55" s="614"/>
      <c r="J55" s="614"/>
      <c r="K55" s="614"/>
      <c r="L55" s="614"/>
      <c r="M55" s="614"/>
      <c r="N55" s="614"/>
      <c r="O55" s="614"/>
      <c r="P55" s="614"/>
      <c r="Q55" s="614"/>
      <c r="R55" s="614"/>
      <c r="S55" s="614"/>
      <c r="T55" s="614"/>
      <c r="U55" s="614"/>
      <c r="V55" s="614"/>
      <c r="W55" s="614"/>
      <c r="X55" s="617"/>
      <c r="Y55" s="614"/>
      <c r="Z55" s="614"/>
      <c r="AA55" s="614"/>
      <c r="AB55" s="614"/>
      <c r="AC55" s="614"/>
      <c r="AD55" s="614"/>
      <c r="AE55" s="614"/>
      <c r="AF55" s="614"/>
      <c r="AG55" s="614"/>
      <c r="AH55" s="614"/>
      <c r="AI55" s="614"/>
      <c r="AJ55" s="614"/>
      <c r="AK55" s="615"/>
      <c r="AL55" s="614"/>
      <c r="AM55" s="614"/>
      <c r="AN55" s="614"/>
      <c r="AO55" s="614"/>
      <c r="AP55" s="614"/>
      <c r="AQ55" s="614"/>
      <c r="AR55" s="614"/>
      <c r="AS55" s="614"/>
      <c r="AT55" s="614"/>
      <c r="AU55" s="614"/>
      <c r="AV55" s="614"/>
      <c r="AW55" s="614"/>
      <c r="AX55" s="614"/>
      <c r="AY55" s="615"/>
      <c r="AZ55" s="615"/>
      <c r="BA55" s="615"/>
      <c r="BB55" s="615"/>
      <c r="BC55" s="615"/>
      <c r="BD55" s="615"/>
      <c r="BE55" s="615"/>
      <c r="BF55" s="615"/>
      <c r="BG55" s="615"/>
      <c r="BH55" s="615"/>
      <c r="BI55"/>
      <c r="BJ55"/>
      <c r="BK55"/>
      <c r="BL55"/>
      <c r="BM55"/>
      <c r="BN55"/>
      <c r="BO55"/>
      <c r="BP55"/>
      <c r="BQ55"/>
      <c r="BR55"/>
      <c r="BS55" s="112"/>
      <c r="BT55" s="188"/>
      <c r="BU55"/>
      <c r="BV55" s="244"/>
      <c r="BW55"/>
      <c r="BX55"/>
      <c r="BY55" s="112"/>
      <c r="BZ55" s="188"/>
      <c r="CA55" s="112"/>
      <c r="CB55" s="188"/>
      <c r="CC55" s="112"/>
      <c r="CD55" s="188"/>
      <c r="CE55" s="112"/>
      <c r="CF55" s="188"/>
      <c r="CG55" s="112"/>
      <c r="CH55" s="188"/>
      <c r="CI55" s="112"/>
      <c r="CJ55" s="188"/>
      <c r="CK55" s="112"/>
      <c r="CL55" s="188"/>
      <c r="CM55"/>
      <c r="CN55" s="112"/>
      <c r="CO55" s="188"/>
      <c r="CP55"/>
      <c r="CQ55" s="112"/>
      <c r="CR55" s="188"/>
      <c r="CS55"/>
      <c r="CT55" s="112"/>
      <c r="CU55" s="190"/>
      <c r="CW55" s="111"/>
      <c r="CX55" s="2"/>
      <c r="CY55" s="111"/>
      <c r="CZ55" s="2"/>
      <c r="DA55" s="111"/>
      <c r="DB55" s="2"/>
      <c r="DC55" s="111"/>
      <c r="DD55" s="2"/>
      <c r="DE55" s="111"/>
      <c r="DF55" s="2"/>
      <c r="DG55" s="111"/>
      <c r="DH55" s="2"/>
      <c r="DI55" s="111"/>
      <c r="DJ55" s="2"/>
      <c r="DK55" s="111"/>
      <c r="DL55" s="2"/>
      <c r="DM55" s="111"/>
      <c r="DN55" s="2"/>
      <c r="DO55" s="111"/>
      <c r="DP55" s="2"/>
      <c r="DQ55" s="111"/>
      <c r="DR55" s="2"/>
      <c r="DT55" s="111"/>
      <c r="DU55" s="224"/>
      <c r="DV55" s="111"/>
      <c r="DW55" s="219"/>
      <c r="DX55" s="111"/>
      <c r="DY55" s="224"/>
      <c r="DZ55" s="111"/>
      <c r="EA55" s="224"/>
      <c r="EB55" s="111"/>
      <c r="EC55" s="224"/>
      <c r="ED55" s="111"/>
      <c r="EE55" s="224"/>
      <c r="EG55" s="111"/>
      <c r="EH55" s="190"/>
      <c r="EI55" s="111"/>
      <c r="EJ55" s="190"/>
      <c r="EK55" s="111"/>
      <c r="EL55" s="190"/>
      <c r="EM55" s="111"/>
      <c r="EN55" s="190"/>
      <c r="EO55" s="111"/>
      <c r="EP55" s="190"/>
      <c r="EQ55" s="111"/>
      <c r="ER55" s="190"/>
      <c r="ET55" s="111"/>
      <c r="EU55" s="190"/>
      <c r="EV55" s="111"/>
      <c r="EW55" s="190"/>
      <c r="EX55" s="111"/>
      <c r="EY55" s="190"/>
      <c r="EZ55" s="111"/>
      <c r="FA55" s="190"/>
      <c r="FB55" s="111"/>
      <c r="FC55" s="190"/>
    </row>
    <row r="56" spans="1:159" s="1" customFormat="1" ht="26.1" customHeight="1" x14ac:dyDescent="0.25">
      <c r="A56" s="611"/>
      <c r="B56" s="611"/>
      <c r="C56" s="611"/>
      <c r="D56" s="611"/>
      <c r="E56" s="611"/>
      <c r="F56" s="611"/>
      <c r="G56" s="611"/>
      <c r="H56" s="611"/>
      <c r="I56" s="611"/>
      <c r="J56" s="624"/>
      <c r="K56" s="624"/>
      <c r="L56" s="624"/>
      <c r="M56" s="624"/>
      <c r="N56" s="611"/>
      <c r="O56" s="611"/>
      <c r="P56" s="611"/>
      <c r="Q56" s="611"/>
      <c r="R56" s="611"/>
      <c r="S56" s="611"/>
      <c r="T56" s="611"/>
      <c r="U56" s="611"/>
      <c r="V56" s="612">
        <v>487.2</v>
      </c>
      <c r="W56" s="612"/>
      <c r="X56" s="617"/>
      <c r="Y56" s="613"/>
      <c r="Z56" s="613"/>
      <c r="AA56" s="613"/>
      <c r="AB56" s="613"/>
      <c r="AC56" s="613"/>
      <c r="AD56" s="613"/>
      <c r="AE56" s="613"/>
      <c r="AF56" s="613"/>
      <c r="AG56" s="613"/>
      <c r="AH56" s="613"/>
      <c r="AI56" s="613"/>
      <c r="AJ56" s="613"/>
      <c r="AK56" s="615"/>
      <c r="AL56" s="613"/>
      <c r="AM56" s="613"/>
      <c r="AN56" s="613"/>
      <c r="AO56" s="613"/>
      <c r="AP56" s="613"/>
      <c r="AQ56" s="613"/>
      <c r="AR56" s="613"/>
      <c r="AS56" s="613"/>
      <c r="AT56" s="613"/>
      <c r="AU56" s="613"/>
      <c r="AV56" s="613"/>
      <c r="AW56" s="613"/>
      <c r="AX56" s="614"/>
      <c r="AY56" s="622"/>
      <c r="AZ56" s="622"/>
      <c r="BA56" s="622"/>
      <c r="BB56" s="622"/>
      <c r="BC56" s="622"/>
      <c r="BD56" s="622"/>
      <c r="BE56" s="622"/>
      <c r="BF56" s="622"/>
      <c r="BG56" s="622"/>
      <c r="BH56" s="622"/>
      <c r="BI56"/>
      <c r="BJ56"/>
      <c r="BK56"/>
      <c r="BL56"/>
      <c r="BM56"/>
      <c r="BN56"/>
      <c r="BO56"/>
      <c r="BP56"/>
      <c r="BQ56"/>
      <c r="BR56"/>
      <c r="BS56" s="112"/>
      <c r="BT56" s="188"/>
      <c r="BU56"/>
      <c r="BV56" s="244"/>
      <c r="BW56"/>
      <c r="BX56"/>
      <c r="BY56" s="112"/>
      <c r="BZ56" s="188"/>
      <c r="CA56" s="112"/>
      <c r="CB56" s="188"/>
      <c r="CC56" s="112"/>
      <c r="CD56" s="188"/>
      <c r="CE56" s="112"/>
      <c r="CF56" s="188"/>
      <c r="CG56" s="112"/>
      <c r="CH56" s="188"/>
      <c r="CI56" s="112"/>
      <c r="CJ56" s="188"/>
      <c r="CK56" s="112"/>
      <c r="CL56" s="188"/>
      <c r="CM56"/>
      <c r="CN56" s="112"/>
      <c r="CO56" s="188"/>
      <c r="CP56"/>
      <c r="CQ56" s="112"/>
      <c r="CR56" s="188"/>
      <c r="CS56"/>
      <c r="CT56" s="112"/>
      <c r="CU56" s="190"/>
      <c r="CW56" s="111"/>
      <c r="CX56" s="2"/>
      <c r="CY56" s="111"/>
      <c r="CZ56" s="2"/>
      <c r="DA56" s="111"/>
      <c r="DB56" s="2"/>
      <c r="DC56" s="111"/>
      <c r="DD56" s="2"/>
      <c r="DE56" s="111"/>
      <c r="DF56" s="2"/>
      <c r="DG56" s="111"/>
      <c r="DH56" s="2"/>
      <c r="DI56" s="111"/>
      <c r="DJ56" s="2"/>
      <c r="DK56" s="111"/>
      <c r="DL56" s="2"/>
      <c r="DM56" s="111"/>
      <c r="DN56" s="2"/>
      <c r="DO56" s="111"/>
      <c r="DP56" s="2"/>
      <c r="DQ56" s="111"/>
      <c r="DR56" s="2"/>
      <c r="DT56" s="111"/>
      <c r="DU56" s="224"/>
      <c r="DV56" s="111"/>
      <c r="DW56" s="219"/>
      <c r="DX56" s="111"/>
      <c r="DY56" s="224"/>
      <c r="DZ56" s="111"/>
      <c r="EA56" s="224"/>
      <c r="EB56" s="111"/>
      <c r="EC56" s="224"/>
      <c r="ED56" s="111"/>
      <c r="EE56" s="224"/>
      <c r="EG56" s="111"/>
      <c r="EH56" s="190"/>
      <c r="EI56" s="111"/>
      <c r="EJ56" s="190"/>
      <c r="EK56" s="111"/>
      <c r="EL56" s="190"/>
      <c r="EM56" s="111"/>
      <c r="EN56" s="190"/>
      <c r="EO56" s="111"/>
      <c r="EP56" s="190"/>
      <c r="EQ56" s="111"/>
      <c r="ER56" s="190"/>
      <c r="ET56" s="111"/>
      <c r="EU56" s="190"/>
      <c r="EV56" s="111"/>
      <c r="EW56" s="190"/>
      <c r="EX56" s="111"/>
      <c r="EY56" s="190"/>
      <c r="EZ56" s="111"/>
      <c r="FA56" s="190"/>
      <c r="FB56" s="111"/>
      <c r="FC56" s="190"/>
    </row>
    <row r="57" spans="1:159" s="1" customFormat="1" ht="26.1" customHeight="1" x14ac:dyDescent="0.25">
      <c r="A57" s="42"/>
      <c r="B57" s="148"/>
      <c r="C57" s="126"/>
      <c r="D57" s="146"/>
      <c r="E57" s="43"/>
      <c r="F57" s="87"/>
      <c r="G57" s="43"/>
      <c r="H57" s="41">
        <v>487.2</v>
      </c>
      <c r="I57" s="126"/>
      <c r="J57" s="143"/>
      <c r="K57" s="126"/>
      <c r="L57" s="143"/>
      <c r="M57" s="126"/>
      <c r="N57" s="143"/>
      <c r="O57" s="126"/>
      <c r="P57" s="143"/>
      <c r="Q57" s="43"/>
      <c r="R57" s="87"/>
      <c r="S57" s="43"/>
      <c r="T57" s="41"/>
      <c r="U57" s="126"/>
      <c r="V57" s="143"/>
      <c r="W57" s="43"/>
      <c r="X57" s="617"/>
      <c r="Y57" s="143"/>
      <c r="Z57" s="41"/>
      <c r="AA57" s="87"/>
      <c r="AB57" s="143"/>
      <c r="AC57" s="41">
        <v>487.2</v>
      </c>
      <c r="AD57" s="87"/>
      <c r="AE57" s="143"/>
      <c r="AF57" s="41"/>
      <c r="AG57" s="87"/>
      <c r="AH57" s="143"/>
      <c r="AI57" s="41"/>
      <c r="AJ57" s="87"/>
      <c r="AK57" s="615"/>
      <c r="AL57" s="41"/>
      <c r="AM57" s="87"/>
      <c r="AN57" s="143"/>
      <c r="AO57" s="41"/>
      <c r="AP57" s="87"/>
      <c r="AQ57" s="143"/>
      <c r="AR57" s="41"/>
      <c r="AS57" s="87"/>
      <c r="AT57" s="143">
        <v>487.2</v>
      </c>
      <c r="AU57" s="41"/>
      <c r="AV57" s="87"/>
      <c r="AW57" s="143"/>
      <c r="AX57" s="614"/>
      <c r="AY57" s="41"/>
      <c r="AZ57" s="126"/>
      <c r="BA57" s="175"/>
      <c r="BB57" s="43"/>
      <c r="BC57" s="87"/>
      <c r="BD57" s="177"/>
      <c r="BE57" s="41"/>
      <c r="BF57" s="126"/>
      <c r="BG57" s="175"/>
      <c r="BH57" s="43"/>
      <c r="BI57"/>
      <c r="BJ57"/>
      <c r="BK57"/>
      <c r="BL57"/>
      <c r="BM57"/>
      <c r="BN57"/>
      <c r="BO57"/>
      <c r="BP57"/>
      <c r="BQ57"/>
      <c r="BR57"/>
      <c r="BS57" s="112"/>
      <c r="BT57" s="188"/>
      <c r="BU57"/>
      <c r="BV57" s="244"/>
      <c r="BW57"/>
      <c r="BX57"/>
      <c r="BY57" s="112"/>
      <c r="BZ57" s="188"/>
      <c r="CA57" s="112"/>
      <c r="CB57" s="188"/>
      <c r="CC57" s="112"/>
      <c r="CD57" s="188"/>
      <c r="CE57" s="112"/>
      <c r="CF57" s="188"/>
      <c r="CG57" s="112"/>
      <c r="CH57" s="188"/>
      <c r="CI57" s="112"/>
      <c r="CJ57" s="188"/>
      <c r="CK57" s="112"/>
      <c r="CL57" s="188"/>
      <c r="CM57"/>
      <c r="CN57" s="112"/>
      <c r="CO57" s="188"/>
      <c r="CP57"/>
      <c r="CQ57" s="112"/>
      <c r="CR57" s="188"/>
      <c r="CS57"/>
      <c r="CT57" s="112"/>
      <c r="CU57" s="190"/>
      <c r="CW57" s="111"/>
      <c r="CX57" s="2"/>
      <c r="CY57" s="111"/>
      <c r="CZ57" s="2"/>
      <c r="DA57" s="111"/>
      <c r="DB57" s="2"/>
      <c r="DC57" s="111"/>
      <c r="DD57" s="2"/>
      <c r="DE57" s="111"/>
      <c r="DF57" s="2"/>
      <c r="DG57" s="111"/>
      <c r="DH57" s="2"/>
      <c r="DI57" s="111"/>
      <c r="DJ57" s="2"/>
      <c r="DK57" s="111"/>
      <c r="DL57" s="2"/>
      <c r="DM57" s="111"/>
      <c r="DN57" s="2"/>
      <c r="DO57" s="111"/>
      <c r="DP57" s="2"/>
      <c r="DQ57" s="111"/>
      <c r="DR57" s="2"/>
      <c r="DT57" s="111"/>
      <c r="DU57" s="224"/>
      <c r="DV57" s="111"/>
      <c r="DW57" s="219"/>
      <c r="DX57" s="111"/>
      <c r="DY57" s="224"/>
      <c r="DZ57" s="111"/>
      <c r="EA57" s="224"/>
      <c r="EB57" s="111"/>
      <c r="EC57" s="224"/>
      <c r="ED57" s="111"/>
      <c r="EE57" s="224"/>
      <c r="EG57" s="111"/>
      <c r="EH57" s="190"/>
      <c r="EI57" s="111"/>
      <c r="EJ57" s="190"/>
      <c r="EK57" s="111"/>
      <c r="EL57" s="190"/>
      <c r="EM57" s="111"/>
      <c r="EN57" s="190"/>
      <c r="EO57" s="111"/>
      <c r="EP57" s="190"/>
      <c r="EQ57" s="111"/>
      <c r="ER57" s="190"/>
      <c r="ET57" s="111"/>
      <c r="EU57" s="190"/>
      <c r="EV57" s="111"/>
      <c r="EW57" s="190"/>
      <c r="EX57" s="111"/>
      <c r="EY57" s="190"/>
      <c r="EZ57" s="111"/>
      <c r="FA57" s="190"/>
      <c r="FB57" s="111"/>
      <c r="FC57" s="190"/>
    </row>
    <row r="58" spans="1:159" s="1" customFormat="1" ht="26.1" customHeight="1" x14ac:dyDescent="0.3">
      <c r="A58" s="44"/>
      <c r="B58" s="151"/>
      <c r="C58" s="621"/>
      <c r="D58" s="156"/>
      <c r="E58" s="618"/>
      <c r="F58" s="45"/>
      <c r="G58" s="618"/>
      <c r="H58" s="127"/>
      <c r="I58" s="621"/>
      <c r="J58" s="160"/>
      <c r="K58" s="621"/>
      <c r="L58" s="163"/>
      <c r="M58" s="621"/>
      <c r="N58" s="160"/>
      <c r="O58" s="621"/>
      <c r="P58" s="160"/>
      <c r="Q58" s="618"/>
      <c r="R58" s="128"/>
      <c r="S58" s="141"/>
      <c r="T58" s="47"/>
      <c r="U58" s="128"/>
      <c r="V58" s="48"/>
      <c r="W58" s="618"/>
      <c r="X58" s="617"/>
      <c r="Y58" s="61"/>
      <c r="Z58" s="618"/>
      <c r="AA58" s="49"/>
      <c r="AB58" s="620"/>
      <c r="AC58" s="45"/>
      <c r="AD58" s="621"/>
      <c r="AE58" s="141"/>
      <c r="AF58" s="618"/>
      <c r="AG58" s="45"/>
      <c r="AH58" s="618"/>
      <c r="AI58" s="45"/>
      <c r="AJ58" s="621"/>
      <c r="AK58" s="615"/>
      <c r="AL58" s="51"/>
      <c r="AM58" s="621"/>
      <c r="AN58" s="171"/>
      <c r="AO58" s="618"/>
      <c r="AP58" s="52"/>
      <c r="AQ58" s="618"/>
      <c r="AR58" s="49"/>
      <c r="AS58" s="621"/>
      <c r="AT58" s="61"/>
      <c r="AU58" s="618"/>
      <c r="AV58" s="53"/>
      <c r="AW58" s="619"/>
      <c r="AX58" s="614"/>
      <c r="AY58" s="54"/>
      <c r="AZ58" s="621"/>
      <c r="BA58" s="178"/>
      <c r="BB58" s="618"/>
      <c r="BC58" s="55"/>
      <c r="BD58" s="623"/>
      <c r="BE58" s="55"/>
      <c r="BF58" s="621"/>
      <c r="BG58" s="178"/>
      <c r="BH58" s="618"/>
      <c r="BI58"/>
      <c r="BJ58"/>
      <c r="BK58"/>
      <c r="BL58"/>
      <c r="BM58"/>
      <c r="BN58"/>
      <c r="BO58"/>
      <c r="BP58"/>
      <c r="BQ58"/>
      <c r="BR58"/>
      <c r="BS58" s="112"/>
      <c r="BT58" s="188"/>
      <c r="BU58"/>
      <c r="BV58" s="244"/>
      <c r="BW58"/>
      <c r="BX58"/>
      <c r="BY58" s="112"/>
      <c r="BZ58" s="188"/>
      <c r="CA58" s="112"/>
      <c r="CB58" s="188"/>
      <c r="CC58" s="112"/>
      <c r="CD58" s="188"/>
      <c r="CE58" s="112"/>
      <c r="CF58" s="188"/>
      <c r="CG58" s="112"/>
      <c r="CH58" s="188"/>
      <c r="CI58" s="112"/>
      <c r="CJ58" s="188"/>
      <c r="CK58" s="112"/>
      <c r="CL58" s="188"/>
      <c r="CM58"/>
      <c r="CN58" s="112"/>
      <c r="CO58" s="188"/>
      <c r="CP58"/>
      <c r="CQ58" s="112"/>
      <c r="CR58" s="188"/>
      <c r="CS58"/>
      <c r="CT58" s="112"/>
      <c r="CU58" s="190"/>
      <c r="CW58" s="111"/>
      <c r="CX58" s="2"/>
      <c r="CY58" s="111"/>
      <c r="CZ58" s="2"/>
      <c r="DA58" s="111"/>
      <c r="DB58" s="2"/>
      <c r="DC58" s="111"/>
      <c r="DD58" s="2"/>
      <c r="DE58" s="111"/>
      <c r="DF58" s="2"/>
      <c r="DG58" s="111"/>
      <c r="DH58" s="2"/>
      <c r="DI58" s="111"/>
      <c r="DJ58" s="2"/>
      <c r="DK58" s="111"/>
      <c r="DL58" s="2"/>
      <c r="DM58" s="111"/>
      <c r="DN58" s="2"/>
      <c r="DO58" s="111"/>
      <c r="DP58" s="2"/>
      <c r="DQ58" s="111"/>
      <c r="DR58" s="2"/>
      <c r="DT58" s="111"/>
      <c r="DU58" s="224"/>
      <c r="DV58" s="111"/>
      <c r="DW58" s="219"/>
      <c r="DX58" s="111"/>
      <c r="DY58" s="224"/>
      <c r="DZ58" s="111"/>
      <c r="EA58" s="224"/>
      <c r="EB58" s="111"/>
      <c r="EC58" s="224"/>
      <c r="ED58" s="111"/>
      <c r="EE58" s="224"/>
      <c r="EG58" s="111"/>
      <c r="EH58" s="190"/>
      <c r="EI58" s="111"/>
      <c r="EJ58" s="190"/>
      <c r="EK58" s="111"/>
      <c r="EL58" s="190"/>
      <c r="EM58" s="111"/>
      <c r="EN58" s="190"/>
      <c r="EO58" s="111"/>
      <c r="EP58" s="190"/>
      <c r="EQ58" s="111"/>
      <c r="ER58" s="190"/>
      <c r="ET58" s="111"/>
      <c r="EU58" s="190"/>
      <c r="EV58" s="111"/>
      <c r="EW58" s="190"/>
      <c r="EX58" s="111"/>
      <c r="EY58" s="190"/>
      <c r="EZ58" s="111"/>
      <c r="FA58" s="190"/>
      <c r="FB58" s="111"/>
      <c r="FC58" s="190"/>
    </row>
    <row r="59" spans="1:159" s="1" customFormat="1" ht="26.1" customHeight="1" x14ac:dyDescent="0.3">
      <c r="A59" s="44"/>
      <c r="B59" s="152"/>
      <c r="C59" s="621"/>
      <c r="D59" s="157"/>
      <c r="E59" s="618"/>
      <c r="F59" s="57"/>
      <c r="G59" s="618"/>
      <c r="H59" s="129"/>
      <c r="I59" s="621"/>
      <c r="J59" s="144"/>
      <c r="K59" s="621"/>
      <c r="L59" s="144"/>
      <c r="M59" s="621"/>
      <c r="N59" s="165"/>
      <c r="O59" s="621"/>
      <c r="P59" s="160"/>
      <c r="Q59" s="618"/>
      <c r="R59" s="128"/>
      <c r="S59" s="141"/>
      <c r="T59" s="47"/>
      <c r="U59" s="128"/>
      <c r="V59" s="48"/>
      <c r="W59" s="618"/>
      <c r="X59" s="617"/>
      <c r="Y59" s="144"/>
      <c r="Z59" s="618"/>
      <c r="AA59" s="49"/>
      <c r="AB59" s="620"/>
      <c r="AC59" s="57"/>
      <c r="AD59" s="621"/>
      <c r="AE59" s="141"/>
      <c r="AF59" s="618"/>
      <c r="AG59" s="57"/>
      <c r="AH59" s="618"/>
      <c r="AI59" s="57"/>
      <c r="AJ59" s="621"/>
      <c r="AK59" s="615"/>
      <c r="AL59" s="51"/>
      <c r="AM59" s="621"/>
      <c r="AN59" s="172"/>
      <c r="AO59" s="618"/>
      <c r="AP59" s="52"/>
      <c r="AQ59" s="618"/>
      <c r="AR59" s="58"/>
      <c r="AS59" s="621"/>
      <c r="AT59" s="172"/>
      <c r="AU59" s="618"/>
      <c r="AV59" s="59"/>
      <c r="AW59" s="620"/>
      <c r="AX59" s="614"/>
      <c r="AY59" s="60"/>
      <c r="AZ59" s="621"/>
      <c r="BA59" s="178"/>
      <c r="BB59" s="618"/>
      <c r="BC59" s="55"/>
      <c r="BD59" s="623"/>
      <c r="BE59" s="55"/>
      <c r="BF59" s="621"/>
      <c r="BG59" s="178"/>
      <c r="BH59" s="618"/>
      <c r="BI59"/>
      <c r="BJ59"/>
      <c r="BK59"/>
      <c r="BL59"/>
      <c r="BM59"/>
      <c r="BN59"/>
      <c r="BO59"/>
      <c r="BP59"/>
      <c r="BQ59"/>
      <c r="BR59"/>
      <c r="BS59" s="112"/>
      <c r="BT59" s="188"/>
      <c r="BU59"/>
      <c r="BV59" s="244"/>
      <c r="BW59"/>
      <c r="BX59"/>
      <c r="BY59" s="112"/>
      <c r="BZ59" s="188"/>
      <c r="CA59" s="112"/>
      <c r="CB59" s="188"/>
      <c r="CC59" s="112"/>
      <c r="CD59" s="188"/>
      <c r="CE59" s="112"/>
      <c r="CF59" s="188"/>
      <c r="CG59" s="112"/>
      <c r="CH59" s="188"/>
      <c r="CI59" s="112"/>
      <c r="CJ59" s="188"/>
      <c r="CK59" s="112"/>
      <c r="CL59" s="188"/>
      <c r="CM59"/>
      <c r="CN59" s="112"/>
      <c r="CO59" s="188"/>
      <c r="CP59"/>
      <c r="CQ59" s="112"/>
      <c r="CR59" s="188"/>
      <c r="CS59"/>
      <c r="CT59" s="112"/>
      <c r="CU59" s="190"/>
      <c r="CW59" s="111"/>
      <c r="CX59" s="2"/>
      <c r="CY59" s="111"/>
      <c r="CZ59" s="2"/>
      <c r="DA59" s="111"/>
      <c r="DB59" s="2"/>
      <c r="DC59" s="111"/>
      <c r="DD59" s="2"/>
      <c r="DE59" s="111"/>
      <c r="DF59" s="2"/>
      <c r="DG59" s="111"/>
      <c r="DH59" s="2"/>
      <c r="DI59" s="111"/>
      <c r="DJ59" s="2"/>
      <c r="DK59" s="111"/>
      <c r="DL59" s="2"/>
      <c r="DM59" s="111"/>
      <c r="DN59" s="2"/>
      <c r="DO59" s="111"/>
      <c r="DP59" s="2"/>
      <c r="DQ59" s="111"/>
      <c r="DR59" s="2"/>
      <c r="DT59" s="111"/>
      <c r="DU59" s="224"/>
      <c r="DV59" s="111"/>
      <c r="DW59" s="219"/>
      <c r="DX59" s="111"/>
      <c r="DY59" s="224"/>
      <c r="DZ59" s="111"/>
      <c r="EA59" s="224"/>
      <c r="EB59" s="111"/>
      <c r="EC59" s="224"/>
      <c r="ED59" s="111"/>
      <c r="EE59" s="224"/>
      <c r="EG59" s="111"/>
      <c r="EH59" s="190"/>
      <c r="EI59" s="111"/>
      <c r="EJ59" s="190"/>
      <c r="EK59" s="111"/>
      <c r="EL59" s="190"/>
      <c r="EM59" s="111"/>
      <c r="EN59" s="190"/>
      <c r="EO59" s="111"/>
      <c r="EP59" s="190"/>
      <c r="EQ59" s="111"/>
      <c r="ER59" s="190"/>
      <c r="ET59" s="111"/>
      <c r="EU59" s="190"/>
      <c r="EV59" s="111"/>
      <c r="EW59" s="190"/>
      <c r="EX59" s="111"/>
      <c r="EY59" s="190"/>
      <c r="EZ59" s="111"/>
      <c r="FA59" s="190"/>
      <c r="FB59" s="111"/>
      <c r="FC59" s="190"/>
    </row>
    <row r="60" spans="1:159" s="1" customFormat="1" ht="26.1" customHeight="1" x14ac:dyDescent="0.3">
      <c r="A60" s="44"/>
      <c r="B60" s="151"/>
      <c r="C60" s="49"/>
      <c r="D60" s="156"/>
      <c r="E60" s="48"/>
      <c r="F60" s="45"/>
      <c r="G60" s="62"/>
      <c r="H60" s="127"/>
      <c r="I60" s="130"/>
      <c r="J60" s="160"/>
      <c r="K60" s="46"/>
      <c r="L60" s="163"/>
      <c r="M60" s="46"/>
      <c r="N60" s="160"/>
      <c r="O60" s="131"/>
      <c r="P60" s="160"/>
      <c r="Q60" s="48"/>
      <c r="R60" s="46"/>
      <c r="S60" s="48"/>
      <c r="T60" s="48"/>
      <c r="U60" s="46"/>
      <c r="V60" s="48"/>
      <c r="W60" s="48"/>
      <c r="X60" s="617"/>
      <c r="Y60" s="61"/>
      <c r="Z60" s="48"/>
      <c r="AA60" s="49"/>
      <c r="AB60" s="48"/>
      <c r="AC60" s="45"/>
      <c r="AD60" s="132"/>
      <c r="AE60" s="63"/>
      <c r="AF60" s="63"/>
      <c r="AG60" s="45"/>
      <c r="AH60" s="63"/>
      <c r="AI60" s="45"/>
      <c r="AJ60" s="132"/>
      <c r="AK60" s="615"/>
      <c r="AL60" s="51"/>
      <c r="AM60" s="133"/>
      <c r="AN60" s="171"/>
      <c r="AO60" s="64"/>
      <c r="AP60" s="52"/>
      <c r="AQ60" s="65"/>
      <c r="AR60" s="49"/>
      <c r="AS60" s="134"/>
      <c r="AT60" s="61"/>
      <c r="AU60" s="64"/>
      <c r="AV60" s="53"/>
      <c r="AW60" s="65"/>
      <c r="AX60" s="614"/>
      <c r="AY60" s="54"/>
      <c r="AZ60" s="135"/>
      <c r="BA60" s="178"/>
      <c r="BB60" s="66"/>
      <c r="BC60" s="55"/>
      <c r="BD60" s="178"/>
      <c r="BE60" s="55"/>
      <c r="BF60" s="135"/>
      <c r="BG60" s="178"/>
      <c r="BH60" s="66"/>
      <c r="BI60"/>
      <c r="BJ60"/>
      <c r="BK60"/>
      <c r="BL60"/>
      <c r="BM60"/>
      <c r="BN60"/>
      <c r="BO60"/>
      <c r="BP60"/>
      <c r="BQ60"/>
      <c r="BR60"/>
      <c r="BS60" s="112"/>
      <c r="BT60" s="188"/>
      <c r="BU60"/>
      <c r="BV60" s="244"/>
      <c r="BW60"/>
      <c r="BX60"/>
      <c r="BY60" s="112"/>
      <c r="BZ60" s="188"/>
      <c r="CA60" s="112"/>
      <c r="CB60" s="188"/>
      <c r="CC60" s="112"/>
      <c r="CD60" s="188"/>
      <c r="CE60" s="112"/>
      <c r="CF60" s="188"/>
      <c r="CG60" s="112"/>
      <c r="CH60" s="188"/>
      <c r="CI60" s="112"/>
      <c r="CJ60" s="188"/>
      <c r="CK60" s="112"/>
      <c r="CL60" s="188"/>
      <c r="CM60"/>
      <c r="CN60" s="112"/>
      <c r="CO60" s="188"/>
      <c r="CP60"/>
      <c r="CQ60" s="112"/>
      <c r="CR60" s="188"/>
      <c r="CS60"/>
      <c r="CT60" s="112"/>
      <c r="CU60" s="190"/>
      <c r="CW60" s="111"/>
      <c r="CX60" s="2"/>
      <c r="CY60" s="111"/>
      <c r="CZ60" s="2"/>
      <c r="DA60" s="111"/>
      <c r="DB60" s="2"/>
      <c r="DC60" s="111"/>
      <c r="DD60" s="2"/>
      <c r="DE60" s="111"/>
      <c r="DF60" s="2"/>
      <c r="DG60" s="111"/>
      <c r="DH60" s="2"/>
      <c r="DI60" s="111"/>
      <c r="DJ60" s="2"/>
      <c r="DK60" s="111"/>
      <c r="DL60" s="2"/>
      <c r="DM60" s="111"/>
      <c r="DN60" s="2"/>
      <c r="DO60" s="111"/>
      <c r="DP60" s="2"/>
      <c r="DQ60" s="111"/>
      <c r="DR60" s="2"/>
      <c r="DT60" s="111"/>
      <c r="DU60" s="224"/>
      <c r="DV60" s="111"/>
      <c r="DW60" s="219"/>
      <c r="DX60" s="111"/>
      <c r="DY60" s="224"/>
      <c r="DZ60" s="111"/>
      <c r="EA60" s="224"/>
      <c r="EB60" s="111"/>
      <c r="EC60" s="224"/>
      <c r="ED60" s="111"/>
      <c r="EE60" s="224"/>
      <c r="EG60" s="111"/>
      <c r="EH60" s="190"/>
      <c r="EI60" s="111"/>
      <c r="EJ60" s="190"/>
      <c r="EK60" s="111"/>
      <c r="EL60" s="190"/>
      <c r="EM60" s="111"/>
      <c r="EN60" s="190"/>
      <c r="EO60" s="111"/>
      <c r="EP60" s="190"/>
      <c r="EQ60" s="111"/>
      <c r="ER60" s="190"/>
      <c r="ET60" s="111"/>
      <c r="EU60" s="190"/>
      <c r="EV60" s="111"/>
      <c r="EW60" s="190"/>
      <c r="EX60" s="111"/>
      <c r="EY60" s="190"/>
      <c r="EZ60" s="111"/>
      <c r="FA60" s="190"/>
      <c r="FB60" s="111"/>
      <c r="FC60" s="190"/>
    </row>
    <row r="61" spans="1:159" s="1" customFormat="1" ht="26.1" customHeight="1" x14ac:dyDescent="0.3">
      <c r="A61" s="44"/>
      <c r="B61" s="152"/>
      <c r="C61" s="49"/>
      <c r="D61" s="157"/>
      <c r="E61" s="48"/>
      <c r="F61" s="57"/>
      <c r="G61" s="62"/>
      <c r="H61" s="136"/>
      <c r="I61" s="130"/>
      <c r="J61" s="144"/>
      <c r="K61" s="46"/>
      <c r="L61" s="161"/>
      <c r="M61" s="46"/>
      <c r="N61" s="165"/>
      <c r="O61" s="131"/>
      <c r="P61" s="166"/>
      <c r="Q61" s="48"/>
      <c r="R61" s="46"/>
      <c r="S61" s="48"/>
      <c r="T61" s="48"/>
      <c r="U61" s="46"/>
      <c r="V61" s="142"/>
      <c r="W61" s="48"/>
      <c r="X61" s="617"/>
      <c r="Y61" s="144"/>
      <c r="Z61" s="48"/>
      <c r="AA61" s="49"/>
      <c r="AB61" s="48"/>
      <c r="AC61" s="57"/>
      <c r="AD61" s="132"/>
      <c r="AE61" s="63"/>
      <c r="AF61" s="63"/>
      <c r="AG61" s="57"/>
      <c r="AH61" s="63"/>
      <c r="AI61" s="57"/>
      <c r="AJ61" s="132"/>
      <c r="AK61" s="615"/>
      <c r="AL61" s="51"/>
      <c r="AM61" s="133"/>
      <c r="AN61" s="171"/>
      <c r="AO61" s="64"/>
      <c r="AP61" s="52"/>
      <c r="AQ61" s="65"/>
      <c r="AR61" s="49"/>
      <c r="AS61" s="134"/>
      <c r="AT61" s="61"/>
      <c r="AU61" s="64"/>
      <c r="AV61" s="53"/>
      <c r="AW61" s="65"/>
      <c r="AX61" s="614"/>
      <c r="AY61" s="60"/>
      <c r="AZ61" s="135"/>
      <c r="BA61" s="181"/>
      <c r="BB61" s="66"/>
      <c r="BC61" s="55"/>
      <c r="BD61" s="178"/>
      <c r="BE61" s="67"/>
      <c r="BF61" s="135"/>
      <c r="BG61" s="181"/>
      <c r="BH61" s="66"/>
      <c r="BI61"/>
      <c r="BJ61"/>
      <c r="BK61"/>
      <c r="BL61"/>
      <c r="BM61"/>
      <c r="BN61"/>
      <c r="BO61"/>
      <c r="BP61"/>
      <c r="BQ61"/>
      <c r="BR61"/>
      <c r="BS61" s="112"/>
      <c r="BT61" s="188"/>
      <c r="BU61"/>
      <c r="BV61" s="244"/>
      <c r="BW61"/>
      <c r="BX61"/>
      <c r="BY61" s="112"/>
      <c r="BZ61" s="188"/>
      <c r="CA61" s="112"/>
      <c r="CB61" s="188"/>
      <c r="CC61" s="112"/>
      <c r="CD61" s="188"/>
      <c r="CE61" s="112"/>
      <c r="CF61" s="188"/>
      <c r="CG61" s="112"/>
      <c r="CH61" s="188"/>
      <c r="CI61" s="112"/>
      <c r="CJ61" s="188"/>
      <c r="CK61" s="112"/>
      <c r="CL61" s="188"/>
      <c r="CM61"/>
      <c r="CN61" s="112"/>
      <c r="CO61" s="188"/>
      <c r="CP61"/>
      <c r="CQ61" s="112"/>
      <c r="CR61" s="188"/>
      <c r="CS61"/>
      <c r="CT61" s="112"/>
      <c r="CU61" s="190"/>
      <c r="CW61" s="111"/>
      <c r="CX61" s="2"/>
      <c r="CY61" s="111"/>
      <c r="CZ61" s="2"/>
      <c r="DA61" s="111"/>
      <c r="DB61" s="2"/>
      <c r="DC61" s="111"/>
      <c r="DD61" s="2"/>
      <c r="DE61" s="111"/>
      <c r="DF61" s="2"/>
      <c r="DG61" s="111"/>
      <c r="DH61" s="2"/>
      <c r="DI61" s="111"/>
      <c r="DJ61" s="2"/>
      <c r="DK61" s="111"/>
      <c r="DL61" s="2"/>
      <c r="DM61" s="111"/>
      <c r="DN61" s="2"/>
      <c r="DO61" s="111"/>
      <c r="DP61" s="2"/>
      <c r="DQ61" s="111"/>
      <c r="DR61" s="2"/>
      <c r="DT61" s="111"/>
      <c r="DU61" s="224"/>
      <c r="DV61" s="111"/>
      <c r="DW61" s="219"/>
      <c r="DX61" s="111"/>
      <c r="DY61" s="224"/>
      <c r="DZ61" s="111"/>
      <c r="EA61" s="224"/>
      <c r="EB61" s="111"/>
      <c r="EC61" s="224"/>
      <c r="ED61" s="111"/>
      <c r="EE61" s="224"/>
      <c r="EG61" s="111"/>
      <c r="EH61" s="190"/>
      <c r="EI61" s="111"/>
      <c r="EJ61" s="190"/>
      <c r="EK61" s="111"/>
      <c r="EL61" s="190"/>
      <c r="EM61" s="111"/>
      <c r="EN61" s="190"/>
      <c r="EO61" s="111"/>
      <c r="EP61" s="190"/>
      <c r="EQ61" s="111"/>
      <c r="ER61" s="190"/>
      <c r="ET61" s="111"/>
      <c r="EU61" s="190"/>
      <c r="EV61" s="111"/>
      <c r="EW61" s="190"/>
      <c r="EX61" s="111"/>
      <c r="EY61" s="190"/>
      <c r="EZ61" s="111"/>
      <c r="FA61" s="190"/>
      <c r="FB61" s="111"/>
      <c r="FC61" s="190"/>
    </row>
    <row r="62" spans="1:159" s="1" customFormat="1" ht="26.1" customHeight="1" x14ac:dyDescent="0.3">
      <c r="A62" s="44"/>
      <c r="B62" s="152"/>
      <c r="C62" s="49"/>
      <c r="D62" s="157"/>
      <c r="E62" s="48"/>
      <c r="F62" s="57"/>
      <c r="G62" s="62"/>
      <c r="H62" s="129"/>
      <c r="I62" s="130"/>
      <c r="J62" s="144"/>
      <c r="K62" s="46"/>
      <c r="L62" s="144"/>
      <c r="M62" s="46"/>
      <c r="N62" s="165"/>
      <c r="O62" s="131"/>
      <c r="P62" s="166"/>
      <c r="Q62" s="48"/>
      <c r="R62" s="46"/>
      <c r="S62" s="48"/>
      <c r="T62" s="48"/>
      <c r="U62" s="46"/>
      <c r="V62" s="48"/>
      <c r="W62" s="48"/>
      <c r="X62" s="617"/>
      <c r="Y62" s="61"/>
      <c r="Z62" s="48"/>
      <c r="AA62" s="49"/>
      <c r="AB62" s="48"/>
      <c r="AC62" s="57"/>
      <c r="AD62" s="132"/>
      <c r="AE62" s="63"/>
      <c r="AF62" s="63"/>
      <c r="AG62" s="57"/>
      <c r="AH62" s="63"/>
      <c r="AI62" s="57"/>
      <c r="AJ62" s="132"/>
      <c r="AK62" s="615"/>
      <c r="AL62" s="51"/>
      <c r="AM62" s="133"/>
      <c r="AN62" s="171"/>
      <c r="AO62" s="64"/>
      <c r="AP62" s="52"/>
      <c r="AQ62" s="65"/>
      <c r="AR62" s="49"/>
      <c r="AS62" s="134"/>
      <c r="AT62" s="61"/>
      <c r="AU62" s="64"/>
      <c r="AV62" s="53"/>
      <c r="AW62" s="65"/>
      <c r="AX62" s="614"/>
      <c r="AY62" s="54"/>
      <c r="AZ62" s="135"/>
      <c r="BA62" s="178"/>
      <c r="BB62" s="66"/>
      <c r="BC62" s="55"/>
      <c r="BD62" s="178"/>
      <c r="BE62" s="55"/>
      <c r="BF62" s="135"/>
      <c r="BG62" s="178"/>
      <c r="BH62" s="66"/>
      <c r="BI62"/>
      <c r="BJ62"/>
      <c r="BK62"/>
      <c r="BL62"/>
      <c r="BM62"/>
      <c r="BN62"/>
      <c r="BO62"/>
      <c r="BP62"/>
      <c r="BQ62"/>
      <c r="BR62"/>
      <c r="BS62" s="112"/>
      <c r="BT62" s="188"/>
      <c r="BU62"/>
      <c r="BV62" s="244"/>
      <c r="BW62"/>
      <c r="BX62"/>
      <c r="BY62" s="112"/>
      <c r="BZ62" s="188"/>
      <c r="CA62" s="112"/>
      <c r="CB62" s="188"/>
      <c r="CC62" s="112"/>
      <c r="CD62" s="188"/>
      <c r="CE62" s="112"/>
      <c r="CF62" s="188"/>
      <c r="CG62" s="112"/>
      <c r="CH62" s="188"/>
      <c r="CI62" s="112"/>
      <c r="CJ62" s="188"/>
      <c r="CK62" s="112"/>
      <c r="CL62" s="188"/>
      <c r="CM62"/>
      <c r="CN62" s="112"/>
      <c r="CO62" s="188"/>
      <c r="CP62"/>
      <c r="CQ62" s="112"/>
      <c r="CR62" s="188"/>
      <c r="CS62"/>
      <c r="CT62" s="112"/>
      <c r="CU62" s="190"/>
      <c r="CW62" s="111"/>
      <c r="CX62" s="2"/>
      <c r="CY62" s="111"/>
      <c r="CZ62" s="2"/>
      <c r="DA62" s="111"/>
      <c r="DB62" s="2"/>
      <c r="DC62" s="111"/>
      <c r="DD62" s="2"/>
      <c r="DE62" s="111"/>
      <c r="DF62" s="2"/>
      <c r="DG62" s="111"/>
      <c r="DH62" s="2"/>
      <c r="DI62" s="111"/>
      <c r="DJ62" s="2"/>
      <c r="DK62" s="111"/>
      <c r="DL62" s="2"/>
      <c r="DM62" s="111"/>
      <c r="DN62" s="2"/>
      <c r="DO62" s="111"/>
      <c r="DP62" s="2"/>
      <c r="DQ62" s="111"/>
      <c r="DR62" s="2"/>
      <c r="DT62" s="111"/>
      <c r="DU62" s="224"/>
      <c r="DV62" s="111"/>
      <c r="DW62" s="219"/>
      <c r="DX62" s="111"/>
      <c r="DY62" s="224"/>
      <c r="DZ62" s="111"/>
      <c r="EA62" s="224"/>
      <c r="EB62" s="111"/>
      <c r="EC62" s="224"/>
      <c r="ED62" s="111"/>
      <c r="EE62" s="224"/>
      <c r="EG62" s="111"/>
      <c r="EH62" s="190"/>
      <c r="EI62" s="111"/>
      <c r="EJ62" s="190"/>
      <c r="EK62" s="111"/>
      <c r="EL62" s="190"/>
      <c r="EM62" s="111"/>
      <c r="EN62" s="190"/>
      <c r="EO62" s="111"/>
      <c r="EP62" s="190"/>
      <c r="EQ62" s="111"/>
      <c r="ER62" s="190"/>
      <c r="ET62" s="111"/>
      <c r="EU62" s="190"/>
      <c r="EV62" s="111"/>
      <c r="EW62" s="190"/>
      <c r="EX62" s="111"/>
      <c r="EY62" s="190"/>
      <c r="EZ62" s="111"/>
      <c r="FA62" s="190"/>
      <c r="FB62" s="111"/>
      <c r="FC62" s="190"/>
    </row>
    <row r="63" spans="1:159" s="1" customFormat="1" ht="26.1" customHeight="1" x14ac:dyDescent="0.3">
      <c r="A63" s="44"/>
      <c r="B63" s="152"/>
      <c r="C63" s="49"/>
      <c r="D63" s="157"/>
      <c r="E63" s="48"/>
      <c r="F63" s="57"/>
      <c r="G63" s="62"/>
      <c r="H63" s="129"/>
      <c r="I63" s="130"/>
      <c r="J63" s="144"/>
      <c r="K63" s="46"/>
      <c r="L63" s="144"/>
      <c r="M63" s="46"/>
      <c r="N63" s="165"/>
      <c r="O63" s="131"/>
      <c r="P63" s="166"/>
      <c r="Q63" s="48"/>
      <c r="R63" s="46"/>
      <c r="S63" s="48"/>
      <c r="T63" s="48"/>
      <c r="U63" s="46"/>
      <c r="V63" s="48"/>
      <c r="W63" s="48"/>
      <c r="X63" s="617"/>
      <c r="Y63" s="61"/>
      <c r="Z63" s="48"/>
      <c r="AA63" s="49"/>
      <c r="AB63" s="48"/>
      <c r="AC63" s="57"/>
      <c r="AD63" s="132"/>
      <c r="AE63" s="63"/>
      <c r="AF63" s="63"/>
      <c r="AG63" s="57"/>
      <c r="AH63" s="63"/>
      <c r="AI63" s="57"/>
      <c r="AJ63" s="132"/>
      <c r="AK63" s="615"/>
      <c r="AL63" s="59"/>
      <c r="AM63" s="133"/>
      <c r="AN63" s="172"/>
      <c r="AO63" s="64"/>
      <c r="AP63" s="52"/>
      <c r="AQ63" s="65"/>
      <c r="AR63" s="58"/>
      <c r="AS63" s="134"/>
      <c r="AT63" s="172"/>
      <c r="AU63" s="64"/>
      <c r="AV63" s="59"/>
      <c r="AW63" s="65"/>
      <c r="AX63" s="614"/>
      <c r="AY63" s="54"/>
      <c r="AZ63" s="135"/>
      <c r="BA63" s="178"/>
      <c r="BB63" s="66"/>
      <c r="BC63" s="55"/>
      <c r="BD63" s="178"/>
      <c r="BE63" s="55"/>
      <c r="BF63" s="135"/>
      <c r="BG63" s="178"/>
      <c r="BH63" s="66"/>
      <c r="BI63"/>
      <c r="BJ63"/>
      <c r="BK63"/>
      <c r="BL63"/>
      <c r="BM63"/>
      <c r="BN63"/>
      <c r="BO63"/>
      <c r="BP63"/>
      <c r="BQ63"/>
      <c r="BR63"/>
      <c r="BS63" s="112"/>
      <c r="BT63" s="188"/>
      <c r="BU63"/>
      <c r="BV63" s="244"/>
      <c r="BW63"/>
      <c r="BX63"/>
      <c r="BY63" s="112"/>
      <c r="BZ63" s="188"/>
      <c r="CA63" s="112"/>
      <c r="CB63" s="188"/>
      <c r="CC63" s="112"/>
      <c r="CD63" s="188"/>
      <c r="CE63" s="112"/>
      <c r="CF63" s="188"/>
      <c r="CG63" s="112"/>
      <c r="CH63" s="188"/>
      <c r="CI63" s="112"/>
      <c r="CJ63" s="188"/>
      <c r="CK63" s="112"/>
      <c r="CL63" s="188"/>
      <c r="CM63"/>
      <c r="CN63" s="112"/>
      <c r="CO63" s="188"/>
      <c r="CP63"/>
      <c r="CQ63" s="112"/>
      <c r="CR63" s="188"/>
      <c r="CS63"/>
      <c r="CT63" s="112"/>
      <c r="CU63" s="190"/>
      <c r="CW63" s="111"/>
      <c r="CX63" s="2"/>
      <c r="CY63" s="111"/>
      <c r="CZ63" s="2"/>
      <c r="DA63" s="111"/>
      <c r="DB63" s="2"/>
      <c r="DC63" s="111"/>
      <c r="DD63" s="2"/>
      <c r="DE63" s="111"/>
      <c r="DF63" s="2"/>
      <c r="DG63" s="111"/>
      <c r="DH63" s="2"/>
      <c r="DI63" s="111"/>
      <c r="DJ63" s="2"/>
      <c r="DK63" s="111"/>
      <c r="DL63" s="2"/>
      <c r="DM63" s="111"/>
      <c r="DN63" s="2"/>
      <c r="DO63" s="111"/>
      <c r="DP63" s="2"/>
      <c r="DQ63" s="111"/>
      <c r="DR63" s="2"/>
      <c r="DT63" s="111"/>
      <c r="DU63" s="224"/>
      <c r="DV63" s="111"/>
      <c r="DW63" s="219"/>
      <c r="DX63" s="111"/>
      <c r="DY63" s="224"/>
      <c r="DZ63" s="111"/>
      <c r="EA63" s="224"/>
      <c r="EB63" s="111"/>
      <c r="EC63" s="224"/>
      <c r="ED63" s="111"/>
      <c r="EE63" s="224"/>
      <c r="EG63" s="111"/>
      <c r="EH63" s="190"/>
      <c r="EI63" s="111"/>
      <c r="EJ63" s="190"/>
      <c r="EK63" s="111"/>
      <c r="EL63" s="190"/>
      <c r="EM63" s="111"/>
      <c r="EN63" s="190"/>
      <c r="EO63" s="111"/>
      <c r="EP63" s="190"/>
      <c r="EQ63" s="111"/>
      <c r="ER63" s="190"/>
      <c r="ET63" s="111"/>
      <c r="EU63" s="190"/>
      <c r="EV63" s="111"/>
      <c r="EW63" s="190"/>
      <c r="EX63" s="111"/>
      <c r="EY63" s="190"/>
      <c r="EZ63" s="111"/>
      <c r="FA63" s="190"/>
      <c r="FB63" s="111"/>
      <c r="FC63" s="190"/>
    </row>
    <row r="64" spans="1:159" s="1" customFormat="1" ht="26.1" customHeight="1" x14ac:dyDescent="0.3">
      <c r="A64" s="44"/>
      <c r="B64" s="152"/>
      <c r="C64" s="49"/>
      <c r="D64" s="157"/>
      <c r="E64" s="48"/>
      <c r="F64" s="57"/>
      <c r="G64" s="62"/>
      <c r="H64" s="129"/>
      <c r="I64" s="130"/>
      <c r="J64" s="144"/>
      <c r="K64" s="46"/>
      <c r="L64" s="164"/>
      <c r="M64" s="46"/>
      <c r="N64" s="165"/>
      <c r="O64" s="131"/>
      <c r="P64" s="166"/>
      <c r="Q64" s="48"/>
      <c r="R64" s="46"/>
      <c r="S64" s="48"/>
      <c r="T64" s="48"/>
      <c r="U64" s="46"/>
      <c r="V64" s="48"/>
      <c r="W64" s="48"/>
      <c r="X64" s="617"/>
      <c r="Y64" s="144"/>
      <c r="Z64" s="48"/>
      <c r="AA64" s="49"/>
      <c r="AB64" s="48"/>
      <c r="AC64" s="57"/>
      <c r="AD64" s="132"/>
      <c r="AE64" s="63"/>
      <c r="AF64" s="63"/>
      <c r="AG64" s="57"/>
      <c r="AH64" s="63"/>
      <c r="AI64" s="57"/>
      <c r="AJ64" s="132"/>
      <c r="AK64" s="615"/>
      <c r="AL64" s="59"/>
      <c r="AM64" s="133"/>
      <c r="AN64" s="172"/>
      <c r="AO64" s="64"/>
      <c r="AP64" s="52"/>
      <c r="AQ64" s="65"/>
      <c r="AR64" s="58"/>
      <c r="AS64" s="134"/>
      <c r="AT64" s="172"/>
      <c r="AU64" s="64"/>
      <c r="AV64" s="59"/>
      <c r="AW64" s="65"/>
      <c r="AX64" s="614"/>
      <c r="AY64" s="60"/>
      <c r="AZ64" s="135"/>
      <c r="BA64" s="181"/>
      <c r="BB64" s="66"/>
      <c r="BC64" s="55"/>
      <c r="BD64" s="178"/>
      <c r="BE64" s="67"/>
      <c r="BF64" s="135"/>
      <c r="BG64" s="181"/>
      <c r="BH64" s="66"/>
      <c r="BI64"/>
      <c r="BJ64"/>
      <c r="BK64"/>
      <c r="BL64"/>
      <c r="BM64"/>
      <c r="BN64"/>
      <c r="BO64"/>
      <c r="BP64"/>
      <c r="BQ64"/>
      <c r="BR64"/>
      <c r="BS64" s="112"/>
      <c r="BT64" s="188"/>
      <c r="BU64"/>
      <c r="BV64" s="244"/>
      <c r="BW64"/>
      <c r="BX64"/>
      <c r="BY64" s="112"/>
      <c r="BZ64" s="188"/>
      <c r="CA64" s="112"/>
      <c r="CB64" s="188"/>
      <c r="CC64" s="112"/>
      <c r="CD64" s="188"/>
      <c r="CE64" s="112"/>
      <c r="CF64" s="188"/>
      <c r="CG64" s="112"/>
      <c r="CH64" s="188"/>
      <c r="CI64" s="112"/>
      <c r="CJ64" s="188"/>
      <c r="CK64" s="112"/>
      <c r="CL64" s="188"/>
      <c r="CM64"/>
      <c r="CN64" s="112"/>
      <c r="CO64" s="188"/>
      <c r="CP64"/>
      <c r="CQ64" s="112"/>
      <c r="CR64" s="188"/>
      <c r="CS64"/>
      <c r="CT64" s="112"/>
      <c r="CU64" s="190"/>
      <c r="CW64" s="111"/>
      <c r="CX64" s="2"/>
      <c r="CY64" s="111"/>
      <c r="CZ64" s="2"/>
      <c r="DA64" s="111"/>
      <c r="DB64" s="2"/>
      <c r="DC64" s="111"/>
      <c r="DD64" s="2"/>
      <c r="DE64" s="111"/>
      <c r="DF64" s="2"/>
      <c r="DG64" s="111"/>
      <c r="DH64" s="2"/>
      <c r="DI64" s="111"/>
      <c r="DJ64" s="2"/>
      <c r="DK64" s="111"/>
      <c r="DL64" s="2"/>
      <c r="DM64" s="111"/>
      <c r="DN64" s="2"/>
      <c r="DO64" s="111"/>
      <c r="DP64" s="2"/>
      <c r="DQ64" s="111"/>
      <c r="DR64" s="2"/>
      <c r="DT64" s="111"/>
      <c r="DU64" s="224"/>
      <c r="DV64" s="111"/>
      <c r="DW64" s="219"/>
      <c r="DX64" s="111"/>
      <c r="DY64" s="224"/>
      <c r="DZ64" s="111"/>
      <c r="EA64" s="224"/>
      <c r="EB64" s="111"/>
      <c r="EC64" s="224"/>
      <c r="ED64" s="111"/>
      <c r="EE64" s="224"/>
      <c r="EG64" s="111"/>
      <c r="EH64" s="190"/>
      <c r="EI64" s="111"/>
      <c r="EJ64" s="190"/>
      <c r="EK64" s="111"/>
      <c r="EL64" s="190"/>
      <c r="EM64" s="111"/>
      <c r="EN64" s="190"/>
      <c r="EO64" s="111"/>
      <c r="EP64" s="190"/>
      <c r="EQ64" s="111"/>
      <c r="ER64" s="190"/>
      <c r="ET64" s="111"/>
      <c r="EU64" s="190"/>
      <c r="EV64" s="111"/>
      <c r="EW64" s="190"/>
      <c r="EX64" s="111"/>
      <c r="EY64" s="190"/>
      <c r="EZ64" s="111"/>
      <c r="FA64" s="190"/>
      <c r="FB64" s="111"/>
      <c r="FC64" s="190"/>
    </row>
    <row r="65" spans="1:160" s="1" customFormat="1" ht="15" customHeight="1" x14ac:dyDescent="0.3">
      <c r="A65" s="44"/>
      <c r="B65" s="152"/>
      <c r="C65" s="49"/>
      <c r="D65" s="157"/>
      <c r="E65" s="48"/>
      <c r="F65" s="57"/>
      <c r="G65" s="62"/>
      <c r="H65" s="129"/>
      <c r="I65" s="130"/>
      <c r="J65" s="144"/>
      <c r="K65" s="46"/>
      <c r="L65" s="164"/>
      <c r="M65" s="46"/>
      <c r="N65" s="165"/>
      <c r="O65" s="131"/>
      <c r="P65" s="144"/>
      <c r="Q65" s="48"/>
      <c r="R65" s="46"/>
      <c r="S65" s="48"/>
      <c r="T65" s="48"/>
      <c r="U65" s="46"/>
      <c r="V65" s="48"/>
      <c r="W65" s="48"/>
      <c r="X65" s="617"/>
      <c r="Y65" s="144"/>
      <c r="Z65" s="48"/>
      <c r="AA65" s="49"/>
      <c r="AB65" s="48"/>
      <c r="AC65" s="57"/>
      <c r="AD65" s="132"/>
      <c r="AE65" s="63"/>
      <c r="AF65" s="63"/>
      <c r="AG65" s="57"/>
      <c r="AH65" s="63"/>
      <c r="AI65" s="57"/>
      <c r="AJ65" s="132"/>
      <c r="AK65" s="615"/>
      <c r="AL65" s="59"/>
      <c r="AM65" s="133"/>
      <c r="AN65" s="172"/>
      <c r="AO65" s="64"/>
      <c r="AP65" s="52"/>
      <c r="AQ65" s="65"/>
      <c r="AR65" s="58"/>
      <c r="AS65" s="134"/>
      <c r="AT65" s="172"/>
      <c r="AU65" s="64"/>
      <c r="AV65" s="59"/>
      <c r="AW65" s="65"/>
      <c r="AX65" s="614"/>
      <c r="AY65" s="60"/>
      <c r="AZ65" s="135"/>
      <c r="BA65" s="181"/>
      <c r="BB65" s="66"/>
      <c r="BC65" s="55"/>
      <c r="BD65" s="178"/>
      <c r="BE65" s="67"/>
      <c r="BF65" s="135"/>
      <c r="BG65" s="181"/>
      <c r="BH65" s="66"/>
      <c r="BI65"/>
      <c r="BJ65"/>
      <c r="BK65"/>
      <c r="BL65"/>
      <c r="BM65"/>
      <c r="BN65"/>
      <c r="BO65"/>
      <c r="BP65"/>
      <c r="BQ65"/>
      <c r="BR65"/>
      <c r="BS65" s="112"/>
      <c r="BT65" s="188"/>
      <c r="BU65"/>
      <c r="BV65" s="244"/>
      <c r="BW65"/>
      <c r="BX65"/>
      <c r="BY65" s="112"/>
      <c r="BZ65" s="188"/>
      <c r="CA65" s="112"/>
      <c r="CB65" s="188"/>
      <c r="CC65" s="112"/>
      <c r="CD65" s="188"/>
      <c r="CE65" s="112"/>
      <c r="CF65" s="188"/>
      <c r="CG65" s="112"/>
      <c r="CH65" s="188"/>
      <c r="CI65" s="112"/>
      <c r="CJ65" s="188"/>
      <c r="CK65" s="112"/>
      <c r="CL65" s="188"/>
      <c r="CM65"/>
      <c r="CN65" s="112"/>
      <c r="CO65" s="188"/>
      <c r="CP65"/>
      <c r="CQ65" s="112"/>
      <c r="CR65" s="188"/>
      <c r="CS65"/>
      <c r="CT65" s="112"/>
      <c r="CU65" s="190"/>
      <c r="CV65"/>
      <c r="CW65" s="111"/>
      <c r="CX65" s="2"/>
      <c r="CY65" s="111"/>
      <c r="CZ65" s="2"/>
      <c r="DA65" s="111"/>
      <c r="DB65" s="2"/>
      <c r="DC65" s="111"/>
      <c r="DD65" s="2"/>
      <c r="DE65" s="111"/>
      <c r="DF65" s="2"/>
      <c r="DG65" s="111"/>
      <c r="DH65" s="2"/>
      <c r="DI65" s="111"/>
      <c r="DJ65" s="2"/>
      <c r="DK65" s="111"/>
      <c r="DL65" s="2"/>
      <c r="DM65" s="111"/>
      <c r="DN65" s="2"/>
      <c r="DO65" s="111"/>
      <c r="DP65" s="2"/>
      <c r="DQ65" s="111"/>
      <c r="DR65" s="2"/>
      <c r="DT65" s="111"/>
      <c r="DU65" s="224"/>
      <c r="DV65" s="111"/>
      <c r="DW65" s="219"/>
      <c r="DX65" s="111"/>
      <c r="DY65" s="224"/>
      <c r="DZ65" s="111"/>
      <c r="EA65" s="224"/>
      <c r="EB65" s="111"/>
      <c r="EC65" s="224"/>
      <c r="ED65" s="111"/>
      <c r="EE65" s="224"/>
      <c r="EG65" s="111"/>
      <c r="EH65" s="190"/>
      <c r="EI65" s="111"/>
      <c r="EJ65" s="190"/>
      <c r="EK65" s="111"/>
      <c r="EL65" s="190"/>
      <c r="EM65" s="111"/>
      <c r="EN65" s="190"/>
      <c r="EO65" s="111"/>
      <c r="EP65" s="190"/>
      <c r="EQ65" s="111"/>
      <c r="ER65" s="190"/>
      <c r="ET65" s="111"/>
      <c r="EU65" s="190"/>
      <c r="EV65" s="111"/>
      <c r="EW65" s="190"/>
      <c r="EX65" s="111"/>
      <c r="EY65" s="190"/>
      <c r="EZ65" s="111"/>
      <c r="FA65" s="190"/>
      <c r="FB65" s="111"/>
      <c r="FC65" s="190"/>
    </row>
    <row r="66" spans="1:160" x14ac:dyDescent="0.3">
      <c r="A66" s="44"/>
      <c r="B66" s="152"/>
      <c r="C66" s="49"/>
      <c r="D66" s="157"/>
      <c r="E66" s="48"/>
      <c r="F66" s="57"/>
      <c r="G66" s="62"/>
      <c r="H66" s="129"/>
      <c r="I66" s="130"/>
      <c r="J66" s="144"/>
      <c r="K66" s="46"/>
      <c r="L66" s="164"/>
      <c r="M66" s="46"/>
      <c r="N66" s="165"/>
      <c r="O66" s="131"/>
      <c r="P66" s="144"/>
      <c r="Q66" s="48"/>
      <c r="R66" s="46"/>
      <c r="S66" s="48"/>
      <c r="T66" s="48"/>
      <c r="U66" s="46"/>
      <c r="V66" s="48"/>
      <c r="W66" s="48"/>
      <c r="X66" s="617"/>
      <c r="Y66" s="144"/>
      <c r="Z66" s="48"/>
      <c r="AA66" s="49"/>
      <c r="AB66" s="48"/>
      <c r="AC66" s="57"/>
      <c r="AD66" s="132"/>
      <c r="AE66" s="63"/>
      <c r="AF66" s="63"/>
      <c r="AG66" s="57"/>
      <c r="AH66" s="63"/>
      <c r="AI66" s="57"/>
      <c r="AJ66" s="132"/>
      <c r="AK66" s="615"/>
      <c r="AL66" s="59"/>
      <c r="AM66" s="133"/>
      <c r="AN66" s="172"/>
      <c r="AO66" s="64"/>
      <c r="AP66" s="52"/>
      <c r="AQ66" s="65"/>
      <c r="AR66" s="58"/>
      <c r="AS66" s="134"/>
      <c r="AT66" s="172"/>
      <c r="AU66" s="64"/>
      <c r="AV66" s="59"/>
      <c r="AW66" s="65"/>
      <c r="AX66" s="614"/>
      <c r="AY66" s="60"/>
      <c r="AZ66" s="135"/>
      <c r="BA66" s="181"/>
      <c r="BB66" s="66"/>
      <c r="BC66" s="55"/>
      <c r="BD66" s="178"/>
      <c r="BE66" s="67"/>
      <c r="BF66" s="135"/>
      <c r="BG66" s="181"/>
      <c r="BH66" s="66"/>
    </row>
    <row r="67" spans="1:160" x14ac:dyDescent="0.3">
      <c r="A67" s="44"/>
      <c r="B67" s="152"/>
      <c r="C67" s="49"/>
      <c r="D67" s="157"/>
      <c r="E67" s="48"/>
      <c r="F67" s="57"/>
      <c r="G67" s="62"/>
      <c r="H67" s="129"/>
      <c r="I67" s="130"/>
      <c r="J67" s="144"/>
      <c r="K67" s="46"/>
      <c r="L67" s="165"/>
      <c r="M67" s="46"/>
      <c r="N67" s="144"/>
      <c r="O67" s="131"/>
      <c r="P67" s="144"/>
      <c r="Q67" s="48"/>
      <c r="R67" s="46"/>
      <c r="S67" s="48"/>
      <c r="T67" s="48"/>
      <c r="U67" s="46"/>
      <c r="V67" s="48"/>
      <c r="W67" s="48"/>
      <c r="X67" s="617"/>
      <c r="Y67" s="144"/>
      <c r="Z67" s="48"/>
      <c r="AA67" s="49"/>
      <c r="AB67" s="48"/>
      <c r="AC67" s="57"/>
      <c r="AD67" s="132"/>
      <c r="AE67" s="63"/>
      <c r="AF67" s="63"/>
      <c r="AG67" s="57"/>
      <c r="AH67" s="63"/>
      <c r="AI67" s="57"/>
      <c r="AJ67" s="132"/>
      <c r="AK67" s="615"/>
      <c r="AL67" s="59"/>
      <c r="AM67" s="133"/>
      <c r="AN67" s="172"/>
      <c r="AO67" s="64"/>
      <c r="AP67" s="52"/>
      <c r="AQ67" s="65"/>
      <c r="AR67" s="58"/>
      <c r="AS67" s="134"/>
      <c r="AT67" s="172"/>
      <c r="AU67" s="64"/>
      <c r="AV67" s="59"/>
      <c r="AW67" s="65"/>
      <c r="AX67" s="614"/>
      <c r="AY67" s="60"/>
      <c r="AZ67" s="135"/>
      <c r="BA67" s="181"/>
      <c r="BB67" s="66"/>
      <c r="BC67" s="55"/>
      <c r="BD67" s="178"/>
      <c r="BE67" s="67"/>
      <c r="BF67" s="135"/>
      <c r="BG67" s="181"/>
      <c r="BH67" s="66"/>
    </row>
    <row r="68" spans="1:160" s="1" customFormat="1" x14ac:dyDescent="0.3">
      <c r="A68" s="44"/>
      <c r="B68" s="152"/>
      <c r="C68" s="49"/>
      <c r="D68" s="157"/>
      <c r="E68" s="48"/>
      <c r="F68" s="57"/>
      <c r="G68" s="62"/>
      <c r="H68" s="129"/>
      <c r="I68" s="130"/>
      <c r="J68" s="161"/>
      <c r="K68" s="46"/>
      <c r="L68" s="165"/>
      <c r="M68" s="46"/>
      <c r="N68" s="144"/>
      <c r="O68" s="131"/>
      <c r="P68" s="144"/>
      <c r="Q68" s="48"/>
      <c r="R68" s="46"/>
      <c r="S68" s="48"/>
      <c r="T68" s="48"/>
      <c r="U68" s="46"/>
      <c r="V68" s="48"/>
      <c r="W68" s="48"/>
      <c r="X68" s="617"/>
      <c r="Y68" s="144"/>
      <c r="Z68" s="48"/>
      <c r="AA68" s="49"/>
      <c r="AB68" s="48"/>
      <c r="AC68" s="57"/>
      <c r="AD68" s="132"/>
      <c r="AE68" s="63"/>
      <c r="AF68" s="63"/>
      <c r="AG68" s="57"/>
      <c r="AH68" s="63"/>
      <c r="AI68" s="57"/>
      <c r="AJ68" s="132"/>
      <c r="AK68" s="615"/>
      <c r="AL68" s="59"/>
      <c r="AM68" s="133"/>
      <c r="AN68" s="172"/>
      <c r="AO68" s="64"/>
      <c r="AP68" s="52"/>
      <c r="AQ68" s="65"/>
      <c r="AR68" s="58"/>
      <c r="AS68" s="134"/>
      <c r="AT68" s="172"/>
      <c r="AU68" s="64"/>
      <c r="AV68" s="59"/>
      <c r="AW68" s="65"/>
      <c r="AX68" s="614"/>
      <c r="AY68" s="60"/>
      <c r="AZ68" s="135"/>
      <c r="BA68" s="181"/>
      <c r="BB68" s="66"/>
      <c r="BC68" s="55"/>
      <c r="BD68" s="178"/>
      <c r="BE68" s="67"/>
      <c r="BF68" s="135"/>
      <c r="BG68" s="181"/>
      <c r="BH68" s="66"/>
      <c r="BI68"/>
      <c r="BJ68"/>
      <c r="BK68"/>
      <c r="BL68"/>
      <c r="BM68"/>
      <c r="BN68"/>
      <c r="BO68"/>
      <c r="BP68"/>
      <c r="BQ68"/>
      <c r="BR68"/>
      <c r="BS68" s="112"/>
      <c r="BT68" s="188"/>
      <c r="BU68"/>
      <c r="BV68" s="244"/>
      <c r="BW68"/>
      <c r="BX68"/>
      <c r="BY68" s="112"/>
      <c r="BZ68" s="188"/>
      <c r="CA68" s="112"/>
      <c r="CB68" s="188"/>
      <c r="CC68" s="112"/>
      <c r="CD68" s="188"/>
      <c r="CE68" s="112"/>
      <c r="CF68" s="188"/>
      <c r="CG68" s="112"/>
      <c r="CH68" s="188"/>
      <c r="CI68" s="112"/>
      <c r="CJ68" s="188"/>
      <c r="CK68" s="112"/>
      <c r="CL68" s="188"/>
      <c r="CM68"/>
      <c r="CN68" s="112"/>
      <c r="CO68" s="188"/>
      <c r="CP68"/>
      <c r="CQ68" s="112"/>
      <c r="CR68" s="188"/>
      <c r="CS68"/>
      <c r="CT68" s="112"/>
      <c r="CU68" s="190"/>
      <c r="CW68" s="111"/>
      <c r="CX68" s="2"/>
      <c r="CY68" s="111"/>
      <c r="CZ68" s="2"/>
      <c r="DA68" s="111"/>
      <c r="DB68" s="2"/>
      <c r="DC68" s="111"/>
      <c r="DD68" s="2"/>
      <c r="DE68" s="111"/>
      <c r="DF68" s="2"/>
      <c r="DG68" s="111"/>
      <c r="DH68" s="2"/>
      <c r="DI68" s="111"/>
      <c r="DJ68" s="2"/>
      <c r="DK68" s="111"/>
      <c r="DL68" s="2"/>
      <c r="DM68" s="111"/>
      <c r="DN68" s="2"/>
      <c r="DO68" s="111"/>
      <c r="DP68" s="2"/>
      <c r="DQ68" s="111"/>
      <c r="DR68" s="2"/>
      <c r="DT68" s="111"/>
      <c r="DU68" s="224"/>
      <c r="DV68" s="111"/>
      <c r="DW68" s="219"/>
      <c r="DX68" s="111"/>
      <c r="DY68" s="224"/>
      <c r="DZ68" s="111"/>
      <c r="EA68" s="224"/>
      <c r="EB68" s="111"/>
      <c r="EC68" s="224"/>
      <c r="ED68" s="111"/>
      <c r="EE68" s="224"/>
      <c r="EG68" s="111"/>
      <c r="EH68" s="190"/>
      <c r="EI68" s="111"/>
      <c r="EJ68" s="190"/>
      <c r="EK68" s="111"/>
      <c r="EL68" s="190"/>
      <c r="EM68" s="111"/>
      <c r="EN68" s="190"/>
      <c r="EO68" s="111"/>
      <c r="EP68" s="190"/>
      <c r="EQ68" s="111"/>
      <c r="ER68" s="190"/>
      <c r="ET68" s="111"/>
      <c r="EU68" s="190"/>
      <c r="EV68" s="111"/>
      <c r="EW68" s="190"/>
      <c r="EX68" s="111"/>
      <c r="EY68" s="190"/>
      <c r="EZ68" s="111"/>
      <c r="FA68" s="190"/>
      <c r="FB68" s="111"/>
      <c r="FC68" s="190"/>
    </row>
    <row r="69" spans="1:160" s="1" customFormat="1" x14ac:dyDescent="0.3">
      <c r="A69" s="44"/>
      <c r="B69" s="152"/>
      <c r="C69" s="49"/>
      <c r="D69" s="157"/>
      <c r="E69" s="48"/>
      <c r="F69" s="57"/>
      <c r="G69" s="62"/>
      <c r="H69" s="129"/>
      <c r="I69" s="130"/>
      <c r="J69" s="144"/>
      <c r="K69" s="46"/>
      <c r="L69" s="165"/>
      <c r="M69" s="46"/>
      <c r="N69" s="144"/>
      <c r="O69" s="131"/>
      <c r="P69" s="144"/>
      <c r="Q69" s="48"/>
      <c r="R69" s="46"/>
      <c r="S69" s="48"/>
      <c r="T69" s="48"/>
      <c r="U69" s="46"/>
      <c r="V69" s="48"/>
      <c r="W69" s="48"/>
      <c r="X69" s="617"/>
      <c r="Y69" s="144"/>
      <c r="Z69" s="48"/>
      <c r="AA69" s="49"/>
      <c r="AB69" s="48"/>
      <c r="AC69" s="57"/>
      <c r="AD69" s="132"/>
      <c r="AE69" s="63"/>
      <c r="AF69" s="63"/>
      <c r="AG69" s="57"/>
      <c r="AH69" s="63"/>
      <c r="AI69" s="57"/>
      <c r="AJ69" s="132"/>
      <c r="AK69" s="615"/>
      <c r="AL69" s="59"/>
      <c r="AM69" s="133"/>
      <c r="AN69" s="172"/>
      <c r="AO69" s="64"/>
      <c r="AP69" s="52"/>
      <c r="AQ69" s="65"/>
      <c r="AR69" s="58"/>
      <c r="AS69" s="134"/>
      <c r="AT69" s="172"/>
      <c r="AU69" s="64"/>
      <c r="AV69" s="59"/>
      <c r="AW69" s="65"/>
      <c r="AX69" s="614"/>
      <c r="AY69" s="60"/>
      <c r="AZ69" s="135"/>
      <c r="BA69" s="181"/>
      <c r="BB69" s="66"/>
      <c r="BC69" s="55"/>
      <c r="BD69" s="178"/>
      <c r="BE69" s="67"/>
      <c r="BF69" s="135"/>
      <c r="BG69" s="181"/>
      <c r="BH69" s="66"/>
      <c r="BI69"/>
      <c r="BJ69"/>
      <c r="BK69"/>
      <c r="BL69"/>
      <c r="BM69"/>
      <c r="BN69"/>
      <c r="BO69"/>
      <c r="BP69"/>
      <c r="BQ69"/>
      <c r="BR69"/>
      <c r="BS69" s="112"/>
      <c r="BT69" s="188"/>
      <c r="BU69"/>
      <c r="BV69" s="244"/>
      <c r="BW69"/>
      <c r="BX69"/>
      <c r="BY69" s="112"/>
      <c r="BZ69" s="188"/>
      <c r="CA69" s="112"/>
      <c r="CB69" s="188"/>
      <c r="CC69" s="112"/>
      <c r="CD69" s="188"/>
      <c r="CE69" s="112"/>
      <c r="CF69" s="188"/>
      <c r="CG69" s="112"/>
      <c r="CH69" s="188"/>
      <c r="CI69" s="112"/>
      <c r="CJ69" s="188"/>
      <c r="CK69" s="112"/>
      <c r="CL69" s="188"/>
      <c r="CM69"/>
      <c r="CN69" s="112"/>
      <c r="CO69" s="188"/>
      <c r="CP69"/>
      <c r="CQ69" s="112"/>
      <c r="CR69" s="188"/>
      <c r="CS69"/>
      <c r="CT69" s="112"/>
      <c r="CU69" s="190"/>
      <c r="CV69"/>
      <c r="CW69" s="111"/>
      <c r="CX69" s="4"/>
      <c r="CY69" s="112"/>
      <c r="CZ69" s="4"/>
      <c r="DA69" s="112"/>
      <c r="DB69" s="4"/>
      <c r="DC69" s="112"/>
      <c r="DD69" s="4"/>
      <c r="DE69" s="112"/>
      <c r="DF69" s="4"/>
      <c r="DG69" s="112"/>
      <c r="DH69" s="4"/>
      <c r="DI69" s="112"/>
      <c r="DJ69" s="4"/>
      <c r="DK69" s="112"/>
      <c r="DL69" s="4"/>
      <c r="DM69" s="112"/>
      <c r="DN69" s="4"/>
      <c r="DO69" s="112"/>
      <c r="DP69" s="4"/>
      <c r="DQ69" s="112"/>
      <c r="DR69" s="4"/>
      <c r="DS69"/>
      <c r="DT69" s="112"/>
      <c r="DU69" s="180"/>
      <c r="DV69" s="112"/>
      <c r="DW69" s="218"/>
      <c r="DX69" s="112"/>
      <c r="DY69" s="180"/>
      <c r="DZ69" s="112"/>
      <c r="EA69" s="180"/>
      <c r="EB69" s="112"/>
      <c r="EC69" s="180"/>
      <c r="ED69" s="112"/>
      <c r="EE69" s="180"/>
      <c r="EF69"/>
      <c r="EG69" s="112"/>
      <c r="EH69" s="188"/>
      <c r="EI69" s="112"/>
      <c r="EJ69" s="188"/>
      <c r="EK69" s="112"/>
      <c r="EL69" s="188"/>
      <c r="EM69" s="112"/>
      <c r="EN69" s="188"/>
      <c r="EO69" s="112"/>
      <c r="EP69" s="188"/>
      <c r="EQ69" s="112"/>
      <c r="ER69" s="188"/>
      <c r="ES69"/>
      <c r="ET69" s="112"/>
      <c r="EU69" s="188"/>
      <c r="EV69" s="112"/>
      <c r="EW69" s="188"/>
      <c r="EX69" s="112"/>
      <c r="EY69" s="188"/>
      <c r="EZ69" s="112"/>
      <c r="FA69" s="188"/>
      <c r="FB69" s="112"/>
      <c r="FC69" s="188"/>
      <c r="FD69"/>
    </row>
    <row r="70" spans="1:160" s="1" customFormat="1" x14ac:dyDescent="0.3">
      <c r="A70" s="44"/>
      <c r="B70" s="152"/>
      <c r="C70" s="49"/>
      <c r="D70" s="157"/>
      <c r="E70" s="48"/>
      <c r="F70" s="57"/>
      <c r="G70" s="62"/>
      <c r="H70" s="129"/>
      <c r="I70" s="130"/>
      <c r="J70" s="144"/>
      <c r="K70" s="46"/>
      <c r="L70" s="165"/>
      <c r="M70" s="46"/>
      <c r="N70" s="144"/>
      <c r="O70" s="131"/>
      <c r="P70" s="144"/>
      <c r="Q70" s="48"/>
      <c r="R70" s="46"/>
      <c r="S70" s="48"/>
      <c r="T70" s="48"/>
      <c r="U70" s="46"/>
      <c r="V70" s="48"/>
      <c r="W70" s="48"/>
      <c r="X70" s="617"/>
      <c r="Y70" s="144"/>
      <c r="Z70" s="48"/>
      <c r="AA70" s="49"/>
      <c r="AB70" s="48"/>
      <c r="AC70" s="57"/>
      <c r="AD70" s="132"/>
      <c r="AE70" s="63"/>
      <c r="AF70" s="63"/>
      <c r="AG70" s="57"/>
      <c r="AH70" s="63"/>
      <c r="AI70" s="57"/>
      <c r="AJ70" s="132"/>
      <c r="AK70" s="615"/>
      <c r="AL70" s="59"/>
      <c r="AM70" s="133"/>
      <c r="AN70" s="172"/>
      <c r="AO70" s="64"/>
      <c r="AP70" s="52"/>
      <c r="AQ70" s="65"/>
      <c r="AR70" s="58"/>
      <c r="AS70" s="134"/>
      <c r="AT70" s="172"/>
      <c r="AU70" s="64"/>
      <c r="AV70" s="59"/>
      <c r="AW70" s="65"/>
      <c r="AX70" s="614"/>
      <c r="AY70" s="60"/>
      <c r="AZ70" s="135"/>
      <c r="BA70" s="181"/>
      <c r="BB70" s="66"/>
      <c r="BC70" s="55"/>
      <c r="BD70" s="178"/>
      <c r="BE70" s="67"/>
      <c r="BF70" s="135"/>
      <c r="BG70" s="181"/>
      <c r="BH70" s="66"/>
      <c r="BI70"/>
      <c r="BJ70"/>
      <c r="BK70"/>
      <c r="BL70"/>
      <c r="BM70"/>
      <c r="BN70"/>
      <c r="BO70"/>
      <c r="BP70"/>
      <c r="BQ70"/>
      <c r="BR70"/>
      <c r="BS70" s="112"/>
      <c r="BT70" s="188"/>
      <c r="BU70"/>
      <c r="BV70" s="244"/>
      <c r="BW70"/>
      <c r="BX70"/>
      <c r="BY70" s="112"/>
      <c r="BZ70" s="188"/>
      <c r="CA70" s="112"/>
      <c r="CB70" s="188"/>
      <c r="CC70" s="112"/>
      <c r="CD70" s="188"/>
      <c r="CE70" s="112"/>
      <c r="CF70" s="188"/>
      <c r="CG70" s="112"/>
      <c r="CH70" s="188"/>
      <c r="CI70" s="112"/>
      <c r="CJ70" s="188"/>
      <c r="CK70" s="112"/>
      <c r="CL70" s="188"/>
      <c r="CM70"/>
      <c r="CN70" s="112"/>
      <c r="CO70" s="188"/>
      <c r="CP70"/>
      <c r="CQ70" s="112"/>
      <c r="CR70" s="188"/>
      <c r="CS70"/>
      <c r="CT70" s="112"/>
      <c r="CU70" s="190"/>
      <c r="CV70"/>
      <c r="CW70" s="111"/>
      <c r="CX70" s="4"/>
      <c r="CY70" s="112"/>
      <c r="CZ70" s="4"/>
      <c r="DA70" s="112"/>
      <c r="DB70" s="4"/>
      <c r="DC70" s="112"/>
      <c r="DD70" s="4"/>
      <c r="DE70" s="112"/>
      <c r="DF70" s="4"/>
      <c r="DG70" s="112"/>
      <c r="DH70" s="4"/>
      <c r="DI70" s="112"/>
      <c r="DJ70" s="4"/>
      <c r="DK70" s="112"/>
      <c r="DL70" s="4"/>
      <c r="DM70" s="112"/>
      <c r="DN70" s="4"/>
      <c r="DO70" s="112"/>
      <c r="DP70" s="4"/>
      <c r="DQ70" s="112"/>
      <c r="DR70" s="4"/>
      <c r="DS70"/>
      <c r="DT70" s="112"/>
      <c r="DU70" s="180"/>
      <c r="DV70" s="112"/>
      <c r="DW70" s="218"/>
      <c r="DX70" s="112"/>
      <c r="DY70" s="180"/>
      <c r="DZ70" s="112"/>
      <c r="EA70" s="180"/>
      <c r="EB70" s="112"/>
      <c r="EC70" s="180"/>
      <c r="ED70" s="112"/>
      <c r="EE70" s="180"/>
      <c r="EF70"/>
      <c r="EG70" s="112"/>
      <c r="EH70" s="188"/>
      <c r="EI70" s="112"/>
      <c r="EJ70" s="188"/>
      <c r="EK70" s="112"/>
      <c r="EL70" s="188"/>
      <c r="EM70" s="112"/>
      <c r="EN70" s="188"/>
      <c r="EO70" s="112"/>
      <c r="EP70" s="188"/>
      <c r="EQ70" s="112"/>
      <c r="ER70" s="188"/>
      <c r="ES70"/>
      <c r="ET70" s="112"/>
      <c r="EU70" s="188"/>
      <c r="EV70" s="112"/>
      <c r="EW70" s="188"/>
      <c r="EX70" s="112"/>
      <c r="EY70" s="188"/>
      <c r="EZ70" s="112"/>
      <c r="FA70" s="188"/>
      <c r="FB70" s="112"/>
      <c r="FC70" s="188"/>
      <c r="FD70"/>
    </row>
    <row r="71" spans="1:160" s="1" customFormat="1" x14ac:dyDescent="0.3">
      <c r="A71" s="44"/>
      <c r="B71" s="152"/>
      <c r="C71" s="49"/>
      <c r="D71" s="157"/>
      <c r="E71" s="48"/>
      <c r="F71" s="57"/>
      <c r="G71" s="62"/>
      <c r="H71" s="129"/>
      <c r="I71" s="130"/>
      <c r="J71" s="144"/>
      <c r="K71" s="46"/>
      <c r="L71" s="165"/>
      <c r="M71" s="46"/>
      <c r="N71" s="144"/>
      <c r="O71" s="131"/>
      <c r="P71" s="144"/>
      <c r="Q71" s="48"/>
      <c r="R71" s="46"/>
      <c r="S71" s="48"/>
      <c r="T71" s="48"/>
      <c r="U71" s="46"/>
      <c r="V71" s="48"/>
      <c r="W71" s="48"/>
      <c r="X71" s="617"/>
      <c r="Y71" s="144"/>
      <c r="Z71" s="48"/>
      <c r="AA71" s="49"/>
      <c r="AB71" s="48"/>
      <c r="AC71" s="57"/>
      <c r="AD71" s="132"/>
      <c r="AE71" s="63"/>
      <c r="AF71" s="63"/>
      <c r="AG71" s="57"/>
      <c r="AH71" s="63"/>
      <c r="AI71" s="57"/>
      <c r="AJ71" s="132"/>
      <c r="AK71" s="615"/>
      <c r="AL71" s="59"/>
      <c r="AM71" s="133"/>
      <c r="AN71" s="172"/>
      <c r="AO71" s="64"/>
      <c r="AP71" s="52"/>
      <c r="AQ71" s="65"/>
      <c r="AR71" s="58"/>
      <c r="AS71" s="134"/>
      <c r="AT71" s="172"/>
      <c r="AU71" s="64"/>
      <c r="AV71" s="59"/>
      <c r="AW71" s="65"/>
      <c r="AX71" s="614"/>
      <c r="AY71" s="60"/>
      <c r="AZ71" s="135"/>
      <c r="BA71" s="181"/>
      <c r="BB71" s="66"/>
      <c r="BC71" s="55"/>
      <c r="BD71" s="178"/>
      <c r="BE71" s="67"/>
      <c r="BF71" s="135"/>
      <c r="BG71" s="181"/>
      <c r="BH71" s="66"/>
      <c r="BI71"/>
      <c r="BJ71"/>
      <c r="BK71"/>
      <c r="BL71"/>
      <c r="BM71"/>
      <c r="BN71"/>
      <c r="BO71"/>
      <c r="BP71"/>
      <c r="BQ71"/>
      <c r="BR71"/>
      <c r="BS71" s="112"/>
      <c r="BT71" s="188"/>
      <c r="BU71"/>
      <c r="BV71" s="244"/>
      <c r="BW71"/>
      <c r="BX71"/>
      <c r="BY71" s="112"/>
      <c r="BZ71" s="188"/>
      <c r="CA71" s="112"/>
      <c r="CB71" s="188"/>
      <c r="CC71" s="112"/>
      <c r="CD71" s="188"/>
      <c r="CE71" s="112"/>
      <c r="CF71" s="188"/>
      <c r="CG71" s="112"/>
      <c r="CH71" s="188"/>
      <c r="CI71" s="112"/>
      <c r="CJ71" s="188"/>
      <c r="CK71" s="112"/>
      <c r="CL71" s="188"/>
      <c r="CM71"/>
      <c r="CN71" s="112"/>
      <c r="CO71" s="188"/>
      <c r="CP71"/>
      <c r="CQ71" s="112"/>
      <c r="CR71" s="188"/>
      <c r="CS71"/>
      <c r="CT71" s="112"/>
      <c r="CU71" s="190"/>
      <c r="CV71"/>
      <c r="CW71" s="111"/>
      <c r="CX71" s="4"/>
      <c r="CY71" s="112"/>
      <c r="CZ71" s="4"/>
      <c r="DA71" s="112"/>
      <c r="DB71" s="4"/>
      <c r="DC71" s="112"/>
      <c r="DD71" s="4"/>
      <c r="DE71" s="112"/>
      <c r="DF71" s="4"/>
      <c r="DG71" s="112"/>
      <c r="DH71" s="4"/>
      <c r="DI71" s="112"/>
      <c r="DJ71" s="4"/>
      <c r="DK71" s="112"/>
      <c r="DL71" s="4"/>
      <c r="DM71" s="112"/>
      <c r="DN71" s="4"/>
      <c r="DO71" s="112"/>
      <c r="DP71" s="4"/>
      <c r="DQ71" s="112"/>
      <c r="DR71" s="4"/>
      <c r="DS71"/>
      <c r="DT71" s="112"/>
      <c r="DU71" s="180"/>
      <c r="DV71" s="112"/>
      <c r="DW71" s="218"/>
      <c r="DX71" s="112"/>
      <c r="DY71" s="180"/>
      <c r="DZ71" s="112"/>
      <c r="EA71" s="180"/>
      <c r="EB71" s="112"/>
      <c r="EC71" s="180"/>
      <c r="ED71" s="112"/>
      <c r="EE71" s="180"/>
      <c r="EF71"/>
      <c r="EG71" s="112"/>
      <c r="EH71" s="188"/>
      <c r="EI71" s="112"/>
      <c r="EJ71" s="188"/>
      <c r="EK71" s="112"/>
      <c r="EL71" s="188"/>
      <c r="EM71" s="112"/>
      <c r="EN71" s="188"/>
      <c r="EO71" s="112"/>
      <c r="EP71" s="188"/>
      <c r="EQ71" s="112"/>
      <c r="ER71" s="188"/>
      <c r="ES71"/>
      <c r="ET71" s="112"/>
      <c r="EU71" s="188"/>
      <c r="EV71" s="112"/>
      <c r="EW71" s="188"/>
      <c r="EX71" s="112"/>
      <c r="EY71" s="188"/>
      <c r="EZ71" s="112"/>
      <c r="FA71" s="188"/>
      <c r="FB71" s="112"/>
      <c r="FC71" s="188"/>
      <c r="FD71"/>
    </row>
    <row r="72" spans="1:160" s="1" customFormat="1" x14ac:dyDescent="0.3">
      <c r="A72" s="44"/>
      <c r="B72" s="152"/>
      <c r="C72" s="49"/>
      <c r="D72" s="157"/>
      <c r="E72" s="48"/>
      <c r="F72" s="57"/>
      <c r="G72" s="62"/>
      <c r="H72" s="129"/>
      <c r="I72" s="130"/>
      <c r="J72" s="161"/>
      <c r="K72" s="46"/>
      <c r="L72" s="165"/>
      <c r="M72" s="46"/>
      <c r="N72" s="144"/>
      <c r="O72" s="131"/>
      <c r="P72" s="144"/>
      <c r="Q72" s="48"/>
      <c r="R72" s="46"/>
      <c r="S72" s="48"/>
      <c r="T72" s="48"/>
      <c r="U72" s="46"/>
      <c r="V72" s="48"/>
      <c r="W72" s="48"/>
      <c r="X72" s="617"/>
      <c r="Y72" s="144"/>
      <c r="Z72" s="48"/>
      <c r="AA72" s="49"/>
      <c r="AB72" s="48"/>
      <c r="AC72" s="57"/>
      <c r="AD72" s="132"/>
      <c r="AE72" s="63"/>
      <c r="AF72" s="63"/>
      <c r="AG72" s="57"/>
      <c r="AH72" s="63"/>
      <c r="AI72" s="57"/>
      <c r="AJ72" s="132"/>
      <c r="AK72" s="615"/>
      <c r="AL72" s="59"/>
      <c r="AM72" s="133"/>
      <c r="AN72" s="172"/>
      <c r="AO72" s="64"/>
      <c r="AP72" s="52"/>
      <c r="AQ72" s="65"/>
      <c r="AR72" s="58"/>
      <c r="AS72" s="134"/>
      <c r="AT72" s="172"/>
      <c r="AU72" s="64"/>
      <c r="AV72" s="59"/>
      <c r="AW72" s="65"/>
      <c r="AX72" s="614"/>
      <c r="AY72" s="60"/>
      <c r="AZ72" s="135"/>
      <c r="BA72" s="181"/>
      <c r="BB72" s="66"/>
      <c r="BC72" s="55"/>
      <c r="BD72" s="178"/>
      <c r="BE72" s="67"/>
      <c r="BF72" s="135"/>
      <c r="BG72" s="181"/>
      <c r="BH72" s="66"/>
      <c r="BI72"/>
      <c r="BJ72"/>
      <c r="BK72"/>
      <c r="BL72"/>
      <c r="BM72"/>
      <c r="BN72"/>
      <c r="BO72"/>
      <c r="BP72"/>
      <c r="BQ72"/>
      <c r="BR72"/>
      <c r="BS72" s="112"/>
      <c r="BT72" s="188"/>
      <c r="BU72"/>
      <c r="BV72" s="244"/>
      <c r="BW72"/>
      <c r="BX72"/>
      <c r="BY72" s="112"/>
      <c r="BZ72" s="188"/>
      <c r="CA72" s="112"/>
      <c r="CB72" s="188"/>
      <c r="CC72" s="112"/>
      <c r="CD72" s="188"/>
      <c r="CE72" s="112"/>
      <c r="CF72" s="188"/>
      <c r="CG72" s="112"/>
      <c r="CH72" s="188"/>
      <c r="CI72" s="112"/>
      <c r="CJ72" s="188"/>
      <c r="CK72" s="112"/>
      <c r="CL72" s="188"/>
      <c r="CM72"/>
      <c r="CN72" s="112"/>
      <c r="CO72" s="188"/>
      <c r="CP72"/>
      <c r="CQ72" s="112"/>
      <c r="CR72" s="188"/>
      <c r="CS72"/>
      <c r="CT72" s="112"/>
      <c r="CU72" s="190"/>
      <c r="CV72"/>
      <c r="CW72" s="111"/>
      <c r="CX72" s="4"/>
      <c r="CY72" s="112"/>
      <c r="CZ72" s="4"/>
      <c r="DA72" s="112"/>
      <c r="DB72" s="4"/>
      <c r="DC72" s="112"/>
      <c r="DD72" s="4"/>
      <c r="DE72" s="112"/>
      <c r="DF72" s="4"/>
      <c r="DG72" s="112"/>
      <c r="DH72" s="4"/>
      <c r="DI72" s="112"/>
      <c r="DJ72" s="4"/>
      <c r="DK72" s="112"/>
      <c r="DL72" s="4"/>
      <c r="DM72" s="112"/>
      <c r="DN72" s="4"/>
      <c r="DO72" s="112"/>
      <c r="DP72" s="4"/>
      <c r="DQ72" s="112"/>
      <c r="DR72" s="4"/>
      <c r="DS72"/>
      <c r="DT72" s="112"/>
      <c r="DU72" s="180"/>
      <c r="DV72" s="112"/>
      <c r="DW72" s="218"/>
      <c r="DX72" s="112"/>
      <c r="DY72" s="180"/>
      <c r="DZ72" s="112"/>
      <c r="EA72" s="180"/>
      <c r="EB72" s="112"/>
      <c r="EC72" s="180"/>
      <c r="ED72" s="112"/>
      <c r="EE72" s="180"/>
      <c r="EF72"/>
      <c r="EG72" s="112"/>
      <c r="EH72" s="188"/>
      <c r="EI72" s="112"/>
      <c r="EJ72" s="188"/>
      <c r="EK72" s="112"/>
      <c r="EL72" s="188"/>
      <c r="EM72" s="112"/>
      <c r="EN72" s="188"/>
      <c r="EO72" s="112"/>
      <c r="EP72" s="188"/>
      <c r="EQ72" s="112"/>
      <c r="ER72" s="188"/>
      <c r="ES72"/>
      <c r="ET72" s="112"/>
      <c r="EU72" s="188"/>
      <c r="EV72" s="112"/>
      <c r="EW72" s="188"/>
      <c r="EX72" s="112"/>
      <c r="EY72" s="188"/>
      <c r="EZ72" s="112"/>
      <c r="FA72" s="188"/>
      <c r="FB72" s="112"/>
      <c r="FC72" s="188"/>
      <c r="FD72"/>
    </row>
    <row r="73" spans="1:160" s="1" customFormat="1" x14ac:dyDescent="0.3">
      <c r="A73" s="44"/>
      <c r="B73" s="152"/>
      <c r="C73" s="49"/>
      <c r="D73" s="157"/>
      <c r="E73" s="48"/>
      <c r="F73" s="57"/>
      <c r="G73" s="62"/>
      <c r="H73" s="129"/>
      <c r="I73" s="130"/>
      <c r="J73" s="161"/>
      <c r="K73" s="46"/>
      <c r="L73" s="165"/>
      <c r="M73" s="46"/>
      <c r="N73" s="144"/>
      <c r="O73" s="131"/>
      <c r="P73" s="144"/>
      <c r="Q73" s="48"/>
      <c r="R73" s="46"/>
      <c r="S73" s="48"/>
      <c r="T73" s="48"/>
      <c r="U73" s="46"/>
      <c r="V73" s="48"/>
      <c r="W73" s="48"/>
      <c r="X73" s="617"/>
      <c r="Y73" s="144"/>
      <c r="Z73" s="48"/>
      <c r="AA73" s="49"/>
      <c r="AB73" s="48"/>
      <c r="AC73" s="57"/>
      <c r="AD73" s="132"/>
      <c r="AE73" s="63"/>
      <c r="AF73" s="63"/>
      <c r="AG73" s="57"/>
      <c r="AH73" s="63"/>
      <c r="AI73" s="57"/>
      <c r="AJ73" s="132"/>
      <c r="AK73" s="615"/>
      <c r="AL73" s="59"/>
      <c r="AM73" s="133"/>
      <c r="AN73" s="172"/>
      <c r="AO73" s="64"/>
      <c r="AP73" s="52"/>
      <c r="AQ73" s="65"/>
      <c r="AR73" s="58"/>
      <c r="AS73" s="134"/>
      <c r="AT73" s="172"/>
      <c r="AU73" s="64"/>
      <c r="AV73" s="59"/>
      <c r="AW73" s="65"/>
      <c r="AX73" s="614"/>
      <c r="AY73" s="60"/>
      <c r="AZ73" s="135"/>
      <c r="BA73" s="181"/>
      <c r="BB73" s="66"/>
      <c r="BC73" s="55"/>
      <c r="BD73" s="178"/>
      <c r="BE73" s="67"/>
      <c r="BF73" s="135"/>
      <c r="BG73" s="181"/>
      <c r="BH73" s="66"/>
      <c r="BI73"/>
      <c r="BJ73"/>
      <c r="BK73"/>
      <c r="BL73"/>
      <c r="BM73"/>
      <c r="BN73"/>
      <c r="BO73"/>
      <c r="BP73"/>
      <c r="BQ73"/>
      <c r="BR73"/>
      <c r="BS73" s="112"/>
      <c r="BT73" s="188"/>
      <c r="BU73"/>
      <c r="BV73" s="244"/>
      <c r="BW73"/>
      <c r="BX73"/>
      <c r="BY73" s="112"/>
      <c r="BZ73" s="188"/>
      <c r="CA73" s="112"/>
      <c r="CB73" s="188"/>
      <c r="CC73" s="112"/>
      <c r="CD73" s="188"/>
      <c r="CE73" s="112"/>
      <c r="CF73" s="188"/>
      <c r="CG73" s="112"/>
      <c r="CH73" s="188"/>
      <c r="CI73" s="112"/>
      <c r="CJ73" s="188"/>
      <c r="CK73" s="112"/>
      <c r="CL73" s="188"/>
      <c r="CM73"/>
      <c r="CN73" s="112"/>
      <c r="CO73" s="188"/>
      <c r="CP73"/>
      <c r="CQ73" s="112"/>
      <c r="CR73" s="188"/>
      <c r="CS73"/>
      <c r="CT73" s="112"/>
      <c r="CU73" s="190"/>
      <c r="CV73"/>
      <c r="CW73" s="111"/>
      <c r="CX73" s="4"/>
      <c r="CY73" s="112"/>
      <c r="CZ73" s="4"/>
      <c r="DA73" s="112"/>
      <c r="DB73" s="4"/>
      <c r="DC73" s="112"/>
      <c r="DD73" s="4"/>
      <c r="DE73" s="112"/>
      <c r="DF73" s="4"/>
      <c r="DG73" s="112"/>
      <c r="DH73" s="4"/>
      <c r="DI73" s="112"/>
      <c r="DJ73" s="4"/>
      <c r="DK73" s="112"/>
      <c r="DL73" s="4"/>
      <c r="DM73" s="112"/>
      <c r="DN73" s="4"/>
      <c r="DO73" s="112"/>
      <c r="DP73" s="4"/>
      <c r="DQ73" s="112"/>
      <c r="DR73" s="4"/>
      <c r="DS73"/>
      <c r="DT73" s="112"/>
      <c r="DU73" s="180"/>
      <c r="DV73" s="112"/>
      <c r="DW73" s="218"/>
      <c r="DX73" s="112"/>
      <c r="DY73" s="180"/>
      <c r="DZ73" s="112"/>
      <c r="EA73" s="180"/>
      <c r="EB73" s="112"/>
      <c r="EC73" s="180"/>
      <c r="ED73" s="112"/>
      <c r="EE73" s="180"/>
      <c r="EF73"/>
      <c r="EG73" s="112"/>
      <c r="EH73" s="188"/>
      <c r="EI73" s="112"/>
      <c r="EJ73" s="188"/>
      <c r="EK73" s="112"/>
      <c r="EL73" s="188"/>
      <c r="EM73" s="112"/>
      <c r="EN73" s="188"/>
      <c r="EO73" s="112"/>
      <c r="EP73" s="188"/>
      <c r="EQ73" s="112"/>
      <c r="ER73" s="188"/>
      <c r="ES73"/>
      <c r="ET73" s="112"/>
      <c r="EU73" s="188"/>
      <c r="EV73" s="112"/>
      <c r="EW73" s="188"/>
      <c r="EX73" s="112"/>
      <c r="EY73" s="188"/>
      <c r="EZ73" s="112"/>
      <c r="FA73" s="188"/>
      <c r="FB73" s="112"/>
      <c r="FC73" s="188"/>
      <c r="FD73"/>
    </row>
    <row r="74" spans="1:160" s="1" customFormat="1" x14ac:dyDescent="0.3">
      <c r="A74" s="44"/>
      <c r="B74" s="152"/>
      <c r="C74" s="49"/>
      <c r="D74" s="157"/>
      <c r="E74" s="48"/>
      <c r="F74" s="57"/>
      <c r="G74" s="62"/>
      <c r="H74" s="129"/>
      <c r="I74" s="130"/>
      <c r="J74" s="144"/>
      <c r="K74" s="46"/>
      <c r="L74" s="165"/>
      <c r="M74" s="46"/>
      <c r="N74" s="144"/>
      <c r="O74" s="131"/>
      <c r="P74" s="144"/>
      <c r="Q74" s="48"/>
      <c r="R74" s="46"/>
      <c r="S74" s="48"/>
      <c r="T74" s="48"/>
      <c r="U74" s="46"/>
      <c r="V74" s="48"/>
      <c r="W74" s="48"/>
      <c r="X74" s="617"/>
      <c r="Y74" s="144"/>
      <c r="Z74" s="48"/>
      <c r="AA74" s="49"/>
      <c r="AB74" s="48"/>
      <c r="AC74" s="57"/>
      <c r="AD74" s="132"/>
      <c r="AE74" s="63"/>
      <c r="AF74" s="63"/>
      <c r="AG74" s="57"/>
      <c r="AH74" s="63"/>
      <c r="AI74" s="57"/>
      <c r="AJ74" s="132"/>
      <c r="AK74" s="615"/>
      <c r="AL74" s="68"/>
      <c r="AM74" s="133"/>
      <c r="AN74" s="173"/>
      <c r="AO74" s="64"/>
      <c r="AP74" s="52"/>
      <c r="AQ74" s="65"/>
      <c r="AR74" s="69"/>
      <c r="AS74" s="134"/>
      <c r="AT74" s="173"/>
      <c r="AU74" s="64"/>
      <c r="AV74" s="137"/>
      <c r="AW74" s="65"/>
      <c r="AX74" s="614"/>
      <c r="AY74" s="60"/>
      <c r="AZ74" s="135"/>
      <c r="BA74" s="181"/>
      <c r="BB74" s="66"/>
      <c r="BC74" s="55"/>
      <c r="BD74" s="178"/>
      <c r="BE74" s="67"/>
      <c r="BF74" s="135"/>
      <c r="BG74" s="181"/>
      <c r="BH74" s="66"/>
      <c r="BI74"/>
      <c r="BJ74"/>
      <c r="BK74"/>
      <c r="BL74"/>
      <c r="BM74"/>
      <c r="BN74"/>
      <c r="BO74"/>
      <c r="BP74"/>
      <c r="BQ74"/>
      <c r="BR74"/>
      <c r="BS74" s="112"/>
      <c r="BT74" s="188"/>
      <c r="BU74"/>
      <c r="BV74" s="244"/>
      <c r="BW74"/>
      <c r="BX74"/>
      <c r="BY74" s="112"/>
      <c r="BZ74" s="188"/>
      <c r="CA74" s="112"/>
      <c r="CB74" s="188"/>
      <c r="CC74" s="112"/>
      <c r="CD74" s="188"/>
      <c r="CE74" s="112"/>
      <c r="CF74" s="188"/>
      <c r="CG74" s="112"/>
      <c r="CH74" s="188"/>
      <c r="CI74" s="112"/>
      <c r="CJ74" s="188"/>
      <c r="CK74" s="112"/>
      <c r="CL74" s="188"/>
      <c r="CM74"/>
      <c r="CN74" s="112"/>
      <c r="CO74" s="188"/>
      <c r="CP74"/>
      <c r="CQ74" s="112"/>
      <c r="CR74" s="188"/>
      <c r="CS74"/>
      <c r="CT74" s="112"/>
      <c r="CU74" s="190"/>
      <c r="CV74"/>
      <c r="CW74" s="111"/>
      <c r="CX74" s="4"/>
      <c r="CY74" s="112"/>
      <c r="CZ74" s="4"/>
      <c r="DA74" s="112"/>
      <c r="DB74" s="4"/>
      <c r="DC74" s="112"/>
      <c r="DD74" s="4"/>
      <c r="DE74" s="112"/>
      <c r="DF74" s="4"/>
      <c r="DG74" s="112"/>
      <c r="DH74" s="4"/>
      <c r="DI74" s="112"/>
      <c r="DJ74" s="4"/>
      <c r="DK74" s="112"/>
      <c r="DL74" s="4"/>
      <c r="DM74" s="112"/>
      <c r="DN74" s="4"/>
      <c r="DO74" s="112"/>
      <c r="DP74" s="4"/>
      <c r="DQ74" s="112"/>
      <c r="DR74" s="4"/>
      <c r="DS74"/>
      <c r="DT74" s="112"/>
      <c r="DU74" s="180"/>
      <c r="DV74" s="112"/>
      <c r="DW74" s="218"/>
      <c r="DX74" s="112"/>
      <c r="DY74" s="180"/>
      <c r="DZ74" s="112"/>
      <c r="EA74" s="180"/>
      <c r="EB74" s="112"/>
      <c r="EC74" s="180"/>
      <c r="ED74" s="112"/>
      <c r="EE74" s="180"/>
      <c r="EF74"/>
      <c r="EG74" s="112"/>
      <c r="EH74" s="188"/>
      <c r="EI74" s="112"/>
      <c r="EJ74" s="188"/>
      <c r="EK74" s="112"/>
      <c r="EL74" s="188"/>
      <c r="EM74" s="112"/>
      <c r="EN74" s="188"/>
      <c r="EO74" s="112"/>
      <c r="EP74" s="188"/>
      <c r="EQ74" s="112"/>
      <c r="ER74" s="188"/>
      <c r="ES74"/>
      <c r="ET74" s="112"/>
      <c r="EU74" s="188"/>
      <c r="EV74" s="112"/>
      <c r="EW74" s="188"/>
      <c r="EX74" s="112"/>
      <c r="EY74" s="188"/>
      <c r="EZ74" s="112"/>
      <c r="FA74" s="188"/>
      <c r="FB74" s="112"/>
      <c r="FC74" s="188"/>
      <c r="FD74"/>
    </row>
    <row r="75" spans="1:160" s="1" customFormat="1" x14ac:dyDescent="0.3">
      <c r="A75" s="44"/>
      <c r="B75" s="152"/>
      <c r="C75" s="49"/>
      <c r="D75" s="157"/>
      <c r="E75" s="48"/>
      <c r="F75" s="57"/>
      <c r="G75" s="62"/>
      <c r="H75" s="129"/>
      <c r="I75" s="130"/>
      <c r="J75" s="144"/>
      <c r="K75" s="46"/>
      <c r="L75" s="165"/>
      <c r="M75" s="46"/>
      <c r="N75" s="144"/>
      <c r="O75" s="131"/>
      <c r="P75" s="144"/>
      <c r="Q75" s="48"/>
      <c r="R75" s="46"/>
      <c r="S75" s="48"/>
      <c r="T75" s="48"/>
      <c r="U75" s="46"/>
      <c r="V75" s="48"/>
      <c r="W75" s="48"/>
      <c r="X75" s="617"/>
      <c r="Y75" s="141"/>
      <c r="Z75" s="48"/>
      <c r="AA75" s="49"/>
      <c r="AB75" s="48"/>
      <c r="AC75" s="56"/>
      <c r="AD75" s="132"/>
      <c r="AE75" s="63"/>
      <c r="AF75" s="63"/>
      <c r="AG75" s="128"/>
      <c r="AH75" s="63"/>
      <c r="AI75" s="56"/>
      <c r="AJ75" s="132"/>
      <c r="AK75" s="615"/>
      <c r="AL75" s="68"/>
      <c r="AM75" s="133"/>
      <c r="AN75" s="173"/>
      <c r="AO75" s="64"/>
      <c r="AP75" s="52"/>
      <c r="AQ75" s="65"/>
      <c r="AR75" s="69"/>
      <c r="AS75" s="134"/>
      <c r="AT75" s="173"/>
      <c r="AU75" s="64"/>
      <c r="AV75" s="137"/>
      <c r="AW75" s="65"/>
      <c r="AX75" s="614"/>
      <c r="AY75" s="60"/>
      <c r="AZ75" s="135"/>
      <c r="BA75" s="181"/>
      <c r="BB75" s="66"/>
      <c r="BC75" s="55"/>
      <c r="BD75" s="178"/>
      <c r="BE75" s="67"/>
      <c r="BF75" s="135"/>
      <c r="BG75" s="181"/>
      <c r="BH75" s="66"/>
      <c r="BI75"/>
      <c r="BJ75"/>
      <c r="BK75"/>
      <c r="BL75"/>
      <c r="BM75"/>
      <c r="BN75"/>
      <c r="BO75"/>
      <c r="BP75"/>
      <c r="BQ75"/>
      <c r="BR75"/>
      <c r="BS75" s="112"/>
      <c r="BT75" s="188"/>
      <c r="BU75"/>
      <c r="BV75" s="244"/>
      <c r="BW75"/>
      <c r="BX75"/>
      <c r="BY75" s="112"/>
      <c r="BZ75" s="188"/>
      <c r="CA75" s="112"/>
      <c r="CB75" s="188"/>
      <c r="CC75" s="112"/>
      <c r="CD75" s="188"/>
      <c r="CE75" s="112"/>
      <c r="CF75" s="188"/>
      <c r="CG75" s="112"/>
      <c r="CH75" s="188"/>
      <c r="CI75" s="112"/>
      <c r="CJ75" s="188"/>
      <c r="CK75" s="112"/>
      <c r="CL75" s="188"/>
      <c r="CM75"/>
      <c r="CN75" s="112"/>
      <c r="CO75" s="188"/>
      <c r="CP75"/>
      <c r="CQ75" s="112"/>
      <c r="CR75" s="188"/>
      <c r="CS75"/>
      <c r="CT75" s="112"/>
      <c r="CU75" s="190"/>
      <c r="CV75"/>
      <c r="CW75" s="111"/>
      <c r="CX75" s="4"/>
      <c r="CY75" s="112"/>
      <c r="CZ75" s="4"/>
      <c r="DA75" s="112"/>
      <c r="DB75" s="4"/>
      <c r="DC75" s="112"/>
      <c r="DD75" s="4"/>
      <c r="DE75" s="112"/>
      <c r="DF75" s="4"/>
      <c r="DG75" s="112"/>
      <c r="DH75" s="4"/>
      <c r="DI75" s="112"/>
      <c r="DJ75" s="4"/>
      <c r="DK75" s="112"/>
      <c r="DL75" s="4"/>
      <c r="DM75" s="112"/>
      <c r="DN75" s="4"/>
      <c r="DO75" s="112"/>
      <c r="DP75" s="4"/>
      <c r="DQ75" s="112"/>
      <c r="DR75" s="4"/>
      <c r="DS75"/>
      <c r="DT75" s="112"/>
      <c r="DU75" s="180"/>
      <c r="DV75" s="112"/>
      <c r="DW75" s="218"/>
      <c r="DX75" s="112"/>
      <c r="DY75" s="180"/>
      <c r="DZ75" s="112"/>
      <c r="EA75" s="180"/>
      <c r="EB75" s="112"/>
      <c r="EC75" s="180"/>
      <c r="ED75" s="112"/>
      <c r="EE75" s="180"/>
      <c r="EF75"/>
      <c r="EG75" s="112"/>
      <c r="EH75" s="188"/>
      <c r="EI75" s="112"/>
      <c r="EJ75" s="188"/>
      <c r="EK75" s="112"/>
      <c r="EL75" s="188"/>
      <c r="EM75" s="112"/>
      <c r="EN75" s="188"/>
      <c r="EO75" s="112"/>
      <c r="EP75" s="188"/>
      <c r="EQ75" s="112"/>
      <c r="ER75" s="188"/>
      <c r="ES75"/>
      <c r="ET75" s="112"/>
      <c r="EU75" s="188"/>
      <c r="EV75" s="112"/>
      <c r="EW75" s="188"/>
      <c r="EX75" s="112"/>
      <c r="EY75" s="188"/>
      <c r="EZ75" s="112"/>
      <c r="FA75" s="188"/>
      <c r="FB75" s="112"/>
      <c r="FC75" s="188"/>
      <c r="FD75"/>
    </row>
    <row r="76" spans="1:160" s="1" customFormat="1" x14ac:dyDescent="0.3">
      <c r="A76" s="44"/>
      <c r="B76" s="152"/>
      <c r="C76" s="49"/>
      <c r="D76" s="157"/>
      <c r="E76" s="48"/>
      <c r="F76" s="57"/>
      <c r="G76" s="62"/>
      <c r="H76" s="129"/>
      <c r="I76" s="130"/>
      <c r="J76" s="144"/>
      <c r="K76" s="46"/>
      <c r="L76" s="165"/>
      <c r="M76" s="46"/>
      <c r="N76" s="144"/>
      <c r="O76" s="131"/>
      <c r="P76" s="144"/>
      <c r="Q76" s="48"/>
      <c r="R76" s="46"/>
      <c r="S76" s="48"/>
      <c r="T76" s="48"/>
      <c r="U76" s="46"/>
      <c r="V76" s="48"/>
      <c r="W76" s="48"/>
      <c r="X76" s="617"/>
      <c r="Y76" s="141"/>
      <c r="Z76" s="48"/>
      <c r="AA76" s="49"/>
      <c r="AB76" s="48"/>
      <c r="AC76" s="56"/>
      <c r="AD76" s="132"/>
      <c r="AE76" s="63"/>
      <c r="AF76" s="63"/>
      <c r="AG76" s="128"/>
      <c r="AH76" s="63"/>
      <c r="AI76" s="56"/>
      <c r="AJ76" s="132"/>
      <c r="AK76" s="615"/>
      <c r="AL76" s="68"/>
      <c r="AM76" s="133"/>
      <c r="AN76" s="173"/>
      <c r="AO76" s="64"/>
      <c r="AP76" s="52"/>
      <c r="AQ76" s="65"/>
      <c r="AR76" s="69"/>
      <c r="AS76" s="134"/>
      <c r="AT76" s="173"/>
      <c r="AU76" s="64"/>
      <c r="AV76" s="137"/>
      <c r="AW76" s="65"/>
      <c r="AX76" s="614"/>
      <c r="AY76" s="60"/>
      <c r="AZ76" s="135"/>
      <c r="BA76" s="181"/>
      <c r="BB76" s="66"/>
      <c r="BC76" s="55"/>
      <c r="BD76" s="178"/>
      <c r="BE76" s="67"/>
      <c r="BF76" s="135"/>
      <c r="BG76" s="181"/>
      <c r="BH76" s="66"/>
      <c r="BI76"/>
      <c r="BJ76"/>
      <c r="BK76"/>
      <c r="BL76"/>
      <c r="BM76"/>
      <c r="BN76"/>
      <c r="BO76"/>
      <c r="BP76"/>
      <c r="BQ76"/>
      <c r="BR76"/>
      <c r="BS76" s="112"/>
      <c r="BT76" s="188"/>
      <c r="BU76"/>
      <c r="BV76" s="244"/>
      <c r="BW76"/>
      <c r="BX76"/>
      <c r="BY76" s="112"/>
      <c r="BZ76" s="188"/>
      <c r="CA76" s="112"/>
      <c r="CB76" s="188"/>
      <c r="CC76" s="112"/>
      <c r="CD76" s="188"/>
      <c r="CE76" s="112"/>
      <c r="CF76" s="188"/>
      <c r="CG76" s="112"/>
      <c r="CH76" s="188"/>
      <c r="CI76" s="112"/>
      <c r="CJ76" s="188"/>
      <c r="CK76" s="112"/>
      <c r="CL76" s="188"/>
      <c r="CM76"/>
      <c r="CN76" s="112"/>
      <c r="CO76" s="188"/>
      <c r="CP76"/>
      <c r="CQ76" s="112"/>
      <c r="CR76" s="188"/>
      <c r="CS76"/>
      <c r="CT76" s="112"/>
      <c r="CU76" s="190"/>
      <c r="CV76"/>
      <c r="CW76" s="111"/>
      <c r="CX76" s="4"/>
      <c r="CY76" s="112"/>
      <c r="CZ76" s="4"/>
      <c r="DA76" s="112"/>
      <c r="DB76" s="4"/>
      <c r="DC76" s="112"/>
      <c r="DD76" s="4"/>
      <c r="DE76" s="112"/>
      <c r="DF76" s="4"/>
      <c r="DG76" s="112"/>
      <c r="DH76" s="4"/>
      <c r="DI76" s="112"/>
      <c r="DJ76" s="4"/>
      <c r="DK76" s="112"/>
      <c r="DL76" s="4"/>
      <c r="DM76" s="112"/>
      <c r="DN76" s="4"/>
      <c r="DO76" s="112"/>
      <c r="DP76" s="4"/>
      <c r="DQ76" s="112"/>
      <c r="DR76" s="4"/>
      <c r="DS76"/>
      <c r="DT76" s="112"/>
      <c r="DU76" s="180"/>
      <c r="DV76" s="112"/>
      <c r="DW76" s="218"/>
      <c r="DX76" s="112"/>
      <c r="DY76" s="180"/>
      <c r="DZ76" s="112"/>
      <c r="EA76" s="180"/>
      <c r="EB76" s="112"/>
      <c r="EC76" s="180"/>
      <c r="ED76" s="112"/>
      <c r="EE76" s="180"/>
      <c r="EF76"/>
      <c r="EG76" s="112"/>
      <c r="EH76" s="188"/>
      <c r="EI76" s="112"/>
      <c r="EJ76" s="188"/>
      <c r="EK76" s="112"/>
      <c r="EL76" s="188"/>
      <c r="EM76" s="112"/>
      <c r="EN76" s="188"/>
      <c r="EO76" s="112"/>
      <c r="EP76" s="188"/>
      <c r="EQ76" s="112"/>
      <c r="ER76" s="188"/>
      <c r="ES76"/>
      <c r="ET76" s="112"/>
      <c r="EU76" s="188"/>
      <c r="EV76" s="112"/>
      <c r="EW76" s="188"/>
      <c r="EX76" s="112"/>
      <c r="EY76" s="188"/>
      <c r="EZ76" s="112"/>
      <c r="FA76" s="188"/>
      <c r="FB76" s="112"/>
      <c r="FC76" s="188"/>
      <c r="FD76"/>
    </row>
    <row r="77" spans="1:160" s="1" customFormat="1" x14ac:dyDescent="0.3">
      <c r="A77" s="44"/>
      <c r="B77" s="152"/>
      <c r="C77" s="49"/>
      <c r="D77" s="157"/>
      <c r="E77" s="48"/>
      <c r="F77" s="57"/>
      <c r="G77" s="62"/>
      <c r="H77" s="129"/>
      <c r="I77" s="130"/>
      <c r="J77" s="144"/>
      <c r="K77" s="46"/>
      <c r="L77" s="165"/>
      <c r="M77" s="46"/>
      <c r="N77" s="144"/>
      <c r="O77" s="131"/>
      <c r="P77" s="144"/>
      <c r="Q77" s="48"/>
      <c r="R77" s="46"/>
      <c r="S77" s="48"/>
      <c r="T77" s="48"/>
      <c r="U77" s="46"/>
      <c r="V77" s="48"/>
      <c r="W77" s="48"/>
      <c r="X77" s="617"/>
      <c r="Y77" s="141"/>
      <c r="Z77" s="48"/>
      <c r="AA77" s="49"/>
      <c r="AB77" s="48"/>
      <c r="AC77" s="56"/>
      <c r="AD77" s="132"/>
      <c r="AE77" s="63"/>
      <c r="AF77" s="63"/>
      <c r="AG77" s="128"/>
      <c r="AH77" s="63"/>
      <c r="AI77" s="56"/>
      <c r="AJ77" s="132"/>
      <c r="AK77" s="615"/>
      <c r="AL77" s="68"/>
      <c r="AM77" s="133"/>
      <c r="AN77" s="173"/>
      <c r="AO77" s="64"/>
      <c r="AP77" s="52"/>
      <c r="AQ77" s="65"/>
      <c r="AR77" s="69"/>
      <c r="AS77" s="134"/>
      <c r="AT77" s="173"/>
      <c r="AU77" s="64"/>
      <c r="AV77" s="137"/>
      <c r="AW77" s="65"/>
      <c r="AX77" s="614"/>
      <c r="AY77" s="60"/>
      <c r="AZ77" s="135"/>
      <c r="BA77" s="181"/>
      <c r="BB77" s="66"/>
      <c r="BC77" s="55"/>
      <c r="BD77" s="178"/>
      <c r="BE77" s="67"/>
      <c r="BF77" s="135"/>
      <c r="BG77" s="181"/>
      <c r="BH77" s="66"/>
      <c r="BI77"/>
      <c r="BJ77"/>
      <c r="BK77"/>
      <c r="BL77"/>
      <c r="BM77"/>
      <c r="BN77"/>
      <c r="BO77"/>
      <c r="BP77"/>
      <c r="BQ77"/>
      <c r="BR77"/>
      <c r="BS77" s="112"/>
      <c r="BT77" s="188"/>
      <c r="BU77"/>
      <c r="BV77" s="244"/>
      <c r="BW77"/>
      <c r="BX77"/>
      <c r="BY77" s="112"/>
      <c r="BZ77" s="188"/>
      <c r="CA77" s="112"/>
      <c r="CB77" s="188"/>
      <c r="CC77" s="112"/>
      <c r="CD77" s="188"/>
      <c r="CE77" s="112"/>
      <c r="CF77" s="188"/>
      <c r="CG77" s="112"/>
      <c r="CH77" s="188"/>
      <c r="CI77" s="112"/>
      <c r="CJ77" s="188"/>
      <c r="CK77" s="112"/>
      <c r="CL77" s="188"/>
      <c r="CM77"/>
      <c r="CN77" s="112"/>
      <c r="CO77" s="188"/>
      <c r="CP77"/>
      <c r="CQ77" s="112"/>
      <c r="CR77" s="188"/>
      <c r="CS77"/>
      <c r="CT77" s="112"/>
      <c r="CU77" s="190"/>
      <c r="CV77"/>
      <c r="CW77" s="111"/>
      <c r="CX77" s="4"/>
      <c r="CY77" s="112"/>
      <c r="CZ77" s="4"/>
      <c r="DA77" s="112"/>
      <c r="DB77" s="4"/>
      <c r="DC77" s="112"/>
      <c r="DD77" s="4"/>
      <c r="DE77" s="112"/>
      <c r="DF77" s="4"/>
      <c r="DG77" s="112"/>
      <c r="DH77" s="4"/>
      <c r="DI77" s="112"/>
      <c r="DJ77" s="4"/>
      <c r="DK77" s="112"/>
      <c r="DL77" s="4"/>
      <c r="DM77" s="112"/>
      <c r="DN77" s="4"/>
      <c r="DO77" s="112"/>
      <c r="DP77" s="4"/>
      <c r="DQ77" s="112"/>
      <c r="DR77" s="4"/>
      <c r="DS77"/>
      <c r="DT77" s="112"/>
      <c r="DU77" s="180"/>
      <c r="DV77" s="112"/>
      <c r="DW77" s="218"/>
      <c r="DX77" s="112"/>
      <c r="DY77" s="180"/>
      <c r="DZ77" s="112"/>
      <c r="EA77" s="180"/>
      <c r="EB77" s="112"/>
      <c r="EC77" s="180"/>
      <c r="ED77" s="112"/>
      <c r="EE77" s="180"/>
      <c r="EF77"/>
      <c r="EG77" s="112"/>
      <c r="EH77" s="188"/>
      <c r="EI77" s="112"/>
      <c r="EJ77" s="188"/>
      <c r="EK77" s="112"/>
      <c r="EL77" s="188"/>
      <c r="EM77" s="112"/>
      <c r="EN77" s="188"/>
      <c r="EO77" s="112"/>
      <c r="EP77" s="188"/>
      <c r="EQ77" s="112"/>
      <c r="ER77" s="188"/>
      <c r="ES77"/>
      <c r="ET77" s="112"/>
      <c r="EU77" s="188"/>
      <c r="EV77" s="112"/>
      <c r="EW77" s="188"/>
      <c r="EX77" s="112"/>
      <c r="EY77" s="188"/>
      <c r="EZ77" s="112"/>
      <c r="FA77" s="188"/>
      <c r="FB77" s="112"/>
      <c r="FC77" s="188"/>
      <c r="FD77"/>
    </row>
    <row r="78" spans="1:160" s="1" customFormat="1" x14ac:dyDescent="0.3">
      <c r="A78" s="44"/>
      <c r="B78" s="152"/>
      <c r="C78" s="49"/>
      <c r="D78" s="157"/>
      <c r="E78" s="48"/>
      <c r="F78" s="57"/>
      <c r="G78" s="62"/>
      <c r="H78" s="129"/>
      <c r="I78" s="130"/>
      <c r="J78" s="144"/>
      <c r="K78" s="46"/>
      <c r="L78" s="165"/>
      <c r="M78" s="46"/>
      <c r="N78" s="144"/>
      <c r="O78" s="131"/>
      <c r="P78" s="144"/>
      <c r="Q78" s="48"/>
      <c r="R78" s="46"/>
      <c r="S78" s="48"/>
      <c r="T78" s="48"/>
      <c r="U78" s="46"/>
      <c r="V78" s="48"/>
      <c r="W78" s="48"/>
      <c r="X78" s="617"/>
      <c r="Y78" s="141"/>
      <c r="Z78" s="48"/>
      <c r="AA78" s="49"/>
      <c r="AB78" s="48"/>
      <c r="AC78" s="56"/>
      <c r="AD78" s="132"/>
      <c r="AE78" s="63"/>
      <c r="AF78" s="63"/>
      <c r="AG78" s="128"/>
      <c r="AH78" s="63"/>
      <c r="AI78" s="56"/>
      <c r="AJ78" s="132"/>
      <c r="AK78" s="615"/>
      <c r="AL78" s="68"/>
      <c r="AM78" s="133"/>
      <c r="AN78" s="173"/>
      <c r="AO78" s="64"/>
      <c r="AP78" s="52"/>
      <c r="AQ78" s="65"/>
      <c r="AR78" s="69"/>
      <c r="AS78" s="134"/>
      <c r="AT78" s="173"/>
      <c r="AU78" s="64"/>
      <c r="AV78" s="137"/>
      <c r="AW78" s="65"/>
      <c r="AX78" s="614"/>
      <c r="AY78" s="60"/>
      <c r="AZ78" s="135"/>
      <c r="BA78" s="181"/>
      <c r="BB78" s="66"/>
      <c r="BC78" s="55"/>
      <c r="BD78" s="178"/>
      <c r="BE78" s="67"/>
      <c r="BF78" s="135"/>
      <c r="BG78" s="181"/>
      <c r="BH78" s="66"/>
      <c r="BI78"/>
      <c r="BJ78"/>
      <c r="BK78"/>
      <c r="BL78"/>
      <c r="BM78"/>
      <c r="BN78"/>
      <c r="BO78"/>
      <c r="BP78"/>
      <c r="BQ78"/>
      <c r="BR78"/>
      <c r="BS78" s="112"/>
      <c r="BT78" s="188"/>
      <c r="BU78"/>
      <c r="BV78" s="244"/>
      <c r="BW78"/>
      <c r="BX78"/>
      <c r="BY78" s="112"/>
      <c r="BZ78" s="188"/>
      <c r="CA78" s="112"/>
      <c r="CB78" s="188"/>
      <c r="CC78" s="112"/>
      <c r="CD78" s="188"/>
      <c r="CE78" s="112"/>
      <c r="CF78" s="188"/>
      <c r="CG78" s="112"/>
      <c r="CH78" s="188"/>
      <c r="CI78" s="112"/>
      <c r="CJ78" s="188"/>
      <c r="CK78" s="112"/>
      <c r="CL78" s="188"/>
      <c r="CM78"/>
      <c r="CN78" s="112"/>
      <c r="CO78" s="188"/>
      <c r="CP78"/>
      <c r="CQ78" s="112"/>
      <c r="CR78" s="188"/>
      <c r="CS78"/>
      <c r="CT78" s="112"/>
      <c r="CU78" s="190"/>
      <c r="CV78"/>
      <c r="CW78" s="111"/>
      <c r="CX78" s="4"/>
      <c r="CY78" s="112"/>
      <c r="CZ78" s="4"/>
      <c r="DA78" s="112"/>
      <c r="DB78" s="4"/>
      <c r="DC78" s="112"/>
      <c r="DD78" s="4"/>
      <c r="DE78" s="112"/>
      <c r="DF78" s="4"/>
      <c r="DG78" s="112"/>
      <c r="DH78" s="4"/>
      <c r="DI78" s="112"/>
      <c r="DJ78" s="4"/>
      <c r="DK78" s="112"/>
      <c r="DL78" s="4"/>
      <c r="DM78" s="112"/>
      <c r="DN78" s="4"/>
      <c r="DO78" s="112"/>
      <c r="DP78" s="4"/>
      <c r="DQ78" s="112"/>
      <c r="DR78" s="4"/>
      <c r="DS78"/>
      <c r="DT78" s="112"/>
      <c r="DU78" s="180"/>
      <c r="DV78" s="112"/>
      <c r="DW78" s="218"/>
      <c r="DX78" s="112"/>
      <c r="DY78" s="180"/>
      <c r="DZ78" s="112"/>
      <c r="EA78" s="180"/>
      <c r="EB78" s="112"/>
      <c r="EC78" s="180"/>
      <c r="ED78" s="112"/>
      <c r="EE78" s="180"/>
      <c r="EF78"/>
      <c r="EG78" s="112"/>
      <c r="EH78" s="188"/>
      <c r="EI78" s="112"/>
      <c r="EJ78" s="188"/>
      <c r="EK78" s="112"/>
      <c r="EL78" s="188"/>
      <c r="EM78" s="112"/>
      <c r="EN78" s="188"/>
      <c r="EO78" s="112"/>
      <c r="EP78" s="188"/>
      <c r="EQ78" s="112"/>
      <c r="ER78" s="188"/>
      <c r="ES78"/>
      <c r="ET78" s="112"/>
      <c r="EU78" s="188"/>
      <c r="EV78" s="112"/>
      <c r="EW78" s="188"/>
      <c r="EX78" s="112"/>
      <c r="EY78" s="188"/>
      <c r="EZ78" s="112"/>
      <c r="FA78" s="188"/>
      <c r="FB78" s="112"/>
      <c r="FC78" s="188"/>
      <c r="FD78"/>
    </row>
    <row r="79" spans="1:160" s="1" customFormat="1" x14ac:dyDescent="0.3">
      <c r="A79" s="44"/>
      <c r="B79" s="152"/>
      <c r="C79" s="49"/>
      <c r="D79" s="157"/>
      <c r="E79" s="48"/>
      <c r="F79" s="57"/>
      <c r="G79" s="62"/>
      <c r="H79" s="129"/>
      <c r="I79" s="130"/>
      <c r="J79" s="144"/>
      <c r="K79" s="46"/>
      <c r="L79" s="165"/>
      <c r="M79" s="46"/>
      <c r="N79" s="144"/>
      <c r="O79" s="131"/>
      <c r="P79" s="144"/>
      <c r="Q79" s="48"/>
      <c r="R79" s="46"/>
      <c r="S79" s="48"/>
      <c r="T79" s="48"/>
      <c r="U79" s="46"/>
      <c r="V79" s="48"/>
      <c r="W79" s="48"/>
      <c r="X79" s="617"/>
      <c r="Y79" s="141"/>
      <c r="Z79" s="48"/>
      <c r="AA79" s="49"/>
      <c r="AB79" s="48"/>
      <c r="AC79" s="56"/>
      <c r="AD79" s="132"/>
      <c r="AE79" s="63"/>
      <c r="AF79" s="63"/>
      <c r="AG79" s="128"/>
      <c r="AH79" s="63"/>
      <c r="AI79" s="56"/>
      <c r="AJ79" s="132"/>
      <c r="AK79" s="615"/>
      <c r="AL79" s="68"/>
      <c r="AM79" s="133"/>
      <c r="AN79" s="173"/>
      <c r="AO79" s="64"/>
      <c r="AP79" s="52"/>
      <c r="AQ79" s="65"/>
      <c r="AR79" s="69"/>
      <c r="AS79" s="134"/>
      <c r="AT79" s="173"/>
      <c r="AU79" s="64"/>
      <c r="AV79" s="137"/>
      <c r="AW79" s="65"/>
      <c r="AX79" s="614"/>
      <c r="AY79" s="60"/>
      <c r="AZ79" s="135"/>
      <c r="BA79" s="181"/>
      <c r="BB79" s="66"/>
      <c r="BC79" s="55"/>
      <c r="BD79" s="178"/>
      <c r="BE79" s="67"/>
      <c r="BF79" s="135"/>
      <c r="BG79" s="181"/>
      <c r="BH79" s="66"/>
      <c r="BI79"/>
      <c r="BJ79"/>
      <c r="BK79"/>
      <c r="BL79"/>
      <c r="BM79"/>
      <c r="BN79"/>
      <c r="BO79"/>
      <c r="BP79"/>
      <c r="BQ79"/>
      <c r="BR79"/>
      <c r="BS79" s="112"/>
      <c r="BT79" s="188"/>
      <c r="BU79"/>
      <c r="BV79" s="244"/>
      <c r="BW79"/>
      <c r="BX79"/>
      <c r="BY79" s="112"/>
      <c r="BZ79" s="188"/>
      <c r="CA79" s="112"/>
      <c r="CB79" s="188"/>
      <c r="CC79" s="112"/>
      <c r="CD79" s="188"/>
      <c r="CE79" s="112"/>
      <c r="CF79" s="188"/>
      <c r="CG79" s="112"/>
      <c r="CH79" s="188"/>
      <c r="CI79" s="112"/>
      <c r="CJ79" s="188"/>
      <c r="CK79" s="112"/>
      <c r="CL79" s="188"/>
      <c r="CM79"/>
      <c r="CN79" s="112"/>
      <c r="CO79" s="188"/>
      <c r="CP79"/>
      <c r="CQ79" s="112"/>
      <c r="CR79" s="188"/>
      <c r="CS79"/>
      <c r="CT79" s="112"/>
      <c r="CU79" s="190"/>
      <c r="CV79"/>
      <c r="CW79" s="111"/>
      <c r="CX79" s="4"/>
      <c r="CY79" s="112"/>
      <c r="CZ79" s="4"/>
      <c r="DA79" s="112"/>
      <c r="DB79" s="4"/>
      <c r="DC79" s="112"/>
      <c r="DD79" s="4"/>
      <c r="DE79" s="112"/>
      <c r="DF79" s="4"/>
      <c r="DG79" s="112"/>
      <c r="DH79" s="4"/>
      <c r="DI79" s="112"/>
      <c r="DJ79" s="4"/>
      <c r="DK79" s="112"/>
      <c r="DL79" s="4"/>
      <c r="DM79" s="112"/>
      <c r="DN79" s="4"/>
      <c r="DO79" s="112"/>
      <c r="DP79" s="4"/>
      <c r="DQ79" s="112"/>
      <c r="DR79" s="4"/>
      <c r="DS79"/>
      <c r="DT79" s="112"/>
      <c r="DU79" s="180"/>
      <c r="DV79" s="112"/>
      <c r="DW79" s="218"/>
      <c r="DX79" s="112"/>
      <c r="DY79" s="180"/>
      <c r="DZ79" s="112"/>
      <c r="EA79" s="180"/>
      <c r="EB79" s="112"/>
      <c r="EC79" s="180"/>
      <c r="ED79" s="112"/>
      <c r="EE79" s="180"/>
      <c r="EF79"/>
      <c r="EG79" s="112"/>
      <c r="EH79" s="188"/>
      <c r="EI79" s="112"/>
      <c r="EJ79" s="188"/>
      <c r="EK79" s="112"/>
      <c r="EL79" s="188"/>
      <c r="EM79" s="112"/>
      <c r="EN79" s="188"/>
      <c r="EO79" s="112"/>
      <c r="EP79" s="188"/>
      <c r="EQ79" s="112"/>
      <c r="ER79" s="188"/>
      <c r="ES79"/>
      <c r="ET79" s="112"/>
      <c r="EU79" s="188"/>
      <c r="EV79" s="112"/>
      <c r="EW79" s="188"/>
      <c r="EX79" s="112"/>
      <c r="EY79" s="188"/>
      <c r="EZ79" s="112"/>
      <c r="FA79" s="188"/>
      <c r="FB79" s="112"/>
      <c r="FC79" s="188"/>
      <c r="FD79"/>
    </row>
    <row r="80" spans="1:160" s="1" customFormat="1" x14ac:dyDescent="0.3">
      <c r="A80" s="44"/>
      <c r="B80" s="152"/>
      <c r="C80" s="49"/>
      <c r="D80" s="157"/>
      <c r="E80" s="48"/>
      <c r="F80" s="57"/>
      <c r="G80" s="62"/>
      <c r="H80" s="129"/>
      <c r="I80" s="130"/>
      <c r="J80" s="144"/>
      <c r="K80" s="46"/>
      <c r="L80" s="165"/>
      <c r="M80" s="46"/>
      <c r="N80" s="144"/>
      <c r="O80" s="131"/>
      <c r="P80" s="144"/>
      <c r="Q80" s="48"/>
      <c r="R80" s="46"/>
      <c r="S80" s="48"/>
      <c r="T80" s="48"/>
      <c r="U80" s="46"/>
      <c r="V80" s="48"/>
      <c r="W80" s="48"/>
      <c r="X80" s="617"/>
      <c r="Y80" s="141"/>
      <c r="Z80" s="48"/>
      <c r="AA80" s="49"/>
      <c r="AB80" s="48"/>
      <c r="AC80" s="56"/>
      <c r="AD80" s="132"/>
      <c r="AE80" s="63"/>
      <c r="AF80" s="63"/>
      <c r="AG80" s="128"/>
      <c r="AH80" s="63"/>
      <c r="AI80" s="56"/>
      <c r="AJ80" s="132"/>
      <c r="AK80" s="615"/>
      <c r="AL80" s="68"/>
      <c r="AM80" s="133"/>
      <c r="AN80" s="173"/>
      <c r="AO80" s="64"/>
      <c r="AP80" s="52"/>
      <c r="AQ80" s="65"/>
      <c r="AR80" s="69"/>
      <c r="AS80" s="134"/>
      <c r="AT80" s="173"/>
      <c r="AU80" s="64"/>
      <c r="AV80" s="137"/>
      <c r="AW80" s="65"/>
      <c r="AX80" s="614"/>
      <c r="AY80" s="60"/>
      <c r="AZ80" s="135"/>
      <c r="BA80" s="181"/>
      <c r="BB80" s="66"/>
      <c r="BC80" s="55"/>
      <c r="BD80" s="178"/>
      <c r="BE80" s="67"/>
      <c r="BF80" s="135"/>
      <c r="BG80" s="181"/>
      <c r="BH80" s="66"/>
      <c r="BI80"/>
      <c r="BJ80"/>
      <c r="BK80"/>
      <c r="BL80"/>
      <c r="BM80"/>
      <c r="BN80"/>
      <c r="BO80"/>
      <c r="BP80"/>
      <c r="BQ80"/>
      <c r="BR80"/>
      <c r="BS80" s="112"/>
      <c r="BT80" s="188"/>
      <c r="BU80"/>
      <c r="BV80" s="244"/>
      <c r="BW80"/>
      <c r="BX80"/>
      <c r="BY80" s="112"/>
      <c r="BZ80" s="188"/>
      <c r="CA80" s="112"/>
      <c r="CB80" s="188"/>
      <c r="CC80" s="112"/>
      <c r="CD80" s="188"/>
      <c r="CE80" s="112"/>
      <c r="CF80" s="188"/>
      <c r="CG80" s="112"/>
      <c r="CH80" s="188"/>
      <c r="CI80" s="112"/>
      <c r="CJ80" s="188"/>
      <c r="CK80" s="112"/>
      <c r="CL80" s="188"/>
      <c r="CM80"/>
      <c r="CN80" s="112"/>
      <c r="CO80" s="188"/>
      <c r="CP80"/>
      <c r="CQ80" s="112"/>
      <c r="CR80" s="188"/>
      <c r="CS80"/>
      <c r="CT80" s="112"/>
      <c r="CU80" s="190"/>
      <c r="CV80"/>
      <c r="CW80" s="111"/>
      <c r="CX80" s="4"/>
      <c r="CY80" s="112"/>
      <c r="CZ80" s="4"/>
      <c r="DA80" s="112"/>
      <c r="DB80" s="4"/>
      <c r="DC80" s="112"/>
      <c r="DD80" s="4"/>
      <c r="DE80" s="112"/>
      <c r="DF80" s="4"/>
      <c r="DG80" s="112"/>
      <c r="DH80" s="4"/>
      <c r="DI80" s="112"/>
      <c r="DJ80" s="4"/>
      <c r="DK80" s="112"/>
      <c r="DL80" s="4"/>
      <c r="DM80" s="112"/>
      <c r="DN80" s="4"/>
      <c r="DO80" s="112"/>
      <c r="DP80" s="4"/>
      <c r="DQ80" s="112"/>
      <c r="DR80" s="4"/>
      <c r="DS80"/>
      <c r="DT80" s="112"/>
      <c r="DU80" s="180"/>
      <c r="DV80" s="112"/>
      <c r="DW80" s="218"/>
      <c r="DX80" s="112"/>
      <c r="DY80" s="180"/>
      <c r="DZ80" s="112"/>
      <c r="EA80" s="180"/>
      <c r="EB80" s="112"/>
      <c r="EC80" s="180"/>
      <c r="ED80" s="112"/>
      <c r="EE80" s="180"/>
      <c r="EF80"/>
      <c r="EG80" s="112"/>
      <c r="EH80" s="188"/>
      <c r="EI80" s="112"/>
      <c r="EJ80" s="188"/>
      <c r="EK80" s="112"/>
      <c r="EL80" s="188"/>
      <c r="EM80" s="112"/>
      <c r="EN80" s="188"/>
      <c r="EO80" s="112"/>
      <c r="EP80" s="188"/>
      <c r="EQ80" s="112"/>
      <c r="ER80" s="188"/>
      <c r="ES80"/>
      <c r="ET80" s="112"/>
      <c r="EU80" s="188"/>
      <c r="EV80" s="112"/>
      <c r="EW80" s="188"/>
      <c r="EX80" s="112"/>
      <c r="EY80" s="188"/>
      <c r="EZ80" s="112"/>
      <c r="FA80" s="188"/>
      <c r="FB80" s="112"/>
      <c r="FC80" s="188"/>
      <c r="FD80"/>
    </row>
    <row r="81" spans="1:160" s="1" customFormat="1" x14ac:dyDescent="0.3">
      <c r="A81" s="44"/>
      <c r="B81" s="153"/>
      <c r="C81" s="49"/>
      <c r="D81" s="157"/>
      <c r="E81" s="48"/>
      <c r="F81" s="57"/>
      <c r="G81" s="62"/>
      <c r="H81" s="129"/>
      <c r="I81" s="130"/>
      <c r="J81" s="144"/>
      <c r="K81" s="46"/>
      <c r="L81" s="165"/>
      <c r="M81" s="46"/>
      <c r="N81" s="144"/>
      <c r="O81" s="131"/>
      <c r="P81" s="144"/>
      <c r="Q81" s="48"/>
      <c r="R81" s="46"/>
      <c r="S81" s="48"/>
      <c r="T81" s="48"/>
      <c r="U81" s="46"/>
      <c r="V81" s="48"/>
      <c r="W81" s="48"/>
      <c r="X81" s="617"/>
      <c r="Y81" s="141"/>
      <c r="Z81" s="48"/>
      <c r="AA81" s="49"/>
      <c r="AB81" s="48"/>
      <c r="AC81" s="56"/>
      <c r="AD81" s="132"/>
      <c r="AE81" s="63"/>
      <c r="AF81" s="63"/>
      <c r="AG81" s="128"/>
      <c r="AH81" s="63"/>
      <c r="AI81" s="56"/>
      <c r="AJ81" s="132"/>
      <c r="AK81" s="615"/>
      <c r="AL81" s="68"/>
      <c r="AM81" s="133"/>
      <c r="AN81" s="173"/>
      <c r="AO81" s="64"/>
      <c r="AP81" s="52"/>
      <c r="AQ81" s="65"/>
      <c r="AR81" s="69"/>
      <c r="AS81" s="134"/>
      <c r="AT81" s="173"/>
      <c r="AU81" s="64"/>
      <c r="AV81" s="137"/>
      <c r="AW81" s="65"/>
      <c r="AX81" s="614"/>
      <c r="AY81" s="60"/>
      <c r="AZ81" s="135"/>
      <c r="BA81" s="181"/>
      <c r="BB81" s="66"/>
      <c r="BC81" s="55"/>
      <c r="BD81" s="178"/>
      <c r="BE81" s="67"/>
      <c r="BF81" s="135"/>
      <c r="BG81" s="181"/>
      <c r="BH81" s="66"/>
      <c r="BI81"/>
      <c r="BJ81"/>
      <c r="BK81"/>
      <c r="BL81"/>
      <c r="BM81"/>
      <c r="BN81"/>
      <c r="BO81"/>
      <c r="BP81"/>
      <c r="BQ81"/>
      <c r="BR81"/>
      <c r="BS81" s="112"/>
      <c r="BT81" s="188"/>
      <c r="BU81"/>
      <c r="BV81" s="244"/>
      <c r="BW81"/>
      <c r="BX81"/>
      <c r="BY81" s="112"/>
      <c r="BZ81" s="188"/>
      <c r="CA81" s="112"/>
      <c r="CB81" s="188"/>
      <c r="CC81" s="112"/>
      <c r="CD81" s="188"/>
      <c r="CE81" s="112"/>
      <c r="CF81" s="188"/>
      <c r="CG81" s="112"/>
      <c r="CH81" s="188"/>
      <c r="CI81" s="112"/>
      <c r="CJ81" s="188"/>
      <c r="CK81" s="112"/>
      <c r="CL81" s="188"/>
      <c r="CM81"/>
      <c r="CN81" s="112"/>
      <c r="CO81" s="188"/>
      <c r="CP81"/>
      <c r="CQ81" s="112"/>
      <c r="CR81" s="188"/>
      <c r="CS81"/>
      <c r="CT81" s="112"/>
      <c r="CU81" s="190"/>
      <c r="CV81"/>
      <c r="CW81" s="111"/>
      <c r="CX81" s="4"/>
      <c r="CY81" s="112"/>
      <c r="CZ81" s="4"/>
      <c r="DA81" s="112"/>
      <c r="DB81" s="4"/>
      <c r="DC81" s="112"/>
      <c r="DD81" s="4"/>
      <c r="DE81" s="112"/>
      <c r="DF81" s="4"/>
      <c r="DG81" s="112"/>
      <c r="DH81" s="4"/>
      <c r="DI81" s="112"/>
      <c r="DJ81" s="4"/>
      <c r="DK81" s="112"/>
      <c r="DL81" s="4"/>
      <c r="DM81" s="112"/>
      <c r="DN81" s="4"/>
      <c r="DO81" s="112"/>
      <c r="DP81" s="4"/>
      <c r="DQ81" s="112"/>
      <c r="DR81" s="4"/>
      <c r="DS81"/>
      <c r="DT81" s="112"/>
      <c r="DU81" s="180"/>
      <c r="DV81" s="112"/>
      <c r="DW81" s="218"/>
      <c r="DX81" s="112"/>
      <c r="DY81" s="180"/>
      <c r="DZ81" s="112"/>
      <c r="EA81" s="180"/>
      <c r="EB81" s="112"/>
      <c r="EC81" s="180"/>
      <c r="ED81" s="112"/>
      <c r="EE81" s="180"/>
      <c r="EF81"/>
      <c r="EG81" s="112"/>
      <c r="EH81" s="188"/>
      <c r="EI81" s="112"/>
      <c r="EJ81" s="188"/>
      <c r="EK81" s="112"/>
      <c r="EL81" s="188"/>
      <c r="EM81" s="112"/>
      <c r="EN81" s="188"/>
      <c r="EO81" s="112"/>
      <c r="EP81" s="188"/>
      <c r="EQ81" s="112"/>
      <c r="ER81" s="188"/>
      <c r="ES81"/>
      <c r="ET81" s="112"/>
      <c r="EU81" s="188"/>
      <c r="EV81" s="112"/>
      <c r="EW81" s="188"/>
      <c r="EX81" s="112"/>
      <c r="EY81" s="188"/>
      <c r="EZ81" s="112"/>
      <c r="FA81" s="188"/>
      <c r="FB81" s="112"/>
      <c r="FC81" s="188"/>
      <c r="FD81"/>
    </row>
    <row r="82" spans="1:160" s="1" customFormat="1" x14ac:dyDescent="0.3">
      <c r="A82" s="44"/>
      <c r="B82" s="151"/>
      <c r="C82" s="49"/>
      <c r="D82" s="156"/>
      <c r="E82" s="48"/>
      <c r="F82" s="57"/>
      <c r="G82" s="62"/>
      <c r="H82" s="129"/>
      <c r="I82" s="130"/>
      <c r="J82" s="144"/>
      <c r="K82" s="46"/>
      <c r="L82" s="165"/>
      <c r="M82" s="46"/>
      <c r="N82" s="144"/>
      <c r="O82" s="131"/>
      <c r="P82" s="144"/>
      <c r="Q82" s="48"/>
      <c r="R82" s="46"/>
      <c r="S82" s="48"/>
      <c r="T82" s="48"/>
      <c r="U82" s="46"/>
      <c r="V82" s="48"/>
      <c r="W82" s="48"/>
      <c r="X82" s="617"/>
      <c r="Y82" s="141"/>
      <c r="Z82" s="48"/>
      <c r="AA82" s="49"/>
      <c r="AB82" s="48"/>
      <c r="AC82" s="56"/>
      <c r="AD82" s="132"/>
      <c r="AE82" s="63"/>
      <c r="AF82" s="63"/>
      <c r="AG82" s="128"/>
      <c r="AH82" s="63"/>
      <c r="AI82" s="56"/>
      <c r="AJ82" s="132"/>
      <c r="AK82" s="615"/>
      <c r="AL82" s="68"/>
      <c r="AM82" s="133"/>
      <c r="AN82" s="173"/>
      <c r="AO82" s="64"/>
      <c r="AP82" s="52"/>
      <c r="AQ82" s="65"/>
      <c r="AR82" s="69"/>
      <c r="AS82" s="134"/>
      <c r="AT82" s="173"/>
      <c r="AU82" s="64"/>
      <c r="AV82" s="137"/>
      <c r="AW82" s="65"/>
      <c r="AX82" s="614"/>
      <c r="AY82" s="60"/>
      <c r="AZ82" s="135"/>
      <c r="BA82" s="181"/>
      <c r="BB82" s="66"/>
      <c r="BC82" s="55"/>
      <c r="BD82" s="178"/>
      <c r="BE82" s="67"/>
      <c r="BF82" s="135"/>
      <c r="BG82" s="181"/>
      <c r="BH82" s="66"/>
      <c r="BI82"/>
      <c r="BJ82"/>
      <c r="BK82"/>
      <c r="BL82"/>
      <c r="BM82"/>
      <c r="BN82"/>
      <c r="BO82"/>
      <c r="BP82"/>
      <c r="BQ82"/>
      <c r="BR82"/>
      <c r="BS82" s="112"/>
      <c r="BT82" s="188"/>
      <c r="BU82"/>
      <c r="BV82" s="244"/>
      <c r="BW82"/>
      <c r="BX82"/>
      <c r="BY82" s="112"/>
      <c r="BZ82" s="188"/>
      <c r="CA82" s="112"/>
      <c r="CB82" s="188"/>
      <c r="CC82" s="112"/>
      <c r="CD82" s="188"/>
      <c r="CE82" s="112"/>
      <c r="CF82" s="188"/>
      <c r="CG82" s="112"/>
      <c r="CH82" s="188"/>
      <c r="CI82" s="112"/>
      <c r="CJ82" s="188"/>
      <c r="CK82" s="112"/>
      <c r="CL82" s="188"/>
      <c r="CM82"/>
      <c r="CN82" s="112"/>
      <c r="CO82" s="188"/>
      <c r="CP82"/>
      <c r="CQ82" s="112"/>
      <c r="CR82" s="188"/>
      <c r="CS82"/>
      <c r="CT82" s="112"/>
      <c r="CU82" s="190"/>
      <c r="CV82"/>
      <c r="CW82" s="111"/>
      <c r="CX82" s="4"/>
      <c r="CY82" s="112"/>
      <c r="CZ82" s="4"/>
      <c r="DA82" s="112"/>
      <c r="DB82" s="4"/>
      <c r="DC82" s="112"/>
      <c r="DD82" s="4"/>
      <c r="DE82" s="112"/>
      <c r="DF82" s="4"/>
      <c r="DG82" s="112"/>
      <c r="DH82" s="4"/>
      <c r="DI82" s="112"/>
      <c r="DJ82" s="4"/>
      <c r="DK82" s="112"/>
      <c r="DL82" s="4"/>
      <c r="DM82" s="112"/>
      <c r="DN82" s="4"/>
      <c r="DO82" s="112"/>
      <c r="DP82" s="4"/>
      <c r="DQ82" s="112"/>
      <c r="DR82" s="4"/>
      <c r="DS82"/>
      <c r="DT82" s="112"/>
      <c r="DU82" s="180"/>
      <c r="DV82" s="112"/>
      <c r="DW82" s="218"/>
      <c r="DX82" s="112"/>
      <c r="DY82" s="180"/>
      <c r="DZ82" s="112"/>
      <c r="EA82" s="180"/>
      <c r="EB82" s="112"/>
      <c r="EC82" s="180"/>
      <c r="ED82" s="112"/>
      <c r="EE82" s="180"/>
      <c r="EF82"/>
      <c r="EG82" s="112"/>
      <c r="EH82" s="188"/>
      <c r="EI82" s="112"/>
      <c r="EJ82" s="188"/>
      <c r="EK82" s="112"/>
      <c r="EL82" s="188"/>
      <c r="EM82" s="112"/>
      <c r="EN82" s="188"/>
      <c r="EO82" s="112"/>
      <c r="EP82" s="188"/>
      <c r="EQ82" s="112"/>
      <c r="ER82" s="188"/>
      <c r="ES82"/>
      <c r="ET82" s="112"/>
      <c r="EU82" s="188"/>
      <c r="EV82" s="112"/>
      <c r="EW82" s="188"/>
      <c r="EX82" s="112"/>
      <c r="EY82" s="188"/>
      <c r="EZ82" s="112"/>
      <c r="FA82" s="188"/>
      <c r="FB82" s="112"/>
      <c r="FC82" s="188"/>
      <c r="FD82"/>
    </row>
    <row r="83" spans="1:160" s="1" customFormat="1" x14ac:dyDescent="0.3">
      <c r="A83" s="44"/>
      <c r="B83" s="151"/>
      <c r="C83" s="49"/>
      <c r="D83" s="156"/>
      <c r="E83" s="48"/>
      <c r="F83" s="45"/>
      <c r="G83" s="62"/>
      <c r="H83" s="127"/>
      <c r="I83" s="130"/>
      <c r="J83" s="160"/>
      <c r="K83" s="46"/>
      <c r="L83" s="163"/>
      <c r="M83" s="46"/>
      <c r="N83" s="160"/>
      <c r="O83" s="131"/>
      <c r="P83" s="160"/>
      <c r="Q83" s="48"/>
      <c r="R83" s="46"/>
      <c r="S83" s="48"/>
      <c r="T83" s="48"/>
      <c r="U83" s="46"/>
      <c r="V83" s="48"/>
      <c r="W83" s="48"/>
      <c r="X83" s="617"/>
      <c r="Y83" s="61"/>
      <c r="Z83" s="48"/>
      <c r="AA83" s="49"/>
      <c r="AB83" s="48"/>
      <c r="AC83" s="50"/>
      <c r="AD83" s="132"/>
      <c r="AE83" s="63"/>
      <c r="AF83" s="63"/>
      <c r="AG83" s="49"/>
      <c r="AH83" s="63"/>
      <c r="AI83" s="50"/>
      <c r="AJ83" s="132"/>
      <c r="AK83" s="615"/>
      <c r="AL83" s="68"/>
      <c r="AM83" s="133"/>
      <c r="AN83" s="171"/>
      <c r="AO83" s="64"/>
      <c r="AP83" s="52"/>
      <c r="AQ83" s="65"/>
      <c r="AR83" s="49"/>
      <c r="AS83" s="134"/>
      <c r="AT83" s="61"/>
      <c r="AU83" s="64"/>
      <c r="AV83" s="53"/>
      <c r="AW83" s="65"/>
      <c r="AX83" s="614"/>
      <c r="AY83" s="54"/>
      <c r="AZ83" s="135"/>
      <c r="BA83" s="178"/>
      <c r="BB83" s="66"/>
      <c r="BC83" s="55"/>
      <c r="BD83" s="178"/>
      <c r="BE83" s="55"/>
      <c r="BF83" s="135"/>
      <c r="BG83" s="178"/>
      <c r="BH83" s="66"/>
      <c r="BI83"/>
      <c r="BJ83"/>
      <c r="BK83"/>
      <c r="BL83"/>
      <c r="BM83"/>
      <c r="BN83"/>
      <c r="BO83"/>
      <c r="BP83"/>
      <c r="BQ83"/>
      <c r="BR83"/>
      <c r="BS83" s="112"/>
      <c r="BT83" s="188"/>
      <c r="BU83"/>
      <c r="BV83" s="244"/>
      <c r="BW83"/>
      <c r="BX83"/>
      <c r="BY83" s="112"/>
      <c r="BZ83" s="188"/>
      <c r="CA83" s="112"/>
      <c r="CB83" s="188"/>
      <c r="CC83" s="112"/>
      <c r="CD83" s="188"/>
      <c r="CE83" s="112"/>
      <c r="CF83" s="188"/>
      <c r="CG83" s="112"/>
      <c r="CH83" s="188"/>
      <c r="CI83" s="112"/>
      <c r="CJ83" s="188"/>
      <c r="CK83" s="112"/>
      <c r="CL83" s="188"/>
      <c r="CM83"/>
      <c r="CN83" s="112"/>
      <c r="CO83" s="188"/>
      <c r="CP83"/>
      <c r="CQ83" s="112"/>
      <c r="CR83" s="188"/>
      <c r="CS83"/>
      <c r="CT83" s="112"/>
      <c r="CU83" s="190"/>
      <c r="CV83"/>
      <c r="CW83" s="111"/>
      <c r="CX83" s="4"/>
      <c r="CY83" s="112"/>
      <c r="CZ83" s="4"/>
      <c r="DA83" s="112"/>
      <c r="DB83" s="4"/>
      <c r="DC83" s="112"/>
      <c r="DD83" s="4"/>
      <c r="DE83" s="112"/>
      <c r="DF83" s="4"/>
      <c r="DG83" s="112"/>
      <c r="DH83" s="4"/>
      <c r="DI83" s="112"/>
      <c r="DJ83" s="4"/>
      <c r="DK83" s="112"/>
      <c r="DL83" s="4"/>
      <c r="DM83" s="112"/>
      <c r="DN83" s="4"/>
      <c r="DO83" s="112"/>
      <c r="DP83" s="4"/>
      <c r="DQ83" s="112"/>
      <c r="DR83" s="4"/>
      <c r="DS83"/>
      <c r="DT83" s="112"/>
      <c r="DU83" s="180"/>
      <c r="DV83" s="112"/>
      <c r="DW83" s="218"/>
      <c r="DX83" s="112"/>
      <c r="DY83" s="180"/>
      <c r="DZ83" s="112"/>
      <c r="EA83" s="180"/>
      <c r="EB83" s="112"/>
      <c r="EC83" s="180"/>
      <c r="ED83" s="112"/>
      <c r="EE83" s="180"/>
      <c r="EF83"/>
      <c r="EG83" s="112"/>
      <c r="EH83" s="188"/>
      <c r="EI83" s="112"/>
      <c r="EJ83" s="188"/>
      <c r="EK83" s="112"/>
      <c r="EL83" s="188"/>
      <c r="EM83" s="112"/>
      <c r="EN83" s="188"/>
      <c r="EO83" s="112"/>
      <c r="EP83" s="188"/>
      <c r="EQ83" s="112"/>
      <c r="ER83" s="188"/>
      <c r="ES83"/>
      <c r="ET83" s="112"/>
      <c r="EU83" s="188"/>
      <c r="EV83" s="112"/>
      <c r="EW83" s="188"/>
      <c r="EX83" s="112"/>
      <c r="EY83" s="188"/>
      <c r="EZ83" s="112"/>
      <c r="FA83" s="188"/>
      <c r="FB83" s="112"/>
      <c r="FC83" s="188"/>
      <c r="FD83"/>
    </row>
    <row r="84" spans="1:160" x14ac:dyDescent="0.3">
      <c r="A84" s="44"/>
      <c r="B84" s="151"/>
      <c r="C84" s="49"/>
      <c r="D84" s="156"/>
      <c r="E84" s="48"/>
      <c r="F84" s="45"/>
      <c r="G84" s="62"/>
      <c r="H84" s="127"/>
      <c r="I84" s="130"/>
      <c r="J84" s="160"/>
      <c r="K84" s="46"/>
      <c r="L84" s="163"/>
      <c r="M84" s="46"/>
      <c r="N84" s="160"/>
      <c r="O84" s="131"/>
      <c r="P84" s="160"/>
      <c r="Q84" s="48"/>
      <c r="R84" s="46"/>
      <c r="S84" s="48"/>
      <c r="T84" s="48"/>
      <c r="U84" s="46"/>
      <c r="V84" s="48"/>
      <c r="W84" s="48"/>
      <c r="X84" s="617"/>
      <c r="Y84" s="61"/>
      <c r="Z84" s="48"/>
      <c r="AA84" s="49"/>
      <c r="AB84" s="48"/>
      <c r="AC84" s="45"/>
      <c r="AD84" s="132"/>
      <c r="AE84" s="63"/>
      <c r="AF84" s="63"/>
      <c r="AG84" s="45"/>
      <c r="AH84" s="63"/>
      <c r="AI84" s="45"/>
      <c r="AJ84" s="132"/>
      <c r="AK84" s="615"/>
      <c r="AL84" s="51"/>
      <c r="AM84" s="133"/>
      <c r="AN84" s="171"/>
      <c r="AO84" s="64"/>
      <c r="AP84" s="52"/>
      <c r="AQ84" s="65"/>
      <c r="AR84" s="49"/>
      <c r="AS84" s="134"/>
      <c r="AT84" s="61"/>
      <c r="AU84" s="64"/>
      <c r="AV84" s="53"/>
      <c r="AW84" s="65"/>
      <c r="AX84" s="614"/>
      <c r="AY84" s="54"/>
      <c r="AZ84" s="135"/>
      <c r="BA84" s="178"/>
      <c r="BB84" s="66"/>
      <c r="BC84" s="55"/>
      <c r="BD84" s="178"/>
      <c r="BE84" s="55"/>
      <c r="BF84" s="135"/>
      <c r="BG84" s="178"/>
      <c r="BH84" s="66"/>
    </row>
    <row r="85" spans="1:160" x14ac:dyDescent="0.3">
      <c r="A85" s="44"/>
      <c r="B85" s="151"/>
      <c r="C85" s="49"/>
      <c r="D85" s="156"/>
      <c r="E85" s="48"/>
      <c r="F85" s="45"/>
      <c r="G85" s="62"/>
      <c r="H85" s="127"/>
      <c r="I85" s="130"/>
      <c r="J85" s="160"/>
      <c r="K85" s="46"/>
      <c r="L85" s="163"/>
      <c r="M85" s="46"/>
      <c r="N85" s="160"/>
      <c r="O85" s="131"/>
      <c r="P85" s="160"/>
      <c r="Q85" s="48"/>
      <c r="R85" s="46"/>
      <c r="S85" s="48"/>
      <c r="T85" s="48"/>
      <c r="U85" s="46"/>
      <c r="V85" s="48"/>
      <c r="W85" s="48"/>
      <c r="X85" s="617"/>
      <c r="Y85" s="61"/>
      <c r="Z85" s="48"/>
      <c r="AA85" s="49"/>
      <c r="AB85" s="48"/>
      <c r="AC85" s="45"/>
      <c r="AD85" s="132"/>
      <c r="AE85" s="63"/>
      <c r="AF85" s="63"/>
      <c r="AG85" s="45"/>
      <c r="AH85" s="63"/>
      <c r="AI85" s="45"/>
      <c r="AJ85" s="132"/>
      <c r="AK85" s="615"/>
      <c r="AL85" s="51"/>
      <c r="AM85" s="133"/>
      <c r="AN85" s="171"/>
      <c r="AO85" s="64"/>
      <c r="AP85" s="52"/>
      <c r="AQ85" s="65"/>
      <c r="AR85" s="49"/>
      <c r="AS85" s="134"/>
      <c r="AT85" s="61"/>
      <c r="AU85" s="64"/>
      <c r="AV85" s="53"/>
      <c r="AW85" s="65"/>
      <c r="AX85" s="614"/>
      <c r="AY85" s="54"/>
      <c r="AZ85" s="135"/>
      <c r="BA85" s="178"/>
      <c r="BB85" s="66"/>
      <c r="BC85" s="55"/>
      <c r="BD85" s="178"/>
      <c r="BE85" s="55"/>
      <c r="BF85" s="135"/>
      <c r="BG85" s="178"/>
      <c r="BH85" s="66"/>
    </row>
    <row r="86" spans="1:160" x14ac:dyDescent="0.3">
      <c r="A86" s="44"/>
      <c r="B86" s="151"/>
      <c r="C86" s="49"/>
      <c r="D86" s="156"/>
      <c r="E86" s="48"/>
      <c r="F86" s="45"/>
      <c r="G86" s="62"/>
      <c r="H86" s="127"/>
      <c r="I86" s="130"/>
      <c r="J86" s="160"/>
      <c r="K86" s="46"/>
      <c r="L86" s="163"/>
      <c r="M86" s="46"/>
      <c r="N86" s="160"/>
      <c r="O86" s="131"/>
      <c r="P86" s="160"/>
      <c r="Q86" s="48"/>
      <c r="R86" s="46"/>
      <c r="S86" s="48"/>
      <c r="T86" s="48"/>
      <c r="U86" s="46"/>
      <c r="V86" s="48"/>
      <c r="W86" s="48"/>
      <c r="X86" s="617"/>
      <c r="Y86" s="61"/>
      <c r="Z86" s="48"/>
      <c r="AA86" s="49"/>
      <c r="AB86" s="48"/>
      <c r="AC86" s="45"/>
      <c r="AD86" s="132"/>
      <c r="AE86" s="63"/>
      <c r="AF86" s="63"/>
      <c r="AG86" s="45"/>
      <c r="AH86" s="63"/>
      <c r="AI86" s="45"/>
      <c r="AJ86" s="132"/>
      <c r="AK86" s="615"/>
      <c r="AL86" s="51"/>
      <c r="AM86" s="133"/>
      <c r="AN86" s="171"/>
      <c r="AO86" s="64"/>
      <c r="AP86" s="52"/>
      <c r="AQ86" s="65"/>
      <c r="AR86" s="49"/>
      <c r="AS86" s="134"/>
      <c r="AT86" s="61"/>
      <c r="AU86" s="64"/>
      <c r="AV86" s="53"/>
      <c r="AW86" s="65"/>
      <c r="AX86" s="614"/>
      <c r="AY86" s="54"/>
      <c r="AZ86" s="135"/>
      <c r="BA86" s="178"/>
      <c r="BB86" s="66"/>
      <c r="BC86" s="55"/>
      <c r="BD86" s="178"/>
      <c r="BE86" s="55"/>
      <c r="BF86" s="135"/>
      <c r="BG86" s="178"/>
      <c r="BH86" s="66"/>
    </row>
    <row r="87" spans="1:160" x14ac:dyDescent="0.3">
      <c r="A87" s="44"/>
      <c r="B87" s="151"/>
      <c r="C87" s="49"/>
      <c r="D87" s="156"/>
      <c r="E87" s="48"/>
      <c r="F87" s="45"/>
      <c r="G87" s="62"/>
      <c r="H87" s="127"/>
      <c r="I87" s="130"/>
      <c r="J87" s="160"/>
      <c r="K87" s="46"/>
      <c r="L87" s="163"/>
      <c r="M87" s="46"/>
      <c r="N87" s="160"/>
      <c r="O87" s="131"/>
      <c r="P87" s="160"/>
      <c r="Q87" s="48"/>
      <c r="R87" s="46"/>
      <c r="S87" s="48"/>
      <c r="T87" s="48"/>
      <c r="U87" s="46"/>
      <c r="V87" s="48"/>
      <c r="W87" s="48"/>
      <c r="X87" s="617"/>
      <c r="Y87" s="61"/>
      <c r="Z87" s="48"/>
      <c r="AA87" s="46"/>
      <c r="AB87" s="48"/>
      <c r="AC87" s="45"/>
      <c r="AD87" s="132"/>
      <c r="AE87" s="63"/>
      <c r="AF87" s="63"/>
      <c r="AG87" s="45"/>
      <c r="AH87" s="63"/>
      <c r="AI87" s="45"/>
      <c r="AJ87" s="132"/>
      <c r="AK87" s="615"/>
      <c r="AL87" s="51"/>
      <c r="AM87" s="133"/>
      <c r="AN87" s="171"/>
      <c r="AO87" s="64"/>
      <c r="AP87" s="52"/>
      <c r="AQ87" s="65"/>
      <c r="AR87" s="49"/>
      <c r="AS87" s="134"/>
      <c r="AT87" s="61"/>
      <c r="AU87" s="64"/>
      <c r="AV87" s="53"/>
      <c r="AW87" s="65"/>
      <c r="AX87" s="614"/>
      <c r="AY87" s="54"/>
      <c r="AZ87" s="135"/>
      <c r="BA87" s="178"/>
      <c r="BB87" s="66"/>
      <c r="BC87" s="55"/>
      <c r="BD87" s="178"/>
      <c r="BE87" s="55"/>
      <c r="BF87" s="135"/>
      <c r="BG87" s="178"/>
      <c r="BH87" s="66"/>
    </row>
    <row r="88" spans="1:160" x14ac:dyDescent="0.3">
      <c r="A88" s="44"/>
      <c r="B88" s="151"/>
      <c r="C88" s="49"/>
      <c r="D88" s="156"/>
      <c r="E88" s="48"/>
      <c r="F88" s="45"/>
      <c r="G88" s="62"/>
      <c r="H88" s="127"/>
      <c r="I88" s="130"/>
      <c r="J88" s="160"/>
      <c r="K88" s="46"/>
      <c r="L88" s="163"/>
      <c r="M88" s="46"/>
      <c r="N88" s="160"/>
      <c r="O88" s="131"/>
      <c r="P88" s="160"/>
      <c r="Q88" s="48"/>
      <c r="R88" s="46"/>
      <c r="S88" s="48"/>
      <c r="T88" s="48"/>
      <c r="U88" s="46"/>
      <c r="V88" s="48"/>
      <c r="W88" s="48"/>
      <c r="X88" s="617"/>
      <c r="Y88" s="61"/>
      <c r="Z88" s="48"/>
      <c r="AA88" s="46"/>
      <c r="AB88" s="48"/>
      <c r="AC88" s="45"/>
      <c r="AD88" s="132"/>
      <c r="AE88" s="63"/>
      <c r="AF88" s="63"/>
      <c r="AG88" s="45"/>
      <c r="AH88" s="63"/>
      <c r="AI88" s="45"/>
      <c r="AJ88" s="132"/>
      <c r="AK88" s="615"/>
      <c r="AL88" s="51"/>
      <c r="AM88" s="133"/>
      <c r="AN88" s="171"/>
      <c r="AO88" s="64"/>
      <c r="AP88" s="52"/>
      <c r="AQ88" s="65"/>
      <c r="AR88" s="49"/>
      <c r="AS88" s="134"/>
      <c r="AT88" s="61"/>
      <c r="AU88" s="64"/>
      <c r="AV88" s="53"/>
      <c r="AW88" s="65"/>
      <c r="AX88" s="614"/>
      <c r="AY88" s="54"/>
      <c r="AZ88" s="135"/>
      <c r="BA88" s="178"/>
      <c r="BB88" s="66"/>
      <c r="BC88" s="55"/>
      <c r="BD88" s="178"/>
      <c r="BE88" s="55"/>
      <c r="BF88" s="135"/>
      <c r="BG88" s="178"/>
      <c r="BH88" s="66"/>
    </row>
    <row r="89" spans="1:160" x14ac:dyDescent="0.3">
      <c r="A89" s="44"/>
      <c r="B89" s="151"/>
      <c r="C89" s="49"/>
      <c r="D89" s="156"/>
      <c r="E89" s="48"/>
      <c r="F89" s="45"/>
      <c r="G89" s="62"/>
      <c r="H89" s="127"/>
      <c r="I89" s="130"/>
      <c r="J89" s="160"/>
      <c r="K89" s="46"/>
      <c r="L89" s="163"/>
      <c r="M89" s="46"/>
      <c r="N89" s="160"/>
      <c r="O89" s="131"/>
      <c r="P89" s="160"/>
      <c r="Q89" s="48"/>
      <c r="R89" s="46"/>
      <c r="S89" s="48"/>
      <c r="T89" s="48"/>
      <c r="U89" s="46"/>
      <c r="V89" s="48"/>
      <c r="W89" s="48"/>
      <c r="X89" s="617"/>
      <c r="Y89" s="61"/>
      <c r="Z89" s="48"/>
      <c r="AA89" s="46"/>
      <c r="AB89" s="48"/>
      <c r="AC89" s="45"/>
      <c r="AD89" s="132"/>
      <c r="AE89" s="63"/>
      <c r="AF89" s="63"/>
      <c r="AG89" s="45"/>
      <c r="AH89" s="63"/>
      <c r="AI89" s="45"/>
      <c r="AJ89" s="132"/>
      <c r="AK89" s="615"/>
      <c r="AL89" s="51"/>
      <c r="AM89" s="133"/>
      <c r="AN89" s="171"/>
      <c r="AO89" s="64"/>
      <c r="AP89" s="52"/>
      <c r="AQ89" s="65"/>
      <c r="AR89" s="49"/>
      <c r="AS89" s="134"/>
      <c r="AT89" s="61"/>
      <c r="AU89" s="64"/>
      <c r="AV89" s="53"/>
      <c r="AW89" s="65"/>
      <c r="AX89" s="614"/>
      <c r="AY89" s="54"/>
      <c r="AZ89" s="135"/>
      <c r="BA89" s="178"/>
      <c r="BB89" s="66"/>
      <c r="BC89" s="55"/>
      <c r="BD89" s="178"/>
      <c r="BE89" s="55"/>
      <c r="BF89" s="135"/>
      <c r="BG89" s="183"/>
      <c r="BH89" s="70"/>
    </row>
    <row r="90" spans="1:160" ht="23.25" x14ac:dyDescent="0.3">
      <c r="A90" s="71"/>
      <c r="B90" s="150"/>
      <c r="C90" s="139"/>
      <c r="D90" s="147"/>
      <c r="E90" s="138"/>
      <c r="F90" s="139"/>
      <c r="G90" s="138"/>
      <c r="H90" s="138"/>
      <c r="I90" s="139"/>
      <c r="J90" s="138"/>
      <c r="K90" s="139"/>
      <c r="L90" s="138"/>
      <c r="M90" s="139"/>
      <c r="N90" s="138"/>
      <c r="O90" s="139"/>
      <c r="P90" s="138"/>
      <c r="Q90" s="138"/>
      <c r="R90" s="139"/>
      <c r="S90" s="138"/>
      <c r="T90" s="138"/>
      <c r="U90" s="139"/>
      <c r="V90" s="138"/>
      <c r="W90" s="138"/>
      <c r="X90" s="617"/>
      <c r="Y90" s="160"/>
      <c r="Z90" s="138"/>
      <c r="AA90" s="139"/>
      <c r="AB90" s="138"/>
      <c r="AC90" s="138"/>
      <c r="AD90" s="139"/>
      <c r="AE90" s="138"/>
      <c r="AF90" s="138"/>
      <c r="AG90" s="139"/>
      <c r="AH90" s="138"/>
      <c r="AI90" s="138"/>
      <c r="AJ90" s="139"/>
      <c r="AK90" s="615"/>
      <c r="AL90" s="45"/>
      <c r="AM90" s="139"/>
      <c r="AN90" s="138"/>
      <c r="AO90" s="138"/>
      <c r="AP90" s="139"/>
      <c r="AQ90" s="138"/>
      <c r="AR90" s="138"/>
      <c r="AS90" s="139"/>
      <c r="AT90" s="138"/>
      <c r="AU90" s="138"/>
      <c r="AV90" s="139"/>
      <c r="AW90" s="138"/>
      <c r="AX90" s="614"/>
      <c r="AY90" s="54"/>
      <c r="AZ90" s="139"/>
      <c r="BA90" s="176"/>
      <c r="BB90" s="138"/>
      <c r="BC90" s="139"/>
      <c r="BD90" s="176"/>
      <c r="BE90" s="138"/>
      <c r="BF90" s="139"/>
      <c r="BG90" s="183"/>
      <c r="BH90" s="70"/>
    </row>
    <row r="91" spans="1:160" ht="23.25" x14ac:dyDescent="0.3">
      <c r="A91" s="42"/>
      <c r="B91" s="151"/>
      <c r="C91" s="45"/>
      <c r="D91" s="156"/>
      <c r="E91" s="45"/>
      <c r="F91" s="45"/>
      <c r="G91" s="160"/>
      <c r="H91" s="45"/>
      <c r="I91" s="45"/>
      <c r="J91" s="160"/>
      <c r="K91" s="45"/>
      <c r="L91" s="160"/>
      <c r="M91" s="45"/>
      <c r="N91" s="160"/>
      <c r="O91" s="45"/>
      <c r="P91" s="160"/>
      <c r="Q91" s="45"/>
      <c r="R91" s="45"/>
      <c r="S91" s="160"/>
      <c r="T91" s="45"/>
      <c r="U91" s="45"/>
      <c r="V91" s="160"/>
      <c r="W91" s="45"/>
      <c r="X91" s="617"/>
      <c r="Y91" s="160"/>
      <c r="Z91" s="45"/>
      <c r="AA91" s="45"/>
      <c r="AB91" s="160"/>
      <c r="AC91" s="45"/>
      <c r="AD91" s="45"/>
      <c r="AE91" s="160"/>
      <c r="AF91" s="45"/>
      <c r="AG91" s="45"/>
      <c r="AH91" s="160"/>
      <c r="AI91" s="45"/>
      <c r="AJ91" s="45"/>
      <c r="AK91" s="615"/>
      <c r="AL91" s="45"/>
      <c r="AM91" s="45"/>
      <c r="AN91" s="160"/>
      <c r="AO91" s="64"/>
      <c r="AP91" s="53"/>
      <c r="AQ91" s="160"/>
      <c r="AR91" s="45"/>
      <c r="AS91" s="45"/>
      <c r="AT91" s="160"/>
      <c r="AU91" s="45"/>
      <c r="AV91" s="53"/>
      <c r="AW91" s="160"/>
      <c r="AX91" s="614"/>
      <c r="AY91" s="54"/>
      <c r="AZ91" s="55"/>
      <c r="BA91" s="182"/>
      <c r="BB91" s="72"/>
      <c r="BC91" s="72"/>
      <c r="BD91" s="176"/>
      <c r="BE91" s="72"/>
      <c r="BF91" s="72"/>
      <c r="BG91" s="183"/>
      <c r="BH91" s="70"/>
    </row>
    <row r="92" spans="1:160" x14ac:dyDescent="0.3">
      <c r="A92" s="71"/>
      <c r="B92" s="151"/>
      <c r="C92" s="45"/>
      <c r="D92" s="156"/>
      <c r="E92" s="45"/>
      <c r="F92" s="45"/>
      <c r="G92" s="160"/>
      <c r="H92" s="45"/>
      <c r="I92" s="45"/>
      <c r="J92" s="160"/>
      <c r="K92" s="45"/>
      <c r="L92" s="160"/>
      <c r="M92" s="45"/>
      <c r="N92" s="160"/>
      <c r="O92" s="45"/>
      <c r="P92" s="160"/>
      <c r="Q92" s="45"/>
      <c r="R92" s="45"/>
      <c r="S92" s="160"/>
      <c r="T92" s="45"/>
      <c r="U92" s="45"/>
      <c r="V92" s="160"/>
      <c r="W92" s="45"/>
      <c r="X92" s="617"/>
      <c r="Y92" s="160"/>
      <c r="Z92" s="45"/>
      <c r="AA92" s="45"/>
      <c r="AB92" s="160"/>
      <c r="AC92" s="45"/>
      <c r="AD92" s="45"/>
      <c r="AE92" s="160"/>
      <c r="AF92" s="45"/>
      <c r="AG92" s="45"/>
      <c r="AH92" s="160"/>
      <c r="AI92" s="45"/>
      <c r="AJ92" s="45"/>
      <c r="AK92" s="615"/>
      <c r="AL92" s="45"/>
      <c r="AM92" s="45"/>
      <c r="AN92" s="160"/>
      <c r="AO92" s="64"/>
      <c r="AP92" s="53"/>
      <c r="AQ92" s="160"/>
      <c r="AR92" s="45"/>
      <c r="AS92" s="45"/>
      <c r="AT92" s="160"/>
      <c r="AU92" s="45"/>
      <c r="AV92" s="53"/>
      <c r="AW92" s="160"/>
      <c r="AX92" s="614"/>
      <c r="AY92" s="73"/>
      <c r="AZ92" s="49"/>
      <c r="BA92" s="183"/>
      <c r="BB92" s="70"/>
      <c r="BC92" s="140"/>
      <c r="BD92" s="183"/>
      <c r="BE92" s="70"/>
      <c r="BF92" s="140"/>
      <c r="BG92" s="183"/>
      <c r="BH92" s="70"/>
    </row>
    <row r="93" spans="1:160" x14ac:dyDescent="0.3">
      <c r="A93" s="71"/>
      <c r="B93" s="154"/>
      <c r="C93" s="49"/>
      <c r="D93" s="158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617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615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614"/>
      <c r="AY93" s="73"/>
      <c r="AZ93" s="49"/>
      <c r="BA93" s="183"/>
      <c r="BB93" s="70"/>
      <c r="BC93" s="140"/>
      <c r="BD93" s="183"/>
      <c r="BE93" s="70"/>
      <c r="BF93" s="140"/>
      <c r="BG93" s="183"/>
      <c r="BH93" s="70"/>
    </row>
    <row r="94" spans="1:160" ht="18.75" x14ac:dyDescent="0.3">
      <c r="A94" s="74"/>
      <c r="B94" s="154"/>
      <c r="C94" s="49"/>
      <c r="D94" s="158"/>
      <c r="E94" s="50"/>
      <c r="F94" s="140"/>
      <c r="G94" s="61"/>
      <c r="H94" s="50"/>
      <c r="I94" s="49"/>
      <c r="J94" s="162"/>
      <c r="K94" s="49"/>
      <c r="L94" s="61"/>
      <c r="M94" s="49"/>
      <c r="N94" s="162"/>
      <c r="O94" s="140"/>
      <c r="P94" s="162"/>
      <c r="Q94" s="50"/>
      <c r="R94" s="49"/>
      <c r="S94" s="61"/>
      <c r="T94" s="50"/>
      <c r="U94" s="49"/>
      <c r="V94" s="61"/>
      <c r="W94" s="50"/>
      <c r="X94" s="617"/>
      <c r="Y94" s="603"/>
      <c r="Z94" s="603"/>
      <c r="AA94" s="603"/>
      <c r="AB94" s="603"/>
      <c r="AC94" s="603"/>
      <c r="AD94" s="603"/>
      <c r="AE94" s="603"/>
      <c r="AF94" s="603"/>
      <c r="AG94" s="603"/>
      <c r="AH94" s="603"/>
      <c r="AI94" s="603"/>
      <c r="AJ94" s="603"/>
      <c r="AK94" s="603"/>
      <c r="AL94" s="603"/>
      <c r="AM94" s="603"/>
      <c r="AN94" s="603"/>
      <c r="AO94" s="603"/>
      <c r="AP94" s="604"/>
      <c r="AQ94" s="604"/>
      <c r="AR94" s="604"/>
      <c r="AS94" s="604"/>
      <c r="AT94" s="604"/>
      <c r="AU94" s="604"/>
      <c r="AV94" s="604"/>
      <c r="AW94" s="604"/>
      <c r="AX94" s="61"/>
      <c r="AY94" s="75"/>
      <c r="AZ94" s="49"/>
      <c r="BA94" s="183"/>
      <c r="BB94" s="70"/>
      <c r="BC94" s="140"/>
      <c r="BD94" s="183"/>
      <c r="BE94" s="70"/>
      <c r="BF94" s="140"/>
      <c r="BG94" s="183"/>
      <c r="BH94" s="70"/>
    </row>
  </sheetData>
  <mergeCells count="453"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Kriselda De Grano</cp:lastModifiedBy>
  <dcterms:created xsi:type="dcterms:W3CDTF">2017-05-03T09:23:30Z</dcterms:created>
  <dcterms:modified xsi:type="dcterms:W3CDTF">2021-05-23T05:30:18Z</dcterms:modified>
</cp:coreProperties>
</file>