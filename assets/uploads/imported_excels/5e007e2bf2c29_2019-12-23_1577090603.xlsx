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 s="1"/>
  <c r="AV13" i="7"/>
  <c r="R8" i="9" s="1"/>
  <c r="G8" i="5" s="1"/>
  <c r="AV14" i="7"/>
  <c r="AW14" i="7" s="1"/>
  <c r="AV15" i="7"/>
  <c r="AW15" i="7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F4" i="9" s="1"/>
  <c r="T9" i="7"/>
  <c r="H4" i="9" s="1"/>
  <c r="U9" i="7"/>
  <c r="I4" i="9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F3" i="9" s="1"/>
  <c r="AG8" i="7"/>
  <c r="T8" i="7"/>
  <c r="AI8" i="7" s="1"/>
  <c r="U8" i="7"/>
  <c r="I3" i="9" s="1"/>
  <c r="V8" i="7"/>
  <c r="AK8" i="7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AK7" i="7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R28" i="9"/>
  <c r="G28" i="5" s="1"/>
  <c r="F20" i="9"/>
  <c r="N28" i="9"/>
  <c r="T20" i="7"/>
  <c r="T21" i="7"/>
  <c r="AI21" i="7" s="1"/>
  <c r="F22" i="9"/>
  <c r="F25" i="9"/>
  <c r="I27" i="9"/>
  <c r="Q30" i="9"/>
  <c r="AJ35" i="7"/>
  <c r="AO31" i="7"/>
  <c r="AO11" i="7"/>
  <c r="AI31" i="7"/>
  <c r="M23" i="9"/>
  <c r="K26" i="9"/>
  <c r="AJ30" i="7"/>
  <c r="K7" i="9"/>
  <c r="R29" i="9"/>
  <c r="G29" i="5" s="1"/>
  <c r="L29" i="9"/>
  <c r="AL19" i="7"/>
  <c r="AM22" i="7"/>
  <c r="F19" i="9"/>
  <c r="AN36" i="7"/>
  <c r="AN25" i="7"/>
  <c r="F31" i="9"/>
  <c r="I29" i="9"/>
  <c r="AO29" i="7"/>
  <c r="AR12" i="7"/>
  <c r="AN14" i="7"/>
  <c r="K12" i="9"/>
  <c r="P17" i="9"/>
  <c r="R10" i="9"/>
  <c r="G10" i="5" s="1"/>
  <c r="K20" i="9"/>
  <c r="AL16" i="7"/>
  <c r="AN11" i="7"/>
  <c r="AP35" i="7"/>
  <c r="I9" i="9"/>
  <c r="AQ9" i="7"/>
  <c r="J13" i="9"/>
  <c r="K14" i="9"/>
  <c r="AQ21" i="7"/>
  <c r="R17" i="9"/>
  <c r="G17" i="5" s="1"/>
  <c r="H18" i="9"/>
  <c r="AN23" i="7"/>
  <c r="AP24" i="7"/>
  <c r="AK24" i="7"/>
  <c r="G19" i="9"/>
  <c r="P21" i="9"/>
  <c r="AP28" i="7"/>
  <c r="AH29" i="7"/>
  <c r="N24" i="9"/>
  <c r="H25" i="9"/>
  <c r="AR31" i="7"/>
  <c r="AM30" i="7"/>
  <c r="J26" i="9"/>
  <c r="G26" i="9"/>
  <c r="Q28" i="9"/>
  <c r="AL33" i="7"/>
  <c r="AG33" i="7"/>
  <c r="F27" i="9"/>
  <c r="M28" i="9"/>
  <c r="AO35" i="7"/>
  <c r="AH35" i="7"/>
  <c r="F30" i="9"/>
  <c r="R30" i="9"/>
  <c r="G30" i="5" s="1"/>
  <c r="AR36" i="7"/>
  <c r="AL35" i="7"/>
  <c r="AK35" i="7"/>
  <c r="R21" i="9"/>
  <c r="G21" i="5" s="1"/>
  <c r="AJ36" i="7"/>
  <c r="P26" i="9"/>
  <c r="K25" i="9"/>
  <c r="AI35" i="7"/>
  <c r="P25" i="9"/>
  <c r="M10" i="9"/>
  <c r="AR9" i="7"/>
  <c r="AR10" i="7"/>
  <c r="I5" i="9"/>
  <c r="R7" i="9"/>
  <c r="G7" i="5" s="1"/>
  <c r="AL11" i="7"/>
  <c r="P8" i="9"/>
  <c r="AJ12" i="7"/>
  <c r="AL14" i="7"/>
  <c r="J8" i="9"/>
  <c r="G13" i="9"/>
  <c r="M11" i="9"/>
  <c r="AJ15" i="7"/>
  <c r="R11" i="9"/>
  <c r="G11" i="5" s="1"/>
  <c r="P9" i="9"/>
  <c r="AK15" i="7"/>
  <c r="AW19" i="7"/>
  <c r="AP9" i="7"/>
  <c r="O2" i="9"/>
  <c r="F11" i="9"/>
  <c r="AG9" i="7"/>
  <c r="AQ17" i="7"/>
  <c r="AL9" i="7"/>
  <c r="AR18" i="7"/>
  <c r="J3" i="9"/>
  <c r="AJ7" i="7"/>
  <c r="H3" i="9"/>
  <c r="AH8" i="7"/>
  <c r="AQ7" i="7"/>
  <c r="R4" i="9"/>
  <c r="G4" i="5" s="1"/>
  <c r="O3" i="9"/>
  <c r="AL8" i="7"/>
  <c r="AR11" i="7"/>
  <c r="P5" i="9"/>
  <c r="AQ11" i="7"/>
  <c r="I6" i="9"/>
  <c r="G6" i="9"/>
  <c r="AO10" i="7"/>
  <c r="AI12" i="7"/>
  <c r="P22" i="9" l="1"/>
  <c r="Q24" i="9"/>
  <c r="N23" i="9"/>
  <c r="H24" i="9"/>
  <c r="F24" i="9"/>
  <c r="AM28" i="7"/>
  <c r="R22" i="9"/>
  <c r="G22" i="5" s="1"/>
  <c r="AW25" i="7"/>
  <c r="AP27" i="7"/>
  <c r="AN27" i="7"/>
  <c r="J22" i="9"/>
  <c r="Q21" i="9"/>
  <c r="Q20" i="9"/>
  <c r="K21" i="9"/>
  <c r="J21" i="9"/>
  <c r="Q19" i="9"/>
  <c r="AO24" i="7"/>
  <c r="AI25" i="7"/>
  <c r="R19" i="9"/>
  <c r="G19" i="5" s="1"/>
  <c r="AR22" i="7"/>
  <c r="AN22" i="7"/>
  <c r="I17" i="9"/>
  <c r="F17" i="9"/>
  <c r="N15" i="9"/>
  <c r="AN21" i="7"/>
  <c r="AL21" i="7"/>
  <c r="AK20" i="7"/>
  <c r="AH21" i="7"/>
  <c r="AR20" i="7"/>
  <c r="AQ19" i="7"/>
  <c r="AN20" i="7"/>
  <c r="AK19" i="7"/>
  <c r="I15" i="9"/>
  <c r="F15" i="9"/>
  <c r="AO18" i="7"/>
  <c r="AO19" i="7"/>
  <c r="AG19" i="7"/>
  <c r="AG18" i="7"/>
  <c r="Q11" i="9"/>
  <c r="N12" i="9"/>
  <c r="AK17" i="7"/>
  <c r="G12" i="9"/>
  <c r="L11" i="9"/>
  <c r="Q10" i="9"/>
  <c r="P10" i="9"/>
  <c r="AG15" i="7"/>
  <c r="AI13" i="7"/>
  <c r="E9" i="9"/>
  <c r="AP13" i="7"/>
  <c r="N8" i="9"/>
  <c r="AN12" i="7"/>
  <c r="AH12" i="7"/>
  <c r="AO12" i="7"/>
  <c r="AM12" i="7"/>
  <c r="AI11" i="7"/>
  <c r="F6" i="9"/>
  <c r="R6" i="9"/>
  <c r="G6" i="5" s="1"/>
  <c r="AW10" i="7"/>
  <c r="O6" i="9"/>
  <c r="AL10" i="7"/>
  <c r="AF11" i="7"/>
  <c r="N4" i="9"/>
  <c r="M5" i="9"/>
  <c r="L5" i="9"/>
  <c r="H5" i="9"/>
  <c r="G5" i="9"/>
  <c r="AM8" i="7"/>
  <c r="L4" i="9"/>
  <c r="AD9" i="7"/>
  <c r="G4" i="9"/>
  <c r="E4" i="9"/>
  <c r="P3" i="9"/>
  <c r="N3" i="9"/>
  <c r="N2" i="9"/>
  <c r="K2" i="9"/>
  <c r="AJ8" i="7"/>
  <c r="AF8" i="7"/>
  <c r="Q2" i="9"/>
  <c r="J2" i="9"/>
  <c r="AW13" i="7"/>
  <c r="AW17" i="7"/>
  <c r="AD7" i="7"/>
  <c r="AM7" i="7"/>
  <c r="AG10" i="7"/>
  <c r="AH15" i="7"/>
  <c r="AP10" i="7"/>
  <c r="AH22" i="7"/>
  <c r="H12" i="9"/>
  <c r="AJ9" i="7"/>
  <c r="AJ33" i="7"/>
  <c r="J4" i="9"/>
  <c r="E4" i="5" s="1"/>
  <c r="AI7" i="7"/>
  <c r="AI9" i="7"/>
  <c r="AQ28" i="7"/>
  <c r="G29" i="9"/>
  <c r="AL32" i="7"/>
  <c r="AJ24" i="7"/>
  <c r="P18" i="9"/>
  <c r="H21" i="9"/>
  <c r="H9" i="9"/>
  <c r="AN9" i="7"/>
  <c r="G18" i="9"/>
  <c r="Q3" i="9"/>
  <c r="AD10" i="7"/>
  <c r="AD11" i="7"/>
  <c r="L6" i="9"/>
  <c r="AS11" i="7"/>
  <c r="AN7" i="7"/>
  <c r="J5" i="9"/>
  <c r="O9" i="9"/>
  <c r="J7" i="9"/>
  <c r="AN8" i="7"/>
  <c r="AN34" i="7"/>
  <c r="N27" i="9"/>
  <c r="L16" i="9"/>
  <c r="AI19" i="7"/>
  <c r="AQ24" i="7"/>
  <c r="AP20" i="7"/>
  <c r="AG21" i="7"/>
  <c r="K23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24" i="5" l="1"/>
  <c r="AS26" i="7"/>
  <c r="AS22" i="7"/>
  <c r="E14" i="5"/>
  <c r="E9" i="5"/>
  <c r="AS14" i="7"/>
  <c r="AS12" i="7"/>
  <c r="AS10" i="7"/>
  <c r="E3" i="5"/>
  <c r="AS9" i="7"/>
  <c r="AS8" i="7"/>
  <c r="E2" i="5"/>
  <c r="E6" i="5"/>
  <c r="E12" i="5"/>
  <c r="E13" i="5"/>
  <c r="E8" i="5"/>
  <c r="AS21" i="7"/>
  <c r="AS24" i="7"/>
  <c r="AS34" i="7"/>
  <c r="E25" i="5"/>
  <c r="E5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<sst xmlns="http://schemas.openxmlformats.org/spreadsheetml/2006/main" count="127" uniqueCount="49">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</sst>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3" zoomScale="130" zoomScaleNormal="130" workbookViewId="0">
      <selection activeCell="F26" sqref="F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Submetering!R2</f>
        <v>797.20734600000003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Submetering!R3</f>
        <v>662.82529099999999</v>
      </c>
      <c r="H3" s="11">
        <v>0.52800000000000002</v>
      </c>
      <c r="I3" s="12">
        <f>Hotel!B8</f>
        <v>122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128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Submetering!R5</f>
        <v>753.29658999999992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Submetering!R6</f>
        <v>681.37379999999996</v>
      </c>
      <c r="H6" s="11">
        <v>0.52800000000000002</v>
      </c>
      <c r="I6" s="12">
        <f>Hotel!B11</f>
        <v>154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Submetering!R7</f>
        <v>529.95740000000001</v>
      </c>
      <c r="H7" s="11">
        <v>0.52800000000000002</v>
      </c>
      <c r="I7" s="12">
        <f>Hotel!B12</f>
        <v>122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69210</v>
      </c>
      <c r="F8" s="11">
        <v>5.0000000000000001E-3</v>
      </c>
      <c r="G8" s="12">
        <f>Submetering!R8</f>
        <v>704.08625999999992</v>
      </c>
      <c r="H8" s="11">
        <v>0.52800000000000002</v>
      </c>
      <c r="I8" s="12">
        <f>Hotel!B13</f>
        <v>136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68040</v>
      </c>
      <c r="F9" s="11">
        <v>5.0000000000000001E-3</v>
      </c>
      <c r="G9" s="12">
        <f>Submetering!R9</f>
        <v>825.21938</v>
      </c>
      <c r="H9" s="11">
        <v>0.52800000000000002</v>
      </c>
      <c r="I9" s="12">
        <f>Hotel!B14</f>
        <v>137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67310</v>
      </c>
      <c r="F10" s="11">
        <v>5.0000000000000001E-3</v>
      </c>
      <c r="G10" s="12">
        <f>Submetering!R10</f>
        <v>461.82001999999994</v>
      </c>
      <c r="H10" s="11">
        <v>0.52800000000000002</v>
      </c>
      <c r="I10" s="12">
        <f>Hotel!B15</f>
        <v>203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65110</v>
      </c>
      <c r="F11" s="11">
        <v>5.0000000000000001E-3</v>
      </c>
      <c r="G11" s="12">
        <f>Submetering!R11</f>
        <v>500.43120199999993</v>
      </c>
      <c r="H11" s="11">
        <v>0.52800000000000002</v>
      </c>
      <c r="I11" s="12">
        <f>Hotel!B16</f>
        <v>175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65190</v>
      </c>
      <c r="F12" s="11">
        <v>5.0000000000000001E-3</v>
      </c>
      <c r="G12" s="12">
        <f>Submetering!R12</f>
        <v>843.38934800000004</v>
      </c>
      <c r="H12" s="11">
        <v>0.52800000000000002</v>
      </c>
      <c r="I12" s="12">
        <f>Hotel!B17</f>
        <v>122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66950</v>
      </c>
      <c r="F13" s="11">
        <v>5.0000000000000001E-3</v>
      </c>
      <c r="G13" s="12">
        <f>Submetering!R13</f>
        <v>544.7204989999999</v>
      </c>
      <c r="H13" s="11">
        <v>0.52800000000000002</v>
      </c>
      <c r="I13" s="12">
        <f>Hotel!B18</f>
        <v>199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67510</v>
      </c>
      <c r="F14" s="11">
        <v>5.0000000000000001E-3</v>
      </c>
      <c r="G14" s="12">
        <f>Submetering!R14</f>
        <v>629.13514199999997</v>
      </c>
      <c r="H14" s="11">
        <v>0.52800000000000002</v>
      </c>
      <c r="I14" s="12">
        <f>Hotel!B19</f>
        <v>167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66190</v>
      </c>
      <c r="F15" s="11">
        <v>5.0000000000000001E-3</v>
      </c>
      <c r="G15" s="12">
        <f>Submetering!R15</f>
        <v>518.22262899999998</v>
      </c>
      <c r="H15" s="11">
        <v>0.52800000000000002</v>
      </c>
      <c r="I15" s="12">
        <f>Hotel!B20</f>
        <v>125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66370</v>
      </c>
      <c r="F16" s="11">
        <v>5.0000000000000001E-3</v>
      </c>
      <c r="G16" s="12">
        <f>Submetering!R16</f>
        <v>691.59440700000005</v>
      </c>
      <c r="H16" s="11">
        <v>0.52800000000000002</v>
      </c>
      <c r="I16" s="12">
        <f>Hotel!B21</f>
        <v>148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65510</v>
      </c>
      <c r="F17" s="11">
        <v>5.0000000000000001E-3</v>
      </c>
      <c r="G17" s="12">
        <f>Submetering!R17</f>
        <v>556.076729</v>
      </c>
      <c r="H17" s="11">
        <v>0.52800000000000002</v>
      </c>
      <c r="I17" s="12">
        <f>Hotel!B22</f>
        <v>193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66040</v>
      </c>
      <c r="F18" s="11">
        <v>5.0000000000000001E-3</v>
      </c>
      <c r="G18" s="12">
        <f>Submetering!R18</f>
        <v>674.56006200000002</v>
      </c>
      <c r="H18" s="11">
        <v>0.52800000000000002</v>
      </c>
      <c r="I18" s="12">
        <f>Hotel!B23</f>
        <v>186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66790</v>
      </c>
      <c r="F19" s="11">
        <v>5.0000000000000001E-3</v>
      </c>
      <c r="G19" s="12">
        <f>Submetering!R19</f>
        <v>783.57987000000003</v>
      </c>
      <c r="H19" s="11">
        <v>0.52800000000000002</v>
      </c>
      <c r="I19" s="12">
        <f>Hotel!B24</f>
        <v>195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69170</v>
      </c>
      <c r="F20" s="11">
        <v>5.0000000000000001E-3</v>
      </c>
      <c r="G20" s="12">
        <f>Submetering!R20</f>
        <v>558.72651600000006</v>
      </c>
      <c r="H20" s="11">
        <v>0.52800000000000002</v>
      </c>
      <c r="I20" s="12">
        <f>Hotel!B25</f>
        <v>217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68140</v>
      </c>
      <c r="F21" s="11">
        <v>5.0000000000000001E-3</v>
      </c>
      <c r="G21" s="12">
        <f>Submetering!R21</f>
        <v>609.45101</v>
      </c>
      <c r="H21" s="11">
        <v>0.52800000000000002</v>
      </c>
      <c r="I21" s="12">
        <f>Hotel!B26</f>
        <v>245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68260</v>
      </c>
      <c r="F22" s="11">
        <v>5.0000000000000001E-3</v>
      </c>
      <c r="G22" s="12">
        <f>Submetering!R22</f>
        <v>506.10931699999992</v>
      </c>
      <c r="H22" s="11">
        <v>0.52800000000000002</v>
      </c>
      <c r="I22" s="12">
        <f>Hotel!B27</f>
        <v>165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64800</v>
      </c>
      <c r="F23" s="11">
        <v>5.0000000000000001E-3</v>
      </c>
      <c r="G23" s="12">
        <f>Submetering!R23</f>
        <v>680.99525900000003</v>
      </c>
      <c r="H23" s="11">
        <v>0.52800000000000002</v>
      </c>
      <c r="I23" s="12">
        <f>Hotel!B28</f>
        <v>122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Hotel!AV7*0.00378541*100</f>
        <v>797.20734600000003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Hotel!AV8*0.00378541*100</f>
        <v>662.82529099999999</v>
      </c>
      <c r="S3" s="4">
        <f>Hotel!B8</f>
        <v>122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Hotel!AV9*0.00378541*100</f>
        <v>685.53775099999996</v>
      </c>
      <c r="S4" s="4">
        <f>Hotel!B9</f>
        <v>128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Hotel!AV10*0.00378541*100</f>
        <v>753.29658999999992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Hotel!AV11*0.00378541*100</f>
        <v>681.37379999999996</v>
      </c>
      <c r="S6" s="4">
        <f>Hotel!B11</f>
        <v>154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Hotel!AV12*0.00378541*100</f>
        <v>529.95740000000001</v>
      </c>
      <c r="S7" s="4">
        <f>Hotel!B12</f>
        <v>122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1040</v>
      </c>
      <c r="F8" s="4">
        <f>Hotel!R13</f>
        <v>12000</v>
      </c>
      <c r="G8" s="4">
        <f>Hotel!S13</f>
        <v>20</v>
      </c>
      <c r="H8" s="4">
        <f>Hotel!T13</f>
        <v>1560</v>
      </c>
      <c r="I8" s="4">
        <f>Hotel!U13</f>
        <v>6660</v>
      </c>
      <c r="J8" s="4">
        <f>Hotel!V13</f>
        <v>4400</v>
      </c>
      <c r="K8" s="4">
        <f>Hotel!W13</f>
        <v>3440</v>
      </c>
      <c r="L8" s="4">
        <f>Hotel!X13</f>
        <v>4730</v>
      </c>
      <c r="M8" s="4">
        <f>Hotel!Y13</f>
        <v>5570</v>
      </c>
      <c r="N8" s="4">
        <f>Hotel!Z13</f>
        <v>2910</v>
      </c>
      <c r="O8" s="4">
        <f>Hotel!AA13</f>
        <v>3940</v>
      </c>
      <c r="P8" s="4">
        <f>Hotel!AB13</f>
        <v>7850</v>
      </c>
      <c r="Q8" s="4">
        <f>Hotel!AC13</f>
        <v>15090</v>
      </c>
      <c r="R8" s="4">
        <f>Hotel!AV13*0.00378541*100</f>
        <v>704.08625999999992</v>
      </c>
      <c r="S8" s="4">
        <f>Hotel!B13</f>
        <v>136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1030</v>
      </c>
      <c r="F9" s="4">
        <f>Hotel!R14</f>
        <v>10720</v>
      </c>
      <c r="G9" s="4">
        <f>Hotel!S14</f>
        <v>0</v>
      </c>
      <c r="H9" s="4">
        <f>Hotel!T14</f>
        <v>1510</v>
      </c>
      <c r="I9" s="4">
        <f>Hotel!U14</f>
        <v>6810</v>
      </c>
      <c r="J9" s="4">
        <f>Hotel!V14</f>
        <v>4500</v>
      </c>
      <c r="K9" s="4">
        <f>Hotel!W14</f>
        <v>3890</v>
      </c>
      <c r="L9" s="4">
        <f>Hotel!X14</f>
        <v>4740</v>
      </c>
      <c r="M9" s="4">
        <f>Hotel!Y14</f>
        <v>5080</v>
      </c>
      <c r="N9" s="4">
        <f>Hotel!Z14</f>
        <v>2810</v>
      </c>
      <c r="O9" s="4">
        <f>Hotel!AA14</f>
        <v>3770</v>
      </c>
      <c r="P9" s="4">
        <f>Hotel!AB14</f>
        <v>7810</v>
      </c>
      <c r="Q9" s="4">
        <f>Hotel!AC14</f>
        <v>15370</v>
      </c>
      <c r="R9" s="4">
        <f>Hotel!AV14*0.00378541*100</f>
        <v>825.21938</v>
      </c>
      <c r="S9" s="4">
        <f>Hotel!B14</f>
        <v>137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1020</v>
      </c>
      <c r="F10" s="4">
        <f>Hotel!R15</f>
        <v>10740</v>
      </c>
      <c r="G10" s="4">
        <f>Hotel!S15</f>
        <v>0</v>
      </c>
      <c r="H10" s="4">
        <f>Hotel!T15</f>
        <v>1500</v>
      </c>
      <c r="I10" s="4">
        <f>Hotel!U15</f>
        <v>6650</v>
      </c>
      <c r="J10" s="4">
        <f>Hotel!V15</f>
        <v>4420</v>
      </c>
      <c r="K10" s="4">
        <f>Hotel!W15</f>
        <v>3710</v>
      </c>
      <c r="L10" s="4">
        <f>Hotel!X15</f>
        <v>5220</v>
      </c>
      <c r="M10" s="4">
        <f>Hotel!Y15</f>
        <v>5070</v>
      </c>
      <c r="N10" s="4">
        <f>Hotel!Z15</f>
        <v>2870</v>
      </c>
      <c r="O10" s="4">
        <f>Hotel!AA15</f>
        <v>3500</v>
      </c>
      <c r="P10" s="4">
        <f>Hotel!AB15</f>
        <v>7680</v>
      </c>
      <c r="Q10" s="4">
        <f>Hotel!AC15</f>
        <v>14930</v>
      </c>
      <c r="R10" s="4">
        <f>Hotel!AV15*0.00378541*100</f>
        <v>461.82001999999994</v>
      </c>
      <c r="S10" s="4">
        <f>Hotel!B15</f>
        <v>203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1020</v>
      </c>
      <c r="F11" s="4">
        <f>Hotel!R16</f>
        <v>10340</v>
      </c>
      <c r="G11" s="4">
        <f>Hotel!S16</f>
        <v>0</v>
      </c>
      <c r="H11" s="4">
        <f>Hotel!T16</f>
        <v>1500</v>
      </c>
      <c r="I11" s="4">
        <f>Hotel!U16</f>
        <v>6810</v>
      </c>
      <c r="J11" s="4">
        <f>Hotel!V16</f>
        <v>4330</v>
      </c>
      <c r="K11" s="4">
        <f>Hotel!W16</f>
        <v>3240</v>
      </c>
      <c r="L11" s="4">
        <f>Hotel!X16</f>
        <v>4600</v>
      </c>
      <c r="M11" s="4">
        <f>Hotel!Y16</f>
        <v>4860</v>
      </c>
      <c r="N11" s="4">
        <f>Hotel!Z16</f>
        <v>2830</v>
      </c>
      <c r="O11" s="4">
        <f>Hotel!AA16</f>
        <v>3670</v>
      </c>
      <c r="P11" s="4">
        <f>Hotel!AB16</f>
        <v>7520</v>
      </c>
      <c r="Q11" s="4">
        <f>Hotel!AC16</f>
        <v>14390</v>
      </c>
      <c r="R11" s="4">
        <f>Hotel!AV16*0.00378541*100</f>
        <v>500.43120199999993</v>
      </c>
      <c r="S11" s="4">
        <f>Hotel!B16</f>
        <v>175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810</v>
      </c>
      <c r="F12" s="4">
        <f>Hotel!R17</f>
        <v>11020</v>
      </c>
      <c r="G12" s="4">
        <f>Hotel!S17</f>
        <v>0</v>
      </c>
      <c r="H12" s="4">
        <f>Hotel!T17</f>
        <v>1530</v>
      </c>
      <c r="I12" s="4">
        <f>Hotel!U17</f>
        <v>6200</v>
      </c>
      <c r="J12" s="4">
        <f>Hotel!V17</f>
        <v>4380</v>
      </c>
      <c r="K12" s="4">
        <f>Hotel!W17</f>
        <v>3240</v>
      </c>
      <c r="L12" s="4">
        <f>Hotel!X17</f>
        <v>4380</v>
      </c>
      <c r="M12" s="4">
        <f>Hotel!Y17</f>
        <v>4750</v>
      </c>
      <c r="N12" s="4">
        <f>Hotel!Z17</f>
        <v>2910</v>
      </c>
      <c r="O12" s="4">
        <f>Hotel!AA17</f>
        <v>3470</v>
      </c>
      <c r="P12" s="4">
        <f>Hotel!AB17</f>
        <v>7740</v>
      </c>
      <c r="Q12" s="4">
        <f>Hotel!AC17</f>
        <v>14760</v>
      </c>
      <c r="R12" s="4">
        <f>Hotel!AV17*0.00378541*100</f>
        <v>843.38934800000004</v>
      </c>
      <c r="S12" s="4">
        <f>Hotel!B17</f>
        <v>122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540</v>
      </c>
      <c r="F13" s="4">
        <f>Hotel!R18</f>
        <v>11880</v>
      </c>
      <c r="G13" s="4">
        <f>Hotel!S18</f>
        <v>0</v>
      </c>
      <c r="H13" s="4">
        <f>Hotel!T18</f>
        <v>1520</v>
      </c>
      <c r="I13" s="4">
        <f>Hotel!U18</f>
        <v>6690</v>
      </c>
      <c r="J13" s="4">
        <f>Hotel!V18</f>
        <v>4480</v>
      </c>
      <c r="K13" s="4">
        <f>Hotel!W18</f>
        <v>3790</v>
      </c>
      <c r="L13" s="4">
        <f>Hotel!X18</f>
        <v>3340</v>
      </c>
      <c r="M13" s="4">
        <f>Hotel!Y18</f>
        <v>4940</v>
      </c>
      <c r="N13" s="4">
        <f>Hotel!Z18</f>
        <v>2930</v>
      </c>
      <c r="O13" s="4">
        <f>Hotel!AA18</f>
        <v>3950</v>
      </c>
      <c r="P13" s="4">
        <f>Hotel!AB18</f>
        <v>7750</v>
      </c>
      <c r="Q13" s="4">
        <f>Hotel!AC18</f>
        <v>15140</v>
      </c>
      <c r="R13" s="4">
        <f>Hotel!AV18*0.00378541*100</f>
        <v>544.7204989999999</v>
      </c>
      <c r="S13" s="4">
        <f>Hotel!B18</f>
        <v>199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520</v>
      </c>
      <c r="F14" s="4">
        <f>Hotel!R19</f>
        <v>12030</v>
      </c>
      <c r="G14" s="4">
        <f>Hotel!S19</f>
        <v>0</v>
      </c>
      <c r="H14" s="4">
        <f>Hotel!T19</f>
        <v>1490</v>
      </c>
      <c r="I14" s="4">
        <f>Hotel!U19</f>
        <v>6940</v>
      </c>
      <c r="J14" s="4">
        <f>Hotel!V19</f>
        <v>4250</v>
      </c>
      <c r="K14" s="4">
        <f>Hotel!W19</f>
        <v>3520</v>
      </c>
      <c r="L14" s="4">
        <f>Hotel!X19</f>
        <v>5280</v>
      </c>
      <c r="M14" s="4">
        <f>Hotel!Y19</f>
        <v>4810</v>
      </c>
      <c r="N14" s="4">
        <f>Hotel!Z19</f>
        <v>2860</v>
      </c>
      <c r="O14" s="4">
        <f>Hotel!AA19</f>
        <v>3670</v>
      </c>
      <c r="P14" s="4">
        <f>Hotel!AB19</f>
        <v>7770</v>
      </c>
      <c r="Q14" s="4">
        <f>Hotel!AC19</f>
        <v>14370</v>
      </c>
      <c r="R14" s="4">
        <f>Hotel!AV19*0.00378541*100</f>
        <v>629.13514199999997</v>
      </c>
      <c r="S14" s="4">
        <f>Hotel!B19</f>
        <v>167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530</v>
      </c>
      <c r="F15" s="4">
        <f>Hotel!R20</f>
        <v>11510</v>
      </c>
      <c r="G15" s="4">
        <f>Hotel!S20</f>
        <v>0</v>
      </c>
      <c r="H15" s="4">
        <f>Hotel!T20</f>
        <v>1490</v>
      </c>
      <c r="I15" s="4">
        <f>Hotel!U20</f>
        <v>6260</v>
      </c>
      <c r="J15" s="4">
        <f>Hotel!V20</f>
        <v>4240</v>
      </c>
      <c r="K15" s="4">
        <f>Hotel!W20</f>
        <v>3790</v>
      </c>
      <c r="L15" s="4">
        <f>Hotel!X20</f>
        <v>4350</v>
      </c>
      <c r="M15" s="4">
        <f>Hotel!Y20</f>
        <v>4810</v>
      </c>
      <c r="N15" s="4">
        <f>Hotel!Z20</f>
        <v>2760</v>
      </c>
      <c r="O15" s="4">
        <f>Hotel!AA20</f>
        <v>3700</v>
      </c>
      <c r="P15" s="4">
        <f>Hotel!AB20</f>
        <v>7760</v>
      </c>
      <c r="Q15" s="4">
        <f>Hotel!AC20</f>
        <v>14990</v>
      </c>
      <c r="R15" s="4">
        <f>Hotel!AV20*0.00378541*100</f>
        <v>518.22262899999998</v>
      </c>
      <c r="S15" s="4">
        <f>Hotel!B20</f>
        <v>125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540</v>
      </c>
      <c r="F16" s="4">
        <f>Hotel!R21</f>
        <v>11740</v>
      </c>
      <c r="G16" s="4">
        <f>Hotel!S21</f>
        <v>0</v>
      </c>
      <c r="H16" s="4">
        <f>Hotel!T21</f>
        <v>1520</v>
      </c>
      <c r="I16" s="4">
        <f>Hotel!U21</f>
        <v>6190</v>
      </c>
      <c r="J16" s="4">
        <f>Hotel!V21</f>
        <v>4390</v>
      </c>
      <c r="K16" s="4">
        <f>Hotel!W21</f>
        <v>3170</v>
      </c>
      <c r="L16" s="4">
        <f>Hotel!X21</f>
        <v>4470</v>
      </c>
      <c r="M16" s="4">
        <f>Hotel!Y21</f>
        <v>4800</v>
      </c>
      <c r="N16" s="4">
        <f>Hotel!Z21</f>
        <v>2750</v>
      </c>
      <c r="O16" s="4">
        <f>Hotel!AA21</f>
        <v>3630</v>
      </c>
      <c r="P16" s="4">
        <f>Hotel!AB21</f>
        <v>8130</v>
      </c>
      <c r="Q16" s="4">
        <f>Hotel!AC21</f>
        <v>15040</v>
      </c>
      <c r="R16" s="4">
        <f>Hotel!AV21*0.00378541*100</f>
        <v>691.59440700000005</v>
      </c>
      <c r="S16" s="4">
        <f>Hotel!B21</f>
        <v>148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530</v>
      </c>
      <c r="F17" s="4">
        <f>Hotel!R22</f>
        <v>11610</v>
      </c>
      <c r="G17" s="4">
        <f>Hotel!S22</f>
        <v>0</v>
      </c>
      <c r="H17" s="4">
        <f>Hotel!T22</f>
        <v>1490</v>
      </c>
      <c r="I17" s="4">
        <f>Hotel!U22</f>
        <v>6170</v>
      </c>
      <c r="J17" s="4">
        <f>Hotel!V22</f>
        <v>4370</v>
      </c>
      <c r="K17" s="4">
        <f>Hotel!W22</f>
        <v>3420</v>
      </c>
      <c r="L17" s="4">
        <f>Hotel!X22</f>
        <v>4210</v>
      </c>
      <c r="M17" s="4">
        <f>Hotel!Y22</f>
        <v>4620</v>
      </c>
      <c r="N17" s="4">
        <f>Hotel!Z22</f>
        <v>2930</v>
      </c>
      <c r="O17" s="4">
        <f>Hotel!AA22</f>
        <v>3630</v>
      </c>
      <c r="P17" s="4">
        <f>Hotel!AB22</f>
        <v>8030</v>
      </c>
      <c r="Q17" s="4">
        <f>Hotel!AC22</f>
        <v>14500</v>
      </c>
      <c r="R17" s="4">
        <f>Hotel!AV22*0.00378541*100</f>
        <v>556.076729</v>
      </c>
      <c r="S17" s="4">
        <f>Hotel!B22</f>
        <v>193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540</v>
      </c>
      <c r="F18" s="4">
        <f>Hotel!R23</f>
        <v>10840</v>
      </c>
      <c r="G18" s="4">
        <f>Hotel!S23</f>
        <v>0</v>
      </c>
      <c r="H18" s="4">
        <f>Hotel!T23</f>
        <v>1490</v>
      </c>
      <c r="I18" s="4">
        <f>Hotel!U23</f>
        <v>6640</v>
      </c>
      <c r="J18" s="4">
        <f>Hotel!V23</f>
        <v>4560</v>
      </c>
      <c r="K18" s="4">
        <f>Hotel!W23</f>
        <v>3440</v>
      </c>
      <c r="L18" s="4">
        <f>Hotel!X23</f>
        <v>4360</v>
      </c>
      <c r="M18" s="4">
        <f>Hotel!Y23</f>
        <v>4740</v>
      </c>
      <c r="N18" s="4">
        <f>Hotel!Z23</f>
        <v>2890</v>
      </c>
      <c r="O18" s="4">
        <f>Hotel!AA23</f>
        <v>3660</v>
      </c>
      <c r="P18" s="4">
        <f>Hotel!AB23</f>
        <v>8150</v>
      </c>
      <c r="Q18" s="4">
        <f>Hotel!AC23</f>
        <v>14730</v>
      </c>
      <c r="R18" s="4">
        <f>Hotel!AV23*0.00378541*100</f>
        <v>674.56006200000002</v>
      </c>
      <c r="S18" s="4">
        <f>Hotel!B23</f>
        <v>186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3850</v>
      </c>
      <c r="F19" s="4">
        <f>Hotel!R24</f>
        <v>7390</v>
      </c>
      <c r="G19" s="4">
        <f>Hotel!S24</f>
        <v>0</v>
      </c>
      <c r="H19" s="4">
        <f>Hotel!T24</f>
        <v>1500</v>
      </c>
      <c r="I19" s="4">
        <f>Hotel!U24</f>
        <v>6720</v>
      </c>
      <c r="J19" s="4">
        <f>Hotel!V24</f>
        <v>4730</v>
      </c>
      <c r="K19" s="4">
        <f>Hotel!W24</f>
        <v>3550</v>
      </c>
      <c r="L19" s="4">
        <f>Hotel!X24</f>
        <v>4400</v>
      </c>
      <c r="M19" s="4">
        <f>Hotel!Y24</f>
        <v>5000</v>
      </c>
      <c r="N19" s="4">
        <f>Hotel!Z24</f>
        <v>2920</v>
      </c>
      <c r="O19" s="4">
        <f>Hotel!AA24</f>
        <v>3570</v>
      </c>
      <c r="P19" s="4">
        <f>Hotel!AB24</f>
        <v>8160</v>
      </c>
      <c r="Q19" s="4">
        <f>Hotel!AC24</f>
        <v>15000</v>
      </c>
      <c r="R19" s="4">
        <f>Hotel!AV24*0.00378541*100</f>
        <v>783.57987000000003</v>
      </c>
      <c r="S19" s="4">
        <f>Hotel!B24</f>
        <v>195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530</v>
      </c>
      <c r="F20" s="4">
        <f>Hotel!R25</f>
        <v>11360</v>
      </c>
      <c r="G20" s="4">
        <f>Hotel!S25</f>
        <v>0</v>
      </c>
      <c r="H20" s="4">
        <f>Hotel!T25</f>
        <v>1540</v>
      </c>
      <c r="I20" s="4">
        <f>Hotel!U25</f>
        <v>6840</v>
      </c>
      <c r="J20" s="4">
        <f>Hotel!V25</f>
        <v>4830</v>
      </c>
      <c r="K20" s="4">
        <f>Hotel!W25</f>
        <v>4000</v>
      </c>
      <c r="L20" s="4">
        <f>Hotel!X25</f>
        <v>4610</v>
      </c>
      <c r="M20" s="4">
        <f>Hotel!Y25</f>
        <v>5230</v>
      </c>
      <c r="N20" s="4">
        <f>Hotel!Z25</f>
        <v>2980</v>
      </c>
      <c r="O20" s="4">
        <f>Hotel!AA25</f>
        <v>3930</v>
      </c>
      <c r="P20" s="4">
        <f>Hotel!AB25</f>
        <v>8220</v>
      </c>
      <c r="Q20" s="4">
        <f>Hotel!AC25</f>
        <v>15100</v>
      </c>
      <c r="R20" s="4">
        <f>Hotel!AV25*0.00378541*100</f>
        <v>558.72651600000006</v>
      </c>
      <c r="S20" s="4">
        <f>Hotel!B25</f>
        <v>217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520</v>
      </c>
      <c r="F21" s="4">
        <f>Hotel!R26</f>
        <v>11020</v>
      </c>
      <c r="G21" s="4">
        <f>Hotel!S26</f>
        <v>0</v>
      </c>
      <c r="H21" s="4">
        <f>Hotel!T26</f>
        <v>1480</v>
      </c>
      <c r="I21" s="4">
        <f>Hotel!U26</f>
        <v>6940</v>
      </c>
      <c r="J21" s="4">
        <f>Hotel!V26</f>
        <v>4730</v>
      </c>
      <c r="K21" s="4">
        <f>Hotel!W26</f>
        <v>3840</v>
      </c>
      <c r="L21" s="4">
        <f>Hotel!X26</f>
        <v>4670</v>
      </c>
      <c r="M21" s="4">
        <f>Hotel!Y26</f>
        <v>5100</v>
      </c>
      <c r="N21" s="4">
        <f>Hotel!Z26</f>
        <v>2960</v>
      </c>
      <c r="O21" s="4">
        <f>Hotel!AA26</f>
        <v>4090</v>
      </c>
      <c r="P21" s="4">
        <f>Hotel!AB26</f>
        <v>7980</v>
      </c>
      <c r="Q21" s="4">
        <f>Hotel!AC26</f>
        <v>14810</v>
      </c>
      <c r="R21" s="4">
        <f>Hotel!AV26*0.00378541*100</f>
        <v>609.45101</v>
      </c>
      <c r="S21" s="4">
        <f>Hotel!B26</f>
        <v>245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520</v>
      </c>
      <c r="F22" s="4">
        <f>Hotel!R27</f>
        <v>11220</v>
      </c>
      <c r="G22" s="4">
        <f>Hotel!S27</f>
        <v>0</v>
      </c>
      <c r="H22" s="4">
        <f>Hotel!T27</f>
        <v>1500</v>
      </c>
      <c r="I22" s="4">
        <f>Hotel!U27</f>
        <v>7090</v>
      </c>
      <c r="J22" s="4">
        <f>Hotel!V27</f>
        <v>4790</v>
      </c>
      <c r="K22" s="4">
        <f>Hotel!W27</f>
        <v>3450</v>
      </c>
      <c r="L22" s="4">
        <f>Hotel!X27</f>
        <v>4640</v>
      </c>
      <c r="M22" s="4">
        <f>Hotel!Y27</f>
        <v>5040</v>
      </c>
      <c r="N22" s="4">
        <f>Hotel!Z27</f>
        <v>2960</v>
      </c>
      <c r="O22" s="4">
        <f>Hotel!AA27</f>
        <v>3880</v>
      </c>
      <c r="P22" s="4">
        <f>Hotel!AB27</f>
        <v>8110</v>
      </c>
      <c r="Q22" s="4">
        <f>Hotel!AC27</f>
        <v>15060</v>
      </c>
      <c r="R22" s="4">
        <f>Hotel!AV27*0.00378541*100</f>
        <v>506.10931699999992</v>
      </c>
      <c r="S22" s="4">
        <f>Hotel!B27</f>
        <v>165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500</v>
      </c>
      <c r="F23" s="4">
        <f>Hotel!R28</f>
        <v>10570</v>
      </c>
      <c r="G23" s="4">
        <f>Hotel!S28</f>
        <v>0</v>
      </c>
      <c r="H23" s="4">
        <f>Hotel!T28</f>
        <v>1470</v>
      </c>
      <c r="I23" s="4">
        <f>Hotel!U28</f>
        <v>6510</v>
      </c>
      <c r="J23" s="4">
        <f>Hotel!V28</f>
        <v>4600</v>
      </c>
      <c r="K23" s="4">
        <f>Hotel!W28</f>
        <v>2850</v>
      </c>
      <c r="L23" s="4">
        <f>Hotel!X28</f>
        <v>4340</v>
      </c>
      <c r="M23" s="4">
        <f>Hotel!Y28</f>
        <v>4760</v>
      </c>
      <c r="N23" s="4">
        <f>Hotel!Z28</f>
        <v>2820</v>
      </c>
      <c r="O23" s="4">
        <f>Hotel!AA28</f>
        <v>3760</v>
      </c>
      <c r="P23" s="4">
        <f>Hotel!AB28</f>
        <v>7810</v>
      </c>
      <c r="Q23" s="4">
        <f>Hotel!AC28</f>
        <v>14810</v>
      </c>
      <c r="R23" s="4">
        <f>Hotel!AV28*0.00378541*100</f>
        <v>680.99525900000003</v>
      </c>
      <c r="S23" s="4">
        <f>Hotel!B28</f>
        <v>122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I25" sqref="AI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664402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664402</v>
      </c>
    </row>
    <row r="7" spans="1:49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>IF((C7-C2&lt;0), "0",C7-C2)</f>
        <v>1070</v>
      </c>
      <c r="R7" s="37">
        <f t="shared" ref="R7:AC7" si="0">IF((D7-D2&lt;0), "0",D7-D2)</f>
        <v>13090</v>
      </c>
      <c r="S7" s="37">
        <f>IF((E7-E2&lt;0), "0",E7-E2)</f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U7" s="47">
        <v>666508</v>
      </c>
      <c r="AV7" s="37">
        <f>IF((AU7-AU6&lt;0),"0",AU7-AU6)</f>
        <v>2106</v>
      </c>
      <c r="AW7" s="50">
        <v>0</v>
      </c>
    </row>
    <row r="8" spans="1:49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4">IF((D8-D7&lt;0), "0",D8-D7)</f>
        <v>12870</v>
      </c>
      <c r="S8" s="37">
        <f t="shared" ref="S8:S35" si="15">IF((E8-E7&lt;0), "0",E8-E7)</f>
        <v>90</v>
      </c>
      <c r="T8" s="37">
        <f t="shared" si="14"/>
        <v>1890</v>
      </c>
      <c r="U8" s="37">
        <f t="shared" si="14"/>
        <v>6270</v>
      </c>
      <c r="V8" s="37">
        <f t="shared" si="14"/>
        <v>4240</v>
      </c>
      <c r="W8" s="37">
        <f t="shared" si="14"/>
        <v>3300</v>
      </c>
      <c r="X8" s="37">
        <f t="shared" si="14"/>
        <v>4570</v>
      </c>
      <c r="Y8" s="37">
        <f t="shared" si="14"/>
        <v>5060</v>
      </c>
      <c r="Z8" s="37">
        <f t="shared" si="14"/>
        <v>2730</v>
      </c>
      <c r="AA8" s="37">
        <f t="shared" si="14"/>
        <v>3620</v>
      </c>
      <c r="AB8" s="37">
        <f t="shared" si="14"/>
        <v>7660</v>
      </c>
      <c r="AC8" s="37">
        <f t="shared" si="14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U8" s="47">
        <v>668259</v>
      </c>
      <c r="AV8" s="37">
        <f>IF((AU8-AU7&lt;0),"0",AU8-AU7)</f>
        <v>1751</v>
      </c>
      <c r="AW8" s="35">
        <v>0</v>
      </c>
    </row>
    <row r="9" spans="1:49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5" si="16">IF((C9-C8&lt;0), "0",C9-C8)</f>
        <v>1040</v>
      </c>
      <c r="R9" s="37">
        <f t="shared" ref="R9:R35" si="17">IF((D9-D8&lt;0), "0",D9-D8)</f>
        <v>11640</v>
      </c>
      <c r="S9" s="37">
        <f t="shared" si="15"/>
        <v>20</v>
      </c>
      <c r="T9" s="37">
        <f t="shared" ref="T9:T35" si="18">IF((F9-F8&lt;0), "0",F9-F8)</f>
        <v>1570</v>
      </c>
      <c r="U9" s="37">
        <f t="shared" ref="U9:U35" si="19">IF((G9-G8&lt;0), "0",G9-G8)</f>
        <v>5660</v>
      </c>
      <c r="V9" s="37">
        <f t="shared" ref="V9:V35" si="20">IF((H9-H8&lt;0), "0",H9-H8)</f>
        <v>4330</v>
      </c>
      <c r="W9" s="37">
        <f t="shared" ref="W9:W35" si="21">IF((I9-I8&lt;0), "0",I9-I8)</f>
        <v>3380</v>
      </c>
      <c r="X9" s="37">
        <f t="shared" ref="X9:X35" si="22">IF((J9-J8&lt;0), "0",J9-J8)</f>
        <v>4670</v>
      </c>
      <c r="Y9" s="37">
        <f t="shared" ref="Y9:Y35" si="23">IF((K9-K8&lt;0), "0",K9-K8)</f>
        <v>5060</v>
      </c>
      <c r="Z9" s="37">
        <f t="shared" ref="Z9:Z35" si="24">IF((L9-L8&lt;0), "0",L9-L8)</f>
        <v>2800</v>
      </c>
      <c r="AA9" s="37">
        <f t="shared" ref="AA9:AA35" si="25">IF((M9-M8&lt;0), "0",M9-M8)</f>
        <v>3660</v>
      </c>
      <c r="AB9" s="37">
        <f t="shared" ref="AB9:AB35" si="26">IF((N9-N8&lt;0), "0",N9-N8)</f>
        <v>7700</v>
      </c>
      <c r="AC9" s="37">
        <f t="shared" ref="AC9:AC35" si="27">IF((O9-O8&lt;0), "0",O9-O8)</f>
        <v>13650</v>
      </c>
      <c r="AD9" s="35">
        <f t="shared" ref="AD9:AD34" si="28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4" si="29">SUM(AF9:AR9)</f>
        <v>325.90000000000003</v>
      </c>
      <c r="AU9" s="47">
        <v>670070</v>
      </c>
      <c r="AV9" s="37">
        <f>IF((AU9-AU8&lt;0),"0",AU9-AU8)</f>
        <v>1811</v>
      </c>
      <c r="AW9" s="35">
        <f t="shared" ref="AW9:AW36" si="30">AV9*$D$40</f>
        <v>3.6219999999999999</v>
      </c>
    </row>
    <row r="10" spans="1:49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16"/>
        <v>1030</v>
      </c>
      <c r="R10" s="37">
        <f t="shared" si="17"/>
        <v>11320</v>
      </c>
      <c r="S10" s="37">
        <f t="shared" si="15"/>
        <v>20</v>
      </c>
      <c r="T10" s="37">
        <f t="shared" si="18"/>
        <v>1550</v>
      </c>
      <c r="U10" s="37">
        <f t="shared" si="19"/>
        <v>5380</v>
      </c>
      <c r="V10" s="37">
        <f t="shared" si="20"/>
        <v>4340</v>
      </c>
      <c r="W10" s="37">
        <f t="shared" si="21"/>
        <v>3150</v>
      </c>
      <c r="X10" s="37">
        <f t="shared" si="22"/>
        <v>4700</v>
      </c>
      <c r="Y10" s="37">
        <f t="shared" si="23"/>
        <v>5250</v>
      </c>
      <c r="Z10" s="37">
        <f t="shared" si="24"/>
        <v>2780</v>
      </c>
      <c r="AA10" s="37">
        <f t="shared" si="25"/>
        <v>3440</v>
      </c>
      <c r="AB10" s="37">
        <f t="shared" si="26"/>
        <v>7980</v>
      </c>
      <c r="AC10" s="37">
        <f t="shared" si="27"/>
        <v>15270</v>
      </c>
      <c r="AD10" s="35">
        <f t="shared" si="28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29"/>
        <v>331.05</v>
      </c>
      <c r="AU10" s="47">
        <v>672060</v>
      </c>
      <c r="AV10" s="37">
        <f t="shared" ref="AV10:AV26" si="31">IF((AU10-AU9&lt;0),"0",AU10-AU9)</f>
        <v>1990</v>
      </c>
      <c r="AW10" s="35">
        <f t="shared" si="30"/>
        <v>3.98</v>
      </c>
    </row>
    <row r="11" spans="1:49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16"/>
        <v>1030</v>
      </c>
      <c r="R11" s="37">
        <f t="shared" si="17"/>
        <v>11250</v>
      </c>
      <c r="S11" s="37">
        <f t="shared" si="15"/>
        <v>10</v>
      </c>
      <c r="T11" s="37">
        <f t="shared" si="18"/>
        <v>1550</v>
      </c>
      <c r="U11" s="37">
        <f t="shared" si="19"/>
        <v>6240</v>
      </c>
      <c r="V11" s="37">
        <f t="shared" si="20"/>
        <v>4390</v>
      </c>
      <c r="W11" s="37">
        <f t="shared" si="21"/>
        <v>3360</v>
      </c>
      <c r="X11" s="37">
        <f t="shared" si="22"/>
        <v>4740</v>
      </c>
      <c r="Y11" s="37">
        <f t="shared" si="23"/>
        <v>5270</v>
      </c>
      <c r="Z11" s="37">
        <f t="shared" si="24"/>
        <v>2900</v>
      </c>
      <c r="AA11" s="37">
        <f t="shared" si="25"/>
        <v>3660</v>
      </c>
      <c r="AB11" s="37">
        <f t="shared" si="26"/>
        <v>7820</v>
      </c>
      <c r="AC11" s="37">
        <f t="shared" si="27"/>
        <v>15330</v>
      </c>
      <c r="AD11" s="35">
        <f t="shared" si="28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29"/>
        <v>337.75</v>
      </c>
      <c r="AU11" s="47">
        <v>673860</v>
      </c>
      <c r="AV11" s="37">
        <f t="shared" si="31"/>
        <v>1800</v>
      </c>
      <c r="AW11" s="35">
        <f t="shared" si="30"/>
        <v>3.6</v>
      </c>
    </row>
    <row r="12" spans="1:49" x14ac:dyDescent="0.25">
      <c r="A12" s="23">
        <v>43805</v>
      </c>
      <c r="B12" s="40">
        <v>122</v>
      </c>
      <c r="C12" s="49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16"/>
        <v>1040</v>
      </c>
      <c r="R12" s="37">
        <f t="shared" si="17"/>
        <v>12150</v>
      </c>
      <c r="S12" s="37">
        <f t="shared" si="15"/>
        <v>50</v>
      </c>
      <c r="T12" s="37">
        <f t="shared" si="18"/>
        <v>1570</v>
      </c>
      <c r="U12" s="37">
        <f t="shared" si="19"/>
        <v>6750</v>
      </c>
      <c r="V12" s="37">
        <f t="shared" si="20"/>
        <v>4370</v>
      </c>
      <c r="W12" s="37">
        <f t="shared" si="21"/>
        <v>3290</v>
      </c>
      <c r="X12" s="37">
        <f t="shared" si="22"/>
        <v>4800</v>
      </c>
      <c r="Y12" s="37">
        <f t="shared" si="23"/>
        <v>5570</v>
      </c>
      <c r="Z12" s="37">
        <f t="shared" si="24"/>
        <v>2880</v>
      </c>
      <c r="AA12" s="37">
        <f t="shared" si="25"/>
        <v>4000</v>
      </c>
      <c r="AB12" s="37">
        <f t="shared" si="26"/>
        <v>7740</v>
      </c>
      <c r="AC12" s="37">
        <f t="shared" si="27"/>
        <v>15220</v>
      </c>
      <c r="AD12" s="35">
        <f t="shared" si="28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29"/>
        <v>347.15000000000003</v>
      </c>
      <c r="AU12" s="47">
        <v>675260</v>
      </c>
      <c r="AV12" s="37">
        <f t="shared" si="31"/>
        <v>1400</v>
      </c>
      <c r="AW12" s="35">
        <f t="shared" si="30"/>
        <v>2.8000000000000003</v>
      </c>
    </row>
    <row r="13" spans="1:49" x14ac:dyDescent="0.25">
      <c r="A13" s="23">
        <v>43806</v>
      </c>
      <c r="B13" s="40">
        <v>136</v>
      </c>
      <c r="C13" s="24">
        <v>5904960</v>
      </c>
      <c r="D13" s="24">
        <v>12136590</v>
      </c>
      <c r="E13" s="24">
        <v>1470300</v>
      </c>
      <c r="F13" s="24">
        <v>2609290</v>
      </c>
      <c r="G13" s="24">
        <v>7931730</v>
      </c>
      <c r="H13" s="24">
        <v>3772930</v>
      </c>
      <c r="I13" s="24">
        <v>3752080</v>
      </c>
      <c r="J13" s="24">
        <v>4250720</v>
      </c>
      <c r="K13" s="24">
        <v>6870900</v>
      </c>
      <c r="L13" s="24">
        <v>2448380</v>
      </c>
      <c r="M13" s="24">
        <v>6333980</v>
      </c>
      <c r="N13" s="24">
        <v>8665920</v>
      </c>
      <c r="O13" s="24">
        <v>11338170</v>
      </c>
      <c r="Q13" s="37">
        <f t="shared" si="16"/>
        <v>1040</v>
      </c>
      <c r="R13" s="37">
        <f t="shared" si="17"/>
        <v>12000</v>
      </c>
      <c r="S13" s="37">
        <f t="shared" si="15"/>
        <v>20</v>
      </c>
      <c r="T13" s="37">
        <f t="shared" si="18"/>
        <v>1560</v>
      </c>
      <c r="U13" s="37">
        <f t="shared" si="19"/>
        <v>6660</v>
      </c>
      <c r="V13" s="37">
        <f t="shared" si="20"/>
        <v>4400</v>
      </c>
      <c r="W13" s="37">
        <f t="shared" si="21"/>
        <v>3440</v>
      </c>
      <c r="X13" s="37">
        <f t="shared" si="22"/>
        <v>4730</v>
      </c>
      <c r="Y13" s="37">
        <f t="shared" si="23"/>
        <v>5570</v>
      </c>
      <c r="Z13" s="37">
        <f t="shared" si="24"/>
        <v>2910</v>
      </c>
      <c r="AA13" s="37">
        <f t="shared" si="25"/>
        <v>3940</v>
      </c>
      <c r="AB13" s="37">
        <f t="shared" si="26"/>
        <v>7850</v>
      </c>
      <c r="AC13" s="37">
        <f t="shared" si="27"/>
        <v>15090</v>
      </c>
      <c r="AD13" s="35">
        <f t="shared" si="28"/>
        <v>69210</v>
      </c>
      <c r="AF13" s="20">
        <f t="shared" si="1"/>
        <v>5.2</v>
      </c>
      <c r="AG13" s="20">
        <f t="shared" si="2"/>
        <v>60</v>
      </c>
      <c r="AH13" s="20">
        <f t="shared" si="3"/>
        <v>0.1</v>
      </c>
      <c r="AI13" s="20">
        <f t="shared" si="4"/>
        <v>7.8</v>
      </c>
      <c r="AJ13" s="20">
        <f t="shared" si="5"/>
        <v>33.299999999999997</v>
      </c>
      <c r="AK13" s="20">
        <f t="shared" si="6"/>
        <v>22</v>
      </c>
      <c r="AL13" s="20">
        <f t="shared" si="7"/>
        <v>17.2</v>
      </c>
      <c r="AM13" s="20">
        <f t="shared" si="8"/>
        <v>23.650000000000002</v>
      </c>
      <c r="AN13" s="20">
        <f t="shared" si="9"/>
        <v>27.85</v>
      </c>
      <c r="AO13" s="20">
        <f t="shared" si="10"/>
        <v>14.55</v>
      </c>
      <c r="AP13" s="20">
        <f t="shared" si="11"/>
        <v>19.7</v>
      </c>
      <c r="AQ13" s="20">
        <f t="shared" si="12"/>
        <v>39.25</v>
      </c>
      <c r="AR13" s="20">
        <f t="shared" si="13"/>
        <v>75.45</v>
      </c>
      <c r="AS13" s="35">
        <f t="shared" si="29"/>
        <v>346.04999999999995</v>
      </c>
      <c r="AU13" s="47">
        <v>677120</v>
      </c>
      <c r="AV13" s="37">
        <f t="shared" si="31"/>
        <v>1860</v>
      </c>
      <c r="AW13" s="35">
        <f t="shared" si="30"/>
        <v>3.72</v>
      </c>
    </row>
    <row r="14" spans="1:49" x14ac:dyDescent="0.25">
      <c r="A14" s="23">
        <v>43807</v>
      </c>
      <c r="B14" s="40">
        <v>137</v>
      </c>
      <c r="C14" s="24">
        <v>5905990</v>
      </c>
      <c r="D14" s="24">
        <v>12147310</v>
      </c>
      <c r="E14" s="24">
        <v>1470300</v>
      </c>
      <c r="F14" s="24">
        <v>2610800</v>
      </c>
      <c r="G14" s="24">
        <v>7938540</v>
      </c>
      <c r="H14" s="24">
        <v>3777430</v>
      </c>
      <c r="I14" s="24">
        <v>3755970</v>
      </c>
      <c r="J14" s="24">
        <v>4255460</v>
      </c>
      <c r="K14" s="24">
        <v>6875980</v>
      </c>
      <c r="L14" s="24">
        <v>2451190</v>
      </c>
      <c r="M14" s="24">
        <v>6337750</v>
      </c>
      <c r="N14" s="24">
        <v>8673730</v>
      </c>
      <c r="O14" s="24">
        <v>11353540</v>
      </c>
      <c r="Q14" s="37">
        <f t="shared" si="16"/>
        <v>1030</v>
      </c>
      <c r="R14" s="37">
        <f t="shared" si="17"/>
        <v>10720</v>
      </c>
      <c r="S14" s="37">
        <f t="shared" si="15"/>
        <v>0</v>
      </c>
      <c r="T14" s="37">
        <f t="shared" si="18"/>
        <v>1510</v>
      </c>
      <c r="U14" s="37">
        <f t="shared" si="19"/>
        <v>6810</v>
      </c>
      <c r="V14" s="37">
        <f t="shared" si="20"/>
        <v>4500</v>
      </c>
      <c r="W14" s="37">
        <f t="shared" si="21"/>
        <v>3890</v>
      </c>
      <c r="X14" s="37">
        <f t="shared" si="22"/>
        <v>4740</v>
      </c>
      <c r="Y14" s="37">
        <f t="shared" si="23"/>
        <v>5080</v>
      </c>
      <c r="Z14" s="37">
        <f t="shared" si="24"/>
        <v>2810</v>
      </c>
      <c r="AA14" s="37">
        <f t="shared" si="25"/>
        <v>3770</v>
      </c>
      <c r="AB14" s="37">
        <f t="shared" si="26"/>
        <v>7810</v>
      </c>
      <c r="AC14" s="37">
        <f t="shared" si="27"/>
        <v>15370</v>
      </c>
      <c r="AD14" s="35">
        <f t="shared" si="28"/>
        <v>68040</v>
      </c>
      <c r="AF14" s="20">
        <f t="shared" si="1"/>
        <v>5.15</v>
      </c>
      <c r="AG14" s="20">
        <f t="shared" si="2"/>
        <v>53.6</v>
      </c>
      <c r="AH14" s="20">
        <f t="shared" si="3"/>
        <v>0</v>
      </c>
      <c r="AI14" s="20">
        <f t="shared" si="4"/>
        <v>7.55</v>
      </c>
      <c r="AJ14" s="20">
        <f t="shared" si="5"/>
        <v>34.049999999999997</v>
      </c>
      <c r="AK14" s="20">
        <f t="shared" si="6"/>
        <v>22.5</v>
      </c>
      <c r="AL14" s="20">
        <f t="shared" si="7"/>
        <v>19.45</v>
      </c>
      <c r="AM14" s="20">
        <f t="shared" si="8"/>
        <v>23.7</v>
      </c>
      <c r="AN14" s="20">
        <f t="shared" si="9"/>
        <v>25.400000000000002</v>
      </c>
      <c r="AO14" s="20">
        <f t="shared" si="10"/>
        <v>14.05</v>
      </c>
      <c r="AP14" s="20">
        <f t="shared" si="11"/>
        <v>18.850000000000001</v>
      </c>
      <c r="AQ14" s="20">
        <f t="shared" si="12"/>
        <v>39.050000000000004</v>
      </c>
      <c r="AR14" s="20">
        <f t="shared" si="13"/>
        <v>76.850000000000009</v>
      </c>
      <c r="AS14" s="35">
        <f t="shared" si="29"/>
        <v>340.2</v>
      </c>
      <c r="AU14" s="47">
        <v>679300</v>
      </c>
      <c r="AV14" s="37">
        <f t="shared" si="31"/>
        <v>2180</v>
      </c>
      <c r="AW14" s="35">
        <f t="shared" si="30"/>
        <v>4.3600000000000003</v>
      </c>
    </row>
    <row r="15" spans="1:49" x14ac:dyDescent="0.25">
      <c r="A15" s="23">
        <v>43808</v>
      </c>
      <c r="B15" s="40">
        <v>203</v>
      </c>
      <c r="C15" s="24">
        <v>5907010</v>
      </c>
      <c r="D15" s="24">
        <v>12158050</v>
      </c>
      <c r="E15" s="24">
        <v>1470300</v>
      </c>
      <c r="F15" s="24">
        <v>2612300</v>
      </c>
      <c r="G15" s="24">
        <v>7945190</v>
      </c>
      <c r="H15" s="24">
        <v>3781850</v>
      </c>
      <c r="I15" s="24">
        <v>3759680</v>
      </c>
      <c r="J15" s="24">
        <v>4260680</v>
      </c>
      <c r="K15" s="24">
        <v>6881050</v>
      </c>
      <c r="L15" s="24">
        <v>2454060</v>
      </c>
      <c r="M15" s="24">
        <v>6341250</v>
      </c>
      <c r="N15" s="24">
        <v>8681410</v>
      </c>
      <c r="O15" s="24">
        <v>11368470</v>
      </c>
      <c r="Q15" s="37">
        <f t="shared" si="16"/>
        <v>1020</v>
      </c>
      <c r="R15" s="37">
        <f t="shared" si="17"/>
        <v>10740</v>
      </c>
      <c r="S15" s="37">
        <f t="shared" si="15"/>
        <v>0</v>
      </c>
      <c r="T15" s="37">
        <f t="shared" si="18"/>
        <v>1500</v>
      </c>
      <c r="U15" s="37">
        <f t="shared" si="19"/>
        <v>6650</v>
      </c>
      <c r="V15" s="37">
        <f t="shared" si="20"/>
        <v>4420</v>
      </c>
      <c r="W15" s="37">
        <f t="shared" si="21"/>
        <v>3710</v>
      </c>
      <c r="X15" s="37">
        <f t="shared" si="22"/>
        <v>5220</v>
      </c>
      <c r="Y15" s="37">
        <f t="shared" si="23"/>
        <v>5070</v>
      </c>
      <c r="Z15" s="37">
        <f t="shared" si="24"/>
        <v>2870</v>
      </c>
      <c r="AA15" s="37">
        <f t="shared" si="25"/>
        <v>3500</v>
      </c>
      <c r="AB15" s="37">
        <f t="shared" si="26"/>
        <v>7680</v>
      </c>
      <c r="AC15" s="37">
        <f t="shared" si="27"/>
        <v>14930</v>
      </c>
      <c r="AD15" s="35">
        <f t="shared" si="28"/>
        <v>67310</v>
      </c>
      <c r="AF15" s="20">
        <f t="shared" si="1"/>
        <v>5.1000000000000005</v>
      </c>
      <c r="AG15" s="20">
        <f t="shared" si="2"/>
        <v>53.7</v>
      </c>
      <c r="AH15" s="20">
        <f t="shared" si="3"/>
        <v>0</v>
      </c>
      <c r="AI15" s="20">
        <f t="shared" si="4"/>
        <v>7.5</v>
      </c>
      <c r="AJ15" s="20">
        <f t="shared" si="5"/>
        <v>33.25</v>
      </c>
      <c r="AK15" s="20">
        <f t="shared" si="6"/>
        <v>22.1</v>
      </c>
      <c r="AL15" s="20">
        <f t="shared" si="7"/>
        <v>18.55</v>
      </c>
      <c r="AM15" s="20">
        <f t="shared" si="8"/>
        <v>26.1</v>
      </c>
      <c r="AN15" s="20">
        <f t="shared" si="9"/>
        <v>25.35</v>
      </c>
      <c r="AO15" s="20">
        <f t="shared" si="10"/>
        <v>14.35</v>
      </c>
      <c r="AP15" s="20">
        <f t="shared" si="11"/>
        <v>17.5</v>
      </c>
      <c r="AQ15" s="20">
        <f t="shared" si="12"/>
        <v>38.4</v>
      </c>
      <c r="AR15" s="20">
        <f t="shared" si="13"/>
        <v>74.650000000000006</v>
      </c>
      <c r="AS15" s="35">
        <f t="shared" si="29"/>
        <v>336.54999999999995</v>
      </c>
      <c r="AU15" s="47">
        <v>680520</v>
      </c>
      <c r="AV15" s="37">
        <f t="shared" si="31"/>
        <v>1220</v>
      </c>
      <c r="AW15" s="35">
        <f t="shared" si="30"/>
        <v>2.44</v>
      </c>
    </row>
    <row r="16" spans="1:49" x14ac:dyDescent="0.25">
      <c r="A16" s="23">
        <v>43809</v>
      </c>
      <c r="B16" s="40">
        <v>175</v>
      </c>
      <c r="C16" s="24">
        <v>5908030</v>
      </c>
      <c r="D16" s="24">
        <v>12168390</v>
      </c>
      <c r="E16" s="24">
        <v>1470300</v>
      </c>
      <c r="F16" s="24">
        <v>2613800</v>
      </c>
      <c r="G16" s="24">
        <v>7952000</v>
      </c>
      <c r="H16" s="24">
        <v>3786180</v>
      </c>
      <c r="I16" s="24">
        <v>3762920</v>
      </c>
      <c r="J16" s="24">
        <v>4265280</v>
      </c>
      <c r="K16" s="24">
        <v>6885910</v>
      </c>
      <c r="L16" s="24">
        <v>2456890</v>
      </c>
      <c r="M16" s="24">
        <v>6344920</v>
      </c>
      <c r="N16" s="24">
        <v>8688930</v>
      </c>
      <c r="O16" s="24">
        <v>11382860</v>
      </c>
      <c r="Q16" s="37">
        <f t="shared" si="16"/>
        <v>1020</v>
      </c>
      <c r="R16" s="37">
        <f t="shared" si="17"/>
        <v>10340</v>
      </c>
      <c r="S16" s="37">
        <f t="shared" si="15"/>
        <v>0</v>
      </c>
      <c r="T16" s="37">
        <f t="shared" si="18"/>
        <v>1500</v>
      </c>
      <c r="U16" s="37">
        <f t="shared" si="19"/>
        <v>6810</v>
      </c>
      <c r="V16" s="37">
        <f t="shared" si="20"/>
        <v>4330</v>
      </c>
      <c r="W16" s="37">
        <f t="shared" si="21"/>
        <v>3240</v>
      </c>
      <c r="X16" s="37">
        <f t="shared" si="22"/>
        <v>4600</v>
      </c>
      <c r="Y16" s="37">
        <f t="shared" si="23"/>
        <v>4860</v>
      </c>
      <c r="Z16" s="37">
        <f t="shared" si="24"/>
        <v>2830</v>
      </c>
      <c r="AA16" s="37">
        <f t="shared" si="25"/>
        <v>3670</v>
      </c>
      <c r="AB16" s="37">
        <f t="shared" si="26"/>
        <v>7520</v>
      </c>
      <c r="AC16" s="37">
        <f t="shared" si="27"/>
        <v>14390</v>
      </c>
      <c r="AD16" s="35">
        <f t="shared" si="28"/>
        <v>65110</v>
      </c>
      <c r="AF16" s="20">
        <f t="shared" si="1"/>
        <v>5.1000000000000005</v>
      </c>
      <c r="AG16" s="20">
        <f t="shared" si="2"/>
        <v>51.7</v>
      </c>
      <c r="AH16" s="20">
        <f t="shared" si="3"/>
        <v>0</v>
      </c>
      <c r="AI16" s="20">
        <f t="shared" si="4"/>
        <v>7.5</v>
      </c>
      <c r="AJ16" s="20">
        <f t="shared" si="5"/>
        <v>34.049999999999997</v>
      </c>
      <c r="AK16" s="20">
        <f t="shared" si="6"/>
        <v>21.650000000000002</v>
      </c>
      <c r="AL16" s="20">
        <f t="shared" si="7"/>
        <v>16.2</v>
      </c>
      <c r="AM16" s="20">
        <f t="shared" si="8"/>
        <v>23</v>
      </c>
      <c r="AN16" s="20">
        <f t="shared" si="9"/>
        <v>24.3</v>
      </c>
      <c r="AO16" s="20">
        <f t="shared" si="10"/>
        <v>14.15</v>
      </c>
      <c r="AP16" s="20">
        <f t="shared" si="11"/>
        <v>18.350000000000001</v>
      </c>
      <c r="AQ16" s="20">
        <f t="shared" si="12"/>
        <v>37.6</v>
      </c>
      <c r="AR16" s="20">
        <f t="shared" si="13"/>
        <v>71.95</v>
      </c>
      <c r="AS16" s="35">
        <f t="shared" si="29"/>
        <v>325.55</v>
      </c>
      <c r="AU16" s="47">
        <v>681842</v>
      </c>
      <c r="AV16" s="37">
        <f t="shared" si="31"/>
        <v>1322</v>
      </c>
      <c r="AW16" s="35">
        <f t="shared" si="30"/>
        <v>2.6440000000000001</v>
      </c>
    </row>
    <row r="17" spans="1:49" x14ac:dyDescent="0.25">
      <c r="A17" s="23">
        <v>43810</v>
      </c>
      <c r="B17" s="40">
        <v>122</v>
      </c>
      <c r="C17" s="24">
        <v>5908840</v>
      </c>
      <c r="D17" s="24">
        <v>12179410</v>
      </c>
      <c r="E17" s="24">
        <v>1470300</v>
      </c>
      <c r="F17" s="24">
        <v>2615330</v>
      </c>
      <c r="G17" s="24">
        <v>7958200</v>
      </c>
      <c r="H17" s="24">
        <v>3790560</v>
      </c>
      <c r="I17" s="24">
        <v>3766160</v>
      </c>
      <c r="J17" s="24">
        <v>4269660</v>
      </c>
      <c r="K17" s="24">
        <v>6890660</v>
      </c>
      <c r="L17" s="24">
        <v>2459800</v>
      </c>
      <c r="M17" s="24">
        <v>6348390</v>
      </c>
      <c r="N17" s="24">
        <v>8696670</v>
      </c>
      <c r="O17" s="24">
        <v>11397620</v>
      </c>
      <c r="Q17" s="37">
        <f t="shared" si="16"/>
        <v>810</v>
      </c>
      <c r="R17" s="37">
        <f t="shared" si="17"/>
        <v>11020</v>
      </c>
      <c r="S17" s="37">
        <f t="shared" si="15"/>
        <v>0</v>
      </c>
      <c r="T17" s="37">
        <f t="shared" si="18"/>
        <v>1530</v>
      </c>
      <c r="U17" s="37">
        <f t="shared" si="19"/>
        <v>6200</v>
      </c>
      <c r="V17" s="37">
        <f t="shared" si="20"/>
        <v>4380</v>
      </c>
      <c r="W17" s="37">
        <f t="shared" si="21"/>
        <v>3240</v>
      </c>
      <c r="X17" s="37">
        <f t="shared" si="22"/>
        <v>4380</v>
      </c>
      <c r="Y17" s="37">
        <f t="shared" si="23"/>
        <v>4750</v>
      </c>
      <c r="Z17" s="37">
        <f t="shared" si="24"/>
        <v>2910</v>
      </c>
      <c r="AA17" s="37">
        <f t="shared" si="25"/>
        <v>3470</v>
      </c>
      <c r="AB17" s="37">
        <f t="shared" si="26"/>
        <v>7740</v>
      </c>
      <c r="AC17" s="37">
        <f t="shared" si="27"/>
        <v>14760</v>
      </c>
      <c r="AD17" s="35">
        <f t="shared" si="28"/>
        <v>65190</v>
      </c>
      <c r="AF17" s="20">
        <f t="shared" si="1"/>
        <v>4.05</v>
      </c>
      <c r="AG17" s="20">
        <f t="shared" si="2"/>
        <v>55.1</v>
      </c>
      <c r="AH17" s="20">
        <f t="shared" si="3"/>
        <v>0</v>
      </c>
      <c r="AI17" s="20">
        <f t="shared" si="4"/>
        <v>7.65</v>
      </c>
      <c r="AJ17" s="20">
        <f t="shared" si="5"/>
        <v>31</v>
      </c>
      <c r="AK17" s="20">
        <f t="shared" si="6"/>
        <v>21.900000000000002</v>
      </c>
      <c r="AL17" s="20">
        <f t="shared" si="7"/>
        <v>16.2</v>
      </c>
      <c r="AM17" s="20">
        <f t="shared" si="8"/>
        <v>21.900000000000002</v>
      </c>
      <c r="AN17" s="20">
        <f t="shared" si="9"/>
        <v>23.75</v>
      </c>
      <c r="AO17" s="20">
        <f t="shared" si="10"/>
        <v>14.55</v>
      </c>
      <c r="AP17" s="20">
        <f t="shared" si="11"/>
        <v>17.350000000000001</v>
      </c>
      <c r="AQ17" s="20">
        <f t="shared" si="12"/>
        <v>38.700000000000003</v>
      </c>
      <c r="AR17" s="20">
        <f t="shared" si="13"/>
        <v>73.8</v>
      </c>
      <c r="AS17" s="35">
        <f t="shared" si="29"/>
        <v>325.95000000000005</v>
      </c>
      <c r="AU17" s="47">
        <v>684070</v>
      </c>
      <c r="AV17" s="37">
        <f t="shared" si="31"/>
        <v>2228</v>
      </c>
      <c r="AW17" s="35">
        <f t="shared" si="30"/>
        <v>4.4560000000000004</v>
      </c>
    </row>
    <row r="18" spans="1:49" x14ac:dyDescent="0.25">
      <c r="A18" s="23">
        <v>43811</v>
      </c>
      <c r="B18" s="40">
        <v>199</v>
      </c>
      <c r="C18" s="24">
        <v>5909380</v>
      </c>
      <c r="D18" s="24">
        <v>12191290</v>
      </c>
      <c r="E18" s="24">
        <v>1470300</v>
      </c>
      <c r="F18" s="24">
        <v>2616850</v>
      </c>
      <c r="G18" s="24">
        <v>7964890</v>
      </c>
      <c r="H18" s="24">
        <v>3795040</v>
      </c>
      <c r="I18" s="24">
        <v>3769950</v>
      </c>
      <c r="J18" s="24">
        <v>4273000</v>
      </c>
      <c r="K18" s="24">
        <v>6895600</v>
      </c>
      <c r="L18" s="24">
        <v>2462730</v>
      </c>
      <c r="M18" s="24">
        <v>6352340</v>
      </c>
      <c r="N18" s="24">
        <v>8704420</v>
      </c>
      <c r="O18" s="24">
        <v>11412760</v>
      </c>
      <c r="Q18" s="37">
        <f t="shared" si="16"/>
        <v>540</v>
      </c>
      <c r="R18" s="37">
        <f t="shared" si="17"/>
        <v>11880</v>
      </c>
      <c r="S18" s="37">
        <f t="shared" si="15"/>
        <v>0</v>
      </c>
      <c r="T18" s="37">
        <f t="shared" si="18"/>
        <v>1520</v>
      </c>
      <c r="U18" s="37">
        <f t="shared" si="19"/>
        <v>6690</v>
      </c>
      <c r="V18" s="37">
        <f t="shared" si="20"/>
        <v>4480</v>
      </c>
      <c r="W18" s="37">
        <f t="shared" si="21"/>
        <v>3790</v>
      </c>
      <c r="X18" s="37">
        <f t="shared" si="22"/>
        <v>3340</v>
      </c>
      <c r="Y18" s="37">
        <f t="shared" si="23"/>
        <v>4940</v>
      </c>
      <c r="Z18" s="37">
        <f t="shared" si="24"/>
        <v>2930</v>
      </c>
      <c r="AA18" s="37">
        <f t="shared" si="25"/>
        <v>3950</v>
      </c>
      <c r="AB18" s="37">
        <f t="shared" si="26"/>
        <v>7750</v>
      </c>
      <c r="AC18" s="37">
        <f t="shared" si="27"/>
        <v>15140</v>
      </c>
      <c r="AD18" s="35">
        <f t="shared" si="28"/>
        <v>66950</v>
      </c>
      <c r="AF18" s="20">
        <f t="shared" si="1"/>
        <v>2.7</v>
      </c>
      <c r="AG18" s="20">
        <f t="shared" si="2"/>
        <v>59.4</v>
      </c>
      <c r="AH18" s="20">
        <f t="shared" si="3"/>
        <v>0</v>
      </c>
      <c r="AI18" s="20">
        <f t="shared" si="4"/>
        <v>7.6000000000000005</v>
      </c>
      <c r="AJ18" s="20">
        <f t="shared" si="5"/>
        <v>33.450000000000003</v>
      </c>
      <c r="AK18" s="20">
        <f t="shared" si="6"/>
        <v>22.400000000000002</v>
      </c>
      <c r="AL18" s="20">
        <f t="shared" si="7"/>
        <v>18.95</v>
      </c>
      <c r="AM18" s="20">
        <f t="shared" si="8"/>
        <v>16.7</v>
      </c>
      <c r="AN18" s="20">
        <f t="shared" si="9"/>
        <v>24.7</v>
      </c>
      <c r="AO18" s="20">
        <f t="shared" si="10"/>
        <v>14.65</v>
      </c>
      <c r="AP18" s="20">
        <f t="shared" si="11"/>
        <v>19.75</v>
      </c>
      <c r="AQ18" s="20">
        <f t="shared" si="12"/>
        <v>38.75</v>
      </c>
      <c r="AR18" s="20">
        <f t="shared" si="13"/>
        <v>75.7</v>
      </c>
      <c r="AS18" s="35">
        <f t="shared" si="29"/>
        <v>334.74999999999994</v>
      </c>
      <c r="AU18" s="47">
        <v>685509</v>
      </c>
      <c r="AV18" s="37">
        <f t="shared" si="31"/>
        <v>1439</v>
      </c>
      <c r="AW18" s="35">
        <f t="shared" si="30"/>
        <v>2.8780000000000001</v>
      </c>
    </row>
    <row r="19" spans="1:49" x14ac:dyDescent="0.25">
      <c r="A19" s="23">
        <v>43812</v>
      </c>
      <c r="B19" s="40">
        <v>167</v>
      </c>
      <c r="C19" s="24">
        <v>5909900</v>
      </c>
      <c r="D19" s="24">
        <v>12203320</v>
      </c>
      <c r="E19" s="24">
        <v>1470300</v>
      </c>
      <c r="F19" s="24">
        <v>2618340</v>
      </c>
      <c r="G19" s="24">
        <v>7971830</v>
      </c>
      <c r="H19" s="24">
        <v>3799290</v>
      </c>
      <c r="I19" s="24">
        <v>3773470</v>
      </c>
      <c r="J19" s="24">
        <v>4278280</v>
      </c>
      <c r="K19" s="24">
        <v>6900410</v>
      </c>
      <c r="L19" s="24">
        <v>2465590</v>
      </c>
      <c r="M19" s="24">
        <v>6356010</v>
      </c>
      <c r="N19" s="24">
        <v>8712190</v>
      </c>
      <c r="O19" s="24">
        <v>11427130</v>
      </c>
      <c r="Q19" s="37">
        <f t="shared" si="16"/>
        <v>520</v>
      </c>
      <c r="R19" s="37">
        <f t="shared" si="17"/>
        <v>12030</v>
      </c>
      <c r="S19" s="37">
        <f t="shared" si="15"/>
        <v>0</v>
      </c>
      <c r="T19" s="37">
        <f t="shared" si="18"/>
        <v>1490</v>
      </c>
      <c r="U19" s="37">
        <f t="shared" si="19"/>
        <v>6940</v>
      </c>
      <c r="V19" s="37">
        <f t="shared" si="20"/>
        <v>4250</v>
      </c>
      <c r="W19" s="37">
        <f t="shared" si="21"/>
        <v>3520</v>
      </c>
      <c r="X19" s="37">
        <f t="shared" si="22"/>
        <v>5280</v>
      </c>
      <c r="Y19" s="37">
        <f t="shared" si="23"/>
        <v>4810</v>
      </c>
      <c r="Z19" s="37">
        <f t="shared" si="24"/>
        <v>2860</v>
      </c>
      <c r="AA19" s="37">
        <f t="shared" si="25"/>
        <v>3670</v>
      </c>
      <c r="AB19" s="37">
        <f t="shared" si="26"/>
        <v>7770</v>
      </c>
      <c r="AC19" s="37">
        <f t="shared" si="27"/>
        <v>14370</v>
      </c>
      <c r="AD19" s="35">
        <f t="shared" si="28"/>
        <v>67510</v>
      </c>
      <c r="AF19" s="20">
        <f t="shared" si="1"/>
        <v>2.6</v>
      </c>
      <c r="AG19" s="20">
        <f t="shared" si="2"/>
        <v>60.15</v>
      </c>
      <c r="AH19" s="20">
        <f t="shared" si="3"/>
        <v>0</v>
      </c>
      <c r="AI19" s="20">
        <f t="shared" si="4"/>
        <v>7.45</v>
      </c>
      <c r="AJ19" s="20">
        <f t="shared" si="5"/>
        <v>34.700000000000003</v>
      </c>
      <c r="AK19" s="20">
        <f t="shared" si="6"/>
        <v>21.25</v>
      </c>
      <c r="AL19" s="20">
        <f t="shared" si="7"/>
        <v>17.600000000000001</v>
      </c>
      <c r="AM19" s="20">
        <f t="shared" si="8"/>
        <v>26.400000000000002</v>
      </c>
      <c r="AN19" s="20">
        <f t="shared" si="9"/>
        <v>24.05</v>
      </c>
      <c r="AO19" s="20">
        <f t="shared" si="10"/>
        <v>14.3</v>
      </c>
      <c r="AP19" s="20">
        <f t="shared" si="11"/>
        <v>18.350000000000001</v>
      </c>
      <c r="AQ19" s="20">
        <f t="shared" si="12"/>
        <v>38.85</v>
      </c>
      <c r="AR19" s="20">
        <f t="shared" si="13"/>
        <v>71.850000000000009</v>
      </c>
      <c r="AS19" s="35">
        <f t="shared" si="29"/>
        <v>337.55000000000007</v>
      </c>
      <c r="AU19" s="47">
        <v>687171</v>
      </c>
      <c r="AV19" s="37">
        <f t="shared" si="31"/>
        <v>1662</v>
      </c>
      <c r="AW19" s="35">
        <f t="shared" si="30"/>
        <v>3.3240000000000003</v>
      </c>
    </row>
    <row r="20" spans="1:49" x14ac:dyDescent="0.25">
      <c r="A20" s="23">
        <v>43813</v>
      </c>
      <c r="B20" s="40">
        <v>125</v>
      </c>
      <c r="C20" s="24">
        <v>5910430</v>
      </c>
      <c r="D20" s="24">
        <v>12214830</v>
      </c>
      <c r="E20" s="24">
        <v>1470300</v>
      </c>
      <c r="F20" s="24">
        <v>2619830</v>
      </c>
      <c r="G20" s="24">
        <v>7978090</v>
      </c>
      <c r="H20" s="24">
        <v>3803530</v>
      </c>
      <c r="I20" s="24">
        <v>3777260</v>
      </c>
      <c r="J20" s="24">
        <v>4282630</v>
      </c>
      <c r="K20" s="24">
        <v>6905220</v>
      </c>
      <c r="L20" s="24">
        <v>2468350</v>
      </c>
      <c r="M20" s="24">
        <v>6359710</v>
      </c>
      <c r="N20" s="24">
        <v>8719950</v>
      </c>
      <c r="O20" s="24">
        <v>11442120</v>
      </c>
      <c r="Q20" s="37">
        <f t="shared" si="16"/>
        <v>530</v>
      </c>
      <c r="R20" s="37">
        <f t="shared" si="17"/>
        <v>11510</v>
      </c>
      <c r="S20" s="37">
        <f t="shared" si="15"/>
        <v>0</v>
      </c>
      <c r="T20" s="37">
        <f t="shared" si="18"/>
        <v>1490</v>
      </c>
      <c r="U20" s="37">
        <f t="shared" si="19"/>
        <v>6260</v>
      </c>
      <c r="V20" s="37">
        <f t="shared" si="20"/>
        <v>4240</v>
      </c>
      <c r="W20" s="37">
        <f t="shared" si="21"/>
        <v>3790</v>
      </c>
      <c r="X20" s="37">
        <f t="shared" si="22"/>
        <v>4350</v>
      </c>
      <c r="Y20" s="37">
        <f t="shared" si="23"/>
        <v>4810</v>
      </c>
      <c r="Z20" s="37">
        <f t="shared" si="24"/>
        <v>2760</v>
      </c>
      <c r="AA20" s="37">
        <f t="shared" si="25"/>
        <v>3700</v>
      </c>
      <c r="AB20" s="37">
        <f t="shared" si="26"/>
        <v>7760</v>
      </c>
      <c r="AC20" s="37">
        <f t="shared" si="27"/>
        <v>14990</v>
      </c>
      <c r="AD20" s="35">
        <f t="shared" si="28"/>
        <v>66190</v>
      </c>
      <c r="AF20" s="20">
        <f t="shared" si="1"/>
        <v>2.65</v>
      </c>
      <c r="AG20" s="20">
        <f t="shared" si="2"/>
        <v>57.550000000000004</v>
      </c>
      <c r="AH20" s="20">
        <f t="shared" si="3"/>
        <v>0</v>
      </c>
      <c r="AI20" s="20">
        <f t="shared" si="4"/>
        <v>7.45</v>
      </c>
      <c r="AJ20" s="20">
        <f t="shared" si="5"/>
        <v>31.3</v>
      </c>
      <c r="AK20" s="20">
        <f t="shared" si="6"/>
        <v>21.2</v>
      </c>
      <c r="AL20" s="20">
        <f t="shared" si="7"/>
        <v>18.95</v>
      </c>
      <c r="AM20" s="20">
        <f t="shared" si="8"/>
        <v>21.75</v>
      </c>
      <c r="AN20" s="20">
        <f t="shared" si="9"/>
        <v>24.05</v>
      </c>
      <c r="AO20" s="20">
        <f t="shared" si="10"/>
        <v>13.8</v>
      </c>
      <c r="AP20" s="20">
        <f t="shared" si="11"/>
        <v>18.5</v>
      </c>
      <c r="AQ20" s="20">
        <f t="shared" si="12"/>
        <v>38.800000000000004</v>
      </c>
      <c r="AR20" s="20">
        <f t="shared" si="13"/>
        <v>74.95</v>
      </c>
      <c r="AS20" s="35">
        <f t="shared" si="29"/>
        <v>330.95</v>
      </c>
      <c r="AU20" s="47">
        <v>688540</v>
      </c>
      <c r="AV20" s="37">
        <f t="shared" si="31"/>
        <v>1369</v>
      </c>
      <c r="AW20" s="35">
        <f t="shared" si="30"/>
        <v>2.738</v>
      </c>
    </row>
    <row r="21" spans="1:49" x14ac:dyDescent="0.25">
      <c r="A21" s="23">
        <v>43814</v>
      </c>
      <c r="B21" s="40">
        <v>148</v>
      </c>
      <c r="C21" s="24">
        <v>5910970</v>
      </c>
      <c r="D21" s="24">
        <v>12226570</v>
      </c>
      <c r="E21" s="24">
        <v>1470300</v>
      </c>
      <c r="F21" s="24">
        <v>2621350</v>
      </c>
      <c r="G21" s="24">
        <v>7984280</v>
      </c>
      <c r="H21" s="24">
        <v>3807920</v>
      </c>
      <c r="I21" s="24">
        <v>3780430</v>
      </c>
      <c r="J21" s="24">
        <v>4287100</v>
      </c>
      <c r="K21" s="24">
        <v>6910020</v>
      </c>
      <c r="L21" s="24">
        <v>2471100</v>
      </c>
      <c r="M21" s="24">
        <v>6363340</v>
      </c>
      <c r="N21" s="24">
        <v>8728080</v>
      </c>
      <c r="O21" s="24">
        <v>11457160</v>
      </c>
      <c r="Q21" s="37">
        <f t="shared" si="16"/>
        <v>540</v>
      </c>
      <c r="R21" s="37">
        <f t="shared" si="17"/>
        <v>11740</v>
      </c>
      <c r="S21" s="37">
        <f t="shared" si="15"/>
        <v>0</v>
      </c>
      <c r="T21" s="37">
        <f t="shared" si="18"/>
        <v>1520</v>
      </c>
      <c r="U21" s="37">
        <f t="shared" si="19"/>
        <v>6190</v>
      </c>
      <c r="V21" s="37">
        <f t="shared" si="20"/>
        <v>4390</v>
      </c>
      <c r="W21" s="37">
        <f t="shared" si="21"/>
        <v>3170</v>
      </c>
      <c r="X21" s="37">
        <f t="shared" si="22"/>
        <v>4470</v>
      </c>
      <c r="Y21" s="37">
        <f t="shared" si="23"/>
        <v>4800</v>
      </c>
      <c r="Z21" s="37">
        <f t="shared" si="24"/>
        <v>2750</v>
      </c>
      <c r="AA21" s="37">
        <f t="shared" si="25"/>
        <v>3630</v>
      </c>
      <c r="AB21" s="37">
        <f t="shared" si="26"/>
        <v>8130</v>
      </c>
      <c r="AC21" s="37">
        <f t="shared" si="27"/>
        <v>15040</v>
      </c>
      <c r="AD21" s="35">
        <f t="shared" si="28"/>
        <v>66370</v>
      </c>
      <c r="AF21" s="20">
        <f t="shared" si="1"/>
        <v>2.7</v>
      </c>
      <c r="AG21" s="20">
        <f t="shared" si="2"/>
        <v>58.7</v>
      </c>
      <c r="AH21" s="20">
        <f t="shared" si="3"/>
        <v>0</v>
      </c>
      <c r="AI21" s="20">
        <f t="shared" si="4"/>
        <v>7.6000000000000005</v>
      </c>
      <c r="AJ21" s="20">
        <f t="shared" si="5"/>
        <v>30.95</v>
      </c>
      <c r="AK21" s="20">
        <f t="shared" si="6"/>
        <v>21.95</v>
      </c>
      <c r="AL21" s="20">
        <f t="shared" si="7"/>
        <v>15.85</v>
      </c>
      <c r="AM21" s="20">
        <f t="shared" si="8"/>
        <v>22.35</v>
      </c>
      <c r="AN21" s="20">
        <f t="shared" si="9"/>
        <v>24</v>
      </c>
      <c r="AO21" s="20">
        <f t="shared" si="10"/>
        <v>13.75</v>
      </c>
      <c r="AP21" s="20">
        <f t="shared" si="11"/>
        <v>18.150000000000002</v>
      </c>
      <c r="AQ21" s="20">
        <f t="shared" si="12"/>
        <v>40.65</v>
      </c>
      <c r="AR21" s="20">
        <f t="shared" si="13"/>
        <v>75.2</v>
      </c>
      <c r="AS21" s="35">
        <f t="shared" si="29"/>
        <v>331.84999999999997</v>
      </c>
      <c r="AU21" s="47">
        <v>690367</v>
      </c>
      <c r="AV21" s="37">
        <f t="shared" si="31"/>
        <v>1827</v>
      </c>
      <c r="AW21" s="35">
        <f t="shared" si="30"/>
        <v>3.6539999999999999</v>
      </c>
    </row>
    <row r="22" spans="1:49" x14ac:dyDescent="0.25">
      <c r="A22" s="23">
        <v>43815</v>
      </c>
      <c r="B22" s="40">
        <v>193</v>
      </c>
      <c r="C22" s="24">
        <v>5911500</v>
      </c>
      <c r="D22" s="24">
        <v>12238180</v>
      </c>
      <c r="E22" s="24">
        <v>1470300</v>
      </c>
      <c r="F22" s="24">
        <v>2622840</v>
      </c>
      <c r="G22" s="24">
        <v>7990450</v>
      </c>
      <c r="H22" s="24">
        <v>3812290</v>
      </c>
      <c r="I22" s="24">
        <v>3783850</v>
      </c>
      <c r="J22" s="44">
        <v>4291310</v>
      </c>
      <c r="K22" s="24">
        <v>6914640</v>
      </c>
      <c r="L22" s="24">
        <v>2474030</v>
      </c>
      <c r="M22" s="24">
        <v>6366970</v>
      </c>
      <c r="N22" s="24">
        <v>8736110</v>
      </c>
      <c r="O22" s="44">
        <v>11471660</v>
      </c>
      <c r="Q22" s="37">
        <f t="shared" si="16"/>
        <v>530</v>
      </c>
      <c r="R22" s="37">
        <f t="shared" si="17"/>
        <v>11610</v>
      </c>
      <c r="S22" s="37">
        <f t="shared" si="15"/>
        <v>0</v>
      </c>
      <c r="T22" s="37">
        <f t="shared" si="18"/>
        <v>1490</v>
      </c>
      <c r="U22" s="37">
        <f t="shared" si="19"/>
        <v>6170</v>
      </c>
      <c r="V22" s="37">
        <f t="shared" si="20"/>
        <v>4370</v>
      </c>
      <c r="W22" s="37">
        <f t="shared" si="21"/>
        <v>3420</v>
      </c>
      <c r="X22" s="37">
        <f t="shared" si="22"/>
        <v>4210</v>
      </c>
      <c r="Y22" s="37">
        <f t="shared" si="23"/>
        <v>4620</v>
      </c>
      <c r="Z22" s="37">
        <f t="shared" si="24"/>
        <v>2930</v>
      </c>
      <c r="AA22" s="37">
        <f t="shared" si="25"/>
        <v>3630</v>
      </c>
      <c r="AB22" s="37">
        <f t="shared" si="26"/>
        <v>8030</v>
      </c>
      <c r="AC22" s="37">
        <f t="shared" si="27"/>
        <v>14500</v>
      </c>
      <c r="AD22" s="35">
        <f t="shared" si="28"/>
        <v>65510</v>
      </c>
      <c r="AF22" s="20">
        <f t="shared" si="1"/>
        <v>2.65</v>
      </c>
      <c r="AG22" s="20">
        <f t="shared" si="2"/>
        <v>58.050000000000004</v>
      </c>
      <c r="AH22" s="20">
        <f t="shared" si="3"/>
        <v>0</v>
      </c>
      <c r="AI22" s="20">
        <f t="shared" si="4"/>
        <v>7.45</v>
      </c>
      <c r="AJ22" s="20">
        <f t="shared" si="5"/>
        <v>30.85</v>
      </c>
      <c r="AK22" s="20">
        <f t="shared" si="6"/>
        <v>21.85</v>
      </c>
      <c r="AL22" s="20">
        <f t="shared" si="7"/>
        <v>17.100000000000001</v>
      </c>
      <c r="AM22" s="20">
        <f t="shared" si="8"/>
        <v>21.05</v>
      </c>
      <c r="AN22" s="20">
        <f t="shared" si="9"/>
        <v>23.1</v>
      </c>
      <c r="AO22" s="20">
        <f t="shared" si="10"/>
        <v>14.65</v>
      </c>
      <c r="AP22" s="20">
        <f t="shared" si="11"/>
        <v>18.150000000000002</v>
      </c>
      <c r="AQ22" s="20">
        <f t="shared" si="12"/>
        <v>40.15</v>
      </c>
      <c r="AR22" s="20">
        <f t="shared" si="13"/>
        <v>72.5</v>
      </c>
      <c r="AS22" s="35">
        <f t="shared" si="29"/>
        <v>327.55</v>
      </c>
      <c r="AU22" s="47">
        <v>691836</v>
      </c>
      <c r="AV22" s="37">
        <f t="shared" si="31"/>
        <v>1469</v>
      </c>
      <c r="AW22" s="35">
        <f t="shared" si="30"/>
        <v>2.9380000000000002</v>
      </c>
    </row>
    <row r="23" spans="1:49" x14ac:dyDescent="0.25">
      <c r="A23" s="23">
        <v>43816</v>
      </c>
      <c r="B23" s="40">
        <v>186</v>
      </c>
      <c r="C23" s="24">
        <v>5912040</v>
      </c>
      <c r="D23" s="24">
        <v>12249020</v>
      </c>
      <c r="E23" s="24">
        <v>1470300</v>
      </c>
      <c r="F23" s="24">
        <v>2624330</v>
      </c>
      <c r="G23" s="24">
        <v>7997090</v>
      </c>
      <c r="H23" s="24">
        <v>3816850</v>
      </c>
      <c r="I23" s="24">
        <v>3787290</v>
      </c>
      <c r="J23" s="24">
        <v>4295670</v>
      </c>
      <c r="K23" s="24">
        <v>6919380</v>
      </c>
      <c r="L23" s="24">
        <v>2476920</v>
      </c>
      <c r="M23" s="24">
        <v>6370630</v>
      </c>
      <c r="N23" s="24">
        <v>8744260</v>
      </c>
      <c r="O23" s="24">
        <v>11486390</v>
      </c>
      <c r="Q23" s="37">
        <f t="shared" si="16"/>
        <v>540</v>
      </c>
      <c r="R23" s="37">
        <f t="shared" si="17"/>
        <v>10840</v>
      </c>
      <c r="S23" s="37">
        <f t="shared" si="15"/>
        <v>0</v>
      </c>
      <c r="T23" s="37">
        <f t="shared" si="18"/>
        <v>1490</v>
      </c>
      <c r="U23" s="37">
        <f t="shared" si="19"/>
        <v>6640</v>
      </c>
      <c r="V23" s="37">
        <f t="shared" si="20"/>
        <v>4560</v>
      </c>
      <c r="W23" s="37">
        <f t="shared" si="21"/>
        <v>3440</v>
      </c>
      <c r="X23" s="37">
        <f t="shared" si="22"/>
        <v>4360</v>
      </c>
      <c r="Y23" s="37">
        <f t="shared" si="23"/>
        <v>4740</v>
      </c>
      <c r="Z23" s="37">
        <f t="shared" si="24"/>
        <v>2890</v>
      </c>
      <c r="AA23" s="37">
        <f t="shared" si="25"/>
        <v>3660</v>
      </c>
      <c r="AB23" s="37">
        <f t="shared" si="26"/>
        <v>8150</v>
      </c>
      <c r="AC23" s="37">
        <f t="shared" si="27"/>
        <v>14730</v>
      </c>
      <c r="AD23" s="35">
        <f t="shared" si="28"/>
        <v>66040</v>
      </c>
      <c r="AF23" s="20">
        <f t="shared" si="1"/>
        <v>2.7</v>
      </c>
      <c r="AG23" s="20">
        <f t="shared" si="2"/>
        <v>54.2</v>
      </c>
      <c r="AH23" s="20">
        <f t="shared" si="3"/>
        <v>0</v>
      </c>
      <c r="AI23" s="20">
        <f t="shared" si="4"/>
        <v>7.45</v>
      </c>
      <c r="AJ23" s="20">
        <f t="shared" si="5"/>
        <v>33.200000000000003</v>
      </c>
      <c r="AK23" s="20">
        <f t="shared" si="6"/>
        <v>22.8</v>
      </c>
      <c r="AL23" s="20">
        <f t="shared" si="7"/>
        <v>17.2</v>
      </c>
      <c r="AM23" s="20">
        <f t="shared" si="8"/>
        <v>21.8</v>
      </c>
      <c r="AN23" s="20">
        <f t="shared" si="9"/>
        <v>23.7</v>
      </c>
      <c r="AO23" s="20">
        <f t="shared" si="10"/>
        <v>14.450000000000001</v>
      </c>
      <c r="AP23" s="20">
        <f t="shared" si="11"/>
        <v>18.3</v>
      </c>
      <c r="AQ23" s="20">
        <f t="shared" si="12"/>
        <v>40.75</v>
      </c>
      <c r="AR23" s="20">
        <f t="shared" si="13"/>
        <v>73.650000000000006</v>
      </c>
      <c r="AS23" s="35">
        <f t="shared" si="29"/>
        <v>330.20000000000005</v>
      </c>
      <c r="AU23" s="47">
        <v>693618</v>
      </c>
      <c r="AV23" s="37">
        <f t="shared" si="31"/>
        <v>1782</v>
      </c>
      <c r="AW23" s="35">
        <f t="shared" si="30"/>
        <v>3.5640000000000001</v>
      </c>
    </row>
    <row r="24" spans="1:49" x14ac:dyDescent="0.25">
      <c r="A24" s="23">
        <v>43817</v>
      </c>
      <c r="B24" s="40">
        <v>195</v>
      </c>
      <c r="C24" s="24">
        <v>5915890</v>
      </c>
      <c r="D24" s="24">
        <v>12256410</v>
      </c>
      <c r="E24" s="24">
        <v>1470300</v>
      </c>
      <c r="F24" s="24">
        <v>2625830</v>
      </c>
      <c r="G24" s="24">
        <v>8003810</v>
      </c>
      <c r="H24" s="24">
        <v>3821580</v>
      </c>
      <c r="I24" s="24">
        <v>3790840</v>
      </c>
      <c r="J24" s="24">
        <v>4300070</v>
      </c>
      <c r="K24" s="24">
        <v>6924380</v>
      </c>
      <c r="L24" s="24">
        <v>2479840</v>
      </c>
      <c r="M24" s="24">
        <v>6374200</v>
      </c>
      <c r="N24" s="24">
        <v>8752420</v>
      </c>
      <c r="O24" s="24">
        <v>11501390</v>
      </c>
      <c r="Q24" s="37">
        <f t="shared" si="16"/>
        <v>3850</v>
      </c>
      <c r="R24" s="37">
        <f t="shared" si="17"/>
        <v>7390</v>
      </c>
      <c r="S24" s="37">
        <f t="shared" si="15"/>
        <v>0</v>
      </c>
      <c r="T24" s="37">
        <f t="shared" si="18"/>
        <v>1500</v>
      </c>
      <c r="U24" s="37">
        <f t="shared" si="19"/>
        <v>6720</v>
      </c>
      <c r="V24" s="37">
        <f t="shared" si="20"/>
        <v>4730</v>
      </c>
      <c r="W24" s="37">
        <f t="shared" si="21"/>
        <v>3550</v>
      </c>
      <c r="X24" s="37">
        <f t="shared" si="22"/>
        <v>4400</v>
      </c>
      <c r="Y24" s="37">
        <f t="shared" si="23"/>
        <v>5000</v>
      </c>
      <c r="Z24" s="37">
        <f t="shared" si="24"/>
        <v>2920</v>
      </c>
      <c r="AA24" s="37">
        <f t="shared" si="25"/>
        <v>3570</v>
      </c>
      <c r="AB24" s="37">
        <f t="shared" si="26"/>
        <v>8160</v>
      </c>
      <c r="AC24" s="37">
        <f t="shared" si="27"/>
        <v>15000</v>
      </c>
      <c r="AD24" s="35">
        <f t="shared" si="28"/>
        <v>66790</v>
      </c>
      <c r="AF24" s="20">
        <f t="shared" si="1"/>
        <v>19.25</v>
      </c>
      <c r="AG24" s="20">
        <f t="shared" si="2"/>
        <v>36.950000000000003</v>
      </c>
      <c r="AH24" s="20">
        <f t="shared" si="3"/>
        <v>0</v>
      </c>
      <c r="AI24" s="20">
        <f t="shared" si="4"/>
        <v>7.5</v>
      </c>
      <c r="AJ24" s="20">
        <f t="shared" si="5"/>
        <v>33.6</v>
      </c>
      <c r="AK24" s="20">
        <f t="shared" si="6"/>
        <v>23.650000000000002</v>
      </c>
      <c r="AL24" s="20">
        <f t="shared" si="7"/>
        <v>17.75</v>
      </c>
      <c r="AM24" s="20">
        <f t="shared" si="8"/>
        <v>22</v>
      </c>
      <c r="AN24" s="20">
        <f t="shared" si="9"/>
        <v>25</v>
      </c>
      <c r="AO24" s="20">
        <f t="shared" si="10"/>
        <v>14.6</v>
      </c>
      <c r="AP24" s="20">
        <f t="shared" si="11"/>
        <v>17.850000000000001</v>
      </c>
      <c r="AQ24" s="20">
        <f t="shared" si="12"/>
        <v>40.800000000000004</v>
      </c>
      <c r="AR24" s="20">
        <f t="shared" si="13"/>
        <v>75</v>
      </c>
      <c r="AS24" s="35">
        <f t="shared" si="29"/>
        <v>333.95</v>
      </c>
      <c r="AU24" s="47">
        <v>695688</v>
      </c>
      <c r="AV24" s="37">
        <f t="shared" si="31"/>
        <v>2070</v>
      </c>
      <c r="AW24" s="35">
        <f t="shared" si="30"/>
        <v>4.1399999999999997</v>
      </c>
    </row>
    <row r="25" spans="1:49" x14ac:dyDescent="0.25">
      <c r="A25" s="23">
        <v>43818</v>
      </c>
      <c r="B25" s="40">
        <v>217</v>
      </c>
      <c r="C25" s="24">
        <v>5916420</v>
      </c>
      <c r="D25" s="24">
        <v>12267770</v>
      </c>
      <c r="E25" s="24">
        <v>1470300</v>
      </c>
      <c r="F25" s="24">
        <v>2627370</v>
      </c>
      <c r="G25" s="24">
        <v>8010650</v>
      </c>
      <c r="H25" s="24">
        <v>3826410</v>
      </c>
      <c r="I25" s="24">
        <v>3794840</v>
      </c>
      <c r="J25" s="24">
        <v>4304680</v>
      </c>
      <c r="K25" s="24">
        <v>6929610</v>
      </c>
      <c r="L25" s="24">
        <v>2482820</v>
      </c>
      <c r="M25" s="24">
        <v>6378130</v>
      </c>
      <c r="N25" s="24">
        <v>8760640</v>
      </c>
      <c r="O25" s="24">
        <v>11516490</v>
      </c>
      <c r="Q25" s="37">
        <f t="shared" ref="Q25:AC27" si="32">IF((C25-C24&lt;0), "0",C25-C24)</f>
        <v>530</v>
      </c>
      <c r="R25" s="37">
        <f t="shared" si="32"/>
        <v>11360</v>
      </c>
      <c r="S25" s="37">
        <f t="shared" si="32"/>
        <v>0</v>
      </c>
      <c r="T25" s="37">
        <f t="shared" si="32"/>
        <v>1540</v>
      </c>
      <c r="U25" s="37">
        <f t="shared" si="32"/>
        <v>6840</v>
      </c>
      <c r="V25" s="37">
        <f t="shared" si="32"/>
        <v>4830</v>
      </c>
      <c r="W25" s="37">
        <f t="shared" si="32"/>
        <v>4000</v>
      </c>
      <c r="X25" s="37">
        <f t="shared" si="32"/>
        <v>4610</v>
      </c>
      <c r="Y25" s="37">
        <f t="shared" si="32"/>
        <v>5230</v>
      </c>
      <c r="Z25" s="37">
        <f t="shared" si="32"/>
        <v>2980</v>
      </c>
      <c r="AA25" s="37">
        <f t="shared" si="32"/>
        <v>3930</v>
      </c>
      <c r="AB25" s="37">
        <f t="shared" si="32"/>
        <v>8220</v>
      </c>
      <c r="AC25" s="37">
        <f t="shared" si="32"/>
        <v>15100</v>
      </c>
      <c r="AD25" s="35">
        <f t="shared" si="28"/>
        <v>69170</v>
      </c>
      <c r="AF25" s="20">
        <f t="shared" si="1"/>
        <v>2.65</v>
      </c>
      <c r="AG25" s="20">
        <f t="shared" si="2"/>
        <v>56.800000000000004</v>
      </c>
      <c r="AH25" s="20">
        <f t="shared" si="3"/>
        <v>0</v>
      </c>
      <c r="AI25" s="20">
        <f t="shared" si="4"/>
        <v>7.7</v>
      </c>
      <c r="AJ25" s="20">
        <f t="shared" si="5"/>
        <v>34.200000000000003</v>
      </c>
      <c r="AK25" s="20">
        <f t="shared" si="6"/>
        <v>24.150000000000002</v>
      </c>
      <c r="AL25" s="20">
        <f t="shared" si="7"/>
        <v>20</v>
      </c>
      <c r="AM25" s="20">
        <f t="shared" si="8"/>
        <v>23.05</v>
      </c>
      <c r="AN25" s="20">
        <f t="shared" si="9"/>
        <v>26.150000000000002</v>
      </c>
      <c r="AO25" s="20">
        <f t="shared" si="10"/>
        <v>14.9</v>
      </c>
      <c r="AP25" s="20">
        <f t="shared" si="11"/>
        <v>19.650000000000002</v>
      </c>
      <c r="AQ25" s="20">
        <f t="shared" si="12"/>
        <v>41.1</v>
      </c>
      <c r="AR25" s="20">
        <f t="shared" si="13"/>
        <v>75.5</v>
      </c>
      <c r="AS25" s="35">
        <f t="shared" si="29"/>
        <v>345.85</v>
      </c>
      <c r="AU25" s="47">
        <v>697164</v>
      </c>
      <c r="AV25" s="37">
        <f t="shared" si="31"/>
        <v>1476</v>
      </c>
      <c r="AW25" s="35">
        <f t="shared" si="30"/>
        <v>2.952</v>
      </c>
    </row>
    <row r="26" spans="1:49" x14ac:dyDescent="0.25">
      <c r="A26" s="23">
        <v>43819</v>
      </c>
      <c r="B26" s="40">
        <v>245</v>
      </c>
      <c r="C26" s="24">
        <v>5916940</v>
      </c>
      <c r="D26" s="24">
        <v>12278790</v>
      </c>
      <c r="E26" s="24">
        <v>1470300</v>
      </c>
      <c r="F26" s="24">
        <v>2628850</v>
      </c>
      <c r="G26" s="24">
        <v>8017590</v>
      </c>
      <c r="H26" s="24">
        <v>3831140</v>
      </c>
      <c r="I26" s="24">
        <v>3798680</v>
      </c>
      <c r="J26" s="24">
        <v>4309350</v>
      </c>
      <c r="K26" s="24">
        <v>6934710</v>
      </c>
      <c r="L26" s="24">
        <v>2485780</v>
      </c>
      <c r="M26" s="24">
        <v>6382220</v>
      </c>
      <c r="N26" s="24">
        <v>8768620</v>
      </c>
      <c r="O26" s="24">
        <v>11531300</v>
      </c>
      <c r="Q26" s="37">
        <f t="shared" si="32"/>
        <v>520</v>
      </c>
      <c r="R26" s="37">
        <f t="shared" si="32"/>
        <v>11020</v>
      </c>
      <c r="S26" s="37">
        <f t="shared" si="32"/>
        <v>0</v>
      </c>
      <c r="T26" s="37">
        <f t="shared" si="32"/>
        <v>1480</v>
      </c>
      <c r="U26" s="37">
        <f t="shared" si="32"/>
        <v>6940</v>
      </c>
      <c r="V26" s="37">
        <f t="shared" si="32"/>
        <v>4730</v>
      </c>
      <c r="W26" s="37">
        <f t="shared" si="32"/>
        <v>3840</v>
      </c>
      <c r="X26" s="37">
        <f t="shared" si="32"/>
        <v>4670</v>
      </c>
      <c r="Y26" s="37">
        <f t="shared" si="32"/>
        <v>5100</v>
      </c>
      <c r="Z26" s="37">
        <f t="shared" si="32"/>
        <v>2960</v>
      </c>
      <c r="AA26" s="37">
        <f t="shared" si="32"/>
        <v>4090</v>
      </c>
      <c r="AB26" s="37">
        <f t="shared" si="32"/>
        <v>7980</v>
      </c>
      <c r="AC26" s="37">
        <f t="shared" si="32"/>
        <v>14810</v>
      </c>
      <c r="AD26" s="35">
        <f t="shared" si="28"/>
        <v>68140</v>
      </c>
      <c r="AF26" s="20">
        <f t="shared" si="1"/>
        <v>2.6</v>
      </c>
      <c r="AG26" s="20">
        <f t="shared" si="2"/>
        <v>55.1</v>
      </c>
      <c r="AH26" s="20">
        <f t="shared" si="3"/>
        <v>0</v>
      </c>
      <c r="AI26" s="20">
        <f t="shared" si="4"/>
        <v>7.4</v>
      </c>
      <c r="AJ26" s="20">
        <f t="shared" si="5"/>
        <v>34.700000000000003</v>
      </c>
      <c r="AK26" s="20">
        <f t="shared" si="6"/>
        <v>23.650000000000002</v>
      </c>
      <c r="AL26" s="20">
        <f t="shared" si="7"/>
        <v>19.2</v>
      </c>
      <c r="AM26" s="20">
        <f t="shared" si="8"/>
        <v>23.35</v>
      </c>
      <c r="AN26" s="20">
        <f t="shared" si="9"/>
        <v>25.5</v>
      </c>
      <c r="AO26" s="20">
        <f t="shared" si="10"/>
        <v>14.8</v>
      </c>
      <c r="AP26" s="20">
        <f t="shared" si="11"/>
        <v>20.45</v>
      </c>
      <c r="AQ26" s="20">
        <f t="shared" si="12"/>
        <v>39.9</v>
      </c>
      <c r="AR26" s="20">
        <f t="shared" si="13"/>
        <v>74.05</v>
      </c>
      <c r="AS26" s="35">
        <f t="shared" si="29"/>
        <v>340.7</v>
      </c>
      <c r="AU26" s="47">
        <v>698774</v>
      </c>
      <c r="AV26" s="37">
        <f t="shared" si="31"/>
        <v>1610</v>
      </c>
      <c r="AW26" s="35">
        <f t="shared" si="30"/>
        <v>3.22</v>
      </c>
    </row>
    <row r="27" spans="1:49" x14ac:dyDescent="0.25">
      <c r="A27" s="23">
        <v>43820</v>
      </c>
      <c r="B27" s="40">
        <v>165</v>
      </c>
      <c r="C27" s="24">
        <v>5917460</v>
      </c>
      <c r="D27" s="24">
        <v>12290010</v>
      </c>
      <c r="E27" s="24">
        <v>1470300</v>
      </c>
      <c r="F27" s="24">
        <v>2630350</v>
      </c>
      <c r="G27" s="24">
        <v>8024680</v>
      </c>
      <c r="H27" s="24">
        <v>3835930</v>
      </c>
      <c r="I27" s="24">
        <v>3802130</v>
      </c>
      <c r="J27" s="24">
        <v>4313990</v>
      </c>
      <c r="K27" s="24">
        <v>6939750</v>
      </c>
      <c r="L27" s="24">
        <v>2488740</v>
      </c>
      <c r="M27" s="24">
        <v>6386100</v>
      </c>
      <c r="N27" s="24">
        <v>8776730</v>
      </c>
      <c r="O27" s="24">
        <v>11546360</v>
      </c>
      <c r="Q27" s="37">
        <f t="shared" si="32"/>
        <v>520</v>
      </c>
      <c r="R27" s="37">
        <f t="shared" si="32"/>
        <v>11220</v>
      </c>
      <c r="S27" s="37">
        <f t="shared" si="32"/>
        <v>0</v>
      </c>
      <c r="T27" s="37">
        <f t="shared" si="32"/>
        <v>1500</v>
      </c>
      <c r="U27" s="37">
        <f t="shared" si="32"/>
        <v>7090</v>
      </c>
      <c r="V27" s="37">
        <f t="shared" si="32"/>
        <v>4790</v>
      </c>
      <c r="W27" s="37">
        <f t="shared" si="32"/>
        <v>3450</v>
      </c>
      <c r="X27" s="37">
        <f t="shared" si="32"/>
        <v>4640</v>
      </c>
      <c r="Y27" s="37">
        <f t="shared" si="32"/>
        <v>5040</v>
      </c>
      <c r="Z27" s="37">
        <f t="shared" si="32"/>
        <v>2960</v>
      </c>
      <c r="AA27" s="37">
        <f t="shared" si="32"/>
        <v>3880</v>
      </c>
      <c r="AB27" s="37">
        <f t="shared" si="32"/>
        <v>8110</v>
      </c>
      <c r="AC27" s="37">
        <f t="shared" si="32"/>
        <v>15060</v>
      </c>
      <c r="AD27" s="35">
        <f t="shared" si="28"/>
        <v>68260</v>
      </c>
      <c r="AF27" s="20">
        <f t="shared" si="1"/>
        <v>2.6</v>
      </c>
      <c r="AG27" s="20">
        <f t="shared" si="2"/>
        <v>56.1</v>
      </c>
      <c r="AH27" s="20">
        <f t="shared" si="3"/>
        <v>0</v>
      </c>
      <c r="AI27" s="20">
        <f t="shared" si="4"/>
        <v>7.5</v>
      </c>
      <c r="AJ27" s="20">
        <f t="shared" si="5"/>
        <v>35.450000000000003</v>
      </c>
      <c r="AK27" s="20">
        <f t="shared" si="6"/>
        <v>23.95</v>
      </c>
      <c r="AL27" s="20">
        <f t="shared" si="7"/>
        <v>17.25</v>
      </c>
      <c r="AM27" s="20">
        <f t="shared" si="8"/>
        <v>23.2</v>
      </c>
      <c r="AN27" s="20">
        <f t="shared" si="9"/>
        <v>25.2</v>
      </c>
      <c r="AO27" s="20">
        <f t="shared" si="10"/>
        <v>14.8</v>
      </c>
      <c r="AP27" s="20">
        <f t="shared" si="11"/>
        <v>19.400000000000002</v>
      </c>
      <c r="AQ27" s="20">
        <f t="shared" si="12"/>
        <v>40.550000000000004</v>
      </c>
      <c r="AR27" s="20">
        <f t="shared" si="13"/>
        <v>75.3</v>
      </c>
      <c r="AS27" s="35">
        <f t="shared" si="29"/>
        <v>341.3</v>
      </c>
      <c r="AU27" s="47">
        <v>700111</v>
      </c>
      <c r="AV27" s="37">
        <f>IF((AU27-AU26&lt;0),"0",AU27-AU26)</f>
        <v>1337</v>
      </c>
      <c r="AW27" s="35">
        <f t="shared" si="30"/>
        <v>2.6739999999999999</v>
      </c>
    </row>
    <row r="28" spans="1:49" x14ac:dyDescent="0.25">
      <c r="A28" s="23">
        <v>43821</v>
      </c>
      <c r="B28" s="40">
        <v>122</v>
      </c>
      <c r="C28" s="24">
        <v>5917960</v>
      </c>
      <c r="D28" s="24">
        <v>12300580</v>
      </c>
      <c r="E28" s="24">
        <v>1470300</v>
      </c>
      <c r="F28" s="24">
        <v>2631820</v>
      </c>
      <c r="G28" s="24">
        <v>8031190</v>
      </c>
      <c r="H28" s="24">
        <v>3840530</v>
      </c>
      <c r="I28" s="24">
        <v>3804980</v>
      </c>
      <c r="J28" s="24">
        <v>4318330</v>
      </c>
      <c r="K28" s="24">
        <v>6944510</v>
      </c>
      <c r="L28" s="24">
        <v>2491560</v>
      </c>
      <c r="M28" s="24">
        <v>6389860</v>
      </c>
      <c r="N28" s="24">
        <v>8784540</v>
      </c>
      <c r="O28" s="24">
        <v>11561170</v>
      </c>
      <c r="Q28" s="37">
        <f t="shared" si="16"/>
        <v>500</v>
      </c>
      <c r="R28" s="37">
        <f t="shared" si="17"/>
        <v>10570</v>
      </c>
      <c r="S28" s="37">
        <f t="shared" si="15"/>
        <v>0</v>
      </c>
      <c r="T28" s="37">
        <f t="shared" si="18"/>
        <v>1470</v>
      </c>
      <c r="U28" s="37">
        <f t="shared" si="19"/>
        <v>6510</v>
      </c>
      <c r="V28" s="37">
        <f t="shared" si="20"/>
        <v>4600</v>
      </c>
      <c r="W28" s="37">
        <f t="shared" si="21"/>
        <v>2850</v>
      </c>
      <c r="X28" s="37">
        <f t="shared" si="22"/>
        <v>4340</v>
      </c>
      <c r="Y28" s="37">
        <f t="shared" si="23"/>
        <v>4760</v>
      </c>
      <c r="Z28" s="37">
        <f t="shared" si="24"/>
        <v>2820</v>
      </c>
      <c r="AA28" s="37">
        <f t="shared" si="25"/>
        <v>3760</v>
      </c>
      <c r="AB28" s="37">
        <f t="shared" si="26"/>
        <v>7810</v>
      </c>
      <c r="AC28" s="37">
        <f t="shared" si="27"/>
        <v>14810</v>
      </c>
      <c r="AD28" s="35">
        <f t="shared" si="28"/>
        <v>64800</v>
      </c>
      <c r="AF28" s="20">
        <f t="shared" si="1"/>
        <v>2.5</v>
      </c>
      <c r="AG28" s="20">
        <f t="shared" si="2"/>
        <v>52.85</v>
      </c>
      <c r="AH28" s="20">
        <f t="shared" si="3"/>
        <v>0</v>
      </c>
      <c r="AI28" s="20">
        <f t="shared" si="4"/>
        <v>7.3500000000000005</v>
      </c>
      <c r="AJ28" s="20">
        <f t="shared" si="5"/>
        <v>32.549999999999997</v>
      </c>
      <c r="AK28" s="20">
        <f t="shared" si="6"/>
        <v>23</v>
      </c>
      <c r="AL28" s="20">
        <f t="shared" si="7"/>
        <v>14.25</v>
      </c>
      <c r="AM28" s="20">
        <f t="shared" si="8"/>
        <v>21.7</v>
      </c>
      <c r="AN28" s="20">
        <f t="shared" si="9"/>
        <v>23.8</v>
      </c>
      <c r="AO28" s="20">
        <f t="shared" si="10"/>
        <v>14.1</v>
      </c>
      <c r="AP28" s="20">
        <f t="shared" si="11"/>
        <v>18.8</v>
      </c>
      <c r="AQ28" s="20">
        <f t="shared" si="12"/>
        <v>39.050000000000004</v>
      </c>
      <c r="AR28" s="20">
        <f t="shared" si="13"/>
        <v>74.05</v>
      </c>
      <c r="AS28" s="35">
        <f t="shared" si="29"/>
        <v>324</v>
      </c>
      <c r="AU28" s="47">
        <v>701910</v>
      </c>
      <c r="AV28" s="37">
        <f>IF((AU28-AU27&lt;0),"0",AU28-AU27)</f>
        <v>1799</v>
      </c>
      <c r="AW28" s="35">
        <f t="shared" si="30"/>
        <v>3.5979999999999999</v>
      </c>
    </row>
    <row r="29" spans="1:49" x14ac:dyDescent="0.25">
      <c r="A29" s="23">
        <v>43822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6"/>
        <v>0</v>
      </c>
      <c r="R29" s="37" t="str">
        <f t="shared" si="17"/>
        <v>0</v>
      </c>
      <c r="S29" s="37" t="str">
        <f t="shared" si="15"/>
        <v>0</v>
      </c>
      <c r="T29" s="37" t="str">
        <f t="shared" si="18"/>
        <v>0</v>
      </c>
      <c r="U29" s="37" t="str">
        <f t="shared" si="19"/>
        <v>0</v>
      </c>
      <c r="V29" s="37" t="str">
        <f t="shared" si="20"/>
        <v>0</v>
      </c>
      <c r="W29" s="37" t="str">
        <f t="shared" si="21"/>
        <v>0</v>
      </c>
      <c r="X29" s="37" t="str">
        <f t="shared" si="22"/>
        <v>0</v>
      </c>
      <c r="Y29" s="37" t="str">
        <f t="shared" si="23"/>
        <v>0</v>
      </c>
      <c r="Z29" s="37" t="str">
        <f t="shared" si="24"/>
        <v>0</v>
      </c>
      <c r="AA29" s="37" t="str">
        <f t="shared" si="25"/>
        <v>0</v>
      </c>
      <c r="AB29" s="37" t="str">
        <f t="shared" si="26"/>
        <v>0</v>
      </c>
      <c r="AC29" s="37" t="str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 t="str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43823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43824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43825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43826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43827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43828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43829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>
        <v>43830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20250</v>
      </c>
      <c r="R38" s="30">
        <f t="shared" si="35"/>
        <v>248310</v>
      </c>
      <c r="S38" s="30">
        <f t="shared" si="35"/>
        <v>270</v>
      </c>
      <c r="T38" s="30">
        <f t="shared" si="35"/>
        <v>33410</v>
      </c>
      <c r="U38" s="30">
        <f t="shared" si="35"/>
        <v>143480</v>
      </c>
      <c r="V38" s="30">
        <f t="shared" si="35"/>
        <v>98180</v>
      </c>
      <c r="W38" s="30">
        <f t="shared" si="35"/>
        <v>76480</v>
      </c>
      <c r="X38" s="30">
        <f t="shared" si="35"/>
        <v>100520</v>
      </c>
      <c r="Y38" s="30">
        <f t="shared" si="35"/>
        <v>110920</v>
      </c>
      <c r="Z38" s="30">
        <f t="shared" si="35"/>
        <v>63230</v>
      </c>
      <c r="AA38" s="30">
        <f t="shared" si="35"/>
        <v>82130</v>
      </c>
      <c r="AB38" s="30">
        <f t="shared" si="35"/>
        <v>173440</v>
      </c>
      <c r="AC38" s="30">
        <f t="shared" si="35"/>
        <v>324150</v>
      </c>
      <c r="AD38" s="35">
        <f t="shared" si="35"/>
        <v>1474770</v>
      </c>
      <c r="AF38" s="35">
        <f t="shared" ref="AF38:AS38" si="36">SUM(AF7:AF34)</f>
        <v>101.25</v>
      </c>
      <c r="AG38" s="35">
        <f t="shared" si="36"/>
        <v>1241.55</v>
      </c>
      <c r="AH38" s="35">
        <f t="shared" si="36"/>
        <v>1.35</v>
      </c>
      <c r="AI38" s="35">
        <f t="shared" si="36"/>
        <v>167.04999999999998</v>
      </c>
      <c r="AJ38" s="35">
        <f t="shared" si="36"/>
        <v>717.4000000000002</v>
      </c>
      <c r="AK38" s="35">
        <f t="shared" si="36"/>
        <v>490.89999999999992</v>
      </c>
      <c r="AL38" s="35">
        <f t="shared" si="36"/>
        <v>382.4</v>
      </c>
      <c r="AM38" s="35">
        <f t="shared" si="36"/>
        <v>502.6</v>
      </c>
      <c r="AN38" s="35">
        <f t="shared" si="36"/>
        <v>554.59999999999991</v>
      </c>
      <c r="AO38" s="35">
        <f t="shared" si="36"/>
        <v>316.15000000000009</v>
      </c>
      <c r="AP38" s="35">
        <f t="shared" si="36"/>
        <v>410.64999999999992</v>
      </c>
      <c r="AQ38" s="35">
        <f t="shared" si="36"/>
        <v>867.19999999999982</v>
      </c>
      <c r="AR38" s="35">
        <f t="shared" si="36"/>
        <v>1620.75</v>
      </c>
      <c r="AS38" s="35">
        <f t="shared" si="36"/>
        <v>7373.85</v>
      </c>
      <c r="AU38" s="48"/>
      <c r="AV38" s="35">
        <f>SUM(AV7:AV34)</f>
        <v>37508</v>
      </c>
      <c r="AW38" s="35">
        <f>SUM(AW7:AW34)</f>
        <v>67.301999999999992</v>
      </c>
    </row>
    <row r="39" spans="1:49" x14ac:dyDescent="0.25">
      <c r="D39">
        <v>5.0000000000000001E-3</v>
      </c>
      <c r="AV39" s="36">
        <f>AV38*0.00378541*1000</f>
        <v>141983.15828</v>
      </c>
    </row>
    <row r="40" spans="1:49" x14ac:dyDescent="0.25">
      <c r="D40">
        <v>2E-3</v>
      </c>
      <c r="AV40">
        <f>AV39/31</f>
        <v>4580.1018800000002</v>
      </c>
    </row>
    <row r="41" spans="1:49" x14ac:dyDescent="0.25">
      <c r="AV41">
        <f>AV38*0.00378541</f>
        <v>141.98315828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2019-12-23T08:42:43Z</dcterms:modified>
</cp:coreProperties>
</file>