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Mode="manual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R22" i="9" l="1"/>
  <c r="R23" i="9"/>
  <c r="R24" i="9"/>
  <c r="R25" i="9"/>
  <c r="R26" i="9"/>
  <c r="R27" i="9"/>
  <c r="R28" i="9"/>
  <c r="R29" i="9"/>
  <c r="R30" i="9"/>
  <c r="R31" i="9"/>
  <c r="R32" i="9"/>
  <c r="Q22" i="9"/>
  <c r="Q23" i="9"/>
  <c r="Q24" i="9"/>
  <c r="Q25" i="9"/>
  <c r="Q26" i="9"/>
  <c r="Q27" i="9"/>
  <c r="Q28" i="9"/>
  <c r="Q29" i="9"/>
  <c r="Q30" i="9"/>
  <c r="Q31" i="9"/>
  <c r="Q32" i="9"/>
  <c r="P22" i="9"/>
  <c r="P23" i="9"/>
  <c r="P24" i="9"/>
  <c r="P25" i="9"/>
  <c r="P26" i="9"/>
  <c r="P27" i="9"/>
  <c r="P28" i="9"/>
  <c r="P29" i="9"/>
  <c r="P30" i="9"/>
  <c r="P31" i="9"/>
  <c r="P32" i="9"/>
  <c r="O22" i="9"/>
  <c r="O23" i="9"/>
  <c r="O24" i="9"/>
  <c r="O25" i="9"/>
  <c r="O26" i="9"/>
  <c r="O27" i="9"/>
  <c r="O28" i="9"/>
  <c r="O29" i="9"/>
  <c r="O30" i="9"/>
  <c r="O31" i="9"/>
  <c r="O32" i="9"/>
  <c r="N22" i="9"/>
  <c r="N23" i="9"/>
  <c r="N24" i="9"/>
  <c r="N25" i="9"/>
  <c r="N26" i="9"/>
  <c r="N27" i="9"/>
  <c r="N28" i="9"/>
  <c r="N29" i="9"/>
  <c r="N30" i="9"/>
  <c r="N31" i="9"/>
  <c r="M22" i="9"/>
  <c r="M23" i="9"/>
  <c r="M24" i="9"/>
  <c r="M25" i="9"/>
  <c r="M26" i="9"/>
  <c r="M27" i="9"/>
  <c r="M28" i="9"/>
  <c r="M29" i="9"/>
  <c r="M30" i="9"/>
  <c r="M31" i="9"/>
  <c r="M32" i="9"/>
  <c r="L22" i="9"/>
  <c r="L23" i="9"/>
  <c r="L24" i="9"/>
  <c r="L25" i="9"/>
  <c r="L26" i="9"/>
  <c r="L27" i="9"/>
  <c r="L28" i="9"/>
  <c r="L29" i="9"/>
  <c r="L30" i="9"/>
  <c r="L31" i="9"/>
  <c r="L32" i="9"/>
  <c r="K22" i="9"/>
  <c r="K23" i="9"/>
  <c r="K24" i="9"/>
  <c r="K25" i="9"/>
  <c r="K26" i="9"/>
  <c r="K27" i="9"/>
  <c r="K28" i="9"/>
  <c r="K29" i="9"/>
  <c r="K30" i="9"/>
  <c r="K31" i="9"/>
  <c r="K32" i="9"/>
  <c r="J22" i="9"/>
  <c r="J23" i="9"/>
  <c r="J24" i="9"/>
  <c r="J25" i="9"/>
  <c r="J26" i="9"/>
  <c r="J27" i="9"/>
  <c r="J28" i="9"/>
  <c r="J29" i="9"/>
  <c r="J30" i="9"/>
  <c r="J31" i="9"/>
  <c r="J32" i="9"/>
  <c r="I22" i="9"/>
  <c r="I23" i="9"/>
  <c r="I24" i="9"/>
  <c r="I25" i="9"/>
  <c r="I26" i="9"/>
  <c r="I27" i="9"/>
  <c r="I28" i="9"/>
  <c r="I29" i="9"/>
  <c r="I30" i="9"/>
  <c r="I31" i="9"/>
  <c r="I32" i="9"/>
  <c r="H22" i="9"/>
  <c r="H23" i="9"/>
  <c r="H24" i="9"/>
  <c r="H25" i="9"/>
  <c r="H26" i="9"/>
  <c r="H27" i="9"/>
  <c r="H28" i="9"/>
  <c r="H29" i="9"/>
  <c r="H30" i="9"/>
  <c r="H31" i="9"/>
  <c r="H32" i="9"/>
  <c r="G22" i="9"/>
  <c r="G23" i="9"/>
  <c r="G24" i="9"/>
  <c r="G25" i="9"/>
  <c r="G26" i="9"/>
  <c r="G27" i="9"/>
  <c r="G28" i="9"/>
  <c r="G29" i="9"/>
  <c r="G30" i="9"/>
  <c r="G31" i="9"/>
  <c r="G32" i="9"/>
  <c r="F22" i="9"/>
  <c r="F23" i="9"/>
  <c r="F24" i="9"/>
  <c r="F25" i="9"/>
  <c r="F26" i="9"/>
  <c r="F27" i="9"/>
  <c r="F28" i="9"/>
  <c r="F29" i="9"/>
  <c r="F30" i="9"/>
  <c r="F31" i="9"/>
  <c r="F32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26" i="7" l="1"/>
  <c r="R21" i="9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L25" i="7"/>
  <c r="K20" i="9"/>
  <c r="AG25" i="7"/>
  <c r="F20" i="9"/>
  <c r="AR25" i="7"/>
  <c r="Q20" i="9"/>
  <c r="AJ25" i="7"/>
  <c r="I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<sst xmlns="http://schemas.openxmlformats.org/spreadsheetml/2006/main" count="128" uniqueCount="49">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</sst>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Submetering!R18</f>
        <v>702.95063700000003</v>
      </c>
      <c r="H18" s="11">
        <v>0.52800000000000002</v>
      </c>
      <c r="I18" s="12">
        <f>Hotel!B23</f>
        <v>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51910</v>
      </c>
      <c r="F19" s="11">
        <v>5.0000000000000001E-3</v>
      </c>
      <c r="G19" s="12">
        <f>Submetering!R19</f>
        <v>578.41064800000004</v>
      </c>
      <c r="H19" s="11">
        <v>0.52800000000000002</v>
      </c>
      <c r="I19" s="12">
        <f>Hotel!B24</f>
        <v>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48530</v>
      </c>
      <c r="F20" s="11">
        <v>5.0000000000000001E-3</v>
      </c>
      <c r="G20" s="12">
        <f>Submetering!R20</f>
        <v>673.42443900000001</v>
      </c>
      <c r="H20" s="11">
        <v>0.52800000000000002</v>
      </c>
      <c r="I20" s="12">
        <f>Hotel!B25</f>
        <v>47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Hotel!AV23*0.00378541*100</f>
        <v>702.95063700000003</v>
      </c>
      <c r="S18" s="4">
        <f>Hotel!B23</f>
        <v>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550</v>
      </c>
      <c r="F19" s="4">
        <f>Hotel!R24</f>
        <v>1910</v>
      </c>
      <c r="G19" s="4">
        <f>Hotel!S24</f>
        <v>2710</v>
      </c>
      <c r="H19" s="4">
        <f>Hotel!T24</f>
        <v>1450</v>
      </c>
      <c r="I19" s="4">
        <f>Hotel!U24</f>
        <v>5060</v>
      </c>
      <c r="J19" s="4">
        <f>Hotel!V24</f>
        <v>3330</v>
      </c>
      <c r="K19" s="4">
        <f>Hotel!W24</f>
        <v>2430</v>
      </c>
      <c r="L19" s="4">
        <f>Hotel!X24</f>
        <v>3920</v>
      </c>
      <c r="M19" s="4">
        <f>Hotel!Y24</f>
        <v>5740</v>
      </c>
      <c r="N19" s="4">
        <f>Hotel!Z24</f>
        <v>2620</v>
      </c>
      <c r="O19" s="4">
        <f>Hotel!AA24</f>
        <v>3260</v>
      </c>
      <c r="P19" s="4">
        <f>Hotel!AB24</f>
        <v>6850</v>
      </c>
      <c r="Q19" s="4">
        <f>Hotel!AC24</f>
        <v>12080</v>
      </c>
      <c r="R19" s="4">
        <f>Hotel!AV24*0.00378541*100</f>
        <v>578.41064800000004</v>
      </c>
      <c r="S19" s="4">
        <f>Hotel!B24</f>
        <v>53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520</v>
      </c>
      <c r="F20" s="4">
        <f>Hotel!R25</f>
        <v>1810</v>
      </c>
      <c r="G20" s="4">
        <f>Hotel!S25</f>
        <v>2520</v>
      </c>
      <c r="H20" s="4">
        <f>Hotel!T25</f>
        <v>1520</v>
      </c>
      <c r="I20" s="4">
        <f>Hotel!U25</f>
        <v>4870</v>
      </c>
      <c r="J20" s="4">
        <f>Hotel!V25</f>
        <v>3110</v>
      </c>
      <c r="K20" s="4">
        <f>Hotel!W25</f>
        <v>2330</v>
      </c>
      <c r="L20" s="4">
        <f>Hotel!X25</f>
        <v>3830</v>
      </c>
      <c r="M20" s="4">
        <f>Hotel!Y25</f>
        <v>5240</v>
      </c>
      <c r="N20" s="4">
        <f>Hotel!Z25</f>
        <v>2490</v>
      </c>
      <c r="O20" s="4">
        <f>Hotel!AA25</f>
        <v>3170</v>
      </c>
      <c r="P20" s="4">
        <f>Hotel!AB25</f>
        <v>6650</v>
      </c>
      <c r="Q20" s="4">
        <f>Hotel!AC25</f>
        <v>10470</v>
      </c>
      <c r="R20" s="4">
        <f>Hotel!AV25*0.00378541*100</f>
        <v>673.42443900000001</v>
      </c>
      <c r="S20" s="4">
        <f>Hotel!B25</f>
        <v>47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25" sqref="AU2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16"/>
        <v>560</v>
      </c>
      <c r="R23" s="37">
        <f t="shared" si="17"/>
        <v>1910</v>
      </c>
      <c r="S23" s="37">
        <f t="shared" si="15"/>
        <v>2860</v>
      </c>
      <c r="T23" s="37">
        <f t="shared" si="18"/>
        <v>1470</v>
      </c>
      <c r="U23" s="37">
        <f t="shared" si="19"/>
        <v>5390</v>
      </c>
      <c r="V23" s="37">
        <f t="shared" si="20"/>
        <v>3410</v>
      </c>
      <c r="W23" s="37">
        <f t="shared" si="21"/>
        <v>2430</v>
      </c>
      <c r="X23" s="37">
        <f t="shared" si="22"/>
        <v>3730</v>
      </c>
      <c r="Y23" s="37">
        <f t="shared" si="23"/>
        <v>5880</v>
      </c>
      <c r="Z23" s="37">
        <f t="shared" si="24"/>
        <v>2610</v>
      </c>
      <c r="AA23" s="37">
        <f t="shared" si="25"/>
        <v>3580</v>
      </c>
      <c r="AB23" s="37">
        <f t="shared" si="26"/>
        <v>6940</v>
      </c>
      <c r="AC23" s="37">
        <f t="shared" si="27"/>
        <v>10870</v>
      </c>
      <c r="AD23" s="35">
        <f t="shared" si="28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29"/>
        <v>258.20000000000005</v>
      </c>
      <c r="AU23" s="47">
        <v>412882</v>
      </c>
      <c r="AV23" s="37">
        <f t="shared" si="31"/>
        <v>1857</v>
      </c>
      <c r="AW23" s="35">
        <f t="shared" si="30"/>
        <v>3.714</v>
      </c>
    </row>
    <row r="24" spans="1:49" x14ac:dyDescent="0.25">
      <c r="A24" s="23">
        <v>44214</v>
      </c>
      <c r="B24" s="40">
        <v>53</v>
      </c>
      <c r="C24" s="24">
        <v>6517290</v>
      </c>
      <c r="D24" s="24">
        <v>15068780</v>
      </c>
      <c r="E24" s="24">
        <v>2307590</v>
      </c>
      <c r="F24" s="24">
        <v>3259570</v>
      </c>
      <c r="G24" s="24">
        <v>9797300</v>
      </c>
      <c r="H24" s="24">
        <v>5079350</v>
      </c>
      <c r="I24" s="24">
        <v>4753520</v>
      </c>
      <c r="J24" s="24">
        <v>5453740</v>
      </c>
      <c r="K24" s="24">
        <v>8539310</v>
      </c>
      <c r="L24" s="24">
        <v>3488930</v>
      </c>
      <c r="M24" s="24">
        <v>7444060</v>
      </c>
      <c r="N24" s="24">
        <v>11086220</v>
      </c>
      <c r="O24" s="24">
        <v>15203500</v>
      </c>
      <c r="Q24" s="37">
        <f t="shared" si="16"/>
        <v>550</v>
      </c>
      <c r="R24" s="37">
        <f t="shared" si="17"/>
        <v>1910</v>
      </c>
      <c r="S24" s="37">
        <f t="shared" si="15"/>
        <v>2710</v>
      </c>
      <c r="T24" s="37">
        <f t="shared" si="18"/>
        <v>1450</v>
      </c>
      <c r="U24" s="37">
        <f t="shared" si="19"/>
        <v>5060</v>
      </c>
      <c r="V24" s="37">
        <f t="shared" si="20"/>
        <v>3330</v>
      </c>
      <c r="W24" s="37">
        <f t="shared" si="21"/>
        <v>2430</v>
      </c>
      <c r="X24" s="37">
        <f t="shared" si="22"/>
        <v>3920</v>
      </c>
      <c r="Y24" s="37">
        <f t="shared" si="23"/>
        <v>5740</v>
      </c>
      <c r="Z24" s="37">
        <f t="shared" si="24"/>
        <v>2620</v>
      </c>
      <c r="AA24" s="37">
        <f t="shared" si="25"/>
        <v>3260</v>
      </c>
      <c r="AB24" s="37">
        <f t="shared" si="26"/>
        <v>6850</v>
      </c>
      <c r="AC24" s="37">
        <f t="shared" si="27"/>
        <v>12080</v>
      </c>
      <c r="AD24" s="35">
        <f t="shared" si="28"/>
        <v>51910</v>
      </c>
      <c r="AF24" s="20">
        <f t="shared" si="1"/>
        <v>2.75</v>
      </c>
      <c r="AG24" s="20">
        <f t="shared" si="2"/>
        <v>9.5500000000000007</v>
      </c>
      <c r="AH24" s="20">
        <f t="shared" si="3"/>
        <v>13.55</v>
      </c>
      <c r="AI24" s="20">
        <f t="shared" si="4"/>
        <v>7.25</v>
      </c>
      <c r="AJ24" s="20">
        <f t="shared" si="5"/>
        <v>25.3</v>
      </c>
      <c r="AK24" s="20">
        <f t="shared" si="6"/>
        <v>16.649999999999999</v>
      </c>
      <c r="AL24" s="20">
        <f t="shared" si="7"/>
        <v>12.15</v>
      </c>
      <c r="AM24" s="20">
        <f t="shared" si="8"/>
        <v>19.600000000000001</v>
      </c>
      <c r="AN24" s="20">
        <f t="shared" si="9"/>
        <v>28.7</v>
      </c>
      <c r="AO24" s="20">
        <f t="shared" si="10"/>
        <v>13.1</v>
      </c>
      <c r="AP24" s="20">
        <f t="shared" si="11"/>
        <v>16.3</v>
      </c>
      <c r="AQ24" s="20">
        <f t="shared" si="12"/>
        <v>34.25</v>
      </c>
      <c r="AR24" s="20">
        <f t="shared" si="13"/>
        <v>60.4</v>
      </c>
      <c r="AS24" s="35">
        <f t="shared" si="29"/>
        <v>259.55</v>
      </c>
      <c r="AU24" s="47">
        <v>414410</v>
      </c>
      <c r="AV24" s="37">
        <f t="shared" si="31"/>
        <v>1528</v>
      </c>
      <c r="AW24" s="35">
        <f t="shared" si="30"/>
        <v>3.056</v>
      </c>
    </row>
    <row r="25" spans="1:49" x14ac:dyDescent="0.25">
      <c r="A25" s="23">
        <v>44215</v>
      </c>
      <c r="B25" s="40">
        <v>47</v>
      </c>
      <c r="C25" s="24">
        <v>6517810</v>
      </c>
      <c r="D25" s="24">
        <v>15070590</v>
      </c>
      <c r="E25" s="24">
        <v>2310110</v>
      </c>
      <c r="F25" s="24">
        <v>3261090</v>
      </c>
      <c r="G25" s="24">
        <v>9802170</v>
      </c>
      <c r="H25" s="24">
        <v>5082460</v>
      </c>
      <c r="I25" s="24">
        <v>4755850</v>
      </c>
      <c r="J25" s="24">
        <v>5457570</v>
      </c>
      <c r="K25" s="24">
        <v>8544550</v>
      </c>
      <c r="L25" s="24">
        <v>3491420</v>
      </c>
      <c r="M25" s="24">
        <v>7447230</v>
      </c>
      <c r="N25" s="24">
        <v>11092870</v>
      </c>
      <c r="O25" s="24">
        <v>15213970</v>
      </c>
      <c r="Q25" s="37">
        <f t="shared" ref="Q25:AC27" si="33">IF((C25-C24&lt;0), "0",C25-C24)</f>
        <v>520</v>
      </c>
      <c r="R25" s="37">
        <f t="shared" si="33"/>
        <v>1810</v>
      </c>
      <c r="S25" s="37">
        <f t="shared" si="33"/>
        <v>2520</v>
      </c>
      <c r="T25" s="37">
        <f t="shared" si="33"/>
        <v>1520</v>
      </c>
      <c r="U25" s="37">
        <f t="shared" si="33"/>
        <v>4870</v>
      </c>
      <c r="V25" s="37">
        <f t="shared" si="33"/>
        <v>3110</v>
      </c>
      <c r="W25" s="37">
        <f t="shared" si="33"/>
        <v>2330</v>
      </c>
      <c r="X25" s="37">
        <f t="shared" si="33"/>
        <v>3830</v>
      </c>
      <c r="Y25" s="37">
        <f t="shared" si="33"/>
        <v>5240</v>
      </c>
      <c r="Z25" s="37">
        <f t="shared" si="33"/>
        <v>2490</v>
      </c>
      <c r="AA25" s="37">
        <f t="shared" si="33"/>
        <v>3170</v>
      </c>
      <c r="AB25" s="37">
        <f t="shared" si="33"/>
        <v>6650</v>
      </c>
      <c r="AC25" s="37">
        <f t="shared" si="33"/>
        <v>10470</v>
      </c>
      <c r="AD25" s="35">
        <f t="shared" si="28"/>
        <v>48530</v>
      </c>
      <c r="AF25" s="20">
        <f t="shared" si="1"/>
        <v>2.6</v>
      </c>
      <c r="AG25" s="20">
        <f t="shared" si="2"/>
        <v>9.0500000000000007</v>
      </c>
      <c r="AH25" s="20">
        <f t="shared" si="3"/>
        <v>12.6</v>
      </c>
      <c r="AI25" s="20">
        <f t="shared" si="4"/>
        <v>7.6000000000000005</v>
      </c>
      <c r="AJ25" s="20">
        <f t="shared" si="5"/>
        <v>24.35</v>
      </c>
      <c r="AK25" s="20">
        <f t="shared" si="6"/>
        <v>15.55</v>
      </c>
      <c r="AL25" s="20">
        <f t="shared" si="7"/>
        <v>11.65</v>
      </c>
      <c r="AM25" s="20">
        <f t="shared" si="8"/>
        <v>19.150000000000002</v>
      </c>
      <c r="AN25" s="20">
        <f t="shared" si="9"/>
        <v>26.2</v>
      </c>
      <c r="AO25" s="20">
        <f t="shared" si="10"/>
        <v>12.450000000000001</v>
      </c>
      <c r="AP25" s="20">
        <f t="shared" si="11"/>
        <v>15.85</v>
      </c>
      <c r="AQ25" s="20">
        <f t="shared" si="12"/>
        <v>33.25</v>
      </c>
      <c r="AR25" s="20">
        <f t="shared" si="13"/>
        <v>52.35</v>
      </c>
      <c r="AS25" s="35">
        <f t="shared" si="29"/>
        <v>242.64999999999998</v>
      </c>
      <c r="AU25" s="47">
        <v>416189</v>
      </c>
      <c r="AV25" s="37">
        <f t="shared" si="31"/>
        <v>1779</v>
      </c>
      <c r="AW25" s="35">
        <f t="shared" si="30"/>
        <v>3.5580000000000003</v>
      </c>
    </row>
    <row r="26" spans="1:49" x14ac:dyDescent="0.25">
      <c r="A26" s="23">
        <v>44216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44217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44218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44219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44220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10400</v>
      </c>
      <c r="R38" s="30">
        <f t="shared" si="62"/>
        <v>35640</v>
      </c>
      <c r="S38" s="30">
        <f t="shared" si="62"/>
        <v>42780</v>
      </c>
      <c r="T38" s="30">
        <f t="shared" si="62"/>
        <v>34780</v>
      </c>
      <c r="U38" s="30">
        <f t="shared" si="62"/>
        <v>104450</v>
      </c>
      <c r="V38" s="30">
        <f t="shared" si="62"/>
        <v>64760</v>
      </c>
      <c r="W38" s="30">
        <f t="shared" si="62"/>
        <v>44960</v>
      </c>
      <c r="X38" s="30">
        <f t="shared" si="62"/>
        <v>72830</v>
      </c>
      <c r="Y38" s="30">
        <f t="shared" si="62"/>
        <v>107030</v>
      </c>
      <c r="Z38" s="30">
        <f t="shared" si="62"/>
        <v>49080</v>
      </c>
      <c r="AA38" s="30">
        <f t="shared" si="62"/>
        <v>68090</v>
      </c>
      <c r="AB38" s="30">
        <f t="shared" si="62"/>
        <v>127580</v>
      </c>
      <c r="AC38" s="30">
        <f t="shared" si="62"/>
        <v>218810</v>
      </c>
      <c r="AD38" s="35">
        <f t="shared" si="62"/>
        <v>981190</v>
      </c>
      <c r="AF38" s="35">
        <f t="shared" ref="AF38:AS38" si="63">SUM(AF7:AF34)</f>
        <v>52.000000000000007</v>
      </c>
      <c r="AG38" s="35">
        <f t="shared" si="63"/>
        <v>178.20000000000007</v>
      </c>
      <c r="AH38" s="35">
        <f t="shared" si="63"/>
        <v>213.90000000000003</v>
      </c>
      <c r="AI38" s="35">
        <f t="shared" si="63"/>
        <v>173.89999999999998</v>
      </c>
      <c r="AJ38" s="35">
        <f t="shared" si="63"/>
        <v>522.25</v>
      </c>
      <c r="AK38" s="35">
        <f t="shared" si="63"/>
        <v>323.80000000000007</v>
      </c>
      <c r="AL38" s="35">
        <f t="shared" si="63"/>
        <v>224.8</v>
      </c>
      <c r="AM38" s="35">
        <f t="shared" si="63"/>
        <v>364.15</v>
      </c>
      <c r="AN38" s="35">
        <f t="shared" si="63"/>
        <v>535.15</v>
      </c>
      <c r="AO38" s="35">
        <f t="shared" si="63"/>
        <v>245.39999999999998</v>
      </c>
      <c r="AP38" s="35">
        <f t="shared" si="63"/>
        <v>340.45</v>
      </c>
      <c r="AQ38" s="35">
        <f t="shared" si="63"/>
        <v>637.90000000000009</v>
      </c>
      <c r="AR38" s="35">
        <f t="shared" si="63"/>
        <v>1094.05</v>
      </c>
      <c r="AS38" s="35">
        <f t="shared" si="63"/>
        <v>4905.9500000000007</v>
      </c>
      <c r="AU38" s="48"/>
      <c r="AV38" s="35">
        <f>SUM(AV7:AV34)</f>
        <v>33376</v>
      </c>
      <c r="AW38" s="35">
        <f>SUM(AW7:AW34)</f>
        <v>58.594000000000001</v>
      </c>
    </row>
    <row r="39" spans="1:49" x14ac:dyDescent="0.25">
      <c r="D39">
        <v>5.0000000000000001E-3</v>
      </c>
      <c r="AV39" s="36">
        <f>AV38*0.00378541*1000</f>
        <v>126341.84415999999</v>
      </c>
    </row>
    <row r="40" spans="1:49" x14ac:dyDescent="0.25">
      <c r="D40">
        <v>2E-3</v>
      </c>
      <c r="AV40">
        <f>AV39/31</f>
        <v>4075.5433599999997</v>
      </c>
    </row>
    <row r="41" spans="1:49" x14ac:dyDescent="0.25">
      <c r="AV41">
        <f>AV38*0.00378541</f>
        <v>126.34184415999999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2021-01-20T05:29:58Z</dcterms:modified>
</cp:coreProperties>
</file>