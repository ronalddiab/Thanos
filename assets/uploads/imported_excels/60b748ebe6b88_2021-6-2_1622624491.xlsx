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filterPrivacy="1"/>
  <xr:revisionPtr revIDLastSave="0" documentId="13_ncr:1_{F3C5F3DA-EC33-447F-B1C2-5BF3B08A6ECB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TOTAL" sheetId="4" r:id="rId1"/>
    <sheet name="Electricity" sheetId="1" r:id="rId2"/>
    <sheet name="Wate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47" i="1" l="1"/>
  <c r="N41" i="1"/>
  <c r="M41" i="1"/>
  <c r="L41" i="1"/>
  <c r="G32" i="4" l="1"/>
  <c r="F32" i="4"/>
  <c r="G4" i="4" l="1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" i="4"/>
  <c r="G2" i="4"/>
  <c r="E2" i="4" l="1"/>
  <c r="B3" i="4" l="1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I41" i="1" l="1"/>
  <c r="D40" i="1"/>
  <c r="C40" i="1"/>
  <c r="B40" i="1"/>
  <c r="F10" i="4" l="1"/>
  <c r="G40" i="1"/>
  <c r="F2" i="4"/>
  <c r="E3" i="4"/>
  <c r="F3" i="4"/>
  <c r="E4" i="4"/>
  <c r="F4" i="4"/>
  <c r="E5" i="4"/>
  <c r="E6" i="4"/>
  <c r="F6" i="4"/>
  <c r="E7" i="4"/>
  <c r="F7" i="4"/>
  <c r="E8" i="4"/>
  <c r="F8" i="4"/>
  <c r="E9" i="4"/>
  <c r="E10" i="4"/>
  <c r="E11" i="4"/>
  <c r="F11" i="4"/>
  <c r="E12" i="4"/>
  <c r="F12" i="4"/>
  <c r="E13" i="4"/>
  <c r="E14" i="4"/>
  <c r="F14" i="4"/>
  <c r="E15" i="4"/>
  <c r="F15" i="4"/>
  <c r="E16" i="4"/>
  <c r="F16" i="4"/>
  <c r="E17" i="4"/>
  <c r="E18" i="4"/>
  <c r="F18" i="4"/>
  <c r="E19" i="4"/>
  <c r="F19" i="4"/>
  <c r="E20" i="4"/>
  <c r="E21" i="4"/>
  <c r="E22" i="4"/>
  <c r="E23" i="4"/>
  <c r="E24" i="4"/>
  <c r="F24" i="4"/>
  <c r="E25" i="4"/>
  <c r="E26" i="4"/>
  <c r="E27" i="4"/>
  <c r="E28" i="4"/>
  <c r="F28" i="4"/>
  <c r="E29" i="4"/>
  <c r="E30" i="4"/>
  <c r="E31" i="4"/>
  <c r="H40" i="1"/>
  <c r="F20" i="4"/>
  <c r="F21" i="4"/>
  <c r="F25" i="4"/>
  <c r="F29" i="4"/>
  <c r="E40" i="1"/>
  <c r="F5" i="4"/>
  <c r="F9" i="4"/>
  <c r="F13" i="4"/>
  <c r="F17" i="4"/>
  <c r="F22" i="4"/>
  <c r="F26" i="4"/>
  <c r="F30" i="4"/>
  <c r="F40" i="1"/>
  <c r="F23" i="4"/>
  <c r="F27" i="4"/>
  <c r="F31" i="4"/>
  <c r="J40" i="1" l="1"/>
  <c r="I44" i="1" s="1"/>
  <c r="I40" i="1"/>
  <c r="I43" i="1" s="1"/>
  <c r="I45" i="1" l="1"/>
  <c r="I46" i="1" s="1"/>
  <c r="I4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  <author>tc={76A71562-4984-44E5-AFC6-6E6A52FD3841}</author>
  </authors>
  <commentList>
    <comment ref="M4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 residence guest </t>
        </r>
      </text>
    </comment>
    <comment ref="N4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incude outsider</t>
        </r>
      </text>
    </comment>
    <comment ref="F6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rate update on nov-2018</t>
        </r>
      </text>
    </comment>
    <comment ref="G6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rate update on nov-2018</t>
        </r>
      </text>
    </comment>
    <comment ref="H6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rate update on nov-2018</t>
        </r>
      </text>
    </comment>
    <comment ref="J6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basim
</t>
        </r>
      </text>
    </comment>
    <comment ref="E21" authorId="1" shapeId="0" xr:uid="{76A71562-4984-44E5-AFC6-6E6A52FD3841}">
      <text>
        <t>[Threaded comment]
Your version of Excel allows you to read this threaded comment; however, any edits to it will get removed if the file is opened in a newer version of Excel. Learn more: https://go.microsoft.com/fwlink/?linkid=870924
Comment:
    meter not working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C7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change meter 26/5/18
</t>
        </r>
      </text>
    </comment>
  </commentList>
</comments>
</file>

<file path=xl/sharedStrings.xml><?xml version="1.0" encoding="utf-8"?>
<sst xmlns="http://schemas.openxmlformats.org/spreadsheetml/2006/main" count="138" uniqueCount="77">
  <si>
    <t>Site Name</t>
  </si>
  <si>
    <t>Day</t>
  </si>
  <si>
    <t>Month</t>
  </si>
  <si>
    <t>Year</t>
  </si>
  <si>
    <t>Total Electricity Kwh</t>
  </si>
  <si>
    <t>Electricity Tariff ($/Kwh)</t>
  </si>
  <si>
    <t>Water Utility Supply (m3) $/m3</t>
  </si>
  <si>
    <t xml:space="preserve">Room Nights </t>
  </si>
  <si>
    <t>Total Guests</t>
  </si>
  <si>
    <t>Food Covers</t>
  </si>
  <si>
    <t>Koh Samui</t>
  </si>
  <si>
    <t>Power Distribution log Sheet</t>
  </si>
  <si>
    <t>Villa</t>
  </si>
  <si>
    <t xml:space="preserve">Date </t>
  </si>
  <si>
    <t>Kwh A</t>
  </si>
  <si>
    <t>Kwh B</t>
  </si>
  <si>
    <t>Kwh C</t>
  </si>
  <si>
    <t>Total</t>
  </si>
  <si>
    <t>Cost A</t>
  </si>
  <si>
    <t>Cost B</t>
  </si>
  <si>
    <t>Cost C</t>
  </si>
  <si>
    <t>Cost/Day</t>
  </si>
  <si>
    <t>FT.Cost</t>
  </si>
  <si>
    <t>Room Nights</t>
  </si>
  <si>
    <t>On Peak</t>
  </si>
  <si>
    <t>Off  Peak</t>
  </si>
  <si>
    <t>Holiday</t>
  </si>
  <si>
    <t>Kwh</t>
  </si>
  <si>
    <t xml:space="preserve"> </t>
  </si>
  <si>
    <t>Peak Demand</t>
  </si>
  <si>
    <t xml:space="preserve">             Peak Demand</t>
  </si>
  <si>
    <t>Date</t>
  </si>
  <si>
    <t>Time</t>
  </si>
  <si>
    <t xml:space="preserve">Service  </t>
  </si>
  <si>
    <t xml:space="preserve">Electric Cost </t>
  </si>
  <si>
    <t>FT cost</t>
  </si>
  <si>
    <t>Baht</t>
  </si>
  <si>
    <t>Vat  7%</t>
  </si>
  <si>
    <t>***</t>
  </si>
  <si>
    <t>ค่า FT ที่ติดลบจะนำมาเป็นส่วนลดในการจ่ายค่าไฟ แต่ละเดือน ข้อมูลนี้ได้มาจากการไฟฟ้า สมุยแจ้งมา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</si>
  <si>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</si>
  <si>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Engineering Department</t>
  </si>
  <si>
    <t>Water Meter  Log Sheet Villas Zone</t>
  </si>
  <si>
    <t xml:space="preserve">Every Sunday HK Drain all Villas &amp; PA </t>
  </si>
  <si>
    <t>**new**</t>
  </si>
  <si>
    <t>old name coco rum</t>
  </si>
  <si>
    <t>Main Kit</t>
  </si>
  <si>
    <t>Unit</t>
  </si>
  <si>
    <t>Arrival sala</t>
  </si>
  <si>
    <t>Soi   100</t>
  </si>
  <si>
    <t>Soi 200</t>
  </si>
  <si>
    <t>Soi 300</t>
  </si>
  <si>
    <t>Soi 400</t>
  </si>
  <si>
    <t>Soi 500</t>
  </si>
  <si>
    <t>Soi 600</t>
  </si>
  <si>
    <t>Soi 700</t>
  </si>
  <si>
    <t xml:space="preserve">      Soi 800     3 room</t>
  </si>
  <si>
    <t>soi 900-901</t>
  </si>
  <si>
    <t>soi 902-907</t>
  </si>
  <si>
    <t xml:space="preserve">soi 908-910 Water supply from Soi 500 </t>
  </si>
  <si>
    <r>
      <t>All Soi Consumption M</t>
    </r>
    <r>
      <rPr>
        <b/>
        <vertAlign val="superscript"/>
        <sz val="10"/>
        <rFont val="Calibri"/>
        <family val="2"/>
        <scheme val="minor"/>
      </rPr>
      <t>3</t>
    </r>
  </si>
  <si>
    <t>Pla Pla</t>
  </si>
  <si>
    <t>Pla Pla2</t>
  </si>
  <si>
    <t xml:space="preserve">(Meter Tag Coco rum ) under CoCoRum for the Bar &amp; MP </t>
  </si>
  <si>
    <t>Spa</t>
  </si>
  <si>
    <t>Beach House &amp; kid club</t>
  </si>
  <si>
    <t xml:space="preserve"> GM Executive  Office </t>
  </si>
  <si>
    <t xml:space="preserve">Library Toilets </t>
  </si>
  <si>
    <t>Fitness</t>
  </si>
  <si>
    <t xml:space="preserve">Retail Shop Toielts </t>
  </si>
  <si>
    <t>Main Pool</t>
  </si>
  <si>
    <t xml:space="preserve">Total Villa Consumption </t>
  </si>
  <si>
    <t>Occ%</t>
  </si>
  <si>
    <t>Zero</t>
  </si>
  <si>
    <t>IXORA</t>
  </si>
  <si>
    <t>Remark</t>
  </si>
  <si>
    <r>
      <t xml:space="preserve">Water Utility </t>
    </r>
    <r>
      <rPr>
        <b/>
        <sz val="11"/>
        <color rgb="FFFF0000"/>
        <rFont val="Calibri"/>
        <family val="2"/>
        <scheme val="minor"/>
      </rPr>
      <t>Supply</t>
    </r>
    <r>
      <rPr>
        <b/>
        <sz val="11"/>
        <color theme="1"/>
        <rFont val="Calibri"/>
        <family val="2"/>
        <scheme val="minor"/>
      </rPr>
      <t xml:space="preserve"> (m3) m3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</si>
</sst>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B1mmm\-yy"/>
    <numFmt numFmtId="165" formatCode="_-* #,##0.00_-;\-* #,##0.00_-;_-* &quot;-&quot;??_-;_-@_-"/>
    <numFmt numFmtId="166" formatCode="_-* #,##0.0000_-;\-* #,##0.0000_-;_-* &quot;-&quot;??_-;_-@_-"/>
    <numFmt numFmtId="167" formatCode="[$-1010409]d\ mmmm\ yyyy;@"/>
    <numFmt numFmtId="168" formatCode="_(* #,##0_);_(* \(#,##0\);_(* &quot;-&quot;??_);_(@_)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4"/>
      <color indexed="8"/>
      <name val="Arial"/>
      <family val="2"/>
    </font>
    <font>
      <b/>
      <u/>
      <sz val="10"/>
      <color indexed="8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sz val="10"/>
      <color indexed="8"/>
      <name val="Arial"/>
      <family val="2"/>
    </font>
    <font>
      <b/>
      <sz val="10"/>
      <color indexed="10"/>
      <name val="Arial"/>
      <family val="2"/>
    </font>
    <font>
      <b/>
      <sz val="10"/>
      <name val="Arial"/>
      <family val="2"/>
    </font>
    <font>
      <sz val="10"/>
      <color theme="1"/>
      <name val="Verdana"/>
      <family val="2"/>
    </font>
    <font>
      <b/>
      <sz val="10"/>
      <color rgb="FF0000FF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sz val="8"/>
      <name val="Calibri"/>
      <family val="2"/>
      <scheme val="minor"/>
    </font>
    <font>
      <b/>
      <vertAlign val="superscript"/>
      <sz val="10"/>
      <name val="Calibri"/>
      <family val="2"/>
      <scheme val="minor"/>
    </font>
    <font>
      <sz val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0000FF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name val="Calibri"/>
      <family val="2"/>
      <scheme val="minor"/>
    </font>
    <font>
      <sz val="14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FF"/>
      <name val="Calibri"/>
      <family val="2"/>
      <scheme val="minor"/>
    </font>
    <font>
      <sz val="11"/>
      <color indexed="8"/>
      <name val="Calibri"/>
      <family val="2"/>
    </font>
    <font>
      <b/>
      <sz val="10"/>
      <color rgb="FF000000"/>
      <name val="Arial"/>
      <family val="2"/>
    </font>
    <font>
      <b/>
      <sz val="11"/>
      <color rgb="FFFFFFFF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FF0000"/>
      <name val="Arial"/>
      <family val="2"/>
    </font>
    <font>
      <sz val="10"/>
      <color theme="1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75BA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B8CCE4"/>
        <bgColor rgb="FF000000"/>
      </patternFill>
    </fill>
    <fill>
      <patternFill patternType="solid">
        <fgColor rgb="FFE6B8B7"/>
        <bgColor rgb="FF000000"/>
      </patternFill>
    </fill>
    <fill>
      <patternFill patternType="solid">
        <fgColor rgb="FFCCC0DA"/>
        <bgColor rgb="FF000000"/>
      </patternFill>
    </fill>
    <fill>
      <patternFill patternType="solid">
        <fgColor rgb="FFEBF1DE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theme="0"/>
        <bgColor rgb="FF000000"/>
      </patternFill>
    </fill>
  </fills>
  <borders count="3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0" borderId="0"/>
    <xf numFmtId="9" fontId="1" fillId="0" borderId="0" applyFont="0" applyFill="0" applyBorder="0" applyAlignment="0" applyProtection="0"/>
    <xf numFmtId="0" fontId="2" fillId="0" borderId="0"/>
  </cellStyleXfs>
  <cellXfs count="219">
    <xf numFmtId="0" fontId="0" fillId="0" borderId="0" xfId="0"/>
    <xf numFmtId="0" fontId="3" fillId="0" borderId="0" xfId="2" applyFont="1"/>
    <xf numFmtId="0" fontId="3" fillId="0" borderId="0" xfId="2" applyFont="1" applyAlignment="1"/>
    <xf numFmtId="0" fontId="3" fillId="0" borderId="0" xfId="2" applyFont="1" applyBorder="1" applyAlignment="1"/>
    <xf numFmtId="0" fontId="5" fillId="0" borderId="0" xfId="2" applyFont="1" applyAlignment="1">
      <alignment horizontal="center"/>
    </xf>
    <xf numFmtId="0" fontId="3" fillId="5" borderId="2" xfId="2" applyFont="1" applyFill="1" applyBorder="1" applyAlignment="1">
      <alignment horizontal="center" vertical="center"/>
    </xf>
    <xf numFmtId="0" fontId="3" fillId="5" borderId="6" xfId="2" applyFont="1" applyFill="1" applyBorder="1" applyAlignment="1">
      <alignment horizontal="center" vertical="center"/>
    </xf>
    <xf numFmtId="0" fontId="3" fillId="4" borderId="10" xfId="2" applyFont="1" applyFill="1" applyBorder="1" applyAlignment="1">
      <alignment horizontal="center" vertical="center"/>
    </xf>
    <xf numFmtId="0" fontId="3" fillId="5" borderId="10" xfId="2" applyFont="1" applyFill="1" applyBorder="1" applyAlignment="1">
      <alignment horizontal="center" vertical="center"/>
    </xf>
    <xf numFmtId="166" fontId="3" fillId="7" borderId="12" xfId="1" applyNumberFormat="1" applyFont="1" applyFill="1" applyBorder="1" applyAlignment="1">
      <alignment horizontal="center" vertical="center"/>
    </xf>
    <xf numFmtId="0" fontId="3" fillId="8" borderId="13" xfId="2" applyFont="1" applyFill="1" applyBorder="1" applyAlignment="1">
      <alignment horizontal="center" vertical="center"/>
    </xf>
    <xf numFmtId="4" fontId="3" fillId="10" borderId="6" xfId="2" applyNumberFormat="1" applyFont="1" applyFill="1" applyBorder="1"/>
    <xf numFmtId="165" fontId="3" fillId="11" borderId="13" xfId="1" applyNumberFormat="1" applyFont="1" applyFill="1" applyBorder="1"/>
    <xf numFmtId="165" fontId="2" fillId="13" borderId="13" xfId="1" applyNumberFormat="1" applyFont="1" applyFill="1" applyBorder="1"/>
    <xf numFmtId="0" fontId="3" fillId="8" borderId="6" xfId="2" applyFont="1" applyFill="1" applyBorder="1" applyAlignment="1">
      <alignment horizontal="center" vertical="center"/>
    </xf>
    <xf numFmtId="4" fontId="2" fillId="9" borderId="6" xfId="2" applyNumberFormat="1" applyFont="1" applyFill="1" applyBorder="1" applyAlignment="1">
      <alignment horizontal="center" wrapText="1"/>
    </xf>
    <xf numFmtId="165" fontId="8" fillId="12" borderId="6" xfId="1" applyNumberFormat="1" applyFont="1" applyFill="1" applyBorder="1" applyAlignment="1">
      <alignment horizontal="center" vertical="center"/>
    </xf>
    <xf numFmtId="4" fontId="2" fillId="9" borderId="6" xfId="2" applyNumberFormat="1" applyFont="1" applyFill="1" applyBorder="1" applyAlignment="1">
      <alignment horizontal="center"/>
    </xf>
    <xf numFmtId="0" fontId="9" fillId="0" borderId="0" xfId="2" applyFont="1"/>
    <xf numFmtId="4" fontId="11" fillId="9" borderId="6" xfId="2" applyNumberFormat="1" applyFont="1" applyFill="1" applyBorder="1" applyAlignment="1">
      <alignment horizontal="center"/>
    </xf>
    <xf numFmtId="0" fontId="8" fillId="0" borderId="0" xfId="2" applyFont="1"/>
    <xf numFmtId="165" fontId="8" fillId="0" borderId="0" xfId="1" applyNumberFormat="1" applyFont="1"/>
    <xf numFmtId="0" fontId="3" fillId="0" borderId="0" xfId="2" applyFont="1" applyAlignment="1">
      <alignment horizontal="center"/>
    </xf>
    <xf numFmtId="165" fontId="8" fillId="0" borderId="0" xfId="2" applyNumberFormat="1" applyFont="1" applyAlignment="1"/>
    <xf numFmtId="0" fontId="8" fillId="0" borderId="0" xfId="2" applyFont="1" applyAlignment="1"/>
    <xf numFmtId="0" fontId="3" fillId="0" borderId="6" xfId="2" applyFont="1" applyBorder="1" applyAlignment="1">
      <alignment horizontal="center"/>
    </xf>
    <xf numFmtId="165" fontId="3" fillId="0" borderId="6" xfId="1" applyNumberFormat="1" applyFont="1" applyBorder="1" applyAlignment="1">
      <alignment horizontal="center"/>
    </xf>
    <xf numFmtId="165" fontId="8" fillId="0" borderId="0" xfId="2" applyNumberFormat="1" applyFont="1"/>
    <xf numFmtId="165" fontId="3" fillId="0" borderId="6" xfId="1" quotePrefix="1" applyNumberFormat="1" applyFont="1" applyBorder="1" applyAlignment="1"/>
    <xf numFmtId="0" fontId="8" fillId="0" borderId="0" xfId="2" quotePrefix="1" applyFont="1" applyAlignment="1"/>
    <xf numFmtId="0" fontId="8" fillId="0" borderId="0" xfId="2" applyFont="1" applyBorder="1" applyAlignment="1"/>
    <xf numFmtId="165" fontId="3" fillId="0" borderId="0" xfId="1" applyNumberFormat="1" applyFont="1" applyAlignment="1"/>
    <xf numFmtId="9" fontId="3" fillId="0" borderId="0" xfId="2" applyNumberFormat="1" applyFont="1" applyAlignment="1">
      <alignment horizontal="center"/>
    </xf>
    <xf numFmtId="165" fontId="3" fillId="14" borderId="0" xfId="2" applyNumberFormat="1" applyFont="1" applyFill="1"/>
    <xf numFmtId="0" fontId="12" fillId="0" borderId="0" xfId="2" applyFont="1" applyAlignment="1">
      <alignment horizontal="right"/>
    </xf>
    <xf numFmtId="0" fontId="12" fillId="0" borderId="0" xfId="2" applyFont="1"/>
    <xf numFmtId="0" fontId="18" fillId="0" borderId="0" xfId="0" applyFont="1" applyAlignment="1">
      <alignment horizontal="center"/>
    </xf>
    <xf numFmtId="0" fontId="18" fillId="0" borderId="0" xfId="0" applyFont="1"/>
    <xf numFmtId="0" fontId="18" fillId="0" borderId="0" xfId="0" applyFont="1" applyBorder="1" applyAlignment="1">
      <alignment horizontal="center"/>
    </xf>
    <xf numFmtId="0" fontId="18" fillId="0" borderId="0" xfId="0" applyFont="1" applyFill="1" applyBorder="1" applyAlignment="1">
      <alignment horizontal="center"/>
    </xf>
    <xf numFmtId="0" fontId="19" fillId="0" borderId="0" xfId="0" applyFont="1" applyAlignment="1">
      <alignment horizontal="left"/>
    </xf>
    <xf numFmtId="0" fontId="18" fillId="0" borderId="0" xfId="0" applyFont="1" applyAlignment="1">
      <alignment horizontal="left"/>
    </xf>
    <xf numFmtId="0" fontId="18" fillId="0" borderId="0" xfId="0" applyFont="1" applyFill="1" applyAlignment="1">
      <alignment horizontal="center"/>
    </xf>
    <xf numFmtId="0" fontId="22" fillId="0" borderId="0" xfId="0" applyFont="1" applyFill="1" applyAlignment="1">
      <alignment horizontal="center"/>
    </xf>
    <xf numFmtId="0" fontId="22" fillId="0" borderId="0" xfId="0" applyFont="1" applyFill="1" applyAlignment="1">
      <alignment horizontal="center" vertical="center"/>
    </xf>
    <xf numFmtId="0" fontId="22" fillId="0" borderId="0" xfId="0" applyFont="1" applyFill="1" applyBorder="1" applyAlignment="1">
      <alignment horizontal="center"/>
    </xf>
    <xf numFmtId="0" fontId="22" fillId="0" borderId="0" xfId="0" applyFont="1" applyBorder="1" applyAlignment="1">
      <alignment horizontal="center"/>
    </xf>
    <xf numFmtId="0" fontId="22" fillId="15" borderId="0" xfId="0" applyFont="1" applyFill="1" applyBorder="1" applyAlignment="1">
      <alignment horizontal="center"/>
    </xf>
    <xf numFmtId="0" fontId="23" fillId="0" borderId="0" xfId="0" applyFont="1" applyAlignment="1">
      <alignment horizontal="center"/>
    </xf>
    <xf numFmtId="0" fontId="24" fillId="0" borderId="0" xfId="0" applyFont="1" applyBorder="1" applyAlignment="1">
      <alignment wrapText="1"/>
    </xf>
    <xf numFmtId="0" fontId="22" fillId="14" borderId="0" xfId="0" applyFont="1" applyFill="1" applyBorder="1" applyAlignment="1">
      <alignment horizontal="center" wrapText="1"/>
    </xf>
    <xf numFmtId="0" fontId="25" fillId="2" borderId="16" xfId="0" applyFont="1" applyFill="1" applyBorder="1" applyAlignment="1">
      <alignment horizontal="center" vertical="center" wrapText="1"/>
    </xf>
    <xf numFmtId="0" fontId="25" fillId="16" borderId="16" xfId="0" applyFont="1" applyFill="1" applyBorder="1" applyAlignment="1">
      <alignment horizontal="center" vertical="center" wrapText="1"/>
    </xf>
    <xf numFmtId="0" fontId="25" fillId="14" borderId="16" xfId="0" applyFont="1" applyFill="1" applyBorder="1" applyAlignment="1">
      <alignment horizontal="center" vertical="center" wrapText="1"/>
    </xf>
    <xf numFmtId="0" fontId="25" fillId="8" borderId="16" xfId="0" applyFont="1" applyFill="1" applyBorder="1" applyAlignment="1">
      <alignment horizontal="center" vertical="center" wrapText="1"/>
    </xf>
    <xf numFmtId="0" fontId="25" fillId="11" borderId="16" xfId="0" applyFont="1" applyFill="1" applyBorder="1" applyAlignment="1">
      <alignment horizontal="center" vertical="center" wrapText="1"/>
    </xf>
    <xf numFmtId="0" fontId="25" fillId="12" borderId="16" xfId="0" applyFont="1" applyFill="1" applyBorder="1" applyAlignment="1">
      <alignment horizontal="center" vertical="center" wrapText="1"/>
    </xf>
    <xf numFmtId="0" fontId="25" fillId="13" borderId="16" xfId="0" applyFont="1" applyFill="1" applyBorder="1" applyAlignment="1">
      <alignment horizontal="center" vertical="center" wrapText="1"/>
    </xf>
    <xf numFmtId="0" fontId="25" fillId="10" borderId="16" xfId="0" applyFont="1" applyFill="1" applyBorder="1" applyAlignment="1">
      <alignment horizontal="center" vertical="center" wrapText="1"/>
    </xf>
    <xf numFmtId="0" fontId="25" fillId="17" borderId="16" xfId="0" applyFont="1" applyFill="1" applyBorder="1" applyAlignment="1">
      <alignment horizontal="center" vertical="center" wrapText="1"/>
    </xf>
    <xf numFmtId="0" fontId="25" fillId="18" borderId="16" xfId="0" applyFont="1" applyFill="1" applyBorder="1" applyAlignment="1">
      <alignment horizontal="center" vertical="center" wrapText="1"/>
    </xf>
    <xf numFmtId="0" fontId="25" fillId="19" borderId="16" xfId="0" applyFont="1" applyFill="1" applyBorder="1" applyAlignment="1">
      <alignment horizontal="center" vertical="center" wrapText="1"/>
    </xf>
    <xf numFmtId="0" fontId="25" fillId="20" borderId="16" xfId="0" applyFont="1" applyFill="1" applyBorder="1" applyAlignment="1">
      <alignment horizontal="center" vertical="center" wrapText="1"/>
    </xf>
    <xf numFmtId="0" fontId="26" fillId="21" borderId="16" xfId="0" applyFont="1" applyFill="1" applyBorder="1" applyAlignment="1">
      <alignment horizontal="center" vertical="center" wrapText="1"/>
    </xf>
    <xf numFmtId="0" fontId="25" fillId="21" borderId="16" xfId="0" applyFont="1" applyFill="1" applyBorder="1" applyAlignment="1">
      <alignment horizontal="center" vertical="center" wrapText="1"/>
    </xf>
    <xf numFmtId="0" fontId="25" fillId="21" borderId="17" xfId="0" applyFont="1" applyFill="1" applyBorder="1" applyAlignment="1">
      <alignment horizontal="center" vertical="center" wrapText="1"/>
    </xf>
    <xf numFmtId="0" fontId="25" fillId="22" borderId="16" xfId="0" applyFont="1" applyFill="1" applyBorder="1" applyAlignment="1">
      <alignment horizontal="center" vertical="center" wrapText="1"/>
    </xf>
    <xf numFmtId="0" fontId="26" fillId="23" borderId="16" xfId="0" applyFont="1" applyFill="1" applyBorder="1" applyAlignment="1">
      <alignment horizontal="left" vertical="center" wrapText="1" indent="1"/>
    </xf>
    <xf numFmtId="0" fontId="25" fillId="23" borderId="16" xfId="0" applyFont="1" applyFill="1" applyBorder="1" applyAlignment="1">
      <alignment horizontal="center" vertical="center" wrapText="1"/>
    </xf>
    <xf numFmtId="0" fontId="25" fillId="24" borderId="16" xfId="0" applyFont="1" applyFill="1" applyBorder="1" applyAlignment="1">
      <alignment horizontal="center" vertical="center" wrapText="1"/>
    </xf>
    <xf numFmtId="0" fontId="25" fillId="25" borderId="16" xfId="0" applyFont="1" applyFill="1" applyBorder="1" applyAlignment="1">
      <alignment horizontal="center" vertical="center" wrapText="1"/>
    </xf>
    <xf numFmtId="0" fontId="25" fillId="26" borderId="16" xfId="0" applyFont="1" applyFill="1" applyBorder="1" applyAlignment="1">
      <alignment horizontal="center" vertical="center" wrapText="1"/>
    </xf>
    <xf numFmtId="0" fontId="25" fillId="2" borderId="18" xfId="0" applyFont="1" applyFill="1" applyBorder="1" applyAlignment="1">
      <alignment horizontal="center" vertical="center" wrapText="1"/>
    </xf>
    <xf numFmtId="0" fontId="18" fillId="14" borderId="19" xfId="0" applyFont="1" applyFill="1" applyBorder="1" applyAlignment="1">
      <alignment horizontal="center" vertical="center" wrapText="1"/>
    </xf>
    <xf numFmtId="0" fontId="18" fillId="0" borderId="0" xfId="0" applyFont="1" applyAlignment="1">
      <alignment vertical="center" wrapText="1"/>
    </xf>
    <xf numFmtId="0" fontId="15" fillId="27" borderId="16" xfId="0" applyFont="1" applyFill="1" applyBorder="1" applyAlignment="1">
      <alignment horizontal="center"/>
    </xf>
    <xf numFmtId="2" fontId="15" fillId="27" borderId="21" xfId="0" applyNumberFormat="1" applyFont="1" applyFill="1" applyBorder="1" applyAlignment="1">
      <alignment horizontal="center" vertical="center"/>
    </xf>
    <xf numFmtId="0" fontId="15" fillId="0" borderId="0" xfId="0" applyFont="1"/>
    <xf numFmtId="0" fontId="18" fillId="2" borderId="22" xfId="0" applyFont="1" applyFill="1" applyBorder="1" applyAlignment="1">
      <alignment horizontal="center"/>
    </xf>
    <xf numFmtId="2" fontId="18" fillId="0" borderId="23" xfId="0" applyNumberFormat="1" applyFont="1" applyFill="1" applyBorder="1" applyAlignment="1">
      <alignment horizontal="center" vertical="center"/>
    </xf>
    <xf numFmtId="0" fontId="18" fillId="0" borderId="6" xfId="0" applyFont="1" applyFill="1" applyBorder="1"/>
    <xf numFmtId="0" fontId="18" fillId="0" borderId="0" xfId="0" applyFont="1" applyFill="1"/>
    <xf numFmtId="0" fontId="24" fillId="15" borderId="0" xfId="0" applyFont="1" applyFill="1" applyAlignment="1">
      <alignment horizontal="center"/>
    </xf>
    <xf numFmtId="0" fontId="23" fillId="15" borderId="0" xfId="0" applyFont="1" applyFill="1" applyAlignment="1">
      <alignment horizontal="center"/>
    </xf>
    <xf numFmtId="9" fontId="18" fillId="0" borderId="0" xfId="3" applyFont="1" applyAlignment="1">
      <alignment horizontal="center"/>
    </xf>
    <xf numFmtId="0" fontId="29" fillId="0" borderId="0" xfId="0" applyFont="1" applyAlignment="1">
      <alignment horizontal="left"/>
    </xf>
    <xf numFmtId="0" fontId="30" fillId="0" borderId="0" xfId="0" applyFont="1" applyAlignment="1">
      <alignment horizontal="left"/>
    </xf>
    <xf numFmtId="0" fontId="31" fillId="0" borderId="0" xfId="0" applyFont="1" applyAlignment="1">
      <alignment horizontal="left"/>
    </xf>
    <xf numFmtId="0" fontId="32" fillId="0" borderId="0" xfId="0" applyFont="1" applyAlignment="1">
      <alignment horizontal="center"/>
    </xf>
    <xf numFmtId="0" fontId="32" fillId="0" borderId="0" xfId="0" applyFont="1" applyAlignment="1">
      <alignment horizontal="left"/>
    </xf>
    <xf numFmtId="0" fontId="33" fillId="0" borderId="0" xfId="0" applyFont="1" applyAlignment="1">
      <alignment horizontal="left"/>
    </xf>
    <xf numFmtId="0" fontId="28" fillId="0" borderId="0" xfId="0" applyFont="1" applyAlignment="1">
      <alignment horizontal="center"/>
    </xf>
    <xf numFmtId="0" fontId="34" fillId="0" borderId="0" xfId="0" applyFont="1" applyAlignment="1">
      <alignment horizontal="left"/>
    </xf>
    <xf numFmtId="0" fontId="35" fillId="0" borderId="0" xfId="0" applyFont="1" applyAlignment="1">
      <alignment horizontal="left"/>
    </xf>
    <xf numFmtId="0" fontId="34" fillId="0" borderId="0" xfId="0" applyFont="1" applyAlignment="1">
      <alignment horizontal="center"/>
    </xf>
    <xf numFmtId="0" fontId="17" fillId="0" borderId="6" xfId="4" applyFont="1" applyBorder="1" applyAlignment="1">
      <alignment horizontal="center" vertical="center"/>
    </xf>
    <xf numFmtId="0" fontId="20" fillId="0" borderId="6" xfId="4" applyFont="1" applyBorder="1" applyAlignment="1">
      <alignment horizontal="center" vertical="center"/>
    </xf>
    <xf numFmtId="0" fontId="17" fillId="0" borderId="6" xfId="4" applyFont="1" applyBorder="1" applyAlignment="1">
      <alignment horizontal="center" vertical="center" wrapText="1"/>
    </xf>
    <xf numFmtId="2" fontId="20" fillId="0" borderId="6" xfId="4" applyNumberFormat="1" applyFont="1" applyBorder="1" applyAlignment="1">
      <alignment horizontal="center" vertical="center" wrapText="1"/>
    </xf>
    <xf numFmtId="0" fontId="20" fillId="0" borderId="6" xfId="4" applyFont="1" applyBorder="1" applyAlignment="1">
      <alignment horizontal="center" vertical="center" wrapText="1"/>
    </xf>
    <xf numFmtId="0" fontId="2" fillId="0" borderId="0" xfId="4"/>
    <xf numFmtId="0" fontId="36" fillId="0" borderId="6" xfId="4" applyFont="1" applyBorder="1" applyAlignment="1">
      <alignment horizontal="center"/>
    </xf>
    <xf numFmtId="0" fontId="17" fillId="0" borderId="6" xfId="4" applyFont="1" applyBorder="1" applyAlignment="1">
      <alignment horizontal="center"/>
    </xf>
    <xf numFmtId="0" fontId="20" fillId="0" borderId="6" xfId="4" applyFont="1" applyBorder="1" applyAlignment="1">
      <alignment horizontal="center"/>
    </xf>
    <xf numFmtId="1" fontId="2" fillId="0" borderId="6" xfId="4" applyNumberFormat="1" applyBorder="1" applyAlignment="1">
      <alignment horizontal="center"/>
    </xf>
    <xf numFmtId="2" fontId="16" fillId="0" borderId="6" xfId="4" applyNumberFormat="1" applyFont="1" applyBorder="1" applyAlignment="1">
      <alignment horizontal="center"/>
    </xf>
    <xf numFmtId="1" fontId="16" fillId="0" borderId="6" xfId="4" applyNumberFormat="1" applyFont="1" applyBorder="1" applyAlignment="1">
      <alignment horizontal="center"/>
    </xf>
    <xf numFmtId="4" fontId="7" fillId="17" borderId="6" xfId="2" applyNumberFormat="1" applyFont="1" applyFill="1" applyBorder="1" applyAlignment="1">
      <alignment horizontal="center"/>
    </xf>
    <xf numFmtId="4" fontId="2" fillId="17" borderId="13" xfId="2" applyNumberFormat="1" applyFont="1" applyFill="1" applyBorder="1" applyAlignment="1">
      <alignment horizontal="center" wrapText="1"/>
    </xf>
    <xf numFmtId="4" fontId="2" fillId="17" borderId="6" xfId="2" applyNumberFormat="1" applyFont="1" applyFill="1" applyBorder="1" applyAlignment="1">
      <alignment horizontal="center" wrapText="1"/>
    </xf>
    <xf numFmtId="4" fontId="2" fillId="17" borderId="6" xfId="2" applyNumberFormat="1" applyFont="1" applyFill="1" applyBorder="1" applyAlignment="1">
      <alignment horizontal="center" vertical="center" wrapText="1"/>
    </xf>
    <xf numFmtId="4" fontId="2" fillId="17" borderId="6" xfId="2" applyNumberFormat="1" applyFont="1" applyFill="1" applyBorder="1" applyAlignment="1">
      <alignment horizontal="center"/>
    </xf>
    <xf numFmtId="4" fontId="2" fillId="17" borderId="24" xfId="2" applyNumberFormat="1" applyFont="1" applyFill="1" applyBorder="1" applyAlignment="1">
      <alignment horizontal="center" wrapText="1"/>
    </xf>
    <xf numFmtId="4" fontId="2" fillId="17" borderId="24" xfId="2" applyNumberFormat="1" applyFont="1" applyFill="1" applyBorder="1" applyAlignment="1">
      <alignment horizontal="center"/>
    </xf>
    <xf numFmtId="165" fontId="3" fillId="11" borderId="6" xfId="1" applyNumberFormat="1" applyFont="1" applyFill="1" applyBorder="1"/>
    <xf numFmtId="165" fontId="2" fillId="13" borderId="6" xfId="1" applyNumberFormat="1" applyFont="1" applyFill="1" applyBorder="1"/>
    <xf numFmtId="168" fontId="25" fillId="2" borderId="25" xfId="1" applyNumberFormat="1" applyFont="1" applyFill="1" applyBorder="1" applyAlignment="1">
      <alignment horizontal="center"/>
    </xf>
    <xf numFmtId="0" fontId="3" fillId="15" borderId="0" xfId="2" applyFont="1" applyFill="1" applyBorder="1" applyAlignment="1">
      <alignment horizontal="center" vertical="center"/>
    </xf>
    <xf numFmtId="4" fontId="11" fillId="15" borderId="0" xfId="2" applyNumberFormat="1" applyFont="1" applyFill="1" applyBorder="1" applyAlignment="1">
      <alignment horizontal="center"/>
    </xf>
    <xf numFmtId="4" fontId="2" fillId="15" borderId="0" xfId="2" applyNumberFormat="1" applyFont="1" applyFill="1" applyBorder="1" applyAlignment="1">
      <alignment horizontal="center" wrapText="1"/>
    </xf>
    <xf numFmtId="4" fontId="2" fillId="15" borderId="0" xfId="2" applyNumberFormat="1" applyFont="1" applyFill="1" applyBorder="1" applyAlignment="1">
      <alignment horizontal="center"/>
    </xf>
    <xf numFmtId="165" fontId="3" fillId="15" borderId="0" xfId="1" applyNumberFormat="1" applyFont="1" applyFill="1" applyBorder="1"/>
    <xf numFmtId="165" fontId="8" fillId="15" borderId="0" xfId="1" applyNumberFormat="1" applyFont="1" applyFill="1" applyBorder="1" applyAlignment="1">
      <alignment horizontal="center" vertical="center"/>
    </xf>
    <xf numFmtId="165" fontId="2" fillId="15" borderId="0" xfId="1" applyNumberFormat="1" applyFont="1" applyFill="1" applyBorder="1"/>
    <xf numFmtId="0" fontId="3" fillId="15" borderId="0" xfId="2" applyFont="1" applyFill="1"/>
    <xf numFmtId="4" fontId="11" fillId="17" borderId="26" xfId="2" applyNumberFormat="1" applyFont="1" applyFill="1" applyBorder="1" applyAlignment="1">
      <alignment horizontal="center"/>
    </xf>
    <xf numFmtId="4" fontId="11" fillId="17" borderId="15" xfId="2" applyNumberFormat="1" applyFont="1" applyFill="1" applyBorder="1" applyAlignment="1">
      <alignment horizontal="center"/>
    </xf>
    <xf numFmtId="0" fontId="3" fillId="0" borderId="0" xfId="2" applyFont="1" applyBorder="1"/>
    <xf numFmtId="4" fontId="3" fillId="15" borderId="7" xfId="2" applyNumberFormat="1" applyFont="1" applyFill="1" applyBorder="1"/>
    <xf numFmtId="0" fontId="8" fillId="0" borderId="6" xfId="2" applyFont="1" applyBorder="1" applyAlignment="1">
      <alignment horizontal="center"/>
    </xf>
    <xf numFmtId="165" fontId="3" fillId="0" borderId="6" xfId="1" applyNumberFormat="1" applyFont="1" applyBorder="1"/>
    <xf numFmtId="165" fontId="6" fillId="0" borderId="6" xfId="1" applyNumberFormat="1" applyFont="1" applyBorder="1"/>
    <xf numFmtId="0" fontId="18" fillId="2" borderId="27" xfId="0" applyFont="1" applyFill="1" applyBorder="1" applyAlignment="1">
      <alignment horizontal="center"/>
    </xf>
    <xf numFmtId="4" fontId="2" fillId="9" borderId="28" xfId="2" applyNumberFormat="1" applyFill="1" applyBorder="1" applyAlignment="1">
      <alignment horizontal="center" wrapText="1"/>
    </xf>
    <xf numFmtId="4" fontId="2" fillId="9" borderId="28" xfId="2" applyNumberFormat="1" applyFill="1" applyBorder="1" applyAlignment="1">
      <alignment horizontal="center"/>
    </xf>
    <xf numFmtId="4" fontId="3" fillId="10" borderId="28" xfId="2" applyNumberFormat="1" applyFont="1" applyFill="1" applyBorder="1"/>
    <xf numFmtId="165" fontId="3" fillId="11" borderId="28" xfId="1" applyNumberFormat="1" applyFont="1" applyFill="1" applyBorder="1"/>
    <xf numFmtId="165" fontId="8" fillId="12" borderId="28" xfId="1" applyNumberFormat="1" applyFont="1" applyFill="1" applyBorder="1" applyAlignment="1">
      <alignment horizontal="center" vertical="center"/>
    </xf>
    <xf numFmtId="165" fontId="2" fillId="13" borderId="28" xfId="1" applyNumberFormat="1" applyFont="1" applyFill="1" applyBorder="1"/>
    <xf numFmtId="4" fontId="2" fillId="9" borderId="30" xfId="2" applyNumberFormat="1" applyFill="1" applyBorder="1" applyAlignment="1">
      <alignment horizontal="center"/>
    </xf>
    <xf numFmtId="4" fontId="7" fillId="9" borderId="28" xfId="2" applyNumberFormat="1" applyFont="1" applyFill="1" applyBorder="1" applyAlignment="1">
      <alignment horizontal="center"/>
    </xf>
    <xf numFmtId="4" fontId="10" fillId="10" borderId="28" xfId="2" applyNumberFormat="1" applyFont="1" applyFill="1" applyBorder="1"/>
    <xf numFmtId="4" fontId="2" fillId="9" borderId="28" xfId="2" applyNumberFormat="1" applyFont="1" applyFill="1" applyBorder="1" applyAlignment="1">
      <alignment horizontal="center" wrapText="1"/>
    </xf>
    <xf numFmtId="4" fontId="2" fillId="9" borderId="28" xfId="2" applyNumberFormat="1" applyFont="1" applyFill="1" applyBorder="1" applyAlignment="1">
      <alignment horizontal="center"/>
    </xf>
    <xf numFmtId="4" fontId="7" fillId="28" borderId="31" xfId="0" applyNumberFormat="1" applyFont="1" applyFill="1" applyBorder="1" applyAlignment="1">
      <alignment horizontal="center"/>
    </xf>
    <xf numFmtId="0" fontId="2" fillId="28" borderId="31" xfId="0" applyFont="1" applyFill="1" applyBorder="1" applyAlignment="1">
      <alignment horizontal="center" wrapText="1"/>
    </xf>
    <xf numFmtId="4" fontId="37" fillId="29" borderId="31" xfId="0" applyNumberFormat="1" applyFont="1" applyFill="1" applyBorder="1"/>
    <xf numFmtId="4" fontId="37" fillId="30" borderId="31" xfId="0" applyNumberFormat="1" applyFont="1" applyFill="1" applyBorder="1"/>
    <xf numFmtId="0" fontId="37" fillId="30" borderId="31" xfId="0" applyFont="1" applyFill="1" applyBorder="1"/>
    <xf numFmtId="4" fontId="7" fillId="31" borderId="31" xfId="0" applyNumberFormat="1" applyFont="1" applyFill="1" applyBorder="1" applyAlignment="1">
      <alignment horizontal="center" vertical="center"/>
    </xf>
    <xf numFmtId="4" fontId="7" fillId="28" borderId="28" xfId="0" applyNumberFormat="1" applyFont="1" applyFill="1" applyBorder="1" applyAlignment="1">
      <alignment horizontal="center"/>
    </xf>
    <xf numFmtId="0" fontId="2" fillId="28" borderId="28" xfId="0" applyFont="1" applyFill="1" applyBorder="1" applyAlignment="1">
      <alignment horizontal="center" wrapText="1"/>
    </xf>
    <xf numFmtId="4" fontId="37" fillId="29" borderId="28" xfId="0" applyNumberFormat="1" applyFont="1" applyFill="1" applyBorder="1"/>
    <xf numFmtId="4" fontId="37" fillId="30" borderId="28" xfId="0" applyNumberFormat="1" applyFont="1" applyFill="1" applyBorder="1"/>
    <xf numFmtId="0" fontId="37" fillId="30" borderId="28" xfId="0" applyFont="1" applyFill="1" applyBorder="1"/>
    <xf numFmtId="4" fontId="7" fillId="31" borderId="28" xfId="0" applyNumberFormat="1" applyFont="1" applyFill="1" applyBorder="1" applyAlignment="1">
      <alignment horizontal="center" vertical="center"/>
    </xf>
    <xf numFmtId="0" fontId="2" fillId="32" borderId="28" xfId="0" applyFont="1" applyFill="1" applyBorder="1"/>
    <xf numFmtId="4" fontId="10" fillId="29" borderId="28" xfId="0" applyNumberFormat="1" applyFont="1" applyFill="1" applyBorder="1"/>
    <xf numFmtId="0" fontId="7" fillId="28" borderId="28" xfId="0" applyFont="1" applyFill="1" applyBorder="1" applyAlignment="1">
      <alignment horizontal="center"/>
    </xf>
    <xf numFmtId="4" fontId="2" fillId="32" borderId="28" xfId="0" applyNumberFormat="1" applyFont="1" applyFill="1" applyBorder="1"/>
    <xf numFmtId="4" fontId="2" fillId="28" borderId="28" xfId="0" applyNumberFormat="1" applyFont="1" applyFill="1" applyBorder="1" applyAlignment="1">
      <alignment horizontal="center" wrapText="1"/>
    </xf>
    <xf numFmtId="0" fontId="2" fillId="28" borderId="28" xfId="0" applyFont="1" applyFill="1" applyBorder="1" applyAlignment="1">
      <alignment horizontal="center"/>
    </xf>
    <xf numFmtId="0" fontId="38" fillId="33" borderId="16" xfId="0" applyFont="1" applyFill="1" applyBorder="1" applyAlignment="1">
      <alignment horizontal="center"/>
    </xf>
    <xf numFmtId="0" fontId="39" fillId="0" borderId="29" xfId="0" applyFont="1" applyBorder="1" applyAlignment="1">
      <alignment horizontal="center"/>
    </xf>
    <xf numFmtId="0" fontId="38" fillId="33" borderId="20" xfId="0" applyFont="1" applyFill="1" applyBorder="1" applyAlignment="1">
      <alignment horizontal="center"/>
    </xf>
    <xf numFmtId="0" fontId="25" fillId="0" borderId="33" xfId="0" applyFont="1" applyBorder="1" applyAlignment="1">
      <alignment horizontal="center"/>
    </xf>
    <xf numFmtId="0" fontId="25" fillId="0" borderId="29" xfId="0" applyFont="1" applyBorder="1" applyAlignment="1">
      <alignment horizontal="center"/>
    </xf>
    <xf numFmtId="4" fontId="2" fillId="28" borderId="28" xfId="0" applyNumberFormat="1" applyFont="1" applyFill="1" applyBorder="1" applyAlignment="1">
      <alignment horizontal="center"/>
    </xf>
    <xf numFmtId="4" fontId="7" fillId="28" borderId="30" xfId="0" applyNumberFormat="1" applyFont="1" applyFill="1" applyBorder="1" applyAlignment="1">
      <alignment horizontal="center"/>
    </xf>
    <xf numFmtId="0" fontId="2" fillId="28" borderId="30" xfId="0" applyFont="1" applyFill="1" applyBorder="1" applyAlignment="1">
      <alignment horizontal="center"/>
    </xf>
    <xf numFmtId="4" fontId="2" fillId="32" borderId="31" xfId="0" applyNumberFormat="1" applyFont="1" applyFill="1" applyBorder="1"/>
    <xf numFmtId="4" fontId="40" fillId="28" borderId="28" xfId="0" applyNumberFormat="1" applyFont="1" applyFill="1" applyBorder="1" applyAlignment="1">
      <alignment horizontal="center" vertical="center" wrapText="1"/>
    </xf>
    <xf numFmtId="4" fontId="40" fillId="28" borderId="28" xfId="0" applyNumberFormat="1" applyFont="1" applyFill="1" applyBorder="1" applyAlignment="1">
      <alignment horizontal="center"/>
    </xf>
    <xf numFmtId="0" fontId="3" fillId="17" borderId="3" xfId="2" applyFont="1" applyFill="1" applyBorder="1" applyAlignment="1">
      <alignment horizontal="center" vertical="center"/>
    </xf>
    <xf numFmtId="0" fontId="3" fillId="17" borderId="7" xfId="2" applyFont="1" applyFill="1" applyBorder="1" applyAlignment="1">
      <alignment horizontal="center" vertical="center"/>
    </xf>
    <xf numFmtId="0" fontId="3" fillId="17" borderId="11" xfId="2" applyFont="1" applyFill="1" applyBorder="1" applyAlignment="1">
      <alignment horizontal="center" vertical="center"/>
    </xf>
    <xf numFmtId="0" fontId="3" fillId="6" borderId="3" xfId="2" applyFont="1" applyFill="1" applyBorder="1" applyAlignment="1">
      <alignment horizontal="center" vertical="center"/>
    </xf>
    <xf numFmtId="0" fontId="3" fillId="6" borderId="7" xfId="2" applyFont="1" applyFill="1" applyBorder="1" applyAlignment="1">
      <alignment horizontal="center" vertical="center"/>
    </xf>
    <xf numFmtId="0" fontId="3" fillId="6" borderId="11" xfId="2" applyFont="1" applyFill="1" applyBorder="1" applyAlignment="1">
      <alignment horizontal="center" vertical="center"/>
    </xf>
    <xf numFmtId="165" fontId="3" fillId="7" borderId="4" xfId="1" applyNumberFormat="1" applyFont="1" applyFill="1" applyBorder="1" applyAlignment="1">
      <alignment horizontal="center" vertical="center"/>
    </xf>
    <xf numFmtId="165" fontId="3" fillId="7" borderId="8" xfId="1" applyNumberFormat="1" applyFont="1" applyFill="1" applyBorder="1" applyAlignment="1">
      <alignment horizontal="center" vertical="center"/>
    </xf>
    <xf numFmtId="14" fontId="3" fillId="0" borderId="14" xfId="2" applyNumberFormat="1" applyFont="1" applyBorder="1" applyAlignment="1">
      <alignment horizontal="center"/>
    </xf>
    <xf numFmtId="14" fontId="3" fillId="0" borderId="15" xfId="2" applyNumberFormat="1" applyFont="1" applyBorder="1" applyAlignment="1">
      <alignment horizontal="center"/>
    </xf>
    <xf numFmtId="43" fontId="3" fillId="0" borderId="14" xfId="1" applyFont="1" applyBorder="1" applyAlignment="1">
      <alignment horizontal="center" vertical="center"/>
    </xf>
    <xf numFmtId="43" fontId="3" fillId="0" borderId="15" xfId="1" applyFont="1" applyBorder="1" applyAlignment="1">
      <alignment horizontal="center" vertical="center"/>
    </xf>
    <xf numFmtId="167" fontId="3" fillId="0" borderId="14" xfId="2" applyNumberFormat="1" applyFont="1" applyBorder="1" applyAlignment="1">
      <alignment horizontal="center"/>
    </xf>
    <xf numFmtId="167" fontId="3" fillId="0" borderId="15" xfId="2" applyNumberFormat="1" applyFont="1" applyBorder="1" applyAlignment="1">
      <alignment horizontal="center"/>
    </xf>
    <xf numFmtId="0" fontId="3" fillId="4" borderId="2" xfId="2" applyFont="1" applyFill="1" applyBorder="1" applyAlignment="1">
      <alignment horizontal="center" vertical="center"/>
    </xf>
    <xf numFmtId="0" fontId="3" fillId="4" borderId="6" xfId="2" applyFont="1" applyFill="1" applyBorder="1" applyAlignment="1">
      <alignment horizontal="center" vertical="center"/>
    </xf>
    <xf numFmtId="164" fontId="4" fillId="0" borderId="0" xfId="2" applyNumberFormat="1" applyFont="1" applyBorder="1" applyAlignment="1">
      <alignment horizontal="center"/>
    </xf>
    <xf numFmtId="0" fontId="3" fillId="2" borderId="1" xfId="2" applyFont="1" applyFill="1" applyBorder="1" applyAlignment="1">
      <alignment horizontal="center" vertical="center"/>
    </xf>
    <xf numFmtId="0" fontId="3" fillId="2" borderId="5" xfId="2" applyFont="1" applyFill="1" applyBorder="1" applyAlignment="1">
      <alignment horizontal="center" vertical="center"/>
    </xf>
    <xf numFmtId="0" fontId="3" fillId="2" borderId="9" xfId="2" applyFont="1" applyFill="1" applyBorder="1" applyAlignment="1">
      <alignment horizontal="center" vertical="center"/>
    </xf>
    <xf numFmtId="0" fontId="3" fillId="3" borderId="2" xfId="2" applyFont="1" applyFill="1" applyBorder="1" applyAlignment="1">
      <alignment horizontal="center" vertical="center"/>
    </xf>
    <xf numFmtId="0" fontId="3" fillId="3" borderId="6" xfId="2" applyFont="1" applyFill="1" applyBorder="1" applyAlignment="1">
      <alignment horizontal="center" vertical="center"/>
    </xf>
    <xf numFmtId="0" fontId="3" fillId="3" borderId="10" xfId="2" applyFont="1" applyFill="1" applyBorder="1" applyAlignment="1">
      <alignment horizontal="center" vertical="center"/>
    </xf>
    <xf numFmtId="0" fontId="6" fillId="3" borderId="2" xfId="2" applyFont="1" applyFill="1" applyBorder="1" applyAlignment="1">
      <alignment horizontal="center" vertical="center"/>
    </xf>
    <xf numFmtId="0" fontId="6" fillId="3" borderId="6" xfId="2" applyFont="1" applyFill="1" applyBorder="1" applyAlignment="1">
      <alignment horizontal="center" vertical="center"/>
    </xf>
    <xf numFmtId="0" fontId="6" fillId="3" borderId="10" xfId="2" applyFont="1" applyFill="1" applyBorder="1" applyAlignment="1">
      <alignment horizontal="center" vertical="center"/>
    </xf>
    <xf numFmtId="0" fontId="20" fillId="14" borderId="6" xfId="0" applyFont="1" applyFill="1" applyBorder="1" applyAlignment="1">
      <alignment horizontal="center"/>
    </xf>
    <xf numFmtId="164" fontId="21" fillId="0" borderId="0" xfId="0" applyNumberFormat="1" applyFont="1" applyBorder="1" applyAlignment="1">
      <alignment horizontal="left"/>
    </xf>
    <xf numFmtId="4" fontId="3" fillId="0" borderId="0" xfId="2" applyNumberFormat="1" applyFont="1"/>
    <xf numFmtId="0" fontId="18" fillId="15" borderId="32" xfId="0" applyFont="1" applyFill="1" applyBorder="1" applyAlignment="1">
      <alignment horizontal="center"/>
    </xf>
    <xf numFmtId="0" fontId="41" fillId="34" borderId="33" xfId="0" applyFont="1" applyFill="1" applyBorder="1" applyAlignment="1">
      <alignment horizontal="center"/>
    </xf>
    <xf numFmtId="0" fontId="18" fillId="15" borderId="33" xfId="0" applyFont="1" applyFill="1" applyBorder="1" applyAlignment="1">
      <alignment horizontal="center"/>
    </xf>
    <xf numFmtId="0" fontId="41" fillId="34" borderId="29" xfId="0" applyFont="1" applyFill="1" applyBorder="1" applyAlignment="1">
      <alignment horizontal="center"/>
    </xf>
    <xf numFmtId="0" fontId="18" fillId="15" borderId="29" xfId="0" applyFont="1" applyFill="1" applyBorder="1" applyAlignment="1">
      <alignment horizontal="center"/>
    </xf>
    <xf numFmtId="0" fontId="39" fillId="15" borderId="33" xfId="0" applyFont="1" applyFill="1" applyBorder="1" applyAlignment="1">
      <alignment horizontal="center"/>
    </xf>
    <xf numFmtId="0" fontId="2" fillId="34" borderId="33" xfId="0" applyFont="1" applyFill="1" applyBorder="1" applyAlignment="1">
      <alignment horizontal="center"/>
    </xf>
    <xf numFmtId="0" fontId="28" fillId="15" borderId="33" xfId="0" applyFont="1" applyFill="1" applyBorder="1" applyAlignment="1">
      <alignment horizontal="center"/>
    </xf>
    <xf numFmtId="0" fontId="2" fillId="34" borderId="29" xfId="0" applyFont="1" applyFill="1" applyBorder="1" applyAlignment="1">
      <alignment horizontal="center"/>
    </xf>
    <xf numFmtId="0" fontId="2" fillId="34" borderId="32" xfId="0" applyFont="1" applyFill="1" applyBorder="1" applyAlignment="1">
      <alignment horizontal="center"/>
    </xf>
    <xf numFmtId="0" fontId="39" fillId="15" borderId="32" xfId="0" applyFont="1" applyFill="1" applyBorder="1" applyAlignment="1">
      <alignment horizontal="center"/>
    </xf>
    <xf numFmtId="0" fontId="39" fillId="15" borderId="29" xfId="0" applyFont="1" applyFill="1" applyBorder="1" applyAlignment="1">
      <alignment horizontal="center"/>
    </xf>
    <xf numFmtId="0" fontId="28" fillId="15" borderId="29" xfId="0" applyFont="1" applyFill="1" applyBorder="1" applyAlignment="1">
      <alignment horizontal="center"/>
    </xf>
    <xf numFmtId="0" fontId="2" fillId="15" borderId="29" xfId="0" applyFont="1" applyFill="1" applyBorder="1" applyAlignment="1">
      <alignment horizontal="center"/>
    </xf>
    <xf numFmtId="0" fontId="18" fillId="15" borderId="6" xfId="0" applyFont="1" applyFill="1" applyBorder="1" applyAlignment="1">
      <alignment horizontal="center"/>
    </xf>
    <xf numFmtId="168" fontId="2" fillId="15" borderId="6" xfId="1" applyNumberFormat="1" applyFont="1" applyFill="1" applyBorder="1" applyAlignment="1">
      <alignment horizontal="center"/>
    </xf>
    <xf numFmtId="0" fontId="25" fillId="15" borderId="29" xfId="0" applyFont="1" applyFill="1" applyBorder="1" applyAlignment="1">
      <alignment horizontal="center"/>
    </xf>
  </cellXfs>
  <cellStyles count="5">
    <cellStyle name="Comma" xfId="1" builtinId="3"/>
    <cellStyle name="Normal" xfId="0" builtinId="0"/>
    <cellStyle name="Normal 2" xfId="4" xr:uid="{00000000-0005-0000-0000-000002000000}"/>
    <cellStyle name="Normal 3" xfId="2" xr:uid="{00000000-0005-0000-0000-000003000000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NUL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36566</xdr:colOff>
      <xdr:row>1</xdr:row>
      <xdr:rowOff>44742</xdr:rowOff>
    </xdr:from>
    <xdr:to>
      <xdr:col>2</xdr:col>
      <xdr:colOff>531660</xdr:colOff>
      <xdr:row>5</xdr:row>
      <xdr:rowOff>23973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14693" b="8456"/>
        <a:stretch>
          <a:fillRect/>
        </a:stretch>
      </xdr:blipFill>
      <xdr:spPr bwMode="auto">
        <a:xfrm>
          <a:off x="36566" y="0"/>
          <a:ext cx="1495219" cy="23973"/>
        </a:xfrm>
        <a:prstGeom prst="rect">
          <a:avLst/>
        </a:prstGeom>
        <a:noFill/>
        <a:ln w="9525" algn="in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1" dT="2021-04-19T13:58:30.82" personId="{00000000-0000-0000-0000-000000000000}" id="{76A71562-4984-44E5-AFC6-6E6A52FD3841}">
    <text>meter not working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"/>
  <sheetViews>
    <sheetView tabSelected="1" workbookViewId="0">
      <pane ySplit="1" topLeftCell="A2" activePane="bottomLeft" state="frozen"/>
      <selection pane="bottomLeft" activeCell="Q4" sqref="Q4"/>
    </sheetView>
  </sheetViews>
  <sheetFormatPr defaultRowHeight="12.75" x14ac:dyDescent="0.2"/>
  <cols>
    <col min="1" max="1" width="23" style="100" bestFit="1" customWidth="1"/>
    <col min="2" max="4" width="9.140625" style="100"/>
    <col min="5" max="5" width="10.7109375" style="100" customWidth="1"/>
    <col min="6" max="6" width="12.140625" style="100" customWidth="1"/>
    <col min="7" max="7" width="10.85546875" style="100" customWidth="1"/>
    <col min="8" max="8" width="11.28515625" style="100" customWidth="1"/>
    <col min="9" max="16384" width="9.140625" style="100"/>
  </cols>
  <sheetData>
    <row r="1" spans="1:11" ht="60" x14ac:dyDescent="0.2">
      <c r="A1" s="95" t="s">
        <v>0</v>
      </c>
      <c r="B1" s="95" t="s">
        <v>1</v>
      </c>
      <c r="C1" s="96" t="s">
        <v>2</v>
      </c>
      <c r="D1" s="95" t="s">
        <v>3</v>
      </c>
      <c r="E1" s="97" t="s">
        <v>4</v>
      </c>
      <c r="F1" s="98" t="s">
        <v>5</v>
      </c>
      <c r="G1" s="97" t="s">
        <v>76</v>
      </c>
      <c r="H1" s="99" t="s">
        <v>6</v>
      </c>
      <c r="I1" s="97" t="s">
        <v>7</v>
      </c>
      <c r="J1" s="97" t="s">
        <v>8</v>
      </c>
      <c r="K1" s="97" t="s">
        <v>9</v>
      </c>
    </row>
    <row r="2" spans="1:11" ht="15" x14ac:dyDescent="0.25">
      <c r="A2" s="101" t="s">
        <v>10</v>
      </c>
      <c r="B2" s="102">
        <v>1</v>
      </c>
      <c r="C2" s="103">
        <v>5</v>
      </c>
      <c r="D2" s="102">
        <v>2021</v>
      </c>
      <c r="E2" s="104">
        <f>Electricity!E7</f>
        <v>6929.54</v>
      </c>
      <c r="F2" s="105">
        <f>Electricity!I7/Electricity!E7</f>
        <v>2.6036999999999999</v>
      </c>
      <c r="G2" s="104">
        <f>Water!AW9</f>
        <v>65</v>
      </c>
      <c r="H2" s="106">
        <v>60</v>
      </c>
      <c r="I2" s="107">
        <v>8</v>
      </c>
      <c r="J2" s="107">
        <v>18</v>
      </c>
      <c r="K2" s="108">
        <v>31</v>
      </c>
    </row>
    <row r="3" spans="1:11" ht="15" x14ac:dyDescent="0.25">
      <c r="A3" s="101" t="s">
        <v>10</v>
      </c>
      <c r="B3" s="102">
        <f>B2+1</f>
        <v>2</v>
      </c>
      <c r="C3" s="103">
        <v>5</v>
      </c>
      <c r="D3" s="102">
        <v>2021</v>
      </c>
      <c r="E3" s="104">
        <f>Electricity!E8</f>
        <v>6983.07</v>
      </c>
      <c r="F3" s="105">
        <f>Electricity!I8/Electricity!E8</f>
        <v>2.6036999999999999</v>
      </c>
      <c r="G3" s="104">
        <f>Water!AW10</f>
        <v>76</v>
      </c>
      <c r="H3" s="106">
        <v>60</v>
      </c>
      <c r="I3" s="107">
        <v>6</v>
      </c>
      <c r="J3" s="107">
        <v>13</v>
      </c>
      <c r="K3" s="110">
        <v>30</v>
      </c>
    </row>
    <row r="4" spans="1:11" ht="15" x14ac:dyDescent="0.25">
      <c r="A4" s="101" t="s">
        <v>10</v>
      </c>
      <c r="B4" s="102">
        <f t="shared" ref="B4:B31" si="0">B3+1</f>
        <v>3</v>
      </c>
      <c r="C4" s="103">
        <v>5</v>
      </c>
      <c r="D4" s="102">
        <v>2021</v>
      </c>
      <c r="E4" s="104">
        <f>Electricity!E9</f>
        <v>6784.39</v>
      </c>
      <c r="F4" s="105">
        <f>Electricity!I9/Electricity!E9</f>
        <v>3.6007712414822852</v>
      </c>
      <c r="G4" s="104">
        <f>Water!AW11</f>
        <v>67</v>
      </c>
      <c r="H4" s="106">
        <v>60</v>
      </c>
      <c r="I4" s="109">
        <v>3</v>
      </c>
      <c r="J4" s="109">
        <v>7</v>
      </c>
      <c r="K4" s="109">
        <v>29</v>
      </c>
    </row>
    <row r="5" spans="1:11" ht="15" x14ac:dyDescent="0.25">
      <c r="A5" s="101" t="s">
        <v>10</v>
      </c>
      <c r="B5" s="102">
        <f t="shared" si="0"/>
        <v>4</v>
      </c>
      <c r="C5" s="103">
        <v>5</v>
      </c>
      <c r="D5" s="102">
        <v>2021</v>
      </c>
      <c r="E5" s="104">
        <f>Electricity!E10</f>
        <v>6296.86</v>
      </c>
      <c r="F5" s="105">
        <f>Electricity!I10/Electricity!E10</f>
        <v>2.6037000000000003</v>
      </c>
      <c r="G5" s="104">
        <f>Water!AW12</f>
        <v>96</v>
      </c>
      <c r="H5" s="106">
        <v>60</v>
      </c>
      <c r="I5" s="109">
        <v>2</v>
      </c>
      <c r="J5" s="109">
        <v>5</v>
      </c>
      <c r="K5" s="109">
        <v>23</v>
      </c>
    </row>
    <row r="6" spans="1:11" ht="15" x14ac:dyDescent="0.25">
      <c r="A6" s="101" t="s">
        <v>10</v>
      </c>
      <c r="B6" s="102">
        <f t="shared" si="0"/>
        <v>5</v>
      </c>
      <c r="C6" s="103">
        <v>5</v>
      </c>
      <c r="D6" s="102">
        <v>2021</v>
      </c>
      <c r="E6" s="104">
        <f>Electricity!E11</f>
        <v>6076.9400000000005</v>
      </c>
      <c r="F6" s="105">
        <f>Electricity!I11/Electricity!E11</f>
        <v>3.5716464141492263</v>
      </c>
      <c r="G6" s="104">
        <f>Water!AW13</f>
        <v>58</v>
      </c>
      <c r="H6" s="106">
        <v>60</v>
      </c>
      <c r="I6" s="109">
        <v>2</v>
      </c>
      <c r="J6" s="109">
        <v>5</v>
      </c>
      <c r="K6" s="109">
        <v>14</v>
      </c>
    </row>
    <row r="7" spans="1:11" ht="15" x14ac:dyDescent="0.25">
      <c r="A7" s="101" t="s">
        <v>10</v>
      </c>
      <c r="B7" s="102">
        <f t="shared" si="0"/>
        <v>6</v>
      </c>
      <c r="C7" s="103">
        <v>5</v>
      </c>
      <c r="D7" s="102">
        <v>2021</v>
      </c>
      <c r="E7" s="104">
        <f>Electricity!E12</f>
        <v>5911.51</v>
      </c>
      <c r="F7" s="105">
        <f>Electricity!I12/Electricity!E12</f>
        <v>3.5708561452150125</v>
      </c>
      <c r="G7" s="104">
        <f>Water!AW14</f>
        <v>69</v>
      </c>
      <c r="H7" s="106">
        <v>60</v>
      </c>
      <c r="I7" s="109">
        <v>2</v>
      </c>
      <c r="J7" s="109">
        <v>1</v>
      </c>
      <c r="K7" s="109">
        <v>12</v>
      </c>
    </row>
    <row r="8" spans="1:11" ht="15" x14ac:dyDescent="0.25">
      <c r="A8" s="101" t="s">
        <v>10</v>
      </c>
      <c r="B8" s="102">
        <f t="shared" si="0"/>
        <v>7</v>
      </c>
      <c r="C8" s="103">
        <v>5</v>
      </c>
      <c r="D8" s="102">
        <v>2021</v>
      </c>
      <c r="E8" s="104">
        <f>Electricity!E13</f>
        <v>5966.52</v>
      </c>
      <c r="F8" s="105">
        <f>Electricity!I13/Electricity!E13</f>
        <v>3.6051194257289008</v>
      </c>
      <c r="G8" s="104">
        <f>Water!AW15</f>
        <v>54</v>
      </c>
      <c r="H8" s="106">
        <v>60</v>
      </c>
      <c r="I8" s="109">
        <v>1</v>
      </c>
      <c r="J8" s="109">
        <v>2</v>
      </c>
      <c r="K8" s="109">
        <v>7</v>
      </c>
    </row>
    <row r="9" spans="1:11" ht="15" x14ac:dyDescent="0.25">
      <c r="A9" s="101" t="s">
        <v>10</v>
      </c>
      <c r="B9" s="102">
        <f t="shared" si="0"/>
        <v>8</v>
      </c>
      <c r="C9" s="103">
        <v>5</v>
      </c>
      <c r="D9" s="102">
        <v>2021</v>
      </c>
      <c r="E9" s="104">
        <f>Electricity!E14</f>
        <v>5865.11</v>
      </c>
      <c r="F9" s="105">
        <f>Electricity!I14/Electricity!E14</f>
        <v>2.6036999999999999</v>
      </c>
      <c r="G9" s="104">
        <f>Water!AW16</f>
        <v>65</v>
      </c>
      <c r="H9" s="106">
        <v>60</v>
      </c>
      <c r="I9" s="109">
        <v>1</v>
      </c>
      <c r="J9" s="109">
        <v>2</v>
      </c>
      <c r="K9" s="109">
        <v>9</v>
      </c>
    </row>
    <row r="10" spans="1:11" ht="15" x14ac:dyDescent="0.25">
      <c r="A10" s="101" t="s">
        <v>10</v>
      </c>
      <c r="B10" s="102">
        <f t="shared" si="0"/>
        <v>9</v>
      </c>
      <c r="C10" s="103">
        <v>5</v>
      </c>
      <c r="D10" s="102">
        <v>2021</v>
      </c>
      <c r="E10" s="104">
        <f>Electricity!E15</f>
        <v>5967.7</v>
      </c>
      <c r="F10" s="105">
        <f>Electricity!I15/Electricity!E15</f>
        <v>2.6036999999999999</v>
      </c>
      <c r="G10" s="104">
        <f>Water!AW17</f>
        <v>65</v>
      </c>
      <c r="H10" s="106">
        <v>60</v>
      </c>
      <c r="I10" s="109">
        <v>2</v>
      </c>
      <c r="J10" s="109">
        <v>4</v>
      </c>
      <c r="K10" s="111">
        <v>8</v>
      </c>
    </row>
    <row r="11" spans="1:11" ht="15" x14ac:dyDescent="0.25">
      <c r="A11" s="101" t="s">
        <v>10</v>
      </c>
      <c r="B11" s="102">
        <f t="shared" si="0"/>
        <v>10</v>
      </c>
      <c r="C11" s="103">
        <v>5</v>
      </c>
      <c r="D11" s="102">
        <v>2021</v>
      </c>
      <c r="E11" s="104">
        <f>Electricity!E16</f>
        <v>6037.2</v>
      </c>
      <c r="F11" s="105">
        <f>Electricity!I16/Electricity!E16</f>
        <v>3.5932488173325381</v>
      </c>
      <c r="G11" s="104">
        <f>Water!AW18</f>
        <v>83</v>
      </c>
      <c r="H11" s="106">
        <v>60</v>
      </c>
      <c r="I11" s="109">
        <v>2</v>
      </c>
      <c r="J11" s="109">
        <v>4</v>
      </c>
      <c r="K11" s="109">
        <v>10</v>
      </c>
    </row>
    <row r="12" spans="1:11" ht="15" x14ac:dyDescent="0.25">
      <c r="A12" s="101" t="s">
        <v>10</v>
      </c>
      <c r="B12" s="102">
        <f t="shared" si="0"/>
        <v>11</v>
      </c>
      <c r="C12" s="103">
        <v>5</v>
      </c>
      <c r="D12" s="102">
        <v>2021</v>
      </c>
      <c r="E12" s="104">
        <f>Electricity!E17</f>
        <v>6171.67</v>
      </c>
      <c r="F12" s="105">
        <f>Electricity!I17/Electricity!E17</f>
        <v>3.5946346488065628</v>
      </c>
      <c r="G12" s="104">
        <f>Water!AW19</f>
        <v>30</v>
      </c>
      <c r="H12" s="106">
        <v>60</v>
      </c>
      <c r="I12" s="109">
        <v>2</v>
      </c>
      <c r="J12" s="109">
        <v>4</v>
      </c>
      <c r="K12" s="111">
        <v>10</v>
      </c>
    </row>
    <row r="13" spans="1:11" ht="15" x14ac:dyDescent="0.25">
      <c r="A13" s="101" t="s">
        <v>10</v>
      </c>
      <c r="B13" s="102">
        <f t="shared" si="0"/>
        <v>12</v>
      </c>
      <c r="C13" s="103">
        <v>5</v>
      </c>
      <c r="D13" s="102">
        <v>2021</v>
      </c>
      <c r="E13" s="104">
        <f>Electricity!E18</f>
        <v>6174.85</v>
      </c>
      <c r="F13" s="105">
        <f>Electricity!I18/Electricity!E18</f>
        <v>3.5743451146181688</v>
      </c>
      <c r="G13" s="104">
        <f>Water!AW20</f>
        <v>34</v>
      </c>
      <c r="H13" s="106">
        <v>60</v>
      </c>
      <c r="I13" s="109">
        <v>2</v>
      </c>
      <c r="J13" s="109">
        <v>4</v>
      </c>
      <c r="K13" s="109">
        <v>12</v>
      </c>
    </row>
    <row r="14" spans="1:11" ht="15" x14ac:dyDescent="0.25">
      <c r="A14" s="101" t="s">
        <v>10</v>
      </c>
      <c r="B14" s="102">
        <f t="shared" si="0"/>
        <v>13</v>
      </c>
      <c r="C14" s="103">
        <v>5</v>
      </c>
      <c r="D14" s="102">
        <v>2021</v>
      </c>
      <c r="E14" s="104">
        <f>Electricity!E19</f>
        <v>5986.17</v>
      </c>
      <c r="F14" s="105">
        <f>Electricity!I19/Electricity!E19</f>
        <v>3.5288377972894192</v>
      </c>
      <c r="G14" s="104">
        <f>Water!AW21</f>
        <v>29</v>
      </c>
      <c r="H14" s="106">
        <v>60</v>
      </c>
      <c r="I14" s="107">
        <v>2</v>
      </c>
      <c r="J14" s="107">
        <v>4</v>
      </c>
      <c r="K14" s="109">
        <v>13</v>
      </c>
    </row>
    <row r="15" spans="1:11" ht="15" x14ac:dyDescent="0.25">
      <c r="A15" s="101" t="s">
        <v>10</v>
      </c>
      <c r="B15" s="102">
        <f t="shared" si="0"/>
        <v>14</v>
      </c>
      <c r="C15" s="103">
        <v>5</v>
      </c>
      <c r="D15" s="102">
        <v>2021</v>
      </c>
      <c r="E15" s="104">
        <f>Electricity!E20</f>
        <v>6367.9699999999993</v>
      </c>
      <c r="F15" s="105">
        <f>Electricity!I20/Electricity!E20</f>
        <v>3.5825079859044568</v>
      </c>
      <c r="G15" s="104">
        <f>Water!AW22</f>
        <v>41</v>
      </c>
      <c r="H15" s="106">
        <v>60</v>
      </c>
      <c r="I15" s="109">
        <v>2</v>
      </c>
      <c r="J15" s="109">
        <v>4</v>
      </c>
      <c r="K15" s="109">
        <v>15</v>
      </c>
    </row>
    <row r="16" spans="1:11" ht="15" x14ac:dyDescent="0.25">
      <c r="A16" s="101" t="s">
        <v>10</v>
      </c>
      <c r="B16" s="102">
        <f t="shared" si="0"/>
        <v>15</v>
      </c>
      <c r="C16" s="103">
        <v>5</v>
      </c>
      <c r="D16" s="102">
        <v>2021</v>
      </c>
      <c r="E16" s="104">
        <f>Electricity!E21</f>
        <v>5840.29</v>
      </c>
      <c r="F16" s="105">
        <f>Electricity!I21/Electricity!E21</f>
        <v>2.6036999999999999</v>
      </c>
      <c r="G16" s="104">
        <f>Water!AW23</f>
        <v>77</v>
      </c>
      <c r="H16" s="106">
        <v>60</v>
      </c>
      <c r="I16" s="111">
        <v>3</v>
      </c>
      <c r="J16" s="111">
        <v>7</v>
      </c>
      <c r="K16" s="109">
        <v>15</v>
      </c>
    </row>
    <row r="17" spans="1:11" ht="15" x14ac:dyDescent="0.25">
      <c r="A17" s="101" t="s">
        <v>10</v>
      </c>
      <c r="B17" s="102">
        <f t="shared" si="0"/>
        <v>16</v>
      </c>
      <c r="C17" s="103">
        <v>5</v>
      </c>
      <c r="D17" s="102">
        <v>2021</v>
      </c>
      <c r="E17" s="104">
        <f>Electricity!E22</f>
        <v>5473.31</v>
      </c>
      <c r="F17" s="105">
        <f>Electricity!I22/Electricity!E22</f>
        <v>2.6036999999999999</v>
      </c>
      <c r="G17" s="104">
        <f>Water!AW24</f>
        <v>44</v>
      </c>
      <c r="H17" s="106">
        <v>60</v>
      </c>
      <c r="I17" s="111">
        <v>5</v>
      </c>
      <c r="J17" s="111">
        <v>11</v>
      </c>
      <c r="K17" s="109">
        <v>33</v>
      </c>
    </row>
    <row r="18" spans="1:11" ht="15" x14ac:dyDescent="0.25">
      <c r="A18" s="101" t="s">
        <v>10</v>
      </c>
      <c r="B18" s="102">
        <f t="shared" si="0"/>
        <v>17</v>
      </c>
      <c r="C18" s="103">
        <v>5</v>
      </c>
      <c r="D18" s="102">
        <v>2021</v>
      </c>
      <c r="E18" s="104">
        <f>Electricity!E23</f>
        <v>6995.74</v>
      </c>
      <c r="F18" s="105">
        <f>Electricity!I23/Electricity!E23</f>
        <v>3.5671428174860704</v>
      </c>
      <c r="G18" s="104">
        <f>Water!AW25</f>
        <v>47</v>
      </c>
      <c r="H18" s="106">
        <v>60</v>
      </c>
      <c r="I18" s="111">
        <v>4</v>
      </c>
      <c r="J18" s="111">
        <v>8</v>
      </c>
      <c r="K18" s="111">
        <v>18</v>
      </c>
    </row>
    <row r="19" spans="1:11" ht="15" x14ac:dyDescent="0.25">
      <c r="A19" s="101" t="s">
        <v>10</v>
      </c>
      <c r="B19" s="102">
        <f t="shared" si="0"/>
        <v>18</v>
      </c>
      <c r="C19" s="103">
        <v>5</v>
      </c>
      <c r="D19" s="102">
        <v>2021</v>
      </c>
      <c r="E19" s="104">
        <f>Electricity!E24</f>
        <v>6627.88</v>
      </c>
      <c r="F19" s="105">
        <f>Electricity!I24/Electricity!E24</f>
        <v>3.5942134232967407</v>
      </c>
      <c r="G19" s="104">
        <f>Water!AW26</f>
        <v>41</v>
      </c>
      <c r="H19" s="106">
        <v>60</v>
      </c>
      <c r="I19" s="107">
        <v>4</v>
      </c>
      <c r="J19" s="107">
        <v>8</v>
      </c>
      <c r="K19" s="111">
        <v>19</v>
      </c>
    </row>
    <row r="20" spans="1:11" ht="15" x14ac:dyDescent="0.25">
      <c r="A20" s="101" t="s">
        <v>10</v>
      </c>
      <c r="B20" s="102">
        <f t="shared" si="0"/>
        <v>19</v>
      </c>
      <c r="C20" s="103">
        <v>5</v>
      </c>
      <c r="D20" s="102">
        <v>2021</v>
      </c>
      <c r="E20" s="104">
        <f>Electricity!E25</f>
        <v>6109.63</v>
      </c>
      <c r="F20" s="105">
        <f>Electricity!I25/Electricity!E25</f>
        <v>3.5871327548476755</v>
      </c>
      <c r="G20" s="104">
        <f>Water!AW27</f>
        <v>48</v>
      </c>
      <c r="H20" s="106">
        <v>60</v>
      </c>
      <c r="I20" s="109">
        <v>1</v>
      </c>
      <c r="J20" s="109">
        <v>2</v>
      </c>
      <c r="K20" s="109">
        <v>13</v>
      </c>
    </row>
    <row r="21" spans="1:11" ht="15" x14ac:dyDescent="0.25">
      <c r="A21" s="101" t="s">
        <v>10</v>
      </c>
      <c r="B21" s="102">
        <f t="shared" si="0"/>
        <v>20</v>
      </c>
      <c r="C21" s="103">
        <v>5</v>
      </c>
      <c r="D21" s="102">
        <v>2021</v>
      </c>
      <c r="E21" s="104">
        <f>Electricity!E26</f>
        <v>5991.86</v>
      </c>
      <c r="F21" s="105">
        <f>Electricity!I26/Electricity!E26</f>
        <v>3.6094553968216885</v>
      </c>
      <c r="G21" s="104">
        <f>Water!AW28</f>
        <v>46</v>
      </c>
      <c r="H21" s="106">
        <v>60</v>
      </c>
      <c r="I21" s="109">
        <v>0</v>
      </c>
      <c r="J21" s="109">
        <v>0</v>
      </c>
      <c r="K21" s="109">
        <v>2</v>
      </c>
    </row>
    <row r="22" spans="1:11" ht="15" x14ac:dyDescent="0.25">
      <c r="A22" s="101" t="s">
        <v>10</v>
      </c>
      <c r="B22" s="102">
        <f t="shared" si="0"/>
        <v>21</v>
      </c>
      <c r="C22" s="103">
        <v>5</v>
      </c>
      <c r="D22" s="102">
        <v>2021</v>
      </c>
      <c r="E22" s="104">
        <f>Electricity!E27</f>
        <v>6063.29</v>
      </c>
      <c r="F22" s="105">
        <f>Electricity!I27/Electricity!E27</f>
        <v>3.6165902460545349</v>
      </c>
      <c r="G22" s="104">
        <f>Water!AW29</f>
        <v>45</v>
      </c>
      <c r="H22" s="106">
        <v>60</v>
      </c>
      <c r="I22" s="111">
        <v>1</v>
      </c>
      <c r="J22" s="111">
        <v>2</v>
      </c>
      <c r="K22" s="111">
        <v>5</v>
      </c>
    </row>
    <row r="23" spans="1:11" ht="15" x14ac:dyDescent="0.25">
      <c r="A23" s="101" t="s">
        <v>10</v>
      </c>
      <c r="B23" s="102">
        <f t="shared" si="0"/>
        <v>22</v>
      </c>
      <c r="C23" s="103">
        <v>5</v>
      </c>
      <c r="D23" s="102">
        <v>2021</v>
      </c>
      <c r="E23" s="104">
        <f>Electricity!E28</f>
        <v>5713.22</v>
      </c>
      <c r="F23" s="105">
        <f>Electricity!I28/Electricity!E28</f>
        <v>2.6036999999999999</v>
      </c>
      <c r="G23" s="104">
        <f>Water!AW30</f>
        <v>40</v>
      </c>
      <c r="H23" s="106">
        <v>60</v>
      </c>
      <c r="I23" s="107">
        <v>1</v>
      </c>
      <c r="J23" s="111">
        <v>2</v>
      </c>
      <c r="K23" s="109">
        <v>9</v>
      </c>
    </row>
    <row r="24" spans="1:11" ht="15" x14ac:dyDescent="0.25">
      <c r="A24" s="101" t="s">
        <v>10</v>
      </c>
      <c r="B24" s="102">
        <f t="shared" si="0"/>
        <v>23</v>
      </c>
      <c r="C24" s="103">
        <v>5</v>
      </c>
      <c r="D24" s="102">
        <v>2021</v>
      </c>
      <c r="E24" s="104">
        <f>Electricity!E29</f>
        <v>5852.11</v>
      </c>
      <c r="F24" s="105">
        <f>Electricity!I29/Electricity!E29</f>
        <v>2.6036999999999999</v>
      </c>
      <c r="G24" s="104">
        <f>Water!AW31</f>
        <v>28</v>
      </c>
      <c r="H24" s="106">
        <v>60</v>
      </c>
      <c r="I24" s="109">
        <v>1</v>
      </c>
      <c r="J24" s="109">
        <v>2</v>
      </c>
      <c r="K24" s="111">
        <v>8</v>
      </c>
    </row>
    <row r="25" spans="1:11" ht="15" x14ac:dyDescent="0.25">
      <c r="A25" s="101" t="s">
        <v>10</v>
      </c>
      <c r="B25" s="102">
        <f t="shared" si="0"/>
        <v>24</v>
      </c>
      <c r="C25" s="103">
        <v>5</v>
      </c>
      <c r="D25" s="102">
        <v>2021</v>
      </c>
      <c r="E25" s="104">
        <f>Electricity!E30</f>
        <v>5634.27</v>
      </c>
      <c r="F25" s="105">
        <f>Electricity!I30/Electricity!E30</f>
        <v>3.5588225812749474</v>
      </c>
      <c r="G25" s="104">
        <f>Water!AW32</f>
        <v>38</v>
      </c>
      <c r="H25" s="106">
        <v>60</v>
      </c>
      <c r="I25" s="109">
        <v>0</v>
      </c>
      <c r="J25" s="109">
        <v>0</v>
      </c>
      <c r="K25" s="111">
        <v>3</v>
      </c>
    </row>
    <row r="26" spans="1:11" ht="15" x14ac:dyDescent="0.25">
      <c r="A26" s="101" t="s">
        <v>10</v>
      </c>
      <c r="B26" s="102">
        <f>B25+1</f>
        <v>25</v>
      </c>
      <c r="C26" s="103">
        <v>5</v>
      </c>
      <c r="D26" s="102">
        <v>2021</v>
      </c>
      <c r="E26" s="104">
        <f>Electricity!E31</f>
        <v>5766.51</v>
      </c>
      <c r="F26" s="105">
        <f>Electricity!I31/Electricity!E31</f>
        <v>3.5777745310421727</v>
      </c>
      <c r="G26" s="104">
        <f>Water!AW33</f>
        <v>52</v>
      </c>
      <c r="H26" s="106">
        <v>60</v>
      </c>
      <c r="I26" s="109">
        <v>0</v>
      </c>
      <c r="J26" s="109">
        <v>0</v>
      </c>
      <c r="K26" s="111">
        <v>4</v>
      </c>
    </row>
    <row r="27" spans="1:11" ht="15" x14ac:dyDescent="0.25">
      <c r="A27" s="101" t="s">
        <v>10</v>
      </c>
      <c r="B27" s="102">
        <f t="shared" si="0"/>
        <v>26</v>
      </c>
      <c r="C27" s="103">
        <v>5</v>
      </c>
      <c r="D27" s="102">
        <v>2021</v>
      </c>
      <c r="E27" s="104">
        <f>Electricity!E32</f>
        <v>6252.9</v>
      </c>
      <c r="F27" s="105">
        <f>Electricity!I32/Electricity!E32</f>
        <v>2.6036999999999999</v>
      </c>
      <c r="G27" s="104">
        <f>Water!AW34</f>
        <v>39</v>
      </c>
      <c r="H27" s="106">
        <v>60</v>
      </c>
      <c r="I27" s="109">
        <v>0</v>
      </c>
      <c r="J27" s="109">
        <v>0</v>
      </c>
      <c r="K27" s="111">
        <v>2</v>
      </c>
    </row>
    <row r="28" spans="1:11" ht="15" x14ac:dyDescent="0.25">
      <c r="A28" s="101" t="s">
        <v>10</v>
      </c>
      <c r="B28" s="102">
        <f t="shared" si="0"/>
        <v>27</v>
      </c>
      <c r="C28" s="103">
        <v>5</v>
      </c>
      <c r="D28" s="102">
        <v>2021</v>
      </c>
      <c r="E28" s="104">
        <f>Electricity!E33</f>
        <v>13270.68</v>
      </c>
      <c r="F28" s="105">
        <f>Electricity!I33/Electricity!E33</f>
        <v>3.095184890600934</v>
      </c>
      <c r="G28" s="104">
        <f>Water!AW35</f>
        <v>48</v>
      </c>
      <c r="H28" s="106">
        <v>60</v>
      </c>
      <c r="I28" s="109">
        <v>1</v>
      </c>
      <c r="J28" s="109">
        <v>1</v>
      </c>
      <c r="K28" s="111">
        <v>1</v>
      </c>
    </row>
    <row r="29" spans="1:11" ht="15" x14ac:dyDescent="0.25">
      <c r="A29" s="101" t="s">
        <v>10</v>
      </c>
      <c r="B29" s="102">
        <f t="shared" si="0"/>
        <v>28</v>
      </c>
      <c r="C29" s="103">
        <v>5</v>
      </c>
      <c r="D29" s="102">
        <v>2021</v>
      </c>
      <c r="E29" s="104">
        <f>Electricity!E34</f>
        <v>6662.62</v>
      </c>
      <c r="F29" s="105">
        <f>Electricity!I34/Electricity!E34</f>
        <v>3.582483747534754</v>
      </c>
      <c r="G29" s="104">
        <f>Water!AW36</f>
        <v>34</v>
      </c>
      <c r="H29" s="106">
        <v>60</v>
      </c>
      <c r="I29" s="109">
        <v>2</v>
      </c>
      <c r="J29" s="109">
        <v>3</v>
      </c>
      <c r="K29" s="111">
        <v>5</v>
      </c>
    </row>
    <row r="30" spans="1:11" ht="15" x14ac:dyDescent="0.25">
      <c r="A30" s="101" t="s">
        <v>10</v>
      </c>
      <c r="B30" s="102">
        <f t="shared" si="0"/>
        <v>29</v>
      </c>
      <c r="C30" s="103">
        <v>5</v>
      </c>
      <c r="D30" s="102">
        <v>2021</v>
      </c>
      <c r="E30" s="104">
        <f>Electricity!E35</f>
        <v>6909.53</v>
      </c>
      <c r="F30" s="105">
        <f>Electricity!I35/Electricity!E35</f>
        <v>2.6036999999999999</v>
      </c>
      <c r="G30" s="104">
        <f>Water!AW37</f>
        <v>38</v>
      </c>
      <c r="H30" s="106">
        <v>60</v>
      </c>
      <c r="I30" s="109">
        <v>2</v>
      </c>
      <c r="J30" s="109">
        <v>3</v>
      </c>
      <c r="K30" s="111">
        <v>5</v>
      </c>
    </row>
    <row r="31" spans="1:11" ht="15" x14ac:dyDescent="0.25">
      <c r="A31" s="101" t="s">
        <v>10</v>
      </c>
      <c r="B31" s="102">
        <f t="shared" si="0"/>
        <v>30</v>
      </c>
      <c r="C31" s="103">
        <v>5</v>
      </c>
      <c r="D31" s="102">
        <v>2021</v>
      </c>
      <c r="E31" s="104">
        <f>Electricity!E36</f>
        <v>7003.8</v>
      </c>
      <c r="F31" s="105">
        <f>Electricity!I36/Electricity!E36</f>
        <v>2.6036999999999999</v>
      </c>
      <c r="G31" s="104">
        <f>Water!AW38</f>
        <v>55</v>
      </c>
      <c r="H31" s="106">
        <v>60</v>
      </c>
      <c r="I31" s="109">
        <v>3</v>
      </c>
      <c r="J31" s="109">
        <v>5</v>
      </c>
      <c r="K31" s="111">
        <v>16</v>
      </c>
    </row>
    <row r="32" spans="1:11" ht="15" x14ac:dyDescent="0.25">
      <c r="A32" s="101" t="s">
        <v>10</v>
      </c>
      <c r="B32" s="102">
        <v>31</v>
      </c>
      <c r="C32" s="103">
        <v>5</v>
      </c>
      <c r="D32" s="102">
        <v>2021</v>
      </c>
      <c r="E32" s="104">
        <v>7348</v>
      </c>
      <c r="F32" s="105">
        <f>Electricity!I37/Electricity!E37</f>
        <v>3.5853809363811173</v>
      </c>
      <c r="G32" s="104">
        <f>Water!AW39</f>
        <v>43</v>
      </c>
      <c r="H32" s="106">
        <v>60</v>
      </c>
      <c r="I32" s="126">
        <v>2</v>
      </c>
      <c r="J32" s="109">
        <v>4</v>
      </c>
      <c r="K32" s="111">
        <v>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2:N50"/>
  <sheetViews>
    <sheetView workbookViewId="0">
      <pane ySplit="6" topLeftCell="A30" activePane="bottomLeft" state="frozen"/>
      <selection pane="bottomLeft" activeCell="J48" sqref="J48"/>
    </sheetView>
  </sheetViews>
  <sheetFormatPr defaultRowHeight="12.75" x14ac:dyDescent="0.2"/>
  <cols>
    <col min="1" max="1" width="7.28515625" style="1" customWidth="1"/>
    <col min="2" max="8" width="13.140625" style="1" customWidth="1"/>
    <col min="9" max="9" width="13.85546875" style="1" bestFit="1" customWidth="1"/>
    <col min="10" max="10" width="13.140625" style="1" customWidth="1"/>
    <col min="11" max="11" width="9.140625" style="1"/>
    <col min="12" max="14" width="12.5703125" style="1" bestFit="1" customWidth="1"/>
    <col min="15" max="16384" width="9.140625" style="1"/>
  </cols>
  <sheetData>
    <row r="2" spans="1:14" x14ac:dyDescent="0.2">
      <c r="A2" s="1" t="s">
        <v>11</v>
      </c>
      <c r="E2" s="2"/>
    </row>
    <row r="3" spans="1:14" ht="19.5" customHeight="1" x14ac:dyDescent="0.25">
      <c r="A3" s="189">
        <v>44317</v>
      </c>
      <c r="B3" s="189"/>
      <c r="E3" s="3"/>
      <c r="J3" s="4" t="s">
        <v>12</v>
      </c>
    </row>
    <row r="4" spans="1:14" x14ac:dyDescent="0.2">
      <c r="A4" s="190" t="s">
        <v>13</v>
      </c>
      <c r="B4" s="193" t="s">
        <v>14</v>
      </c>
      <c r="C4" s="193" t="s">
        <v>15</v>
      </c>
      <c r="D4" s="196" t="s">
        <v>16</v>
      </c>
      <c r="E4" s="187" t="s">
        <v>17</v>
      </c>
      <c r="F4" s="5" t="s">
        <v>18</v>
      </c>
      <c r="G4" s="5" t="s">
        <v>19</v>
      </c>
      <c r="H4" s="5" t="s">
        <v>20</v>
      </c>
      <c r="I4" s="176" t="s">
        <v>21</v>
      </c>
      <c r="J4" s="179" t="s">
        <v>22</v>
      </c>
      <c r="L4" s="173" t="s">
        <v>23</v>
      </c>
      <c r="M4" s="173" t="s">
        <v>8</v>
      </c>
      <c r="N4" s="173" t="s">
        <v>9</v>
      </c>
    </row>
    <row r="5" spans="1:14" x14ac:dyDescent="0.2">
      <c r="A5" s="191"/>
      <c r="B5" s="194"/>
      <c r="C5" s="194"/>
      <c r="D5" s="197"/>
      <c r="E5" s="188"/>
      <c r="F5" s="6" t="s">
        <v>24</v>
      </c>
      <c r="G5" s="6" t="s">
        <v>25</v>
      </c>
      <c r="H5" s="6" t="s">
        <v>26</v>
      </c>
      <c r="I5" s="177"/>
      <c r="J5" s="180"/>
      <c r="L5" s="174"/>
      <c r="M5" s="174"/>
      <c r="N5" s="174"/>
    </row>
    <row r="6" spans="1:14" ht="13.5" thickBot="1" x14ac:dyDescent="0.25">
      <c r="A6" s="192"/>
      <c r="B6" s="195"/>
      <c r="C6" s="195"/>
      <c r="D6" s="198"/>
      <c r="E6" s="7" t="s">
        <v>27</v>
      </c>
      <c r="F6" s="8">
        <v>4.1839000000000004</v>
      </c>
      <c r="G6" s="8">
        <v>2.6036999999999999</v>
      </c>
      <c r="H6" s="8">
        <v>2.0603699999999998</v>
      </c>
      <c r="I6" s="178"/>
      <c r="J6" s="9">
        <v>-0.12429999999999999</v>
      </c>
      <c r="K6" s="3"/>
      <c r="L6" s="175"/>
      <c r="M6" s="175"/>
      <c r="N6" s="175"/>
    </row>
    <row r="7" spans="1:14" x14ac:dyDescent="0.2">
      <c r="A7" s="10">
        <v>1</v>
      </c>
      <c r="B7" s="144"/>
      <c r="C7" s="144"/>
      <c r="D7" s="145">
        <v>6929.54</v>
      </c>
      <c r="E7" s="146">
        <v>6929.54</v>
      </c>
      <c r="F7" s="147">
        <v>0</v>
      </c>
      <c r="G7" s="147">
        <v>0</v>
      </c>
      <c r="H7" s="148">
        <v>18042.443297999998</v>
      </c>
      <c r="I7" s="149">
        <v>18042.443297999998</v>
      </c>
      <c r="J7" s="170">
        <v>-861.34182199999998</v>
      </c>
      <c r="K7" s="3"/>
      <c r="L7" s="107">
        <v>8</v>
      </c>
      <c r="M7" s="107">
        <v>18</v>
      </c>
      <c r="N7" s="108">
        <v>31</v>
      </c>
    </row>
    <row r="8" spans="1:14" x14ac:dyDescent="0.2">
      <c r="A8" s="14">
        <v>2</v>
      </c>
      <c r="B8" s="150"/>
      <c r="C8" s="150"/>
      <c r="D8" s="151">
        <v>6983.07</v>
      </c>
      <c r="E8" s="152">
        <v>6983.07</v>
      </c>
      <c r="F8" s="153">
        <v>0</v>
      </c>
      <c r="G8" s="153">
        <v>0</v>
      </c>
      <c r="H8" s="154">
        <v>18181.819358999997</v>
      </c>
      <c r="I8" s="155">
        <v>18181.819358999997</v>
      </c>
      <c r="J8" s="159">
        <v>-867.99560099999997</v>
      </c>
      <c r="L8" s="107">
        <v>6</v>
      </c>
      <c r="M8" s="107">
        <v>13</v>
      </c>
      <c r="N8" s="110">
        <v>30</v>
      </c>
    </row>
    <row r="9" spans="1:14" ht="12.75" customHeight="1" x14ac:dyDescent="0.2">
      <c r="A9" s="14">
        <v>3</v>
      </c>
      <c r="B9" s="158">
        <v>4280.8</v>
      </c>
      <c r="C9" s="158">
        <v>2503.59</v>
      </c>
      <c r="D9" s="171">
        <v>0</v>
      </c>
      <c r="E9" s="157">
        <v>6784.39</v>
      </c>
      <c r="F9" s="154">
        <v>17910.439120000003</v>
      </c>
      <c r="G9" s="154">
        <v>6518.5972830000001</v>
      </c>
      <c r="H9" s="153">
        <v>0</v>
      </c>
      <c r="I9" s="155">
        <v>24429.036403000002</v>
      </c>
      <c r="J9" s="159">
        <v>-843.29967699999997</v>
      </c>
      <c r="L9" s="109">
        <v>3</v>
      </c>
      <c r="M9" s="109">
        <v>7</v>
      </c>
      <c r="N9" s="109">
        <v>29</v>
      </c>
    </row>
    <row r="10" spans="1:14" ht="12.75" customHeight="1" x14ac:dyDescent="0.2">
      <c r="A10" s="14">
        <v>4</v>
      </c>
      <c r="B10" s="158"/>
      <c r="C10" s="158"/>
      <c r="D10" s="172">
        <v>6296.86</v>
      </c>
      <c r="E10" s="157">
        <v>6296.86</v>
      </c>
      <c r="F10" s="154">
        <v>0</v>
      </c>
      <c r="G10" s="154">
        <v>0</v>
      </c>
      <c r="H10" s="153">
        <v>16395.134382</v>
      </c>
      <c r="I10" s="155">
        <v>16395.134382</v>
      </c>
      <c r="J10" s="159">
        <v>-782.6996979999999</v>
      </c>
      <c r="L10" s="109">
        <v>2</v>
      </c>
      <c r="M10" s="109">
        <v>5</v>
      </c>
      <c r="N10" s="109">
        <v>23</v>
      </c>
    </row>
    <row r="11" spans="1:14" x14ac:dyDescent="0.2">
      <c r="A11" s="14">
        <v>5</v>
      </c>
      <c r="B11" s="150">
        <v>3722.41</v>
      </c>
      <c r="C11" s="150">
        <v>2354.5300000000002</v>
      </c>
      <c r="D11" s="151"/>
      <c r="E11" s="157">
        <v>6076.9400000000005</v>
      </c>
      <c r="F11" s="153">
        <v>15574.191199000001</v>
      </c>
      <c r="G11" s="153">
        <v>6130.4897610000007</v>
      </c>
      <c r="H11" s="154">
        <v>0</v>
      </c>
      <c r="I11" s="155">
        <v>21704.680960000002</v>
      </c>
      <c r="J11" s="159">
        <v>-755.36364200000003</v>
      </c>
      <c r="L11" s="109">
        <v>2</v>
      </c>
      <c r="M11" s="109">
        <v>5</v>
      </c>
      <c r="N11" s="109">
        <v>14</v>
      </c>
    </row>
    <row r="12" spans="1:14" x14ac:dyDescent="0.2">
      <c r="A12" s="14">
        <v>6</v>
      </c>
      <c r="B12" s="151">
        <v>3618.12</v>
      </c>
      <c r="C12" s="151">
        <v>2293.39</v>
      </c>
      <c r="D12" s="160"/>
      <c r="E12" s="157">
        <v>5911.51</v>
      </c>
      <c r="F12" s="154">
        <v>15137.852268000001</v>
      </c>
      <c r="G12" s="154">
        <v>5971.2995429999992</v>
      </c>
      <c r="H12" s="153">
        <v>0</v>
      </c>
      <c r="I12" s="155">
        <v>21109.151811</v>
      </c>
      <c r="J12" s="159">
        <v>-734.80069300000002</v>
      </c>
      <c r="L12" s="109">
        <v>2</v>
      </c>
      <c r="M12" s="109">
        <v>1</v>
      </c>
      <c r="N12" s="109">
        <v>12</v>
      </c>
    </row>
    <row r="13" spans="1:14" x14ac:dyDescent="0.2">
      <c r="A13" s="14">
        <v>7</v>
      </c>
      <c r="B13" s="160">
        <v>3781.16</v>
      </c>
      <c r="C13" s="160">
        <v>2185.36</v>
      </c>
      <c r="D13" s="151"/>
      <c r="E13" s="157">
        <v>5966.52</v>
      </c>
      <c r="F13" s="153">
        <v>15819.995324000001</v>
      </c>
      <c r="G13" s="153">
        <v>5690.0218320000004</v>
      </c>
      <c r="H13" s="154">
        <v>0</v>
      </c>
      <c r="I13" s="155">
        <v>21510.017156000002</v>
      </c>
      <c r="J13" s="159">
        <v>-741.63843600000007</v>
      </c>
      <c r="L13" s="109">
        <v>1</v>
      </c>
      <c r="M13" s="109">
        <v>2</v>
      </c>
      <c r="N13" s="109">
        <v>7</v>
      </c>
    </row>
    <row r="14" spans="1:14" x14ac:dyDescent="0.2">
      <c r="A14" s="14">
        <v>8</v>
      </c>
      <c r="B14" s="160"/>
      <c r="C14" s="160"/>
      <c r="D14" s="151">
        <v>5865.11</v>
      </c>
      <c r="E14" s="157">
        <v>5865.11</v>
      </c>
      <c r="F14" s="153">
        <v>0</v>
      </c>
      <c r="G14" s="153">
        <v>0</v>
      </c>
      <c r="H14" s="154">
        <v>15270.986906999999</v>
      </c>
      <c r="I14" s="155">
        <v>15270.986906999999</v>
      </c>
      <c r="J14" s="159">
        <v>-729.03317299999992</v>
      </c>
      <c r="L14" s="109">
        <v>1</v>
      </c>
      <c r="M14" s="109">
        <v>2</v>
      </c>
      <c r="N14" s="109">
        <v>9</v>
      </c>
    </row>
    <row r="15" spans="1:14" x14ac:dyDescent="0.2">
      <c r="A15" s="14">
        <v>9</v>
      </c>
      <c r="B15" s="160"/>
      <c r="C15" s="160"/>
      <c r="D15" s="161">
        <v>5967.7</v>
      </c>
      <c r="E15" s="157">
        <v>5967.7</v>
      </c>
      <c r="F15" s="153">
        <v>0</v>
      </c>
      <c r="G15" s="153">
        <v>0</v>
      </c>
      <c r="H15" s="154">
        <v>15538.100489999999</v>
      </c>
      <c r="I15" s="155">
        <v>15538.100489999999</v>
      </c>
      <c r="J15" s="159">
        <v>-741.78510999999992</v>
      </c>
      <c r="L15" s="109">
        <v>2</v>
      </c>
      <c r="M15" s="109">
        <v>4</v>
      </c>
      <c r="N15" s="111">
        <v>8</v>
      </c>
    </row>
    <row r="16" spans="1:14" x14ac:dyDescent="0.2">
      <c r="A16" s="14">
        <v>10</v>
      </c>
      <c r="B16" s="151">
        <v>3780.6</v>
      </c>
      <c r="C16" s="151">
        <v>2256.6</v>
      </c>
      <c r="D16" s="160"/>
      <c r="E16" s="157">
        <v>6037.2</v>
      </c>
      <c r="F16" s="154">
        <v>15817.652340000001</v>
      </c>
      <c r="G16" s="154">
        <v>5875.5094199999994</v>
      </c>
      <c r="H16" s="153">
        <v>0</v>
      </c>
      <c r="I16" s="155">
        <v>21693.161759999999</v>
      </c>
      <c r="J16" s="159">
        <v>-750.42395999999997</v>
      </c>
      <c r="L16" s="109">
        <v>2</v>
      </c>
      <c r="M16" s="109">
        <v>4</v>
      </c>
      <c r="N16" s="109">
        <v>10</v>
      </c>
    </row>
    <row r="17" spans="1:14" x14ac:dyDescent="0.2">
      <c r="A17" s="14">
        <v>11</v>
      </c>
      <c r="B17" s="160">
        <v>3870.22</v>
      </c>
      <c r="C17" s="160">
        <v>2301.4499999999998</v>
      </c>
      <c r="D17" s="161"/>
      <c r="E17" s="152">
        <v>6171.67</v>
      </c>
      <c r="F17" s="153">
        <v>16192.613458</v>
      </c>
      <c r="G17" s="153">
        <v>5992.2853649999997</v>
      </c>
      <c r="H17" s="154">
        <v>0</v>
      </c>
      <c r="I17" s="155">
        <v>22184.898823</v>
      </c>
      <c r="J17" s="156">
        <v>-767.13858099999993</v>
      </c>
      <c r="L17" s="109">
        <v>2</v>
      </c>
      <c r="M17" s="109">
        <v>4</v>
      </c>
      <c r="N17" s="111">
        <v>10</v>
      </c>
    </row>
    <row r="18" spans="1:14" s="18" customFormat="1" x14ac:dyDescent="0.2">
      <c r="A18" s="14">
        <v>12</v>
      </c>
      <c r="B18" s="160">
        <v>3792.93</v>
      </c>
      <c r="C18" s="160">
        <v>2381.92</v>
      </c>
      <c r="D18" s="151"/>
      <c r="E18" s="152">
        <v>6174.85</v>
      </c>
      <c r="F18" s="153">
        <v>15869.239827000001</v>
      </c>
      <c r="G18" s="153">
        <v>6201.805104</v>
      </c>
      <c r="H18" s="154">
        <v>0</v>
      </c>
      <c r="I18" s="155">
        <v>22071.044931</v>
      </c>
      <c r="J18" s="159">
        <v>-767.53385500000002</v>
      </c>
      <c r="L18" s="109">
        <v>2</v>
      </c>
      <c r="M18" s="109">
        <v>4</v>
      </c>
      <c r="N18" s="109">
        <v>12</v>
      </c>
    </row>
    <row r="19" spans="1:14" s="18" customFormat="1" x14ac:dyDescent="0.2">
      <c r="A19" s="14">
        <v>13</v>
      </c>
      <c r="B19" s="158">
        <v>3504.64</v>
      </c>
      <c r="C19" s="158">
        <v>2481.5300000000002</v>
      </c>
      <c r="D19" s="160"/>
      <c r="E19" s="157">
        <v>5986.17</v>
      </c>
      <c r="F19" s="154">
        <v>14663.063296</v>
      </c>
      <c r="G19" s="154">
        <v>6461.1596610000006</v>
      </c>
      <c r="H19" s="153">
        <v>0</v>
      </c>
      <c r="I19" s="155">
        <v>21124.222957000002</v>
      </c>
      <c r="J19" s="159">
        <v>-744.08093099999996</v>
      </c>
      <c r="L19" s="107">
        <v>2</v>
      </c>
      <c r="M19" s="107">
        <v>4</v>
      </c>
      <c r="N19" s="109">
        <v>13</v>
      </c>
    </row>
    <row r="20" spans="1:14" s="18" customFormat="1" x14ac:dyDescent="0.2">
      <c r="A20" s="14">
        <v>14</v>
      </c>
      <c r="B20" s="151">
        <v>3944.45</v>
      </c>
      <c r="C20" s="151">
        <v>2423.52</v>
      </c>
      <c r="D20" s="160"/>
      <c r="E20" s="157">
        <v>6367.9699999999993</v>
      </c>
      <c r="F20" s="154">
        <v>16503.184355000001</v>
      </c>
      <c r="G20" s="154">
        <v>6310.1190239999996</v>
      </c>
      <c r="H20" s="153">
        <v>0</v>
      </c>
      <c r="I20" s="155">
        <v>22813.303379000001</v>
      </c>
      <c r="J20" s="159">
        <v>-791.53867099999991</v>
      </c>
      <c r="L20" s="109">
        <v>2</v>
      </c>
      <c r="M20" s="109">
        <v>4</v>
      </c>
      <c r="N20" s="109">
        <v>15</v>
      </c>
    </row>
    <row r="21" spans="1:14" s="18" customFormat="1" x14ac:dyDescent="0.2">
      <c r="A21" s="14">
        <v>15</v>
      </c>
      <c r="B21" s="160"/>
      <c r="C21" s="160"/>
      <c r="D21" s="151">
        <v>5840.29</v>
      </c>
      <c r="E21" s="157">
        <v>5840.29</v>
      </c>
      <c r="F21" s="153">
        <v>0</v>
      </c>
      <c r="G21" s="153">
        <v>0</v>
      </c>
      <c r="H21" s="154">
        <v>15206.363072999999</v>
      </c>
      <c r="I21" s="155">
        <v>15206.363072999999</v>
      </c>
      <c r="J21" s="159">
        <v>-725.94804699999997</v>
      </c>
      <c r="L21" s="111">
        <v>3</v>
      </c>
      <c r="M21" s="111">
        <v>7</v>
      </c>
      <c r="N21" s="109">
        <v>15</v>
      </c>
    </row>
    <row r="22" spans="1:14" x14ac:dyDescent="0.2">
      <c r="A22" s="14">
        <v>16</v>
      </c>
      <c r="B22" s="167"/>
      <c r="C22" s="167"/>
      <c r="D22" s="161">
        <v>5473.31</v>
      </c>
      <c r="E22" s="157">
        <v>5473.31</v>
      </c>
      <c r="F22" s="153">
        <v>0</v>
      </c>
      <c r="G22" s="153">
        <v>0</v>
      </c>
      <c r="H22" s="154">
        <v>14250.857247</v>
      </c>
      <c r="I22" s="155">
        <v>14250.857247</v>
      </c>
      <c r="J22" s="156">
        <v>-680.33243300000004</v>
      </c>
      <c r="L22" s="111">
        <v>5</v>
      </c>
      <c r="M22" s="111">
        <v>11</v>
      </c>
      <c r="N22" s="109">
        <v>33</v>
      </c>
    </row>
    <row r="23" spans="1:14" x14ac:dyDescent="0.2">
      <c r="A23" s="14">
        <v>17</v>
      </c>
      <c r="B23" s="168">
        <v>4265.28</v>
      </c>
      <c r="C23" s="150">
        <v>2730.46</v>
      </c>
      <c r="D23" s="161"/>
      <c r="E23" s="157">
        <v>6995.74</v>
      </c>
      <c r="F23" s="153">
        <v>17845.504992000002</v>
      </c>
      <c r="G23" s="153">
        <v>7109.298702</v>
      </c>
      <c r="H23" s="154">
        <v>0</v>
      </c>
      <c r="I23" s="155">
        <v>24954.803694000002</v>
      </c>
      <c r="J23" s="156">
        <v>-869.57048199999997</v>
      </c>
      <c r="L23" s="111">
        <v>4</v>
      </c>
      <c r="M23" s="111">
        <v>8</v>
      </c>
      <c r="N23" s="111">
        <v>18</v>
      </c>
    </row>
    <row r="24" spans="1:14" x14ac:dyDescent="0.2">
      <c r="A24" s="14">
        <v>18</v>
      </c>
      <c r="B24" s="150">
        <v>4154.54</v>
      </c>
      <c r="C24" s="150">
        <v>2473.34</v>
      </c>
      <c r="D24" s="169"/>
      <c r="E24" s="152">
        <v>6627.88</v>
      </c>
      <c r="F24" s="153">
        <v>17382.179906000001</v>
      </c>
      <c r="G24" s="153">
        <v>6439.8353580000003</v>
      </c>
      <c r="H24" s="154">
        <v>0</v>
      </c>
      <c r="I24" s="155">
        <v>23822.015264000001</v>
      </c>
      <c r="J24" s="156">
        <v>-823.84548399999994</v>
      </c>
      <c r="L24" s="107">
        <v>4</v>
      </c>
      <c r="M24" s="107">
        <v>8</v>
      </c>
      <c r="N24" s="111">
        <v>19</v>
      </c>
    </row>
    <row r="25" spans="1:14" x14ac:dyDescent="0.2">
      <c r="A25" s="14">
        <v>19</v>
      </c>
      <c r="B25" s="160">
        <v>3802.31</v>
      </c>
      <c r="C25" s="160">
        <v>2307.3200000000002</v>
      </c>
      <c r="D25" s="151"/>
      <c r="E25" s="152">
        <v>6109.63</v>
      </c>
      <c r="F25" s="153">
        <v>15908.484809000001</v>
      </c>
      <c r="G25" s="153">
        <v>6007.5690840000007</v>
      </c>
      <c r="H25" s="154">
        <v>0</v>
      </c>
      <c r="I25" s="155">
        <v>21916.053893000004</v>
      </c>
      <c r="J25" s="159">
        <v>-759.427009</v>
      </c>
      <c r="L25" s="109">
        <v>1</v>
      </c>
      <c r="M25" s="109">
        <v>2</v>
      </c>
      <c r="N25" s="109">
        <v>13</v>
      </c>
    </row>
    <row r="26" spans="1:14" x14ac:dyDescent="0.2">
      <c r="A26" s="14">
        <v>20</v>
      </c>
      <c r="B26" s="151">
        <v>3813.66</v>
      </c>
      <c r="C26" s="151">
        <v>2178.1999999999998</v>
      </c>
      <c r="D26" s="167"/>
      <c r="E26" s="152">
        <v>5991.86</v>
      </c>
      <c r="F26" s="154">
        <v>15955.972074000001</v>
      </c>
      <c r="G26" s="154">
        <v>5671.3793399999995</v>
      </c>
      <c r="H26" s="153">
        <v>0</v>
      </c>
      <c r="I26" s="155">
        <v>21627.351414000001</v>
      </c>
      <c r="J26" s="159">
        <v>-744.78819799999997</v>
      </c>
      <c r="L26" s="109">
        <v>0</v>
      </c>
      <c r="M26" s="109">
        <v>0</v>
      </c>
      <c r="N26" s="109">
        <v>2</v>
      </c>
    </row>
    <row r="27" spans="1:14" x14ac:dyDescent="0.2">
      <c r="A27" s="14">
        <v>21</v>
      </c>
      <c r="B27" s="139">
        <v>3886.5</v>
      </c>
      <c r="C27" s="134">
        <v>2176.79</v>
      </c>
      <c r="D27" s="134"/>
      <c r="E27" s="135">
        <v>6063.29</v>
      </c>
      <c r="F27" s="136">
        <v>16260.727350000001</v>
      </c>
      <c r="G27" s="136">
        <v>5667.7081229999994</v>
      </c>
      <c r="H27" s="136">
        <v>0</v>
      </c>
      <c r="I27" s="137">
        <v>21928.435473000001</v>
      </c>
      <c r="J27" s="138">
        <v>-753.66694699999994</v>
      </c>
      <c r="K27" s="1" t="s">
        <v>28</v>
      </c>
      <c r="L27" s="111">
        <v>1</v>
      </c>
      <c r="M27" s="111">
        <v>2</v>
      </c>
      <c r="N27" s="111">
        <v>5</v>
      </c>
    </row>
    <row r="28" spans="1:14" x14ac:dyDescent="0.2">
      <c r="A28" s="14">
        <v>22</v>
      </c>
      <c r="B28" s="140"/>
      <c r="C28" s="134"/>
      <c r="D28" s="133">
        <v>5713.22</v>
      </c>
      <c r="E28" s="135">
        <v>5713.22</v>
      </c>
      <c r="F28" s="136">
        <v>0</v>
      </c>
      <c r="G28" s="136">
        <v>0</v>
      </c>
      <c r="H28" s="136">
        <v>14875.510914</v>
      </c>
      <c r="I28" s="137">
        <v>14875.510914</v>
      </c>
      <c r="J28" s="138">
        <v>-710.15324599999997</v>
      </c>
      <c r="L28" s="107">
        <v>1</v>
      </c>
      <c r="M28" s="111">
        <v>2</v>
      </c>
      <c r="N28" s="109">
        <v>9</v>
      </c>
    </row>
    <row r="29" spans="1:14" x14ac:dyDescent="0.2">
      <c r="A29" s="14">
        <v>23</v>
      </c>
      <c r="B29" s="133"/>
      <c r="C29" s="133"/>
      <c r="D29" s="139">
        <v>5852.11</v>
      </c>
      <c r="E29" s="141">
        <v>5852.11</v>
      </c>
      <c r="F29" s="136">
        <v>0</v>
      </c>
      <c r="G29" s="136">
        <v>0</v>
      </c>
      <c r="H29" s="136">
        <v>15237.138806999999</v>
      </c>
      <c r="I29" s="137">
        <v>15237.138806999999</v>
      </c>
      <c r="J29" s="138">
        <v>-727.41727299999991</v>
      </c>
      <c r="L29" s="109">
        <v>1</v>
      </c>
      <c r="M29" s="109">
        <v>2</v>
      </c>
      <c r="N29" s="111">
        <v>8</v>
      </c>
    </row>
    <row r="30" spans="1:14" x14ac:dyDescent="0.2">
      <c r="A30" s="14">
        <v>24</v>
      </c>
      <c r="B30" s="133">
        <v>3405.53</v>
      </c>
      <c r="C30" s="133">
        <v>2228.7399999999998</v>
      </c>
      <c r="D30" s="134"/>
      <c r="E30" s="141">
        <v>5634.27</v>
      </c>
      <c r="F30" s="136">
        <v>14248.396967000002</v>
      </c>
      <c r="G30" s="136">
        <v>5802.9703379999992</v>
      </c>
      <c r="H30" s="136">
        <v>0</v>
      </c>
      <c r="I30" s="137">
        <v>20051.367305</v>
      </c>
      <c r="J30" s="138">
        <v>-700.33976100000007</v>
      </c>
      <c r="L30" s="109">
        <v>0</v>
      </c>
      <c r="M30" s="109">
        <v>0</v>
      </c>
      <c r="N30" s="111">
        <v>3</v>
      </c>
    </row>
    <row r="31" spans="1:14" x14ac:dyDescent="0.2">
      <c r="A31" s="14">
        <v>25</v>
      </c>
      <c r="B31" s="133">
        <v>3554.62</v>
      </c>
      <c r="C31" s="133">
        <v>2211.89</v>
      </c>
      <c r="D31" s="134"/>
      <c r="E31" s="135">
        <v>5766.51</v>
      </c>
      <c r="F31" s="136">
        <v>14872.174618000001</v>
      </c>
      <c r="G31" s="136">
        <v>5759.0979929999994</v>
      </c>
      <c r="H31" s="136">
        <v>0</v>
      </c>
      <c r="I31" s="137">
        <v>20631.272611</v>
      </c>
      <c r="J31" s="138">
        <v>-716.77719300000001</v>
      </c>
      <c r="L31" s="109">
        <v>0</v>
      </c>
      <c r="M31" s="109">
        <v>0</v>
      </c>
      <c r="N31" s="111">
        <v>4</v>
      </c>
    </row>
    <row r="32" spans="1:14" x14ac:dyDescent="0.2">
      <c r="A32" s="14">
        <v>26</v>
      </c>
      <c r="B32" s="142"/>
      <c r="C32" s="142"/>
      <c r="D32" s="143">
        <v>6252.9</v>
      </c>
      <c r="E32" s="135">
        <v>6252.9</v>
      </c>
      <c r="F32" s="136">
        <v>0</v>
      </c>
      <c r="G32" s="136">
        <v>0</v>
      </c>
      <c r="H32" s="136">
        <v>16280.675729999999</v>
      </c>
      <c r="I32" s="137">
        <v>16280.675729999999</v>
      </c>
      <c r="J32" s="138">
        <v>-777.23546999999996</v>
      </c>
      <c r="L32" s="109">
        <v>0</v>
      </c>
      <c r="M32" s="109">
        <v>0</v>
      </c>
      <c r="N32" s="111">
        <v>2</v>
      </c>
    </row>
    <row r="33" spans="1:14" x14ac:dyDescent="0.2">
      <c r="A33" s="14">
        <v>27</v>
      </c>
      <c r="B33" s="142">
        <v>4127.54</v>
      </c>
      <c r="C33" s="142">
        <v>2507.8000000000002</v>
      </c>
      <c r="D33" s="143">
        <v>6635.34</v>
      </c>
      <c r="E33" s="141">
        <v>13270.68</v>
      </c>
      <c r="F33" s="136">
        <v>17269.214606000001</v>
      </c>
      <c r="G33" s="136">
        <v>6529.5588600000001</v>
      </c>
      <c r="H33" s="136">
        <v>17276.434757999999</v>
      </c>
      <c r="I33" s="137">
        <v>41075.208224000002</v>
      </c>
      <c r="J33" s="138">
        <v>-1649.5455239999999</v>
      </c>
      <c r="L33" s="109">
        <v>1</v>
      </c>
      <c r="M33" s="109">
        <v>1</v>
      </c>
      <c r="N33" s="111">
        <v>1</v>
      </c>
    </row>
    <row r="34" spans="1:14" x14ac:dyDescent="0.2">
      <c r="A34" s="14">
        <v>28</v>
      </c>
      <c r="B34" s="142">
        <v>4126.8599999999997</v>
      </c>
      <c r="C34" s="142">
        <v>2535.7600000000002</v>
      </c>
      <c r="D34" s="143"/>
      <c r="E34" s="135">
        <v>6662.62</v>
      </c>
      <c r="F34" s="136">
        <v>17266.369554000001</v>
      </c>
      <c r="G34" s="136">
        <v>6602.3583120000003</v>
      </c>
      <c r="H34" s="136">
        <v>0</v>
      </c>
      <c r="I34" s="137">
        <v>23868.727866000001</v>
      </c>
      <c r="J34" s="138">
        <v>-828.16366599999992</v>
      </c>
      <c r="K34" s="127"/>
      <c r="L34" s="109">
        <v>2</v>
      </c>
      <c r="M34" s="109">
        <v>3</v>
      </c>
      <c r="N34" s="111">
        <v>5</v>
      </c>
    </row>
    <row r="35" spans="1:14" x14ac:dyDescent="0.2">
      <c r="A35" s="14">
        <v>29</v>
      </c>
      <c r="B35" s="142"/>
      <c r="C35" s="142"/>
      <c r="D35" s="143">
        <v>6909.53</v>
      </c>
      <c r="E35" s="135">
        <v>6909.53</v>
      </c>
      <c r="F35" s="136">
        <v>0</v>
      </c>
      <c r="G35" s="136">
        <v>0</v>
      </c>
      <c r="H35" s="136">
        <v>17990.343260999998</v>
      </c>
      <c r="I35" s="137">
        <v>17990.343260999998</v>
      </c>
      <c r="J35" s="138">
        <v>-858.85457899999994</v>
      </c>
      <c r="K35" s="127"/>
      <c r="L35" s="109">
        <v>2</v>
      </c>
      <c r="M35" s="109">
        <v>3</v>
      </c>
      <c r="N35" s="111">
        <v>5</v>
      </c>
    </row>
    <row r="36" spans="1:14" x14ac:dyDescent="0.2">
      <c r="A36" s="14">
        <v>30</v>
      </c>
      <c r="B36" s="142"/>
      <c r="C36" s="142"/>
      <c r="D36" s="143">
        <v>7003.8</v>
      </c>
      <c r="E36" s="135">
        <v>7003.8</v>
      </c>
      <c r="F36" s="136">
        <v>0</v>
      </c>
      <c r="G36" s="136">
        <v>0</v>
      </c>
      <c r="H36" s="136">
        <v>18235.79406</v>
      </c>
      <c r="I36" s="137">
        <v>18235.79406</v>
      </c>
      <c r="J36" s="138">
        <v>-870.57233999999994</v>
      </c>
      <c r="K36" s="127"/>
      <c r="L36" s="109">
        <v>3</v>
      </c>
      <c r="M36" s="109">
        <v>5</v>
      </c>
      <c r="N36" s="111">
        <v>16</v>
      </c>
    </row>
    <row r="37" spans="1:14" hidden="1" x14ac:dyDescent="0.2">
      <c r="A37" s="14">
        <v>30</v>
      </c>
      <c r="B37" s="19">
        <v>4565.04</v>
      </c>
      <c r="C37" s="15">
        <v>2783.25</v>
      </c>
      <c r="D37" s="17"/>
      <c r="E37" s="11">
        <v>7348.29</v>
      </c>
      <c r="F37" s="12">
        <v>19099.670856000001</v>
      </c>
      <c r="G37" s="12">
        <v>7246.7480249999999</v>
      </c>
      <c r="H37" s="12">
        <v>0</v>
      </c>
      <c r="I37" s="16">
        <v>26346.418881000001</v>
      </c>
      <c r="J37" s="13">
        <v>-913.39244699999995</v>
      </c>
      <c r="K37" s="127"/>
      <c r="L37" s="125"/>
      <c r="M37" s="112"/>
      <c r="N37" s="113"/>
    </row>
    <row r="38" spans="1:14" ht="14.25" customHeight="1" x14ac:dyDescent="0.2">
      <c r="A38" s="14">
        <v>31</v>
      </c>
      <c r="B38" s="19">
        <v>4565.04</v>
      </c>
      <c r="C38" s="15">
        <v>2783.25</v>
      </c>
      <c r="D38" s="17"/>
      <c r="E38" s="11">
        <v>7348.29</v>
      </c>
      <c r="F38" s="114">
        <v>19099.670856000001</v>
      </c>
      <c r="G38" s="114">
        <v>7246.7480249999999</v>
      </c>
      <c r="H38" s="114">
        <v>0</v>
      </c>
      <c r="I38" s="16">
        <v>26346.418881000001</v>
      </c>
      <c r="J38" s="115">
        <v>-913.39244699999995</v>
      </c>
      <c r="K38" s="127"/>
      <c r="L38" s="109">
        <v>2</v>
      </c>
      <c r="M38" s="109">
        <v>4</v>
      </c>
      <c r="N38" s="111">
        <v>9</v>
      </c>
    </row>
    <row r="39" spans="1:14" x14ac:dyDescent="0.2">
      <c r="A39" s="117"/>
      <c r="B39" s="118">
        <v>73997.209999999992</v>
      </c>
      <c r="C39" s="119">
        <v>45315.44</v>
      </c>
      <c r="D39" s="120">
        <v>81722.78</v>
      </c>
      <c r="E39" s="128">
        <v>201035.42999999996</v>
      </c>
      <c r="F39" s="121">
        <v>309596.92691899999</v>
      </c>
      <c r="G39" s="121">
        <v>117987.811128</v>
      </c>
      <c r="H39" s="121">
        <v>212781.60228599998</v>
      </c>
      <c r="I39" s="122">
        <v>640366.34033300006</v>
      </c>
      <c r="J39" s="123">
        <v>-24988.703948999995</v>
      </c>
      <c r="K39" s="124"/>
      <c r="L39" s="118"/>
      <c r="M39" s="119"/>
      <c r="N39" s="120"/>
    </row>
    <row r="40" spans="1:14" x14ac:dyDescent="0.2">
      <c r="A40" s="129" t="s">
        <v>17</v>
      </c>
      <c r="B40" s="130">
        <f t="shared" ref="B40:J40" si="0">SUM(B7:B37)</f>
        <v>73997.209999999992</v>
      </c>
      <c r="C40" s="130">
        <f t="shared" si="0"/>
        <v>45315.44</v>
      </c>
      <c r="D40" s="131">
        <f t="shared" si="0"/>
        <v>81722.78</v>
      </c>
      <c r="E40" s="130">
        <f t="shared" si="0"/>
        <v>201035.42999999996</v>
      </c>
      <c r="F40" s="130">
        <f>SUM(F7:F37)</f>
        <v>309596.92691899999</v>
      </c>
      <c r="G40" s="130">
        <f>SUM(G7:G37)</f>
        <v>117987.811128</v>
      </c>
      <c r="H40" s="130">
        <f>SUM(H7:H37)</f>
        <v>212781.60228599998</v>
      </c>
      <c r="I40" s="130">
        <f>SUM(I7:I37)</f>
        <v>640366.34033300006</v>
      </c>
      <c r="J40" s="130">
        <f t="shared" si="0"/>
        <v>-24988.703948999995</v>
      </c>
    </row>
    <row r="41" spans="1:14" x14ac:dyDescent="0.2">
      <c r="A41" s="20"/>
      <c r="B41" s="20"/>
      <c r="C41" s="20"/>
      <c r="D41" s="20"/>
      <c r="E41" s="21"/>
      <c r="F41" s="20"/>
      <c r="G41" s="22" t="s">
        <v>29</v>
      </c>
      <c r="H41" s="22"/>
      <c r="I41" s="23">
        <f>A43*132.93</f>
        <v>0</v>
      </c>
      <c r="J41" s="24"/>
      <c r="L41" s="201">
        <f>SUM(L7:L38)</f>
        <v>67</v>
      </c>
      <c r="M41" s="201">
        <f>SUM(M7:M38)</f>
        <v>135</v>
      </c>
      <c r="N41" s="201">
        <f>SUM(N7:N38)</f>
        <v>390</v>
      </c>
    </row>
    <row r="42" spans="1:14" x14ac:dyDescent="0.2">
      <c r="A42" s="25" t="s">
        <v>30</v>
      </c>
      <c r="B42" s="25"/>
      <c r="C42" s="181" t="s">
        <v>31</v>
      </c>
      <c r="D42" s="182"/>
      <c r="E42" s="26" t="s">
        <v>32</v>
      </c>
      <c r="F42" s="20"/>
      <c r="G42" s="22" t="s">
        <v>33</v>
      </c>
      <c r="H42" s="22"/>
      <c r="I42" s="27">
        <v>312.24</v>
      </c>
      <c r="J42" s="21"/>
    </row>
    <row r="43" spans="1:14" x14ac:dyDescent="0.2">
      <c r="A43" s="183"/>
      <c r="B43" s="184"/>
      <c r="C43" s="185"/>
      <c r="D43" s="186"/>
      <c r="E43" s="28">
        <v>18.3</v>
      </c>
      <c r="F43" s="20"/>
      <c r="G43" s="22" t="s">
        <v>34</v>
      </c>
      <c r="H43" s="22"/>
      <c r="I43" s="27">
        <f>SUM(I40:I42)</f>
        <v>640678.58033300005</v>
      </c>
      <c r="J43" s="21"/>
    </row>
    <row r="44" spans="1:14" x14ac:dyDescent="0.2">
      <c r="A44" s="22"/>
      <c r="B44" s="22"/>
      <c r="C44" s="22"/>
      <c r="D44" s="29"/>
      <c r="E44" s="24"/>
      <c r="F44" s="24"/>
      <c r="G44" s="22" t="s">
        <v>35</v>
      </c>
      <c r="H44" s="22"/>
      <c r="I44" s="23">
        <f>J40</f>
        <v>-24988.703948999995</v>
      </c>
      <c r="J44" s="30"/>
    </row>
    <row r="45" spans="1:14" x14ac:dyDescent="0.2">
      <c r="A45" s="2"/>
      <c r="B45" s="2"/>
      <c r="C45" s="2"/>
      <c r="D45" s="2"/>
      <c r="E45" s="31"/>
      <c r="F45" s="20"/>
      <c r="G45" s="22" t="s">
        <v>36</v>
      </c>
      <c r="H45" s="22"/>
      <c r="I45" s="27">
        <f>SUM(I43:I44)</f>
        <v>615689.87638400006</v>
      </c>
      <c r="J45" s="21"/>
    </row>
    <row r="46" spans="1:14" x14ac:dyDescent="0.2">
      <c r="A46" s="20"/>
      <c r="B46" s="20"/>
      <c r="C46" s="20"/>
      <c r="D46" s="20"/>
      <c r="E46" s="21"/>
      <c r="F46" s="20"/>
      <c r="G46" s="32" t="s">
        <v>37</v>
      </c>
      <c r="H46" s="22"/>
      <c r="I46" s="27">
        <f>I45*0.07</f>
        <v>43098.291346880011</v>
      </c>
      <c r="J46" s="21"/>
    </row>
    <row r="47" spans="1:14" x14ac:dyDescent="0.2">
      <c r="A47" s="20"/>
      <c r="B47" s="20"/>
      <c r="C47" s="20"/>
      <c r="D47" s="20"/>
      <c r="E47" s="21"/>
      <c r="F47" s="20"/>
      <c r="G47" s="22" t="s">
        <v>17</v>
      </c>
      <c r="H47" s="22"/>
      <c r="I47" s="33">
        <f>SUM(I45:I46)</f>
        <v>658788.16773088009</v>
      </c>
      <c r="J47" s="21">
        <f>I47/E39</f>
        <v>3.2769754452281381</v>
      </c>
    </row>
    <row r="49" spans="3:9" x14ac:dyDescent="0.2">
      <c r="C49" s="34" t="s">
        <v>38</v>
      </c>
      <c r="D49" s="35" t="s">
        <v>39</v>
      </c>
      <c r="E49" s="35"/>
      <c r="F49" s="35"/>
      <c r="G49" s="35"/>
      <c r="H49" s="35"/>
      <c r="I49" s="35"/>
    </row>
    <row r="50" spans="3:9" x14ac:dyDescent="0.2">
      <c r="C50" s="1" t="s">
        <v>28</v>
      </c>
    </row>
  </sheetData>
  <mergeCells count="14">
    <mergeCell ref="C42:D42"/>
    <mergeCell ref="A43:B43"/>
    <mergeCell ref="C43:D43"/>
    <mergeCell ref="E4:E5"/>
    <mergeCell ref="A3:B3"/>
    <mergeCell ref="A4:A6"/>
    <mergeCell ref="B4:B6"/>
    <mergeCell ref="C4:C6"/>
    <mergeCell ref="D4:D6"/>
    <mergeCell ref="L4:L6"/>
    <mergeCell ref="M4:M6"/>
    <mergeCell ref="N4:N6"/>
    <mergeCell ref="I4:I6"/>
    <mergeCell ref="J4:J5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A1:AZ56"/>
  <sheetViews>
    <sheetView topLeftCell="A6" zoomScale="70" zoomScaleNormal="70" workbookViewId="0">
      <pane xSplit="1" ySplit="3" topLeftCell="U9" activePane="bottomRight" state="frozen"/>
      <selection activeCell="A6" sqref="A6"/>
      <selection pane="topRight" activeCell="B6" sqref="B6"/>
      <selection pane="bottomLeft" activeCell="A9" sqref="A9"/>
      <selection pane="bottomRight" activeCell="AI39" sqref="AI39"/>
    </sheetView>
  </sheetViews>
  <sheetFormatPr defaultColWidth="9.85546875" defaultRowHeight="15" x14ac:dyDescent="0.25"/>
  <cols>
    <col min="1" max="1" width="5.85546875" style="36" customWidth="1"/>
    <col min="2" max="2" width="9.140625" style="36" customWidth="1"/>
    <col min="3" max="3" width="10" style="36" customWidth="1"/>
    <col min="4" max="4" width="9.140625" style="36" customWidth="1"/>
    <col min="5" max="5" width="10" style="36" customWidth="1"/>
    <col min="6" max="27" width="9.140625" style="36" customWidth="1"/>
    <col min="28" max="28" width="12.28515625" style="36" customWidth="1"/>
    <col min="29" max="30" width="9.140625" style="36" customWidth="1"/>
    <col min="31" max="32" width="7.7109375" style="36" hidden="1" customWidth="1"/>
    <col min="33" max="33" width="12.42578125" style="36" customWidth="1"/>
    <col min="34" max="36" width="9.140625" style="36" customWidth="1"/>
    <col min="37" max="37" width="10.42578125" style="36" customWidth="1"/>
    <col min="38" max="48" width="9.140625" style="36" customWidth="1"/>
    <col min="49" max="49" width="12.42578125" style="36" customWidth="1"/>
    <col min="50" max="50" width="9.140625" style="37" hidden="1" customWidth="1"/>
    <col min="51" max="51" width="0" hidden="1" customWidth="1"/>
    <col min="53" max="16384" width="9.85546875" style="37"/>
  </cols>
  <sheetData>
    <row r="1" spans="1:51" ht="15" hidden="1" customHeight="1" x14ac:dyDescent="0.25"/>
    <row r="2" spans="1:51" ht="15" hidden="1" customHeight="1" x14ac:dyDescent="0.25">
      <c r="A2" s="36" t="s">
        <v>40</v>
      </c>
      <c r="AS2" s="38"/>
      <c r="AT2" s="39"/>
      <c r="AU2" s="38"/>
    </row>
    <row r="3" spans="1:51" ht="15" hidden="1" customHeight="1" x14ac:dyDescent="0.25">
      <c r="D3" s="40" t="s">
        <v>41</v>
      </c>
      <c r="E3" s="41"/>
      <c r="F3" s="37"/>
      <c r="AS3" s="38"/>
      <c r="AT3" s="39"/>
      <c r="AU3" s="38"/>
    </row>
    <row r="4" spans="1:51" ht="15" hidden="1" customHeight="1" x14ac:dyDescent="0.25">
      <c r="D4" s="40" t="s">
        <v>42</v>
      </c>
      <c r="E4" s="41"/>
      <c r="F4" s="37"/>
      <c r="I4" s="199" t="s">
        <v>43</v>
      </c>
      <c r="J4" s="199"/>
      <c r="K4" s="199"/>
      <c r="L4" s="199"/>
      <c r="M4" s="199"/>
      <c r="N4" s="199"/>
      <c r="O4" s="199"/>
      <c r="P4" s="199"/>
      <c r="Q4" s="199"/>
      <c r="R4" s="199"/>
    </row>
    <row r="5" spans="1:51" ht="15" hidden="1" customHeight="1" x14ac:dyDescent="0.25">
      <c r="G5" s="42"/>
      <c r="H5" s="42"/>
      <c r="I5" s="42"/>
      <c r="J5" s="42"/>
      <c r="K5" s="42"/>
      <c r="L5" s="42"/>
      <c r="M5" s="42"/>
      <c r="N5" s="42"/>
      <c r="AK5" s="38"/>
      <c r="AL5" s="38"/>
    </row>
    <row r="6" spans="1:51" ht="28.5" customHeight="1" thickBot="1" x14ac:dyDescent="0.35">
      <c r="D6" s="200">
        <v>44317</v>
      </c>
      <c r="E6" s="200"/>
      <c r="F6" s="200"/>
      <c r="G6" s="43"/>
      <c r="H6" s="43"/>
      <c r="I6" s="43"/>
      <c r="J6" s="43"/>
      <c r="K6" s="44"/>
      <c r="L6" s="43"/>
      <c r="M6" s="45"/>
      <c r="N6" s="45"/>
      <c r="O6" s="46"/>
      <c r="P6" s="47"/>
      <c r="Q6" s="46"/>
      <c r="R6" s="47"/>
      <c r="S6" s="46"/>
      <c r="T6" s="47"/>
      <c r="U6" s="46"/>
      <c r="V6" s="47"/>
      <c r="W6" s="46"/>
      <c r="X6" s="47"/>
      <c r="Y6" s="46"/>
      <c r="Z6" s="47"/>
      <c r="AA6" s="46"/>
      <c r="AB6" s="46"/>
      <c r="AC6" s="47"/>
      <c r="AD6" s="46"/>
      <c r="AE6" s="47"/>
      <c r="AF6" s="46"/>
      <c r="AG6" s="48" t="s">
        <v>44</v>
      </c>
      <c r="AI6" s="46"/>
      <c r="AJ6" s="46"/>
      <c r="AK6" s="49"/>
      <c r="AL6" s="49"/>
      <c r="AU6" s="50" t="s">
        <v>45</v>
      </c>
      <c r="AV6" s="46"/>
    </row>
    <row r="7" spans="1:51" s="74" customFormat="1" ht="81.75" customHeight="1" thickBot="1" x14ac:dyDescent="0.3">
      <c r="A7" s="51" t="s">
        <v>31</v>
      </c>
      <c r="B7" s="52" t="s">
        <v>46</v>
      </c>
      <c r="C7" s="52" t="s">
        <v>47</v>
      </c>
      <c r="D7" s="53" t="s">
        <v>48</v>
      </c>
      <c r="E7" s="53" t="s">
        <v>47</v>
      </c>
      <c r="F7" s="54" t="s">
        <v>49</v>
      </c>
      <c r="G7" s="54" t="s">
        <v>47</v>
      </c>
      <c r="H7" s="55" t="s">
        <v>50</v>
      </c>
      <c r="I7" s="55" t="s">
        <v>47</v>
      </c>
      <c r="J7" s="56" t="s">
        <v>51</v>
      </c>
      <c r="K7" s="56" t="s">
        <v>47</v>
      </c>
      <c r="L7" s="57" t="s">
        <v>52</v>
      </c>
      <c r="M7" s="57" t="s">
        <v>47</v>
      </c>
      <c r="N7" s="58" t="s">
        <v>53</v>
      </c>
      <c r="O7" s="58" t="s">
        <v>47</v>
      </c>
      <c r="P7" s="59" t="s">
        <v>54</v>
      </c>
      <c r="Q7" s="59" t="s">
        <v>47</v>
      </c>
      <c r="R7" s="60" t="s">
        <v>55</v>
      </c>
      <c r="S7" s="60" t="s">
        <v>47</v>
      </c>
      <c r="T7" s="61" t="s">
        <v>56</v>
      </c>
      <c r="U7" s="61" t="s">
        <v>47</v>
      </c>
      <c r="V7" s="62" t="s">
        <v>57</v>
      </c>
      <c r="W7" s="62" t="s">
        <v>47</v>
      </c>
      <c r="X7" s="59" t="s">
        <v>58</v>
      </c>
      <c r="Y7" s="59" t="s">
        <v>47</v>
      </c>
      <c r="Z7" s="63" t="s">
        <v>59</v>
      </c>
      <c r="AA7" s="64" t="s">
        <v>47</v>
      </c>
      <c r="AB7" s="65" t="s">
        <v>60</v>
      </c>
      <c r="AC7" s="52" t="s">
        <v>61</v>
      </c>
      <c r="AD7" s="52" t="s">
        <v>47</v>
      </c>
      <c r="AE7" s="66" t="s">
        <v>62</v>
      </c>
      <c r="AF7" s="66" t="s">
        <v>47</v>
      </c>
      <c r="AG7" s="67" t="s">
        <v>63</v>
      </c>
      <c r="AH7" s="68" t="s">
        <v>47</v>
      </c>
      <c r="AI7" s="69" t="s">
        <v>64</v>
      </c>
      <c r="AJ7" s="69" t="s">
        <v>47</v>
      </c>
      <c r="AK7" s="51" t="s">
        <v>65</v>
      </c>
      <c r="AL7" s="51" t="s">
        <v>47</v>
      </c>
      <c r="AM7" s="70" t="s">
        <v>66</v>
      </c>
      <c r="AN7" s="70" t="s">
        <v>47</v>
      </c>
      <c r="AO7" s="55" t="s">
        <v>67</v>
      </c>
      <c r="AP7" s="55" t="s">
        <v>47</v>
      </c>
      <c r="AQ7" s="59" t="s">
        <v>68</v>
      </c>
      <c r="AR7" s="59" t="s">
        <v>47</v>
      </c>
      <c r="AS7" s="71" t="s">
        <v>69</v>
      </c>
      <c r="AT7" s="71" t="s">
        <v>47</v>
      </c>
      <c r="AU7" s="53" t="s">
        <v>70</v>
      </c>
      <c r="AV7" s="53" t="s">
        <v>47</v>
      </c>
      <c r="AW7" s="72" t="s">
        <v>71</v>
      </c>
      <c r="AX7" s="73" t="s">
        <v>72</v>
      </c>
    </row>
    <row r="8" spans="1:51" s="77" customFormat="1" ht="15.75" customHeight="1" thickBot="1" x14ac:dyDescent="0.3">
      <c r="A8" s="75">
        <v>30</v>
      </c>
      <c r="B8" s="162">
        <v>27415</v>
      </c>
      <c r="C8" s="162"/>
      <c r="D8" s="162">
        <v>12178</v>
      </c>
      <c r="E8" s="162"/>
      <c r="F8" s="162">
        <v>31841</v>
      </c>
      <c r="G8" s="162"/>
      <c r="H8" s="162">
        <v>25192</v>
      </c>
      <c r="I8" s="162"/>
      <c r="J8" s="162">
        <v>21133</v>
      </c>
      <c r="K8" s="162"/>
      <c r="L8" s="162">
        <v>15375</v>
      </c>
      <c r="M8" s="162"/>
      <c r="N8" s="162">
        <v>14111</v>
      </c>
      <c r="O8" s="162"/>
      <c r="P8" s="162">
        <v>20709</v>
      </c>
      <c r="Q8" s="162"/>
      <c r="R8" s="162">
        <v>24952</v>
      </c>
      <c r="S8" s="162"/>
      <c r="T8" s="162">
        <v>937</v>
      </c>
      <c r="U8" s="162"/>
      <c r="V8" s="162">
        <v>3198</v>
      </c>
      <c r="W8" s="162"/>
      <c r="X8" s="162">
        <v>30332</v>
      </c>
      <c r="Y8" s="162"/>
      <c r="Z8" s="162">
        <v>12843</v>
      </c>
      <c r="AA8" s="162"/>
      <c r="AB8" s="162">
        <v>38</v>
      </c>
      <c r="AC8" s="162">
        <v>11918</v>
      </c>
      <c r="AD8" s="162"/>
      <c r="AE8" s="162"/>
      <c r="AF8" s="162"/>
      <c r="AG8" s="162">
        <v>4333</v>
      </c>
      <c r="AH8" s="162"/>
      <c r="AI8" s="162">
        <v>37534</v>
      </c>
      <c r="AJ8" s="162"/>
      <c r="AK8" s="162">
        <v>4416</v>
      </c>
      <c r="AL8" s="162"/>
      <c r="AM8" s="162">
        <v>1131</v>
      </c>
      <c r="AN8" s="162"/>
      <c r="AO8" s="162">
        <v>1455</v>
      </c>
      <c r="AP8" s="162"/>
      <c r="AQ8" s="162">
        <v>518</v>
      </c>
      <c r="AR8" s="162"/>
      <c r="AS8" s="162">
        <v>1365</v>
      </c>
      <c r="AT8" s="162"/>
      <c r="AU8" s="162">
        <v>9030</v>
      </c>
      <c r="AV8" s="162"/>
      <c r="AW8" s="164">
        <v>99</v>
      </c>
      <c r="AX8" s="76"/>
    </row>
    <row r="9" spans="1:51" s="81" customFormat="1" ht="15.75" customHeight="1" x14ac:dyDescent="0.2">
      <c r="A9" s="78">
        <v>1</v>
      </c>
      <c r="B9" s="202">
        <v>27420</v>
      </c>
      <c r="C9" s="203">
        <v>5</v>
      </c>
      <c r="D9" s="202">
        <v>12179</v>
      </c>
      <c r="E9" s="203">
        <v>1</v>
      </c>
      <c r="F9" s="202">
        <v>31843</v>
      </c>
      <c r="G9" s="203">
        <v>2</v>
      </c>
      <c r="H9" s="204">
        <v>25196</v>
      </c>
      <c r="I9" s="203">
        <v>4</v>
      </c>
      <c r="J9" s="204">
        <v>21134</v>
      </c>
      <c r="K9" s="203">
        <v>1</v>
      </c>
      <c r="L9" s="204">
        <v>15375</v>
      </c>
      <c r="M9" s="203">
        <v>0</v>
      </c>
      <c r="N9" s="204">
        <v>14112</v>
      </c>
      <c r="O9" s="203">
        <v>1</v>
      </c>
      <c r="P9" s="204">
        <v>20710</v>
      </c>
      <c r="Q9" s="203">
        <v>1</v>
      </c>
      <c r="R9" s="207">
        <v>24953</v>
      </c>
      <c r="S9" s="208">
        <v>1</v>
      </c>
      <c r="T9" s="207">
        <v>940</v>
      </c>
      <c r="U9" s="208">
        <v>3</v>
      </c>
      <c r="V9" s="207">
        <v>3198</v>
      </c>
      <c r="W9" s="208">
        <v>0</v>
      </c>
      <c r="X9" s="207">
        <v>30336</v>
      </c>
      <c r="Y9" s="208">
        <v>4</v>
      </c>
      <c r="Z9" s="207">
        <v>12843</v>
      </c>
      <c r="AA9" s="208">
        <v>0</v>
      </c>
      <c r="AB9" s="208">
        <v>15</v>
      </c>
      <c r="AC9" s="209">
        <v>11934</v>
      </c>
      <c r="AD9" s="210">
        <v>16</v>
      </c>
      <c r="AE9" s="211"/>
      <c r="AF9" s="210"/>
      <c r="AG9" s="211">
        <v>4345</v>
      </c>
      <c r="AH9" s="210">
        <v>12</v>
      </c>
      <c r="AI9" s="209">
        <v>37535</v>
      </c>
      <c r="AJ9" s="208">
        <v>1</v>
      </c>
      <c r="AK9" s="207">
        <v>4416</v>
      </c>
      <c r="AL9" s="208">
        <v>0</v>
      </c>
      <c r="AM9" s="212">
        <v>1132</v>
      </c>
      <c r="AN9" s="208">
        <v>1</v>
      </c>
      <c r="AO9" s="207">
        <v>1455</v>
      </c>
      <c r="AP9" s="208">
        <v>0</v>
      </c>
      <c r="AQ9" s="207">
        <v>518</v>
      </c>
      <c r="AR9" s="208">
        <v>0</v>
      </c>
      <c r="AS9" s="212">
        <v>1365</v>
      </c>
      <c r="AT9" s="208">
        <v>0</v>
      </c>
      <c r="AU9" s="209">
        <v>9042</v>
      </c>
      <c r="AV9" s="208">
        <v>12</v>
      </c>
      <c r="AW9" s="165">
        <v>65</v>
      </c>
      <c r="AX9" s="79"/>
      <c r="AY9" s="80"/>
    </row>
    <row r="10" spans="1:51" s="81" customFormat="1" ht="15.75" customHeight="1" x14ac:dyDescent="0.2">
      <c r="A10" s="78">
        <v>2</v>
      </c>
      <c r="B10" s="202">
        <v>27426</v>
      </c>
      <c r="C10" s="205">
        <v>6</v>
      </c>
      <c r="D10" s="206">
        <v>12180</v>
      </c>
      <c r="E10" s="205">
        <v>1</v>
      </c>
      <c r="F10" s="206">
        <v>31845</v>
      </c>
      <c r="G10" s="205">
        <v>2</v>
      </c>
      <c r="H10" s="206">
        <v>25201</v>
      </c>
      <c r="I10" s="205">
        <v>5</v>
      </c>
      <c r="J10" s="206">
        <v>21134</v>
      </c>
      <c r="K10" s="205">
        <v>0</v>
      </c>
      <c r="L10" s="206">
        <v>15384</v>
      </c>
      <c r="M10" s="205">
        <v>9</v>
      </c>
      <c r="N10" s="206">
        <v>14115</v>
      </c>
      <c r="O10" s="205">
        <v>3</v>
      </c>
      <c r="P10" s="206">
        <v>20710</v>
      </c>
      <c r="Q10" s="205">
        <v>0</v>
      </c>
      <c r="R10" s="213">
        <v>24954</v>
      </c>
      <c r="S10" s="210">
        <v>1</v>
      </c>
      <c r="T10" s="213">
        <v>942</v>
      </c>
      <c r="U10" s="210">
        <v>2</v>
      </c>
      <c r="V10" s="213">
        <v>3198</v>
      </c>
      <c r="W10" s="210">
        <v>0</v>
      </c>
      <c r="X10" s="213">
        <v>30340</v>
      </c>
      <c r="Y10" s="210">
        <v>4</v>
      </c>
      <c r="Z10" s="213">
        <v>12843</v>
      </c>
      <c r="AA10" s="210">
        <v>0</v>
      </c>
      <c r="AB10" s="210">
        <v>24</v>
      </c>
      <c r="AC10" s="214">
        <v>11950</v>
      </c>
      <c r="AD10" s="210">
        <v>16</v>
      </c>
      <c r="AE10" s="210"/>
      <c r="AF10" s="210"/>
      <c r="AG10" s="210">
        <v>4357</v>
      </c>
      <c r="AH10" s="210">
        <v>12</v>
      </c>
      <c r="AI10" s="214">
        <v>37536</v>
      </c>
      <c r="AJ10" s="210">
        <v>1</v>
      </c>
      <c r="AK10" s="213">
        <v>4416</v>
      </c>
      <c r="AL10" s="210">
        <v>0</v>
      </c>
      <c r="AM10" s="213">
        <v>1133</v>
      </c>
      <c r="AN10" s="210">
        <v>1</v>
      </c>
      <c r="AO10" s="213">
        <v>1455</v>
      </c>
      <c r="AP10" s="210">
        <v>0</v>
      </c>
      <c r="AQ10" s="213">
        <v>518</v>
      </c>
      <c r="AR10" s="210">
        <v>0</v>
      </c>
      <c r="AS10" s="213">
        <v>1365</v>
      </c>
      <c r="AT10" s="210">
        <v>0</v>
      </c>
      <c r="AU10" s="214">
        <v>9055</v>
      </c>
      <c r="AV10" s="210">
        <v>13</v>
      </c>
      <c r="AW10" s="166">
        <v>76</v>
      </c>
      <c r="AX10" s="79"/>
      <c r="AY10" s="80"/>
    </row>
    <row r="11" spans="1:51" s="81" customFormat="1" ht="15.75" customHeight="1" x14ac:dyDescent="0.2">
      <c r="A11" s="78">
        <v>3</v>
      </c>
      <c r="B11" s="206">
        <v>27429</v>
      </c>
      <c r="C11" s="205">
        <v>3</v>
      </c>
      <c r="D11" s="206">
        <v>12181</v>
      </c>
      <c r="E11" s="205">
        <v>1</v>
      </c>
      <c r="F11" s="206">
        <v>31847</v>
      </c>
      <c r="G11" s="205">
        <v>2</v>
      </c>
      <c r="H11" s="206">
        <v>25207</v>
      </c>
      <c r="I11" s="205">
        <v>6</v>
      </c>
      <c r="J11" s="206">
        <v>21134</v>
      </c>
      <c r="K11" s="205">
        <v>0</v>
      </c>
      <c r="L11" s="206">
        <v>15387</v>
      </c>
      <c r="M11" s="205">
        <v>3</v>
      </c>
      <c r="N11" s="206">
        <v>14117</v>
      </c>
      <c r="O11" s="205">
        <v>2</v>
      </c>
      <c r="P11" s="206">
        <v>20711</v>
      </c>
      <c r="Q11" s="205">
        <v>1</v>
      </c>
      <c r="R11" s="213">
        <v>24955</v>
      </c>
      <c r="S11" s="210">
        <v>1</v>
      </c>
      <c r="T11" s="213">
        <v>944</v>
      </c>
      <c r="U11" s="210">
        <v>2</v>
      </c>
      <c r="V11" s="213">
        <v>3198</v>
      </c>
      <c r="W11" s="210">
        <v>0</v>
      </c>
      <c r="X11" s="213">
        <v>30342</v>
      </c>
      <c r="Y11" s="210">
        <v>2</v>
      </c>
      <c r="Z11" s="213">
        <v>12843</v>
      </c>
      <c r="AA11" s="210">
        <v>0</v>
      </c>
      <c r="AB11" s="210">
        <v>17</v>
      </c>
      <c r="AC11" s="214">
        <v>11968</v>
      </c>
      <c r="AD11" s="210">
        <v>18</v>
      </c>
      <c r="AE11" s="210"/>
      <c r="AF11" s="210"/>
      <c r="AG11" s="210">
        <v>4369</v>
      </c>
      <c r="AH11" s="210">
        <v>12</v>
      </c>
      <c r="AI11" s="214">
        <v>37537</v>
      </c>
      <c r="AJ11" s="210">
        <v>1</v>
      </c>
      <c r="AK11" s="213">
        <v>4416</v>
      </c>
      <c r="AL11" s="210">
        <v>0</v>
      </c>
      <c r="AM11" s="213">
        <v>1133</v>
      </c>
      <c r="AN11" s="210">
        <v>0</v>
      </c>
      <c r="AO11" s="213">
        <v>1455</v>
      </c>
      <c r="AP11" s="210">
        <v>0</v>
      </c>
      <c r="AQ11" s="213">
        <v>518</v>
      </c>
      <c r="AR11" s="210">
        <v>0</v>
      </c>
      <c r="AS11" s="213">
        <v>1366</v>
      </c>
      <c r="AT11" s="210">
        <v>1</v>
      </c>
      <c r="AU11" s="214">
        <v>9067</v>
      </c>
      <c r="AV11" s="210">
        <v>12</v>
      </c>
      <c r="AW11" s="166">
        <v>67</v>
      </c>
      <c r="AX11" s="79"/>
      <c r="AY11" s="80"/>
    </row>
    <row r="12" spans="1:51" s="81" customFormat="1" ht="15.75" customHeight="1" x14ac:dyDescent="0.2">
      <c r="A12" s="78">
        <v>4</v>
      </c>
      <c r="B12" s="206">
        <v>27431</v>
      </c>
      <c r="C12" s="205">
        <v>2</v>
      </c>
      <c r="D12" s="206">
        <v>12182</v>
      </c>
      <c r="E12" s="205">
        <v>1</v>
      </c>
      <c r="F12" s="206">
        <v>31849</v>
      </c>
      <c r="G12" s="205">
        <v>2</v>
      </c>
      <c r="H12" s="206">
        <v>25227</v>
      </c>
      <c r="I12" s="205">
        <v>20</v>
      </c>
      <c r="J12" s="206">
        <v>21135</v>
      </c>
      <c r="K12" s="205">
        <v>1</v>
      </c>
      <c r="L12" s="206">
        <v>15393</v>
      </c>
      <c r="M12" s="205">
        <v>6</v>
      </c>
      <c r="N12" s="206">
        <v>14120</v>
      </c>
      <c r="O12" s="205">
        <v>3</v>
      </c>
      <c r="P12" s="206">
        <v>20713</v>
      </c>
      <c r="Q12" s="205"/>
      <c r="R12" s="213">
        <v>24956</v>
      </c>
      <c r="S12" s="210">
        <v>1</v>
      </c>
      <c r="T12" s="213">
        <v>948</v>
      </c>
      <c r="U12" s="210">
        <v>4</v>
      </c>
      <c r="V12" s="213">
        <v>3198</v>
      </c>
      <c r="W12" s="210">
        <v>0</v>
      </c>
      <c r="X12" s="213">
        <v>30343</v>
      </c>
      <c r="Y12" s="210">
        <v>1</v>
      </c>
      <c r="Z12" s="213">
        <v>12843</v>
      </c>
      <c r="AA12" s="210">
        <v>0</v>
      </c>
      <c r="AB12" s="210">
        <v>36</v>
      </c>
      <c r="AC12" s="213">
        <v>11990</v>
      </c>
      <c r="AD12" s="210">
        <v>22</v>
      </c>
      <c r="AE12" s="215"/>
      <c r="AF12" s="210"/>
      <c r="AG12" s="215">
        <v>4384</v>
      </c>
      <c r="AH12" s="210">
        <v>15</v>
      </c>
      <c r="AI12" s="214">
        <v>37538</v>
      </c>
      <c r="AJ12" s="210">
        <v>1</v>
      </c>
      <c r="AK12" s="213">
        <v>4416</v>
      </c>
      <c r="AL12" s="210">
        <v>0</v>
      </c>
      <c r="AM12" s="213">
        <v>1134</v>
      </c>
      <c r="AN12" s="210">
        <v>1</v>
      </c>
      <c r="AO12" s="213">
        <v>1455</v>
      </c>
      <c r="AP12" s="210">
        <v>0</v>
      </c>
      <c r="AQ12" s="213">
        <v>518</v>
      </c>
      <c r="AR12" s="210">
        <v>0</v>
      </c>
      <c r="AS12" s="213">
        <v>1366</v>
      </c>
      <c r="AT12" s="210">
        <v>0</v>
      </c>
      <c r="AU12" s="214">
        <v>9083</v>
      </c>
      <c r="AV12" s="210">
        <v>16</v>
      </c>
      <c r="AW12" s="166">
        <v>96</v>
      </c>
      <c r="AX12" s="79"/>
      <c r="AY12" s="80"/>
    </row>
    <row r="13" spans="1:51" s="81" customFormat="1" ht="15.75" customHeight="1" x14ac:dyDescent="0.2">
      <c r="A13" s="78">
        <v>5</v>
      </c>
      <c r="B13" s="206">
        <v>27432</v>
      </c>
      <c r="C13" s="205">
        <v>1</v>
      </c>
      <c r="D13" s="206">
        <v>12182</v>
      </c>
      <c r="E13" s="205">
        <v>0</v>
      </c>
      <c r="F13" s="206">
        <v>31851</v>
      </c>
      <c r="G13" s="205">
        <v>2</v>
      </c>
      <c r="H13" s="206">
        <v>25229</v>
      </c>
      <c r="I13" s="205">
        <v>2</v>
      </c>
      <c r="J13" s="206">
        <v>21136</v>
      </c>
      <c r="K13" s="205">
        <v>1</v>
      </c>
      <c r="L13" s="206">
        <v>15395</v>
      </c>
      <c r="M13" s="205">
        <v>2</v>
      </c>
      <c r="N13" s="206">
        <v>14121</v>
      </c>
      <c r="O13" s="205">
        <v>1</v>
      </c>
      <c r="P13" s="206">
        <v>20714</v>
      </c>
      <c r="Q13" s="205">
        <v>1</v>
      </c>
      <c r="R13" s="213">
        <v>24957</v>
      </c>
      <c r="S13" s="210">
        <v>1</v>
      </c>
      <c r="T13" s="213">
        <v>950</v>
      </c>
      <c r="U13" s="210">
        <v>2</v>
      </c>
      <c r="V13" s="213">
        <v>3198</v>
      </c>
      <c r="W13" s="210">
        <v>0</v>
      </c>
      <c r="X13" s="213">
        <v>30343</v>
      </c>
      <c r="Y13" s="210">
        <v>0</v>
      </c>
      <c r="Z13" s="213">
        <v>12843</v>
      </c>
      <c r="AA13" s="210">
        <v>0</v>
      </c>
      <c r="AB13" s="210">
        <v>10</v>
      </c>
      <c r="AC13" s="213">
        <v>12006</v>
      </c>
      <c r="AD13" s="210">
        <v>16</v>
      </c>
      <c r="AE13" s="210"/>
      <c r="AF13" s="210"/>
      <c r="AG13" s="210">
        <v>4397</v>
      </c>
      <c r="AH13" s="210">
        <v>13</v>
      </c>
      <c r="AI13" s="214">
        <v>37541</v>
      </c>
      <c r="AJ13" s="210">
        <v>3</v>
      </c>
      <c r="AK13" s="213">
        <v>4416</v>
      </c>
      <c r="AL13" s="210">
        <v>0</v>
      </c>
      <c r="AM13" s="213">
        <v>1135</v>
      </c>
      <c r="AN13" s="210">
        <v>1</v>
      </c>
      <c r="AO13" s="213">
        <v>1455</v>
      </c>
      <c r="AP13" s="210">
        <v>0</v>
      </c>
      <c r="AQ13" s="213">
        <v>518</v>
      </c>
      <c r="AR13" s="210">
        <v>0</v>
      </c>
      <c r="AS13" s="213">
        <v>1366</v>
      </c>
      <c r="AT13" s="210">
        <v>0</v>
      </c>
      <c r="AU13" s="214">
        <v>9095</v>
      </c>
      <c r="AV13" s="210">
        <v>12</v>
      </c>
      <c r="AW13" s="166">
        <v>58</v>
      </c>
      <c r="AX13" s="79"/>
      <c r="AY13" s="80"/>
    </row>
    <row r="14" spans="1:51" s="81" customFormat="1" ht="15.75" customHeight="1" x14ac:dyDescent="0.2">
      <c r="A14" s="78">
        <v>6</v>
      </c>
      <c r="B14" s="206">
        <v>27434</v>
      </c>
      <c r="C14" s="205">
        <v>2</v>
      </c>
      <c r="D14" s="206">
        <v>12183</v>
      </c>
      <c r="E14" s="205">
        <v>1</v>
      </c>
      <c r="F14" s="206">
        <v>31852</v>
      </c>
      <c r="G14" s="205">
        <v>1</v>
      </c>
      <c r="H14" s="206">
        <v>25230</v>
      </c>
      <c r="I14" s="205">
        <v>1</v>
      </c>
      <c r="J14" s="206">
        <v>21138</v>
      </c>
      <c r="K14" s="205">
        <v>2</v>
      </c>
      <c r="L14" s="206">
        <v>15397</v>
      </c>
      <c r="M14" s="205">
        <v>2</v>
      </c>
      <c r="N14" s="206">
        <v>14121</v>
      </c>
      <c r="O14" s="205">
        <v>0</v>
      </c>
      <c r="P14" s="206">
        <v>20714</v>
      </c>
      <c r="Q14" s="205">
        <v>0</v>
      </c>
      <c r="R14" s="213">
        <v>24959</v>
      </c>
      <c r="S14" s="210">
        <v>2</v>
      </c>
      <c r="T14" s="213">
        <v>953</v>
      </c>
      <c r="U14" s="210">
        <v>3</v>
      </c>
      <c r="V14" s="213">
        <v>3198</v>
      </c>
      <c r="W14" s="210">
        <v>0</v>
      </c>
      <c r="X14" s="213">
        <v>30346</v>
      </c>
      <c r="Y14" s="210">
        <v>3</v>
      </c>
      <c r="Z14" s="213">
        <v>12843</v>
      </c>
      <c r="AA14" s="210">
        <v>0</v>
      </c>
      <c r="AB14" s="210">
        <v>13</v>
      </c>
      <c r="AC14" s="213">
        <v>12024</v>
      </c>
      <c r="AD14" s="210">
        <v>18</v>
      </c>
      <c r="AE14" s="210"/>
      <c r="AF14" s="210"/>
      <c r="AG14" s="210">
        <v>4412</v>
      </c>
      <c r="AH14" s="210">
        <v>15</v>
      </c>
      <c r="AI14" s="214">
        <v>37542</v>
      </c>
      <c r="AJ14" s="210">
        <v>1</v>
      </c>
      <c r="AK14" s="213">
        <v>4416</v>
      </c>
      <c r="AL14" s="210">
        <v>0</v>
      </c>
      <c r="AM14" s="213">
        <v>1137</v>
      </c>
      <c r="AN14" s="210">
        <v>2</v>
      </c>
      <c r="AO14" s="213">
        <v>1456</v>
      </c>
      <c r="AP14" s="210">
        <v>1</v>
      </c>
      <c r="AQ14" s="213">
        <v>518</v>
      </c>
      <c r="AR14" s="210">
        <v>0</v>
      </c>
      <c r="AS14" s="213">
        <v>1366</v>
      </c>
      <c r="AT14" s="210">
        <v>0</v>
      </c>
      <c r="AU14" s="214">
        <v>9110</v>
      </c>
      <c r="AV14" s="210">
        <v>15</v>
      </c>
      <c r="AW14" s="166">
        <v>69</v>
      </c>
      <c r="AX14" s="79"/>
      <c r="AY14" s="80"/>
    </row>
    <row r="15" spans="1:51" s="81" customFormat="1" ht="15.75" customHeight="1" x14ac:dyDescent="0.2">
      <c r="A15" s="78">
        <v>7</v>
      </c>
      <c r="B15" s="206">
        <v>27435</v>
      </c>
      <c r="C15" s="205">
        <v>1</v>
      </c>
      <c r="D15" s="206">
        <v>12184</v>
      </c>
      <c r="E15" s="205">
        <v>1</v>
      </c>
      <c r="F15" s="206">
        <v>31853</v>
      </c>
      <c r="G15" s="205">
        <v>1</v>
      </c>
      <c r="H15" s="206">
        <v>25232</v>
      </c>
      <c r="I15" s="205">
        <v>2</v>
      </c>
      <c r="J15" s="206">
        <v>21138</v>
      </c>
      <c r="K15" s="205">
        <v>0</v>
      </c>
      <c r="L15" s="206">
        <v>15400</v>
      </c>
      <c r="M15" s="205">
        <v>3</v>
      </c>
      <c r="N15" s="206">
        <v>14121</v>
      </c>
      <c r="O15" s="205">
        <v>0</v>
      </c>
      <c r="P15" s="206">
        <v>20714</v>
      </c>
      <c r="Q15" s="205">
        <v>0</v>
      </c>
      <c r="R15" s="213">
        <v>24960</v>
      </c>
      <c r="S15" s="210">
        <v>1</v>
      </c>
      <c r="T15" s="213">
        <v>956</v>
      </c>
      <c r="U15" s="210">
        <v>3</v>
      </c>
      <c r="V15" s="213">
        <v>3198</v>
      </c>
      <c r="W15" s="210">
        <v>0</v>
      </c>
      <c r="X15" s="213">
        <v>30346</v>
      </c>
      <c r="Y15" s="210">
        <v>0</v>
      </c>
      <c r="Z15" s="213">
        <v>12843</v>
      </c>
      <c r="AA15" s="210">
        <v>0</v>
      </c>
      <c r="AB15" s="210">
        <v>9</v>
      </c>
      <c r="AC15" s="213">
        <v>12040</v>
      </c>
      <c r="AD15" s="210">
        <v>16</v>
      </c>
      <c r="AE15" s="210"/>
      <c r="AF15" s="210"/>
      <c r="AG15" s="210">
        <v>4423</v>
      </c>
      <c r="AH15" s="210">
        <v>11</v>
      </c>
      <c r="AI15" s="214">
        <v>37542</v>
      </c>
      <c r="AJ15" s="210">
        <v>0</v>
      </c>
      <c r="AK15" s="213">
        <v>4417</v>
      </c>
      <c r="AL15" s="210">
        <v>1</v>
      </c>
      <c r="AM15" s="213">
        <v>1139</v>
      </c>
      <c r="AN15" s="210">
        <v>2</v>
      </c>
      <c r="AO15" s="213">
        <v>1456</v>
      </c>
      <c r="AP15" s="210">
        <v>0</v>
      </c>
      <c r="AQ15" s="213">
        <v>518</v>
      </c>
      <c r="AR15" s="210">
        <v>0</v>
      </c>
      <c r="AS15" s="213">
        <v>1366</v>
      </c>
      <c r="AT15" s="210">
        <v>0</v>
      </c>
      <c r="AU15" s="214">
        <v>9122</v>
      </c>
      <c r="AV15" s="210">
        <v>12</v>
      </c>
      <c r="AW15" s="166">
        <v>54</v>
      </c>
      <c r="AX15" s="79"/>
      <c r="AY15" s="80"/>
    </row>
    <row r="16" spans="1:51" s="81" customFormat="1" ht="15.75" customHeight="1" x14ac:dyDescent="0.2">
      <c r="A16" s="78">
        <v>8</v>
      </c>
      <c r="B16" s="206">
        <v>27436</v>
      </c>
      <c r="C16" s="205">
        <v>1</v>
      </c>
      <c r="D16" s="206">
        <v>12184</v>
      </c>
      <c r="E16" s="205">
        <v>0</v>
      </c>
      <c r="F16" s="206">
        <v>31855</v>
      </c>
      <c r="G16" s="205">
        <v>2</v>
      </c>
      <c r="H16" s="206">
        <v>25234</v>
      </c>
      <c r="I16" s="205">
        <v>2</v>
      </c>
      <c r="J16" s="206">
        <v>21138</v>
      </c>
      <c r="K16" s="205">
        <v>0</v>
      </c>
      <c r="L16" s="206">
        <v>15403</v>
      </c>
      <c r="M16" s="205">
        <v>3</v>
      </c>
      <c r="N16" s="206">
        <v>14121</v>
      </c>
      <c r="O16" s="205">
        <v>0</v>
      </c>
      <c r="P16" s="206">
        <v>20715</v>
      </c>
      <c r="Q16" s="205">
        <v>1</v>
      </c>
      <c r="R16" s="213">
        <v>24961</v>
      </c>
      <c r="S16" s="210">
        <v>1</v>
      </c>
      <c r="T16" s="213">
        <v>959</v>
      </c>
      <c r="U16" s="210">
        <v>3</v>
      </c>
      <c r="V16" s="213">
        <v>3199</v>
      </c>
      <c r="W16" s="210">
        <v>1</v>
      </c>
      <c r="X16" s="213">
        <v>30349</v>
      </c>
      <c r="Y16" s="210">
        <v>3</v>
      </c>
      <c r="Z16" s="213">
        <v>12843</v>
      </c>
      <c r="AA16" s="210">
        <v>0</v>
      </c>
      <c r="AB16" s="210">
        <v>14</v>
      </c>
      <c r="AC16" s="213">
        <v>12058</v>
      </c>
      <c r="AD16" s="210">
        <v>18</v>
      </c>
      <c r="AE16" s="210"/>
      <c r="AF16" s="210"/>
      <c r="AG16" s="210">
        <v>4437</v>
      </c>
      <c r="AH16" s="210">
        <v>14</v>
      </c>
      <c r="AI16" s="214">
        <v>37543</v>
      </c>
      <c r="AJ16" s="210">
        <v>1</v>
      </c>
      <c r="AK16" s="213">
        <v>4417</v>
      </c>
      <c r="AL16" s="210">
        <v>0</v>
      </c>
      <c r="AM16" s="213">
        <v>1140</v>
      </c>
      <c r="AN16" s="210">
        <v>1</v>
      </c>
      <c r="AO16" s="213">
        <v>1456</v>
      </c>
      <c r="AP16" s="210">
        <v>0</v>
      </c>
      <c r="AQ16" s="213">
        <v>518</v>
      </c>
      <c r="AR16" s="210">
        <v>0</v>
      </c>
      <c r="AS16" s="213">
        <v>1366</v>
      </c>
      <c r="AT16" s="210">
        <v>0</v>
      </c>
      <c r="AU16" s="214">
        <v>9136</v>
      </c>
      <c r="AV16" s="210">
        <v>14</v>
      </c>
      <c r="AW16" s="166">
        <v>65</v>
      </c>
      <c r="AX16" s="79"/>
      <c r="AY16" s="80"/>
    </row>
    <row r="17" spans="1:51" s="81" customFormat="1" ht="15.75" customHeight="1" x14ac:dyDescent="0.2">
      <c r="A17" s="78">
        <v>9</v>
      </c>
      <c r="B17" s="206">
        <v>27437</v>
      </c>
      <c r="C17" s="205">
        <v>1</v>
      </c>
      <c r="D17" s="206">
        <v>12184</v>
      </c>
      <c r="E17" s="205">
        <v>0</v>
      </c>
      <c r="F17" s="206">
        <v>31858</v>
      </c>
      <c r="G17" s="205">
        <v>3</v>
      </c>
      <c r="H17" s="206">
        <v>25238</v>
      </c>
      <c r="I17" s="205">
        <v>4</v>
      </c>
      <c r="J17" s="206">
        <v>21138</v>
      </c>
      <c r="K17" s="205">
        <v>0</v>
      </c>
      <c r="L17" s="206">
        <v>15405</v>
      </c>
      <c r="M17" s="205">
        <v>2</v>
      </c>
      <c r="N17" s="206">
        <v>14123</v>
      </c>
      <c r="O17" s="205">
        <v>2</v>
      </c>
      <c r="P17" s="206">
        <v>20716</v>
      </c>
      <c r="Q17" s="205">
        <v>1</v>
      </c>
      <c r="R17" s="213">
        <v>24962</v>
      </c>
      <c r="S17" s="210">
        <v>1</v>
      </c>
      <c r="T17" s="213">
        <v>964</v>
      </c>
      <c r="U17" s="210">
        <v>5</v>
      </c>
      <c r="V17" s="213">
        <v>3199</v>
      </c>
      <c r="W17" s="210">
        <v>0</v>
      </c>
      <c r="X17" s="213">
        <v>30350</v>
      </c>
      <c r="Y17" s="210">
        <v>1</v>
      </c>
      <c r="Z17" s="213">
        <v>12843</v>
      </c>
      <c r="AA17" s="210">
        <v>0</v>
      </c>
      <c r="AB17" s="210">
        <v>16</v>
      </c>
      <c r="AC17" s="214">
        <v>12076</v>
      </c>
      <c r="AD17" s="210">
        <v>18</v>
      </c>
      <c r="AE17" s="210"/>
      <c r="AF17" s="210"/>
      <c r="AG17" s="210">
        <v>4450</v>
      </c>
      <c r="AH17" s="210">
        <v>13</v>
      </c>
      <c r="AI17" s="214">
        <v>37543</v>
      </c>
      <c r="AJ17" s="210">
        <v>0</v>
      </c>
      <c r="AK17" s="213">
        <v>4417</v>
      </c>
      <c r="AL17" s="210">
        <v>0</v>
      </c>
      <c r="AM17" s="213">
        <v>1140</v>
      </c>
      <c r="AN17" s="210">
        <v>0</v>
      </c>
      <c r="AO17" s="213">
        <v>1456</v>
      </c>
      <c r="AP17" s="210">
        <v>0</v>
      </c>
      <c r="AQ17" s="213">
        <v>518</v>
      </c>
      <c r="AR17" s="210">
        <v>0</v>
      </c>
      <c r="AS17" s="213">
        <v>1366</v>
      </c>
      <c r="AT17" s="210">
        <v>0</v>
      </c>
      <c r="AU17" s="214">
        <v>9150</v>
      </c>
      <c r="AV17" s="210">
        <v>14</v>
      </c>
      <c r="AW17" s="166">
        <v>65</v>
      </c>
      <c r="AX17" s="79"/>
      <c r="AY17" s="80"/>
    </row>
    <row r="18" spans="1:51" s="81" customFormat="1" ht="15.75" customHeight="1" x14ac:dyDescent="0.2">
      <c r="A18" s="78">
        <v>10</v>
      </c>
      <c r="B18" s="206">
        <v>27438</v>
      </c>
      <c r="C18" s="205">
        <v>1</v>
      </c>
      <c r="D18" s="206">
        <v>12196</v>
      </c>
      <c r="E18" s="205">
        <v>12</v>
      </c>
      <c r="F18" s="206">
        <v>31872</v>
      </c>
      <c r="G18" s="205">
        <v>14</v>
      </c>
      <c r="H18" s="206">
        <v>25240</v>
      </c>
      <c r="I18" s="205">
        <v>2</v>
      </c>
      <c r="J18" s="206">
        <v>21139</v>
      </c>
      <c r="K18" s="205">
        <v>1</v>
      </c>
      <c r="L18" s="206">
        <v>15410</v>
      </c>
      <c r="M18" s="205">
        <v>5</v>
      </c>
      <c r="N18" s="206">
        <v>14123</v>
      </c>
      <c r="O18" s="205">
        <v>0</v>
      </c>
      <c r="P18" s="206">
        <v>20717</v>
      </c>
      <c r="Q18" s="205">
        <v>1</v>
      </c>
      <c r="R18" s="213">
        <v>24966</v>
      </c>
      <c r="S18" s="210">
        <v>4</v>
      </c>
      <c r="T18" s="213">
        <v>968</v>
      </c>
      <c r="U18" s="210">
        <v>4</v>
      </c>
      <c r="V18" s="213">
        <v>3199</v>
      </c>
      <c r="W18" s="210">
        <v>0</v>
      </c>
      <c r="X18" s="213">
        <v>30352</v>
      </c>
      <c r="Y18" s="210">
        <v>2</v>
      </c>
      <c r="Z18" s="213">
        <v>12843</v>
      </c>
      <c r="AA18" s="210">
        <v>0</v>
      </c>
      <c r="AB18" s="210">
        <v>19</v>
      </c>
      <c r="AC18" s="214">
        <v>12091</v>
      </c>
      <c r="AD18" s="210">
        <v>15</v>
      </c>
      <c r="AE18" s="210"/>
      <c r="AF18" s="210"/>
      <c r="AG18" s="210">
        <v>4459</v>
      </c>
      <c r="AH18" s="210">
        <v>9</v>
      </c>
      <c r="AI18" s="214">
        <v>37543</v>
      </c>
      <c r="AJ18" s="210">
        <v>0</v>
      </c>
      <c r="AK18" s="213">
        <v>4417</v>
      </c>
      <c r="AL18" s="210">
        <v>0</v>
      </c>
      <c r="AM18" s="213">
        <v>1142</v>
      </c>
      <c r="AN18" s="210">
        <v>2</v>
      </c>
      <c r="AO18" s="213">
        <v>1456</v>
      </c>
      <c r="AP18" s="210">
        <v>0</v>
      </c>
      <c r="AQ18" s="213">
        <v>518</v>
      </c>
      <c r="AR18" s="210">
        <v>0</v>
      </c>
      <c r="AS18" s="213">
        <v>1366</v>
      </c>
      <c r="AT18" s="210">
        <v>0</v>
      </c>
      <c r="AU18" s="214">
        <v>9161</v>
      </c>
      <c r="AV18" s="210">
        <v>11</v>
      </c>
      <c r="AW18" s="166">
        <v>83</v>
      </c>
      <c r="AX18" s="79"/>
      <c r="AY18" s="80"/>
    </row>
    <row r="19" spans="1:51" s="81" customFormat="1" ht="15.75" customHeight="1" x14ac:dyDescent="0.2">
      <c r="A19" s="78">
        <v>11</v>
      </c>
      <c r="B19" s="206">
        <v>27439</v>
      </c>
      <c r="C19" s="205">
        <v>1</v>
      </c>
      <c r="D19" s="206">
        <v>12197</v>
      </c>
      <c r="E19" s="205">
        <v>1</v>
      </c>
      <c r="F19" s="206">
        <v>31876</v>
      </c>
      <c r="G19" s="205">
        <v>4</v>
      </c>
      <c r="H19" s="206">
        <v>25242</v>
      </c>
      <c r="I19" s="205">
        <v>2</v>
      </c>
      <c r="J19" s="206">
        <v>21140</v>
      </c>
      <c r="K19" s="205">
        <v>1</v>
      </c>
      <c r="L19" s="206">
        <v>15411</v>
      </c>
      <c r="M19" s="205">
        <v>1</v>
      </c>
      <c r="N19" s="206">
        <v>14125</v>
      </c>
      <c r="O19" s="205">
        <v>2</v>
      </c>
      <c r="P19" s="206">
        <v>20718</v>
      </c>
      <c r="Q19" s="205">
        <v>1</v>
      </c>
      <c r="R19" s="213">
        <v>24967</v>
      </c>
      <c r="S19" s="210">
        <v>1</v>
      </c>
      <c r="T19" s="213">
        <v>972</v>
      </c>
      <c r="U19" s="210">
        <v>4</v>
      </c>
      <c r="V19" s="213">
        <v>3199</v>
      </c>
      <c r="W19" s="210">
        <v>0</v>
      </c>
      <c r="X19" s="213">
        <v>30353</v>
      </c>
      <c r="Y19" s="210">
        <v>1</v>
      </c>
      <c r="Z19" s="213">
        <v>12843</v>
      </c>
      <c r="AA19" s="210">
        <v>0</v>
      </c>
      <c r="AB19" s="210">
        <v>13</v>
      </c>
      <c r="AC19" s="214">
        <v>12099</v>
      </c>
      <c r="AD19" s="210">
        <v>8</v>
      </c>
      <c r="AE19" s="210"/>
      <c r="AF19" s="210"/>
      <c r="AG19" s="210">
        <v>4459</v>
      </c>
      <c r="AH19" s="210">
        <v>0</v>
      </c>
      <c r="AI19" s="214">
        <v>37544</v>
      </c>
      <c r="AJ19" s="210">
        <v>1</v>
      </c>
      <c r="AK19" s="213">
        <v>4417</v>
      </c>
      <c r="AL19" s="210">
        <v>0</v>
      </c>
      <c r="AM19" s="213">
        <v>1142</v>
      </c>
      <c r="AN19" s="210">
        <v>0</v>
      </c>
      <c r="AO19" s="213">
        <v>1456</v>
      </c>
      <c r="AP19" s="210">
        <v>0</v>
      </c>
      <c r="AQ19" s="213">
        <v>519</v>
      </c>
      <c r="AR19" s="210">
        <v>1</v>
      </c>
      <c r="AS19" s="213">
        <v>1366</v>
      </c>
      <c r="AT19" s="210">
        <v>0</v>
      </c>
      <c r="AU19" s="214">
        <v>9162</v>
      </c>
      <c r="AV19" s="210">
        <v>1</v>
      </c>
      <c r="AW19" s="166">
        <v>30</v>
      </c>
      <c r="AX19" s="79"/>
      <c r="AY19" s="80"/>
    </row>
    <row r="20" spans="1:51" s="81" customFormat="1" ht="15.75" customHeight="1" x14ac:dyDescent="0.2">
      <c r="A20" s="78">
        <v>12</v>
      </c>
      <c r="B20" s="206">
        <v>27440</v>
      </c>
      <c r="C20" s="205">
        <v>1</v>
      </c>
      <c r="D20" s="206">
        <v>12198</v>
      </c>
      <c r="E20" s="205">
        <v>1</v>
      </c>
      <c r="F20" s="206">
        <v>31879</v>
      </c>
      <c r="G20" s="205">
        <v>3</v>
      </c>
      <c r="H20" s="206">
        <v>25245</v>
      </c>
      <c r="I20" s="205">
        <v>3</v>
      </c>
      <c r="J20" s="206">
        <v>21140</v>
      </c>
      <c r="K20" s="205">
        <v>0</v>
      </c>
      <c r="L20" s="206">
        <v>15414</v>
      </c>
      <c r="M20" s="205">
        <v>3</v>
      </c>
      <c r="N20" s="206">
        <v>14125</v>
      </c>
      <c r="O20" s="205">
        <v>0</v>
      </c>
      <c r="P20" s="206">
        <v>20721</v>
      </c>
      <c r="Q20" s="205">
        <v>3</v>
      </c>
      <c r="R20" s="213">
        <v>24970</v>
      </c>
      <c r="S20" s="210">
        <v>3</v>
      </c>
      <c r="T20" s="213">
        <v>972</v>
      </c>
      <c r="U20" s="210">
        <v>0</v>
      </c>
      <c r="V20" s="213">
        <v>3199</v>
      </c>
      <c r="W20" s="210">
        <v>0</v>
      </c>
      <c r="X20" s="213">
        <v>30358</v>
      </c>
      <c r="Y20" s="210">
        <v>5</v>
      </c>
      <c r="Z20" s="213">
        <v>12843</v>
      </c>
      <c r="AA20" s="210">
        <v>0</v>
      </c>
      <c r="AB20" s="210">
        <v>17</v>
      </c>
      <c r="AC20" s="214">
        <v>12106</v>
      </c>
      <c r="AD20" s="210">
        <v>7</v>
      </c>
      <c r="AE20" s="216"/>
      <c r="AF20" s="217"/>
      <c r="AG20" s="210">
        <v>4459</v>
      </c>
      <c r="AH20" s="210">
        <v>0</v>
      </c>
      <c r="AI20" s="214">
        <v>37545</v>
      </c>
      <c r="AJ20" s="210">
        <v>1</v>
      </c>
      <c r="AK20" s="213">
        <v>4418</v>
      </c>
      <c r="AL20" s="210">
        <v>1</v>
      </c>
      <c r="AM20" s="213">
        <v>1145</v>
      </c>
      <c r="AN20" s="210">
        <v>3</v>
      </c>
      <c r="AO20" s="213">
        <v>1456</v>
      </c>
      <c r="AP20" s="210">
        <v>0</v>
      </c>
      <c r="AQ20" s="213">
        <v>519</v>
      </c>
      <c r="AR20" s="210">
        <v>0</v>
      </c>
      <c r="AS20" s="213">
        <v>1366</v>
      </c>
      <c r="AT20" s="210">
        <v>0</v>
      </c>
      <c r="AU20" s="214">
        <v>9162</v>
      </c>
      <c r="AV20" s="210">
        <v>0</v>
      </c>
      <c r="AW20" s="166">
        <v>34</v>
      </c>
      <c r="AX20" s="79"/>
      <c r="AY20" s="80"/>
    </row>
    <row r="21" spans="1:51" s="81" customFormat="1" ht="15.75" customHeight="1" x14ac:dyDescent="0.2">
      <c r="A21" s="78">
        <v>13</v>
      </c>
      <c r="B21" s="206">
        <v>27441</v>
      </c>
      <c r="C21" s="205">
        <v>1</v>
      </c>
      <c r="D21" s="206">
        <v>12198</v>
      </c>
      <c r="E21" s="205">
        <v>0</v>
      </c>
      <c r="F21" s="206">
        <v>31881</v>
      </c>
      <c r="G21" s="205">
        <v>2</v>
      </c>
      <c r="H21" s="206">
        <v>25248</v>
      </c>
      <c r="I21" s="205">
        <v>3</v>
      </c>
      <c r="J21" s="206">
        <v>21141</v>
      </c>
      <c r="K21" s="205">
        <v>1</v>
      </c>
      <c r="L21" s="206">
        <v>15418</v>
      </c>
      <c r="M21" s="205">
        <v>4</v>
      </c>
      <c r="N21" s="206">
        <v>14126</v>
      </c>
      <c r="O21" s="205">
        <v>1</v>
      </c>
      <c r="P21" s="206">
        <v>20722</v>
      </c>
      <c r="Q21" s="205">
        <v>1</v>
      </c>
      <c r="R21" s="213">
        <v>24973</v>
      </c>
      <c r="S21" s="210">
        <v>3</v>
      </c>
      <c r="T21" s="213">
        <v>975</v>
      </c>
      <c r="U21" s="210">
        <v>3</v>
      </c>
      <c r="V21" s="213">
        <v>3200</v>
      </c>
      <c r="W21" s="210">
        <v>1</v>
      </c>
      <c r="X21" s="213">
        <v>30360</v>
      </c>
      <c r="Y21" s="210">
        <v>2</v>
      </c>
      <c r="Z21" s="213">
        <v>12843</v>
      </c>
      <c r="AA21" s="210">
        <v>0</v>
      </c>
      <c r="AB21" s="210">
        <v>19</v>
      </c>
      <c r="AC21" s="214">
        <v>12111</v>
      </c>
      <c r="AD21" s="210">
        <v>5</v>
      </c>
      <c r="AE21" s="216"/>
      <c r="AF21" s="217"/>
      <c r="AG21" s="210">
        <v>4459</v>
      </c>
      <c r="AH21" s="210">
        <v>0</v>
      </c>
      <c r="AI21" s="214">
        <v>37545</v>
      </c>
      <c r="AJ21" s="210">
        <v>0</v>
      </c>
      <c r="AK21" s="213">
        <v>4418</v>
      </c>
      <c r="AL21" s="210">
        <v>0</v>
      </c>
      <c r="AM21" s="213">
        <v>1146</v>
      </c>
      <c r="AN21" s="210">
        <v>1</v>
      </c>
      <c r="AO21" s="213">
        <v>1456</v>
      </c>
      <c r="AP21" s="210">
        <v>0</v>
      </c>
      <c r="AQ21" s="213">
        <v>519</v>
      </c>
      <c r="AR21" s="210">
        <v>0</v>
      </c>
      <c r="AS21" s="213">
        <v>1367</v>
      </c>
      <c r="AT21" s="210">
        <v>1</v>
      </c>
      <c r="AU21" s="214">
        <v>9162</v>
      </c>
      <c r="AV21" s="210">
        <v>0</v>
      </c>
      <c r="AW21" s="166">
        <v>29</v>
      </c>
      <c r="AX21" s="79"/>
      <c r="AY21" s="80"/>
    </row>
    <row r="22" spans="1:51" s="81" customFormat="1" ht="15.75" customHeight="1" x14ac:dyDescent="0.2">
      <c r="A22" s="78">
        <v>14</v>
      </c>
      <c r="B22" s="206">
        <v>27442</v>
      </c>
      <c r="C22" s="205">
        <v>1</v>
      </c>
      <c r="D22" s="206">
        <v>12200</v>
      </c>
      <c r="E22" s="205">
        <v>2</v>
      </c>
      <c r="F22" s="206">
        <v>31884</v>
      </c>
      <c r="G22" s="205">
        <v>3</v>
      </c>
      <c r="H22" s="206">
        <v>25252</v>
      </c>
      <c r="I22" s="205">
        <v>4</v>
      </c>
      <c r="J22" s="206">
        <v>21142</v>
      </c>
      <c r="K22" s="205">
        <v>1</v>
      </c>
      <c r="L22" s="206">
        <v>15420</v>
      </c>
      <c r="M22" s="205">
        <v>2</v>
      </c>
      <c r="N22" s="206">
        <v>14127</v>
      </c>
      <c r="O22" s="205">
        <v>1</v>
      </c>
      <c r="P22" s="206">
        <v>20725</v>
      </c>
      <c r="Q22" s="205">
        <v>3</v>
      </c>
      <c r="R22" s="213">
        <v>24976</v>
      </c>
      <c r="S22" s="210">
        <v>3</v>
      </c>
      <c r="T22" s="213">
        <v>977</v>
      </c>
      <c r="U22" s="210">
        <v>2</v>
      </c>
      <c r="V22" s="213">
        <v>3200</v>
      </c>
      <c r="W22" s="210">
        <v>0</v>
      </c>
      <c r="X22" s="213">
        <v>30361</v>
      </c>
      <c r="Y22" s="210">
        <v>1</v>
      </c>
      <c r="Z22" s="213">
        <v>12843</v>
      </c>
      <c r="AA22" s="210">
        <v>0</v>
      </c>
      <c r="AB22" s="210">
        <v>17</v>
      </c>
      <c r="AC22" s="214">
        <v>12119</v>
      </c>
      <c r="AD22" s="210">
        <v>8</v>
      </c>
      <c r="AE22" s="216"/>
      <c r="AF22" s="217"/>
      <c r="AG22" s="210">
        <v>4462</v>
      </c>
      <c r="AH22" s="210">
        <v>3</v>
      </c>
      <c r="AI22" s="214">
        <v>37546</v>
      </c>
      <c r="AJ22" s="210">
        <v>1</v>
      </c>
      <c r="AK22" s="213">
        <v>4418</v>
      </c>
      <c r="AL22" s="210">
        <v>0</v>
      </c>
      <c r="AM22" s="213">
        <v>1146</v>
      </c>
      <c r="AN22" s="210">
        <v>0</v>
      </c>
      <c r="AO22" s="213">
        <v>1458</v>
      </c>
      <c r="AP22" s="210">
        <v>2</v>
      </c>
      <c r="AQ22" s="213">
        <v>519</v>
      </c>
      <c r="AR22" s="210">
        <v>0</v>
      </c>
      <c r="AS22" s="213">
        <v>1367</v>
      </c>
      <c r="AT22" s="210">
        <v>0</v>
      </c>
      <c r="AU22" s="214">
        <v>9166</v>
      </c>
      <c r="AV22" s="210">
        <v>4</v>
      </c>
      <c r="AW22" s="166">
        <v>41</v>
      </c>
      <c r="AX22" s="79"/>
      <c r="AY22" s="80"/>
    </row>
    <row r="23" spans="1:51" s="81" customFormat="1" ht="15.75" customHeight="1" x14ac:dyDescent="0.2">
      <c r="A23" s="78">
        <v>15</v>
      </c>
      <c r="B23" s="206">
        <v>27443</v>
      </c>
      <c r="C23" s="205">
        <v>1</v>
      </c>
      <c r="D23" s="206">
        <v>12202</v>
      </c>
      <c r="E23" s="205">
        <v>2</v>
      </c>
      <c r="F23" s="206">
        <v>31888</v>
      </c>
      <c r="G23" s="205">
        <v>4</v>
      </c>
      <c r="H23" s="206">
        <v>25256</v>
      </c>
      <c r="I23" s="205">
        <v>4</v>
      </c>
      <c r="J23" s="206">
        <v>21143</v>
      </c>
      <c r="K23" s="205">
        <v>1</v>
      </c>
      <c r="L23" s="206">
        <v>15423</v>
      </c>
      <c r="M23" s="205">
        <v>3</v>
      </c>
      <c r="N23" s="206">
        <v>14128</v>
      </c>
      <c r="O23" s="205">
        <v>1</v>
      </c>
      <c r="P23" s="206">
        <v>20726</v>
      </c>
      <c r="Q23" s="205">
        <v>1</v>
      </c>
      <c r="R23" s="213">
        <v>24980</v>
      </c>
      <c r="S23" s="210">
        <v>4</v>
      </c>
      <c r="T23" s="213">
        <v>979</v>
      </c>
      <c r="U23" s="210">
        <v>2</v>
      </c>
      <c r="V23" s="213">
        <v>3200</v>
      </c>
      <c r="W23" s="210">
        <v>0</v>
      </c>
      <c r="X23" s="213">
        <v>30363</v>
      </c>
      <c r="Y23" s="210">
        <v>2</v>
      </c>
      <c r="Z23" s="213">
        <v>12843</v>
      </c>
      <c r="AA23" s="210">
        <v>0</v>
      </c>
      <c r="AB23" s="210">
        <v>18</v>
      </c>
      <c r="AC23" s="214">
        <v>12138</v>
      </c>
      <c r="AD23" s="210">
        <v>19</v>
      </c>
      <c r="AE23" s="216"/>
      <c r="AF23" s="217"/>
      <c r="AG23" s="210">
        <v>4475</v>
      </c>
      <c r="AH23" s="210">
        <v>13</v>
      </c>
      <c r="AI23" s="214">
        <v>37548</v>
      </c>
      <c r="AJ23" s="210">
        <v>2</v>
      </c>
      <c r="AK23" s="213">
        <v>4418</v>
      </c>
      <c r="AL23" s="210">
        <v>0</v>
      </c>
      <c r="AM23" s="213">
        <v>1146</v>
      </c>
      <c r="AN23" s="210">
        <v>0</v>
      </c>
      <c r="AO23" s="213">
        <v>1462</v>
      </c>
      <c r="AP23" s="210">
        <v>4</v>
      </c>
      <c r="AQ23" s="213">
        <v>519</v>
      </c>
      <c r="AR23" s="210">
        <v>0</v>
      </c>
      <c r="AS23" s="213">
        <v>1367</v>
      </c>
      <c r="AT23" s="210">
        <v>0</v>
      </c>
      <c r="AU23" s="214">
        <v>9180</v>
      </c>
      <c r="AV23" s="210">
        <v>14</v>
      </c>
      <c r="AW23" s="166">
        <v>77</v>
      </c>
      <c r="AX23" s="79"/>
      <c r="AY23" s="80"/>
    </row>
    <row r="24" spans="1:51" s="81" customFormat="1" ht="15.75" customHeight="1" x14ac:dyDescent="0.2">
      <c r="A24" s="78">
        <v>16</v>
      </c>
      <c r="B24" s="206">
        <v>27444</v>
      </c>
      <c r="C24" s="205">
        <v>1</v>
      </c>
      <c r="D24" s="206">
        <v>12203</v>
      </c>
      <c r="E24" s="205">
        <v>1</v>
      </c>
      <c r="F24" s="206">
        <v>31893</v>
      </c>
      <c r="G24" s="205">
        <v>5</v>
      </c>
      <c r="H24" s="206">
        <v>25258</v>
      </c>
      <c r="I24" s="205">
        <v>2</v>
      </c>
      <c r="J24" s="206">
        <v>21143</v>
      </c>
      <c r="K24" s="205">
        <v>0</v>
      </c>
      <c r="L24" s="206">
        <v>15427</v>
      </c>
      <c r="M24" s="205">
        <v>4</v>
      </c>
      <c r="N24" s="206">
        <v>14129</v>
      </c>
      <c r="O24" s="205">
        <v>1</v>
      </c>
      <c r="P24" s="206">
        <v>20727</v>
      </c>
      <c r="Q24" s="205">
        <v>1</v>
      </c>
      <c r="R24" s="213">
        <v>24983</v>
      </c>
      <c r="S24" s="210">
        <v>3</v>
      </c>
      <c r="T24" s="213">
        <v>980</v>
      </c>
      <c r="U24" s="210">
        <v>1</v>
      </c>
      <c r="V24" s="213">
        <v>3200</v>
      </c>
      <c r="W24" s="210">
        <v>0</v>
      </c>
      <c r="X24" s="213">
        <v>30364</v>
      </c>
      <c r="Y24" s="210">
        <v>1</v>
      </c>
      <c r="Z24" s="213">
        <v>12843</v>
      </c>
      <c r="AA24" s="210">
        <v>0</v>
      </c>
      <c r="AB24" s="210">
        <v>13</v>
      </c>
      <c r="AC24" s="214">
        <v>12149</v>
      </c>
      <c r="AD24" s="210">
        <v>11</v>
      </c>
      <c r="AE24" s="216"/>
      <c r="AF24" s="217"/>
      <c r="AG24" s="210">
        <v>4480</v>
      </c>
      <c r="AH24" s="210">
        <v>5</v>
      </c>
      <c r="AI24" s="214">
        <v>37550</v>
      </c>
      <c r="AJ24" s="210">
        <v>2</v>
      </c>
      <c r="AK24" s="213">
        <v>4418</v>
      </c>
      <c r="AL24" s="210">
        <v>0</v>
      </c>
      <c r="AM24" s="213">
        <v>1146</v>
      </c>
      <c r="AN24" s="210">
        <v>0</v>
      </c>
      <c r="AO24" s="213">
        <v>1462</v>
      </c>
      <c r="AP24" s="210">
        <v>0</v>
      </c>
      <c r="AQ24" s="213">
        <v>519</v>
      </c>
      <c r="AR24" s="210">
        <v>0</v>
      </c>
      <c r="AS24" s="213">
        <v>1367</v>
      </c>
      <c r="AT24" s="210">
        <v>0</v>
      </c>
      <c r="AU24" s="214">
        <v>9186</v>
      </c>
      <c r="AV24" s="210">
        <v>6</v>
      </c>
      <c r="AW24" s="166">
        <v>44</v>
      </c>
      <c r="AX24" s="79"/>
      <c r="AY24" s="80"/>
    </row>
    <row r="25" spans="1:51" s="81" customFormat="1" ht="15.75" customHeight="1" x14ac:dyDescent="0.2">
      <c r="A25" s="78">
        <v>17</v>
      </c>
      <c r="B25" s="206">
        <v>27445</v>
      </c>
      <c r="C25" s="205">
        <v>1</v>
      </c>
      <c r="D25" s="206">
        <v>12204</v>
      </c>
      <c r="E25" s="205">
        <v>1</v>
      </c>
      <c r="F25" s="206">
        <v>31897</v>
      </c>
      <c r="G25" s="205">
        <v>4</v>
      </c>
      <c r="H25" s="206">
        <v>25262</v>
      </c>
      <c r="I25" s="205">
        <v>4</v>
      </c>
      <c r="J25" s="206">
        <v>21144</v>
      </c>
      <c r="K25" s="205">
        <v>1</v>
      </c>
      <c r="L25" s="206">
        <v>15431</v>
      </c>
      <c r="M25" s="205">
        <v>4</v>
      </c>
      <c r="N25" s="206">
        <v>14130</v>
      </c>
      <c r="O25" s="205">
        <v>1</v>
      </c>
      <c r="P25" s="206">
        <v>20728</v>
      </c>
      <c r="Q25" s="205">
        <v>1</v>
      </c>
      <c r="R25" s="213">
        <v>24990</v>
      </c>
      <c r="S25" s="210">
        <v>7</v>
      </c>
      <c r="T25" s="213">
        <v>981</v>
      </c>
      <c r="U25" s="210">
        <v>1</v>
      </c>
      <c r="V25" s="213">
        <v>3201</v>
      </c>
      <c r="W25" s="210">
        <v>1</v>
      </c>
      <c r="X25" s="213">
        <v>30366</v>
      </c>
      <c r="Y25" s="210">
        <v>2</v>
      </c>
      <c r="Z25" s="213">
        <v>12843</v>
      </c>
      <c r="AA25" s="210">
        <v>0</v>
      </c>
      <c r="AB25" s="210">
        <v>22</v>
      </c>
      <c r="AC25" s="214">
        <v>12159</v>
      </c>
      <c r="AD25" s="210">
        <v>10</v>
      </c>
      <c r="AE25" s="216"/>
      <c r="AF25" s="217"/>
      <c r="AG25" s="210">
        <v>4483</v>
      </c>
      <c r="AH25" s="210">
        <v>3</v>
      </c>
      <c r="AI25" s="214">
        <v>37551</v>
      </c>
      <c r="AJ25" s="210">
        <v>1</v>
      </c>
      <c r="AK25" s="213">
        <v>4418</v>
      </c>
      <c r="AL25" s="210">
        <v>0</v>
      </c>
      <c r="AM25" s="213">
        <v>1148</v>
      </c>
      <c r="AN25" s="210">
        <v>2</v>
      </c>
      <c r="AO25" s="213">
        <v>1462</v>
      </c>
      <c r="AP25" s="210">
        <v>0</v>
      </c>
      <c r="AQ25" s="213">
        <v>519</v>
      </c>
      <c r="AR25" s="210">
        <v>0</v>
      </c>
      <c r="AS25" s="213">
        <v>1367</v>
      </c>
      <c r="AT25" s="210">
        <v>0</v>
      </c>
      <c r="AU25" s="214">
        <v>9189</v>
      </c>
      <c r="AV25" s="210">
        <v>3</v>
      </c>
      <c r="AW25" s="166">
        <v>47</v>
      </c>
      <c r="AX25" s="79"/>
      <c r="AY25" s="80"/>
    </row>
    <row r="26" spans="1:51" s="81" customFormat="1" ht="15.75" customHeight="1" x14ac:dyDescent="0.2">
      <c r="A26" s="78">
        <v>18</v>
      </c>
      <c r="B26" s="206">
        <v>27445</v>
      </c>
      <c r="C26" s="205">
        <v>0</v>
      </c>
      <c r="D26" s="206">
        <v>12204</v>
      </c>
      <c r="E26" s="205">
        <v>0</v>
      </c>
      <c r="F26" s="206">
        <v>31900</v>
      </c>
      <c r="G26" s="205">
        <v>3</v>
      </c>
      <c r="H26" s="206">
        <v>25268</v>
      </c>
      <c r="I26" s="205">
        <v>6</v>
      </c>
      <c r="J26" s="206">
        <v>21144</v>
      </c>
      <c r="K26" s="205">
        <v>0</v>
      </c>
      <c r="L26" s="206">
        <v>15433</v>
      </c>
      <c r="M26" s="205">
        <v>2</v>
      </c>
      <c r="N26" s="206">
        <v>14131</v>
      </c>
      <c r="O26" s="205">
        <v>1</v>
      </c>
      <c r="P26" s="206">
        <v>20728</v>
      </c>
      <c r="Q26" s="205">
        <v>0</v>
      </c>
      <c r="R26" s="213">
        <v>24992</v>
      </c>
      <c r="S26" s="210">
        <v>2</v>
      </c>
      <c r="T26" s="213">
        <v>982</v>
      </c>
      <c r="U26" s="210">
        <v>1</v>
      </c>
      <c r="V26" s="213">
        <v>3201</v>
      </c>
      <c r="W26" s="210">
        <v>0</v>
      </c>
      <c r="X26" s="213">
        <v>30367</v>
      </c>
      <c r="Y26" s="210">
        <v>1</v>
      </c>
      <c r="Z26" s="213">
        <v>12843</v>
      </c>
      <c r="AA26" s="210">
        <v>0</v>
      </c>
      <c r="AB26" s="210">
        <v>13</v>
      </c>
      <c r="AC26" s="214">
        <v>12171</v>
      </c>
      <c r="AD26" s="210">
        <v>12</v>
      </c>
      <c r="AE26" s="216"/>
      <c r="AF26" s="217"/>
      <c r="AG26" s="210">
        <v>4488</v>
      </c>
      <c r="AH26" s="210">
        <v>5</v>
      </c>
      <c r="AI26" s="214">
        <v>37551</v>
      </c>
      <c r="AJ26" s="210">
        <v>0</v>
      </c>
      <c r="AK26" s="213">
        <v>4418</v>
      </c>
      <c r="AL26" s="210">
        <v>0</v>
      </c>
      <c r="AM26" s="213">
        <v>1150</v>
      </c>
      <c r="AN26" s="210">
        <v>2</v>
      </c>
      <c r="AO26" s="213">
        <v>1462</v>
      </c>
      <c r="AP26" s="210">
        <v>0</v>
      </c>
      <c r="AQ26" s="213">
        <v>519</v>
      </c>
      <c r="AR26" s="210">
        <v>0</v>
      </c>
      <c r="AS26" s="213">
        <v>1367</v>
      </c>
      <c r="AT26" s="210">
        <v>0</v>
      </c>
      <c r="AU26" s="214">
        <v>9195</v>
      </c>
      <c r="AV26" s="210">
        <v>6</v>
      </c>
      <c r="AW26" s="166">
        <v>41</v>
      </c>
      <c r="AX26" s="79"/>
      <c r="AY26" s="80"/>
    </row>
    <row r="27" spans="1:51" s="81" customFormat="1" ht="15.75" customHeight="1" x14ac:dyDescent="0.2">
      <c r="A27" s="78">
        <v>19</v>
      </c>
      <c r="B27" s="206">
        <v>27446</v>
      </c>
      <c r="C27" s="205">
        <v>1</v>
      </c>
      <c r="D27" s="206">
        <v>12205</v>
      </c>
      <c r="E27" s="205">
        <v>1</v>
      </c>
      <c r="F27" s="206">
        <v>31902</v>
      </c>
      <c r="G27" s="205">
        <v>2</v>
      </c>
      <c r="H27" s="206">
        <v>25272</v>
      </c>
      <c r="I27" s="205">
        <v>4</v>
      </c>
      <c r="J27" s="206">
        <v>21145</v>
      </c>
      <c r="K27" s="205">
        <v>1</v>
      </c>
      <c r="L27" s="206">
        <v>15435</v>
      </c>
      <c r="M27" s="205">
        <v>2</v>
      </c>
      <c r="N27" s="206">
        <v>14132</v>
      </c>
      <c r="O27" s="205">
        <v>1</v>
      </c>
      <c r="P27" s="206">
        <v>20729</v>
      </c>
      <c r="Q27" s="205">
        <v>1</v>
      </c>
      <c r="R27" s="213">
        <v>24995</v>
      </c>
      <c r="S27" s="210">
        <v>3</v>
      </c>
      <c r="T27" s="213">
        <v>983</v>
      </c>
      <c r="U27" s="210">
        <v>1</v>
      </c>
      <c r="V27" s="213">
        <v>3201</v>
      </c>
      <c r="W27" s="210">
        <v>0</v>
      </c>
      <c r="X27" s="213">
        <v>30371</v>
      </c>
      <c r="Y27" s="210">
        <v>4</v>
      </c>
      <c r="Z27" s="213">
        <v>12843</v>
      </c>
      <c r="AA27" s="210">
        <v>0</v>
      </c>
      <c r="AB27" s="210">
        <v>17</v>
      </c>
      <c r="AC27" s="214">
        <v>12183</v>
      </c>
      <c r="AD27" s="210">
        <v>12</v>
      </c>
      <c r="AE27" s="216"/>
      <c r="AF27" s="217"/>
      <c r="AG27" s="210">
        <v>4494</v>
      </c>
      <c r="AH27" s="210">
        <v>6</v>
      </c>
      <c r="AI27" s="214">
        <v>37552</v>
      </c>
      <c r="AJ27" s="210">
        <v>1</v>
      </c>
      <c r="AK27" s="213">
        <v>4418</v>
      </c>
      <c r="AL27" s="210">
        <v>0</v>
      </c>
      <c r="AM27" s="213">
        <v>1151</v>
      </c>
      <c r="AN27" s="210">
        <v>1</v>
      </c>
      <c r="AO27" s="213">
        <v>1462</v>
      </c>
      <c r="AP27" s="210">
        <v>0</v>
      </c>
      <c r="AQ27" s="213">
        <v>519</v>
      </c>
      <c r="AR27" s="210">
        <v>0</v>
      </c>
      <c r="AS27" s="213">
        <v>1367</v>
      </c>
      <c r="AT27" s="210">
        <v>0</v>
      </c>
      <c r="AU27" s="214">
        <v>9202</v>
      </c>
      <c r="AV27" s="210">
        <v>7</v>
      </c>
      <c r="AW27" s="166">
        <v>48</v>
      </c>
      <c r="AX27" s="79"/>
      <c r="AY27" s="80"/>
    </row>
    <row r="28" spans="1:51" s="81" customFormat="1" ht="15.75" customHeight="1" x14ac:dyDescent="0.2">
      <c r="A28" s="78">
        <v>20</v>
      </c>
      <c r="B28" s="206">
        <v>27446</v>
      </c>
      <c r="C28" s="205">
        <v>0</v>
      </c>
      <c r="D28" s="206">
        <v>12206</v>
      </c>
      <c r="E28" s="205">
        <v>1</v>
      </c>
      <c r="F28" s="206">
        <v>31905</v>
      </c>
      <c r="G28" s="205">
        <v>3</v>
      </c>
      <c r="H28" s="206">
        <v>25276</v>
      </c>
      <c r="I28" s="205">
        <v>4</v>
      </c>
      <c r="J28" s="206">
        <v>21146</v>
      </c>
      <c r="K28" s="205">
        <v>1</v>
      </c>
      <c r="L28" s="206">
        <v>15439</v>
      </c>
      <c r="M28" s="205">
        <v>4</v>
      </c>
      <c r="N28" s="206">
        <v>14133</v>
      </c>
      <c r="O28" s="205">
        <v>1</v>
      </c>
      <c r="P28" s="206">
        <v>20731</v>
      </c>
      <c r="Q28" s="205">
        <v>2</v>
      </c>
      <c r="R28" s="213">
        <v>24996</v>
      </c>
      <c r="S28" s="210">
        <v>1</v>
      </c>
      <c r="T28" s="213">
        <v>983</v>
      </c>
      <c r="U28" s="210">
        <v>0</v>
      </c>
      <c r="V28" s="213">
        <v>3201</v>
      </c>
      <c r="W28" s="210">
        <v>0</v>
      </c>
      <c r="X28" s="213">
        <v>30373</v>
      </c>
      <c r="Y28" s="210">
        <v>2</v>
      </c>
      <c r="Z28" s="213">
        <v>12843</v>
      </c>
      <c r="AA28" s="210">
        <v>0</v>
      </c>
      <c r="AB28" s="210">
        <v>15</v>
      </c>
      <c r="AC28" s="214">
        <v>12194</v>
      </c>
      <c r="AD28" s="210">
        <v>11</v>
      </c>
      <c r="AE28" s="216"/>
      <c r="AF28" s="217"/>
      <c r="AG28" s="210">
        <v>4500</v>
      </c>
      <c r="AH28" s="210">
        <v>6</v>
      </c>
      <c r="AI28" s="214">
        <v>37553</v>
      </c>
      <c r="AJ28" s="210">
        <v>1</v>
      </c>
      <c r="AK28" s="213">
        <v>4418</v>
      </c>
      <c r="AL28" s="210">
        <v>0</v>
      </c>
      <c r="AM28" s="213">
        <v>1152</v>
      </c>
      <c r="AN28" s="210">
        <v>1</v>
      </c>
      <c r="AO28" s="213">
        <v>1462</v>
      </c>
      <c r="AP28" s="210">
        <v>0</v>
      </c>
      <c r="AQ28" s="213">
        <v>520</v>
      </c>
      <c r="AR28" s="210">
        <v>1</v>
      </c>
      <c r="AS28" s="213">
        <v>1367</v>
      </c>
      <c r="AT28" s="210">
        <v>0</v>
      </c>
      <c r="AU28" s="214">
        <v>9209</v>
      </c>
      <c r="AV28" s="210">
        <v>7</v>
      </c>
      <c r="AW28" s="166">
        <v>46</v>
      </c>
      <c r="AX28" s="79"/>
      <c r="AY28" s="80"/>
    </row>
    <row r="29" spans="1:51" s="81" customFormat="1" ht="15.75" customHeight="1" x14ac:dyDescent="0.2">
      <c r="A29" s="78">
        <v>21</v>
      </c>
      <c r="B29" s="206">
        <v>27447</v>
      </c>
      <c r="C29" s="205">
        <v>1</v>
      </c>
      <c r="D29" s="206">
        <v>12207</v>
      </c>
      <c r="E29" s="205">
        <v>1</v>
      </c>
      <c r="F29" s="206">
        <v>31908</v>
      </c>
      <c r="G29" s="205">
        <v>3</v>
      </c>
      <c r="H29" s="206">
        <v>25281</v>
      </c>
      <c r="I29" s="205">
        <v>5</v>
      </c>
      <c r="J29" s="206">
        <v>21148</v>
      </c>
      <c r="K29" s="205">
        <v>2</v>
      </c>
      <c r="L29" s="206">
        <v>15441</v>
      </c>
      <c r="M29" s="205">
        <v>2</v>
      </c>
      <c r="N29" s="206">
        <v>14134</v>
      </c>
      <c r="O29" s="205">
        <v>1</v>
      </c>
      <c r="P29" s="206">
        <v>20732</v>
      </c>
      <c r="Q29" s="205">
        <v>1</v>
      </c>
      <c r="R29" s="213">
        <v>24999</v>
      </c>
      <c r="S29" s="210">
        <v>3</v>
      </c>
      <c r="T29" s="213">
        <v>984</v>
      </c>
      <c r="U29" s="210">
        <v>1</v>
      </c>
      <c r="V29" s="213">
        <v>3202</v>
      </c>
      <c r="W29" s="210">
        <v>1</v>
      </c>
      <c r="X29" s="213">
        <v>30374</v>
      </c>
      <c r="Y29" s="210">
        <v>1</v>
      </c>
      <c r="Z29" s="213">
        <v>12843</v>
      </c>
      <c r="AA29" s="210">
        <v>0</v>
      </c>
      <c r="AB29" s="210">
        <v>17</v>
      </c>
      <c r="AC29" s="214">
        <v>12203</v>
      </c>
      <c r="AD29" s="210">
        <v>9</v>
      </c>
      <c r="AE29" s="216"/>
      <c r="AF29" s="217"/>
      <c r="AG29" s="210">
        <v>4506</v>
      </c>
      <c r="AH29" s="210">
        <v>6</v>
      </c>
      <c r="AI29" s="214">
        <v>37554</v>
      </c>
      <c r="AJ29" s="210">
        <v>1</v>
      </c>
      <c r="AK29" s="213">
        <v>4418</v>
      </c>
      <c r="AL29" s="210">
        <v>0</v>
      </c>
      <c r="AM29" s="213">
        <v>1153</v>
      </c>
      <c r="AN29" s="210">
        <v>1</v>
      </c>
      <c r="AO29" s="213">
        <v>1462</v>
      </c>
      <c r="AP29" s="210">
        <v>0</v>
      </c>
      <c r="AQ29" s="213">
        <v>520</v>
      </c>
      <c r="AR29" s="210">
        <v>0</v>
      </c>
      <c r="AS29" s="213">
        <v>1367</v>
      </c>
      <c r="AT29" s="210">
        <v>0</v>
      </c>
      <c r="AU29" s="214">
        <v>9215</v>
      </c>
      <c r="AV29" s="210">
        <v>6</v>
      </c>
      <c r="AW29" s="166">
        <v>45</v>
      </c>
      <c r="AX29" s="79"/>
      <c r="AY29" s="80"/>
    </row>
    <row r="30" spans="1:51" s="81" customFormat="1" ht="15.75" customHeight="1" x14ac:dyDescent="0.2">
      <c r="A30" s="78">
        <v>22</v>
      </c>
      <c r="B30" s="205">
        <v>27448</v>
      </c>
      <c r="C30" s="206">
        <v>1</v>
      </c>
      <c r="D30" s="205">
        <v>12208</v>
      </c>
      <c r="E30" s="206">
        <v>1</v>
      </c>
      <c r="F30" s="205">
        <v>31910</v>
      </c>
      <c r="G30" s="206">
        <v>2</v>
      </c>
      <c r="H30" s="205">
        <v>25287</v>
      </c>
      <c r="I30" s="206">
        <v>6</v>
      </c>
      <c r="J30" s="205">
        <v>21149</v>
      </c>
      <c r="K30" s="206">
        <v>1</v>
      </c>
      <c r="L30" s="205">
        <v>15443</v>
      </c>
      <c r="M30" s="206">
        <v>2</v>
      </c>
      <c r="N30" s="205">
        <v>14134</v>
      </c>
      <c r="O30" s="206">
        <v>0</v>
      </c>
      <c r="P30" s="205">
        <v>20733</v>
      </c>
      <c r="Q30" s="206">
        <v>1</v>
      </c>
      <c r="R30" s="210">
        <v>25001</v>
      </c>
      <c r="S30" s="213">
        <v>2</v>
      </c>
      <c r="T30" s="210">
        <v>985</v>
      </c>
      <c r="U30" s="214">
        <v>1</v>
      </c>
      <c r="V30" s="210">
        <v>3202</v>
      </c>
      <c r="W30" s="214">
        <v>0</v>
      </c>
      <c r="X30" s="210">
        <v>30375</v>
      </c>
      <c r="Y30" s="213">
        <v>1</v>
      </c>
      <c r="Z30" s="210">
        <v>12843</v>
      </c>
      <c r="AA30" s="213">
        <v>0</v>
      </c>
      <c r="AB30" s="210">
        <v>14</v>
      </c>
      <c r="AC30" s="213">
        <v>12212</v>
      </c>
      <c r="AD30" s="210">
        <v>9</v>
      </c>
      <c r="AE30" s="213"/>
      <c r="AF30" s="210"/>
      <c r="AG30" s="213">
        <v>4511</v>
      </c>
      <c r="AH30" s="210">
        <v>5</v>
      </c>
      <c r="AI30" s="214">
        <v>37555</v>
      </c>
      <c r="AJ30" s="210">
        <v>1</v>
      </c>
      <c r="AK30" s="218">
        <v>4418</v>
      </c>
      <c r="AL30" s="210">
        <v>0</v>
      </c>
      <c r="AM30" s="214">
        <v>1154</v>
      </c>
      <c r="AN30" s="210">
        <v>1</v>
      </c>
      <c r="AO30" s="213">
        <v>1462</v>
      </c>
      <c r="AP30" s="210">
        <v>0</v>
      </c>
      <c r="AQ30" s="213">
        <v>520</v>
      </c>
      <c r="AR30" s="210">
        <v>0</v>
      </c>
      <c r="AS30" s="213">
        <v>1367</v>
      </c>
      <c r="AT30" s="210">
        <v>0</v>
      </c>
      <c r="AU30" s="213">
        <v>9221</v>
      </c>
      <c r="AV30" s="210">
        <v>6</v>
      </c>
      <c r="AW30" s="163">
        <v>40</v>
      </c>
      <c r="AX30" s="79"/>
      <c r="AY30" s="80"/>
    </row>
    <row r="31" spans="1:51" s="81" customFormat="1" ht="15.75" customHeight="1" x14ac:dyDescent="0.2">
      <c r="A31" s="78">
        <v>23</v>
      </c>
      <c r="B31" s="205">
        <v>27449</v>
      </c>
      <c r="C31" s="206">
        <v>1</v>
      </c>
      <c r="D31" s="205">
        <v>12209</v>
      </c>
      <c r="E31" s="206">
        <v>1</v>
      </c>
      <c r="F31" s="205">
        <v>31911</v>
      </c>
      <c r="G31" s="206">
        <v>1</v>
      </c>
      <c r="H31" s="205">
        <v>25289</v>
      </c>
      <c r="I31" s="206">
        <v>2</v>
      </c>
      <c r="J31" s="205">
        <v>21150</v>
      </c>
      <c r="K31" s="206">
        <v>1</v>
      </c>
      <c r="L31" s="205">
        <v>15446</v>
      </c>
      <c r="M31" s="206">
        <v>3</v>
      </c>
      <c r="N31" s="205">
        <v>14134</v>
      </c>
      <c r="O31" s="206">
        <v>0</v>
      </c>
      <c r="P31" s="205">
        <v>20733</v>
      </c>
      <c r="Q31" s="206">
        <v>0</v>
      </c>
      <c r="R31" s="210">
        <v>25004</v>
      </c>
      <c r="S31" s="213">
        <v>3</v>
      </c>
      <c r="T31" s="210">
        <v>987</v>
      </c>
      <c r="U31" s="214">
        <v>2</v>
      </c>
      <c r="V31" s="210">
        <v>3202</v>
      </c>
      <c r="W31" s="214">
        <v>0</v>
      </c>
      <c r="X31" s="210">
        <v>30375</v>
      </c>
      <c r="Y31" s="213">
        <v>0</v>
      </c>
      <c r="Z31" s="210">
        <v>12843</v>
      </c>
      <c r="AA31" s="213">
        <v>0</v>
      </c>
      <c r="AB31" s="210">
        <v>11</v>
      </c>
      <c r="AC31" s="213">
        <v>12216</v>
      </c>
      <c r="AD31" s="210">
        <v>4</v>
      </c>
      <c r="AE31" s="213"/>
      <c r="AF31" s="210"/>
      <c r="AG31" s="213">
        <v>4516</v>
      </c>
      <c r="AH31" s="210">
        <v>5</v>
      </c>
      <c r="AI31" s="214">
        <v>37556</v>
      </c>
      <c r="AJ31" s="210">
        <v>1</v>
      </c>
      <c r="AK31" s="218">
        <v>4419</v>
      </c>
      <c r="AL31" s="210">
        <v>1</v>
      </c>
      <c r="AM31" s="214">
        <v>1156</v>
      </c>
      <c r="AN31" s="210">
        <v>2</v>
      </c>
      <c r="AO31" s="213">
        <v>1462</v>
      </c>
      <c r="AP31" s="210">
        <v>0</v>
      </c>
      <c r="AQ31" s="213">
        <v>520</v>
      </c>
      <c r="AR31" s="210">
        <v>0</v>
      </c>
      <c r="AS31" s="213">
        <v>1367</v>
      </c>
      <c r="AT31" s="210">
        <v>0</v>
      </c>
      <c r="AU31" s="213">
        <v>9222</v>
      </c>
      <c r="AV31" s="210">
        <v>1</v>
      </c>
      <c r="AW31" s="163">
        <v>28</v>
      </c>
      <c r="AX31" s="79"/>
      <c r="AY31" s="80"/>
    </row>
    <row r="32" spans="1:51" s="81" customFormat="1" ht="15.75" customHeight="1" x14ac:dyDescent="0.2">
      <c r="A32" s="78">
        <v>24</v>
      </c>
      <c r="B32" s="205">
        <v>27450</v>
      </c>
      <c r="C32" s="206">
        <v>1</v>
      </c>
      <c r="D32" s="205">
        <v>12210</v>
      </c>
      <c r="E32" s="206">
        <v>1</v>
      </c>
      <c r="F32" s="205">
        <v>31914</v>
      </c>
      <c r="G32" s="206">
        <v>3</v>
      </c>
      <c r="H32" s="205">
        <v>25291</v>
      </c>
      <c r="I32" s="206">
        <v>2</v>
      </c>
      <c r="J32" s="205">
        <v>21150</v>
      </c>
      <c r="K32" s="206">
        <v>0</v>
      </c>
      <c r="L32" s="205">
        <v>15449</v>
      </c>
      <c r="M32" s="206">
        <v>3</v>
      </c>
      <c r="N32" s="205">
        <v>14134</v>
      </c>
      <c r="O32" s="206">
        <v>0</v>
      </c>
      <c r="P32" s="205">
        <v>20736</v>
      </c>
      <c r="Q32" s="206">
        <v>3</v>
      </c>
      <c r="R32" s="210">
        <v>25007</v>
      </c>
      <c r="S32" s="213">
        <v>3</v>
      </c>
      <c r="T32" s="210">
        <v>987</v>
      </c>
      <c r="U32" s="214">
        <v>0</v>
      </c>
      <c r="V32" s="210">
        <v>3202</v>
      </c>
      <c r="W32" s="214">
        <v>0</v>
      </c>
      <c r="X32" s="210">
        <v>30376</v>
      </c>
      <c r="Y32" s="213">
        <v>1</v>
      </c>
      <c r="Z32" s="210">
        <v>12843</v>
      </c>
      <c r="AA32" s="213">
        <v>0</v>
      </c>
      <c r="AB32" s="210">
        <v>12</v>
      </c>
      <c r="AC32" s="213">
        <v>12224</v>
      </c>
      <c r="AD32" s="210">
        <v>8</v>
      </c>
      <c r="AE32" s="213"/>
      <c r="AF32" s="210"/>
      <c r="AG32" s="213">
        <v>4517</v>
      </c>
      <c r="AH32" s="210">
        <v>1</v>
      </c>
      <c r="AI32" s="214">
        <v>37559</v>
      </c>
      <c r="AJ32" s="210">
        <v>3</v>
      </c>
      <c r="AK32" s="218">
        <v>4419</v>
      </c>
      <c r="AL32" s="210">
        <v>0</v>
      </c>
      <c r="AM32" s="214">
        <v>1158</v>
      </c>
      <c r="AN32" s="210">
        <v>2</v>
      </c>
      <c r="AO32" s="213">
        <v>1463</v>
      </c>
      <c r="AP32" s="210">
        <v>1</v>
      </c>
      <c r="AQ32" s="213">
        <v>520</v>
      </c>
      <c r="AR32" s="210">
        <v>0</v>
      </c>
      <c r="AS32" s="213">
        <v>1367</v>
      </c>
      <c r="AT32" s="210">
        <v>0</v>
      </c>
      <c r="AU32" s="213">
        <v>9228</v>
      </c>
      <c r="AV32" s="210">
        <v>6</v>
      </c>
      <c r="AW32" s="163">
        <v>38</v>
      </c>
      <c r="AX32" s="79"/>
      <c r="AY32" s="80"/>
    </row>
    <row r="33" spans="1:51" s="81" customFormat="1" ht="15.75" customHeight="1" x14ac:dyDescent="0.2">
      <c r="A33" s="78">
        <v>25</v>
      </c>
      <c r="B33" s="205">
        <v>27451</v>
      </c>
      <c r="C33" s="206">
        <v>1</v>
      </c>
      <c r="D33" s="205">
        <v>12211</v>
      </c>
      <c r="E33" s="206">
        <v>1</v>
      </c>
      <c r="F33" s="205">
        <v>31917</v>
      </c>
      <c r="G33" s="206">
        <v>3</v>
      </c>
      <c r="H33" s="205">
        <v>25293</v>
      </c>
      <c r="I33" s="206">
        <v>2</v>
      </c>
      <c r="J33" s="205">
        <v>21150</v>
      </c>
      <c r="K33" s="206">
        <v>0</v>
      </c>
      <c r="L33" s="205">
        <v>15451</v>
      </c>
      <c r="M33" s="206">
        <v>2</v>
      </c>
      <c r="N33" s="205">
        <v>14136</v>
      </c>
      <c r="O33" s="206">
        <v>2</v>
      </c>
      <c r="P33" s="205">
        <v>20737</v>
      </c>
      <c r="Q33" s="206">
        <v>1</v>
      </c>
      <c r="R33" s="210">
        <v>25008</v>
      </c>
      <c r="S33" s="213">
        <v>1</v>
      </c>
      <c r="T33" s="210">
        <v>988</v>
      </c>
      <c r="U33" s="214">
        <v>1</v>
      </c>
      <c r="V33" s="210">
        <v>3202</v>
      </c>
      <c r="W33" s="214">
        <v>0</v>
      </c>
      <c r="X33" s="210">
        <v>30376</v>
      </c>
      <c r="Y33" s="213">
        <v>0</v>
      </c>
      <c r="Z33" s="210">
        <v>12843</v>
      </c>
      <c r="AA33" s="213">
        <v>0</v>
      </c>
      <c r="AB33" s="210">
        <v>9</v>
      </c>
      <c r="AC33" s="213">
        <v>12234</v>
      </c>
      <c r="AD33" s="210">
        <v>10</v>
      </c>
      <c r="AE33" s="213"/>
      <c r="AF33" s="210"/>
      <c r="AG33" s="213">
        <v>4526</v>
      </c>
      <c r="AH33" s="210">
        <v>9</v>
      </c>
      <c r="AI33" s="214">
        <v>37568</v>
      </c>
      <c r="AJ33" s="210">
        <v>9</v>
      </c>
      <c r="AK33" s="218">
        <v>4419</v>
      </c>
      <c r="AL33" s="210">
        <v>0</v>
      </c>
      <c r="AM33" s="214">
        <v>1159</v>
      </c>
      <c r="AN33" s="210">
        <v>1</v>
      </c>
      <c r="AO33" s="213">
        <v>1463</v>
      </c>
      <c r="AP33" s="210">
        <v>0</v>
      </c>
      <c r="AQ33" s="213">
        <v>520</v>
      </c>
      <c r="AR33" s="210">
        <v>0</v>
      </c>
      <c r="AS33" s="213">
        <v>1367</v>
      </c>
      <c r="AT33" s="210">
        <v>0</v>
      </c>
      <c r="AU33" s="213">
        <v>9237</v>
      </c>
      <c r="AV33" s="210">
        <v>9</v>
      </c>
      <c r="AW33" s="163">
        <v>52</v>
      </c>
      <c r="AX33" s="79"/>
      <c r="AY33" s="80"/>
    </row>
    <row r="34" spans="1:51" s="81" customFormat="1" ht="15.75" customHeight="1" x14ac:dyDescent="0.2">
      <c r="A34" s="78">
        <v>26</v>
      </c>
      <c r="B34" s="205">
        <v>27452</v>
      </c>
      <c r="C34" s="206">
        <v>1</v>
      </c>
      <c r="D34" s="205">
        <v>12212</v>
      </c>
      <c r="E34" s="206">
        <v>1</v>
      </c>
      <c r="F34" s="205">
        <v>31919</v>
      </c>
      <c r="G34" s="206">
        <v>2</v>
      </c>
      <c r="H34" s="205">
        <v>25297</v>
      </c>
      <c r="I34" s="206">
        <v>4</v>
      </c>
      <c r="J34" s="205">
        <v>21151</v>
      </c>
      <c r="K34" s="206">
        <v>1</v>
      </c>
      <c r="L34" s="205">
        <v>15453</v>
      </c>
      <c r="M34" s="206">
        <v>2</v>
      </c>
      <c r="N34" s="205">
        <v>14136</v>
      </c>
      <c r="O34" s="206">
        <v>0</v>
      </c>
      <c r="P34" s="205">
        <v>20737</v>
      </c>
      <c r="Q34" s="206">
        <v>0</v>
      </c>
      <c r="R34" s="210">
        <v>25009</v>
      </c>
      <c r="S34" s="213">
        <v>1</v>
      </c>
      <c r="T34" s="210">
        <v>989</v>
      </c>
      <c r="U34" s="214">
        <v>1</v>
      </c>
      <c r="V34" s="210">
        <v>3202</v>
      </c>
      <c r="W34" s="214">
        <v>0</v>
      </c>
      <c r="X34" s="210">
        <v>30376</v>
      </c>
      <c r="Y34" s="213">
        <v>0</v>
      </c>
      <c r="Z34" s="210">
        <v>12848</v>
      </c>
      <c r="AA34" s="213">
        <v>5</v>
      </c>
      <c r="AB34" s="210">
        <v>14</v>
      </c>
      <c r="AC34" s="213">
        <v>12239</v>
      </c>
      <c r="AD34" s="210">
        <v>5</v>
      </c>
      <c r="AE34" s="213"/>
      <c r="AF34" s="210"/>
      <c r="AG34" s="213">
        <v>4528</v>
      </c>
      <c r="AH34" s="210">
        <v>2</v>
      </c>
      <c r="AI34" s="214">
        <v>37577</v>
      </c>
      <c r="AJ34" s="210">
        <v>9</v>
      </c>
      <c r="AK34" s="218">
        <v>4419</v>
      </c>
      <c r="AL34" s="210">
        <v>0</v>
      </c>
      <c r="AM34" s="214">
        <v>1160</v>
      </c>
      <c r="AN34" s="210">
        <v>1</v>
      </c>
      <c r="AO34" s="213">
        <v>1463</v>
      </c>
      <c r="AP34" s="210">
        <v>0</v>
      </c>
      <c r="AQ34" s="213">
        <v>520</v>
      </c>
      <c r="AR34" s="210">
        <v>0</v>
      </c>
      <c r="AS34" s="213">
        <v>1367</v>
      </c>
      <c r="AT34" s="210">
        <v>0</v>
      </c>
      <c r="AU34" s="213">
        <v>9241</v>
      </c>
      <c r="AV34" s="210">
        <v>4</v>
      </c>
      <c r="AW34" s="163">
        <v>39</v>
      </c>
      <c r="AX34" s="79"/>
      <c r="AY34" s="80"/>
    </row>
    <row r="35" spans="1:51" s="81" customFormat="1" ht="15.75" customHeight="1" x14ac:dyDescent="0.2">
      <c r="A35" s="78">
        <v>27</v>
      </c>
      <c r="B35" s="205">
        <v>27452</v>
      </c>
      <c r="C35" s="206">
        <v>0</v>
      </c>
      <c r="D35" s="205">
        <v>12214</v>
      </c>
      <c r="E35" s="206">
        <v>2</v>
      </c>
      <c r="F35" s="205">
        <v>31922</v>
      </c>
      <c r="G35" s="206">
        <v>3</v>
      </c>
      <c r="H35" s="205">
        <v>25299</v>
      </c>
      <c r="I35" s="206">
        <v>2</v>
      </c>
      <c r="J35" s="205">
        <v>21151</v>
      </c>
      <c r="K35" s="206">
        <v>0</v>
      </c>
      <c r="L35" s="205">
        <v>15455</v>
      </c>
      <c r="M35" s="206">
        <v>2</v>
      </c>
      <c r="N35" s="205">
        <v>14137</v>
      </c>
      <c r="O35" s="206">
        <v>1</v>
      </c>
      <c r="P35" s="205">
        <v>20738</v>
      </c>
      <c r="Q35" s="206">
        <v>1</v>
      </c>
      <c r="R35" s="210">
        <v>25010</v>
      </c>
      <c r="S35" s="213">
        <v>1</v>
      </c>
      <c r="T35" s="210">
        <v>990</v>
      </c>
      <c r="U35" s="214">
        <v>1</v>
      </c>
      <c r="V35" s="210">
        <v>3203</v>
      </c>
      <c r="W35" s="214">
        <v>1</v>
      </c>
      <c r="X35" s="210">
        <v>30376</v>
      </c>
      <c r="Y35" s="213">
        <v>0</v>
      </c>
      <c r="Z35" s="210">
        <v>12848</v>
      </c>
      <c r="AA35" s="213">
        <v>0</v>
      </c>
      <c r="AB35" s="210">
        <v>9</v>
      </c>
      <c r="AC35" s="213">
        <v>12248</v>
      </c>
      <c r="AD35" s="210">
        <v>9</v>
      </c>
      <c r="AE35" s="213"/>
      <c r="AF35" s="210"/>
      <c r="AG35" s="213">
        <v>4534</v>
      </c>
      <c r="AH35" s="210">
        <v>6</v>
      </c>
      <c r="AI35" s="214">
        <v>37589</v>
      </c>
      <c r="AJ35" s="210">
        <v>12</v>
      </c>
      <c r="AK35" s="218">
        <v>4419</v>
      </c>
      <c r="AL35" s="210">
        <v>0</v>
      </c>
      <c r="AM35" s="214">
        <v>1161</v>
      </c>
      <c r="AN35" s="210">
        <v>1</v>
      </c>
      <c r="AO35" s="213">
        <v>1463</v>
      </c>
      <c r="AP35" s="210">
        <v>0</v>
      </c>
      <c r="AQ35" s="213">
        <v>520</v>
      </c>
      <c r="AR35" s="210">
        <v>0</v>
      </c>
      <c r="AS35" s="213">
        <v>1367</v>
      </c>
      <c r="AT35" s="210">
        <v>0</v>
      </c>
      <c r="AU35" s="213">
        <v>9247</v>
      </c>
      <c r="AV35" s="210">
        <v>6</v>
      </c>
      <c r="AW35" s="163">
        <v>48</v>
      </c>
      <c r="AX35" s="79"/>
      <c r="AY35" s="80"/>
    </row>
    <row r="36" spans="1:51" s="81" customFormat="1" ht="15.75" customHeight="1" x14ac:dyDescent="0.2">
      <c r="A36" s="78">
        <v>28</v>
      </c>
      <c r="B36" s="205">
        <v>27453</v>
      </c>
      <c r="C36" s="206">
        <v>1</v>
      </c>
      <c r="D36" s="205">
        <v>12214</v>
      </c>
      <c r="E36" s="206">
        <v>0</v>
      </c>
      <c r="F36" s="205">
        <v>31924</v>
      </c>
      <c r="G36" s="206">
        <v>2</v>
      </c>
      <c r="H36" s="205">
        <v>25303</v>
      </c>
      <c r="I36" s="206">
        <v>4</v>
      </c>
      <c r="J36" s="205">
        <v>21151</v>
      </c>
      <c r="K36" s="206">
        <v>0</v>
      </c>
      <c r="L36" s="205">
        <v>15457</v>
      </c>
      <c r="M36" s="206">
        <v>2</v>
      </c>
      <c r="N36" s="205">
        <v>14138</v>
      </c>
      <c r="O36" s="206">
        <v>1</v>
      </c>
      <c r="P36" s="205">
        <v>20739</v>
      </c>
      <c r="Q36" s="206">
        <v>1</v>
      </c>
      <c r="R36" s="210">
        <v>25012</v>
      </c>
      <c r="S36" s="213">
        <v>2</v>
      </c>
      <c r="T36" s="210">
        <v>990</v>
      </c>
      <c r="U36" s="214">
        <v>0</v>
      </c>
      <c r="V36" s="210">
        <v>3203</v>
      </c>
      <c r="W36" s="214">
        <v>0</v>
      </c>
      <c r="X36" s="210">
        <v>30377</v>
      </c>
      <c r="Y36" s="213">
        <v>1</v>
      </c>
      <c r="Z36" s="210">
        <v>12848</v>
      </c>
      <c r="AA36" s="213">
        <v>0</v>
      </c>
      <c r="AB36" s="210">
        <v>11</v>
      </c>
      <c r="AC36" s="213">
        <v>12252</v>
      </c>
      <c r="AD36" s="210">
        <v>4</v>
      </c>
      <c r="AE36" s="213"/>
      <c r="AF36" s="210"/>
      <c r="AG36" s="213">
        <v>4534</v>
      </c>
      <c r="AH36" s="210">
        <v>0</v>
      </c>
      <c r="AI36" s="214">
        <v>37601</v>
      </c>
      <c r="AJ36" s="210">
        <v>12</v>
      </c>
      <c r="AK36" s="218">
        <v>4419</v>
      </c>
      <c r="AL36" s="210">
        <v>0</v>
      </c>
      <c r="AM36" s="214">
        <v>1165</v>
      </c>
      <c r="AN36" s="210">
        <v>4</v>
      </c>
      <c r="AO36" s="213">
        <v>1463</v>
      </c>
      <c r="AP36" s="210">
        <v>0</v>
      </c>
      <c r="AQ36" s="213">
        <v>520</v>
      </c>
      <c r="AR36" s="210">
        <v>0</v>
      </c>
      <c r="AS36" s="213">
        <v>1367</v>
      </c>
      <c r="AT36" s="210">
        <v>0</v>
      </c>
      <c r="AU36" s="213">
        <v>9247</v>
      </c>
      <c r="AV36" s="210">
        <v>0</v>
      </c>
      <c r="AW36" s="163">
        <v>34</v>
      </c>
      <c r="AX36" s="79"/>
      <c r="AY36" s="80"/>
    </row>
    <row r="37" spans="1:51" s="81" customFormat="1" ht="15.75" customHeight="1" x14ac:dyDescent="0.2">
      <c r="A37" s="78">
        <v>29</v>
      </c>
      <c r="B37" s="205">
        <v>27454</v>
      </c>
      <c r="C37" s="206">
        <v>1</v>
      </c>
      <c r="D37" s="205">
        <v>12215</v>
      </c>
      <c r="E37" s="206">
        <v>1</v>
      </c>
      <c r="F37" s="205">
        <v>31927</v>
      </c>
      <c r="G37" s="206">
        <v>3</v>
      </c>
      <c r="H37" s="205">
        <v>25305</v>
      </c>
      <c r="I37" s="206">
        <v>2</v>
      </c>
      <c r="J37" s="205">
        <v>21151</v>
      </c>
      <c r="K37" s="206">
        <v>0</v>
      </c>
      <c r="L37" s="205">
        <v>15459</v>
      </c>
      <c r="M37" s="206">
        <v>2</v>
      </c>
      <c r="N37" s="205">
        <v>14139</v>
      </c>
      <c r="O37" s="206">
        <v>1</v>
      </c>
      <c r="P37" s="205">
        <v>20740</v>
      </c>
      <c r="Q37" s="206">
        <v>1</v>
      </c>
      <c r="R37" s="210">
        <v>25013</v>
      </c>
      <c r="S37" s="213">
        <v>1</v>
      </c>
      <c r="T37" s="210">
        <v>991</v>
      </c>
      <c r="U37" s="214">
        <v>1</v>
      </c>
      <c r="V37" s="210">
        <v>3203</v>
      </c>
      <c r="W37" s="214">
        <v>0</v>
      </c>
      <c r="X37" s="210">
        <v>30377</v>
      </c>
      <c r="Y37" s="213">
        <v>0</v>
      </c>
      <c r="Z37" s="210">
        <v>12848</v>
      </c>
      <c r="AA37" s="213">
        <v>0</v>
      </c>
      <c r="AB37" s="210">
        <v>8</v>
      </c>
      <c r="AC37" s="213">
        <v>12258</v>
      </c>
      <c r="AD37" s="210">
        <v>6</v>
      </c>
      <c r="AE37" s="213"/>
      <c r="AF37" s="210"/>
      <c r="AG37" s="213">
        <v>4537</v>
      </c>
      <c r="AH37" s="210">
        <v>3</v>
      </c>
      <c r="AI37" s="214">
        <v>37610</v>
      </c>
      <c r="AJ37" s="210">
        <v>9</v>
      </c>
      <c r="AK37" s="218">
        <v>4420</v>
      </c>
      <c r="AL37" s="210">
        <v>1</v>
      </c>
      <c r="AM37" s="214">
        <v>1166</v>
      </c>
      <c r="AN37" s="210">
        <v>1</v>
      </c>
      <c r="AO37" s="213">
        <v>1463</v>
      </c>
      <c r="AP37" s="210">
        <v>0</v>
      </c>
      <c r="AQ37" s="213">
        <v>520</v>
      </c>
      <c r="AR37" s="210">
        <v>0</v>
      </c>
      <c r="AS37" s="213">
        <v>1368</v>
      </c>
      <c r="AT37" s="210">
        <v>1</v>
      </c>
      <c r="AU37" s="213">
        <v>9251</v>
      </c>
      <c r="AV37" s="210">
        <v>4</v>
      </c>
      <c r="AW37" s="163">
        <v>38</v>
      </c>
      <c r="AX37" s="79"/>
      <c r="AY37" s="80"/>
    </row>
    <row r="38" spans="1:51" s="81" customFormat="1" ht="15.75" customHeight="1" x14ac:dyDescent="0.2">
      <c r="A38" s="78">
        <v>30</v>
      </c>
      <c r="B38" s="205">
        <v>27455</v>
      </c>
      <c r="C38" s="206">
        <v>1</v>
      </c>
      <c r="D38" s="205">
        <v>12215</v>
      </c>
      <c r="E38" s="206">
        <v>0</v>
      </c>
      <c r="F38" s="205">
        <v>31928</v>
      </c>
      <c r="G38" s="206">
        <v>1</v>
      </c>
      <c r="H38" s="205">
        <v>25308</v>
      </c>
      <c r="I38" s="206">
        <v>3</v>
      </c>
      <c r="J38" s="205">
        <v>21152</v>
      </c>
      <c r="K38" s="206">
        <v>1</v>
      </c>
      <c r="L38" s="205">
        <v>15462</v>
      </c>
      <c r="M38" s="206">
        <v>3</v>
      </c>
      <c r="N38" s="205">
        <v>14141</v>
      </c>
      <c r="O38" s="206">
        <v>2</v>
      </c>
      <c r="P38" s="205">
        <v>20741</v>
      </c>
      <c r="Q38" s="206">
        <v>1</v>
      </c>
      <c r="R38" s="210">
        <v>25014</v>
      </c>
      <c r="S38" s="213">
        <v>1</v>
      </c>
      <c r="T38" s="210">
        <v>993</v>
      </c>
      <c r="U38" s="214">
        <v>2</v>
      </c>
      <c r="V38" s="210">
        <v>3203</v>
      </c>
      <c r="W38" s="214">
        <v>0</v>
      </c>
      <c r="X38" s="210">
        <v>30377</v>
      </c>
      <c r="Y38" s="213">
        <v>0</v>
      </c>
      <c r="Z38" s="210">
        <v>12848</v>
      </c>
      <c r="AA38" s="213">
        <v>0</v>
      </c>
      <c r="AB38" s="210">
        <v>13</v>
      </c>
      <c r="AC38" s="213">
        <v>12270</v>
      </c>
      <c r="AD38" s="210">
        <v>12</v>
      </c>
      <c r="AE38" s="213"/>
      <c r="AF38" s="210"/>
      <c r="AG38" s="213">
        <v>4543</v>
      </c>
      <c r="AH38" s="210">
        <v>6</v>
      </c>
      <c r="AI38" s="214">
        <v>37623</v>
      </c>
      <c r="AJ38" s="210">
        <v>13</v>
      </c>
      <c r="AK38" s="218">
        <v>4420</v>
      </c>
      <c r="AL38" s="210">
        <v>0</v>
      </c>
      <c r="AM38" s="214">
        <v>1169</v>
      </c>
      <c r="AN38" s="210">
        <v>3</v>
      </c>
      <c r="AO38" s="213">
        <v>1463</v>
      </c>
      <c r="AP38" s="210">
        <v>0</v>
      </c>
      <c r="AQ38" s="213">
        <v>520</v>
      </c>
      <c r="AR38" s="210">
        <v>0</v>
      </c>
      <c r="AS38" s="213">
        <v>1368</v>
      </c>
      <c r="AT38" s="210">
        <v>0</v>
      </c>
      <c r="AU38" s="213">
        <v>9257</v>
      </c>
      <c r="AV38" s="210">
        <v>6</v>
      </c>
      <c r="AW38" s="163">
        <v>55</v>
      </c>
      <c r="AX38" s="79" t="s">
        <v>73</v>
      </c>
      <c r="AY38" s="80" t="s">
        <v>74</v>
      </c>
    </row>
    <row r="39" spans="1:51" s="81" customFormat="1" ht="15" customHeight="1" x14ac:dyDescent="0.2">
      <c r="A39" s="132">
        <v>31</v>
      </c>
      <c r="B39" s="205">
        <v>27456</v>
      </c>
      <c r="C39" s="206">
        <v>1</v>
      </c>
      <c r="D39" s="205">
        <v>12215</v>
      </c>
      <c r="E39" s="206">
        <v>0</v>
      </c>
      <c r="F39" s="205">
        <v>31931</v>
      </c>
      <c r="G39" s="206">
        <v>3</v>
      </c>
      <c r="H39" s="205">
        <v>25310</v>
      </c>
      <c r="I39" s="206">
        <v>2</v>
      </c>
      <c r="J39" s="205">
        <v>21152</v>
      </c>
      <c r="K39" s="206">
        <v>0</v>
      </c>
      <c r="L39" s="205">
        <v>15466</v>
      </c>
      <c r="M39" s="206">
        <v>4</v>
      </c>
      <c r="N39" s="205">
        <v>14142</v>
      </c>
      <c r="O39" s="206">
        <v>1</v>
      </c>
      <c r="P39" s="205">
        <v>20742</v>
      </c>
      <c r="Q39" s="206">
        <v>1</v>
      </c>
      <c r="R39" s="210">
        <v>25015</v>
      </c>
      <c r="S39" s="213">
        <v>1</v>
      </c>
      <c r="T39" s="210">
        <v>994</v>
      </c>
      <c r="U39" s="214">
        <v>1</v>
      </c>
      <c r="V39" s="210">
        <v>3203</v>
      </c>
      <c r="W39" s="214">
        <v>0</v>
      </c>
      <c r="X39" s="210">
        <v>30378</v>
      </c>
      <c r="Y39" s="213">
        <v>1</v>
      </c>
      <c r="Z39" s="210">
        <v>12848</v>
      </c>
      <c r="AA39" s="213">
        <v>0</v>
      </c>
      <c r="AB39" s="210">
        <v>11</v>
      </c>
      <c r="AC39" s="213">
        <v>12277</v>
      </c>
      <c r="AD39" s="210">
        <v>7</v>
      </c>
      <c r="AE39" s="213"/>
      <c r="AF39" s="210"/>
      <c r="AG39" s="213">
        <v>4546</v>
      </c>
      <c r="AH39" s="210">
        <v>3</v>
      </c>
      <c r="AI39" s="214">
        <v>37634</v>
      </c>
      <c r="AJ39" s="210">
        <v>11</v>
      </c>
      <c r="AK39" s="218">
        <v>4421</v>
      </c>
      <c r="AL39" s="210">
        <v>1</v>
      </c>
      <c r="AM39" s="214">
        <v>1170</v>
      </c>
      <c r="AN39" s="210">
        <v>1</v>
      </c>
      <c r="AO39" s="213">
        <v>1463</v>
      </c>
      <c r="AP39" s="210">
        <v>0</v>
      </c>
      <c r="AQ39" s="213">
        <v>521</v>
      </c>
      <c r="AR39" s="210">
        <v>1</v>
      </c>
      <c r="AS39" s="213">
        <v>1368</v>
      </c>
      <c r="AT39" s="210">
        <v>0</v>
      </c>
      <c r="AU39" s="213">
        <v>9261</v>
      </c>
      <c r="AV39" s="210">
        <v>4</v>
      </c>
      <c r="AW39" s="163">
        <v>43</v>
      </c>
      <c r="AX39" s="79"/>
      <c r="AY39" s="80"/>
    </row>
    <row r="40" spans="1:51" s="81" customFormat="1" ht="15.75" customHeight="1" thickBot="1" x14ac:dyDescent="0.25">
      <c r="A40" s="116" t="s">
        <v>17</v>
      </c>
      <c r="B40" s="78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>
        <v>63</v>
      </c>
      <c r="T40" s="78"/>
      <c r="U40" s="78">
        <v>57</v>
      </c>
      <c r="V40" s="78"/>
      <c r="W40" s="78">
        <v>5</v>
      </c>
      <c r="X40" s="78"/>
      <c r="Y40" s="78">
        <v>46</v>
      </c>
      <c r="Z40" s="78"/>
      <c r="AA40" s="78">
        <v>5</v>
      </c>
      <c r="AB40" s="78">
        <v>455</v>
      </c>
      <c r="AC40" s="78"/>
      <c r="AD40" s="78">
        <v>359</v>
      </c>
      <c r="AE40" s="78"/>
      <c r="AF40" s="78"/>
      <c r="AG40" s="78"/>
      <c r="AH40" s="78">
        <v>213</v>
      </c>
      <c r="AI40" s="78"/>
      <c r="AJ40" s="78">
        <v>100</v>
      </c>
      <c r="AK40" s="78"/>
      <c r="AL40" s="78">
        <v>5</v>
      </c>
      <c r="AM40" s="78"/>
      <c r="AN40" s="78">
        <v>39</v>
      </c>
      <c r="AO40" s="78"/>
      <c r="AP40" s="78">
        <v>8</v>
      </c>
      <c r="AQ40" s="78"/>
      <c r="AR40" s="78">
        <v>3</v>
      </c>
      <c r="AS40" s="78"/>
      <c r="AT40" s="78">
        <v>3</v>
      </c>
      <c r="AU40" s="78"/>
      <c r="AV40" s="78">
        <v>231</v>
      </c>
      <c r="AW40" s="78">
        <v>1552</v>
      </c>
      <c r="AX40" s="79" t="s">
        <v>73</v>
      </c>
      <c r="AY40" s="80" t="s">
        <v>74</v>
      </c>
    </row>
    <row r="41" spans="1:51" s="81" customFormat="1" ht="12.75" customHeight="1" x14ac:dyDescent="0.2">
      <c r="A41" s="36"/>
      <c r="B41" s="82"/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3"/>
      <c r="T41" s="83"/>
      <c r="U41" s="83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42"/>
      <c r="AH41" s="42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42"/>
      <c r="AU41" s="36"/>
      <c r="AV41" s="36"/>
      <c r="AW41" s="42"/>
    </row>
    <row r="42" spans="1:51" s="81" customFormat="1" ht="15" customHeight="1" x14ac:dyDescent="0.2">
      <c r="A42" s="36"/>
      <c r="B42" s="83"/>
      <c r="C42" s="83"/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36"/>
      <c r="P42" s="82"/>
      <c r="Q42" s="82"/>
      <c r="R42" s="83"/>
      <c r="S42" s="83"/>
      <c r="T42" s="83"/>
      <c r="U42" s="83"/>
      <c r="V42" s="84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42"/>
      <c r="AH42" s="42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42"/>
      <c r="AU42" s="36"/>
      <c r="AV42" s="36"/>
      <c r="AW42" s="42"/>
    </row>
    <row r="43" spans="1:51" s="81" customFormat="1" ht="15" customHeight="1" x14ac:dyDescent="0.2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  <c r="AU43" s="36"/>
      <c r="AV43" s="36"/>
    </row>
    <row r="44" spans="1:51" s="81" customFormat="1" ht="18" customHeight="1" x14ac:dyDescent="0.3">
      <c r="A44" s="85" t="s">
        <v>75</v>
      </c>
      <c r="B44" s="86"/>
      <c r="C44" s="87"/>
      <c r="D44" s="36"/>
      <c r="E44" s="36"/>
      <c r="F44" s="36"/>
      <c r="G44" s="41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  <c r="AV44" s="36"/>
    </row>
    <row r="45" spans="1:51" s="81" customFormat="1" ht="18" customHeight="1" x14ac:dyDescent="0.3">
      <c r="A45" s="88"/>
      <c r="B45" s="89"/>
      <c r="C45" s="90"/>
      <c r="D45" s="91"/>
      <c r="E45" s="91"/>
      <c r="F45" s="91"/>
      <c r="G45" s="41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  <c r="AU45" s="36"/>
      <c r="AV45" s="36"/>
    </row>
    <row r="46" spans="1:51" ht="18" customHeight="1" x14ac:dyDescent="0.25">
      <c r="B46" s="92"/>
      <c r="G46" s="41"/>
      <c r="AH46" s="37"/>
      <c r="AW46" s="37"/>
    </row>
    <row r="47" spans="1:51" ht="18" customHeight="1" x14ac:dyDescent="0.25">
      <c r="B47" s="93"/>
      <c r="G47" s="41"/>
      <c r="AH47" s="37"/>
      <c r="AW47" s="37"/>
    </row>
    <row r="48" spans="1:51" ht="18" customHeight="1" x14ac:dyDescent="0.25">
      <c r="B48" s="92"/>
      <c r="AH48" s="37"/>
      <c r="AW48" s="37"/>
    </row>
    <row r="49" spans="2:49" ht="18" customHeight="1" x14ac:dyDescent="0.25">
      <c r="B49" s="94"/>
      <c r="AH49" s="37"/>
      <c r="AW49" s="37"/>
    </row>
    <row r="50" spans="2:49" ht="18" customHeight="1" x14ac:dyDescent="0.25">
      <c r="B50" s="94"/>
      <c r="AH50" s="37"/>
      <c r="AW50" s="37"/>
    </row>
    <row r="51" spans="2:49" ht="18" customHeight="1" x14ac:dyDescent="0.25">
      <c r="AH51" s="37"/>
      <c r="AW51" s="37"/>
    </row>
    <row r="52" spans="2:49" ht="18" customHeight="1" x14ac:dyDescent="0.25">
      <c r="AH52" s="37"/>
      <c r="AW52" s="37"/>
    </row>
    <row r="53" spans="2:49" ht="18" customHeight="1" x14ac:dyDescent="0.25">
      <c r="AH53" s="37"/>
      <c r="AW53" s="37"/>
    </row>
    <row r="54" spans="2:49" ht="18" customHeight="1" x14ac:dyDescent="0.25"/>
    <row r="55" spans="2:49" ht="18" customHeight="1" x14ac:dyDescent="0.25"/>
    <row r="56" spans="2:49" ht="18" customHeight="1" x14ac:dyDescent="0.25"/>
  </sheetData>
  <mergeCells count="2">
    <mergeCell ref="I4:R4"/>
    <mergeCell ref="D6:F6"/>
  </mergeCells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Electricity</vt:lpstr>
      <vt:lpstr>Water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2021-06-02T08:58:56Z</dcterms:modified>
  <cp:category/>
  <cp:contentStatus/>
</cp:coreProperties>
</file>