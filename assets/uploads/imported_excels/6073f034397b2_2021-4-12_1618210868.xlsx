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3BC7CDBB-2F01-4238-9791-CC8A35B45B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OTAL" sheetId="4" r:id="rId1"/>
    <sheet name="Electricity" sheetId="1" r:id="rId2"/>
    <sheet name="W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" i="4"/>
  <c r="G2" i="4"/>
  <c r="E2" i="4" l="1"/>
  <c r="I15" i="4" l="1"/>
  <c r="I16" i="4"/>
  <c r="I17" i="4"/>
  <c r="J15" i="4"/>
  <c r="J16" i="4"/>
  <c r="I13" i="4" l="1"/>
  <c r="J13" i="4"/>
  <c r="K13" i="4"/>
  <c r="I14" i="4"/>
  <c r="J14" i="4"/>
  <c r="K14" i="4"/>
  <c r="K15" i="4"/>
  <c r="K16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I41" i="1" l="1"/>
  <c r="D40" i="1"/>
  <c r="C40" i="1"/>
  <c r="B40" i="1"/>
  <c r="F10" i="4" l="1"/>
  <c r="G40" i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H40" i="1"/>
  <c r="F20" i="4"/>
  <c r="F21" i="4"/>
  <c r="F25" i="4"/>
  <c r="F29" i="4"/>
  <c r="E40" i="1"/>
  <c r="F5" i="4"/>
  <c r="F9" i="4"/>
  <c r="F13" i="4"/>
  <c r="F17" i="4"/>
  <c r="F22" i="4"/>
  <c r="F26" i="4"/>
  <c r="F30" i="4"/>
  <c r="F40" i="1"/>
  <c r="F23" i="4"/>
  <c r="F27" i="4"/>
  <c r="F31" i="4"/>
  <c r="J40" i="1" l="1"/>
  <c r="I44" i="1" s="1"/>
  <c r="I40" i="1"/>
  <c r="I43" i="1" s="1"/>
  <c r="I45" i="1" l="1"/>
  <c r="I46" i="1" s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</commentList>
</comments>
</file>

<file path=xl/sharedStrings.xml><?xml version="1.0" encoding="utf-8"?>
<sst xmlns="http://schemas.openxmlformats.org/spreadsheetml/2006/main" count="204" uniqueCount="78">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</sst>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6500"/>
      <name val="Arial"/>
      <family val="2"/>
    </font>
    <font>
      <b/>
      <sz val="10"/>
      <color rgb="FFFF0000"/>
      <name val="Arial"/>
      <family val="2"/>
    </font>
    <font>
      <b/>
      <sz val="10"/>
      <color rgb="FF9C65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B9C"/>
        <bgColor rgb="FF000000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254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3" fillId="0" borderId="0" xfId="2" applyFont="1" applyBorder="1" applyAlignme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4" fontId="3" fillId="10" borderId="6" xfId="2" applyNumberFormat="1" applyFont="1" applyFill="1" applyBorder="1"/>
    <xf numFmtId="165" fontId="3" fillId="11" borderId="13" xfId="1" applyNumberFormat="1" applyFont="1" applyFill="1" applyBorder="1"/>
    <xf numFmtId="165" fontId="2" fillId="13" borderId="13" xfId="1" applyNumberFormat="1" applyFont="1" applyFill="1" applyBorder="1"/>
    <xf numFmtId="0" fontId="3" fillId="8" borderId="6" xfId="2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wrapText="1"/>
    </xf>
    <xf numFmtId="165" fontId="8" fillId="12" borderId="6" xfId="1" applyNumberFormat="1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/>
    </xf>
    <xf numFmtId="0" fontId="9" fillId="0" borderId="0" xfId="2" applyFont="1"/>
    <xf numFmtId="4" fontId="11" fillId="9" borderId="6" xfId="2" applyNumberFormat="1" applyFont="1" applyFill="1" applyBorder="1" applyAlignment="1">
      <alignment horizontal="center"/>
    </xf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 applyAlignment="1"/>
    <xf numFmtId="0" fontId="8" fillId="0" borderId="0" xfId="2" applyFont="1" applyAlignme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8" fillId="0" borderId="0" xfId="2" applyNumberFormat="1" applyFont="1"/>
    <xf numFmtId="165" fontId="3" fillId="0" borderId="6" xfId="1" quotePrefix="1" applyNumberFormat="1" applyFont="1" applyBorder="1" applyAlignment="1"/>
    <xf numFmtId="0" fontId="8" fillId="0" borderId="0" xfId="2" quotePrefix="1" applyFont="1" applyAlignment="1"/>
    <xf numFmtId="0" fontId="8" fillId="0" borderId="0" xfId="2" applyFont="1" applyBorder="1" applyAlignme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4" borderId="0" xfId="2" applyNumberFormat="1" applyFont="1" applyFill="1"/>
    <xf numFmtId="0" fontId="12" fillId="0" borderId="0" xfId="2" applyFont="1" applyAlignment="1">
      <alignment horizontal="right"/>
    </xf>
    <xf numFmtId="0" fontId="12" fillId="0" borderId="0" xfId="2" applyFont="1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15" borderId="0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Border="1" applyAlignment="1">
      <alignment wrapText="1"/>
    </xf>
    <xf numFmtId="0" fontId="22" fillId="14" borderId="0" xfId="0" applyFont="1" applyFill="1" applyBorder="1" applyAlignment="1">
      <alignment horizont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16" borderId="16" xfId="0" applyFont="1" applyFill="1" applyBorder="1" applyAlignment="1">
      <alignment horizontal="center" vertical="center" wrapText="1"/>
    </xf>
    <xf numFmtId="0" fontId="25" fillId="14" borderId="16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11" borderId="16" xfId="0" applyFont="1" applyFill="1" applyBorder="1" applyAlignment="1">
      <alignment horizontal="center" vertical="center" wrapText="1"/>
    </xf>
    <xf numFmtId="0" fontId="25" fillId="12" borderId="16" xfId="0" applyFont="1" applyFill="1" applyBorder="1" applyAlignment="1">
      <alignment horizontal="center" vertical="center" wrapText="1"/>
    </xf>
    <xf numFmtId="0" fontId="25" fillId="13" borderId="16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25" fillId="18" borderId="16" xfId="0" applyFont="1" applyFill="1" applyBorder="1" applyAlignment="1">
      <alignment horizontal="center" vertical="center" wrapText="1"/>
    </xf>
    <xf numFmtId="0" fontId="25" fillId="19" borderId="16" xfId="0" applyFont="1" applyFill="1" applyBorder="1" applyAlignment="1">
      <alignment horizontal="center" vertical="center" wrapText="1"/>
    </xf>
    <xf numFmtId="0" fontId="25" fillId="20" borderId="16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5" fillId="21" borderId="16" xfId="0" applyFont="1" applyFill="1" applyBorder="1" applyAlignment="1">
      <alignment horizontal="center" vertical="center" wrapText="1"/>
    </xf>
    <xf numFmtId="0" fontId="25" fillId="21" borderId="17" xfId="0" applyFont="1" applyFill="1" applyBorder="1" applyAlignment="1">
      <alignment horizontal="center" vertical="center" wrapText="1"/>
    </xf>
    <xf numFmtId="0" fontId="25" fillId="22" borderId="16" xfId="0" applyFont="1" applyFill="1" applyBorder="1" applyAlignment="1">
      <alignment horizontal="center" vertical="center" wrapText="1"/>
    </xf>
    <xf numFmtId="0" fontId="26" fillId="23" borderId="16" xfId="0" applyFont="1" applyFill="1" applyBorder="1" applyAlignment="1">
      <alignment horizontal="left" vertical="center" wrapText="1" indent="1"/>
    </xf>
    <xf numFmtId="0" fontId="25" fillId="23" borderId="16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 wrapText="1"/>
    </xf>
    <xf numFmtId="0" fontId="25" fillId="25" borderId="16" xfId="0" applyFont="1" applyFill="1" applyBorder="1" applyAlignment="1">
      <alignment horizontal="center" vertical="center" wrapText="1"/>
    </xf>
    <xf numFmtId="0" fontId="25" fillId="26" borderId="16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18" fillId="14" borderId="1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27" borderId="16" xfId="0" applyFont="1" applyFill="1" applyBorder="1" applyAlignment="1">
      <alignment horizontal="center"/>
    </xf>
    <xf numFmtId="2" fontId="15" fillId="27" borderId="21" xfId="0" applyNumberFormat="1" applyFont="1" applyFill="1" applyBorder="1" applyAlignment="1">
      <alignment horizontal="center" vertical="center"/>
    </xf>
    <xf numFmtId="0" fontId="15" fillId="0" borderId="0" xfId="0" applyFont="1"/>
    <xf numFmtId="0" fontId="18" fillId="2" borderId="22" xfId="0" applyFont="1" applyFill="1" applyBorder="1" applyAlignment="1">
      <alignment horizontal="center"/>
    </xf>
    <xf numFmtId="168" fontId="2" fillId="28" borderId="20" xfId="1" applyNumberFormat="1" applyFont="1" applyFill="1" applyBorder="1" applyAlignment="1">
      <alignment horizontal="center"/>
    </xf>
    <xf numFmtId="0" fontId="28" fillId="0" borderId="20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18" fillId="0" borderId="20" xfId="0" applyFont="1" applyFill="1" applyBorder="1" applyAlignment="1">
      <alignment horizontal="center"/>
    </xf>
    <xf numFmtId="2" fontId="18" fillId="0" borderId="23" xfId="0" applyNumberFormat="1" applyFont="1" applyFill="1" applyBorder="1" applyAlignment="1">
      <alignment horizontal="center" vertical="center"/>
    </xf>
    <xf numFmtId="0" fontId="18" fillId="0" borderId="6" xfId="0" applyFont="1" applyFill="1" applyBorder="1"/>
    <xf numFmtId="0" fontId="18" fillId="0" borderId="0" xfId="0" applyFont="1" applyFill="1"/>
    <xf numFmtId="0" fontId="24" fillId="15" borderId="0" xfId="0" applyFont="1" applyFill="1" applyAlignment="1">
      <alignment horizontal="center"/>
    </xf>
    <xf numFmtId="0" fontId="23" fillId="15" borderId="0" xfId="0" applyFont="1" applyFill="1" applyAlignment="1">
      <alignment horizontal="center"/>
    </xf>
    <xf numFmtId="9" fontId="18" fillId="0" borderId="0" xfId="3" applyFont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17" fillId="0" borderId="6" xfId="4" applyFont="1" applyBorder="1" applyAlignment="1">
      <alignment horizontal="center" vertical="center"/>
    </xf>
    <xf numFmtId="0" fontId="20" fillId="0" borderId="6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 wrapText="1"/>
    </xf>
    <xf numFmtId="2" fontId="20" fillId="0" borderId="6" xfId="4" applyNumberFormat="1" applyFont="1" applyBorder="1" applyAlignment="1">
      <alignment horizontal="center" vertical="center" wrapText="1"/>
    </xf>
    <xf numFmtId="0" fontId="20" fillId="0" borderId="6" xfId="4" applyFont="1" applyBorder="1" applyAlignment="1">
      <alignment horizontal="center" vertical="center" wrapText="1"/>
    </xf>
    <xf numFmtId="0" fontId="2" fillId="0" borderId="0" xfId="4"/>
    <xf numFmtId="0" fontId="38" fillId="0" borderId="6" xfId="4" applyFont="1" applyBorder="1" applyAlignment="1">
      <alignment horizontal="center"/>
    </xf>
    <xf numFmtId="0" fontId="17" fillId="0" borderId="6" xfId="4" applyFont="1" applyBorder="1" applyAlignment="1">
      <alignment horizontal="center"/>
    </xf>
    <xf numFmtId="0" fontId="20" fillId="0" borderId="6" xfId="4" applyFont="1" applyBorder="1" applyAlignment="1">
      <alignment horizontal="center"/>
    </xf>
    <xf numFmtId="1" fontId="2" fillId="0" borderId="6" xfId="4" applyNumberFormat="1" applyBorder="1" applyAlignment="1">
      <alignment horizontal="center"/>
    </xf>
    <xf numFmtId="2" fontId="16" fillId="0" borderId="6" xfId="4" applyNumberFormat="1" applyFont="1" applyBorder="1" applyAlignment="1">
      <alignment horizontal="center"/>
    </xf>
    <xf numFmtId="1" fontId="16" fillId="0" borderId="6" xfId="4" applyNumberFormat="1" applyFont="1" applyBorder="1" applyAlignment="1">
      <alignment horizontal="center"/>
    </xf>
    <xf numFmtId="4" fontId="7" fillId="17" borderId="6" xfId="2" applyNumberFormat="1" applyFont="1" applyFill="1" applyBorder="1" applyAlignment="1">
      <alignment horizontal="center"/>
    </xf>
    <xf numFmtId="4" fontId="2" fillId="17" borderId="13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vertical="center" wrapText="1"/>
    </xf>
    <xf numFmtId="4" fontId="2" fillId="17" borderId="6" xfId="2" applyNumberFormat="1" applyFont="1" applyFill="1" applyBorder="1" applyAlignment="1">
      <alignment horizontal="center"/>
    </xf>
    <xf numFmtId="4" fontId="2" fillId="17" borderId="24" xfId="2" applyNumberFormat="1" applyFont="1" applyFill="1" applyBorder="1" applyAlignment="1">
      <alignment horizontal="center" wrapText="1"/>
    </xf>
    <xf numFmtId="4" fontId="2" fillId="17" borderId="24" xfId="2" applyNumberFormat="1" applyFont="1" applyFill="1" applyBorder="1" applyAlignment="1">
      <alignment horizontal="center"/>
    </xf>
    <xf numFmtId="165" fontId="3" fillId="11" borderId="6" xfId="1" applyNumberFormat="1" applyFont="1" applyFill="1" applyBorder="1"/>
    <xf numFmtId="165" fontId="2" fillId="13" borderId="6" xfId="1" applyNumberFormat="1" applyFont="1" applyFill="1" applyBorder="1"/>
    <xf numFmtId="168" fontId="25" fillId="2" borderId="25" xfId="1" applyNumberFormat="1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168" fontId="2" fillId="28" borderId="6" xfId="1" applyNumberFormat="1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168" fontId="25" fillId="2" borderId="6" xfId="0" applyNumberFormat="1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168" fontId="30" fillId="2" borderId="6" xfId="0" applyNumberFormat="1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3" fillId="15" borderId="0" xfId="2" applyFont="1" applyFill="1" applyBorder="1" applyAlignment="1">
      <alignment horizontal="center" vertical="center"/>
    </xf>
    <xf numFmtId="4" fontId="11" fillId="15" borderId="0" xfId="2" applyNumberFormat="1" applyFont="1" applyFill="1" applyBorder="1" applyAlignment="1">
      <alignment horizontal="center"/>
    </xf>
    <xf numFmtId="4" fontId="2" fillId="15" borderId="0" xfId="2" applyNumberFormat="1" applyFont="1" applyFill="1" applyBorder="1" applyAlignment="1">
      <alignment horizontal="center" wrapText="1"/>
    </xf>
    <xf numFmtId="4" fontId="2" fillId="15" borderId="0" xfId="2" applyNumberFormat="1" applyFont="1" applyFill="1" applyBorder="1" applyAlignment="1">
      <alignment horizontal="center"/>
    </xf>
    <xf numFmtId="165" fontId="3" fillId="15" borderId="0" xfId="1" applyNumberFormat="1" applyFont="1" applyFill="1" applyBorder="1"/>
    <xf numFmtId="165" fontId="8" fillId="15" borderId="0" xfId="1" applyNumberFormat="1" applyFont="1" applyFill="1" applyBorder="1" applyAlignment="1">
      <alignment horizontal="center" vertical="center"/>
    </xf>
    <xf numFmtId="165" fontId="2" fillId="15" borderId="0" xfId="1" applyNumberFormat="1" applyFont="1" applyFill="1" applyBorder="1"/>
    <xf numFmtId="0" fontId="3" fillId="15" borderId="0" xfId="2" applyFont="1" applyFill="1"/>
    <xf numFmtId="4" fontId="2" fillId="17" borderId="15" xfId="2" applyNumberFormat="1" applyFont="1" applyFill="1" applyBorder="1" applyAlignment="1">
      <alignment horizontal="center" wrapText="1"/>
    </xf>
    <xf numFmtId="4" fontId="11" fillId="17" borderId="26" xfId="2" applyNumberFormat="1" applyFont="1" applyFill="1" applyBorder="1" applyAlignment="1">
      <alignment horizontal="center"/>
    </xf>
    <xf numFmtId="4" fontId="11" fillId="17" borderId="15" xfId="2" applyNumberFormat="1" applyFont="1" applyFill="1" applyBorder="1" applyAlignment="1">
      <alignment horizontal="center"/>
    </xf>
    <xf numFmtId="0" fontId="3" fillId="0" borderId="0" xfId="2" applyFont="1" applyBorder="1"/>
    <xf numFmtId="4" fontId="3" fillId="15" borderId="7" xfId="2" applyNumberFormat="1" applyFont="1" applyFill="1" applyBorder="1"/>
    <xf numFmtId="0" fontId="8" fillId="0" borderId="6" xfId="2" applyFont="1" applyBorder="1" applyAlignment="1">
      <alignment horizontal="center"/>
    </xf>
    <xf numFmtId="165" fontId="3" fillId="0" borderId="6" xfId="1" applyNumberFormat="1" applyFont="1" applyBorder="1"/>
    <xf numFmtId="165" fontId="6" fillId="0" borderId="6" xfId="1" applyNumberFormat="1" applyFont="1" applyBorder="1"/>
    <xf numFmtId="0" fontId="28" fillId="0" borderId="27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/>
    </xf>
    <xf numFmtId="0" fontId="28" fillId="2" borderId="13" xfId="0" applyFont="1" applyFill="1" applyBorder="1" applyAlignment="1">
      <alignment horizontal="center"/>
    </xf>
    <xf numFmtId="4" fontId="2" fillId="9" borderId="29" xfId="2" applyNumberFormat="1" applyFill="1" applyBorder="1" applyAlignment="1">
      <alignment horizontal="center" wrapText="1"/>
    </xf>
    <xf numFmtId="4" fontId="2" fillId="9" borderId="29" xfId="2" applyNumberFormat="1" applyFill="1" applyBorder="1" applyAlignment="1">
      <alignment horizontal="center"/>
    </xf>
    <xf numFmtId="4" fontId="3" fillId="10" borderId="29" xfId="2" applyNumberFormat="1" applyFont="1" applyFill="1" applyBorder="1"/>
    <xf numFmtId="165" fontId="3" fillId="11" borderId="29" xfId="1" applyNumberFormat="1" applyFont="1" applyFill="1" applyBorder="1"/>
    <xf numFmtId="165" fontId="8" fillId="12" borderId="29" xfId="1" applyNumberFormat="1" applyFont="1" applyFill="1" applyBorder="1" applyAlignment="1">
      <alignment horizontal="center" vertical="center"/>
    </xf>
    <xf numFmtId="165" fontId="2" fillId="13" borderId="29" xfId="1" applyNumberFormat="1" applyFont="1" applyFill="1" applyBorder="1"/>
    <xf numFmtId="0" fontId="18" fillId="0" borderId="30" xfId="0" applyFont="1" applyBorder="1" applyAlignment="1">
      <alignment horizontal="center"/>
    </xf>
    <xf numFmtId="168" fontId="2" fillId="28" borderId="30" xfId="1" applyNumberFormat="1" applyFont="1" applyFill="1" applyBorder="1" applyAlignment="1">
      <alignment horizontal="center"/>
    </xf>
    <xf numFmtId="0" fontId="28" fillId="0" borderId="30" xfId="0" applyFont="1" applyBorder="1" applyAlignment="1">
      <alignment horizontal="center"/>
    </xf>
    <xf numFmtId="4" fontId="2" fillId="9" borderId="31" xfId="2" applyNumberFormat="1" applyFill="1" applyBorder="1" applyAlignment="1">
      <alignment horizontal="center"/>
    </xf>
    <xf numFmtId="4" fontId="7" fillId="9" borderId="29" xfId="2" applyNumberFormat="1" applyFont="1" applyFill="1" applyBorder="1" applyAlignment="1">
      <alignment horizontal="center"/>
    </xf>
    <xf numFmtId="4" fontId="10" fillId="10" borderId="29" xfId="2" applyNumberFormat="1" applyFont="1" applyFill="1" applyBorder="1"/>
    <xf numFmtId="0" fontId="29" fillId="0" borderId="30" xfId="0" applyFont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18" fillId="0" borderId="30" xfId="0" applyFont="1" applyFill="1" applyBorder="1" applyAlignment="1">
      <alignment horizontal="center"/>
    </xf>
    <xf numFmtId="4" fontId="2" fillId="9" borderId="29" xfId="2" applyNumberFormat="1" applyFont="1" applyFill="1" applyBorder="1" applyAlignment="1">
      <alignment horizontal="center" wrapText="1"/>
    </xf>
    <xf numFmtId="4" fontId="2" fillId="9" borderId="29" xfId="2" applyNumberFormat="1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168" fontId="2" fillId="28" borderId="32" xfId="1" applyNumberFormat="1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18" fillId="0" borderId="32" xfId="0" applyFont="1" applyFill="1" applyBorder="1" applyAlignment="1">
      <alignment horizontal="center"/>
    </xf>
    <xf numFmtId="168" fontId="2" fillId="28" borderId="33" xfId="1" applyNumberFormat="1" applyFont="1" applyFill="1" applyBorder="1" applyAlignment="1">
      <alignment horizontal="center"/>
    </xf>
    <xf numFmtId="168" fontId="2" fillId="28" borderId="34" xfId="1" applyNumberFormat="1" applyFont="1" applyFill="1" applyBorder="1" applyAlignment="1">
      <alignment horizontal="center"/>
    </xf>
    <xf numFmtId="168" fontId="2" fillId="28" borderId="35" xfId="1" applyNumberFormat="1" applyFont="1" applyFill="1" applyBorder="1" applyAlignment="1">
      <alignment horizontal="center"/>
    </xf>
    <xf numFmtId="0" fontId="2" fillId="15" borderId="6" xfId="1" applyNumberFormat="1" applyFont="1" applyFill="1" applyBorder="1" applyAlignment="1">
      <alignment horizontal="center"/>
    </xf>
    <xf numFmtId="168" fontId="30" fillId="0" borderId="6" xfId="0" applyNumberFormat="1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168" fontId="30" fillId="0" borderId="6" xfId="0" applyNumberFormat="1" applyFont="1" applyBorder="1" applyAlignment="1">
      <alignment horizontal="center"/>
    </xf>
    <xf numFmtId="4" fontId="7" fillId="29" borderId="36" xfId="0" applyNumberFormat="1" applyFont="1" applyFill="1" applyBorder="1" applyAlignment="1">
      <alignment horizontal="center"/>
    </xf>
    <xf numFmtId="0" fontId="2" fillId="29" borderId="36" xfId="0" applyFont="1" applyFill="1" applyBorder="1" applyAlignment="1">
      <alignment horizontal="center" wrapText="1"/>
    </xf>
    <xf numFmtId="4" fontId="39" fillId="30" borderId="36" xfId="0" applyNumberFormat="1" applyFont="1" applyFill="1" applyBorder="1"/>
    <xf numFmtId="4" fontId="39" fillId="31" borderId="36" xfId="0" applyNumberFormat="1" applyFont="1" applyFill="1" applyBorder="1"/>
    <xf numFmtId="0" fontId="39" fillId="31" borderId="36" xfId="0" applyFont="1" applyFill="1" applyBorder="1"/>
    <xf numFmtId="4" fontId="7" fillId="32" borderId="36" xfId="0" applyNumberFormat="1" applyFont="1" applyFill="1" applyBorder="1" applyAlignment="1">
      <alignment horizontal="center" vertical="center"/>
    </xf>
    <xf numFmtId="4" fontId="7" fillId="29" borderId="29" xfId="0" applyNumberFormat="1" applyFont="1" applyFill="1" applyBorder="1" applyAlignment="1">
      <alignment horizontal="center"/>
    </xf>
    <xf numFmtId="0" fontId="2" fillId="29" borderId="29" xfId="0" applyFont="1" applyFill="1" applyBorder="1" applyAlignment="1">
      <alignment horizontal="center" wrapText="1"/>
    </xf>
    <xf numFmtId="4" fontId="39" fillId="30" borderId="29" xfId="0" applyNumberFormat="1" applyFont="1" applyFill="1" applyBorder="1"/>
    <xf numFmtId="4" fontId="39" fillId="31" borderId="29" xfId="0" applyNumberFormat="1" applyFont="1" applyFill="1" applyBorder="1"/>
    <xf numFmtId="0" fontId="39" fillId="31" borderId="29" xfId="0" applyFont="1" applyFill="1" applyBorder="1"/>
    <xf numFmtId="4" fontId="7" fillId="32" borderId="29" xfId="0" applyNumberFormat="1" applyFont="1" applyFill="1" applyBorder="1" applyAlignment="1">
      <alignment horizontal="center" vertical="center"/>
    </xf>
    <xf numFmtId="0" fontId="2" fillId="33" borderId="29" xfId="0" applyFont="1" applyFill="1" applyBorder="1"/>
    <xf numFmtId="4" fontId="10" fillId="30" borderId="29" xfId="0" applyNumberFormat="1" applyFont="1" applyFill="1" applyBorder="1"/>
    <xf numFmtId="0" fontId="7" fillId="29" borderId="29" xfId="0" applyFont="1" applyFill="1" applyBorder="1" applyAlignment="1">
      <alignment horizontal="center"/>
    </xf>
    <xf numFmtId="4" fontId="2" fillId="33" borderId="29" xfId="0" applyNumberFormat="1" applyFont="1" applyFill="1" applyBorder="1"/>
    <xf numFmtId="4" fontId="2" fillId="29" borderId="29" xfId="0" applyNumberFormat="1" applyFont="1" applyFill="1" applyBorder="1" applyAlignment="1">
      <alignment horizontal="center" wrapText="1"/>
    </xf>
    <xf numFmtId="0" fontId="2" fillId="29" borderId="29" xfId="0" applyFont="1" applyFill="1" applyBorder="1" applyAlignment="1">
      <alignment horizontal="center"/>
    </xf>
    <xf numFmtId="0" fontId="40" fillId="34" borderId="16" xfId="0" applyFont="1" applyFill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" fillId="35" borderId="38" xfId="0" applyFont="1" applyFill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41" fillId="0" borderId="38" xfId="0" applyFont="1" applyBorder="1" applyAlignment="1">
      <alignment horizontal="center"/>
    </xf>
    <xf numFmtId="0" fontId="2" fillId="35" borderId="30" xfId="0" applyFont="1" applyFill="1" applyBorder="1" applyAlignment="1">
      <alignment horizontal="center"/>
    </xf>
    <xf numFmtId="0" fontId="41" fillId="0" borderId="30" xfId="0" applyFont="1" applyBorder="1" applyAlignment="1">
      <alignment horizontal="center"/>
    </xf>
    <xf numFmtId="0" fontId="2" fillId="36" borderId="37" xfId="0" applyFont="1" applyFill="1" applyBorder="1" applyAlignment="1">
      <alignment horizontal="center"/>
    </xf>
    <xf numFmtId="0" fontId="2" fillId="36" borderId="30" xfId="0" applyFont="1" applyFill="1" applyBorder="1" applyAlignment="1">
      <alignment horizontal="center"/>
    </xf>
    <xf numFmtId="0" fontId="42" fillId="37" borderId="30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0" fillId="34" borderId="20" xfId="0" applyFont="1" applyFill="1" applyBorder="1" applyAlignment="1">
      <alignment horizontal="center"/>
    </xf>
    <xf numFmtId="0" fontId="41" fillId="0" borderId="37" xfId="0" applyFont="1" applyBorder="1" applyAlignment="1">
      <alignment horizontal="center"/>
    </xf>
    <xf numFmtId="0" fontId="25" fillId="0" borderId="38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4" fontId="2" fillId="29" borderId="29" xfId="0" applyNumberFormat="1" applyFont="1" applyFill="1" applyBorder="1" applyAlignment="1">
      <alignment horizontal="center"/>
    </xf>
    <xf numFmtId="4" fontId="7" fillId="29" borderId="31" xfId="0" applyNumberFormat="1" applyFont="1" applyFill="1" applyBorder="1" applyAlignment="1">
      <alignment horizontal="center"/>
    </xf>
    <xf numFmtId="0" fontId="2" fillId="29" borderId="31" xfId="0" applyFont="1" applyFill="1" applyBorder="1" applyAlignment="1">
      <alignment horizontal="center"/>
    </xf>
    <xf numFmtId="0" fontId="3" fillId="17" borderId="3" xfId="2" applyFont="1" applyFill="1" applyBorder="1" applyAlignment="1">
      <alignment horizontal="center" vertical="center"/>
    </xf>
    <xf numFmtId="0" fontId="3" fillId="17" borderId="7" xfId="2" applyFont="1" applyFill="1" applyBorder="1" applyAlignment="1">
      <alignment horizontal="center" vertical="center"/>
    </xf>
    <xf numFmtId="0" fontId="3" fillId="17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/>
    </xf>
    <xf numFmtId="164" fontId="21" fillId="0" borderId="0" xfId="0" applyNumberFormat="1" applyFont="1" applyBorder="1" applyAlignment="1">
      <alignment horizontal="left"/>
    </xf>
    <xf numFmtId="4" fontId="2" fillId="33" borderId="36" xfId="0" applyNumberFormat="1" applyFont="1" applyFill="1" applyBorder="1"/>
    <xf numFmtId="4" fontId="43" fillId="29" borderId="29" xfId="0" applyNumberFormat="1" applyFont="1" applyFill="1" applyBorder="1" applyAlignment="1">
      <alignment horizontal="center" vertical="center" wrapText="1"/>
    </xf>
    <xf numFmtId="4" fontId="43" fillId="29" borderId="29" xfId="0" applyNumberFormat="1" applyFont="1" applyFill="1" applyBorder="1" applyAlignment="1">
      <alignment horizontal="center"/>
    </xf>
    <xf numFmtId="0" fontId="44" fillId="37" borderId="38" xfId="0" applyFont="1" applyFill="1" applyBorder="1" applyAlignment="1">
      <alignment horizontal="center"/>
    </xf>
    <xf numFmtId="0" fontId="44" fillId="37" borderId="30" xfId="0" applyFont="1" applyFill="1" applyBorder="1" applyAlignment="1">
      <alignment horizontal="center"/>
    </xf>
    <xf numFmtId="4" fontId="7" fillId="15" borderId="6" xfId="2" applyNumberFormat="1" applyFont="1" applyFill="1" applyBorder="1" applyAlignment="1">
      <alignment horizontal="center"/>
    </xf>
    <xf numFmtId="4" fontId="2" fillId="15" borderId="13" xfId="2" applyNumberFormat="1" applyFont="1" applyFill="1" applyBorder="1" applyAlignment="1">
      <alignment horizontal="center" wrapText="1"/>
    </xf>
    <xf numFmtId="4" fontId="2" fillId="15" borderId="6" xfId="2" applyNumberFormat="1" applyFont="1" applyFill="1" applyBorder="1" applyAlignment="1">
      <alignment horizontal="center" vertical="center" wrapText="1"/>
    </xf>
    <xf numFmtId="4" fontId="2" fillId="15" borderId="6" xfId="2" applyNumberFormat="1" applyFont="1" applyFill="1" applyBorder="1" applyAlignment="1">
      <alignment horizontal="center" wrapText="1"/>
    </xf>
    <xf numFmtId="4" fontId="2" fillId="15" borderId="6" xfId="2" applyNumberFormat="1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Percent" xfId="3" builtinId="5"/>
  </cellStyles>
  <dxfs count="4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2.75" x14ac:dyDescent="0.2"/>
  <cols>
    <col min="1" max="1" width="23" style="104" bestFit="1" customWidth="1"/>
    <col min="2" max="4" width="9.140625" style="104"/>
    <col min="5" max="5" width="10.7109375" style="104" customWidth="1"/>
    <col min="6" max="6" width="12.140625" style="104" customWidth="1"/>
    <col min="7" max="7" width="10.85546875" style="104" customWidth="1"/>
    <col min="8" max="8" width="11.28515625" style="104" customWidth="1"/>
    <col min="9" max="16384" width="9.140625" style="104"/>
  </cols>
  <sheetData>
    <row r="1" spans="1:11" ht="60" x14ac:dyDescent="0.2">
      <c r="A1" s="99" t="s">
        <v>0</v>
      </c>
      <c r="B1" s="99" t="s">
        <v>1</v>
      </c>
      <c r="C1" s="100" t="s">
        <v>2</v>
      </c>
      <c r="D1" s="99" t="s">
        <v>3</v>
      </c>
      <c r="E1" s="101" t="s">
        <v>4</v>
      </c>
      <c r="F1" s="102" t="s">
        <v>5</v>
      </c>
      <c r="G1" s="101" t="s">
        <v>76</v>
      </c>
      <c r="H1" s="103" t="s">
        <v>6</v>
      </c>
      <c r="I1" s="101" t="s">
        <v>7</v>
      </c>
      <c r="J1" s="101" t="s">
        <v>8</v>
      </c>
      <c r="K1" s="101" t="s">
        <v>9</v>
      </c>
    </row>
    <row r="2" spans="1:11" ht="15" x14ac:dyDescent="0.25">
      <c r="A2" s="105" t="s">
        <v>10</v>
      </c>
      <c r="B2" s="106">
        <v>1</v>
      </c>
      <c r="C2" s="107">
        <v>4</v>
      </c>
      <c r="D2" s="106">
        <v>2021</v>
      </c>
      <c r="E2" s="108">
        <f>Electricity!E7</f>
        <v>11290.36</v>
      </c>
      <c r="F2" s="109">
        <f>Electricity!I7/Electricity!E7</f>
        <v>3.5810682741737199</v>
      </c>
      <c r="G2" s="108">
        <f>Water!AW9</f>
        <v>103</v>
      </c>
      <c r="H2" s="110">
        <v>60</v>
      </c>
      <c r="I2" s="249">
        <v>37</v>
      </c>
      <c r="J2" s="249">
        <v>91</v>
      </c>
      <c r="K2" s="250">
        <v>165</v>
      </c>
    </row>
    <row r="3" spans="1:11" ht="15" x14ac:dyDescent="0.25">
      <c r="A3" s="105" t="s">
        <v>10</v>
      </c>
      <c r="B3" s="106">
        <f>B2+1</f>
        <v>2</v>
      </c>
      <c r="C3" s="107">
        <v>4</v>
      </c>
      <c r="D3" s="106">
        <v>2021</v>
      </c>
      <c r="E3" s="108">
        <f>Electricity!E8</f>
        <v>11071.57</v>
      </c>
      <c r="F3" s="109">
        <f>Electricity!I8/Electricity!E8</f>
        <v>3.6074513370732428</v>
      </c>
      <c r="G3" s="108">
        <f>Water!AW10</f>
        <v>113</v>
      </c>
      <c r="H3" s="110">
        <v>60</v>
      </c>
      <c r="I3" s="249">
        <v>24</v>
      </c>
      <c r="J3" s="249">
        <v>70</v>
      </c>
      <c r="K3" s="251">
        <v>165</v>
      </c>
    </row>
    <row r="4" spans="1:11" ht="15" x14ac:dyDescent="0.25">
      <c r="A4" s="105" t="s">
        <v>10</v>
      </c>
      <c r="B4" s="106">
        <f t="shared" ref="B4:B31" si="0">B3+1</f>
        <v>3</v>
      </c>
      <c r="C4" s="107">
        <v>4</v>
      </c>
      <c r="D4" s="106">
        <v>2021</v>
      </c>
      <c r="E4" s="108">
        <f>Electricity!E9</f>
        <v>11395.66</v>
      </c>
      <c r="F4" s="109">
        <f>Electricity!I9/Electricity!E9</f>
        <v>2.603700005089657</v>
      </c>
      <c r="G4" s="108">
        <f>Water!AW11</f>
        <v>108</v>
      </c>
      <c r="H4" s="110">
        <v>60</v>
      </c>
      <c r="I4" s="252">
        <v>36</v>
      </c>
      <c r="J4" s="252">
        <v>118</v>
      </c>
      <c r="K4" s="252">
        <v>220</v>
      </c>
    </row>
    <row r="5" spans="1:11" ht="15" x14ac:dyDescent="0.25">
      <c r="A5" s="105" t="s">
        <v>10</v>
      </c>
      <c r="B5" s="106">
        <f t="shared" si="0"/>
        <v>4</v>
      </c>
      <c r="C5" s="107">
        <v>4</v>
      </c>
      <c r="D5" s="106">
        <v>2021</v>
      </c>
      <c r="E5" s="108">
        <f>Electricity!E10</f>
        <v>11425.62</v>
      </c>
      <c r="F5" s="109">
        <f>Electricity!I10/Electricity!E10</f>
        <v>2.6037002805974643</v>
      </c>
      <c r="G5" s="108">
        <f>Water!AW12</f>
        <v>107</v>
      </c>
      <c r="H5" s="110">
        <v>60</v>
      </c>
      <c r="I5" s="252">
        <v>31</v>
      </c>
      <c r="J5" s="252">
        <v>116</v>
      </c>
      <c r="K5" s="252">
        <v>207</v>
      </c>
    </row>
    <row r="6" spans="1:11" ht="15" x14ac:dyDescent="0.25">
      <c r="A6" s="105" t="s">
        <v>10</v>
      </c>
      <c r="B6" s="106">
        <f t="shared" si="0"/>
        <v>5</v>
      </c>
      <c r="C6" s="107">
        <v>4</v>
      </c>
      <c r="D6" s="106">
        <v>2021</v>
      </c>
      <c r="E6" s="108">
        <f>Electricity!E11</f>
        <v>9252.4500000000007</v>
      </c>
      <c r="F6" s="109">
        <f>Electricity!I11/Electricity!E11</f>
        <v>3.7074428935038823</v>
      </c>
      <c r="G6" s="108">
        <f>Water!AW13</f>
        <v>119</v>
      </c>
      <c r="H6" s="110">
        <v>60</v>
      </c>
      <c r="I6" s="252">
        <v>27</v>
      </c>
      <c r="J6" s="252">
        <v>94</v>
      </c>
      <c r="K6" s="252">
        <v>212</v>
      </c>
    </row>
    <row r="7" spans="1:11" ht="15" x14ac:dyDescent="0.25">
      <c r="A7" s="105" t="s">
        <v>10</v>
      </c>
      <c r="B7" s="106">
        <f t="shared" si="0"/>
        <v>6</v>
      </c>
      <c r="C7" s="107">
        <v>4</v>
      </c>
      <c r="D7" s="106">
        <v>2021</v>
      </c>
      <c r="E7" s="108">
        <f>Electricity!E12</f>
        <v>9609.4699999999993</v>
      </c>
      <c r="F7" s="109">
        <f>Electricity!I12/Electricity!E12</f>
        <v>2.6037003081335395</v>
      </c>
      <c r="G7" s="108">
        <f>Water!AW14</f>
        <v>84</v>
      </c>
      <c r="H7" s="110">
        <v>60</v>
      </c>
      <c r="I7" s="252">
        <v>13</v>
      </c>
      <c r="J7" s="252">
        <v>46</v>
      </c>
      <c r="K7" s="252">
        <v>143</v>
      </c>
    </row>
    <row r="8" spans="1:11" ht="15" x14ac:dyDescent="0.25">
      <c r="A8" s="105" t="s">
        <v>10</v>
      </c>
      <c r="B8" s="106">
        <f t="shared" si="0"/>
        <v>7</v>
      </c>
      <c r="C8" s="107">
        <v>4</v>
      </c>
      <c r="D8" s="106">
        <v>2021</v>
      </c>
      <c r="E8" s="108">
        <f>Electricity!E13</f>
        <v>9279.07</v>
      </c>
      <c r="F8" s="109">
        <f>Electricity!I13/Electricity!E13</f>
        <v>3.6170575283945485</v>
      </c>
      <c r="G8" s="108">
        <f>Water!AW15</f>
        <v>72</v>
      </c>
      <c r="H8" s="110">
        <v>60</v>
      </c>
      <c r="I8" s="252">
        <v>11</v>
      </c>
      <c r="J8" s="252">
        <v>29</v>
      </c>
      <c r="K8" s="252">
        <v>95</v>
      </c>
    </row>
    <row r="9" spans="1:11" ht="15" x14ac:dyDescent="0.25">
      <c r="A9" s="105" t="s">
        <v>10</v>
      </c>
      <c r="B9" s="106">
        <f t="shared" si="0"/>
        <v>8</v>
      </c>
      <c r="C9" s="107">
        <v>4</v>
      </c>
      <c r="D9" s="106">
        <v>2021</v>
      </c>
      <c r="E9" s="108">
        <f>Electricity!E14</f>
        <v>9731.24</v>
      </c>
      <c r="F9" s="109">
        <f>Electricity!I14/Electricity!E14</f>
        <v>3.6270403360722785</v>
      </c>
      <c r="G9" s="108">
        <f>Water!AW16</f>
        <v>88</v>
      </c>
      <c r="H9" s="110">
        <v>60</v>
      </c>
      <c r="I9" s="252">
        <v>21</v>
      </c>
      <c r="J9" s="252">
        <v>75</v>
      </c>
      <c r="K9" s="252">
        <v>91</v>
      </c>
    </row>
    <row r="10" spans="1:11" ht="15" x14ac:dyDescent="0.25">
      <c r="A10" s="105" t="s">
        <v>10</v>
      </c>
      <c r="B10" s="106">
        <f t="shared" si="0"/>
        <v>9</v>
      </c>
      <c r="C10" s="107">
        <v>4</v>
      </c>
      <c r="D10" s="106">
        <v>2021</v>
      </c>
      <c r="E10" s="108">
        <f>Electricity!E15</f>
        <v>10559.64</v>
      </c>
      <c r="F10" s="109">
        <f>Electricity!I15/Electricity!E15</f>
        <v>3.6256662158937241</v>
      </c>
      <c r="G10" s="108">
        <f>Water!AW17</f>
        <v>96</v>
      </c>
      <c r="H10" s="110">
        <v>60</v>
      </c>
      <c r="I10" s="252">
        <v>25</v>
      </c>
      <c r="J10" s="252">
        <v>96</v>
      </c>
      <c r="K10" s="253">
        <v>173</v>
      </c>
    </row>
    <row r="11" spans="1:11" ht="15" x14ac:dyDescent="0.25">
      <c r="A11" s="105" t="s">
        <v>10</v>
      </c>
      <c r="B11" s="106">
        <f t="shared" si="0"/>
        <v>10</v>
      </c>
      <c r="C11" s="107">
        <v>4</v>
      </c>
      <c r="D11" s="106">
        <v>2021</v>
      </c>
      <c r="E11" s="108">
        <f>Electricity!E16</f>
        <v>8885.32</v>
      </c>
      <c r="F11" s="109">
        <f>Electricity!I16/Electricity!E16</f>
        <v>2.6037002606546529</v>
      </c>
      <c r="G11" s="108">
        <f>Water!AW18</f>
        <v>103</v>
      </c>
      <c r="H11" s="110">
        <v>60</v>
      </c>
      <c r="I11" s="252">
        <v>22</v>
      </c>
      <c r="J11" s="252">
        <v>79</v>
      </c>
      <c r="K11" s="252">
        <v>181</v>
      </c>
    </row>
    <row r="12" spans="1:11" ht="15" x14ac:dyDescent="0.25">
      <c r="A12" s="105" t="s">
        <v>10</v>
      </c>
      <c r="B12" s="106">
        <f t="shared" si="0"/>
        <v>11</v>
      </c>
      <c r="C12" s="107">
        <v>4</v>
      </c>
      <c r="D12" s="106">
        <v>2021</v>
      </c>
      <c r="E12" s="108">
        <f>Electricity!E17</f>
        <v>0</v>
      </c>
      <c r="F12" s="109" t="e">
        <f>Electricity!I17/Electricity!E17</f>
        <v>#DIV/0!</v>
      </c>
      <c r="G12" s="108">
        <f>Water!AW19</f>
        <v>90</v>
      </c>
      <c r="H12" s="110">
        <v>60</v>
      </c>
      <c r="I12" s="252">
        <v>25</v>
      </c>
      <c r="J12" s="252">
        <v>74</v>
      </c>
      <c r="K12" s="253">
        <v>195</v>
      </c>
    </row>
    <row r="13" spans="1:11" ht="15" x14ac:dyDescent="0.25">
      <c r="A13" s="105" t="s">
        <v>10</v>
      </c>
      <c r="B13" s="106">
        <f t="shared" si="0"/>
        <v>12</v>
      </c>
      <c r="C13" s="107">
        <v>4</v>
      </c>
      <c r="D13" s="106">
        <v>2021</v>
      </c>
      <c r="E13" s="108">
        <f>Electricity!E18</f>
        <v>0</v>
      </c>
      <c r="F13" s="109" t="e">
        <f>Electricity!I18/Electricity!E18</f>
        <v>#DIV/0!</v>
      </c>
      <c r="G13" s="108">
        <f>Water!AW20</f>
        <v>0</v>
      </c>
      <c r="H13" s="110">
        <v>60</v>
      </c>
      <c r="I13" s="108">
        <f>Electricity!L18</f>
        <v>0</v>
      </c>
      <c r="J13" s="108">
        <f>Electricity!M18</f>
        <v>0</v>
      </c>
      <c r="K13" s="108">
        <f>Electricity!N18</f>
        <v>0</v>
      </c>
    </row>
    <row r="14" spans="1:11" ht="15" x14ac:dyDescent="0.25">
      <c r="A14" s="105" t="s">
        <v>10</v>
      </c>
      <c r="B14" s="106">
        <f t="shared" si="0"/>
        <v>13</v>
      </c>
      <c r="C14" s="107">
        <v>4</v>
      </c>
      <c r="D14" s="106">
        <v>2021</v>
      </c>
      <c r="E14" s="108">
        <f>Electricity!E19</f>
        <v>0</v>
      </c>
      <c r="F14" s="109" t="e">
        <f>Electricity!I19/Electricity!E19</f>
        <v>#DIV/0!</v>
      </c>
      <c r="G14" s="108">
        <f>Water!AW21</f>
        <v>0</v>
      </c>
      <c r="H14" s="110">
        <v>60</v>
      </c>
      <c r="I14" s="108">
        <f>Electricity!L19</f>
        <v>0</v>
      </c>
      <c r="J14" s="108">
        <f>Electricity!M19</f>
        <v>0</v>
      </c>
      <c r="K14" s="108">
        <f>Electricity!N19</f>
        <v>0</v>
      </c>
    </row>
    <row r="15" spans="1:11" ht="15" x14ac:dyDescent="0.25">
      <c r="A15" s="105" t="s">
        <v>10</v>
      </c>
      <c r="B15" s="106">
        <f t="shared" si="0"/>
        <v>14</v>
      </c>
      <c r="C15" s="107">
        <v>4</v>
      </c>
      <c r="D15" s="106">
        <v>2021</v>
      </c>
      <c r="E15" s="108">
        <f>Electricity!E20</f>
        <v>0</v>
      </c>
      <c r="F15" s="109" t="e">
        <f>Electricity!I20/Electricity!E20</f>
        <v>#DIV/0!</v>
      </c>
      <c r="G15" s="108">
        <f>Water!AW22</f>
        <v>0</v>
      </c>
      <c r="H15" s="110">
        <v>60</v>
      </c>
      <c r="I15" s="108">
        <f>Electricity!L20</f>
        <v>0</v>
      </c>
      <c r="J15" s="108">
        <f>Electricity!M20</f>
        <v>0</v>
      </c>
      <c r="K15" s="108">
        <f>Electricity!N20</f>
        <v>0</v>
      </c>
    </row>
    <row r="16" spans="1:11" ht="15" x14ac:dyDescent="0.25">
      <c r="A16" s="105" t="s">
        <v>10</v>
      </c>
      <c r="B16" s="106">
        <f t="shared" si="0"/>
        <v>15</v>
      </c>
      <c r="C16" s="107">
        <v>4</v>
      </c>
      <c r="D16" s="106">
        <v>2021</v>
      </c>
      <c r="E16" s="108">
        <f>Electricity!E21</f>
        <v>0</v>
      </c>
      <c r="F16" s="109" t="e">
        <f>Electricity!I21/Electricity!E21</f>
        <v>#DIV/0!</v>
      </c>
      <c r="G16" s="108">
        <f>Water!AW23</f>
        <v>0</v>
      </c>
      <c r="H16" s="110">
        <v>60</v>
      </c>
      <c r="I16" s="108">
        <f>Electricity!L21</f>
        <v>0</v>
      </c>
      <c r="J16" s="108">
        <f>Electricity!M21</f>
        <v>0</v>
      </c>
      <c r="K16" s="108">
        <f>Electricity!N21</f>
        <v>0</v>
      </c>
    </row>
    <row r="17" spans="1:11" ht="15" x14ac:dyDescent="0.25">
      <c r="A17" s="105" t="s">
        <v>10</v>
      </c>
      <c r="B17" s="106">
        <f t="shared" si="0"/>
        <v>16</v>
      </c>
      <c r="C17" s="107">
        <v>4</v>
      </c>
      <c r="D17" s="106">
        <v>2021</v>
      </c>
      <c r="E17" s="108">
        <f>Electricity!E22</f>
        <v>0</v>
      </c>
      <c r="F17" s="109" t="e">
        <f>Electricity!I22/Electricity!E22</f>
        <v>#DIV/0!</v>
      </c>
      <c r="G17" s="108">
        <f>Water!AW24</f>
        <v>0</v>
      </c>
      <c r="H17" s="110">
        <v>60</v>
      </c>
      <c r="I17" s="108">
        <f>Electricity!L22</f>
        <v>0</v>
      </c>
      <c r="J17" s="108">
        <f>Electricity!M21</f>
        <v>0</v>
      </c>
      <c r="K17" s="108">
        <f>Electricity!N22</f>
        <v>0</v>
      </c>
    </row>
    <row r="18" spans="1:11" ht="15" x14ac:dyDescent="0.25">
      <c r="A18" s="105" t="s">
        <v>10</v>
      </c>
      <c r="B18" s="106">
        <f t="shared" si="0"/>
        <v>17</v>
      </c>
      <c r="C18" s="107">
        <v>4</v>
      </c>
      <c r="D18" s="106">
        <v>2021</v>
      </c>
      <c r="E18" s="108">
        <f>Electricity!E23</f>
        <v>0</v>
      </c>
      <c r="F18" s="109" t="e">
        <f>Electricity!I23/Electricity!E23</f>
        <v>#DIV/0!</v>
      </c>
      <c r="G18" s="108">
        <f>Water!AW25</f>
        <v>0</v>
      </c>
      <c r="H18" s="110">
        <v>60</v>
      </c>
      <c r="I18" s="108">
        <f>Electricity!L23</f>
        <v>0</v>
      </c>
      <c r="J18" s="108">
        <f>Electricity!M23</f>
        <v>0</v>
      </c>
      <c r="K18" s="108">
        <f>Electricity!N23</f>
        <v>0</v>
      </c>
    </row>
    <row r="19" spans="1:11" ht="15" x14ac:dyDescent="0.25">
      <c r="A19" s="105" t="s">
        <v>10</v>
      </c>
      <c r="B19" s="106">
        <f t="shared" si="0"/>
        <v>18</v>
      </c>
      <c r="C19" s="107">
        <v>4</v>
      </c>
      <c r="D19" s="106">
        <v>2021</v>
      </c>
      <c r="E19" s="108">
        <f>Electricity!E24</f>
        <v>0</v>
      </c>
      <c r="F19" s="109" t="e">
        <f>Electricity!I24/Electricity!E24</f>
        <v>#DIV/0!</v>
      </c>
      <c r="G19" s="108">
        <f>Water!AW26</f>
        <v>0</v>
      </c>
      <c r="H19" s="110">
        <v>60</v>
      </c>
      <c r="I19" s="108">
        <f>Electricity!L24</f>
        <v>0</v>
      </c>
      <c r="J19" s="108">
        <f>Electricity!M24</f>
        <v>0</v>
      </c>
      <c r="K19" s="108">
        <f>Electricity!N24</f>
        <v>0</v>
      </c>
    </row>
    <row r="20" spans="1:11" ht="15" x14ac:dyDescent="0.25">
      <c r="A20" s="105" t="s">
        <v>10</v>
      </c>
      <c r="B20" s="106">
        <f t="shared" si="0"/>
        <v>19</v>
      </c>
      <c r="C20" s="107">
        <v>4</v>
      </c>
      <c r="D20" s="106">
        <v>2021</v>
      </c>
      <c r="E20" s="108">
        <f>Electricity!E25</f>
        <v>0</v>
      </c>
      <c r="F20" s="109" t="e">
        <f>Electricity!I25/Electricity!E25</f>
        <v>#DIV/0!</v>
      </c>
      <c r="G20" s="108">
        <f>Water!AW27</f>
        <v>0</v>
      </c>
      <c r="H20" s="110">
        <v>60</v>
      </c>
      <c r="I20" s="108">
        <f>Electricity!L25</f>
        <v>0</v>
      </c>
      <c r="J20" s="108">
        <f>Electricity!M25</f>
        <v>0</v>
      </c>
      <c r="K20" s="108">
        <f>Electricity!N25</f>
        <v>0</v>
      </c>
    </row>
    <row r="21" spans="1:11" ht="15" x14ac:dyDescent="0.25">
      <c r="A21" s="105" t="s">
        <v>10</v>
      </c>
      <c r="B21" s="106">
        <f t="shared" si="0"/>
        <v>20</v>
      </c>
      <c r="C21" s="107">
        <v>4</v>
      </c>
      <c r="D21" s="106">
        <v>2021</v>
      </c>
      <c r="E21" s="108">
        <f>Electricity!E26</f>
        <v>0</v>
      </c>
      <c r="F21" s="109" t="e">
        <f>Electricity!I26/Electricity!E26</f>
        <v>#DIV/0!</v>
      </c>
      <c r="G21" s="108">
        <f>Water!AW28</f>
        <v>0</v>
      </c>
      <c r="H21" s="110">
        <v>60</v>
      </c>
      <c r="I21" s="108">
        <f>Electricity!L26</f>
        <v>0</v>
      </c>
      <c r="J21" s="108">
        <f>Electricity!M26</f>
        <v>0</v>
      </c>
      <c r="K21" s="108">
        <f>Electricity!N26</f>
        <v>0</v>
      </c>
    </row>
    <row r="22" spans="1:11" ht="15" x14ac:dyDescent="0.25">
      <c r="A22" s="105" t="s">
        <v>10</v>
      </c>
      <c r="B22" s="106">
        <f t="shared" si="0"/>
        <v>21</v>
      </c>
      <c r="C22" s="107">
        <v>4</v>
      </c>
      <c r="D22" s="106">
        <v>2021</v>
      </c>
      <c r="E22" s="108">
        <f>Electricity!E27</f>
        <v>0</v>
      </c>
      <c r="F22" s="109" t="e">
        <f>Electricity!I27/Electricity!E27</f>
        <v>#DIV/0!</v>
      </c>
      <c r="G22" s="108">
        <f>Water!AW29</f>
        <v>0</v>
      </c>
      <c r="H22" s="110">
        <v>60</v>
      </c>
      <c r="I22" s="108">
        <f>Electricity!L27</f>
        <v>0</v>
      </c>
      <c r="J22" s="108">
        <f>Electricity!M27</f>
        <v>0</v>
      </c>
      <c r="K22" s="108">
        <f>Electricity!N27</f>
        <v>0</v>
      </c>
    </row>
    <row r="23" spans="1:11" ht="15" x14ac:dyDescent="0.25">
      <c r="A23" s="105" t="s">
        <v>10</v>
      </c>
      <c r="B23" s="106">
        <f t="shared" si="0"/>
        <v>22</v>
      </c>
      <c r="C23" s="107">
        <v>4</v>
      </c>
      <c r="D23" s="106">
        <v>2021</v>
      </c>
      <c r="E23" s="108">
        <f>Electricity!E28</f>
        <v>0</v>
      </c>
      <c r="F23" s="109" t="e">
        <f>Electricity!I28/Electricity!E28</f>
        <v>#DIV/0!</v>
      </c>
      <c r="G23" s="108">
        <f>Water!AW30</f>
        <v>0</v>
      </c>
      <c r="H23" s="110">
        <v>60</v>
      </c>
      <c r="I23" s="108">
        <f>Electricity!L28</f>
        <v>0</v>
      </c>
      <c r="J23" s="108">
        <f>Electricity!M28</f>
        <v>0</v>
      </c>
      <c r="K23" s="108">
        <f>Electricity!N28</f>
        <v>0</v>
      </c>
    </row>
    <row r="24" spans="1:11" ht="15" x14ac:dyDescent="0.25">
      <c r="A24" s="105" t="s">
        <v>10</v>
      </c>
      <c r="B24" s="106">
        <f t="shared" si="0"/>
        <v>23</v>
      </c>
      <c r="C24" s="107">
        <v>4</v>
      </c>
      <c r="D24" s="106">
        <v>2021</v>
      </c>
      <c r="E24" s="108">
        <f>Electricity!E29</f>
        <v>0</v>
      </c>
      <c r="F24" s="109" t="e">
        <f>Electricity!I29/Electricity!E29</f>
        <v>#DIV/0!</v>
      </c>
      <c r="G24" s="108">
        <f>Water!AW31</f>
        <v>0</v>
      </c>
      <c r="H24" s="110">
        <v>60</v>
      </c>
      <c r="I24" s="108">
        <f>Electricity!L29</f>
        <v>0</v>
      </c>
      <c r="J24" s="108">
        <f>Electricity!M29</f>
        <v>0</v>
      </c>
      <c r="K24" s="108">
        <f>Electricity!N29</f>
        <v>0</v>
      </c>
    </row>
    <row r="25" spans="1:11" ht="15" x14ac:dyDescent="0.25">
      <c r="A25" s="105" t="s">
        <v>10</v>
      </c>
      <c r="B25" s="106">
        <f t="shared" si="0"/>
        <v>24</v>
      </c>
      <c r="C25" s="107">
        <v>4</v>
      </c>
      <c r="D25" s="106">
        <v>2021</v>
      </c>
      <c r="E25" s="108">
        <f>Electricity!E30</f>
        <v>0</v>
      </c>
      <c r="F25" s="109" t="e">
        <f>Electricity!I30/Electricity!E30</f>
        <v>#DIV/0!</v>
      </c>
      <c r="G25" s="108">
        <f>Water!AW32</f>
        <v>0</v>
      </c>
      <c r="H25" s="110">
        <v>60</v>
      </c>
      <c r="I25" s="108">
        <f>Electricity!L30</f>
        <v>0</v>
      </c>
      <c r="J25" s="108">
        <f>Electricity!M30</f>
        <v>0</v>
      </c>
      <c r="K25" s="108">
        <f>Electricity!N30</f>
        <v>0</v>
      </c>
    </row>
    <row r="26" spans="1:11" ht="15" x14ac:dyDescent="0.25">
      <c r="A26" s="105" t="s">
        <v>10</v>
      </c>
      <c r="B26" s="106">
        <f>B25+1</f>
        <v>25</v>
      </c>
      <c r="C26" s="107">
        <v>4</v>
      </c>
      <c r="D26" s="106">
        <v>2021</v>
      </c>
      <c r="E26" s="108">
        <f>Electricity!E31</f>
        <v>0</v>
      </c>
      <c r="F26" s="109" t="e">
        <f>Electricity!I31/Electricity!E31</f>
        <v>#DIV/0!</v>
      </c>
      <c r="G26" s="108">
        <f>Water!AW33</f>
        <v>0</v>
      </c>
      <c r="H26" s="110">
        <v>60</v>
      </c>
      <c r="I26" s="108">
        <f>Electricity!L31</f>
        <v>0</v>
      </c>
      <c r="J26" s="108">
        <f>Electricity!M31</f>
        <v>0</v>
      </c>
      <c r="K26" s="108">
        <f>Electricity!N31</f>
        <v>0</v>
      </c>
    </row>
    <row r="27" spans="1:11" ht="15" x14ac:dyDescent="0.25">
      <c r="A27" s="105" t="s">
        <v>10</v>
      </c>
      <c r="B27" s="106">
        <f t="shared" si="0"/>
        <v>26</v>
      </c>
      <c r="C27" s="107">
        <v>4</v>
      </c>
      <c r="D27" s="106">
        <v>2021</v>
      </c>
      <c r="E27" s="108">
        <f>Electricity!E32</f>
        <v>0</v>
      </c>
      <c r="F27" s="109" t="e">
        <f>Electricity!I32/Electricity!E32</f>
        <v>#DIV/0!</v>
      </c>
      <c r="G27" s="108">
        <f>Water!AW34</f>
        <v>0</v>
      </c>
      <c r="H27" s="110">
        <v>60</v>
      </c>
      <c r="I27" s="108">
        <f>Electricity!L32</f>
        <v>0</v>
      </c>
      <c r="J27" s="108">
        <f>Electricity!M32</f>
        <v>0</v>
      </c>
      <c r="K27" s="108">
        <f>Electricity!N32</f>
        <v>0</v>
      </c>
    </row>
    <row r="28" spans="1:11" ht="15" x14ac:dyDescent="0.25">
      <c r="A28" s="105" t="s">
        <v>10</v>
      </c>
      <c r="B28" s="106">
        <f t="shared" si="0"/>
        <v>27</v>
      </c>
      <c r="C28" s="107">
        <v>4</v>
      </c>
      <c r="D28" s="106">
        <v>2021</v>
      </c>
      <c r="E28" s="108">
        <f>Electricity!E33</f>
        <v>0</v>
      </c>
      <c r="F28" s="109" t="e">
        <f>Electricity!I33/Electricity!E33</f>
        <v>#DIV/0!</v>
      </c>
      <c r="G28" s="108">
        <f>Water!AW35</f>
        <v>0</v>
      </c>
      <c r="H28" s="110">
        <v>60</v>
      </c>
      <c r="I28" s="108">
        <f>Electricity!L33</f>
        <v>0</v>
      </c>
      <c r="J28" s="108">
        <f>Electricity!M33</f>
        <v>0</v>
      </c>
      <c r="K28" s="108">
        <f>Electricity!N33</f>
        <v>0</v>
      </c>
    </row>
    <row r="29" spans="1:11" ht="15" x14ac:dyDescent="0.25">
      <c r="A29" s="105" t="s">
        <v>10</v>
      </c>
      <c r="B29" s="106">
        <f t="shared" si="0"/>
        <v>28</v>
      </c>
      <c r="C29" s="107">
        <v>4</v>
      </c>
      <c r="D29" s="106">
        <v>2021</v>
      </c>
      <c r="E29" s="108">
        <f>Electricity!E34</f>
        <v>0</v>
      </c>
      <c r="F29" s="109" t="e">
        <f>Electricity!I34/Electricity!E34</f>
        <v>#DIV/0!</v>
      </c>
      <c r="G29" s="108">
        <f>Water!AW36</f>
        <v>0</v>
      </c>
      <c r="H29" s="110">
        <v>60</v>
      </c>
      <c r="I29" s="108">
        <f>Electricity!L34</f>
        <v>0</v>
      </c>
      <c r="J29" s="108">
        <f>Electricity!M34</f>
        <v>0</v>
      </c>
      <c r="K29" s="108">
        <f>Electricity!N34</f>
        <v>0</v>
      </c>
    </row>
    <row r="30" spans="1:11" ht="15" x14ac:dyDescent="0.25">
      <c r="A30" s="105" t="s">
        <v>10</v>
      </c>
      <c r="B30" s="106">
        <f t="shared" si="0"/>
        <v>29</v>
      </c>
      <c r="C30" s="107">
        <v>4</v>
      </c>
      <c r="D30" s="106">
        <v>2021</v>
      </c>
      <c r="E30" s="108">
        <f>Electricity!E35</f>
        <v>0</v>
      </c>
      <c r="F30" s="109" t="e">
        <f>Electricity!I35/Electricity!E35</f>
        <v>#DIV/0!</v>
      </c>
      <c r="G30" s="108">
        <f>Water!AW37</f>
        <v>0</v>
      </c>
      <c r="H30" s="110">
        <v>60</v>
      </c>
      <c r="I30" s="108">
        <f>Electricity!L35</f>
        <v>0</v>
      </c>
      <c r="J30" s="108">
        <f>Electricity!M35</f>
        <v>0</v>
      </c>
      <c r="K30" s="108">
        <f>Electricity!N35</f>
        <v>0</v>
      </c>
    </row>
    <row r="31" spans="1:11" ht="15" x14ac:dyDescent="0.25">
      <c r="A31" s="105" t="s">
        <v>10</v>
      </c>
      <c r="B31" s="106">
        <f t="shared" si="0"/>
        <v>30</v>
      </c>
      <c r="C31" s="107">
        <v>4</v>
      </c>
      <c r="D31" s="106">
        <v>2021</v>
      </c>
      <c r="E31" s="108">
        <f>Electricity!E36</f>
        <v>0</v>
      </c>
      <c r="F31" s="109" t="e">
        <f>Electricity!I36/Electricity!E36</f>
        <v>#DIV/0!</v>
      </c>
      <c r="G31" s="108">
        <f>Water!AW38</f>
        <v>0</v>
      </c>
      <c r="H31" s="110">
        <v>60</v>
      </c>
      <c r="I31" s="108">
        <f>Electricity!L36</f>
        <v>0</v>
      </c>
      <c r="J31" s="108">
        <f>Electricity!M36</f>
        <v>0</v>
      </c>
      <c r="K31" s="108">
        <f>Electricity!N36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50"/>
  <sheetViews>
    <sheetView workbookViewId="0">
      <pane ySplit="6" topLeftCell="A7" activePane="bottomLeft" state="frozen"/>
      <selection pane="bottomLeft" activeCell="L7" sqref="L7:N17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11</v>
      </c>
      <c r="E2" s="2"/>
    </row>
    <row r="3" spans="1:14" ht="19.5" customHeight="1" x14ac:dyDescent="0.25">
      <c r="A3" s="232">
        <v>44287</v>
      </c>
      <c r="B3" s="232"/>
      <c r="E3" s="3"/>
      <c r="J3" s="4" t="s">
        <v>12</v>
      </c>
    </row>
    <row r="4" spans="1:14" x14ac:dyDescent="0.2">
      <c r="A4" s="233" t="s">
        <v>13</v>
      </c>
      <c r="B4" s="236" t="s">
        <v>14</v>
      </c>
      <c r="C4" s="236" t="s">
        <v>15</v>
      </c>
      <c r="D4" s="239" t="s">
        <v>16</v>
      </c>
      <c r="E4" s="230" t="s">
        <v>17</v>
      </c>
      <c r="F4" s="5" t="s">
        <v>18</v>
      </c>
      <c r="G4" s="5" t="s">
        <v>19</v>
      </c>
      <c r="H4" s="5" t="s">
        <v>20</v>
      </c>
      <c r="I4" s="219" t="s">
        <v>21</v>
      </c>
      <c r="J4" s="222" t="s">
        <v>22</v>
      </c>
      <c r="L4" s="216" t="s">
        <v>23</v>
      </c>
      <c r="M4" s="216" t="s">
        <v>8</v>
      </c>
      <c r="N4" s="216" t="s">
        <v>9</v>
      </c>
    </row>
    <row r="5" spans="1:14" x14ac:dyDescent="0.2">
      <c r="A5" s="234"/>
      <c r="B5" s="237"/>
      <c r="C5" s="237"/>
      <c r="D5" s="240"/>
      <c r="E5" s="231"/>
      <c r="F5" s="6" t="s">
        <v>24</v>
      </c>
      <c r="G5" s="6" t="s">
        <v>25</v>
      </c>
      <c r="H5" s="6" t="s">
        <v>26</v>
      </c>
      <c r="I5" s="220"/>
      <c r="J5" s="223"/>
      <c r="L5" s="217"/>
      <c r="M5" s="217"/>
      <c r="N5" s="217"/>
    </row>
    <row r="6" spans="1:14" ht="13.5" thickBot="1" x14ac:dyDescent="0.25">
      <c r="A6" s="235"/>
      <c r="B6" s="238"/>
      <c r="C6" s="238"/>
      <c r="D6" s="241"/>
      <c r="E6" s="7" t="s">
        <v>27</v>
      </c>
      <c r="F6" s="8">
        <v>4.1839000000000004</v>
      </c>
      <c r="G6" s="8">
        <v>2.6036999999999999</v>
      </c>
      <c r="H6" s="8">
        <v>2.0603699999999998</v>
      </c>
      <c r="I6" s="221"/>
      <c r="J6" s="9">
        <v>-0.12429999999999999</v>
      </c>
      <c r="K6" s="3"/>
      <c r="L6" s="218"/>
      <c r="M6" s="218"/>
      <c r="N6" s="218"/>
    </row>
    <row r="7" spans="1:14" x14ac:dyDescent="0.2">
      <c r="A7" s="10">
        <v>1</v>
      </c>
      <c r="B7" s="180">
        <v>6983.19</v>
      </c>
      <c r="C7" s="180">
        <v>4307.17</v>
      </c>
      <c r="D7" s="181"/>
      <c r="E7" s="182">
        <v>11290.36</v>
      </c>
      <c r="F7" s="183">
        <v>29216.97</v>
      </c>
      <c r="G7" s="183">
        <v>11214.58</v>
      </c>
      <c r="H7" s="184" t="s">
        <v>77</v>
      </c>
      <c r="I7" s="185">
        <v>40431.550000000003</v>
      </c>
      <c r="J7" s="244">
        <v>-1403.39</v>
      </c>
      <c r="K7" s="3"/>
      <c r="L7" s="111">
        <v>37</v>
      </c>
      <c r="M7" s="111">
        <v>91</v>
      </c>
      <c r="N7" s="112">
        <v>165</v>
      </c>
    </row>
    <row r="8" spans="1:14" x14ac:dyDescent="0.2">
      <c r="A8" s="14">
        <v>2</v>
      </c>
      <c r="B8" s="186">
        <v>7032.72</v>
      </c>
      <c r="C8" s="186">
        <v>4038.85</v>
      </c>
      <c r="D8" s="187"/>
      <c r="E8" s="188">
        <v>11071.57</v>
      </c>
      <c r="F8" s="189">
        <v>29424.2</v>
      </c>
      <c r="G8" s="189">
        <v>10515.95</v>
      </c>
      <c r="H8" s="190" t="s">
        <v>77</v>
      </c>
      <c r="I8" s="191">
        <v>39940.15</v>
      </c>
      <c r="J8" s="195">
        <v>-1376.2</v>
      </c>
      <c r="L8" s="111">
        <v>24</v>
      </c>
      <c r="M8" s="111">
        <v>70</v>
      </c>
      <c r="N8" s="114">
        <v>165</v>
      </c>
    </row>
    <row r="9" spans="1:14" ht="12.75" customHeight="1" x14ac:dyDescent="0.2">
      <c r="A9" s="14">
        <v>3</v>
      </c>
      <c r="B9" s="194"/>
      <c r="C9" s="194"/>
      <c r="D9" s="245">
        <v>11395.66</v>
      </c>
      <c r="E9" s="193">
        <v>11395.66</v>
      </c>
      <c r="F9" s="190" t="s">
        <v>77</v>
      </c>
      <c r="G9" s="190" t="s">
        <v>77</v>
      </c>
      <c r="H9" s="189">
        <v>29670.880000000001</v>
      </c>
      <c r="I9" s="191">
        <v>29670.880000000001</v>
      </c>
      <c r="J9" s="195">
        <v>-1416.48</v>
      </c>
      <c r="L9" s="113">
        <v>36</v>
      </c>
      <c r="M9" s="113">
        <v>118</v>
      </c>
      <c r="N9" s="113">
        <v>220</v>
      </c>
    </row>
    <row r="10" spans="1:14" ht="12.75" customHeight="1" x14ac:dyDescent="0.2">
      <c r="A10" s="14">
        <v>4</v>
      </c>
      <c r="B10" s="194"/>
      <c r="C10" s="194"/>
      <c r="D10" s="246">
        <v>11425.62</v>
      </c>
      <c r="E10" s="193">
        <v>11425.62</v>
      </c>
      <c r="F10" s="190" t="s">
        <v>77</v>
      </c>
      <c r="G10" s="190" t="s">
        <v>77</v>
      </c>
      <c r="H10" s="189">
        <v>29748.89</v>
      </c>
      <c r="I10" s="191">
        <v>29748.89</v>
      </c>
      <c r="J10" s="195">
        <v>-1420.2</v>
      </c>
      <c r="L10" s="113">
        <v>31</v>
      </c>
      <c r="M10" s="113">
        <v>116</v>
      </c>
      <c r="N10" s="113">
        <v>207</v>
      </c>
    </row>
    <row r="11" spans="1:14" x14ac:dyDescent="0.2">
      <c r="A11" s="14">
        <v>5</v>
      </c>
      <c r="B11" s="186">
        <v>6462.68</v>
      </c>
      <c r="C11" s="186">
        <v>2789.77</v>
      </c>
      <c r="D11" s="187"/>
      <c r="E11" s="193">
        <v>9252.4500000000007</v>
      </c>
      <c r="F11" s="189">
        <v>27039.21</v>
      </c>
      <c r="G11" s="189">
        <v>7263.72</v>
      </c>
      <c r="H11" s="190" t="s">
        <v>77</v>
      </c>
      <c r="I11" s="191">
        <v>34302.93</v>
      </c>
      <c r="J11" s="195">
        <v>-1150.08</v>
      </c>
      <c r="L11" s="113">
        <v>27</v>
      </c>
      <c r="M11" s="113">
        <v>94</v>
      </c>
      <c r="N11" s="113">
        <v>212</v>
      </c>
    </row>
    <row r="12" spans="1:14" x14ac:dyDescent="0.2">
      <c r="A12" s="14">
        <v>6</v>
      </c>
      <c r="B12" s="187"/>
      <c r="C12" s="187"/>
      <c r="D12" s="196">
        <v>9609.4699999999993</v>
      </c>
      <c r="E12" s="193">
        <v>9609.4699999999993</v>
      </c>
      <c r="F12" s="190" t="s">
        <v>77</v>
      </c>
      <c r="G12" s="190" t="s">
        <v>77</v>
      </c>
      <c r="H12" s="189">
        <v>25020.18</v>
      </c>
      <c r="I12" s="191">
        <v>25020.18</v>
      </c>
      <c r="J12" s="195">
        <v>-1194.46</v>
      </c>
      <c r="L12" s="113">
        <v>13</v>
      </c>
      <c r="M12" s="113">
        <v>46</v>
      </c>
      <c r="N12" s="113">
        <v>143</v>
      </c>
    </row>
    <row r="13" spans="1:14" x14ac:dyDescent="0.2">
      <c r="A13" s="14">
        <v>7</v>
      </c>
      <c r="B13" s="196">
        <v>5950.52</v>
      </c>
      <c r="C13" s="196">
        <v>3328.55</v>
      </c>
      <c r="D13" s="187"/>
      <c r="E13" s="193">
        <v>9279.07</v>
      </c>
      <c r="F13" s="189">
        <v>24896.38</v>
      </c>
      <c r="G13" s="189">
        <v>8666.5499999999993</v>
      </c>
      <c r="H13" s="190" t="s">
        <v>77</v>
      </c>
      <c r="I13" s="191">
        <v>33562.93</v>
      </c>
      <c r="J13" s="195">
        <v>-1153.3900000000001</v>
      </c>
      <c r="L13" s="113">
        <v>11</v>
      </c>
      <c r="M13" s="113">
        <v>29</v>
      </c>
      <c r="N13" s="113">
        <v>95</v>
      </c>
    </row>
    <row r="14" spans="1:14" x14ac:dyDescent="0.2">
      <c r="A14" s="14">
        <v>8</v>
      </c>
      <c r="B14" s="196">
        <v>6301.97</v>
      </c>
      <c r="C14" s="196">
        <v>3429.27</v>
      </c>
      <c r="D14" s="187"/>
      <c r="E14" s="193">
        <v>9731.24</v>
      </c>
      <c r="F14" s="189">
        <v>26366.81</v>
      </c>
      <c r="G14" s="189">
        <v>8928.7900000000009</v>
      </c>
      <c r="H14" s="190" t="s">
        <v>77</v>
      </c>
      <c r="I14" s="191">
        <v>35295.599999999999</v>
      </c>
      <c r="J14" s="195">
        <v>-1209.5899999999999</v>
      </c>
      <c r="L14" s="113">
        <v>21</v>
      </c>
      <c r="M14" s="113">
        <v>75</v>
      </c>
      <c r="N14" s="113">
        <v>91</v>
      </c>
    </row>
    <row r="15" spans="1:14" x14ac:dyDescent="0.2">
      <c r="A15" s="14">
        <v>9</v>
      </c>
      <c r="B15" s="196">
        <v>6829.26</v>
      </c>
      <c r="C15" s="196">
        <v>3730.38</v>
      </c>
      <c r="D15" s="197"/>
      <c r="E15" s="193">
        <v>10559.64</v>
      </c>
      <c r="F15" s="189">
        <v>28572.94</v>
      </c>
      <c r="G15" s="189">
        <v>9712.7900000000009</v>
      </c>
      <c r="H15" s="190" t="s">
        <v>77</v>
      </c>
      <c r="I15" s="191">
        <v>38285.730000000003</v>
      </c>
      <c r="J15" s="195">
        <v>-1312.56</v>
      </c>
      <c r="L15" s="113">
        <v>25</v>
      </c>
      <c r="M15" s="113">
        <v>96</v>
      </c>
      <c r="N15" s="115">
        <v>173</v>
      </c>
    </row>
    <row r="16" spans="1:14" x14ac:dyDescent="0.2">
      <c r="A16" s="14">
        <v>10</v>
      </c>
      <c r="B16" s="187"/>
      <c r="C16" s="187"/>
      <c r="D16" s="196">
        <v>8885.32</v>
      </c>
      <c r="E16" s="193">
        <v>8885.32</v>
      </c>
      <c r="F16" s="190" t="s">
        <v>77</v>
      </c>
      <c r="G16" s="190" t="s">
        <v>77</v>
      </c>
      <c r="H16" s="189">
        <v>23134.71</v>
      </c>
      <c r="I16" s="191">
        <v>23134.71</v>
      </c>
      <c r="J16" s="195">
        <v>-1104.45</v>
      </c>
      <c r="L16" s="113">
        <v>22</v>
      </c>
      <c r="M16" s="113">
        <v>79</v>
      </c>
      <c r="N16" s="113">
        <v>181</v>
      </c>
    </row>
    <row r="17" spans="1:14" x14ac:dyDescent="0.2">
      <c r="A17" s="14">
        <v>11</v>
      </c>
      <c r="B17" s="196"/>
      <c r="C17" s="196"/>
      <c r="D17" s="197"/>
      <c r="E17" s="188"/>
      <c r="F17" s="189"/>
      <c r="G17" s="189"/>
      <c r="H17" s="190"/>
      <c r="I17" s="191"/>
      <c r="J17" s="192"/>
      <c r="L17" s="113">
        <v>25</v>
      </c>
      <c r="M17" s="113">
        <v>74</v>
      </c>
      <c r="N17" s="115">
        <v>195</v>
      </c>
    </row>
    <row r="18" spans="1:14" s="18" customFormat="1" x14ac:dyDescent="0.2">
      <c r="A18" s="14">
        <v>12</v>
      </c>
      <c r="B18" s="196"/>
      <c r="C18" s="196"/>
      <c r="D18" s="187"/>
      <c r="E18" s="188"/>
      <c r="F18" s="189"/>
      <c r="G18" s="189"/>
      <c r="H18" s="190"/>
      <c r="I18" s="191"/>
      <c r="J18" s="195"/>
      <c r="L18" s="113"/>
      <c r="M18" s="113"/>
      <c r="N18" s="113"/>
    </row>
    <row r="19" spans="1:14" s="18" customFormat="1" x14ac:dyDescent="0.2">
      <c r="A19" s="14">
        <v>13</v>
      </c>
      <c r="B19" s="194"/>
      <c r="C19" s="194"/>
      <c r="D19" s="196"/>
      <c r="E19" s="193"/>
      <c r="F19" s="190"/>
      <c r="G19" s="190"/>
      <c r="H19" s="189"/>
      <c r="I19" s="191"/>
      <c r="J19" s="195"/>
      <c r="L19" s="111"/>
      <c r="M19" s="111"/>
      <c r="N19" s="113"/>
    </row>
    <row r="20" spans="1:14" s="18" customFormat="1" x14ac:dyDescent="0.2">
      <c r="A20" s="14">
        <v>14</v>
      </c>
      <c r="B20" s="187"/>
      <c r="C20" s="187"/>
      <c r="D20" s="196"/>
      <c r="E20" s="193"/>
      <c r="F20" s="190"/>
      <c r="G20" s="190"/>
      <c r="H20" s="189"/>
      <c r="I20" s="191"/>
      <c r="J20" s="195"/>
      <c r="L20" s="113"/>
      <c r="M20" s="113"/>
      <c r="N20" s="113"/>
    </row>
    <row r="21" spans="1:14" s="18" customFormat="1" x14ac:dyDescent="0.2">
      <c r="A21" s="14">
        <v>15</v>
      </c>
      <c r="B21" s="196"/>
      <c r="C21" s="196"/>
      <c r="D21" s="187"/>
      <c r="E21" s="193"/>
      <c r="F21" s="189"/>
      <c r="G21" s="189"/>
      <c r="H21" s="190"/>
      <c r="I21" s="191"/>
      <c r="J21" s="195"/>
      <c r="L21" s="115"/>
      <c r="M21" s="115"/>
      <c r="N21" s="113"/>
    </row>
    <row r="22" spans="1:14" x14ac:dyDescent="0.2">
      <c r="A22" s="14">
        <v>16</v>
      </c>
      <c r="B22" s="213"/>
      <c r="C22" s="213"/>
      <c r="D22" s="197"/>
      <c r="E22" s="193"/>
      <c r="F22" s="189"/>
      <c r="G22" s="189"/>
      <c r="H22" s="190"/>
      <c r="I22" s="191"/>
      <c r="J22" s="192"/>
      <c r="L22" s="115"/>
      <c r="M22" s="115"/>
      <c r="N22" s="115"/>
    </row>
    <row r="23" spans="1:14" x14ac:dyDescent="0.2">
      <c r="A23" s="14">
        <v>17</v>
      </c>
      <c r="B23" s="214"/>
      <c r="C23" s="186"/>
      <c r="D23" s="197"/>
      <c r="E23" s="193"/>
      <c r="F23" s="189"/>
      <c r="G23" s="189"/>
      <c r="H23" s="190"/>
      <c r="I23" s="191"/>
      <c r="J23" s="192"/>
      <c r="L23" s="111"/>
      <c r="M23" s="111"/>
      <c r="N23" s="115"/>
    </row>
    <row r="24" spans="1:14" x14ac:dyDescent="0.2">
      <c r="A24" s="14">
        <v>18</v>
      </c>
      <c r="B24" s="186"/>
      <c r="C24" s="186"/>
      <c r="D24" s="215"/>
      <c r="E24" s="188"/>
      <c r="F24" s="189"/>
      <c r="G24" s="189"/>
      <c r="H24" s="190"/>
      <c r="I24" s="191"/>
      <c r="J24" s="192"/>
      <c r="L24" s="111"/>
      <c r="M24" s="111"/>
      <c r="N24" s="115"/>
    </row>
    <row r="25" spans="1:14" x14ac:dyDescent="0.2">
      <c r="A25" s="14">
        <v>19</v>
      </c>
      <c r="B25" s="196"/>
      <c r="C25" s="196"/>
      <c r="D25" s="187"/>
      <c r="E25" s="188"/>
      <c r="F25" s="189"/>
      <c r="G25" s="189"/>
      <c r="H25" s="190"/>
      <c r="I25" s="191"/>
      <c r="J25" s="195"/>
      <c r="L25" s="113"/>
      <c r="M25" s="113"/>
      <c r="N25" s="113"/>
    </row>
    <row r="26" spans="1:14" x14ac:dyDescent="0.2">
      <c r="A26" s="14">
        <v>20</v>
      </c>
      <c r="B26" s="187"/>
      <c r="C26" s="187"/>
      <c r="D26" s="213"/>
      <c r="E26" s="188"/>
      <c r="F26" s="190"/>
      <c r="G26" s="190"/>
      <c r="H26" s="189"/>
      <c r="I26" s="191"/>
      <c r="J26" s="195"/>
      <c r="L26" s="113"/>
      <c r="M26" s="113"/>
      <c r="N26" s="113"/>
    </row>
    <row r="27" spans="1:14" x14ac:dyDescent="0.2">
      <c r="A27" s="14">
        <v>21</v>
      </c>
      <c r="B27" s="159"/>
      <c r="C27" s="151"/>
      <c r="D27" s="151"/>
      <c r="E27" s="152"/>
      <c r="F27" s="153"/>
      <c r="G27" s="153"/>
      <c r="H27" s="153"/>
      <c r="I27" s="154"/>
      <c r="J27" s="155"/>
      <c r="K27" s="1" t="s">
        <v>28</v>
      </c>
      <c r="L27" s="115"/>
      <c r="M27" s="115"/>
      <c r="N27" s="115"/>
    </row>
    <row r="28" spans="1:14" x14ac:dyDescent="0.2">
      <c r="A28" s="14">
        <v>22</v>
      </c>
      <c r="B28" s="160"/>
      <c r="C28" s="151"/>
      <c r="D28" s="150"/>
      <c r="E28" s="152"/>
      <c r="F28" s="153"/>
      <c r="G28" s="153"/>
      <c r="H28" s="153"/>
      <c r="I28" s="154"/>
      <c r="J28" s="155"/>
      <c r="L28" s="111"/>
      <c r="M28" s="115"/>
      <c r="N28" s="113"/>
    </row>
    <row r="29" spans="1:14" x14ac:dyDescent="0.2">
      <c r="A29" s="14">
        <v>23</v>
      </c>
      <c r="B29" s="150"/>
      <c r="C29" s="150"/>
      <c r="D29" s="159"/>
      <c r="E29" s="161"/>
      <c r="F29" s="153"/>
      <c r="G29" s="153"/>
      <c r="H29" s="153"/>
      <c r="I29" s="154"/>
      <c r="J29" s="155"/>
      <c r="L29" s="113"/>
      <c r="M29" s="113"/>
      <c r="N29" s="115"/>
    </row>
    <row r="30" spans="1:14" x14ac:dyDescent="0.2">
      <c r="A30" s="14">
        <v>24</v>
      </c>
      <c r="B30" s="150"/>
      <c r="C30" s="150"/>
      <c r="D30" s="151"/>
      <c r="E30" s="161"/>
      <c r="F30" s="153"/>
      <c r="G30" s="153"/>
      <c r="H30" s="153"/>
      <c r="I30" s="154"/>
      <c r="J30" s="155"/>
      <c r="L30" s="113"/>
      <c r="M30" s="113"/>
      <c r="N30" s="115"/>
    </row>
    <row r="31" spans="1:14" x14ac:dyDescent="0.2">
      <c r="A31" s="14">
        <v>25</v>
      </c>
      <c r="B31" s="150"/>
      <c r="C31" s="150"/>
      <c r="D31" s="151"/>
      <c r="E31" s="152"/>
      <c r="F31" s="153"/>
      <c r="G31" s="153"/>
      <c r="H31" s="153"/>
      <c r="I31" s="154"/>
      <c r="J31" s="155"/>
      <c r="L31" s="113"/>
      <c r="M31" s="113"/>
      <c r="N31" s="115"/>
    </row>
    <row r="32" spans="1:14" x14ac:dyDescent="0.2">
      <c r="A32" s="14">
        <v>26</v>
      </c>
      <c r="B32" s="166"/>
      <c r="C32" s="166"/>
      <c r="D32" s="167"/>
      <c r="E32" s="152"/>
      <c r="F32" s="153"/>
      <c r="G32" s="153"/>
      <c r="H32" s="153"/>
      <c r="I32" s="154"/>
      <c r="J32" s="155"/>
      <c r="L32" s="113"/>
      <c r="M32" s="113"/>
      <c r="N32" s="115"/>
    </row>
    <row r="33" spans="1:14" x14ac:dyDescent="0.2">
      <c r="A33" s="14">
        <v>27</v>
      </c>
      <c r="B33" s="166"/>
      <c r="C33" s="166"/>
      <c r="D33" s="167"/>
      <c r="E33" s="161"/>
      <c r="F33" s="153"/>
      <c r="G33" s="153"/>
      <c r="H33" s="153"/>
      <c r="I33" s="154"/>
      <c r="J33" s="155"/>
      <c r="L33" s="113"/>
      <c r="M33" s="113"/>
      <c r="N33" s="115"/>
    </row>
    <row r="34" spans="1:14" x14ac:dyDescent="0.2">
      <c r="A34" s="14">
        <v>28</v>
      </c>
      <c r="B34" s="166"/>
      <c r="C34" s="166"/>
      <c r="D34" s="167"/>
      <c r="E34" s="152"/>
      <c r="F34" s="153"/>
      <c r="G34" s="153"/>
      <c r="H34" s="153"/>
      <c r="I34" s="154"/>
      <c r="J34" s="155"/>
      <c r="K34" s="142"/>
      <c r="L34" s="139"/>
      <c r="M34" s="113"/>
      <c r="N34" s="115"/>
    </row>
    <row r="35" spans="1:14" x14ac:dyDescent="0.2">
      <c r="A35" s="14">
        <v>29</v>
      </c>
      <c r="B35" s="166"/>
      <c r="C35" s="166"/>
      <c r="D35" s="167"/>
      <c r="E35" s="152"/>
      <c r="F35" s="153"/>
      <c r="G35" s="153"/>
      <c r="H35" s="153"/>
      <c r="I35" s="154"/>
      <c r="J35" s="155"/>
      <c r="K35" s="142"/>
      <c r="L35" s="139"/>
      <c r="M35" s="113"/>
      <c r="N35" s="115"/>
    </row>
    <row r="36" spans="1:14" x14ac:dyDescent="0.2">
      <c r="A36" s="14">
        <v>30</v>
      </c>
      <c r="B36" s="166"/>
      <c r="C36" s="166"/>
      <c r="D36" s="167"/>
      <c r="E36" s="152"/>
      <c r="F36" s="153"/>
      <c r="G36" s="153"/>
      <c r="H36" s="153"/>
      <c r="I36" s="154"/>
      <c r="J36" s="155"/>
      <c r="K36" s="142"/>
      <c r="L36" s="139"/>
      <c r="M36" s="113"/>
      <c r="N36" s="115"/>
    </row>
    <row r="37" spans="1:14" hidden="1" x14ac:dyDescent="0.2">
      <c r="A37" s="14">
        <v>30</v>
      </c>
      <c r="B37" s="19"/>
      <c r="C37" s="15"/>
      <c r="D37" s="17"/>
      <c r="E37" s="11"/>
      <c r="F37" s="12"/>
      <c r="G37" s="12"/>
      <c r="H37" s="12"/>
      <c r="I37" s="16"/>
      <c r="J37" s="13"/>
      <c r="K37" s="142"/>
      <c r="L37" s="140"/>
      <c r="M37" s="116"/>
      <c r="N37" s="117"/>
    </row>
    <row r="38" spans="1:14" x14ac:dyDescent="0.2">
      <c r="A38" s="14">
        <v>31</v>
      </c>
      <c r="B38" s="19"/>
      <c r="C38" s="15"/>
      <c r="D38" s="17"/>
      <c r="E38" s="11"/>
      <c r="F38" s="118"/>
      <c r="G38" s="118"/>
      <c r="H38" s="118"/>
      <c r="I38" s="16"/>
      <c r="J38" s="119"/>
      <c r="K38" s="142"/>
      <c r="L38" s="141"/>
      <c r="M38" s="113"/>
      <c r="N38" s="115"/>
    </row>
    <row r="39" spans="1:14" x14ac:dyDescent="0.2">
      <c r="A39" s="131"/>
      <c r="B39" s="132"/>
      <c r="C39" s="133"/>
      <c r="D39" s="134"/>
      <c r="E39" s="143"/>
      <c r="F39" s="135"/>
      <c r="G39" s="135"/>
      <c r="H39" s="135"/>
      <c r="I39" s="136"/>
      <c r="J39" s="137"/>
      <c r="K39" s="138"/>
      <c r="L39" s="132"/>
      <c r="M39" s="133"/>
      <c r="N39" s="134"/>
    </row>
    <row r="40" spans="1:14" x14ac:dyDescent="0.2">
      <c r="A40" s="144" t="s">
        <v>17</v>
      </c>
      <c r="B40" s="145">
        <f t="shared" ref="B40:J40" si="0">SUM(B7:B37)</f>
        <v>39560.340000000004</v>
      </c>
      <c r="C40" s="145">
        <f t="shared" si="0"/>
        <v>21623.99</v>
      </c>
      <c r="D40" s="146">
        <f t="shared" si="0"/>
        <v>41316.07</v>
      </c>
      <c r="E40" s="145">
        <f t="shared" si="0"/>
        <v>102500.40000000002</v>
      </c>
      <c r="F40" s="145">
        <f>SUM(F7:F37)</f>
        <v>165516.51</v>
      </c>
      <c r="G40" s="145">
        <f>SUM(G7:G37)</f>
        <v>56302.380000000005</v>
      </c>
      <c r="H40" s="145">
        <f>SUM(H7:H37)</f>
        <v>107574.66</v>
      </c>
      <c r="I40" s="145">
        <f>SUM(I7:I37)</f>
        <v>329393.55</v>
      </c>
      <c r="J40" s="145">
        <f t="shared" si="0"/>
        <v>-12740.8</v>
      </c>
    </row>
    <row r="41" spans="1:14" x14ac:dyDescent="0.2">
      <c r="A41" s="20"/>
      <c r="B41" s="20"/>
      <c r="C41" s="20"/>
      <c r="D41" s="20"/>
      <c r="E41" s="21"/>
      <c r="F41" s="20"/>
      <c r="G41" s="22" t="s">
        <v>29</v>
      </c>
      <c r="H41" s="22"/>
      <c r="I41" s="23">
        <f>A43*132.93</f>
        <v>0</v>
      </c>
      <c r="J41" s="24"/>
    </row>
    <row r="42" spans="1:14" x14ac:dyDescent="0.2">
      <c r="A42" s="25" t="s">
        <v>30</v>
      </c>
      <c r="B42" s="25"/>
      <c r="C42" s="224" t="s">
        <v>31</v>
      </c>
      <c r="D42" s="225"/>
      <c r="E42" s="26" t="s">
        <v>32</v>
      </c>
      <c r="F42" s="20"/>
      <c r="G42" s="22" t="s">
        <v>33</v>
      </c>
      <c r="H42" s="22"/>
      <c r="I42" s="27">
        <v>312.24</v>
      </c>
      <c r="J42" s="21"/>
    </row>
    <row r="43" spans="1:14" x14ac:dyDescent="0.2">
      <c r="A43" s="226"/>
      <c r="B43" s="227"/>
      <c r="C43" s="228"/>
      <c r="D43" s="229"/>
      <c r="E43" s="28">
        <v>18.3</v>
      </c>
      <c r="F43" s="20"/>
      <c r="G43" s="22" t="s">
        <v>34</v>
      </c>
      <c r="H43" s="22"/>
      <c r="I43" s="27">
        <f>SUM(I40:I42)</f>
        <v>329705.78999999998</v>
      </c>
      <c r="J43" s="21"/>
    </row>
    <row r="44" spans="1:14" x14ac:dyDescent="0.2">
      <c r="A44" s="22"/>
      <c r="B44" s="22"/>
      <c r="C44" s="22"/>
      <c r="D44" s="29"/>
      <c r="E44" s="24"/>
      <c r="F44" s="24"/>
      <c r="G44" s="22" t="s">
        <v>35</v>
      </c>
      <c r="H44" s="22"/>
      <c r="I44" s="23">
        <f>J40</f>
        <v>-12740.8</v>
      </c>
      <c r="J44" s="30"/>
    </row>
    <row r="45" spans="1:14" x14ac:dyDescent="0.2">
      <c r="A45" s="2"/>
      <c r="B45" s="2"/>
      <c r="C45" s="2"/>
      <c r="D45" s="2"/>
      <c r="E45" s="31"/>
      <c r="F45" s="20"/>
      <c r="G45" s="22" t="s">
        <v>36</v>
      </c>
      <c r="H45" s="22"/>
      <c r="I45" s="27">
        <f>SUM(I43:I44)</f>
        <v>316964.99</v>
      </c>
      <c r="J45" s="21"/>
    </row>
    <row r="46" spans="1:14" x14ac:dyDescent="0.2">
      <c r="A46" s="20"/>
      <c r="B46" s="20"/>
      <c r="C46" s="20"/>
      <c r="D46" s="20"/>
      <c r="E46" s="21"/>
      <c r="F46" s="20"/>
      <c r="G46" s="32" t="s">
        <v>37</v>
      </c>
      <c r="H46" s="22"/>
      <c r="I46" s="27">
        <f>I45*0.07</f>
        <v>22187.549300000002</v>
      </c>
      <c r="J46" s="21"/>
    </row>
    <row r="47" spans="1:14" x14ac:dyDescent="0.2">
      <c r="A47" s="20"/>
      <c r="B47" s="20"/>
      <c r="C47" s="20"/>
      <c r="D47" s="20"/>
      <c r="E47" s="21"/>
      <c r="F47" s="20"/>
      <c r="G47" s="22" t="s">
        <v>17</v>
      </c>
      <c r="H47" s="22"/>
      <c r="I47" s="33">
        <f>SUM(I45:I46)</f>
        <v>339152.5393</v>
      </c>
      <c r="J47" s="21"/>
    </row>
    <row r="49" spans="3:9" x14ac:dyDescent="0.2">
      <c r="C49" s="34" t="s">
        <v>38</v>
      </c>
      <c r="D49" s="35" t="s">
        <v>39</v>
      </c>
      <c r="E49" s="35"/>
      <c r="F49" s="35"/>
      <c r="G49" s="35"/>
      <c r="H49" s="35"/>
      <c r="I49" s="35"/>
    </row>
    <row r="50" spans="3:9" x14ac:dyDescent="0.2">
      <c r="C50" s="1" t="s">
        <v>28</v>
      </c>
    </row>
  </sheetData>
  <mergeCells count="14">
    <mergeCell ref="C42:D42"/>
    <mergeCell ref="A43:B43"/>
    <mergeCell ref="C43:D43"/>
    <mergeCell ref="E4:E5"/>
    <mergeCell ref="A3:B3"/>
    <mergeCell ref="A4:A6"/>
    <mergeCell ref="B4:B6"/>
    <mergeCell ref="C4:C6"/>
    <mergeCell ref="D4:D6"/>
    <mergeCell ref="L4:L6"/>
    <mergeCell ref="M4:M6"/>
    <mergeCell ref="N4:N6"/>
    <mergeCell ref="I4:I6"/>
    <mergeCell ref="J4:J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Z56"/>
  <sheetViews>
    <sheetView topLeftCell="A6" zoomScale="70" zoomScaleNormal="70" workbookViewId="0">
      <pane xSplit="1" ySplit="3" topLeftCell="B9" activePane="bottomRight" state="frozen"/>
      <selection activeCell="A6" sqref="A6"/>
      <selection pane="topRight" activeCell="B6" sqref="B6"/>
      <selection pane="bottomLeft" activeCell="A9" sqref="A9"/>
      <selection pane="bottomRight" activeCell="BB20" sqref="BB20"/>
    </sheetView>
  </sheetViews>
  <sheetFormatPr defaultColWidth="9.85546875" defaultRowHeight="15" x14ac:dyDescent="0.25"/>
  <cols>
    <col min="1" max="1" width="5.85546875" style="36" customWidth="1"/>
    <col min="2" max="2" width="9.140625" style="36" customWidth="1"/>
    <col min="3" max="3" width="10" style="36" customWidth="1"/>
    <col min="4" max="4" width="9.140625" style="36" customWidth="1"/>
    <col min="5" max="5" width="10" style="36" customWidth="1"/>
    <col min="6" max="27" width="9.140625" style="36" customWidth="1"/>
    <col min="28" max="28" width="12.28515625" style="36" customWidth="1"/>
    <col min="29" max="30" width="9.140625" style="36" customWidth="1"/>
    <col min="31" max="32" width="7.7109375" style="36" hidden="1" customWidth="1"/>
    <col min="33" max="33" width="12.42578125" style="36" customWidth="1"/>
    <col min="34" max="36" width="9.140625" style="36" customWidth="1"/>
    <col min="37" max="37" width="10.42578125" style="36" customWidth="1"/>
    <col min="38" max="48" width="9.140625" style="36" customWidth="1"/>
    <col min="49" max="49" width="12.42578125" style="36" customWidth="1"/>
    <col min="50" max="50" width="9.140625" style="37" hidden="1" customWidth="1"/>
    <col min="51" max="51" width="0" hidden="1" customWidth="1"/>
    <col min="53" max="16384" width="9.85546875" style="37"/>
  </cols>
  <sheetData>
    <row r="1" spans="1:51" ht="15" hidden="1" customHeight="1" x14ac:dyDescent="0.25"/>
    <row r="2" spans="1:51" ht="15" hidden="1" customHeight="1" x14ac:dyDescent="0.25">
      <c r="A2" s="36" t="s">
        <v>40</v>
      </c>
      <c r="AS2" s="38"/>
      <c r="AT2" s="39"/>
      <c r="AU2" s="38"/>
    </row>
    <row r="3" spans="1:51" ht="15" hidden="1" customHeight="1" x14ac:dyDescent="0.25">
      <c r="D3" s="40" t="s">
        <v>41</v>
      </c>
      <c r="E3" s="41"/>
      <c r="F3" s="37"/>
      <c r="AS3" s="38"/>
      <c r="AT3" s="39"/>
      <c r="AU3" s="38"/>
    </row>
    <row r="4" spans="1:51" ht="15" hidden="1" customHeight="1" x14ac:dyDescent="0.25">
      <c r="D4" s="40" t="s">
        <v>42</v>
      </c>
      <c r="E4" s="41"/>
      <c r="F4" s="37"/>
      <c r="I4" s="242" t="s">
        <v>43</v>
      </c>
      <c r="J4" s="242"/>
      <c r="K4" s="242"/>
      <c r="L4" s="242"/>
      <c r="M4" s="242"/>
      <c r="N4" s="242"/>
      <c r="O4" s="242"/>
      <c r="P4" s="242"/>
      <c r="Q4" s="242"/>
      <c r="R4" s="242"/>
    </row>
    <row r="5" spans="1:51" ht="15" hidden="1" customHeight="1" x14ac:dyDescent="0.25">
      <c r="G5" s="42"/>
      <c r="H5" s="42"/>
      <c r="I5" s="42"/>
      <c r="J5" s="42"/>
      <c r="K5" s="42"/>
      <c r="L5" s="42"/>
      <c r="M5" s="42"/>
      <c r="N5" s="42"/>
      <c r="AK5" s="38"/>
      <c r="AL5" s="38"/>
    </row>
    <row r="6" spans="1:51" ht="28.5" customHeight="1" thickBot="1" x14ac:dyDescent="0.35">
      <c r="D6" s="243">
        <v>44287</v>
      </c>
      <c r="E6" s="243"/>
      <c r="F6" s="243"/>
      <c r="G6" s="43"/>
      <c r="H6" s="43"/>
      <c r="I6" s="43"/>
      <c r="J6" s="43"/>
      <c r="K6" s="44"/>
      <c r="L6" s="43"/>
      <c r="M6" s="45"/>
      <c r="N6" s="45"/>
      <c r="O6" s="46"/>
      <c r="P6" s="47"/>
      <c r="Q6" s="46"/>
      <c r="R6" s="47"/>
      <c r="S6" s="46"/>
      <c r="T6" s="47"/>
      <c r="U6" s="46"/>
      <c r="V6" s="47"/>
      <c r="W6" s="46"/>
      <c r="X6" s="47"/>
      <c r="Y6" s="46"/>
      <c r="Z6" s="47"/>
      <c r="AA6" s="46"/>
      <c r="AB6" s="46"/>
      <c r="AC6" s="47"/>
      <c r="AD6" s="46"/>
      <c r="AE6" s="47"/>
      <c r="AF6" s="46"/>
      <c r="AG6" s="48" t="s">
        <v>44</v>
      </c>
      <c r="AI6" s="46"/>
      <c r="AJ6" s="46"/>
      <c r="AK6" s="49"/>
      <c r="AL6" s="49"/>
      <c r="AU6" s="50" t="s">
        <v>45</v>
      </c>
      <c r="AV6" s="46"/>
    </row>
    <row r="7" spans="1:51" s="74" customFormat="1" ht="81.75" customHeight="1" thickBot="1" x14ac:dyDescent="0.3">
      <c r="A7" s="51" t="s">
        <v>31</v>
      </c>
      <c r="B7" s="52" t="s">
        <v>46</v>
      </c>
      <c r="C7" s="52" t="s">
        <v>47</v>
      </c>
      <c r="D7" s="53" t="s">
        <v>48</v>
      </c>
      <c r="E7" s="53" t="s">
        <v>47</v>
      </c>
      <c r="F7" s="54" t="s">
        <v>49</v>
      </c>
      <c r="G7" s="54" t="s">
        <v>47</v>
      </c>
      <c r="H7" s="55" t="s">
        <v>50</v>
      </c>
      <c r="I7" s="55" t="s">
        <v>47</v>
      </c>
      <c r="J7" s="56" t="s">
        <v>51</v>
      </c>
      <c r="K7" s="56" t="s">
        <v>47</v>
      </c>
      <c r="L7" s="57" t="s">
        <v>52</v>
      </c>
      <c r="M7" s="57" t="s">
        <v>47</v>
      </c>
      <c r="N7" s="58" t="s">
        <v>53</v>
      </c>
      <c r="O7" s="58" t="s">
        <v>47</v>
      </c>
      <c r="P7" s="59" t="s">
        <v>54</v>
      </c>
      <c r="Q7" s="59" t="s">
        <v>47</v>
      </c>
      <c r="R7" s="60" t="s">
        <v>55</v>
      </c>
      <c r="S7" s="60" t="s">
        <v>47</v>
      </c>
      <c r="T7" s="61" t="s">
        <v>56</v>
      </c>
      <c r="U7" s="61" t="s">
        <v>47</v>
      </c>
      <c r="V7" s="62" t="s">
        <v>57</v>
      </c>
      <c r="W7" s="62" t="s">
        <v>47</v>
      </c>
      <c r="X7" s="59" t="s">
        <v>58</v>
      </c>
      <c r="Y7" s="59" t="s">
        <v>47</v>
      </c>
      <c r="Z7" s="63" t="s">
        <v>59</v>
      </c>
      <c r="AA7" s="64" t="s">
        <v>47</v>
      </c>
      <c r="AB7" s="65" t="s">
        <v>60</v>
      </c>
      <c r="AC7" s="52" t="s">
        <v>61</v>
      </c>
      <c r="AD7" s="52" t="s">
        <v>47</v>
      </c>
      <c r="AE7" s="66" t="s">
        <v>62</v>
      </c>
      <c r="AF7" s="66" t="s">
        <v>47</v>
      </c>
      <c r="AG7" s="67" t="s">
        <v>63</v>
      </c>
      <c r="AH7" s="68" t="s">
        <v>47</v>
      </c>
      <c r="AI7" s="69" t="s">
        <v>64</v>
      </c>
      <c r="AJ7" s="69" t="s">
        <v>47</v>
      </c>
      <c r="AK7" s="51" t="s">
        <v>65</v>
      </c>
      <c r="AL7" s="51" t="s">
        <v>47</v>
      </c>
      <c r="AM7" s="70" t="s">
        <v>66</v>
      </c>
      <c r="AN7" s="70" t="s">
        <v>47</v>
      </c>
      <c r="AO7" s="55" t="s">
        <v>67</v>
      </c>
      <c r="AP7" s="55" t="s">
        <v>47</v>
      </c>
      <c r="AQ7" s="59" t="s">
        <v>68</v>
      </c>
      <c r="AR7" s="59" t="s">
        <v>47</v>
      </c>
      <c r="AS7" s="71" t="s">
        <v>69</v>
      </c>
      <c r="AT7" s="71" t="s">
        <v>47</v>
      </c>
      <c r="AU7" s="53" t="s">
        <v>70</v>
      </c>
      <c r="AV7" s="53" t="s">
        <v>47</v>
      </c>
      <c r="AW7" s="72" t="s">
        <v>71</v>
      </c>
      <c r="AX7" s="73" t="s">
        <v>72</v>
      </c>
    </row>
    <row r="8" spans="1:51" s="77" customFormat="1" ht="15.75" customHeight="1" thickBot="1" x14ac:dyDescent="0.3">
      <c r="A8" s="75">
        <v>31</v>
      </c>
      <c r="B8" s="198">
        <v>27187</v>
      </c>
      <c r="C8" s="198"/>
      <c r="D8" s="198">
        <v>12123</v>
      </c>
      <c r="E8" s="198"/>
      <c r="F8" s="198">
        <v>31668</v>
      </c>
      <c r="G8" s="198"/>
      <c r="H8" s="198">
        <v>24956</v>
      </c>
      <c r="I8" s="198"/>
      <c r="J8" s="198">
        <v>21033</v>
      </c>
      <c r="K8" s="198"/>
      <c r="L8" s="198">
        <v>15208</v>
      </c>
      <c r="M8" s="198"/>
      <c r="N8" s="198">
        <v>13867</v>
      </c>
      <c r="O8" s="198"/>
      <c r="P8" s="198">
        <v>20634</v>
      </c>
      <c r="Q8" s="198"/>
      <c r="R8" s="198">
        <v>24854</v>
      </c>
      <c r="S8" s="198"/>
      <c r="T8" s="198">
        <v>761</v>
      </c>
      <c r="U8" s="198"/>
      <c r="V8" s="198">
        <v>3182</v>
      </c>
      <c r="W8" s="198"/>
      <c r="X8" s="198">
        <v>30222</v>
      </c>
      <c r="Y8" s="198"/>
      <c r="Z8" s="198">
        <v>12842</v>
      </c>
      <c r="AA8" s="198"/>
      <c r="AB8" s="198">
        <v>38</v>
      </c>
      <c r="AC8" s="198">
        <v>11403</v>
      </c>
      <c r="AD8" s="198"/>
      <c r="AE8" s="198">
        <v>4000</v>
      </c>
      <c r="AF8" s="198"/>
      <c r="AG8" s="198">
        <v>4000</v>
      </c>
      <c r="AH8" s="198"/>
      <c r="AI8" s="198">
        <v>37450</v>
      </c>
      <c r="AJ8" s="198"/>
      <c r="AK8" s="198">
        <v>4408</v>
      </c>
      <c r="AL8" s="198"/>
      <c r="AM8" s="198">
        <v>1102</v>
      </c>
      <c r="AN8" s="198"/>
      <c r="AO8" s="198">
        <v>1450</v>
      </c>
      <c r="AP8" s="198"/>
      <c r="AQ8" s="198">
        <v>514</v>
      </c>
      <c r="AR8" s="198"/>
      <c r="AS8" s="198">
        <v>1356</v>
      </c>
      <c r="AT8" s="198"/>
      <c r="AU8" s="198">
        <v>8672</v>
      </c>
      <c r="AV8" s="198"/>
      <c r="AW8" s="209">
        <v>99</v>
      </c>
      <c r="AX8" s="76"/>
    </row>
    <row r="9" spans="1:51" s="85" customFormat="1" ht="15.75" customHeight="1" x14ac:dyDescent="0.2">
      <c r="A9" s="78">
        <v>1</v>
      </c>
      <c r="B9" s="199">
        <v>27192</v>
      </c>
      <c r="C9" s="200">
        <v>5</v>
      </c>
      <c r="D9" s="199">
        <v>12125</v>
      </c>
      <c r="E9" s="200">
        <v>2</v>
      </c>
      <c r="F9" s="199">
        <v>31672</v>
      </c>
      <c r="G9" s="200">
        <v>4</v>
      </c>
      <c r="H9" s="201">
        <v>24966</v>
      </c>
      <c r="I9" s="200">
        <v>10</v>
      </c>
      <c r="J9" s="202">
        <v>21035</v>
      </c>
      <c r="K9" s="200">
        <v>2</v>
      </c>
      <c r="L9" s="201">
        <v>15214</v>
      </c>
      <c r="M9" s="200">
        <v>6</v>
      </c>
      <c r="N9" s="202">
        <v>13876</v>
      </c>
      <c r="O9" s="200">
        <v>9</v>
      </c>
      <c r="P9" s="202">
        <v>20636</v>
      </c>
      <c r="Q9" s="200">
        <v>2</v>
      </c>
      <c r="R9" s="202">
        <v>24863</v>
      </c>
      <c r="S9" s="200">
        <v>9</v>
      </c>
      <c r="T9" s="202">
        <v>765</v>
      </c>
      <c r="U9" s="200">
        <v>4</v>
      </c>
      <c r="V9" s="202">
        <v>3183</v>
      </c>
      <c r="W9" s="200">
        <v>1</v>
      </c>
      <c r="X9" s="202">
        <v>30227</v>
      </c>
      <c r="Y9" s="200">
        <v>5</v>
      </c>
      <c r="Z9" s="202">
        <v>12842</v>
      </c>
      <c r="AA9" s="200" t="s">
        <v>77</v>
      </c>
      <c r="AB9" s="200">
        <v>48</v>
      </c>
      <c r="AC9" s="201">
        <v>11422</v>
      </c>
      <c r="AD9" s="247">
        <v>19</v>
      </c>
      <c r="AE9" s="205">
        <v>4010</v>
      </c>
      <c r="AF9" s="203">
        <v>10</v>
      </c>
      <c r="AG9" s="205">
        <v>4010</v>
      </c>
      <c r="AH9" s="203">
        <v>10</v>
      </c>
      <c r="AI9" s="201">
        <v>37452</v>
      </c>
      <c r="AJ9" s="200">
        <v>2</v>
      </c>
      <c r="AK9" s="202">
        <v>4409</v>
      </c>
      <c r="AL9" s="200">
        <v>1</v>
      </c>
      <c r="AM9" s="210">
        <v>1102</v>
      </c>
      <c r="AN9" s="200" t="s">
        <v>77</v>
      </c>
      <c r="AO9" s="202">
        <v>1450</v>
      </c>
      <c r="AP9" s="200" t="s">
        <v>77</v>
      </c>
      <c r="AQ9" s="202">
        <v>514</v>
      </c>
      <c r="AR9" s="200" t="s">
        <v>77</v>
      </c>
      <c r="AS9" s="210">
        <v>1357</v>
      </c>
      <c r="AT9" s="200">
        <v>1</v>
      </c>
      <c r="AU9" s="201">
        <v>8683</v>
      </c>
      <c r="AV9" s="200">
        <v>11</v>
      </c>
      <c r="AW9" s="211">
        <v>103</v>
      </c>
      <c r="AX9" s="83"/>
      <c r="AY9" s="84"/>
    </row>
    <row r="10" spans="1:51" s="85" customFormat="1" ht="15.75" customHeight="1" x14ac:dyDescent="0.2">
      <c r="A10" s="78">
        <v>2</v>
      </c>
      <c r="B10" s="199">
        <v>27200</v>
      </c>
      <c r="C10" s="203">
        <v>8</v>
      </c>
      <c r="D10" s="158">
        <v>12129</v>
      </c>
      <c r="E10" s="203">
        <v>4</v>
      </c>
      <c r="F10" s="158">
        <v>31680</v>
      </c>
      <c r="G10" s="203">
        <v>8</v>
      </c>
      <c r="H10" s="158">
        <v>24978</v>
      </c>
      <c r="I10" s="203">
        <v>12</v>
      </c>
      <c r="J10" s="204">
        <v>21040</v>
      </c>
      <c r="K10" s="203">
        <v>5</v>
      </c>
      <c r="L10" s="158">
        <v>15219</v>
      </c>
      <c r="M10" s="203">
        <v>5</v>
      </c>
      <c r="N10" s="204">
        <v>13879</v>
      </c>
      <c r="O10" s="203">
        <v>3</v>
      </c>
      <c r="P10" s="204">
        <v>20643</v>
      </c>
      <c r="Q10" s="203">
        <v>7</v>
      </c>
      <c r="R10" s="204">
        <v>24869</v>
      </c>
      <c r="S10" s="203">
        <v>6</v>
      </c>
      <c r="T10" s="204">
        <v>770</v>
      </c>
      <c r="U10" s="203">
        <v>5</v>
      </c>
      <c r="V10" s="204">
        <v>3185</v>
      </c>
      <c r="W10" s="203">
        <v>2</v>
      </c>
      <c r="X10" s="204">
        <v>30231</v>
      </c>
      <c r="Y10" s="203">
        <v>4</v>
      </c>
      <c r="Z10" s="204">
        <v>12842</v>
      </c>
      <c r="AA10" s="203" t="s">
        <v>77</v>
      </c>
      <c r="AB10" s="203">
        <v>49</v>
      </c>
      <c r="AC10" s="158">
        <v>11439</v>
      </c>
      <c r="AD10" s="248">
        <v>17</v>
      </c>
      <c r="AE10" s="206">
        <v>4020</v>
      </c>
      <c r="AF10" s="203">
        <v>10</v>
      </c>
      <c r="AG10" s="206">
        <v>4020</v>
      </c>
      <c r="AH10" s="203">
        <v>10</v>
      </c>
      <c r="AI10" s="158">
        <v>37457</v>
      </c>
      <c r="AJ10" s="203">
        <v>5</v>
      </c>
      <c r="AK10" s="204">
        <v>4409</v>
      </c>
      <c r="AL10" s="203" t="s">
        <v>77</v>
      </c>
      <c r="AM10" s="204">
        <v>1103</v>
      </c>
      <c r="AN10" s="203">
        <v>1</v>
      </c>
      <c r="AO10" s="204">
        <v>1450</v>
      </c>
      <c r="AP10" s="203" t="s">
        <v>77</v>
      </c>
      <c r="AQ10" s="204">
        <v>514</v>
      </c>
      <c r="AR10" s="203" t="s">
        <v>77</v>
      </c>
      <c r="AS10" s="204">
        <v>1357</v>
      </c>
      <c r="AT10" s="203" t="s">
        <v>77</v>
      </c>
      <c r="AU10" s="158">
        <v>8694</v>
      </c>
      <c r="AV10" s="203">
        <v>11</v>
      </c>
      <c r="AW10" s="212">
        <v>113</v>
      </c>
      <c r="AX10" s="83"/>
      <c r="AY10" s="84"/>
    </row>
    <row r="11" spans="1:51" s="85" customFormat="1" ht="15.75" customHeight="1" x14ac:dyDescent="0.2">
      <c r="A11" s="78">
        <v>3</v>
      </c>
      <c r="B11" s="158">
        <v>27209</v>
      </c>
      <c r="C11" s="203">
        <v>9</v>
      </c>
      <c r="D11" s="158">
        <v>12132</v>
      </c>
      <c r="E11" s="203">
        <v>3</v>
      </c>
      <c r="F11" s="158">
        <v>31688</v>
      </c>
      <c r="G11" s="203">
        <v>8</v>
      </c>
      <c r="H11" s="158">
        <v>24990</v>
      </c>
      <c r="I11" s="203">
        <v>12</v>
      </c>
      <c r="J11" s="204">
        <v>21043</v>
      </c>
      <c r="K11" s="203">
        <v>3</v>
      </c>
      <c r="L11" s="158">
        <v>15223</v>
      </c>
      <c r="M11" s="203">
        <v>4</v>
      </c>
      <c r="N11" s="204">
        <v>13885</v>
      </c>
      <c r="O11" s="203">
        <v>6</v>
      </c>
      <c r="P11" s="204">
        <v>20647</v>
      </c>
      <c r="Q11" s="203">
        <v>4</v>
      </c>
      <c r="R11" s="204">
        <v>24872</v>
      </c>
      <c r="S11" s="203">
        <v>3</v>
      </c>
      <c r="T11" s="204">
        <v>777</v>
      </c>
      <c r="U11" s="203">
        <v>7</v>
      </c>
      <c r="V11" s="204">
        <v>3185</v>
      </c>
      <c r="W11" s="203" t="s">
        <v>77</v>
      </c>
      <c r="X11" s="204">
        <v>30234</v>
      </c>
      <c r="Y11" s="203">
        <v>3</v>
      </c>
      <c r="Z11" s="204">
        <v>12843</v>
      </c>
      <c r="AA11" s="203">
        <v>1</v>
      </c>
      <c r="AB11" s="203">
        <v>43</v>
      </c>
      <c r="AC11" s="158">
        <v>11456</v>
      </c>
      <c r="AD11" s="248">
        <v>17</v>
      </c>
      <c r="AE11" s="206">
        <v>4030</v>
      </c>
      <c r="AF11" s="203">
        <v>10</v>
      </c>
      <c r="AG11" s="206">
        <v>4030</v>
      </c>
      <c r="AH11" s="203">
        <v>10</v>
      </c>
      <c r="AI11" s="158">
        <v>37464</v>
      </c>
      <c r="AJ11" s="203">
        <v>7</v>
      </c>
      <c r="AK11" s="204">
        <v>4409</v>
      </c>
      <c r="AL11" s="203" t="s">
        <v>77</v>
      </c>
      <c r="AM11" s="204">
        <v>1103</v>
      </c>
      <c r="AN11" s="203" t="s">
        <v>77</v>
      </c>
      <c r="AO11" s="204">
        <v>1450</v>
      </c>
      <c r="AP11" s="203" t="s">
        <v>77</v>
      </c>
      <c r="AQ11" s="204">
        <v>514</v>
      </c>
      <c r="AR11" s="203" t="s">
        <v>77</v>
      </c>
      <c r="AS11" s="204">
        <v>1357</v>
      </c>
      <c r="AT11" s="203" t="s">
        <v>77</v>
      </c>
      <c r="AU11" s="158">
        <v>8705</v>
      </c>
      <c r="AV11" s="203">
        <v>11</v>
      </c>
      <c r="AW11" s="212">
        <v>108</v>
      </c>
      <c r="AX11" s="83"/>
      <c r="AY11" s="84"/>
    </row>
    <row r="12" spans="1:51" s="85" customFormat="1" ht="15.75" customHeight="1" x14ac:dyDescent="0.2">
      <c r="A12" s="78">
        <v>4</v>
      </c>
      <c r="B12" s="158">
        <v>27218</v>
      </c>
      <c r="C12" s="203">
        <v>9</v>
      </c>
      <c r="D12" s="158">
        <v>12133</v>
      </c>
      <c r="E12" s="203">
        <v>1</v>
      </c>
      <c r="F12" s="158">
        <v>31694</v>
      </c>
      <c r="G12" s="203">
        <v>6</v>
      </c>
      <c r="H12" s="158">
        <v>25001</v>
      </c>
      <c r="I12" s="203">
        <v>11</v>
      </c>
      <c r="J12" s="204">
        <v>21046</v>
      </c>
      <c r="K12" s="203">
        <v>3</v>
      </c>
      <c r="L12" s="158">
        <v>15230</v>
      </c>
      <c r="M12" s="203">
        <v>7</v>
      </c>
      <c r="N12" s="204">
        <v>13891</v>
      </c>
      <c r="O12" s="203">
        <v>6</v>
      </c>
      <c r="P12" s="204">
        <v>20651</v>
      </c>
      <c r="Q12" s="203">
        <v>4</v>
      </c>
      <c r="R12" s="204">
        <v>24883</v>
      </c>
      <c r="S12" s="203">
        <v>11</v>
      </c>
      <c r="T12" s="204">
        <v>782</v>
      </c>
      <c r="U12" s="203">
        <v>5</v>
      </c>
      <c r="V12" s="204">
        <v>3187</v>
      </c>
      <c r="W12" s="203">
        <v>2</v>
      </c>
      <c r="X12" s="204">
        <v>30236</v>
      </c>
      <c r="Y12" s="203">
        <v>2</v>
      </c>
      <c r="Z12" s="204">
        <v>12843</v>
      </c>
      <c r="AA12" s="203" t="s">
        <v>77</v>
      </c>
      <c r="AB12" s="203">
        <v>51</v>
      </c>
      <c r="AC12" s="204">
        <v>11471</v>
      </c>
      <c r="AD12" s="203">
        <v>15</v>
      </c>
      <c r="AE12" s="208">
        <v>4039</v>
      </c>
      <c r="AF12" s="203">
        <v>9</v>
      </c>
      <c r="AG12" s="208">
        <v>4039</v>
      </c>
      <c r="AH12" s="203">
        <v>9</v>
      </c>
      <c r="AI12" s="158">
        <v>37467</v>
      </c>
      <c r="AJ12" s="203">
        <v>3</v>
      </c>
      <c r="AK12" s="204">
        <v>4410</v>
      </c>
      <c r="AL12" s="203">
        <v>1</v>
      </c>
      <c r="AM12" s="204">
        <v>1104</v>
      </c>
      <c r="AN12" s="203">
        <v>1</v>
      </c>
      <c r="AO12" s="204">
        <v>1450</v>
      </c>
      <c r="AP12" s="203" t="s">
        <v>77</v>
      </c>
      <c r="AQ12" s="204">
        <v>514</v>
      </c>
      <c r="AR12" s="203" t="s">
        <v>77</v>
      </c>
      <c r="AS12" s="204">
        <v>1357</v>
      </c>
      <c r="AT12" s="203" t="s">
        <v>77</v>
      </c>
      <c r="AU12" s="158">
        <v>8716</v>
      </c>
      <c r="AV12" s="203">
        <v>11</v>
      </c>
      <c r="AW12" s="212">
        <v>107</v>
      </c>
      <c r="AX12" s="83"/>
      <c r="AY12" s="84"/>
    </row>
    <row r="13" spans="1:51" s="85" customFormat="1" ht="15.75" customHeight="1" x14ac:dyDescent="0.2">
      <c r="A13" s="78">
        <v>5</v>
      </c>
      <c r="B13" s="158">
        <v>27228</v>
      </c>
      <c r="C13" s="203">
        <v>10</v>
      </c>
      <c r="D13" s="158">
        <v>12136</v>
      </c>
      <c r="E13" s="203">
        <v>3</v>
      </c>
      <c r="F13" s="158">
        <v>31700</v>
      </c>
      <c r="G13" s="203">
        <v>6</v>
      </c>
      <c r="H13" s="158">
        <v>25013</v>
      </c>
      <c r="I13" s="203">
        <v>12</v>
      </c>
      <c r="J13" s="204">
        <v>21052</v>
      </c>
      <c r="K13" s="203">
        <v>6</v>
      </c>
      <c r="L13" s="158">
        <v>15232</v>
      </c>
      <c r="M13" s="203">
        <v>2</v>
      </c>
      <c r="N13" s="204">
        <v>13896</v>
      </c>
      <c r="O13" s="203">
        <v>5</v>
      </c>
      <c r="P13" s="204">
        <v>20655</v>
      </c>
      <c r="Q13" s="203">
        <v>4</v>
      </c>
      <c r="R13" s="204">
        <v>24889</v>
      </c>
      <c r="S13" s="203">
        <v>6</v>
      </c>
      <c r="T13" s="204">
        <v>788</v>
      </c>
      <c r="U13" s="203">
        <v>6</v>
      </c>
      <c r="V13" s="204">
        <v>3188</v>
      </c>
      <c r="W13" s="203">
        <v>1</v>
      </c>
      <c r="X13" s="204">
        <v>30238</v>
      </c>
      <c r="Y13" s="203">
        <v>2</v>
      </c>
      <c r="Z13" s="204">
        <v>12843</v>
      </c>
      <c r="AA13" s="203" t="s">
        <v>77</v>
      </c>
      <c r="AB13" s="203">
        <v>44</v>
      </c>
      <c r="AC13" s="204">
        <v>11496</v>
      </c>
      <c r="AD13" s="207">
        <v>25</v>
      </c>
      <c r="AE13" s="206">
        <v>4052</v>
      </c>
      <c r="AF13" s="203">
        <v>13</v>
      </c>
      <c r="AG13" s="206">
        <v>4052</v>
      </c>
      <c r="AH13" s="203">
        <v>13</v>
      </c>
      <c r="AI13" s="158">
        <v>37469</v>
      </c>
      <c r="AJ13" s="203">
        <v>2</v>
      </c>
      <c r="AK13" s="204">
        <v>4410</v>
      </c>
      <c r="AL13" s="203" t="s">
        <v>77</v>
      </c>
      <c r="AM13" s="204">
        <v>1104</v>
      </c>
      <c r="AN13" s="203" t="s">
        <v>77</v>
      </c>
      <c r="AO13" s="204">
        <v>1451</v>
      </c>
      <c r="AP13" s="203">
        <v>1</v>
      </c>
      <c r="AQ13" s="204">
        <v>514</v>
      </c>
      <c r="AR13" s="203" t="s">
        <v>77</v>
      </c>
      <c r="AS13" s="204">
        <v>1358</v>
      </c>
      <c r="AT13" s="203">
        <v>1</v>
      </c>
      <c r="AU13" s="158">
        <v>8730</v>
      </c>
      <c r="AV13" s="203">
        <v>14</v>
      </c>
      <c r="AW13" s="212">
        <v>119</v>
      </c>
      <c r="AX13" s="83"/>
      <c r="AY13" s="84"/>
    </row>
    <row r="14" spans="1:51" s="85" customFormat="1" ht="15.75" customHeight="1" x14ac:dyDescent="0.2">
      <c r="A14" s="78">
        <v>6</v>
      </c>
      <c r="B14" s="158">
        <v>27239</v>
      </c>
      <c r="C14" s="203">
        <v>11</v>
      </c>
      <c r="D14" s="158">
        <v>12137</v>
      </c>
      <c r="E14" s="203">
        <v>1</v>
      </c>
      <c r="F14" s="158">
        <v>31703</v>
      </c>
      <c r="G14" s="203">
        <v>3</v>
      </c>
      <c r="H14" s="158">
        <v>25021</v>
      </c>
      <c r="I14" s="203">
        <v>8</v>
      </c>
      <c r="J14" s="204">
        <v>21055</v>
      </c>
      <c r="K14" s="203">
        <v>3</v>
      </c>
      <c r="L14" s="158">
        <v>15239</v>
      </c>
      <c r="M14" s="203">
        <v>7</v>
      </c>
      <c r="N14" s="204">
        <v>13899</v>
      </c>
      <c r="O14" s="203">
        <v>3</v>
      </c>
      <c r="P14" s="204">
        <v>20658</v>
      </c>
      <c r="Q14" s="203">
        <v>3</v>
      </c>
      <c r="R14" s="204">
        <v>24891</v>
      </c>
      <c r="S14" s="203">
        <v>2</v>
      </c>
      <c r="T14" s="204">
        <v>791</v>
      </c>
      <c r="U14" s="203">
        <v>3</v>
      </c>
      <c r="V14" s="204">
        <v>3188</v>
      </c>
      <c r="W14" s="203" t="s">
        <v>77</v>
      </c>
      <c r="X14" s="204">
        <v>30239</v>
      </c>
      <c r="Y14" s="203">
        <v>1</v>
      </c>
      <c r="Z14" s="204">
        <v>12843</v>
      </c>
      <c r="AA14" s="203" t="s">
        <v>77</v>
      </c>
      <c r="AB14" s="203">
        <v>30</v>
      </c>
      <c r="AC14" s="204">
        <v>11508</v>
      </c>
      <c r="AD14" s="203">
        <v>12</v>
      </c>
      <c r="AE14" s="206">
        <v>4060</v>
      </c>
      <c r="AF14" s="203">
        <v>8</v>
      </c>
      <c r="AG14" s="206">
        <v>4060</v>
      </c>
      <c r="AH14" s="203">
        <v>8</v>
      </c>
      <c r="AI14" s="158">
        <v>37470</v>
      </c>
      <c r="AJ14" s="203">
        <v>1</v>
      </c>
      <c r="AK14" s="204">
        <v>4410</v>
      </c>
      <c r="AL14" s="203" t="s">
        <v>77</v>
      </c>
      <c r="AM14" s="204">
        <v>1109</v>
      </c>
      <c r="AN14" s="203">
        <v>5</v>
      </c>
      <c r="AO14" s="204">
        <v>1451</v>
      </c>
      <c r="AP14" s="203" t="s">
        <v>77</v>
      </c>
      <c r="AQ14" s="204">
        <v>514</v>
      </c>
      <c r="AR14" s="203" t="s">
        <v>77</v>
      </c>
      <c r="AS14" s="204">
        <v>1359</v>
      </c>
      <c r="AT14" s="203">
        <v>1</v>
      </c>
      <c r="AU14" s="158">
        <v>8742</v>
      </c>
      <c r="AV14" s="203">
        <v>12</v>
      </c>
      <c r="AW14" s="212">
        <v>84</v>
      </c>
      <c r="AX14" s="83"/>
      <c r="AY14" s="84"/>
    </row>
    <row r="15" spans="1:51" s="85" customFormat="1" ht="15.75" customHeight="1" x14ac:dyDescent="0.2">
      <c r="A15" s="78">
        <v>7</v>
      </c>
      <c r="B15" s="158">
        <v>27246</v>
      </c>
      <c r="C15" s="203">
        <v>7</v>
      </c>
      <c r="D15" s="158">
        <v>12138</v>
      </c>
      <c r="E15" s="203">
        <v>1</v>
      </c>
      <c r="F15" s="158">
        <v>31705</v>
      </c>
      <c r="G15" s="203">
        <v>2</v>
      </c>
      <c r="H15" s="158">
        <v>25026</v>
      </c>
      <c r="I15" s="203">
        <v>5</v>
      </c>
      <c r="J15" s="204">
        <v>21057</v>
      </c>
      <c r="K15" s="203">
        <v>2</v>
      </c>
      <c r="L15" s="158">
        <v>15242</v>
      </c>
      <c r="M15" s="203">
        <v>3</v>
      </c>
      <c r="N15" s="204">
        <v>13901</v>
      </c>
      <c r="O15" s="203">
        <v>2</v>
      </c>
      <c r="P15" s="204">
        <v>20660</v>
      </c>
      <c r="Q15" s="203">
        <v>2</v>
      </c>
      <c r="R15" s="204">
        <v>24894</v>
      </c>
      <c r="S15" s="203">
        <v>3</v>
      </c>
      <c r="T15" s="204">
        <v>797</v>
      </c>
      <c r="U15" s="203">
        <v>6</v>
      </c>
      <c r="V15" s="204">
        <v>3188</v>
      </c>
      <c r="W15" s="203" t="s">
        <v>77</v>
      </c>
      <c r="X15" s="204">
        <v>30241</v>
      </c>
      <c r="Y15" s="203">
        <v>2</v>
      </c>
      <c r="Z15" s="204">
        <v>12843</v>
      </c>
      <c r="AA15" s="203" t="s">
        <v>77</v>
      </c>
      <c r="AB15" s="203">
        <v>25</v>
      </c>
      <c r="AC15" s="204">
        <v>11524</v>
      </c>
      <c r="AD15" s="207">
        <v>16</v>
      </c>
      <c r="AE15" s="206">
        <v>4071</v>
      </c>
      <c r="AF15" s="203">
        <v>11</v>
      </c>
      <c r="AG15" s="206">
        <v>4071</v>
      </c>
      <c r="AH15" s="203">
        <v>11</v>
      </c>
      <c r="AI15" s="158">
        <v>37471</v>
      </c>
      <c r="AJ15" s="203">
        <v>1</v>
      </c>
      <c r="AK15" s="204">
        <v>4410</v>
      </c>
      <c r="AL15" s="203" t="s">
        <v>77</v>
      </c>
      <c r="AM15" s="204">
        <v>1110</v>
      </c>
      <c r="AN15" s="203">
        <v>1</v>
      </c>
      <c r="AO15" s="204">
        <v>1451</v>
      </c>
      <c r="AP15" s="203" t="s">
        <v>77</v>
      </c>
      <c r="AQ15" s="204">
        <v>514</v>
      </c>
      <c r="AR15" s="203" t="s">
        <v>77</v>
      </c>
      <c r="AS15" s="204">
        <v>1359</v>
      </c>
      <c r="AT15" s="203" t="s">
        <v>77</v>
      </c>
      <c r="AU15" s="158">
        <v>8750</v>
      </c>
      <c r="AV15" s="203">
        <v>8</v>
      </c>
      <c r="AW15" s="212">
        <v>72</v>
      </c>
      <c r="AX15" s="83"/>
      <c r="AY15" s="84"/>
    </row>
    <row r="16" spans="1:51" s="85" customFormat="1" ht="15.75" customHeight="1" x14ac:dyDescent="0.2">
      <c r="A16" s="78">
        <v>8</v>
      </c>
      <c r="B16" s="158">
        <v>27255</v>
      </c>
      <c r="C16" s="203">
        <v>9</v>
      </c>
      <c r="D16" s="158">
        <v>12140</v>
      </c>
      <c r="E16" s="203">
        <v>2</v>
      </c>
      <c r="F16" s="158">
        <v>31709</v>
      </c>
      <c r="G16" s="203">
        <v>4</v>
      </c>
      <c r="H16" s="158">
        <v>25030</v>
      </c>
      <c r="I16" s="203">
        <v>4</v>
      </c>
      <c r="J16" s="204">
        <v>21058</v>
      </c>
      <c r="K16" s="203">
        <v>1</v>
      </c>
      <c r="L16" s="158">
        <v>15246</v>
      </c>
      <c r="M16" s="203">
        <v>4</v>
      </c>
      <c r="N16" s="204">
        <v>13915</v>
      </c>
      <c r="O16" s="203">
        <v>14</v>
      </c>
      <c r="P16" s="204">
        <v>20661</v>
      </c>
      <c r="Q16" s="203">
        <v>1</v>
      </c>
      <c r="R16" s="204">
        <v>24897</v>
      </c>
      <c r="S16" s="203">
        <v>3</v>
      </c>
      <c r="T16" s="204">
        <v>803</v>
      </c>
      <c r="U16" s="203">
        <v>6</v>
      </c>
      <c r="V16" s="204">
        <v>3188</v>
      </c>
      <c r="W16" s="203" t="s">
        <v>77</v>
      </c>
      <c r="X16" s="204">
        <v>30242</v>
      </c>
      <c r="Y16" s="203">
        <v>1</v>
      </c>
      <c r="Z16" s="204">
        <v>12843</v>
      </c>
      <c r="AA16" s="203" t="s">
        <v>77</v>
      </c>
      <c r="AB16" s="203">
        <v>34</v>
      </c>
      <c r="AC16" s="204">
        <v>11539</v>
      </c>
      <c r="AD16" s="203">
        <v>15</v>
      </c>
      <c r="AE16" s="206">
        <v>4080</v>
      </c>
      <c r="AF16" s="203">
        <v>9</v>
      </c>
      <c r="AG16" s="206">
        <v>4080</v>
      </c>
      <c r="AH16" s="203">
        <v>9</v>
      </c>
      <c r="AI16" s="158">
        <v>37473</v>
      </c>
      <c r="AJ16" s="203">
        <v>2</v>
      </c>
      <c r="AK16" s="204">
        <v>4411</v>
      </c>
      <c r="AL16" s="203">
        <v>1</v>
      </c>
      <c r="AM16" s="204">
        <v>1111</v>
      </c>
      <c r="AN16" s="203">
        <v>1</v>
      </c>
      <c r="AO16" s="204">
        <v>1451</v>
      </c>
      <c r="AP16" s="203" t="s">
        <v>77</v>
      </c>
      <c r="AQ16" s="204">
        <v>514</v>
      </c>
      <c r="AR16" s="203" t="s">
        <v>77</v>
      </c>
      <c r="AS16" s="204">
        <v>1359</v>
      </c>
      <c r="AT16" s="203" t="s">
        <v>77</v>
      </c>
      <c r="AU16" s="158">
        <v>8761</v>
      </c>
      <c r="AV16" s="203">
        <v>11</v>
      </c>
      <c r="AW16" s="212">
        <v>88</v>
      </c>
      <c r="AX16" s="83"/>
      <c r="AY16" s="84"/>
    </row>
    <row r="17" spans="1:51" s="85" customFormat="1" ht="15.75" customHeight="1" x14ac:dyDescent="0.2">
      <c r="A17" s="78">
        <v>9</v>
      </c>
      <c r="B17" s="158">
        <v>27262</v>
      </c>
      <c r="C17" s="203">
        <v>7</v>
      </c>
      <c r="D17" s="158">
        <v>12142</v>
      </c>
      <c r="E17" s="203">
        <v>2</v>
      </c>
      <c r="F17" s="158">
        <v>31715</v>
      </c>
      <c r="G17" s="203">
        <v>6</v>
      </c>
      <c r="H17" s="158">
        <v>25040</v>
      </c>
      <c r="I17" s="203">
        <v>10</v>
      </c>
      <c r="J17" s="204">
        <v>21064</v>
      </c>
      <c r="K17" s="203">
        <v>6</v>
      </c>
      <c r="L17" s="158">
        <v>15251</v>
      </c>
      <c r="M17" s="203">
        <v>5</v>
      </c>
      <c r="N17" s="204">
        <v>13919</v>
      </c>
      <c r="O17" s="203">
        <v>4</v>
      </c>
      <c r="P17" s="204">
        <v>20663</v>
      </c>
      <c r="Q17" s="203">
        <v>2</v>
      </c>
      <c r="R17" s="204">
        <v>24899</v>
      </c>
      <c r="S17" s="203">
        <v>2</v>
      </c>
      <c r="T17" s="204">
        <v>809</v>
      </c>
      <c r="U17" s="203">
        <v>6</v>
      </c>
      <c r="V17" s="204">
        <v>3190</v>
      </c>
      <c r="W17" s="203">
        <v>2</v>
      </c>
      <c r="X17" s="204">
        <v>30246</v>
      </c>
      <c r="Y17" s="203">
        <v>4</v>
      </c>
      <c r="Z17" s="204">
        <v>12843</v>
      </c>
      <c r="AA17" s="203" t="s">
        <v>77</v>
      </c>
      <c r="AB17" s="203">
        <v>41</v>
      </c>
      <c r="AC17" s="158">
        <v>11554</v>
      </c>
      <c r="AD17" s="203">
        <v>15</v>
      </c>
      <c r="AE17" s="206">
        <v>4091</v>
      </c>
      <c r="AF17" s="203">
        <v>11</v>
      </c>
      <c r="AG17" s="206">
        <v>4091</v>
      </c>
      <c r="AH17" s="203">
        <v>11</v>
      </c>
      <c r="AI17" s="158">
        <v>37475</v>
      </c>
      <c r="AJ17" s="203">
        <v>2</v>
      </c>
      <c r="AK17" s="204">
        <v>4411</v>
      </c>
      <c r="AL17" s="203" t="s">
        <v>77</v>
      </c>
      <c r="AM17" s="204">
        <v>1111</v>
      </c>
      <c r="AN17" s="203" t="s">
        <v>77</v>
      </c>
      <c r="AO17" s="204">
        <v>1451</v>
      </c>
      <c r="AP17" s="203" t="s">
        <v>77</v>
      </c>
      <c r="AQ17" s="204">
        <v>514</v>
      </c>
      <c r="AR17" s="203" t="s">
        <v>77</v>
      </c>
      <c r="AS17" s="204">
        <v>1359</v>
      </c>
      <c r="AT17" s="203" t="s">
        <v>77</v>
      </c>
      <c r="AU17" s="158">
        <v>8773</v>
      </c>
      <c r="AV17" s="203">
        <v>12</v>
      </c>
      <c r="AW17" s="212">
        <v>96</v>
      </c>
      <c r="AX17" s="83"/>
      <c r="AY17" s="84"/>
    </row>
    <row r="18" spans="1:51" s="85" customFormat="1" ht="15.75" customHeight="1" x14ac:dyDescent="0.2">
      <c r="A18" s="78">
        <v>10</v>
      </c>
      <c r="B18" s="158">
        <v>27276</v>
      </c>
      <c r="C18" s="203">
        <v>14</v>
      </c>
      <c r="D18" s="158">
        <v>12144</v>
      </c>
      <c r="E18" s="203">
        <v>2</v>
      </c>
      <c r="F18" s="158">
        <v>31720</v>
      </c>
      <c r="G18" s="203">
        <v>5</v>
      </c>
      <c r="H18" s="158">
        <v>25045</v>
      </c>
      <c r="I18" s="203">
        <v>5</v>
      </c>
      <c r="J18" s="204">
        <v>21071</v>
      </c>
      <c r="K18" s="203">
        <v>7</v>
      </c>
      <c r="L18" s="158">
        <v>15256</v>
      </c>
      <c r="M18" s="203">
        <v>5</v>
      </c>
      <c r="N18" s="204">
        <v>13923</v>
      </c>
      <c r="O18" s="203">
        <v>4</v>
      </c>
      <c r="P18" s="204">
        <v>20666</v>
      </c>
      <c r="Q18" s="203">
        <v>3</v>
      </c>
      <c r="R18" s="204">
        <v>24905</v>
      </c>
      <c r="S18" s="203">
        <v>6</v>
      </c>
      <c r="T18" s="204">
        <v>815</v>
      </c>
      <c r="U18" s="203">
        <v>6</v>
      </c>
      <c r="V18" s="204">
        <v>3191</v>
      </c>
      <c r="W18" s="203">
        <v>1</v>
      </c>
      <c r="X18" s="204">
        <v>30251</v>
      </c>
      <c r="Y18" s="203">
        <v>5</v>
      </c>
      <c r="Z18" s="204">
        <v>12843</v>
      </c>
      <c r="AA18" s="203" t="s">
        <v>77</v>
      </c>
      <c r="AB18" s="203">
        <v>42</v>
      </c>
      <c r="AC18" s="158">
        <v>11568</v>
      </c>
      <c r="AD18" s="203">
        <v>14</v>
      </c>
      <c r="AE18" s="206">
        <v>4101</v>
      </c>
      <c r="AF18" s="203">
        <v>10</v>
      </c>
      <c r="AG18" s="206">
        <v>4101</v>
      </c>
      <c r="AH18" s="203">
        <v>10</v>
      </c>
      <c r="AI18" s="158">
        <v>37477</v>
      </c>
      <c r="AJ18" s="203">
        <v>2</v>
      </c>
      <c r="AK18" s="204">
        <v>4411</v>
      </c>
      <c r="AL18" s="203" t="s">
        <v>77</v>
      </c>
      <c r="AM18" s="204">
        <v>1112</v>
      </c>
      <c r="AN18" s="203">
        <v>1</v>
      </c>
      <c r="AO18" s="204">
        <v>1452</v>
      </c>
      <c r="AP18" s="203">
        <v>1</v>
      </c>
      <c r="AQ18" s="204">
        <v>514</v>
      </c>
      <c r="AR18" s="203" t="s">
        <v>77</v>
      </c>
      <c r="AS18" s="204">
        <v>1360</v>
      </c>
      <c r="AT18" s="203">
        <v>1</v>
      </c>
      <c r="AU18" s="158">
        <v>8784</v>
      </c>
      <c r="AV18" s="203">
        <v>11</v>
      </c>
      <c r="AW18" s="212">
        <v>103</v>
      </c>
      <c r="AX18" s="83"/>
      <c r="AY18" s="84"/>
    </row>
    <row r="19" spans="1:51" s="85" customFormat="1" ht="15.75" customHeight="1" x14ac:dyDescent="0.2">
      <c r="A19" s="78">
        <v>11</v>
      </c>
      <c r="B19" s="158">
        <v>27285</v>
      </c>
      <c r="C19" s="203">
        <v>9</v>
      </c>
      <c r="D19" s="158">
        <v>12146</v>
      </c>
      <c r="E19" s="203">
        <v>2</v>
      </c>
      <c r="F19" s="158">
        <v>31724</v>
      </c>
      <c r="G19" s="203">
        <v>4</v>
      </c>
      <c r="H19" s="158">
        <v>25049</v>
      </c>
      <c r="I19" s="203">
        <v>4</v>
      </c>
      <c r="J19" s="204">
        <v>21074</v>
      </c>
      <c r="K19" s="203">
        <v>3</v>
      </c>
      <c r="L19" s="158">
        <v>15259</v>
      </c>
      <c r="M19" s="203">
        <v>3</v>
      </c>
      <c r="N19" s="204">
        <v>13926</v>
      </c>
      <c r="O19" s="203">
        <v>3</v>
      </c>
      <c r="P19" s="204">
        <v>20668</v>
      </c>
      <c r="Q19" s="203">
        <v>2</v>
      </c>
      <c r="R19" s="204">
        <v>24909</v>
      </c>
      <c r="S19" s="203">
        <v>4</v>
      </c>
      <c r="T19" s="204">
        <v>823</v>
      </c>
      <c r="U19" s="203">
        <v>8</v>
      </c>
      <c r="V19" s="204">
        <v>3191</v>
      </c>
      <c r="W19" s="203" t="s">
        <v>77</v>
      </c>
      <c r="X19" s="204">
        <v>30253</v>
      </c>
      <c r="Y19" s="203">
        <v>2</v>
      </c>
      <c r="Z19" s="204">
        <v>12843</v>
      </c>
      <c r="AA19" s="203" t="s">
        <v>77</v>
      </c>
      <c r="AB19" s="203">
        <v>29</v>
      </c>
      <c r="AC19" s="158">
        <v>11588</v>
      </c>
      <c r="AD19" s="207">
        <v>20</v>
      </c>
      <c r="AE19" s="206">
        <v>4111</v>
      </c>
      <c r="AF19" s="203">
        <v>10</v>
      </c>
      <c r="AG19" s="206">
        <v>4111</v>
      </c>
      <c r="AH19" s="203">
        <v>10</v>
      </c>
      <c r="AI19" s="158">
        <v>37479</v>
      </c>
      <c r="AJ19" s="203">
        <v>2</v>
      </c>
      <c r="AK19" s="204">
        <v>4411</v>
      </c>
      <c r="AL19" s="203" t="s">
        <v>77</v>
      </c>
      <c r="AM19" s="204">
        <v>1113</v>
      </c>
      <c r="AN19" s="203">
        <v>1</v>
      </c>
      <c r="AO19" s="204">
        <v>1452</v>
      </c>
      <c r="AP19" s="203" t="s">
        <v>77</v>
      </c>
      <c r="AQ19" s="204">
        <v>516</v>
      </c>
      <c r="AR19" s="203">
        <v>2</v>
      </c>
      <c r="AS19" s="204">
        <v>1360</v>
      </c>
      <c r="AT19" s="203" t="s">
        <v>77</v>
      </c>
      <c r="AU19" s="158">
        <v>8795</v>
      </c>
      <c r="AV19" s="203">
        <v>11</v>
      </c>
      <c r="AW19" s="212">
        <v>90</v>
      </c>
      <c r="AX19" s="83"/>
      <c r="AY19" s="84"/>
    </row>
    <row r="20" spans="1:51" s="85" customFormat="1" ht="15.75" customHeight="1" x14ac:dyDescent="0.2">
      <c r="A20" s="78">
        <v>12</v>
      </c>
      <c r="B20" s="158"/>
      <c r="C20" s="203"/>
      <c r="D20" s="158"/>
      <c r="E20" s="203"/>
      <c r="F20" s="158"/>
      <c r="G20" s="203"/>
      <c r="H20" s="158"/>
      <c r="I20" s="203"/>
      <c r="J20" s="204"/>
      <c r="K20" s="203"/>
      <c r="L20" s="158"/>
      <c r="M20" s="203"/>
      <c r="N20" s="204"/>
      <c r="O20" s="203"/>
      <c r="P20" s="204"/>
      <c r="Q20" s="203"/>
      <c r="R20" s="204"/>
      <c r="S20" s="203"/>
      <c r="T20" s="204"/>
      <c r="U20" s="203"/>
      <c r="V20" s="204"/>
      <c r="W20" s="203"/>
      <c r="X20" s="204"/>
      <c r="Y20" s="203"/>
      <c r="Z20" s="204"/>
      <c r="AA20" s="203"/>
      <c r="AB20" s="203"/>
      <c r="AC20" s="158"/>
      <c r="AD20" s="203"/>
      <c r="AE20" s="123"/>
      <c r="AF20" s="122"/>
      <c r="AG20" s="206"/>
      <c r="AH20" s="203"/>
      <c r="AI20" s="158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158"/>
      <c r="AV20" s="203"/>
      <c r="AW20" s="212"/>
      <c r="AX20" s="83"/>
      <c r="AY20" s="84"/>
    </row>
    <row r="21" spans="1:51" s="85" customFormat="1" ht="15.75" customHeight="1" x14ac:dyDescent="0.2">
      <c r="A21" s="78">
        <v>13</v>
      </c>
      <c r="B21" s="158"/>
      <c r="C21" s="203"/>
      <c r="D21" s="158"/>
      <c r="E21" s="203"/>
      <c r="F21" s="158"/>
      <c r="G21" s="203"/>
      <c r="H21" s="158"/>
      <c r="I21" s="203"/>
      <c r="J21" s="204"/>
      <c r="K21" s="203"/>
      <c r="L21" s="158"/>
      <c r="M21" s="203"/>
      <c r="N21" s="204"/>
      <c r="O21" s="203"/>
      <c r="P21" s="204"/>
      <c r="Q21" s="203"/>
      <c r="R21" s="204"/>
      <c r="S21" s="203"/>
      <c r="T21" s="204"/>
      <c r="U21" s="203"/>
      <c r="V21" s="204"/>
      <c r="W21" s="203"/>
      <c r="X21" s="204"/>
      <c r="Y21" s="203"/>
      <c r="Z21" s="204"/>
      <c r="AA21" s="203"/>
      <c r="AB21" s="203"/>
      <c r="AC21" s="158"/>
      <c r="AD21" s="203"/>
      <c r="AE21" s="123"/>
      <c r="AF21" s="122"/>
      <c r="AG21" s="206"/>
      <c r="AH21" s="203"/>
      <c r="AI21" s="158"/>
      <c r="AJ21" s="203"/>
      <c r="AK21" s="204"/>
      <c r="AL21" s="203"/>
      <c r="AM21" s="204"/>
      <c r="AN21" s="203"/>
      <c r="AO21" s="204"/>
      <c r="AP21" s="203"/>
      <c r="AQ21" s="204"/>
      <c r="AR21" s="203"/>
      <c r="AS21" s="204"/>
      <c r="AT21" s="203"/>
      <c r="AU21" s="158"/>
      <c r="AV21" s="203"/>
      <c r="AW21" s="212"/>
      <c r="AX21" s="83"/>
      <c r="AY21" s="84"/>
    </row>
    <row r="22" spans="1:51" s="85" customFormat="1" ht="15.75" customHeight="1" x14ac:dyDescent="0.2">
      <c r="A22" s="78">
        <v>14</v>
      </c>
      <c r="B22" s="158"/>
      <c r="C22" s="203"/>
      <c r="D22" s="158"/>
      <c r="E22" s="203"/>
      <c r="F22" s="158"/>
      <c r="G22" s="203"/>
      <c r="H22" s="158"/>
      <c r="I22" s="203"/>
      <c r="J22" s="204"/>
      <c r="K22" s="203"/>
      <c r="L22" s="158"/>
      <c r="M22" s="203"/>
      <c r="N22" s="204"/>
      <c r="O22" s="203"/>
      <c r="P22" s="204"/>
      <c r="Q22" s="203"/>
      <c r="R22" s="204"/>
      <c r="S22" s="203"/>
      <c r="T22" s="204"/>
      <c r="U22" s="203"/>
      <c r="V22" s="204"/>
      <c r="W22" s="203"/>
      <c r="X22" s="204"/>
      <c r="Y22" s="203"/>
      <c r="Z22" s="204"/>
      <c r="AA22" s="203"/>
      <c r="AB22" s="203"/>
      <c r="AC22" s="158"/>
      <c r="AD22" s="203"/>
      <c r="AE22" s="123"/>
      <c r="AF22" s="122"/>
      <c r="AG22" s="206"/>
      <c r="AH22" s="203"/>
      <c r="AI22" s="158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158"/>
      <c r="AV22" s="203"/>
      <c r="AW22" s="212"/>
      <c r="AX22" s="83"/>
      <c r="AY22" s="84"/>
    </row>
    <row r="23" spans="1:51" s="85" customFormat="1" ht="15.75" customHeight="1" x14ac:dyDescent="0.2">
      <c r="A23" s="78">
        <v>15</v>
      </c>
      <c r="B23" s="158"/>
      <c r="C23" s="203"/>
      <c r="D23" s="158"/>
      <c r="E23" s="203"/>
      <c r="F23" s="158"/>
      <c r="G23" s="203"/>
      <c r="H23" s="158"/>
      <c r="I23" s="203"/>
      <c r="J23" s="204"/>
      <c r="K23" s="203"/>
      <c r="L23" s="158"/>
      <c r="M23" s="203"/>
      <c r="N23" s="204"/>
      <c r="O23" s="203"/>
      <c r="P23" s="204"/>
      <c r="Q23" s="203"/>
      <c r="R23" s="204"/>
      <c r="S23" s="203"/>
      <c r="T23" s="204"/>
      <c r="U23" s="203"/>
      <c r="V23" s="204"/>
      <c r="W23" s="203"/>
      <c r="X23" s="204"/>
      <c r="Y23" s="203"/>
      <c r="Z23" s="204"/>
      <c r="AA23" s="203"/>
      <c r="AB23" s="203"/>
      <c r="AC23" s="158"/>
      <c r="AD23" s="203"/>
      <c r="AE23" s="123"/>
      <c r="AF23" s="122"/>
      <c r="AG23" s="206"/>
      <c r="AH23" s="203"/>
      <c r="AI23" s="158"/>
      <c r="AJ23" s="203"/>
      <c r="AK23" s="204"/>
      <c r="AL23" s="203"/>
      <c r="AM23" s="204"/>
      <c r="AN23" s="203"/>
      <c r="AO23" s="204"/>
      <c r="AP23" s="203"/>
      <c r="AQ23" s="204"/>
      <c r="AR23" s="203"/>
      <c r="AS23" s="204"/>
      <c r="AT23" s="203"/>
      <c r="AU23" s="158"/>
      <c r="AV23" s="203"/>
      <c r="AW23" s="212"/>
      <c r="AX23" s="83"/>
      <c r="AY23" s="84"/>
    </row>
    <row r="24" spans="1:51" s="85" customFormat="1" ht="15.75" customHeight="1" x14ac:dyDescent="0.2">
      <c r="A24" s="78">
        <v>16</v>
      </c>
      <c r="B24" s="158"/>
      <c r="C24" s="203"/>
      <c r="D24" s="158"/>
      <c r="E24" s="203"/>
      <c r="F24" s="158"/>
      <c r="G24" s="203"/>
      <c r="H24" s="158"/>
      <c r="I24" s="203"/>
      <c r="J24" s="204"/>
      <c r="K24" s="203"/>
      <c r="L24" s="158"/>
      <c r="M24" s="203"/>
      <c r="N24" s="204"/>
      <c r="O24" s="203"/>
      <c r="P24" s="204"/>
      <c r="Q24" s="203"/>
      <c r="R24" s="204"/>
      <c r="S24" s="203"/>
      <c r="T24" s="204"/>
      <c r="U24" s="203"/>
      <c r="V24" s="204"/>
      <c r="W24" s="203"/>
      <c r="X24" s="204"/>
      <c r="Y24" s="203"/>
      <c r="Z24" s="204"/>
      <c r="AA24" s="203"/>
      <c r="AB24" s="203"/>
      <c r="AC24" s="158"/>
      <c r="AD24" s="203"/>
      <c r="AE24" s="123"/>
      <c r="AF24" s="122"/>
      <c r="AG24" s="206"/>
      <c r="AH24" s="203"/>
      <c r="AI24" s="158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158"/>
      <c r="AV24" s="203"/>
      <c r="AW24" s="212"/>
      <c r="AX24" s="83"/>
      <c r="AY24" s="84"/>
    </row>
    <row r="25" spans="1:51" s="85" customFormat="1" ht="15.75" customHeight="1" x14ac:dyDescent="0.2">
      <c r="A25" s="78">
        <v>17</v>
      </c>
      <c r="B25" s="158"/>
      <c r="C25" s="203"/>
      <c r="D25" s="158"/>
      <c r="E25" s="203"/>
      <c r="F25" s="158"/>
      <c r="G25" s="203"/>
      <c r="H25" s="158"/>
      <c r="I25" s="203"/>
      <c r="J25" s="204"/>
      <c r="K25" s="203"/>
      <c r="L25" s="158"/>
      <c r="M25" s="203"/>
      <c r="N25" s="204"/>
      <c r="O25" s="203"/>
      <c r="P25" s="204"/>
      <c r="Q25" s="203"/>
      <c r="R25" s="204"/>
      <c r="S25" s="203"/>
      <c r="T25" s="204"/>
      <c r="U25" s="203"/>
      <c r="V25" s="204"/>
      <c r="W25" s="203"/>
      <c r="X25" s="204"/>
      <c r="Y25" s="203"/>
      <c r="Z25" s="204"/>
      <c r="AA25" s="203"/>
      <c r="AB25" s="203"/>
      <c r="AC25" s="158"/>
      <c r="AD25" s="203"/>
      <c r="AE25" s="123"/>
      <c r="AF25" s="122"/>
      <c r="AG25" s="206"/>
      <c r="AH25" s="203"/>
      <c r="AI25" s="158"/>
      <c r="AJ25" s="203"/>
      <c r="AK25" s="204"/>
      <c r="AL25" s="203"/>
      <c r="AM25" s="204"/>
      <c r="AN25" s="203"/>
      <c r="AO25" s="204"/>
      <c r="AP25" s="203"/>
      <c r="AQ25" s="204"/>
      <c r="AR25" s="203"/>
      <c r="AS25" s="204"/>
      <c r="AT25" s="203"/>
      <c r="AU25" s="158"/>
      <c r="AV25" s="203"/>
      <c r="AW25" s="212"/>
      <c r="AX25" s="83"/>
      <c r="AY25" s="84"/>
    </row>
    <row r="26" spans="1:51" s="85" customFormat="1" ht="15.75" customHeight="1" x14ac:dyDescent="0.2">
      <c r="A26" s="78">
        <v>18</v>
      </c>
      <c r="B26" s="158"/>
      <c r="C26" s="203"/>
      <c r="D26" s="158"/>
      <c r="E26" s="203"/>
      <c r="F26" s="158"/>
      <c r="G26" s="203"/>
      <c r="H26" s="158"/>
      <c r="I26" s="203"/>
      <c r="J26" s="204"/>
      <c r="K26" s="203"/>
      <c r="L26" s="158"/>
      <c r="M26" s="203"/>
      <c r="N26" s="204"/>
      <c r="O26" s="203"/>
      <c r="P26" s="204"/>
      <c r="Q26" s="203"/>
      <c r="R26" s="204"/>
      <c r="S26" s="203"/>
      <c r="T26" s="204"/>
      <c r="U26" s="203"/>
      <c r="V26" s="204"/>
      <c r="W26" s="203"/>
      <c r="X26" s="204"/>
      <c r="Y26" s="203"/>
      <c r="Z26" s="204"/>
      <c r="AA26" s="203"/>
      <c r="AB26" s="203"/>
      <c r="AC26" s="158"/>
      <c r="AD26" s="203"/>
      <c r="AE26" s="123"/>
      <c r="AF26" s="122"/>
      <c r="AG26" s="206"/>
      <c r="AH26" s="203"/>
      <c r="AI26" s="158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158"/>
      <c r="AV26" s="203"/>
      <c r="AW26" s="212"/>
      <c r="AX26" s="83"/>
      <c r="AY26" s="84"/>
    </row>
    <row r="27" spans="1:51" s="85" customFormat="1" ht="15.75" customHeight="1" x14ac:dyDescent="0.2">
      <c r="A27" s="78">
        <v>19</v>
      </c>
      <c r="B27" s="158"/>
      <c r="C27" s="203"/>
      <c r="D27" s="158"/>
      <c r="E27" s="203"/>
      <c r="F27" s="158"/>
      <c r="G27" s="203"/>
      <c r="H27" s="158"/>
      <c r="I27" s="203"/>
      <c r="J27" s="204"/>
      <c r="K27" s="203"/>
      <c r="L27" s="158"/>
      <c r="M27" s="203"/>
      <c r="N27" s="204"/>
      <c r="O27" s="203"/>
      <c r="P27" s="204"/>
      <c r="Q27" s="203"/>
      <c r="R27" s="204"/>
      <c r="S27" s="203"/>
      <c r="T27" s="204"/>
      <c r="U27" s="203"/>
      <c r="V27" s="204"/>
      <c r="W27" s="203"/>
      <c r="X27" s="204"/>
      <c r="Y27" s="203"/>
      <c r="Z27" s="204"/>
      <c r="AA27" s="203"/>
      <c r="AB27" s="203"/>
      <c r="AC27" s="158"/>
      <c r="AD27" s="203"/>
      <c r="AE27" s="123"/>
      <c r="AF27" s="122"/>
      <c r="AG27" s="206"/>
      <c r="AH27" s="203"/>
      <c r="AI27" s="158"/>
      <c r="AJ27" s="203"/>
      <c r="AK27" s="204"/>
      <c r="AL27" s="203"/>
      <c r="AM27" s="204"/>
      <c r="AN27" s="203"/>
      <c r="AO27" s="204"/>
      <c r="AP27" s="203"/>
      <c r="AQ27" s="204"/>
      <c r="AR27" s="203"/>
      <c r="AS27" s="204"/>
      <c r="AT27" s="203"/>
      <c r="AU27" s="158"/>
      <c r="AV27" s="203"/>
      <c r="AW27" s="212"/>
      <c r="AX27" s="83"/>
      <c r="AY27" s="84"/>
    </row>
    <row r="28" spans="1:51" s="85" customFormat="1" ht="15.75" customHeight="1" x14ac:dyDescent="0.2">
      <c r="A28" s="78">
        <v>20</v>
      </c>
      <c r="B28" s="158"/>
      <c r="C28" s="203"/>
      <c r="D28" s="158"/>
      <c r="E28" s="203"/>
      <c r="F28" s="158"/>
      <c r="G28" s="203"/>
      <c r="H28" s="158"/>
      <c r="I28" s="203"/>
      <c r="J28" s="204"/>
      <c r="K28" s="203"/>
      <c r="L28" s="158"/>
      <c r="M28" s="203"/>
      <c r="N28" s="204"/>
      <c r="O28" s="203"/>
      <c r="P28" s="204"/>
      <c r="Q28" s="203"/>
      <c r="R28" s="204"/>
      <c r="S28" s="203"/>
      <c r="T28" s="204"/>
      <c r="U28" s="203"/>
      <c r="V28" s="204"/>
      <c r="W28" s="203"/>
      <c r="X28" s="204"/>
      <c r="Y28" s="203"/>
      <c r="Z28" s="204"/>
      <c r="AA28" s="203"/>
      <c r="AB28" s="203"/>
      <c r="AC28" s="158"/>
      <c r="AD28" s="203"/>
      <c r="AE28" s="123"/>
      <c r="AF28" s="122"/>
      <c r="AG28" s="206"/>
      <c r="AH28" s="203"/>
      <c r="AI28" s="158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158"/>
      <c r="AV28" s="203"/>
      <c r="AW28" s="212"/>
      <c r="AX28" s="83"/>
      <c r="AY28" s="84"/>
    </row>
    <row r="29" spans="1:51" s="85" customFormat="1" ht="15.75" customHeight="1" x14ac:dyDescent="0.2">
      <c r="A29" s="78">
        <v>21</v>
      </c>
      <c r="B29" s="158"/>
      <c r="C29" s="203"/>
      <c r="D29" s="158"/>
      <c r="E29" s="203"/>
      <c r="F29" s="158"/>
      <c r="G29" s="203"/>
      <c r="H29" s="158"/>
      <c r="I29" s="203"/>
      <c r="J29" s="204"/>
      <c r="K29" s="203"/>
      <c r="L29" s="158"/>
      <c r="M29" s="203"/>
      <c r="N29" s="204"/>
      <c r="O29" s="203"/>
      <c r="P29" s="204"/>
      <c r="Q29" s="203"/>
      <c r="R29" s="204"/>
      <c r="S29" s="203"/>
      <c r="T29" s="204"/>
      <c r="U29" s="203"/>
      <c r="V29" s="204"/>
      <c r="W29" s="203"/>
      <c r="X29" s="204"/>
      <c r="Y29" s="203"/>
      <c r="Z29" s="204"/>
      <c r="AA29" s="203"/>
      <c r="AB29" s="203"/>
      <c r="AC29" s="158"/>
      <c r="AD29" s="203"/>
      <c r="AE29" s="123"/>
      <c r="AF29" s="122"/>
      <c r="AG29" s="206"/>
      <c r="AH29" s="203"/>
      <c r="AI29" s="158"/>
      <c r="AJ29" s="203"/>
      <c r="AK29" s="204"/>
      <c r="AL29" s="203"/>
      <c r="AM29" s="204"/>
      <c r="AN29" s="203"/>
      <c r="AO29" s="204"/>
      <c r="AP29" s="203"/>
      <c r="AQ29" s="204"/>
      <c r="AR29" s="203"/>
      <c r="AS29" s="204"/>
      <c r="AT29" s="203"/>
      <c r="AU29" s="158"/>
      <c r="AV29" s="203"/>
      <c r="AW29" s="212"/>
      <c r="AX29" s="83"/>
      <c r="AY29" s="84"/>
    </row>
    <row r="30" spans="1:51" s="85" customFormat="1" ht="15.75" customHeight="1" x14ac:dyDescent="0.2">
      <c r="A30" s="78">
        <v>22</v>
      </c>
      <c r="B30" s="158"/>
      <c r="C30" s="157"/>
      <c r="D30" s="158"/>
      <c r="E30" s="157"/>
      <c r="F30" s="158"/>
      <c r="G30" s="157"/>
      <c r="H30" s="158"/>
      <c r="I30" s="157"/>
      <c r="J30" s="162"/>
      <c r="K30" s="157"/>
      <c r="L30" s="158"/>
      <c r="M30" s="157"/>
      <c r="N30" s="156"/>
      <c r="O30" s="157"/>
      <c r="P30" s="156"/>
      <c r="Q30" s="157"/>
      <c r="R30" s="156"/>
      <c r="S30" s="79"/>
      <c r="T30" s="156"/>
      <c r="U30" s="173"/>
      <c r="V30" s="177"/>
      <c r="W30" s="122"/>
      <c r="X30" s="177"/>
      <c r="Y30" s="122"/>
      <c r="Z30" s="177"/>
      <c r="AA30" s="122"/>
      <c r="AB30" s="122"/>
      <c r="AC30" s="177"/>
      <c r="AD30" s="122"/>
      <c r="AE30" s="123"/>
      <c r="AF30" s="122"/>
      <c r="AG30" s="175"/>
      <c r="AH30" s="122"/>
      <c r="AI30" s="178"/>
      <c r="AJ30" s="122"/>
      <c r="AK30" s="177"/>
      <c r="AL30" s="122"/>
      <c r="AM30" s="177"/>
      <c r="AN30" s="122"/>
      <c r="AO30" s="177"/>
      <c r="AP30" s="122"/>
      <c r="AQ30" s="177"/>
      <c r="AR30" s="122"/>
      <c r="AS30" s="177"/>
      <c r="AT30" s="122"/>
      <c r="AU30" s="178"/>
      <c r="AV30" s="122"/>
      <c r="AW30" s="176"/>
      <c r="AX30" s="83"/>
      <c r="AY30" s="84"/>
    </row>
    <row r="31" spans="1:51" s="85" customFormat="1" ht="15.75" customHeight="1" x14ac:dyDescent="0.2">
      <c r="A31" s="78">
        <v>23</v>
      </c>
      <c r="B31" s="158"/>
      <c r="C31" s="157"/>
      <c r="D31" s="158"/>
      <c r="E31" s="157"/>
      <c r="F31" s="158"/>
      <c r="G31" s="157"/>
      <c r="H31" s="158"/>
      <c r="I31" s="157"/>
      <c r="J31" s="162"/>
      <c r="K31" s="157"/>
      <c r="L31" s="158"/>
      <c r="M31" s="157"/>
      <c r="N31" s="156"/>
      <c r="O31" s="157"/>
      <c r="P31" s="156"/>
      <c r="Q31" s="157"/>
      <c r="R31" s="156"/>
      <c r="S31" s="79"/>
      <c r="T31" s="156"/>
      <c r="U31" s="173"/>
      <c r="V31" s="177"/>
      <c r="W31" s="122"/>
      <c r="X31" s="177"/>
      <c r="Y31" s="122"/>
      <c r="Z31" s="177"/>
      <c r="AA31" s="122"/>
      <c r="AB31" s="122"/>
      <c r="AC31" s="177"/>
      <c r="AD31" s="122"/>
      <c r="AE31" s="123"/>
      <c r="AF31" s="122"/>
      <c r="AG31" s="175"/>
      <c r="AH31" s="122"/>
      <c r="AI31" s="178"/>
      <c r="AJ31" s="122"/>
      <c r="AK31" s="177"/>
      <c r="AL31" s="122"/>
      <c r="AM31" s="177"/>
      <c r="AN31" s="122"/>
      <c r="AO31" s="177"/>
      <c r="AP31" s="122"/>
      <c r="AQ31" s="177"/>
      <c r="AR31" s="122"/>
      <c r="AS31" s="177"/>
      <c r="AT31" s="122"/>
      <c r="AU31" s="178"/>
      <c r="AV31" s="122"/>
      <c r="AW31" s="176"/>
      <c r="AX31" s="83"/>
      <c r="AY31" s="84"/>
    </row>
    <row r="32" spans="1:51" s="85" customFormat="1" ht="15.75" customHeight="1" x14ac:dyDescent="0.2">
      <c r="A32" s="78">
        <v>24</v>
      </c>
      <c r="B32" s="158"/>
      <c r="C32" s="157"/>
      <c r="D32" s="158"/>
      <c r="E32" s="157"/>
      <c r="F32" s="158"/>
      <c r="G32" s="157"/>
      <c r="H32" s="158"/>
      <c r="I32" s="157"/>
      <c r="J32" s="162"/>
      <c r="K32" s="157"/>
      <c r="L32" s="158"/>
      <c r="M32" s="157"/>
      <c r="N32" s="156"/>
      <c r="O32" s="157"/>
      <c r="P32" s="156"/>
      <c r="Q32" s="157"/>
      <c r="R32" s="156"/>
      <c r="S32" s="79"/>
      <c r="T32" s="156"/>
      <c r="U32" s="173"/>
      <c r="V32" s="177"/>
      <c r="W32" s="122"/>
      <c r="X32" s="177"/>
      <c r="Y32" s="122"/>
      <c r="Z32" s="177"/>
      <c r="AA32" s="122"/>
      <c r="AB32" s="122"/>
      <c r="AC32" s="177"/>
      <c r="AD32" s="122"/>
      <c r="AE32" s="123"/>
      <c r="AF32" s="122"/>
      <c r="AG32" s="175"/>
      <c r="AH32" s="122"/>
      <c r="AI32" s="178"/>
      <c r="AJ32" s="122"/>
      <c r="AK32" s="177"/>
      <c r="AL32" s="122"/>
      <c r="AM32" s="177"/>
      <c r="AN32" s="122"/>
      <c r="AO32" s="177"/>
      <c r="AP32" s="122"/>
      <c r="AQ32" s="177"/>
      <c r="AR32" s="122"/>
      <c r="AS32" s="177"/>
      <c r="AT32" s="122"/>
      <c r="AU32" s="178"/>
      <c r="AV32" s="122"/>
      <c r="AW32" s="176"/>
      <c r="AX32" s="83"/>
      <c r="AY32" s="84"/>
    </row>
    <row r="33" spans="1:51" s="85" customFormat="1" ht="15.75" customHeight="1" x14ac:dyDescent="0.2">
      <c r="A33" s="78">
        <v>25</v>
      </c>
      <c r="B33" s="158"/>
      <c r="C33" s="157"/>
      <c r="D33" s="158"/>
      <c r="E33" s="157"/>
      <c r="F33" s="158"/>
      <c r="G33" s="157"/>
      <c r="H33" s="158"/>
      <c r="I33" s="157"/>
      <c r="J33" s="162"/>
      <c r="K33" s="157"/>
      <c r="L33" s="158"/>
      <c r="M33" s="157"/>
      <c r="N33" s="156"/>
      <c r="O33" s="157"/>
      <c r="P33" s="156"/>
      <c r="Q33" s="157"/>
      <c r="R33" s="156"/>
      <c r="S33" s="79"/>
      <c r="T33" s="156"/>
      <c r="U33" s="173"/>
      <c r="V33" s="177"/>
      <c r="W33" s="122"/>
      <c r="X33" s="177"/>
      <c r="Y33" s="122"/>
      <c r="Z33" s="177"/>
      <c r="AA33" s="122"/>
      <c r="AB33" s="122"/>
      <c r="AC33" s="177"/>
      <c r="AD33" s="122"/>
      <c r="AE33" s="123"/>
      <c r="AF33" s="122"/>
      <c r="AG33" s="175"/>
      <c r="AH33" s="122"/>
      <c r="AI33" s="178"/>
      <c r="AJ33" s="122"/>
      <c r="AK33" s="177"/>
      <c r="AL33" s="122"/>
      <c r="AM33" s="177"/>
      <c r="AN33" s="122"/>
      <c r="AO33" s="177"/>
      <c r="AP33" s="122"/>
      <c r="AQ33" s="177"/>
      <c r="AR33" s="122"/>
      <c r="AS33" s="177"/>
      <c r="AT33" s="122"/>
      <c r="AU33" s="178"/>
      <c r="AV33" s="122"/>
      <c r="AW33" s="176"/>
      <c r="AX33" s="83"/>
      <c r="AY33" s="84"/>
    </row>
    <row r="34" spans="1:51" s="85" customFormat="1" ht="15.75" customHeight="1" x14ac:dyDescent="0.2">
      <c r="A34" s="78">
        <v>26</v>
      </c>
      <c r="B34" s="158"/>
      <c r="C34" s="157"/>
      <c r="D34" s="158"/>
      <c r="E34" s="157"/>
      <c r="F34" s="158"/>
      <c r="G34" s="157"/>
      <c r="H34" s="158"/>
      <c r="I34" s="157"/>
      <c r="J34" s="162"/>
      <c r="K34" s="157"/>
      <c r="L34" s="158"/>
      <c r="M34" s="157"/>
      <c r="N34" s="156"/>
      <c r="O34" s="157"/>
      <c r="P34" s="156"/>
      <c r="Q34" s="157"/>
      <c r="R34" s="156"/>
      <c r="S34" s="79"/>
      <c r="T34" s="156"/>
      <c r="U34" s="173"/>
      <c r="V34" s="177"/>
      <c r="W34" s="122"/>
      <c r="X34" s="177"/>
      <c r="Y34" s="122"/>
      <c r="Z34" s="177"/>
      <c r="AA34" s="122"/>
      <c r="AB34" s="122"/>
      <c r="AC34" s="177"/>
      <c r="AD34" s="122"/>
      <c r="AE34" s="123"/>
      <c r="AF34" s="122"/>
      <c r="AG34" s="175"/>
      <c r="AH34" s="122"/>
      <c r="AI34" s="178"/>
      <c r="AJ34" s="122"/>
      <c r="AK34" s="177"/>
      <c r="AL34" s="122"/>
      <c r="AM34" s="177"/>
      <c r="AN34" s="122"/>
      <c r="AO34" s="177"/>
      <c r="AP34" s="122"/>
      <c r="AQ34" s="177"/>
      <c r="AR34" s="122"/>
      <c r="AS34" s="177"/>
      <c r="AT34" s="122"/>
      <c r="AU34" s="178"/>
      <c r="AV34" s="122"/>
      <c r="AW34" s="179"/>
      <c r="AX34" s="83"/>
      <c r="AY34" s="84"/>
    </row>
    <row r="35" spans="1:51" s="85" customFormat="1" ht="15.75" customHeight="1" x14ac:dyDescent="0.2">
      <c r="A35" s="78">
        <v>27</v>
      </c>
      <c r="B35" s="163"/>
      <c r="C35" s="157"/>
      <c r="D35" s="163"/>
      <c r="E35" s="157"/>
      <c r="F35" s="163"/>
      <c r="G35" s="157"/>
      <c r="H35" s="163"/>
      <c r="I35" s="157"/>
      <c r="J35" s="164"/>
      <c r="K35" s="157"/>
      <c r="L35" s="163"/>
      <c r="M35" s="157"/>
      <c r="N35" s="165"/>
      <c r="O35" s="157"/>
      <c r="P35" s="165"/>
      <c r="Q35" s="157"/>
      <c r="R35" s="165"/>
      <c r="S35" s="79"/>
      <c r="T35" s="165"/>
      <c r="U35" s="173"/>
      <c r="V35" s="123"/>
      <c r="W35" s="122"/>
      <c r="X35" s="123"/>
      <c r="Y35" s="122"/>
      <c r="Z35" s="123"/>
      <c r="AA35" s="122"/>
      <c r="AB35" s="122"/>
      <c r="AC35" s="123"/>
      <c r="AD35" s="122"/>
      <c r="AE35" s="123"/>
      <c r="AF35" s="122"/>
      <c r="AG35" s="175"/>
      <c r="AH35" s="122"/>
      <c r="AI35" s="121"/>
      <c r="AJ35" s="122"/>
      <c r="AK35" s="123"/>
      <c r="AL35" s="122"/>
      <c r="AM35" s="123"/>
      <c r="AN35" s="122"/>
      <c r="AO35" s="123"/>
      <c r="AP35" s="122"/>
      <c r="AQ35" s="123"/>
      <c r="AR35" s="122"/>
      <c r="AS35" s="123"/>
      <c r="AT35" s="122"/>
      <c r="AU35" s="121"/>
      <c r="AV35" s="122"/>
      <c r="AW35" s="176"/>
      <c r="AX35" s="83"/>
      <c r="AY35" s="84"/>
    </row>
    <row r="36" spans="1:51" s="85" customFormat="1" ht="15.75" customHeight="1" x14ac:dyDescent="0.2">
      <c r="A36" s="78">
        <v>28</v>
      </c>
      <c r="B36" s="163"/>
      <c r="C36" s="157"/>
      <c r="D36" s="163"/>
      <c r="E36" s="157"/>
      <c r="F36" s="163"/>
      <c r="G36" s="157"/>
      <c r="H36" s="163"/>
      <c r="I36" s="157"/>
      <c r="J36" s="164"/>
      <c r="K36" s="157"/>
      <c r="L36" s="163"/>
      <c r="M36" s="157"/>
      <c r="N36" s="165"/>
      <c r="O36" s="157"/>
      <c r="P36" s="165"/>
      <c r="Q36" s="157"/>
      <c r="R36" s="165"/>
      <c r="S36" s="79"/>
      <c r="T36" s="165"/>
      <c r="U36" s="173"/>
      <c r="V36" s="123"/>
      <c r="W36" s="122"/>
      <c r="X36" s="121"/>
      <c r="Y36" s="122"/>
      <c r="Z36" s="123"/>
      <c r="AA36" s="122"/>
      <c r="AB36" s="122"/>
      <c r="AC36" s="123"/>
      <c r="AD36" s="122"/>
      <c r="AE36" s="123"/>
      <c r="AF36" s="122"/>
      <c r="AG36" s="175"/>
      <c r="AH36" s="122"/>
      <c r="AI36" s="121"/>
      <c r="AJ36" s="122"/>
      <c r="AK36" s="123"/>
      <c r="AL36" s="122"/>
      <c r="AM36" s="123"/>
      <c r="AN36" s="122"/>
      <c r="AO36" s="123"/>
      <c r="AP36" s="122"/>
      <c r="AQ36" s="123"/>
      <c r="AR36" s="122"/>
      <c r="AS36" s="123"/>
      <c r="AT36" s="122"/>
      <c r="AU36" s="121"/>
      <c r="AV36" s="122"/>
      <c r="AW36" s="176"/>
      <c r="AX36" s="83"/>
      <c r="AY36" s="84"/>
    </row>
    <row r="37" spans="1:51" s="85" customFormat="1" ht="15.75" customHeight="1" x14ac:dyDescent="0.2">
      <c r="A37" s="78">
        <v>29</v>
      </c>
      <c r="B37" s="163"/>
      <c r="C37" s="157"/>
      <c r="D37" s="163"/>
      <c r="E37" s="157"/>
      <c r="F37" s="163"/>
      <c r="G37" s="157"/>
      <c r="H37" s="163"/>
      <c r="I37" s="157"/>
      <c r="J37" s="164"/>
      <c r="K37" s="157"/>
      <c r="L37" s="163"/>
      <c r="M37" s="157"/>
      <c r="N37" s="165"/>
      <c r="O37" s="157"/>
      <c r="P37" s="165"/>
      <c r="Q37" s="157"/>
      <c r="R37" s="165"/>
      <c r="S37" s="79"/>
      <c r="T37" s="165"/>
      <c r="U37" s="173"/>
      <c r="V37" s="121"/>
      <c r="W37" s="122"/>
      <c r="X37" s="121"/>
      <c r="Y37" s="122"/>
      <c r="Z37" s="123"/>
      <c r="AA37" s="122"/>
      <c r="AB37" s="122"/>
      <c r="AC37" s="123"/>
      <c r="AD37" s="122"/>
      <c r="AE37" s="123"/>
      <c r="AF37" s="122"/>
      <c r="AG37" s="175"/>
      <c r="AH37" s="122"/>
      <c r="AI37" s="121"/>
      <c r="AJ37" s="122"/>
      <c r="AK37" s="123"/>
      <c r="AL37" s="122"/>
      <c r="AM37" s="123"/>
      <c r="AN37" s="122"/>
      <c r="AO37" s="123"/>
      <c r="AP37" s="122"/>
      <c r="AQ37" s="123"/>
      <c r="AR37" s="122"/>
      <c r="AS37" s="123"/>
      <c r="AT37" s="122"/>
      <c r="AU37" s="121"/>
      <c r="AV37" s="122"/>
      <c r="AW37" s="176"/>
      <c r="AX37" s="83"/>
      <c r="AY37" s="84"/>
    </row>
    <row r="38" spans="1:51" s="85" customFormat="1" ht="15.75" customHeight="1" x14ac:dyDescent="0.2">
      <c r="A38" s="78">
        <v>30</v>
      </c>
      <c r="B38" s="168"/>
      <c r="C38" s="169"/>
      <c r="D38" s="168"/>
      <c r="E38" s="169"/>
      <c r="F38" s="168"/>
      <c r="G38" s="169"/>
      <c r="H38" s="168"/>
      <c r="I38" s="169"/>
      <c r="J38" s="170"/>
      <c r="K38" s="169"/>
      <c r="L38" s="168"/>
      <c r="M38" s="169"/>
      <c r="N38" s="171"/>
      <c r="O38" s="169"/>
      <c r="P38" s="171"/>
      <c r="Q38" s="169"/>
      <c r="R38" s="171"/>
      <c r="S38" s="79"/>
      <c r="T38" s="171"/>
      <c r="U38" s="174"/>
      <c r="V38" s="121"/>
      <c r="W38" s="122"/>
      <c r="X38" s="121"/>
      <c r="Y38" s="122"/>
      <c r="Z38" s="123"/>
      <c r="AA38" s="122"/>
      <c r="AB38" s="122"/>
      <c r="AC38" s="123"/>
      <c r="AD38" s="122"/>
      <c r="AE38" s="123"/>
      <c r="AF38" s="122"/>
      <c r="AG38" s="175"/>
      <c r="AH38" s="122"/>
      <c r="AI38" s="121"/>
      <c r="AJ38" s="122"/>
      <c r="AK38" s="123"/>
      <c r="AL38" s="122"/>
      <c r="AM38" s="123"/>
      <c r="AN38" s="122"/>
      <c r="AO38" s="123"/>
      <c r="AP38" s="122"/>
      <c r="AQ38" s="123"/>
      <c r="AR38" s="122"/>
      <c r="AS38" s="123"/>
      <c r="AT38" s="122"/>
      <c r="AU38" s="121"/>
      <c r="AV38" s="122"/>
      <c r="AW38" s="176"/>
      <c r="AX38" s="83" t="s">
        <v>73</v>
      </c>
      <c r="AY38" s="84" t="s">
        <v>74</v>
      </c>
    </row>
    <row r="39" spans="1:51" s="85" customFormat="1" ht="15.75" hidden="1" customHeight="1" x14ac:dyDescent="0.2">
      <c r="A39" s="148">
        <v>30</v>
      </c>
      <c r="B39" s="147"/>
      <c r="C39" s="79"/>
      <c r="D39" s="80"/>
      <c r="E39" s="79"/>
      <c r="F39" s="80"/>
      <c r="G39" s="79"/>
      <c r="H39" s="80"/>
      <c r="I39" s="79"/>
      <c r="J39" s="81"/>
      <c r="K39" s="79"/>
      <c r="L39" s="80"/>
      <c r="M39" s="79"/>
      <c r="N39" s="82"/>
      <c r="O39" s="79"/>
      <c r="P39" s="82"/>
      <c r="Q39" s="79"/>
      <c r="R39" s="82"/>
      <c r="S39" s="79"/>
      <c r="T39" s="82"/>
      <c r="U39" s="172"/>
      <c r="V39" s="121"/>
      <c r="W39" s="122"/>
      <c r="X39" s="121"/>
      <c r="Y39" s="122"/>
      <c r="Z39" s="123"/>
      <c r="AA39" s="122"/>
      <c r="AB39" s="122"/>
      <c r="AC39" s="123"/>
      <c r="AD39" s="122"/>
      <c r="AE39" s="123"/>
      <c r="AF39" s="122"/>
      <c r="AG39" s="175"/>
      <c r="AH39" s="122"/>
      <c r="AI39" s="121"/>
      <c r="AJ39" s="122"/>
      <c r="AK39" s="123"/>
      <c r="AL39" s="122"/>
      <c r="AM39" s="123"/>
      <c r="AN39" s="122"/>
      <c r="AO39" s="123"/>
      <c r="AP39" s="122"/>
      <c r="AQ39" s="123"/>
      <c r="AR39" s="122"/>
      <c r="AS39" s="123"/>
      <c r="AT39" s="122"/>
      <c r="AU39" s="121"/>
      <c r="AV39" s="122"/>
      <c r="AW39" s="176"/>
      <c r="AX39" s="83"/>
      <c r="AY39" s="84"/>
    </row>
    <row r="40" spans="1:51" s="85" customFormat="1" ht="15.75" customHeight="1" thickBot="1" x14ac:dyDescent="0.25">
      <c r="A40" s="120" t="s">
        <v>17</v>
      </c>
      <c r="B40" s="149"/>
      <c r="C40" s="125"/>
      <c r="D40" s="124"/>
      <c r="E40" s="125"/>
      <c r="F40" s="124"/>
      <c r="G40" s="125"/>
      <c r="H40" s="124"/>
      <c r="I40" s="125"/>
      <c r="J40" s="126"/>
      <c r="K40" s="125"/>
      <c r="L40" s="124"/>
      <c r="M40" s="125"/>
      <c r="N40" s="127"/>
      <c r="O40" s="125"/>
      <c r="P40" s="127"/>
      <c r="Q40" s="125"/>
      <c r="R40" s="127"/>
      <c r="S40" s="125"/>
      <c r="T40" s="127"/>
      <c r="U40" s="125"/>
      <c r="V40" s="127"/>
      <c r="W40" s="125"/>
      <c r="X40" s="127"/>
      <c r="Y40" s="125"/>
      <c r="Z40" s="127"/>
      <c r="AA40" s="125"/>
      <c r="AB40" s="125"/>
      <c r="AC40" s="127"/>
      <c r="AD40" s="125"/>
      <c r="AE40" s="127"/>
      <c r="AF40" s="125"/>
      <c r="AG40" s="128"/>
      <c r="AH40" s="125"/>
      <c r="AI40" s="129"/>
      <c r="AJ40" s="125"/>
      <c r="AK40" s="130"/>
      <c r="AL40" s="125"/>
      <c r="AM40" s="130"/>
      <c r="AN40" s="125"/>
      <c r="AO40" s="130"/>
      <c r="AP40" s="125"/>
      <c r="AQ40" s="130"/>
      <c r="AR40" s="125"/>
      <c r="AS40" s="130"/>
      <c r="AT40" s="125"/>
      <c r="AU40" s="129"/>
      <c r="AV40" s="125"/>
      <c r="AW40" s="125"/>
      <c r="AX40" s="83" t="s">
        <v>73</v>
      </c>
      <c r="AY40" s="84" t="s">
        <v>74</v>
      </c>
    </row>
    <row r="41" spans="1:51" s="85" customFormat="1" ht="12.75" customHeight="1" x14ac:dyDescent="0.2">
      <c r="A41" s="3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7"/>
      <c r="T41" s="87"/>
      <c r="U41" s="87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42"/>
      <c r="AH41" s="42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42"/>
      <c r="AU41" s="36"/>
      <c r="AV41" s="36"/>
      <c r="AW41" s="42"/>
    </row>
    <row r="42" spans="1:51" s="85" customFormat="1" ht="15" customHeight="1" x14ac:dyDescent="0.2">
      <c r="A42" s="36"/>
      <c r="B42" s="87"/>
      <c r="C42" s="87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36"/>
      <c r="P42" s="86"/>
      <c r="Q42" s="86"/>
      <c r="R42" s="87"/>
      <c r="S42" s="87"/>
      <c r="T42" s="87"/>
      <c r="U42" s="87"/>
      <c r="V42" s="88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42"/>
      <c r="AH42" s="42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42"/>
      <c r="AU42" s="36"/>
      <c r="AV42" s="36"/>
      <c r="AW42" s="42"/>
    </row>
    <row r="43" spans="1:51" s="85" customFormat="1" ht="1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:51" s="85" customFormat="1" ht="18" customHeight="1" x14ac:dyDescent="0.3">
      <c r="A44" s="89" t="s">
        <v>75</v>
      </c>
      <c r="B44" s="90"/>
      <c r="C44" s="91"/>
      <c r="D44" s="36"/>
      <c r="E44" s="36"/>
      <c r="F44" s="36"/>
      <c r="G44" s="41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:51" s="85" customFormat="1" ht="18" customHeight="1" x14ac:dyDescent="0.3">
      <c r="A45" s="92"/>
      <c r="B45" s="93"/>
      <c r="C45" s="94"/>
      <c r="D45" s="95"/>
      <c r="E45" s="95"/>
      <c r="F45" s="95"/>
      <c r="G45" s="41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:51" ht="18" customHeight="1" x14ac:dyDescent="0.25">
      <c r="B46" s="96"/>
      <c r="G46" s="41"/>
      <c r="AH46" s="37"/>
      <c r="AW46" s="37"/>
    </row>
    <row r="47" spans="1:51" ht="18" customHeight="1" x14ac:dyDescent="0.25">
      <c r="B47" s="97"/>
      <c r="G47" s="41"/>
      <c r="AH47" s="37"/>
      <c r="AW47" s="37"/>
    </row>
    <row r="48" spans="1:51" ht="18" customHeight="1" x14ac:dyDescent="0.25">
      <c r="B48" s="96"/>
      <c r="AH48" s="37"/>
      <c r="AW48" s="37"/>
    </row>
    <row r="49" spans="2:49" ht="18" customHeight="1" x14ac:dyDescent="0.25">
      <c r="B49" s="98"/>
      <c r="AH49" s="37"/>
      <c r="AW49" s="37"/>
    </row>
    <row r="50" spans="2:49" ht="18" customHeight="1" x14ac:dyDescent="0.25">
      <c r="B50" s="98"/>
      <c r="AH50" s="37"/>
      <c r="AW50" s="37"/>
    </row>
    <row r="51" spans="2:49" ht="18" customHeight="1" x14ac:dyDescent="0.25">
      <c r="AH51" s="37"/>
      <c r="AW51" s="37"/>
    </row>
    <row r="52" spans="2:49" ht="18" customHeight="1" x14ac:dyDescent="0.25">
      <c r="AH52" s="37"/>
      <c r="AW52" s="37"/>
    </row>
    <row r="53" spans="2:49" ht="18" customHeight="1" x14ac:dyDescent="0.25">
      <c r="AH53" s="37"/>
      <c r="AW53" s="37"/>
    </row>
    <row r="54" spans="2:49" ht="18" customHeight="1" x14ac:dyDescent="0.25"/>
    <row r="55" spans="2:49" ht="18" customHeight="1" x14ac:dyDescent="0.25"/>
    <row r="56" spans="2:49" ht="18" customHeight="1" x14ac:dyDescent="0.25"/>
  </sheetData>
  <mergeCells count="2">
    <mergeCell ref="I4:R4"/>
    <mergeCell ref="D6:F6"/>
  </mergeCells>
  <conditionalFormatting sqref="AV35:AV39 AA35:AA39 Y35:Y39 W35:W39 U35:U39 Q35:Q39 O35:O39 AJ35:AJ39 AH35:AH39 AD35:AD39">
    <cfRule type="cellIs" dxfId="43" priority="61" operator="greaterThan">
      <formula>15</formula>
    </cfRule>
  </conditionalFormatting>
  <conditionalFormatting sqref="U35:U39 AJ35:AJ39 AD35:AD39">
    <cfRule type="cellIs" dxfId="42" priority="60" operator="greaterThan">
      <formula>15</formula>
    </cfRule>
  </conditionalFormatting>
  <conditionalFormatting sqref="Y35:Y39 AD35:AD39">
    <cfRule type="cellIs" dxfId="41" priority="58" operator="greaterThan">
      <formula>15</formula>
    </cfRule>
    <cfRule type="cellIs" dxfId="40" priority="59" operator="greaterThan">
      <formula>15</formula>
    </cfRule>
  </conditionalFormatting>
  <conditionalFormatting sqref="U35:U39">
    <cfRule type="cellIs" dxfId="39" priority="56" operator="greaterThan">
      <formula>10</formula>
    </cfRule>
  </conditionalFormatting>
  <conditionalFormatting sqref="M35:M39 G35:G39 I35:I39 K35:K39 E35:E39">
    <cfRule type="cellIs" dxfId="38" priority="48" operator="greaterThan">
      <formula>15</formula>
    </cfRule>
  </conditionalFormatting>
  <conditionalFormatting sqref="C35:C39">
    <cfRule type="cellIs" dxfId="37" priority="43" operator="greaterThan">
      <formula>15</formula>
    </cfRule>
  </conditionalFormatting>
  <conditionalFormatting sqref="C35:C39">
    <cfRule type="cellIs" dxfId="36" priority="42" operator="greaterThan">
      <formula>15</formula>
    </cfRule>
  </conditionalFormatting>
  <conditionalFormatting sqref="C35:C39">
    <cfRule type="cellIs" dxfId="35" priority="40" operator="greaterThan">
      <formula>15</formula>
    </cfRule>
    <cfRule type="cellIs" dxfId="34" priority="41" operator="greaterThan">
      <formula>15</formula>
    </cfRule>
  </conditionalFormatting>
  <conditionalFormatting sqref="O30:O34 M30:M34 U30:U34 W30:W34 Y30:Y34 AD30:AD34 C30:C34 E30:E34 G30:G34 K30:K34 AA30:AA34 Q30:Q34 I30:I34">
    <cfRule type="cellIs" dxfId="33" priority="38" operator="greaterThan">
      <formula>15</formula>
    </cfRule>
  </conditionalFormatting>
  <conditionalFormatting sqref="U30:U34 AD30:AD34 C30:C34">
    <cfRule type="cellIs" dxfId="32" priority="37" operator="greaterThan">
      <formula>15</formula>
    </cfRule>
  </conditionalFormatting>
  <conditionalFormatting sqref="Y30:Y34 AD30:AD34 C30:C34">
    <cfRule type="cellIs" dxfId="31" priority="35" operator="greaterThan">
      <formula>15</formula>
    </cfRule>
    <cfRule type="cellIs" dxfId="30" priority="36" operator="greaterThan">
      <formula>15</formula>
    </cfRule>
  </conditionalFormatting>
  <conditionalFormatting sqref="U30:U34">
    <cfRule type="cellIs" dxfId="29" priority="34" operator="greaterThan">
      <formula>10</formula>
    </cfRule>
  </conditionalFormatting>
  <conditionalFormatting sqref="C30">
    <cfRule type="cellIs" dxfId="28" priority="31" operator="greaterThan">
      <formula>15</formula>
    </cfRule>
    <cfRule type="cellIs" dxfId="27" priority="32" operator="greaterThan">
      <formula>" 20 15"</formula>
    </cfRule>
  </conditionalFormatting>
  <conditionalFormatting sqref="AH30:AH34 AJ30:AJ34">
    <cfRule type="cellIs" dxfId="26" priority="30" operator="greaterThan">
      <formula>15</formula>
    </cfRule>
  </conditionalFormatting>
  <conditionalFormatting sqref="AJ30:AJ34">
    <cfRule type="cellIs" dxfId="25" priority="29" operator="greaterThan">
      <formula>15</formula>
    </cfRule>
  </conditionalFormatting>
  <conditionalFormatting sqref="AV30:AV34">
    <cfRule type="cellIs" dxfId="24" priority="28" operator="greaterThan">
      <formula>15</formula>
    </cfRule>
  </conditionalFormatting>
  <conditionalFormatting sqref="O35:O37 M35:M37 U35:U37 W35:W37 Y35:Y37 C35:C37 E35:E37 G35:G37 K35:K37 AA35:AA37 Q35:Q37 I35:I37">
    <cfRule type="cellIs" dxfId="23" priority="27" operator="greaterThan">
      <formula>15</formula>
    </cfRule>
  </conditionalFormatting>
  <conditionalFormatting sqref="U35:U37 C35:C37">
    <cfRule type="cellIs" dxfId="22" priority="26" operator="greaterThan">
      <formula>15</formula>
    </cfRule>
  </conditionalFormatting>
  <conditionalFormatting sqref="Y35:Y37 C35:C37">
    <cfRule type="cellIs" dxfId="21" priority="24" operator="greaterThan">
      <formula>15</formula>
    </cfRule>
    <cfRule type="cellIs" dxfId="20" priority="25" operator="greaterThan">
      <formula>15</formula>
    </cfRule>
  </conditionalFormatting>
  <conditionalFormatting sqref="U35:U37">
    <cfRule type="cellIs" dxfId="19" priority="23" operator="greaterThan">
      <formula>10</formula>
    </cfRule>
  </conditionalFormatting>
  <conditionalFormatting sqref="AD35:AD37 AH35:AH37 AJ35:AJ37">
    <cfRule type="cellIs" dxfId="18" priority="22" operator="greaterThan">
      <formula>15</formula>
    </cfRule>
  </conditionalFormatting>
  <conditionalFormatting sqref="AD35:AD37 AJ35:AJ37">
    <cfRule type="cellIs" dxfId="17" priority="21" operator="greaterThan">
      <formula>15</formula>
    </cfRule>
  </conditionalFormatting>
  <conditionalFormatting sqref="AD35:AD37">
    <cfRule type="cellIs" dxfId="16" priority="19" operator="greaterThan">
      <formula>15</formula>
    </cfRule>
    <cfRule type="cellIs" dxfId="15" priority="20" operator="greaterThan">
      <formula>15</formula>
    </cfRule>
  </conditionalFormatting>
  <conditionalFormatting sqref="AV35:AV37">
    <cfRule type="cellIs" dxfId="14" priority="18" operator="greaterThan">
      <formula>15</formula>
    </cfRule>
  </conditionalFormatting>
  <conditionalFormatting sqref="O38 M38 U38 W38 Y38 AD38 AH38 C38 E38 G38 K38 AJ38 AA38 Q38 I38">
    <cfRule type="cellIs" dxfId="13" priority="17" operator="greaterThan">
      <formula>15</formula>
    </cfRule>
  </conditionalFormatting>
  <conditionalFormatting sqref="U38 AD38 C38 AJ38">
    <cfRule type="cellIs" dxfId="12" priority="16" operator="greaterThan">
      <formula>15</formula>
    </cfRule>
  </conditionalFormatting>
  <conditionalFormatting sqref="Y38 AD38 C38">
    <cfRule type="cellIs" dxfId="11" priority="14" operator="greaterThan">
      <formula>15</formula>
    </cfRule>
    <cfRule type="cellIs" dxfId="10" priority="15" operator="greaterThan">
      <formula>15</formula>
    </cfRule>
  </conditionalFormatting>
  <conditionalFormatting sqref="U38">
    <cfRule type="cellIs" dxfId="9" priority="13" operator="greaterThan">
      <formula>10</formula>
    </cfRule>
  </conditionalFormatting>
  <conditionalFormatting sqref="AV38">
    <cfRule type="cellIs" dxfId="8" priority="12" operator="greaterThan">
      <formula>15</formula>
    </cfRule>
  </conditionalFormatting>
  <conditionalFormatting sqref="S30:S39">
    <cfRule type="cellIs" dxfId="7" priority="11" operator="greaterThan">
      <formula>15</formula>
    </cfRule>
  </conditionalFormatting>
  <conditionalFormatting sqref="S30:S39">
    <cfRule type="cellIs" dxfId="6" priority="10" operator="greaterThan">
      <formula>15</formula>
    </cfRule>
  </conditionalFormatting>
  <conditionalFormatting sqref="S30:S39">
    <cfRule type="cellIs" dxfId="5" priority="9" operator="greaterThan">
      <formula>10</formula>
    </cfRule>
  </conditionalFormatting>
  <conditionalFormatting sqref="AD38:AD39">
    <cfRule type="cellIs" dxfId="4" priority="8" operator="greaterThan">
      <formula>10</formula>
    </cfRule>
  </conditionalFormatting>
  <conditionalFormatting sqref="AD38:AD39">
    <cfRule type="cellIs" dxfId="3" priority="4" operator="greaterThan">
      <formula>15</formula>
    </cfRule>
  </conditionalFormatting>
  <conditionalFormatting sqref="AD38:AD39">
    <cfRule type="cellIs" dxfId="2" priority="3" operator="greaterThan">
      <formula>15</formula>
    </cfRule>
  </conditionalFormatting>
  <conditionalFormatting sqref="AD38:AD39">
    <cfRule type="cellIs" dxfId="1" priority="1" operator="greaterThan">
      <formula>15</formula>
    </cfRule>
    <cfRule type="cellIs" dxfId="0" priority="2" operator="greaterThan">
      <formula>15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2021-04-12T06:58:37Z</dcterms:modified>
  <cp:category/>
  <cp:contentStatus/>
</cp:coreProperties>
</file>