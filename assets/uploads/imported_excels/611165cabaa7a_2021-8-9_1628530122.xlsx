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<sst xmlns="http://schemas.openxmlformats.org/spreadsheetml/2006/main" count="313" uniqueCount="148">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</sst>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 t="e">
        <f>Submetering!E10+Submetering!F10+Submetering!G10+Submetering!H10+Submetering!J10-Submetering!AV10</f>
        <v>#VALUE!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 t="e">
        <f>'FS Desroches Daily'!CM12</f>
        <v>#VALUE!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 t="str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 t="str">
        <f>'FS Desroches Daily'!D12</f>
        <v>0</v>
      </c>
      <c r="F10" s="32" t="str">
        <f>'FS Desroches Daily'!F12</f>
        <v>0</v>
      </c>
      <c r="G10" s="31" t="str">
        <f>'FS Desroches Daily'!H12</f>
        <v>0</v>
      </c>
      <c r="H10" s="32" t="str">
        <f>'FS Desroches Daily'!J12</f>
        <v>0</v>
      </c>
      <c r="I10" s="31" t="str">
        <f>'FS Desroches Daily'!L12</f>
        <v>0</v>
      </c>
      <c r="J10" s="32" t="str">
        <f>'FS Desroches Daily'!N12</f>
        <v/>
      </c>
      <c r="K10" s="13" t="str">
        <f>'FS Desroches Daily'!P12</f>
        <v/>
      </c>
      <c r="L10" s="31" t="str">
        <f>'FS Desroches Daily'!R12</f>
        <v/>
      </c>
      <c r="M10" s="31" t="str">
        <f>'FS Desroches Daily'!T12</f>
        <v/>
      </c>
      <c r="N10" s="31" t="str">
        <f>'FS Desroches Daily'!V12</f>
        <v/>
      </c>
      <c r="O10" s="31" t="str">
        <f>'FS Desroches Daily'!X12</f>
        <v/>
      </c>
      <c r="P10" s="31" t="str">
        <f>'FS Desroches Daily'!Z12</f>
        <v/>
      </c>
      <c r="Q10" s="31" t="str">
        <f>'FS Desroches Daily'!AB12</f>
        <v/>
      </c>
      <c r="R10" s="31" t="str">
        <f>'FS Desroches Daily'!AD12</f>
        <v/>
      </c>
      <c r="S10" s="31" t="str">
        <f>'FS Desroches Daily'!AF12</f>
        <v/>
      </c>
      <c r="T10" s="31" t="str">
        <f>'FS Desroches Daily'!AH12</f>
        <v/>
      </c>
      <c r="U10" s="35" t="str">
        <f>'FS Desroches Daily'!AJ12</f>
        <v/>
      </c>
      <c r="V10" s="35" t="str">
        <f>'FS Desroches Daily'!AL12</f>
        <v/>
      </c>
      <c r="W10" s="35" t="str">
        <f>'FS Desroches Daily'!AN12</f>
        <v/>
      </c>
      <c r="X10" s="35" t="str">
        <f>'FS Desroches Daily'!AP12</f>
        <v/>
      </c>
      <c r="Y10" s="35" t="str">
        <f>'FS Desroches Daily'!AR12</f>
        <v/>
      </c>
      <c r="Z10" s="35" t="str">
        <f>'FS Desroches Daily'!AT12</f>
        <v/>
      </c>
      <c r="AA10" s="35" t="str">
        <f>'FS Desroches Daily'!AT12</f>
        <v/>
      </c>
      <c r="AB10" s="35" t="str">
        <f>'FS Desroches Daily'!AV12</f>
        <v/>
      </c>
      <c r="AC10" s="35" t="str">
        <f>'FS Desroches Daily'!AZ12</f>
        <v/>
      </c>
      <c r="AD10" s="35" t="str">
        <f>'FS Desroches Daily'!BB12</f>
        <v/>
      </c>
      <c r="AE10" s="35" t="str">
        <f>'FS Desroches Daily'!BD12</f>
        <v/>
      </c>
      <c r="AF10" s="31" t="str">
        <f>'FS Desroches Daily'!BF12</f>
        <v/>
      </c>
      <c r="AG10" s="32" t="str">
        <f>'FS Desroches Daily'!BH12</f>
        <v/>
      </c>
      <c r="AH10" s="32" t="str">
        <f>'FS Desroches Daily'!BJ12</f>
        <v/>
      </c>
      <c r="AI10" s="32" t="str">
        <f>'FS Desroches Daily'!BL12</f>
        <v/>
      </c>
      <c r="AJ10" s="32" t="str">
        <f>'FS Desroches Daily'!BN12</f>
        <v/>
      </c>
      <c r="AK10" s="32" t="str">
        <f>'FS Desroches Daily'!BP12</f>
        <v/>
      </c>
      <c r="AL10" s="32" t="str">
        <f>'FS Desroches Daily'!BR12</f>
        <v/>
      </c>
      <c r="AM10" s="32" t="str">
        <f>'FS Desroches Daily'!BT12</f>
        <v/>
      </c>
      <c r="AN10" s="32" t="str">
        <f>'FS Desroches Daily'!BV12</f>
        <v/>
      </c>
      <c r="AO10" s="32" t="str">
        <f>'FS Desroches Daily'!BX12</f>
        <v/>
      </c>
      <c r="AP10" s="32" t="str">
        <f>'FS Desroches Daily'!BZ12</f>
        <v/>
      </c>
      <c r="AQ10" s="31" t="str">
        <f>'FS Desroches Daily'!CB12</f>
        <v/>
      </c>
      <c r="AR10" s="31" t="str">
        <f>'FS Desroches Daily'!CD12</f>
        <v/>
      </c>
      <c r="AS10" s="31" t="str">
        <f>'FS Desroches Daily'!CF12</f>
        <v/>
      </c>
      <c r="AT10" s="31" t="str">
        <f>'FS Desroches Daily'!CH12</f>
        <v/>
      </c>
      <c r="AU10" s="31" t="str">
        <f>'FS Desroches Daily'!CJ12</f>
        <v/>
      </c>
      <c r="AV10" s="31" t="str">
        <f>'FS Desroches Daily'!CL12</f>
        <v/>
      </c>
      <c r="AW10" s="31" t="e">
        <f>'FS Desroches Daily'!CM12</f>
        <v>#VALUE!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19899.999999999804</v>
      </c>
      <c r="F33" s="17">
        <f t="shared" ref="F33:BC33" si="1">SUM(F2:F32)</f>
        <v>21099.999999999673</v>
      </c>
      <c r="G33" s="17">
        <f t="shared" si="1"/>
        <v>21599.99999999984</v>
      </c>
      <c r="H33" s="17">
        <f t="shared" si="1"/>
        <v>10099.999999999996</v>
      </c>
      <c r="I33" s="17">
        <f t="shared" si="1"/>
        <v>15800.000000000036</v>
      </c>
      <c r="J33" s="17">
        <f t="shared" si="1"/>
        <v>6800.0000000001392</v>
      </c>
      <c r="K33" s="17">
        <f t="shared" si="1"/>
        <v>42</v>
      </c>
      <c r="L33" s="17">
        <f t="shared" si="1"/>
        <v>20</v>
      </c>
      <c r="M33" s="17">
        <f t="shared" si="1"/>
        <v>6.6999999999999318</v>
      </c>
      <c r="N33" s="17">
        <f t="shared" si="1"/>
        <v>2567.5</v>
      </c>
      <c r="O33" s="17">
        <f t="shared" si="1"/>
        <v>2139.9999999999864</v>
      </c>
      <c r="P33" s="17">
        <f t="shared" si="1"/>
        <v>19000.000000000127</v>
      </c>
      <c r="Q33" s="17">
        <f t="shared" si="1"/>
        <v>2210.0000000000364</v>
      </c>
      <c r="R33" s="17">
        <f t="shared" si="1"/>
        <v>2219.9999999999704</v>
      </c>
      <c r="S33" s="17">
        <f t="shared" si="1"/>
        <v>1539.9999999999636</v>
      </c>
      <c r="T33" s="17">
        <f t="shared" si="1"/>
        <v>279</v>
      </c>
      <c r="U33" s="35">
        <f t="shared" si="1"/>
        <v>7289.9999999999636</v>
      </c>
      <c r="V33" s="35">
        <f t="shared" si="1"/>
        <v>1680.0000000000068</v>
      </c>
      <c r="W33" s="35">
        <f t="shared" si="1"/>
        <v>1620.0000000000045</v>
      </c>
      <c r="X33" s="35">
        <f t="shared" si="1"/>
        <v>1599.9999999999943</v>
      </c>
      <c r="Y33" s="35">
        <f t="shared" si="1"/>
        <v>1590.0000000000034</v>
      </c>
      <c r="Z33" s="35">
        <f t="shared" si="1"/>
        <v>1139.9999999999864</v>
      </c>
      <c r="AA33" s="35">
        <f t="shared" si="1"/>
        <v>1139.9999999999864</v>
      </c>
      <c r="AB33" s="35">
        <f t="shared" si="1"/>
        <v>1199.9999999999886</v>
      </c>
      <c r="AC33" s="35">
        <f t="shared" si="1"/>
        <v>309.99999999994543</v>
      </c>
      <c r="AD33" s="35">
        <f t="shared" si="1"/>
        <v>209.99999999997954</v>
      </c>
      <c r="AE33" s="35">
        <f t="shared" si="1"/>
        <v>659.99999999999659</v>
      </c>
      <c r="AF33" s="17">
        <f t="shared" si="1"/>
        <v>228</v>
      </c>
      <c r="AG33" s="32">
        <f t="shared" si="1"/>
        <v>340.00000000000341</v>
      </c>
      <c r="AH33" s="32">
        <f t="shared" si="1"/>
        <v>209.99999999997954</v>
      </c>
      <c r="AI33" s="32">
        <f t="shared" si="1"/>
        <v>229.99999999998977</v>
      </c>
      <c r="AJ33" s="32">
        <f t="shared" si="1"/>
        <v>319.99999999999318</v>
      </c>
      <c r="AK33" s="32">
        <f t="shared" si="1"/>
        <v>380.0000000000523</v>
      </c>
      <c r="AL33" s="32">
        <f t="shared" si="1"/>
        <v>199</v>
      </c>
      <c r="AM33" s="32">
        <f t="shared" si="1"/>
        <v>280.00000000000114</v>
      </c>
      <c r="AN33" s="32">
        <f t="shared" si="1"/>
        <v>315</v>
      </c>
      <c r="AO33" s="32">
        <f t="shared" si="1"/>
        <v>189.99999999999773</v>
      </c>
      <c r="AP33" s="32">
        <f t="shared" si="1"/>
        <v>334</v>
      </c>
      <c r="AQ33" s="17">
        <f t="shared" si="1"/>
        <v>274</v>
      </c>
      <c r="AR33" s="17">
        <f t="shared" si="1"/>
        <v>57</v>
      </c>
      <c r="AS33" s="17">
        <f t="shared" si="1"/>
        <v>53.600000000000364</v>
      </c>
      <c r="AT33" s="17">
        <f t="shared" si="1"/>
        <v>415.5</v>
      </c>
      <c r="AU33" s="17">
        <f t="shared" si="1"/>
        <v>2180</v>
      </c>
      <c r="AV33" s="17">
        <f t="shared" si="1"/>
        <v>5990.0000000000091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45.787500000000001</v>
      </c>
      <c r="BC33" s="17">
        <f t="shared" si="1"/>
        <v>111</v>
      </c>
    </row>
    <row r="35" spans="5:55" x14ac:dyDescent="0.25">
      <c r="E35" s="38">
        <f>E33/E37</f>
        <v>0.28171805543758255</v>
      </c>
      <c r="G35" s="29">
        <f>G33-M36</f>
        <v>19025.799999999839</v>
      </c>
      <c r="AE35" s="35">
        <f>SUM(U33:AE33)</f>
        <v>18439.999999999854</v>
      </c>
      <c r="AG35" s="32">
        <f>SUM(AG33:AP33)</f>
        <v>2798.0000000000168</v>
      </c>
    </row>
    <row r="36" spans="5:55" x14ac:dyDescent="0.25">
      <c r="G36" s="29">
        <f>G35-633*14</f>
        <v>10163.799999999839</v>
      </c>
      <c r="M36" s="29">
        <f>M33+N33</f>
        <v>2574.1999999999998</v>
      </c>
    </row>
    <row r="37" spans="5:55" x14ac:dyDescent="0.25">
      <c r="E37" s="17">
        <f>E33+F33+G33+H33+J33-633*14</f>
        <v>70637.999999999462</v>
      </c>
      <c r="G37" s="37">
        <f>M36/E37</f>
        <v>3.6442141623489049E-2</v>
      </c>
      <c r="M37" s="35">
        <f>AE35</f>
        <v>18439.999999999854</v>
      </c>
    </row>
    <row r="38" spans="5:55" x14ac:dyDescent="0.25">
      <c r="L38" s="27">
        <f>M38/E37</f>
        <v>3.9610407995696907E-2</v>
      </c>
      <c r="M38" s="29">
        <f>AG35</f>
        <v>2798.0000000000168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S1" zoomScale="80" zoomScaleNormal="80" workbookViewId="0">
      <pane ySplit="1" topLeftCell="A2" activePane="bottomLeft" state="frozen"/>
      <selection pane="bottomLeft" activeCell="BE11" sqref="BE1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/>
      <c r="D12" s="64" t="str">
        <f t="shared" si="0"/>
        <v>0</v>
      </c>
      <c r="E12" s="58"/>
      <c r="F12" s="64" t="str">
        <f t="shared" si="1"/>
        <v>0</v>
      </c>
      <c r="G12" s="58"/>
      <c r="H12" s="64" t="str">
        <f t="shared" si="2"/>
        <v>0</v>
      </c>
      <c r="I12" s="58"/>
      <c r="J12" s="64" t="str">
        <f t="shared" si="3"/>
        <v>0</v>
      </c>
      <c r="K12" s="58"/>
      <c r="L12" s="64" t="str">
        <f t="shared" si="4"/>
        <v>0</v>
      </c>
      <c r="M12" s="58"/>
      <c r="N12" s="64" t="str">
        <f t="shared" si="5"/>
        <v/>
      </c>
      <c r="O12" s="58"/>
      <c r="P12" s="67" t="str">
        <f t="shared" si="44"/>
        <v/>
      </c>
      <c r="Q12" s="58"/>
      <c r="R12" s="67" t="str">
        <f t="shared" si="6"/>
        <v/>
      </c>
      <c r="S12" s="58"/>
      <c r="T12" s="67" t="str">
        <f t="shared" si="7"/>
        <v/>
      </c>
      <c r="U12" s="58"/>
      <c r="V12" s="67" t="str">
        <f t="shared" si="8"/>
        <v/>
      </c>
      <c r="W12" s="58"/>
      <c r="X12" s="65" t="str">
        <f t="shared" si="9"/>
        <v/>
      </c>
      <c r="Y12" s="58"/>
      <c r="Z12" s="65" t="str">
        <f t="shared" si="10"/>
        <v/>
      </c>
      <c r="AA12" s="58"/>
      <c r="AB12" s="65" t="str">
        <f t="shared" si="11"/>
        <v/>
      </c>
      <c r="AC12" s="58"/>
      <c r="AD12" s="65" t="str">
        <f t="shared" si="12"/>
        <v/>
      </c>
      <c r="AE12" s="58"/>
      <c r="AF12" s="65" t="str">
        <f t="shared" si="13"/>
        <v/>
      </c>
      <c r="AG12" s="58"/>
      <c r="AH12" s="67" t="str">
        <f t="shared" si="14"/>
        <v/>
      </c>
      <c r="AI12" s="58"/>
      <c r="AJ12" s="65" t="str">
        <f t="shared" si="15"/>
        <v/>
      </c>
      <c r="AK12" s="58"/>
      <c r="AL12" s="65" t="str">
        <f t="shared" si="15"/>
        <v/>
      </c>
      <c r="AM12" s="58"/>
      <c r="AN12" s="65" t="str">
        <f t="shared" si="15"/>
        <v/>
      </c>
      <c r="AO12" s="58"/>
      <c r="AP12" s="65" t="str">
        <f t="shared" si="15"/>
        <v/>
      </c>
      <c r="AQ12" s="58"/>
      <c r="AR12" s="65" t="str">
        <f t="shared" si="16"/>
        <v/>
      </c>
      <c r="AS12" s="58"/>
      <c r="AT12" s="65" t="str">
        <f t="shared" si="17"/>
        <v/>
      </c>
      <c r="AU12" s="58"/>
      <c r="AV12" s="65" t="str">
        <f t="shared" si="18"/>
        <v/>
      </c>
      <c r="AW12" s="58"/>
      <c r="AX12" s="65" t="str">
        <f t="shared" si="19"/>
        <v/>
      </c>
      <c r="AY12" s="58"/>
      <c r="AZ12" s="65" t="str">
        <f t="shared" si="20"/>
        <v/>
      </c>
      <c r="BA12" s="58"/>
      <c r="BB12" s="65" t="str">
        <f t="shared" si="21"/>
        <v/>
      </c>
      <c r="BC12" s="58"/>
      <c r="BD12" s="65" t="str">
        <f t="shared" si="22"/>
        <v/>
      </c>
      <c r="BE12" s="59"/>
      <c r="BF12" s="67" t="str">
        <f t="shared" si="39"/>
        <v/>
      </c>
      <c r="BG12" s="60"/>
      <c r="BH12" s="65" t="str">
        <f t="shared" si="23"/>
        <v/>
      </c>
      <c r="BI12" s="60"/>
      <c r="BJ12" s="65" t="str">
        <f t="shared" si="40"/>
        <v/>
      </c>
      <c r="BK12" s="60"/>
      <c r="BL12" s="65" t="str">
        <f t="shared" si="24"/>
        <v/>
      </c>
      <c r="BM12" s="60"/>
      <c r="BN12" s="65" t="str">
        <f t="shared" si="25"/>
        <v/>
      </c>
      <c r="BO12" s="60"/>
      <c r="BP12" s="65" t="str">
        <f t="shared" si="26"/>
        <v/>
      </c>
      <c r="BQ12" s="60"/>
      <c r="BR12" s="65" t="str">
        <f t="shared" si="27"/>
        <v/>
      </c>
      <c r="BS12" s="60"/>
      <c r="BT12" s="65" t="str">
        <f t="shared" si="42"/>
        <v/>
      </c>
      <c r="BU12" s="60"/>
      <c r="BV12" s="65" t="str">
        <f t="shared" si="29"/>
        <v/>
      </c>
      <c r="BW12" s="60"/>
      <c r="BX12" s="65" t="str">
        <f t="shared" si="30"/>
        <v/>
      </c>
      <c r="BY12" s="60"/>
      <c r="BZ12" s="67" t="str">
        <f t="shared" si="31"/>
        <v/>
      </c>
      <c r="CA12" s="60"/>
      <c r="CB12" s="67" t="str">
        <f t="shared" si="32"/>
        <v/>
      </c>
      <c r="CC12" s="60"/>
      <c r="CD12" s="67" t="str">
        <f t="shared" si="33"/>
        <v/>
      </c>
      <c r="CE12" s="60"/>
      <c r="CF12" s="67" t="str">
        <f t="shared" si="34"/>
        <v/>
      </c>
      <c r="CG12" s="60"/>
      <c r="CH12" s="67" t="str">
        <f t="shared" si="35"/>
        <v/>
      </c>
      <c r="CI12" s="60"/>
      <c r="CJ12" s="67" t="str">
        <f t="shared" si="36"/>
        <v/>
      </c>
      <c r="CK12" s="60"/>
      <c r="CL12" s="64" t="str">
        <f t="shared" si="37"/>
        <v/>
      </c>
      <c r="CM12" s="65" t="e">
        <f t="shared" si="41"/>
        <v>#VALUE!</v>
      </c>
      <c r="CN12" s="62">
        <v>0</v>
      </c>
      <c r="CO12" s="62">
        <v>0</v>
      </c>
      <c r="CP12" s="68"/>
      <c r="CQ12" s="67" t="str">
        <f>IF((CP12-CP11&lt;0), "",CP12-CP11)</f>
        <v/>
      </c>
      <c r="CR12" s="68"/>
      <c r="CS12" s="67" t="str">
        <f t="shared" si="38"/>
        <v/>
      </c>
      <c r="CT12" s="75"/>
      <c r="CU12" s="67" t="str">
        <f t="shared" si="38"/>
        <v/>
      </c>
      <c r="CV12" s="68"/>
      <c r="CW12" s="67" t="str">
        <f t="shared" si="38"/>
        <v/>
      </c>
    </row>
    <row r="13" spans="1:102" ht="25.5" customHeight="1" thickBot="1" x14ac:dyDescent="0.45">
      <c r="A13" s="63">
        <v>44418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44419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44420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44421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44422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44423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44424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44425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44426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44427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44428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44429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44430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44431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44432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N30" sqref="N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-217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2021-08-09T13:09:48Z</dcterms:modified>
</cp:coreProperties>
</file>