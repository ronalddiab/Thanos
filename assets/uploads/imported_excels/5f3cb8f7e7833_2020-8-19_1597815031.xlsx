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<sst xmlns="http://schemas.openxmlformats.org/spreadsheetml/2006/main" count="62" uniqueCount="29">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</sst>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0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0</v>
      </c>
      <c r="J20" s="10">
        <v>3.61E-2</v>
      </c>
      <c r="K20" s="1">
        <f>'Aug 2020 '!I23</f>
        <v>0</v>
      </c>
      <c r="L20" s="10">
        <v>0.75</v>
      </c>
      <c r="M20" s="10">
        <f>'Aug 2020 '!L23</f>
        <v>0</v>
      </c>
      <c r="N20" s="10">
        <v>0.56299999999999994</v>
      </c>
      <c r="O20" s="15">
        <f>'Aug 2020 '!D23</f>
        <v>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0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0</v>
      </c>
      <c r="J21" s="10">
        <v>3.61E-2</v>
      </c>
      <c r="K21" s="1">
        <f>'Aug 2020 '!I24</f>
        <v>0</v>
      </c>
      <c r="L21" s="10">
        <v>0.75</v>
      </c>
      <c r="M21" s="10">
        <f>'Aug 2020 '!L24</f>
        <v>0</v>
      </c>
      <c r="N21" s="10">
        <v>0.56299999999999994</v>
      </c>
      <c r="O21" s="15">
        <f>'Aug 2020 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0</v>
      </c>
      <c r="J22" s="10">
        <v>3.61E-2</v>
      </c>
      <c r="K22" s="1">
        <f>'Aug 2020 '!I25</f>
        <v>0</v>
      </c>
      <c r="L22" s="10">
        <v>0.75</v>
      </c>
      <c r="M22" s="10">
        <f>'Aug 2020 '!L25</f>
        <v>0</v>
      </c>
      <c r="N22" s="10">
        <v>0.56299999999999994</v>
      </c>
      <c r="O22" s="15">
        <f>'Aug 2020 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0</v>
      </c>
      <c r="F23" s="10">
        <v>2.9000000000000001E-2</v>
      </c>
      <c r="G23" s="1">
        <f>'Aug 2020 '!J26</f>
        <v>0</v>
      </c>
      <c r="H23" s="10">
        <v>0.112</v>
      </c>
      <c r="I23" s="1">
        <f>'Aug 2020 '!G26*1000</f>
        <v>0</v>
      </c>
      <c r="J23" s="10">
        <v>3.61E-2</v>
      </c>
      <c r="K23" s="1">
        <f>'Aug 2020 '!I26</f>
        <v>0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0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0</v>
      </c>
      <c r="J24" s="10">
        <v>3.61E-2</v>
      </c>
      <c r="K24" s="1">
        <f>'Aug 2020 '!I27</f>
        <v>0</v>
      </c>
      <c r="L24" s="10">
        <v>0.75</v>
      </c>
      <c r="M24" s="10">
        <f>'Aug 2020 '!L27</f>
        <v>0</v>
      </c>
      <c r="N24" s="10">
        <v>0.56299999999999994</v>
      </c>
      <c r="O24" s="15">
        <f>'Aug 2020 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0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0</v>
      </c>
      <c r="J25" s="10">
        <v>3.61E-2</v>
      </c>
      <c r="K25" s="1">
        <f>'Aug 2020 '!I28</f>
        <v>0</v>
      </c>
      <c r="L25" s="10">
        <v>0.75</v>
      </c>
      <c r="M25" s="10">
        <f>'Aug 2020 '!L28</f>
        <v>0</v>
      </c>
      <c r="N25" s="10">
        <v>0.56299999999999994</v>
      </c>
      <c r="O25" s="15">
        <f>'Aug 2020 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0</v>
      </c>
      <c r="F26" s="10">
        <v>2.9000000000000001E-2</v>
      </c>
      <c r="G26" s="1">
        <f>'Aug 2020 '!J29</f>
        <v>0</v>
      </c>
      <c r="H26" s="10">
        <v>0.112</v>
      </c>
      <c r="I26" s="1">
        <f>'Aug 2020 '!G29*1000</f>
        <v>0</v>
      </c>
      <c r="J26" s="10">
        <v>3.61E-2</v>
      </c>
      <c r="K26" s="1">
        <f>'Aug 2020 '!I29</f>
        <v>0</v>
      </c>
      <c r="L26" s="10">
        <v>0.75</v>
      </c>
      <c r="M26" s="10">
        <f>'Aug 2020 '!L29</f>
        <v>0</v>
      </c>
      <c r="N26" s="10">
        <v>0.56299999999999994</v>
      </c>
      <c r="O26" s="15">
        <f>'Aug 2020 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0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0</v>
      </c>
      <c r="J27" s="10">
        <v>3.61E-2</v>
      </c>
      <c r="K27" s="1">
        <f>'Aug 2020 '!I30</f>
        <v>0</v>
      </c>
      <c r="L27" s="10">
        <v>0.75</v>
      </c>
      <c r="M27" s="10">
        <f>'Aug 2020 '!L30</f>
        <v>0</v>
      </c>
      <c r="N27" s="10">
        <v>0.56299999999999994</v>
      </c>
      <c r="O27" s="15">
        <f>'Aug 2020 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0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0</v>
      </c>
      <c r="J28" s="10">
        <v>3.61E-2</v>
      </c>
      <c r="K28" s="1">
        <f>'Aug 2020 '!I31</f>
        <v>0</v>
      </c>
      <c r="L28" s="10">
        <v>0.75</v>
      </c>
      <c r="M28" s="10">
        <f>'Aug 2020 '!L31</f>
        <v>0</v>
      </c>
      <c r="N28" s="10">
        <v>0.56299999999999994</v>
      </c>
      <c r="O28" s="15">
        <f>'Aug 2020 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0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0</v>
      </c>
      <c r="J29" s="10">
        <v>3.61E-2</v>
      </c>
      <c r="K29" s="1">
        <f>'Aug 2020 '!I32</f>
        <v>0</v>
      </c>
      <c r="L29" s="10">
        <v>0.75</v>
      </c>
      <c r="M29" s="10">
        <f>'Aug 2020 '!L32</f>
        <v>0</v>
      </c>
      <c r="N29" s="10">
        <v>0.56299999999999994</v>
      </c>
      <c r="O29" s="15">
        <f>'Aug 2020 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0</v>
      </c>
      <c r="J30" s="10">
        <v>3.61E-2</v>
      </c>
      <c r="K30" s="1">
        <f>'Aug 2020 '!I33</f>
        <v>0</v>
      </c>
      <c r="L30" s="10">
        <v>0.75</v>
      </c>
      <c r="M30" s="10">
        <f>'Aug 2020 '!L33</f>
        <v>0</v>
      </c>
      <c r="N30" s="10">
        <v>0.56299999999999994</v>
      </c>
      <c r="O30" s="15">
        <f>'Aug 2020 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0</v>
      </c>
      <c r="F31" s="10">
        <v>2.9000000000000001E-2</v>
      </c>
      <c r="G31" s="1">
        <f>'Aug 2020 '!J34</f>
        <v>0</v>
      </c>
      <c r="H31" s="10">
        <v>0.112</v>
      </c>
      <c r="I31" s="1">
        <f>'Aug 2020 '!G34*1000</f>
        <v>0</v>
      </c>
      <c r="J31" s="10">
        <v>3.61E-2</v>
      </c>
      <c r="K31" s="1">
        <f>'Aug 2020 '!I34</f>
        <v>0</v>
      </c>
      <c r="L31" s="10">
        <v>0.75</v>
      </c>
      <c r="M31" s="10">
        <f>'Aug 2020 '!L34</f>
        <v>0</v>
      </c>
      <c r="N31" s="10">
        <v>0.56299999999999994</v>
      </c>
      <c r="O31" s="15">
        <f>'Aug 2020 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0</v>
      </c>
      <c r="F32" s="10">
        <v>2.9000000000000001E-2</v>
      </c>
      <c r="G32" s="1">
        <f>'Aug 2020 '!J35</f>
        <v>0</v>
      </c>
      <c r="H32" s="10">
        <v>0.112</v>
      </c>
      <c r="I32" s="1">
        <f>'Aug 2020 '!G35*1000</f>
        <v>0</v>
      </c>
      <c r="J32" s="10">
        <v>3.61E-2</v>
      </c>
      <c r="K32" s="1">
        <f>'Aug 2020 '!I35</f>
        <v>0</v>
      </c>
      <c r="L32" s="10">
        <v>0.75</v>
      </c>
      <c r="M32" s="10">
        <f>'Aug 2020 '!L35</f>
        <v>0</v>
      </c>
      <c r="N32" s="10">
        <v>0.56299999999999994</v>
      </c>
      <c r="O32" s="15">
        <f>'Aug 2020 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H26" sqref="H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3" si="0">F7-F6</f>
        <v>91</v>
      </c>
      <c r="H6" s="7">
        <v>398412</v>
      </c>
      <c r="I6" s="3">
        <f t="shared" ref="I6:I23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/>
      <c r="E23" s="13"/>
      <c r="F23" s="4">
        <v>176013</v>
      </c>
      <c r="G23" s="8"/>
      <c r="H23" s="4">
        <v>402286</v>
      </c>
      <c r="I23" s="3"/>
      <c r="J23" s="3"/>
      <c r="K23" s="4">
        <v>244857</v>
      </c>
      <c r="L23" s="9"/>
      <c r="N23" s="1"/>
    </row>
    <row r="24" spans="1:14" ht="12" customHeight="1" x14ac:dyDescent="0.2">
      <c r="B24" s="2">
        <v>20</v>
      </c>
      <c r="C24" s="11">
        <v>44063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44064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44065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44066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44068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44069</v>
      </c>
      <c r="D30" s="7"/>
      <c r="E30" s="12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B31" s="2">
        <v>27</v>
      </c>
      <c r="C31" s="11">
        <v>44070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44071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44072</v>
      </c>
      <c r="D33" s="24"/>
      <c r="E33" s="25"/>
      <c r="F33" s="31"/>
      <c r="G33" s="8"/>
      <c r="H33" s="24"/>
      <c r="I33" s="3"/>
      <c r="J33" s="27"/>
      <c r="K33" s="33"/>
      <c r="L33" s="9"/>
      <c r="N33" s="1"/>
    </row>
    <row r="34" spans="2:14" ht="13.5" thickBot="1" x14ac:dyDescent="0.25">
      <c r="B34" s="23">
        <v>30</v>
      </c>
      <c r="C34" s="11">
        <v>44073</v>
      </c>
      <c r="D34" s="22"/>
      <c r="E34" s="3"/>
      <c r="F34" s="22"/>
      <c r="G34" s="8"/>
      <c r="H34" s="22"/>
      <c r="I34" s="3"/>
      <c r="J34" s="29"/>
      <c r="K34" s="33"/>
      <c r="L34" s="9"/>
      <c r="M34" s="16"/>
      <c r="N34" s="1"/>
    </row>
    <row r="35" spans="2:14" ht="13.5" thickBot="1" x14ac:dyDescent="0.25">
      <c r="B35" s="22">
        <v>31</v>
      </c>
      <c r="C35" s="11">
        <v>44074</v>
      </c>
      <c r="D35" s="28"/>
      <c r="E35" s="30"/>
      <c r="F35" s="28"/>
      <c r="G35" s="8"/>
      <c r="H35" s="28"/>
      <c r="I35" s="3"/>
      <c r="J35" s="29"/>
      <c r="K35" s="33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2020-08-19T05:28:37Z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