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9040" windowHeight="15840" tabRatio="620"/>
  </bookViews>
  <sheets>
    <sheet name="TOTAL" sheetId="117" r:id="rId1"/>
    <sheet name="Otemachi Daily" sheetId="119" r:id="rId2"/>
  </sheets>
  <externalReferences>
    <externalReference r:id="rId3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<sst xmlns="http://schemas.openxmlformats.org/spreadsheetml/2006/main" count="66" uniqueCount="32">
  <si>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</si>
  <si>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</si>
  <si>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</si>
  <si>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</si>
  <si>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</si>
  <si>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</si>
  <si>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</si>
  <si>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</si>
  <si>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</si>
  <si>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</si>
  <si>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</si>
  <si>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</si>
  <si>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</si>
  <si>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</si>
  <si>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</si>
  <si>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</si>
  <si>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</si>
  <si>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</si>
  <si>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</si>
  <si>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</si>
  <si>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</si>
  <si>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</si>
  <si>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</si>
  <si>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</si>
  <si>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</si>
  <si>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Total Electricity KWh</t>
  </si>
  <si>
    <t>District Energy Heating KWh</t>
  </si>
  <si>
    <t>District Energy Heating $/KWh</t>
  </si>
  <si>
    <t>Electricity Tariff ($/Kwh)</t>
  </si>
  <si>
    <t>Natual Gas (M3)</t>
  </si>
  <si>
    <t>District Energy Cooling Kwh</t>
  </si>
  <si>
    <t>District Energy Cooling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</si>
</sst>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1\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148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143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982.57859999999994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22794.879000000001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14944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115.15997475903774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H5" sqref="H5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0">
      <c r="A1" s="1" t="s">
        <v>0</v>
      </c>
      <c r="B1" s="1" t="s">
        <v>1</v>
      </c>
      <c r="C1" s="2" t="s">
        <v>2</v>
      </c>
      <c r="D1" s="1" t="s">
        <v>3</v>
      </c>
      <c r="E1" s="3" t="s">
        <v>25</v>
      </c>
      <c r="F1" s="4" t="s">
        <v>28</v>
      </c>
      <c r="G1" s="3" t="s">
        <v>29</v>
      </c>
      <c r="H1" s="4" t="s">
        <v>21</v>
      </c>
      <c r="I1" s="33" t="s">
        <v>30</v>
      </c>
      <c r="J1" s="34" t="s">
        <v>31</v>
      </c>
      <c r="K1" s="33" t="s">
        <v>26</v>
      </c>
      <c r="L1" s="34" t="s">
        <v>27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</v>
      </c>
      <c r="G2" s="9">
        <f>'Otemachi Daily'!F5</f>
        <v>148</v>
      </c>
      <c r="H2" s="35">
        <f>[1]見込!$M$23</f>
        <v>115.15997475903774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</v>
      </c>
      <c r="G3" s="9">
        <f>'Otemachi Daily'!F6</f>
        <v>155</v>
      </c>
      <c r="H3" s="35">
        <f>[1]見込!$M$23</f>
        <v>115.15997475903774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</v>
      </c>
      <c r="G4" s="9">
        <f>'Otemachi Daily'!F7</f>
        <v>160</v>
      </c>
      <c r="H4" s="35">
        <f>[1]見込!$M$23</f>
        <v>115.15997475903774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</v>
      </c>
      <c r="G5" s="9">
        <f>'Otemachi Daily'!F8</f>
        <v>180</v>
      </c>
      <c r="H5" s="35">
        <f>[1]見込!$M$23</f>
        <v>115.15997475903774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</v>
      </c>
      <c r="G6" s="9">
        <f>'Otemachi Daily'!F9</f>
        <v>165.2</v>
      </c>
      <c r="H6" s="35">
        <f>[1]見込!$M$23</f>
        <v>115.15997475903774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</v>
      </c>
      <c r="G7" s="9">
        <f>'Otemachi Daily'!F10</f>
        <v>158</v>
      </c>
      <c r="H7" s="35">
        <f>[1]見込!$M$23</f>
        <v>115.15997475903774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</v>
      </c>
      <c r="G8" s="9">
        <f>'Otemachi Daily'!F11</f>
        <v>134</v>
      </c>
      <c r="H8" s="35">
        <f>[1]見込!$M$23</f>
        <v>115.15997475903774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</v>
      </c>
      <c r="G9" s="9">
        <f>'Otemachi Daily'!F12</f>
        <v>156</v>
      </c>
      <c r="H9" s="35">
        <f>[1]見込!$M$23</f>
        <v>115.15997475903774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</v>
      </c>
      <c r="G10" s="9">
        <f>'Otemachi Daily'!F13</f>
        <v>156.19999999999999</v>
      </c>
      <c r="H10" s="35">
        <f>[1]見込!$M$23</f>
        <v>115.15997475903774</v>
      </c>
      <c r="I10" s="9">
        <f>'Otemachi Daily'!H13</f>
        <v>11655.9324</v>
      </c>
      <c r="J10" s="35">
        <v>10.79</v>
      </c>
      <c r="K10" s="9">
        <f>'Otemachi Daily'!J13</f>
        <v>1802.922</v>
      </c>
      <c r="L10" s="35">
        <v>7.22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</v>
      </c>
      <c r="G11" s="9">
        <f>'Otemachi Daily'!F14</f>
        <v>160</v>
      </c>
      <c r="H11" s="35">
        <f>[1]見込!$M$23</f>
        <v>115.15997475903774</v>
      </c>
      <c r="I11" s="9">
        <f>'Otemachi Daily'!H14</f>
        <v>21515.054400000001</v>
      </c>
      <c r="J11" s="35">
        <v>10.79</v>
      </c>
      <c r="K11" s="9">
        <f>'Otemachi Daily'!J14</f>
        <v>943.40879999999993</v>
      </c>
      <c r="L11" s="35">
        <v>7.22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</v>
      </c>
      <c r="G12" s="9">
        <f>'Otemachi Daily'!F15</f>
        <v>178</v>
      </c>
      <c r="H12" s="35">
        <f>[1]見込!$M$23</f>
        <v>115.15997475903774</v>
      </c>
      <c r="I12" s="9">
        <f>'Otemachi Daily'!H15</f>
        <v>24785.871599999999</v>
      </c>
      <c r="J12" s="35">
        <v>10.79</v>
      </c>
      <c r="K12" s="9">
        <f>'Otemachi Daily'!J15</f>
        <v>995.07959999999991</v>
      </c>
      <c r="L12" s="35">
        <v>7.22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</v>
      </c>
      <c r="G13" s="9">
        <f>'Otemachi Daily'!F16</f>
        <v>175</v>
      </c>
      <c r="H13" s="35">
        <f>[1]見込!$M$23</f>
        <v>115.15997475903774</v>
      </c>
      <c r="I13" s="9">
        <f>'Otemachi Daily'!H16</f>
        <v>24000.253199999999</v>
      </c>
      <c r="J13" s="35">
        <v>10.79</v>
      </c>
      <c r="K13" s="9">
        <f>'Otemachi Daily'!J16</f>
        <v>1098.4212</v>
      </c>
      <c r="L13" s="35">
        <v>7.22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</v>
      </c>
      <c r="G14" s="9">
        <f>'Otemachi Daily'!F17</f>
        <v>165</v>
      </c>
      <c r="H14" s="35">
        <f>[1]見込!$M$23</f>
        <v>115.15997475903774</v>
      </c>
      <c r="I14" s="9">
        <f>'Otemachi Daily'!H17</f>
        <v>19566.287400000001</v>
      </c>
      <c r="J14" s="35">
        <v>10.79</v>
      </c>
      <c r="K14" s="9">
        <f>'Otemachi Daily'!J17</f>
        <v>781.72919999999999</v>
      </c>
      <c r="L14" s="35">
        <v>7.22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</v>
      </c>
      <c r="G15" s="9">
        <f>'Otemachi Daily'!F18</f>
        <v>142</v>
      </c>
      <c r="H15" s="35">
        <f>[1]見込!$M$23</f>
        <v>115.15997475903774</v>
      </c>
      <c r="I15" s="9">
        <f>'Otemachi Daily'!H18</f>
        <v>15036.480599999999</v>
      </c>
      <c r="J15" s="35">
        <v>10.79</v>
      </c>
      <c r="K15" s="9">
        <f>'Otemachi Daily'!J18</f>
        <v>1268.4348</v>
      </c>
      <c r="L15" s="35">
        <v>7.22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</v>
      </c>
      <c r="G16" s="9">
        <f>'Otemachi Daily'!F19</f>
        <v>143.19999999999999</v>
      </c>
      <c r="H16" s="35">
        <f>[1]見込!$M$23</f>
        <v>115.15997475903774</v>
      </c>
      <c r="I16" s="9">
        <f>'Otemachi Daily'!H19</f>
        <v>16430.7588</v>
      </c>
      <c r="J16" s="35">
        <v>10.79</v>
      </c>
      <c r="K16" s="9">
        <f>'Otemachi Daily'!J19</f>
        <v>1344.2742000000001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</v>
      </c>
      <c r="G17" s="9">
        <f>'Otemachi Daily'!F20</f>
        <v>164</v>
      </c>
      <c r="H17" s="35">
        <f>[1]見込!$M$23</f>
        <v>115.15997475903774</v>
      </c>
      <c r="I17" s="9">
        <f>'Otemachi Daily'!H20</f>
        <v>13480.8006</v>
      </c>
      <c r="J17" s="35">
        <v>10.79</v>
      </c>
      <c r="K17" s="9">
        <f>'Otemachi Daily'!J20</f>
        <v>1489.2857999999999</v>
      </c>
      <c r="L17" s="35">
        <v>7.22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</v>
      </c>
      <c r="G18" s="9">
        <f>'Otemachi Daily'!F21</f>
        <v>182</v>
      </c>
      <c r="H18" s="35">
        <f>[1]見込!$M$23</f>
        <v>115.15997475903774</v>
      </c>
      <c r="I18" s="9">
        <f>'Otemachi Daily'!H21</f>
        <v>14276.142</v>
      </c>
      <c r="J18" s="35">
        <v>10.79</v>
      </c>
      <c r="K18" s="9">
        <f>'Otemachi Daily'!J21</f>
        <v>1597.9056</v>
      </c>
      <c r="L18" s="35">
        <v>7.22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</v>
      </c>
      <c r="G19" s="9">
        <f>'Otemachi Daily'!F22</f>
        <v>182</v>
      </c>
      <c r="H19" s="35">
        <f>[1]見込!$M$23</f>
        <v>115.15997475903774</v>
      </c>
      <c r="I19" s="9">
        <f>'Otemachi Daily'!H22</f>
        <v>24011.3652</v>
      </c>
      <c r="J19" s="35">
        <v>10.79</v>
      </c>
      <c r="K19" s="9">
        <f>'Otemachi Daily'!J22</f>
        <v>1346.2187999999999</v>
      </c>
      <c r="L19" s="35">
        <v>7.22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</v>
      </c>
      <c r="G20" s="9">
        <f>'Otemachi Daily'!F23</f>
        <v>173.1</v>
      </c>
      <c r="H20" s="35">
        <f>[1]見込!$M$23</f>
        <v>115.15997475903774</v>
      </c>
      <c r="I20" s="9">
        <f>'Otemachi Daily'!H23</f>
        <v>19684.3524</v>
      </c>
      <c r="J20" s="35">
        <v>10.79</v>
      </c>
      <c r="K20" s="9">
        <f>'Otemachi Daily'!J23</f>
        <v>1397.8896</v>
      </c>
      <c r="L20" s="35">
        <v>7.22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</v>
      </c>
      <c r="G21" s="9">
        <f>'Otemachi Daily'!F24</f>
        <v>174</v>
      </c>
      <c r="H21" s="35">
        <f>[1]見込!$M$23</f>
        <v>115.15997475903774</v>
      </c>
      <c r="I21" s="9">
        <f>'Otemachi Daily'!H24</f>
        <v>16105.1772</v>
      </c>
      <c r="J21" s="35">
        <v>10.79</v>
      </c>
      <c r="K21" s="9">
        <f>'Otemachi Daily'!J24</f>
        <v>1645.1315999999999</v>
      </c>
      <c r="L21" s="35">
        <v>7.22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</v>
      </c>
      <c r="G22" s="9">
        <f>'Otemachi Daily'!F25</f>
        <v>139.19999999999999</v>
      </c>
      <c r="H22" s="35">
        <f>[1]見込!$M$23</f>
        <v>115.15997475903774</v>
      </c>
      <c r="I22" s="9">
        <f>'Otemachi Daily'!H25</f>
        <v>14436.1548</v>
      </c>
      <c r="J22" s="35">
        <v>10.79</v>
      </c>
      <c r="K22" s="9">
        <f>'Otemachi Daily'!J25</f>
        <v>1430.9477999999999</v>
      </c>
      <c r="L22" s="35">
        <v>7.22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f>'Otemachi Daily'!D26</f>
        <v>14944</v>
      </c>
      <c r="F23" s="35">
        <f>[1]見込!$G$3</f>
        <v>24</v>
      </c>
      <c r="G23" s="9">
        <f>'Otemachi Daily'!F26</f>
        <v>148</v>
      </c>
      <c r="H23" s="35">
        <f>[1]見込!$M$23</f>
        <v>115.15997475903774</v>
      </c>
      <c r="I23" s="9">
        <f>'Otemachi Daily'!H26</f>
        <v>22794.879000000001</v>
      </c>
      <c r="J23" s="35">
        <v>10.79</v>
      </c>
      <c r="K23" s="9">
        <f>'Otemachi Daily'!J26</f>
        <v>982.57859999999994</v>
      </c>
      <c r="L23" s="35">
        <v>7.22</v>
      </c>
      <c r="M23" s="9">
        <f>'Otemachi Daily'!L26</f>
        <v>143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115.15997475903774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115.15997475903774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115.15997475903774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115.15997475903774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115.15997475903774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115.15997475903774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115.15997475903774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115.15997475903774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115.15997475903774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37"/>
  <sheetViews>
    <sheetView topLeftCell="A16" zoomScale="60" zoomScaleNormal="60" workbookViewId="0">
      <pane xSplit="1" topLeftCell="B1" activePane="topRight" state="frozen"/>
      <selection pane="topRight" activeCell="S20" sqref="S20:S21"/>
    </sheetView>
  </sheetViews>
  <sheetFormatPr defaultRowHeight="1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5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>
      <c r="A26" s="28">
        <v>44461</v>
      </c>
      <c r="B26" s="38"/>
      <c r="C26" s="36">
        <f>[1]コスト!$AB$147</f>
        <v>14944</v>
      </c>
      <c r="D26" s="36">
        <f t="shared" si="0"/>
        <v>14944</v>
      </c>
      <c r="E26" s="36">
        <f>[1]コスト!$AB$23</f>
        <v>148</v>
      </c>
      <c r="F26" s="36">
        <f t="shared" si="0"/>
        <v>148</v>
      </c>
      <c r="G26" s="36">
        <f>[1]コスト!$AB$115</f>
        <v>22794.879000000001</v>
      </c>
      <c r="H26" s="36">
        <f t="shared" ref="H26" si="61">G26</f>
        <v>22794.879000000001</v>
      </c>
      <c r="I26" s="36">
        <f>[1]コスト!$AB$91</f>
        <v>982.57859999999994</v>
      </c>
      <c r="J26" s="36">
        <f t="shared" ref="J26" si="62">I26</f>
        <v>982.57859999999994</v>
      </c>
      <c r="K26" s="36">
        <f>[1]コスト!$AB$41</f>
        <v>143</v>
      </c>
      <c r="L26" s="36">
        <f t="shared" ref="L26" si="63">K26</f>
        <v>143</v>
      </c>
      <c r="M26" s="12"/>
      <c r="N26" s="12"/>
    </row>
    <row r="27" spans="1:26" ht="45" customHeight="1">
      <c r="A27" s="28">
        <v>44462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44463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44464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44465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44466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44467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44468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LENOVO</cp:lastModifiedBy>
  <cp:lastPrinted>2020-10-01T03:34:29Z</cp:lastPrinted>
  <dcterms:created xsi:type="dcterms:W3CDTF">2009-02-11T09:03:59Z</dcterms:created>
  <dcterms:modified xsi:type="dcterms:W3CDTF">2021-09-23T13:14:36Z</dcterms:modified>
</cp:coreProperties>
</file>