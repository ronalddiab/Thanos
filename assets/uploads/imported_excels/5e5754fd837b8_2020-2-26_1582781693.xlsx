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R30" i="9"/>
  <c r="G30" i="5" s="1"/>
  <c r="AL33" i="7" l="1"/>
  <c r="AL32" i="7"/>
  <c r="L11" i="9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<sst xmlns="http://schemas.openxmlformats.org/spreadsheetml/2006/main" count="124" uniqueCount="49">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</sst>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760.86740999999995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755.18929500000002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Submetering!R14</f>
        <v>756.32491800000003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Submetering!R15</f>
        <v>719.22789999999998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Submetering!R16</f>
        <v>762.76011499999993</v>
      </c>
      <c r="H16" s="11">
        <v>0.52800000000000002</v>
      </c>
      <c r="I16" s="12">
        <f>Hotel!B21</f>
        <v>156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60390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59930</v>
      </c>
      <c r="F18" s="11">
        <v>5.0000000000000001E-3</v>
      </c>
      <c r="G18" s="12">
        <f>Submetering!R18</f>
        <v>758.59616399999993</v>
      </c>
      <c r="H18" s="11">
        <v>0.52800000000000002</v>
      </c>
      <c r="I18" s="12">
        <f>Hotel!B23</f>
        <v>170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61590</v>
      </c>
      <c r="F19" s="11">
        <v>5.0000000000000001E-3</v>
      </c>
      <c r="G19" s="12">
        <f>Submetering!R19</f>
        <v>922.88295799999992</v>
      </c>
      <c r="H19" s="11">
        <v>0.52800000000000002</v>
      </c>
      <c r="I19" s="12">
        <f>Hotel!B24</f>
        <v>217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59140</v>
      </c>
      <c r="F20" s="11">
        <v>5.0000000000000001E-3</v>
      </c>
      <c r="G20" s="12">
        <f>Submetering!R20</f>
        <v>859.28807000000006</v>
      </c>
      <c r="H20" s="11">
        <v>0.52800000000000002</v>
      </c>
      <c r="I20" s="12">
        <f>Hotel!B25</f>
        <v>225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61110</v>
      </c>
      <c r="F21" s="11">
        <v>5.0000000000000001E-3</v>
      </c>
      <c r="G21" s="12">
        <f>Submetering!R21</f>
        <v>702.57209599999999</v>
      </c>
      <c r="H21" s="11">
        <v>0.52800000000000002</v>
      </c>
      <c r="I21" s="12">
        <f>Hotel!B26</f>
        <v>282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65840</v>
      </c>
      <c r="F22" s="11">
        <v>5.0000000000000001E-3</v>
      </c>
      <c r="G22" s="12">
        <f>Submetering!R22</f>
        <v>877.07949699999995</v>
      </c>
      <c r="H22" s="11">
        <v>0.52800000000000002</v>
      </c>
      <c r="I22" s="12">
        <f>Hotel!B27</f>
        <v>280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58600</v>
      </c>
      <c r="F23" s="11">
        <v>5.0000000000000001E-3</v>
      </c>
      <c r="G23" s="12">
        <f>Submetering!R23</f>
        <v>798.72151000000008</v>
      </c>
      <c r="H23" s="11">
        <v>0.52800000000000002</v>
      </c>
      <c r="I23" s="12">
        <f>Hotel!B28</f>
        <v>139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61450</v>
      </c>
      <c r="F24" s="11">
        <v>5.0000000000000001E-3</v>
      </c>
      <c r="G24" s="12">
        <f>Submetering!R24</f>
        <v>612.47933799999998</v>
      </c>
      <c r="H24" s="11">
        <v>0.52800000000000002</v>
      </c>
      <c r="I24" s="12">
        <f>Hotel!B29</f>
        <v>115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59780</v>
      </c>
      <c r="F25" s="11">
        <v>5.0000000000000001E-3</v>
      </c>
      <c r="G25" s="12">
        <f>Submetering!R25</f>
        <v>942.94563099999993</v>
      </c>
      <c r="H25" s="11">
        <v>0.52800000000000002</v>
      </c>
      <c r="I25" s="12">
        <f>Hotel!B30</f>
        <v>109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60630</v>
      </c>
      <c r="F26" s="11">
        <v>5.0000000000000001E-3</v>
      </c>
      <c r="G26" s="12">
        <f>Submetering!R26</f>
        <v>610.20809199999997</v>
      </c>
      <c r="H26" s="11">
        <v>0.52800000000000002</v>
      </c>
      <c r="I26" s="12">
        <f>Hotel!B31</f>
        <v>97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54860</v>
      </c>
      <c r="F27" s="11">
        <v>5.0000000000000001E-3</v>
      </c>
      <c r="G27" s="12">
        <f>Submetering!R27</f>
        <v>620.80723999999998</v>
      </c>
      <c r="H27" s="11">
        <v>0.52800000000000002</v>
      </c>
      <c r="I27" s="12">
        <f>Hotel!B32</f>
        <v>84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760.86740999999995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755.18929500000002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756.32491800000003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719.22789999999998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Hotel!AV21*0.00378541*100</f>
        <v>762.76011499999993</v>
      </c>
      <c r="S16" s="4">
        <f>Hotel!B21</f>
        <v>156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Hotel!AV22*0.00378541*100</f>
        <v>830.14041299999997</v>
      </c>
      <c r="S17" s="4">
        <f>Hotel!B22</f>
        <v>165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660</v>
      </c>
      <c r="F18" s="4">
        <f>Hotel!R23</f>
        <v>1890</v>
      </c>
      <c r="G18" s="4">
        <f>Hotel!S23</f>
        <v>2790</v>
      </c>
      <c r="H18" s="4">
        <f>Hotel!T23</f>
        <v>1410</v>
      </c>
      <c r="I18" s="4">
        <f>Hotel!U23</f>
        <v>6790</v>
      </c>
      <c r="J18" s="4">
        <f>Hotel!V23</f>
        <v>4920</v>
      </c>
      <c r="K18" s="4">
        <f>Hotel!W23</f>
        <v>3570</v>
      </c>
      <c r="L18" s="4">
        <f>Hotel!X23</f>
        <v>4540</v>
      </c>
      <c r="M18" s="4">
        <f>Hotel!Y23</f>
        <v>5370</v>
      </c>
      <c r="N18" s="4">
        <f>Hotel!Z23</f>
        <v>2830</v>
      </c>
      <c r="O18" s="4">
        <f>Hotel!AA23</f>
        <v>3360</v>
      </c>
      <c r="P18" s="4">
        <f>Hotel!AB23</f>
        <v>7300</v>
      </c>
      <c r="Q18" s="4">
        <f>Hotel!AC23</f>
        <v>14500</v>
      </c>
      <c r="R18" s="4">
        <f>Hotel!AV23*0.00378541*100</f>
        <v>758.59616399999993</v>
      </c>
      <c r="S18" s="4">
        <f>Hotel!B23</f>
        <v>170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480</v>
      </c>
      <c r="F19" s="4">
        <f>Hotel!R24</f>
        <v>1930</v>
      </c>
      <c r="G19" s="4">
        <f>Hotel!S24</f>
        <v>3080</v>
      </c>
      <c r="H19" s="4">
        <f>Hotel!T24</f>
        <v>1460</v>
      </c>
      <c r="I19" s="4">
        <f>Hotel!U24</f>
        <v>6950</v>
      </c>
      <c r="J19" s="4">
        <f>Hotel!V24</f>
        <v>5070</v>
      </c>
      <c r="K19" s="4">
        <f>Hotel!W24</f>
        <v>3250</v>
      </c>
      <c r="L19" s="4">
        <f>Hotel!X24</f>
        <v>4760</v>
      </c>
      <c r="M19" s="4">
        <f>Hotel!Y24</f>
        <v>5640</v>
      </c>
      <c r="N19" s="4">
        <f>Hotel!Z24</f>
        <v>2920</v>
      </c>
      <c r="O19" s="4">
        <f>Hotel!AA24</f>
        <v>3680</v>
      </c>
      <c r="P19" s="4">
        <f>Hotel!AB24</f>
        <v>7230</v>
      </c>
      <c r="Q19" s="4">
        <f>Hotel!AC24</f>
        <v>15140</v>
      </c>
      <c r="R19" s="4">
        <f>Hotel!AV24*0.00378541*100</f>
        <v>922.88295799999992</v>
      </c>
      <c r="S19" s="4">
        <f>Hotel!B24</f>
        <v>217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540</v>
      </c>
      <c r="F20" s="4">
        <f>Hotel!R25</f>
        <v>1850</v>
      </c>
      <c r="G20" s="4">
        <f>Hotel!S25</f>
        <v>3010</v>
      </c>
      <c r="H20" s="4">
        <f>Hotel!T25</f>
        <v>1410</v>
      </c>
      <c r="I20" s="4">
        <f>Hotel!U25</f>
        <v>6790</v>
      </c>
      <c r="J20" s="4">
        <f>Hotel!V25</f>
        <v>4840</v>
      </c>
      <c r="K20" s="4">
        <f>Hotel!W25</f>
        <v>3010</v>
      </c>
      <c r="L20" s="4">
        <f>Hotel!X25</f>
        <v>4630</v>
      </c>
      <c r="M20" s="4">
        <f>Hotel!Y25</f>
        <v>5280</v>
      </c>
      <c r="N20" s="4">
        <f>Hotel!Z25</f>
        <v>2920</v>
      </c>
      <c r="O20" s="4">
        <f>Hotel!AA25</f>
        <v>3550</v>
      </c>
      <c r="P20" s="4">
        <f>Hotel!AB25</f>
        <v>6890</v>
      </c>
      <c r="Q20" s="4">
        <f>Hotel!AC25</f>
        <v>14420</v>
      </c>
      <c r="R20" s="4">
        <f>Hotel!AV25*0.00378541*100</f>
        <v>859.28807000000006</v>
      </c>
      <c r="S20" s="4">
        <f>Hotel!B25</f>
        <v>225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560</v>
      </c>
      <c r="F21" s="4">
        <f>Hotel!R26</f>
        <v>1880</v>
      </c>
      <c r="G21" s="4">
        <f>Hotel!S26</f>
        <v>3160</v>
      </c>
      <c r="H21" s="4">
        <f>Hotel!T26</f>
        <v>1430</v>
      </c>
      <c r="I21" s="4">
        <f>Hotel!U26</f>
        <v>6780</v>
      </c>
      <c r="J21" s="4">
        <f>Hotel!V26</f>
        <v>4920</v>
      </c>
      <c r="K21" s="4">
        <f>Hotel!W26</f>
        <v>3350</v>
      </c>
      <c r="L21" s="4">
        <f>Hotel!X26</f>
        <v>4770</v>
      </c>
      <c r="M21" s="4">
        <f>Hotel!Y26</f>
        <v>5620</v>
      </c>
      <c r="N21" s="4">
        <f>Hotel!Z26</f>
        <v>2900</v>
      </c>
      <c r="O21" s="4">
        <f>Hotel!AA26</f>
        <v>3720</v>
      </c>
      <c r="P21" s="4">
        <f>Hotel!AB26</f>
        <v>7230</v>
      </c>
      <c r="Q21" s="4">
        <f>Hotel!AC26</f>
        <v>14790</v>
      </c>
      <c r="R21" s="4">
        <f>Hotel!AV26*0.00378541*100</f>
        <v>702.57209599999999</v>
      </c>
      <c r="S21" s="4">
        <f>Hotel!B26</f>
        <v>282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580</v>
      </c>
      <c r="F22" s="4">
        <f>Hotel!R27</f>
        <v>1980</v>
      </c>
      <c r="G22" s="4">
        <f>Hotel!S27</f>
        <v>3480</v>
      </c>
      <c r="H22" s="4">
        <f>Hotel!T27</f>
        <v>1520</v>
      </c>
      <c r="I22" s="4">
        <f>Hotel!U27</f>
        <v>7580</v>
      </c>
      <c r="J22" s="4">
        <f>Hotel!V27</f>
        <v>5260</v>
      </c>
      <c r="K22" s="4">
        <f>Hotel!W27</f>
        <v>3660</v>
      </c>
      <c r="L22" s="4">
        <f>Hotel!X27</f>
        <v>4920</v>
      </c>
      <c r="M22" s="4">
        <f>Hotel!Y27</f>
        <v>6090</v>
      </c>
      <c r="N22" s="4">
        <f>Hotel!Z27</f>
        <v>3130</v>
      </c>
      <c r="O22" s="4">
        <f>Hotel!AA27</f>
        <v>4000</v>
      </c>
      <c r="P22" s="4">
        <f>Hotel!AB27</f>
        <v>7790</v>
      </c>
      <c r="Q22" s="4">
        <f>Hotel!AC27</f>
        <v>15850</v>
      </c>
      <c r="R22" s="4">
        <f>Hotel!AV27*0.00378541*100</f>
        <v>877.07949699999995</v>
      </c>
      <c r="S22" s="4">
        <f>Hotel!B27</f>
        <v>280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520</v>
      </c>
      <c r="F23" s="4">
        <f>Hotel!R28</f>
        <v>1760</v>
      </c>
      <c r="G23" s="4">
        <f>Hotel!S28</f>
        <v>2980</v>
      </c>
      <c r="H23" s="4">
        <f>Hotel!T28</f>
        <v>1350</v>
      </c>
      <c r="I23" s="4">
        <f>Hotel!U28</f>
        <v>6890</v>
      </c>
      <c r="J23" s="4">
        <f>Hotel!V28</f>
        <v>4640</v>
      </c>
      <c r="K23" s="4">
        <f>Hotel!W28</f>
        <v>3100</v>
      </c>
      <c r="L23" s="4">
        <f>Hotel!X28</f>
        <v>4510</v>
      </c>
      <c r="M23" s="4">
        <f>Hotel!Y28</f>
        <v>5310</v>
      </c>
      <c r="N23" s="4">
        <f>Hotel!Z28</f>
        <v>2680</v>
      </c>
      <c r="O23" s="4">
        <f>Hotel!AA28</f>
        <v>3540</v>
      </c>
      <c r="P23" s="4">
        <f>Hotel!AB28</f>
        <v>6970</v>
      </c>
      <c r="Q23" s="4">
        <f>Hotel!AC28</f>
        <v>14350</v>
      </c>
      <c r="R23" s="4">
        <f>Hotel!AV28*0.00378541*100</f>
        <v>798.72151000000008</v>
      </c>
      <c r="S23" s="4">
        <f>Hotel!B28</f>
        <v>139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560</v>
      </c>
      <c r="F24" s="4">
        <f>Hotel!R29</f>
        <v>1870</v>
      </c>
      <c r="G24" s="4">
        <f>Hotel!S29</f>
        <v>3200</v>
      </c>
      <c r="H24" s="4">
        <f>Hotel!T29</f>
        <v>1440</v>
      </c>
      <c r="I24" s="4">
        <f>Hotel!U29</f>
        <v>6990</v>
      </c>
      <c r="J24" s="4">
        <f>Hotel!V29</f>
        <v>4810</v>
      </c>
      <c r="K24" s="4">
        <f>Hotel!W29</f>
        <v>3150</v>
      </c>
      <c r="L24" s="4">
        <f>Hotel!X29</f>
        <v>4710</v>
      </c>
      <c r="M24" s="4">
        <f>Hotel!Y29</f>
        <v>5600</v>
      </c>
      <c r="N24" s="4">
        <f>Hotel!Z29</f>
        <v>2830</v>
      </c>
      <c r="O24" s="4">
        <f>Hotel!AA29</f>
        <v>3590</v>
      </c>
      <c r="P24" s="4">
        <f>Hotel!AB29</f>
        <v>7540</v>
      </c>
      <c r="Q24" s="4">
        <f>Hotel!AC29</f>
        <v>15160</v>
      </c>
      <c r="R24" s="4">
        <f>Hotel!AV29*0.00378541*100</f>
        <v>612.47933799999998</v>
      </c>
      <c r="S24" s="4">
        <f>Hotel!B29</f>
        <v>115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570</v>
      </c>
      <c r="F25" s="4">
        <f>Hotel!R30</f>
        <v>1920</v>
      </c>
      <c r="G25" s="4">
        <f>Hotel!S30</f>
        <v>3420</v>
      </c>
      <c r="H25" s="4">
        <f>Hotel!T30</f>
        <v>1480</v>
      </c>
      <c r="I25" s="4">
        <f>Hotel!U30</f>
        <v>6470</v>
      </c>
      <c r="J25" s="4">
        <f>Hotel!V30</f>
        <v>4790</v>
      </c>
      <c r="K25" s="4">
        <f>Hotel!W30</f>
        <v>3070</v>
      </c>
      <c r="L25" s="4">
        <f>Hotel!X30</f>
        <v>4640</v>
      </c>
      <c r="M25" s="4">
        <f>Hotel!Y30</f>
        <v>5310</v>
      </c>
      <c r="N25" s="4">
        <f>Hotel!Z30</f>
        <v>2760</v>
      </c>
      <c r="O25" s="4">
        <f>Hotel!AA30</f>
        <v>3120</v>
      </c>
      <c r="P25" s="4">
        <f>Hotel!AB30</f>
        <v>7510</v>
      </c>
      <c r="Q25" s="4">
        <f>Hotel!AC30</f>
        <v>14720</v>
      </c>
      <c r="R25" s="4">
        <f>Hotel!AV30*0.00378541*100</f>
        <v>942.94563099999993</v>
      </c>
      <c r="S25" s="4">
        <f>Hotel!B30</f>
        <v>109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580</v>
      </c>
      <c r="F26" s="4">
        <f>Hotel!R31</f>
        <v>1960</v>
      </c>
      <c r="G26" s="4">
        <f>Hotel!S31</f>
        <v>3280</v>
      </c>
      <c r="H26" s="4">
        <f>Hotel!T31</f>
        <v>1780</v>
      </c>
      <c r="I26" s="4">
        <f>Hotel!U31</f>
        <v>6690</v>
      </c>
      <c r="J26" s="4">
        <f>Hotel!V31</f>
        <v>4730</v>
      </c>
      <c r="K26" s="4">
        <f>Hotel!W31</f>
        <v>2850</v>
      </c>
      <c r="L26" s="4">
        <f>Hotel!X31</f>
        <v>4730</v>
      </c>
      <c r="M26" s="4">
        <f>Hotel!Y31</f>
        <v>5300</v>
      </c>
      <c r="N26" s="4">
        <f>Hotel!Z31</f>
        <v>2780</v>
      </c>
      <c r="O26" s="4">
        <f>Hotel!AA31</f>
        <v>3580</v>
      </c>
      <c r="P26" s="4">
        <f>Hotel!AB31</f>
        <v>7610</v>
      </c>
      <c r="Q26" s="4">
        <f>Hotel!AC31</f>
        <v>14760</v>
      </c>
      <c r="R26" s="4">
        <f>Hotel!AV31*0.00378541*100</f>
        <v>610.20809199999997</v>
      </c>
      <c r="S26" s="4">
        <f>Hotel!B31</f>
        <v>97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520</v>
      </c>
      <c r="F27" s="4">
        <f>Hotel!R32</f>
        <v>1740</v>
      </c>
      <c r="G27" s="4">
        <f>Hotel!S32</f>
        <v>2540</v>
      </c>
      <c r="H27" s="4">
        <f>Hotel!T32</f>
        <v>1310</v>
      </c>
      <c r="I27" s="4">
        <f>Hotel!U32</f>
        <v>6050</v>
      </c>
      <c r="J27" s="4">
        <f>Hotel!V32</f>
        <v>4440</v>
      </c>
      <c r="K27" s="4">
        <f>Hotel!W32</f>
        <v>2550</v>
      </c>
      <c r="L27" s="4">
        <f>Hotel!X32</f>
        <v>4410</v>
      </c>
      <c r="M27" s="4">
        <f>Hotel!Y32</f>
        <v>5390</v>
      </c>
      <c r="N27" s="4">
        <f>Hotel!Z32</f>
        <v>2460</v>
      </c>
      <c r="O27" s="4">
        <f>Hotel!AA32</f>
        <v>3310</v>
      </c>
      <c r="P27" s="4">
        <f>Hotel!AB32</f>
        <v>6450</v>
      </c>
      <c r="Q27" s="4">
        <f>Hotel!AC32</f>
        <v>13690</v>
      </c>
      <c r="R27" s="4">
        <f>Hotel!AV32*0.00378541*100</f>
        <v>620.80723999999998</v>
      </c>
      <c r="S27" s="4">
        <f>Hotel!B32</f>
        <v>84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E1" zoomScale="93" zoomScaleNormal="93" workbookViewId="0">
      <selection activeCell="U30" sqref="U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788424</v>
      </c>
      <c r="AV17" s="37">
        <f t="shared" si="31"/>
        <v>2010</v>
      </c>
      <c r="AW17" s="35">
        <f t="shared" si="30"/>
        <v>4.0200000000000005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790419</v>
      </c>
      <c r="AV18" s="37">
        <f t="shared" si="31"/>
        <v>1995</v>
      </c>
      <c r="AW18" s="35">
        <f t="shared" si="30"/>
        <v>3.99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>
        <f t="shared" si="20"/>
        <v>5300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337.00000000000006</v>
      </c>
      <c r="AU19" s="47">
        <v>792417</v>
      </c>
      <c r="AV19" s="37">
        <f t="shared" si="31"/>
        <v>1998</v>
      </c>
      <c r="AW19" s="35">
        <f t="shared" si="30"/>
        <v>3.996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>
        <f t="shared" si="20"/>
        <v>4750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302.08000000000004</v>
      </c>
      <c r="AU20" s="47">
        <v>794317</v>
      </c>
      <c r="AV20" s="37">
        <f t="shared" si="31"/>
        <v>1900</v>
      </c>
      <c r="AW20" s="35">
        <f t="shared" si="30"/>
        <v>3.8000000000000003</v>
      </c>
    </row>
    <row r="21" spans="1:49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16"/>
        <v>560</v>
      </c>
      <c r="R21" s="37">
        <f t="shared" si="17"/>
        <v>1890</v>
      </c>
      <c r="S21" s="37">
        <f t="shared" si="15"/>
        <v>2790</v>
      </c>
      <c r="T21" s="37">
        <f t="shared" si="18"/>
        <v>1410</v>
      </c>
      <c r="U21" s="37">
        <f t="shared" si="19"/>
        <v>7740</v>
      </c>
      <c r="V21" s="37">
        <f t="shared" si="20"/>
        <v>5070</v>
      </c>
      <c r="W21" s="37">
        <f t="shared" si="21"/>
        <v>3690</v>
      </c>
      <c r="X21" s="37">
        <f t="shared" si="22"/>
        <v>4704</v>
      </c>
      <c r="Y21" s="37">
        <f t="shared" si="23"/>
        <v>6180</v>
      </c>
      <c r="Z21" s="37">
        <f t="shared" si="24"/>
        <v>2100</v>
      </c>
      <c r="AA21" s="37">
        <f t="shared" si="25"/>
        <v>3740</v>
      </c>
      <c r="AB21" s="37">
        <f t="shared" si="26"/>
        <v>7350</v>
      </c>
      <c r="AC21" s="37">
        <f t="shared" si="27"/>
        <v>15290</v>
      </c>
      <c r="AD21" s="35">
        <f t="shared" si="28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29"/>
        <v>312.57</v>
      </c>
      <c r="AU21" s="47">
        <v>796332</v>
      </c>
      <c r="AV21" s="37">
        <f t="shared" si="31"/>
        <v>2015</v>
      </c>
      <c r="AW21" s="35">
        <f t="shared" si="30"/>
        <v>4.03</v>
      </c>
    </row>
    <row r="22" spans="1:49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44">
        <v>4575660</v>
      </c>
      <c r="K22" s="24">
        <v>7249040</v>
      </c>
      <c r="L22" s="24">
        <v>2654940</v>
      </c>
      <c r="M22" s="24">
        <v>6597340</v>
      </c>
      <c r="N22" s="24">
        <v>9187350</v>
      </c>
      <c r="O22" s="44">
        <v>12440670</v>
      </c>
      <c r="Q22" s="37">
        <f t="shared" si="16"/>
        <v>540</v>
      </c>
      <c r="R22" s="37">
        <f t="shared" si="17"/>
        <v>1830</v>
      </c>
      <c r="S22" s="37">
        <f t="shared" si="15"/>
        <v>2630</v>
      </c>
      <c r="T22" s="37">
        <f t="shared" si="18"/>
        <v>1360</v>
      </c>
      <c r="U22" s="37">
        <f t="shared" si="19"/>
        <v>6820</v>
      </c>
      <c r="V22" s="37">
        <f t="shared" si="20"/>
        <v>4810</v>
      </c>
      <c r="W22" s="37">
        <f t="shared" si="21"/>
        <v>3280</v>
      </c>
      <c r="X22" s="37">
        <f t="shared" si="22"/>
        <v>4500</v>
      </c>
      <c r="Y22" s="37">
        <f t="shared" si="23"/>
        <v>5460</v>
      </c>
      <c r="Z22" s="37">
        <f t="shared" si="24"/>
        <v>3700</v>
      </c>
      <c r="AA22" s="37">
        <f t="shared" si="25"/>
        <v>3590</v>
      </c>
      <c r="AB22" s="37">
        <f t="shared" si="26"/>
        <v>7250</v>
      </c>
      <c r="AC22" s="37">
        <f t="shared" si="27"/>
        <v>14620</v>
      </c>
      <c r="AD22" s="35">
        <f t="shared" si="28"/>
        <v>60390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29"/>
        <v>301.95</v>
      </c>
      <c r="AU22" s="47">
        <v>798525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43878</v>
      </c>
      <c r="B23" s="40">
        <v>170</v>
      </c>
      <c r="C23" s="24">
        <v>5948190</v>
      </c>
      <c r="D23" s="24">
        <v>12837160</v>
      </c>
      <c r="E23" s="24">
        <v>1484460</v>
      </c>
      <c r="F23" s="24">
        <v>2714020</v>
      </c>
      <c r="G23" s="24">
        <v>8429320</v>
      </c>
      <c r="H23" s="24">
        <v>4112650</v>
      </c>
      <c r="I23" s="24">
        <v>3991170</v>
      </c>
      <c r="J23" s="24">
        <v>4580200</v>
      </c>
      <c r="K23" s="24">
        <v>7254410</v>
      </c>
      <c r="L23" s="24">
        <v>2657770</v>
      </c>
      <c r="M23" s="24">
        <v>6600700</v>
      </c>
      <c r="N23" s="24">
        <v>9194650</v>
      </c>
      <c r="O23" s="24">
        <v>12455170</v>
      </c>
      <c r="Q23" s="37">
        <f t="shared" si="16"/>
        <v>660</v>
      </c>
      <c r="R23" s="37">
        <f t="shared" si="17"/>
        <v>1890</v>
      </c>
      <c r="S23" s="37">
        <f t="shared" si="15"/>
        <v>2790</v>
      </c>
      <c r="T23" s="37">
        <f t="shared" si="18"/>
        <v>1410</v>
      </c>
      <c r="U23" s="37">
        <f t="shared" si="19"/>
        <v>6790</v>
      </c>
      <c r="V23" s="37">
        <f t="shared" si="20"/>
        <v>4920</v>
      </c>
      <c r="W23" s="37">
        <f t="shared" si="21"/>
        <v>3570</v>
      </c>
      <c r="X23" s="37">
        <f t="shared" si="22"/>
        <v>4540</v>
      </c>
      <c r="Y23" s="37">
        <f t="shared" si="23"/>
        <v>5370</v>
      </c>
      <c r="Z23" s="37">
        <f t="shared" si="24"/>
        <v>2830</v>
      </c>
      <c r="AA23" s="37">
        <f t="shared" si="25"/>
        <v>3360</v>
      </c>
      <c r="AB23" s="37">
        <f t="shared" si="26"/>
        <v>7300</v>
      </c>
      <c r="AC23" s="37">
        <f t="shared" si="27"/>
        <v>14500</v>
      </c>
      <c r="AD23" s="35">
        <f t="shared" si="28"/>
        <v>59930</v>
      </c>
      <c r="AF23" s="20">
        <f t="shared" si="1"/>
        <v>3.3000000000000003</v>
      </c>
      <c r="AG23" s="20">
        <f t="shared" si="2"/>
        <v>9.4500000000000011</v>
      </c>
      <c r="AH23" s="20">
        <f t="shared" si="3"/>
        <v>13.950000000000001</v>
      </c>
      <c r="AI23" s="20">
        <f t="shared" si="4"/>
        <v>7.05</v>
      </c>
      <c r="AJ23" s="20">
        <f t="shared" si="5"/>
        <v>33.950000000000003</v>
      </c>
      <c r="AK23" s="20">
        <f t="shared" si="6"/>
        <v>24.6</v>
      </c>
      <c r="AL23" s="20">
        <f t="shared" si="7"/>
        <v>17.850000000000001</v>
      </c>
      <c r="AM23" s="20">
        <f t="shared" si="8"/>
        <v>22.7</v>
      </c>
      <c r="AN23" s="20">
        <f t="shared" si="9"/>
        <v>26.85</v>
      </c>
      <c r="AO23" s="20">
        <f t="shared" si="10"/>
        <v>14.15</v>
      </c>
      <c r="AP23" s="20">
        <f t="shared" si="11"/>
        <v>16.8</v>
      </c>
      <c r="AQ23" s="20">
        <f t="shared" si="12"/>
        <v>36.5</v>
      </c>
      <c r="AR23" s="20">
        <f t="shared" si="13"/>
        <v>72.5</v>
      </c>
      <c r="AS23" s="35">
        <f t="shared" si="29"/>
        <v>299.64999999999998</v>
      </c>
      <c r="AU23" s="47">
        <v>800529</v>
      </c>
      <c r="AV23" s="37">
        <f t="shared" si="31"/>
        <v>2004</v>
      </c>
      <c r="AW23" s="35">
        <f t="shared" si="30"/>
        <v>4.008</v>
      </c>
    </row>
    <row r="24" spans="1:49" x14ac:dyDescent="0.25">
      <c r="A24" s="23">
        <v>43879</v>
      </c>
      <c r="B24" s="40">
        <v>217</v>
      </c>
      <c r="C24" s="24">
        <v>5948670</v>
      </c>
      <c r="D24" s="24">
        <v>12839090</v>
      </c>
      <c r="E24" s="24">
        <v>1487540</v>
      </c>
      <c r="F24" s="24">
        <v>2715480</v>
      </c>
      <c r="G24" s="24">
        <v>8436270</v>
      </c>
      <c r="H24" s="24">
        <v>4117720</v>
      </c>
      <c r="I24" s="24">
        <v>3994420</v>
      </c>
      <c r="J24" s="24">
        <v>4584960</v>
      </c>
      <c r="K24" s="24">
        <v>7260050</v>
      </c>
      <c r="L24" s="24">
        <v>2660690</v>
      </c>
      <c r="M24" s="24">
        <v>6604380</v>
      </c>
      <c r="N24" s="24">
        <v>9201880</v>
      </c>
      <c r="O24" s="24">
        <v>12470310</v>
      </c>
      <c r="Q24" s="37">
        <f t="shared" si="16"/>
        <v>480</v>
      </c>
      <c r="R24" s="37">
        <f t="shared" si="17"/>
        <v>1930</v>
      </c>
      <c r="S24" s="37">
        <f t="shared" si="15"/>
        <v>3080</v>
      </c>
      <c r="T24" s="37">
        <f t="shared" si="18"/>
        <v>1460</v>
      </c>
      <c r="U24" s="37">
        <f t="shared" si="19"/>
        <v>6950</v>
      </c>
      <c r="V24" s="37">
        <f t="shared" si="20"/>
        <v>5070</v>
      </c>
      <c r="W24" s="37">
        <f t="shared" si="21"/>
        <v>3250</v>
      </c>
      <c r="X24" s="37">
        <f t="shared" si="22"/>
        <v>4760</v>
      </c>
      <c r="Y24" s="37">
        <f t="shared" si="23"/>
        <v>5640</v>
      </c>
      <c r="Z24" s="37">
        <f t="shared" si="24"/>
        <v>2920</v>
      </c>
      <c r="AA24" s="37">
        <f t="shared" si="25"/>
        <v>3680</v>
      </c>
      <c r="AB24" s="37">
        <f t="shared" si="26"/>
        <v>7230</v>
      </c>
      <c r="AC24" s="37">
        <f t="shared" si="27"/>
        <v>15140</v>
      </c>
      <c r="AD24" s="35">
        <f t="shared" si="28"/>
        <v>61590</v>
      </c>
      <c r="AF24" s="20">
        <f t="shared" si="1"/>
        <v>2.4</v>
      </c>
      <c r="AG24" s="20">
        <f t="shared" si="2"/>
        <v>9.65</v>
      </c>
      <c r="AH24" s="20">
        <f t="shared" si="3"/>
        <v>15.4</v>
      </c>
      <c r="AI24" s="20">
        <f t="shared" si="4"/>
        <v>7.3</v>
      </c>
      <c r="AJ24" s="20">
        <f t="shared" si="5"/>
        <v>34.75</v>
      </c>
      <c r="AK24" s="20">
        <f t="shared" si="6"/>
        <v>25.35</v>
      </c>
      <c r="AL24" s="20">
        <f t="shared" si="7"/>
        <v>16.25</v>
      </c>
      <c r="AM24" s="20">
        <f t="shared" si="8"/>
        <v>23.8</v>
      </c>
      <c r="AN24" s="20">
        <f t="shared" si="9"/>
        <v>28.2</v>
      </c>
      <c r="AO24" s="20">
        <f t="shared" si="10"/>
        <v>14.6</v>
      </c>
      <c r="AP24" s="20">
        <f t="shared" si="11"/>
        <v>18.400000000000002</v>
      </c>
      <c r="AQ24" s="20">
        <f t="shared" si="12"/>
        <v>36.15</v>
      </c>
      <c r="AR24" s="20">
        <f t="shared" si="13"/>
        <v>75.7</v>
      </c>
      <c r="AS24" s="35">
        <f t="shared" si="29"/>
        <v>307.95</v>
      </c>
      <c r="AU24" s="47">
        <v>802967</v>
      </c>
      <c r="AV24" s="37">
        <f t="shared" si="31"/>
        <v>2438</v>
      </c>
      <c r="AW24" s="35">
        <f t="shared" si="30"/>
        <v>4.8760000000000003</v>
      </c>
    </row>
    <row r="25" spans="1:49" x14ac:dyDescent="0.25">
      <c r="A25" s="23">
        <v>43880</v>
      </c>
      <c r="B25" s="40">
        <v>225</v>
      </c>
      <c r="C25" s="24">
        <v>5949210</v>
      </c>
      <c r="D25" s="24">
        <v>12840940</v>
      </c>
      <c r="E25" s="24">
        <v>1490550</v>
      </c>
      <c r="F25" s="24">
        <v>2716890</v>
      </c>
      <c r="G25" s="24">
        <v>8443060</v>
      </c>
      <c r="H25" s="24">
        <v>4122560</v>
      </c>
      <c r="I25" s="24">
        <v>3997430</v>
      </c>
      <c r="J25" s="24">
        <v>4589590</v>
      </c>
      <c r="K25" s="24">
        <v>7265330</v>
      </c>
      <c r="L25" s="24">
        <v>2663610</v>
      </c>
      <c r="M25" s="24">
        <v>6607930</v>
      </c>
      <c r="N25" s="24">
        <v>9208770</v>
      </c>
      <c r="O25" s="24">
        <v>12484730</v>
      </c>
      <c r="Q25" s="37">
        <f t="shared" si="16"/>
        <v>540</v>
      </c>
      <c r="R25" s="37">
        <f t="shared" si="17"/>
        <v>1850</v>
      </c>
      <c r="S25" s="37">
        <f t="shared" ref="S25:AC27" si="33">IF((E25-E24&lt;0), "0",E25-E24)</f>
        <v>3010</v>
      </c>
      <c r="T25" s="37">
        <f t="shared" si="33"/>
        <v>1410</v>
      </c>
      <c r="U25" s="37">
        <f t="shared" si="33"/>
        <v>6790</v>
      </c>
      <c r="V25" s="37">
        <f t="shared" si="33"/>
        <v>4840</v>
      </c>
      <c r="W25" s="37">
        <f t="shared" si="33"/>
        <v>3010</v>
      </c>
      <c r="X25" s="37">
        <f t="shared" si="33"/>
        <v>4630</v>
      </c>
      <c r="Y25" s="37">
        <f t="shared" si="33"/>
        <v>5280</v>
      </c>
      <c r="Z25" s="37">
        <f t="shared" si="33"/>
        <v>2920</v>
      </c>
      <c r="AA25" s="37">
        <f t="shared" si="33"/>
        <v>3550</v>
      </c>
      <c r="AB25" s="37">
        <f t="shared" si="33"/>
        <v>6890</v>
      </c>
      <c r="AC25" s="37">
        <f t="shared" si="33"/>
        <v>14420</v>
      </c>
      <c r="AD25" s="35">
        <f t="shared" si="28"/>
        <v>59140</v>
      </c>
      <c r="AF25" s="20">
        <f t="shared" si="1"/>
        <v>2.7</v>
      </c>
      <c r="AG25" s="20">
        <f t="shared" si="2"/>
        <v>9.25</v>
      </c>
      <c r="AH25" s="20">
        <f t="shared" si="3"/>
        <v>15.05</v>
      </c>
      <c r="AI25" s="20">
        <f t="shared" si="4"/>
        <v>7.05</v>
      </c>
      <c r="AJ25" s="20">
        <f t="shared" si="5"/>
        <v>33.950000000000003</v>
      </c>
      <c r="AK25" s="20">
        <f t="shared" si="6"/>
        <v>24.2</v>
      </c>
      <c r="AL25" s="20">
        <f t="shared" si="7"/>
        <v>15.05</v>
      </c>
      <c r="AM25" s="20">
        <f t="shared" si="8"/>
        <v>23.150000000000002</v>
      </c>
      <c r="AN25" s="20">
        <f t="shared" si="9"/>
        <v>26.400000000000002</v>
      </c>
      <c r="AO25" s="20">
        <f t="shared" si="10"/>
        <v>14.6</v>
      </c>
      <c r="AP25" s="20">
        <f t="shared" si="11"/>
        <v>17.75</v>
      </c>
      <c r="AQ25" s="20">
        <f t="shared" si="12"/>
        <v>34.450000000000003</v>
      </c>
      <c r="AR25" s="20">
        <f t="shared" si="13"/>
        <v>72.100000000000009</v>
      </c>
      <c r="AS25" s="35">
        <f t="shared" si="29"/>
        <v>295.70000000000005</v>
      </c>
      <c r="AU25" s="47">
        <v>805237</v>
      </c>
      <c r="AV25" s="37">
        <f t="shared" si="31"/>
        <v>2270</v>
      </c>
      <c r="AW25" s="35">
        <f t="shared" si="30"/>
        <v>4.54</v>
      </c>
    </row>
    <row r="26" spans="1:49" x14ac:dyDescent="0.25">
      <c r="A26" s="23">
        <v>43881</v>
      </c>
      <c r="B26" s="40">
        <v>282</v>
      </c>
      <c r="C26" s="24">
        <v>5949770</v>
      </c>
      <c r="D26" s="24">
        <v>12842820</v>
      </c>
      <c r="E26" s="24">
        <v>1493710</v>
      </c>
      <c r="F26" s="24">
        <v>2718320</v>
      </c>
      <c r="G26" s="24">
        <v>8449840</v>
      </c>
      <c r="H26" s="24">
        <v>4127480</v>
      </c>
      <c r="I26" s="24">
        <v>4000780</v>
      </c>
      <c r="J26" s="24">
        <v>4594360</v>
      </c>
      <c r="K26" s="24">
        <v>7270950</v>
      </c>
      <c r="L26" s="24">
        <v>2666510</v>
      </c>
      <c r="M26" s="24">
        <v>6611650</v>
      </c>
      <c r="N26" s="24">
        <v>9216000</v>
      </c>
      <c r="O26" s="24">
        <v>12499520</v>
      </c>
      <c r="Q26" s="37">
        <f t="shared" si="16"/>
        <v>560</v>
      </c>
      <c r="R26" s="37">
        <f t="shared" si="17"/>
        <v>1880</v>
      </c>
      <c r="S26" s="37">
        <f t="shared" si="33"/>
        <v>3160</v>
      </c>
      <c r="T26" s="37">
        <f t="shared" si="33"/>
        <v>1430</v>
      </c>
      <c r="U26" s="37">
        <f t="shared" si="33"/>
        <v>6780</v>
      </c>
      <c r="V26" s="37">
        <f t="shared" si="33"/>
        <v>4920</v>
      </c>
      <c r="W26" s="37">
        <f t="shared" si="33"/>
        <v>3350</v>
      </c>
      <c r="X26" s="37">
        <f t="shared" si="33"/>
        <v>4770</v>
      </c>
      <c r="Y26" s="37">
        <f t="shared" si="33"/>
        <v>5620</v>
      </c>
      <c r="Z26" s="37">
        <f t="shared" si="33"/>
        <v>2900</v>
      </c>
      <c r="AA26" s="37">
        <f t="shared" si="33"/>
        <v>3720</v>
      </c>
      <c r="AB26" s="37">
        <f t="shared" si="33"/>
        <v>7230</v>
      </c>
      <c r="AC26" s="37">
        <f t="shared" si="33"/>
        <v>14790</v>
      </c>
      <c r="AD26" s="35">
        <f t="shared" si="28"/>
        <v>61110</v>
      </c>
      <c r="AF26" s="20">
        <f t="shared" si="1"/>
        <v>2.8000000000000003</v>
      </c>
      <c r="AG26" s="20">
        <f t="shared" si="2"/>
        <v>9.4</v>
      </c>
      <c r="AH26" s="20">
        <f t="shared" si="3"/>
        <v>15.8</v>
      </c>
      <c r="AI26" s="20">
        <f t="shared" si="4"/>
        <v>7.15</v>
      </c>
      <c r="AJ26" s="20">
        <f t="shared" si="5"/>
        <v>33.9</v>
      </c>
      <c r="AK26" s="20">
        <f t="shared" si="6"/>
        <v>24.6</v>
      </c>
      <c r="AL26" s="20">
        <f t="shared" si="7"/>
        <v>16.75</v>
      </c>
      <c r="AM26" s="20">
        <f t="shared" si="8"/>
        <v>23.85</v>
      </c>
      <c r="AN26" s="20">
        <f t="shared" si="9"/>
        <v>28.1</v>
      </c>
      <c r="AO26" s="20">
        <f t="shared" si="10"/>
        <v>14.5</v>
      </c>
      <c r="AP26" s="20">
        <f t="shared" si="11"/>
        <v>18.600000000000001</v>
      </c>
      <c r="AQ26" s="20">
        <f t="shared" si="12"/>
        <v>36.15</v>
      </c>
      <c r="AR26" s="20">
        <f t="shared" si="13"/>
        <v>73.95</v>
      </c>
      <c r="AS26" s="35">
        <f t="shared" si="29"/>
        <v>305.55</v>
      </c>
      <c r="AU26" s="47">
        <v>807093</v>
      </c>
      <c r="AV26" s="37">
        <f t="shared" si="31"/>
        <v>1856</v>
      </c>
      <c r="AW26" s="35">
        <f t="shared" si="30"/>
        <v>3.7120000000000002</v>
      </c>
    </row>
    <row r="27" spans="1:49" x14ac:dyDescent="0.25">
      <c r="A27" s="23">
        <v>43882</v>
      </c>
      <c r="B27" s="40">
        <v>280</v>
      </c>
      <c r="C27" s="24">
        <v>5950350</v>
      </c>
      <c r="D27" s="24">
        <v>12844800</v>
      </c>
      <c r="E27" s="24">
        <v>1497190</v>
      </c>
      <c r="F27" s="24">
        <v>2719840</v>
      </c>
      <c r="G27" s="24">
        <v>8457420</v>
      </c>
      <c r="H27" s="24">
        <v>4132740</v>
      </c>
      <c r="I27" s="24">
        <v>4004440</v>
      </c>
      <c r="J27" s="24">
        <v>4599280</v>
      </c>
      <c r="K27" s="24">
        <v>7277040</v>
      </c>
      <c r="L27" s="24">
        <v>2669640</v>
      </c>
      <c r="M27" s="24">
        <v>6615650</v>
      </c>
      <c r="N27" s="24">
        <v>9223790</v>
      </c>
      <c r="O27" s="24">
        <v>12515370</v>
      </c>
      <c r="Q27" s="37">
        <f t="shared" si="16"/>
        <v>580</v>
      </c>
      <c r="R27" s="37">
        <f t="shared" si="17"/>
        <v>1980</v>
      </c>
      <c r="S27" s="37">
        <f t="shared" si="33"/>
        <v>3480</v>
      </c>
      <c r="T27" s="37">
        <f t="shared" si="33"/>
        <v>1520</v>
      </c>
      <c r="U27" s="37">
        <f t="shared" si="33"/>
        <v>7580</v>
      </c>
      <c r="V27" s="37">
        <f t="shared" si="33"/>
        <v>5260</v>
      </c>
      <c r="W27" s="37">
        <f t="shared" si="33"/>
        <v>3660</v>
      </c>
      <c r="X27" s="37">
        <f t="shared" si="33"/>
        <v>4920</v>
      </c>
      <c r="Y27" s="37">
        <f t="shared" si="33"/>
        <v>6090</v>
      </c>
      <c r="Z27" s="37">
        <f t="shared" si="33"/>
        <v>3130</v>
      </c>
      <c r="AA27" s="37">
        <f t="shared" si="33"/>
        <v>4000</v>
      </c>
      <c r="AB27" s="37">
        <f t="shared" si="33"/>
        <v>7790</v>
      </c>
      <c r="AC27" s="37">
        <f t="shared" si="33"/>
        <v>15850</v>
      </c>
      <c r="AD27" s="35">
        <f t="shared" si="28"/>
        <v>65840</v>
      </c>
      <c r="AF27" s="20">
        <f t="shared" si="1"/>
        <v>2.9</v>
      </c>
      <c r="AG27" s="20">
        <f t="shared" si="2"/>
        <v>9.9</v>
      </c>
      <c r="AH27" s="20">
        <f t="shared" si="3"/>
        <v>17.400000000000002</v>
      </c>
      <c r="AI27" s="20">
        <f t="shared" si="4"/>
        <v>7.6000000000000005</v>
      </c>
      <c r="AJ27" s="20">
        <f t="shared" si="5"/>
        <v>37.9</v>
      </c>
      <c r="AK27" s="20">
        <f t="shared" si="6"/>
        <v>26.3</v>
      </c>
      <c r="AL27" s="20">
        <f t="shared" si="7"/>
        <v>18.3</v>
      </c>
      <c r="AM27" s="20">
        <f t="shared" si="8"/>
        <v>24.6</v>
      </c>
      <c r="AN27" s="20">
        <f t="shared" si="9"/>
        <v>30.45</v>
      </c>
      <c r="AO27" s="20">
        <f t="shared" si="10"/>
        <v>15.65</v>
      </c>
      <c r="AP27" s="20">
        <f t="shared" si="11"/>
        <v>20</v>
      </c>
      <c r="AQ27" s="20">
        <f t="shared" si="12"/>
        <v>38.950000000000003</v>
      </c>
      <c r="AR27" s="20">
        <f t="shared" si="13"/>
        <v>79.25</v>
      </c>
      <c r="AS27" s="35">
        <f t="shared" si="29"/>
        <v>329.2</v>
      </c>
      <c r="AU27" s="47">
        <v>809410</v>
      </c>
      <c r="AV27" s="37">
        <f>IF((AU27-AU26&lt;0),"0",AU27-AU26)</f>
        <v>2317</v>
      </c>
      <c r="AW27" s="35">
        <f t="shared" si="30"/>
        <v>4.6340000000000003</v>
      </c>
    </row>
    <row r="28" spans="1:49" x14ac:dyDescent="0.25">
      <c r="A28" s="23">
        <v>43883</v>
      </c>
      <c r="B28" s="40">
        <v>139</v>
      </c>
      <c r="C28" s="24">
        <v>5950870</v>
      </c>
      <c r="D28" s="24">
        <v>12846560</v>
      </c>
      <c r="E28" s="24">
        <v>1500170</v>
      </c>
      <c r="F28" s="24">
        <v>2721190</v>
      </c>
      <c r="G28" s="24">
        <v>8464310</v>
      </c>
      <c r="H28" s="24">
        <v>4137380</v>
      </c>
      <c r="I28" s="24">
        <v>4007540</v>
      </c>
      <c r="J28" s="24">
        <v>4603790</v>
      </c>
      <c r="K28" s="24">
        <v>7282350</v>
      </c>
      <c r="L28" s="24">
        <v>2672320</v>
      </c>
      <c r="M28" s="24">
        <v>6619190</v>
      </c>
      <c r="N28" s="24">
        <v>9230760</v>
      </c>
      <c r="O28" s="24">
        <v>12529720</v>
      </c>
      <c r="Q28" s="37">
        <f t="shared" si="16"/>
        <v>520</v>
      </c>
      <c r="R28" s="37">
        <f t="shared" si="17"/>
        <v>1760</v>
      </c>
      <c r="S28" s="37">
        <f t="shared" si="15"/>
        <v>2980</v>
      </c>
      <c r="T28" s="37">
        <f t="shared" si="18"/>
        <v>1350</v>
      </c>
      <c r="U28" s="37">
        <f t="shared" si="19"/>
        <v>6890</v>
      </c>
      <c r="V28" s="37">
        <f t="shared" si="20"/>
        <v>4640</v>
      </c>
      <c r="W28" s="37">
        <f t="shared" si="21"/>
        <v>3100</v>
      </c>
      <c r="X28" s="37">
        <f t="shared" si="22"/>
        <v>4510</v>
      </c>
      <c r="Y28" s="37">
        <f t="shared" si="23"/>
        <v>5310</v>
      </c>
      <c r="Z28" s="37">
        <f t="shared" si="24"/>
        <v>2680</v>
      </c>
      <c r="AA28" s="37">
        <f t="shared" si="25"/>
        <v>3540</v>
      </c>
      <c r="AB28" s="37">
        <f t="shared" si="26"/>
        <v>6970</v>
      </c>
      <c r="AC28" s="37">
        <f t="shared" si="27"/>
        <v>14350</v>
      </c>
      <c r="AD28" s="35">
        <f t="shared" si="28"/>
        <v>58600</v>
      </c>
      <c r="AF28" s="20">
        <f t="shared" si="1"/>
        <v>2.6</v>
      </c>
      <c r="AG28" s="20">
        <f t="shared" si="2"/>
        <v>8.8000000000000007</v>
      </c>
      <c r="AH28" s="20">
        <f t="shared" si="3"/>
        <v>14.9</v>
      </c>
      <c r="AI28" s="20">
        <f t="shared" si="4"/>
        <v>6.75</v>
      </c>
      <c r="AJ28" s="20">
        <f t="shared" si="5"/>
        <v>34.450000000000003</v>
      </c>
      <c r="AK28" s="20">
        <f t="shared" si="6"/>
        <v>23.2</v>
      </c>
      <c r="AL28" s="20">
        <f t="shared" si="7"/>
        <v>15.5</v>
      </c>
      <c r="AM28" s="20">
        <f t="shared" si="8"/>
        <v>22.55</v>
      </c>
      <c r="AN28" s="20">
        <f t="shared" si="9"/>
        <v>26.55</v>
      </c>
      <c r="AO28" s="20">
        <f t="shared" si="10"/>
        <v>13.4</v>
      </c>
      <c r="AP28" s="20">
        <f t="shared" si="11"/>
        <v>17.7</v>
      </c>
      <c r="AQ28" s="20">
        <f t="shared" si="12"/>
        <v>34.85</v>
      </c>
      <c r="AR28" s="20">
        <f t="shared" si="13"/>
        <v>71.75</v>
      </c>
      <c r="AS28" s="35">
        <f t="shared" si="29"/>
        <v>293</v>
      </c>
      <c r="AU28" s="47">
        <v>811520</v>
      </c>
      <c r="AV28" s="37">
        <f>IF((AU28-AU27&lt;0),"0",AU28-AU27)</f>
        <v>2110</v>
      </c>
      <c r="AW28" s="35">
        <f t="shared" si="30"/>
        <v>4.22</v>
      </c>
    </row>
    <row r="29" spans="1:49" x14ac:dyDescent="0.25">
      <c r="A29" s="23">
        <v>43884</v>
      </c>
      <c r="B29" s="40">
        <v>115</v>
      </c>
      <c r="C29" s="24">
        <v>5951430</v>
      </c>
      <c r="D29" s="24">
        <v>12848430</v>
      </c>
      <c r="E29" s="24">
        <v>1503370</v>
      </c>
      <c r="F29" s="24">
        <v>2722630</v>
      </c>
      <c r="G29" s="24">
        <v>8471300</v>
      </c>
      <c r="H29" s="24">
        <v>4142190</v>
      </c>
      <c r="I29" s="24">
        <v>4010690</v>
      </c>
      <c r="J29" s="24">
        <v>4608500</v>
      </c>
      <c r="K29" s="24">
        <v>7287950</v>
      </c>
      <c r="L29" s="24">
        <v>2675150</v>
      </c>
      <c r="M29" s="24">
        <v>6622780</v>
      </c>
      <c r="N29" s="24">
        <v>9238300</v>
      </c>
      <c r="O29" s="24">
        <v>12544880</v>
      </c>
      <c r="Q29" s="37">
        <f t="shared" si="16"/>
        <v>560</v>
      </c>
      <c r="R29" s="37">
        <f t="shared" si="17"/>
        <v>1870</v>
      </c>
      <c r="S29" s="37">
        <f t="shared" si="15"/>
        <v>3200</v>
      </c>
      <c r="T29" s="37">
        <f t="shared" si="18"/>
        <v>1440</v>
      </c>
      <c r="U29" s="37">
        <f t="shared" si="19"/>
        <v>6990</v>
      </c>
      <c r="V29" s="37">
        <f t="shared" si="20"/>
        <v>4810</v>
      </c>
      <c r="W29" s="37">
        <f t="shared" si="21"/>
        <v>3150</v>
      </c>
      <c r="X29" s="37">
        <f t="shared" si="22"/>
        <v>4710</v>
      </c>
      <c r="Y29" s="37">
        <f t="shared" si="23"/>
        <v>5600</v>
      </c>
      <c r="Z29" s="37">
        <f t="shared" si="24"/>
        <v>2830</v>
      </c>
      <c r="AA29" s="37">
        <f t="shared" si="25"/>
        <v>3590</v>
      </c>
      <c r="AB29" s="37">
        <f t="shared" si="26"/>
        <v>7540</v>
      </c>
      <c r="AC29" s="37">
        <f t="shared" si="27"/>
        <v>15160</v>
      </c>
      <c r="AD29" s="35">
        <f t="shared" si="28"/>
        <v>61450</v>
      </c>
      <c r="AF29" s="20">
        <f t="shared" si="1"/>
        <v>2.8000000000000003</v>
      </c>
      <c r="AG29" s="20">
        <f t="shared" si="2"/>
        <v>9.35</v>
      </c>
      <c r="AH29" s="20">
        <f t="shared" si="3"/>
        <v>16</v>
      </c>
      <c r="AI29" s="20">
        <f t="shared" si="4"/>
        <v>7.2</v>
      </c>
      <c r="AJ29" s="20">
        <f t="shared" si="5"/>
        <v>34.950000000000003</v>
      </c>
      <c r="AK29" s="20">
        <f t="shared" si="6"/>
        <v>24.05</v>
      </c>
      <c r="AL29" s="20">
        <f t="shared" si="7"/>
        <v>15.75</v>
      </c>
      <c r="AM29" s="20">
        <f t="shared" si="8"/>
        <v>23.55</v>
      </c>
      <c r="AN29" s="20">
        <f t="shared" si="9"/>
        <v>28</v>
      </c>
      <c r="AO29" s="20">
        <f t="shared" si="10"/>
        <v>14.15</v>
      </c>
      <c r="AP29" s="20">
        <f t="shared" si="11"/>
        <v>17.95</v>
      </c>
      <c r="AQ29" s="20">
        <f t="shared" si="12"/>
        <v>37.700000000000003</v>
      </c>
      <c r="AR29" s="20">
        <f t="shared" si="13"/>
        <v>75.8</v>
      </c>
      <c r="AS29" s="35">
        <f t="shared" si="29"/>
        <v>307.25</v>
      </c>
      <c r="AU29" s="47">
        <v>813138</v>
      </c>
      <c r="AV29" s="37">
        <f t="shared" ref="AV29:AV35" si="34">IF((AU29-AU28&lt;0),"0",AU29-AU28)</f>
        <v>1618</v>
      </c>
      <c r="AW29" s="35">
        <f t="shared" si="30"/>
        <v>3.2360000000000002</v>
      </c>
    </row>
    <row r="30" spans="1:49" x14ac:dyDescent="0.25">
      <c r="A30" s="23">
        <v>43885</v>
      </c>
      <c r="B30" s="40">
        <v>109</v>
      </c>
      <c r="C30" s="24">
        <v>5952000</v>
      </c>
      <c r="D30" s="24">
        <v>12850350</v>
      </c>
      <c r="E30" s="24">
        <v>1506790</v>
      </c>
      <c r="F30" s="24">
        <v>2724110</v>
      </c>
      <c r="G30" s="24">
        <v>8477770</v>
      </c>
      <c r="H30" s="24">
        <v>4146980</v>
      </c>
      <c r="I30" s="24">
        <v>4013760</v>
      </c>
      <c r="J30" s="24">
        <v>4613140</v>
      </c>
      <c r="K30" s="24">
        <v>7293260</v>
      </c>
      <c r="L30" s="24">
        <v>2677910</v>
      </c>
      <c r="M30" s="24">
        <v>6625900</v>
      </c>
      <c r="N30" s="24">
        <v>9245810</v>
      </c>
      <c r="O30" s="24">
        <v>12559600</v>
      </c>
      <c r="Q30" s="37">
        <f t="shared" si="16"/>
        <v>570</v>
      </c>
      <c r="R30" s="37">
        <f t="shared" si="17"/>
        <v>1920</v>
      </c>
      <c r="S30" s="37">
        <f t="shared" si="15"/>
        <v>3420</v>
      </c>
      <c r="T30" s="37">
        <f t="shared" si="18"/>
        <v>1480</v>
      </c>
      <c r="U30" s="37">
        <f t="shared" si="19"/>
        <v>6470</v>
      </c>
      <c r="V30" s="37">
        <f t="shared" si="20"/>
        <v>4790</v>
      </c>
      <c r="W30" s="37">
        <f t="shared" si="21"/>
        <v>3070</v>
      </c>
      <c r="X30" s="37">
        <f t="shared" si="22"/>
        <v>4640</v>
      </c>
      <c r="Y30" s="37">
        <f t="shared" si="23"/>
        <v>5310</v>
      </c>
      <c r="Z30" s="37">
        <f t="shared" si="24"/>
        <v>2760</v>
      </c>
      <c r="AA30" s="37">
        <f t="shared" si="25"/>
        <v>3120</v>
      </c>
      <c r="AB30" s="37">
        <f t="shared" si="26"/>
        <v>7510</v>
      </c>
      <c r="AC30" s="37">
        <f t="shared" si="27"/>
        <v>14720</v>
      </c>
      <c r="AD30" s="35">
        <f t="shared" si="28"/>
        <v>59780</v>
      </c>
      <c r="AF30" s="20">
        <f t="shared" si="1"/>
        <v>2.85</v>
      </c>
      <c r="AG30" s="20">
        <f t="shared" si="2"/>
        <v>9.6</v>
      </c>
      <c r="AH30" s="20">
        <f t="shared" si="3"/>
        <v>17.100000000000001</v>
      </c>
      <c r="AI30" s="20">
        <f t="shared" si="4"/>
        <v>7.4</v>
      </c>
      <c r="AJ30" s="20">
        <f t="shared" si="5"/>
        <v>32.35</v>
      </c>
      <c r="AK30" s="20">
        <f t="shared" si="6"/>
        <v>23.95</v>
      </c>
      <c r="AL30" s="20">
        <f t="shared" si="7"/>
        <v>15.35</v>
      </c>
      <c r="AM30" s="20">
        <f t="shared" si="8"/>
        <v>23.2</v>
      </c>
      <c r="AN30" s="20">
        <f t="shared" si="9"/>
        <v>26.55</v>
      </c>
      <c r="AO30" s="20">
        <f t="shared" si="10"/>
        <v>13.8</v>
      </c>
      <c r="AP30" s="20">
        <f t="shared" si="11"/>
        <v>15.6</v>
      </c>
      <c r="AQ30" s="20">
        <f t="shared" si="12"/>
        <v>37.550000000000004</v>
      </c>
      <c r="AR30" s="20">
        <f t="shared" si="13"/>
        <v>73.600000000000009</v>
      </c>
      <c r="AS30" s="35">
        <f t="shared" si="29"/>
        <v>298.90000000000003</v>
      </c>
      <c r="AU30" s="47">
        <v>815629</v>
      </c>
      <c r="AV30" s="37">
        <f t="shared" si="34"/>
        <v>2491</v>
      </c>
      <c r="AW30" s="35">
        <f t="shared" si="30"/>
        <v>4.9820000000000002</v>
      </c>
    </row>
    <row r="31" spans="1:49" x14ac:dyDescent="0.25">
      <c r="A31" s="23">
        <v>43886</v>
      </c>
      <c r="B31" s="40">
        <v>97</v>
      </c>
      <c r="C31" s="24">
        <v>5952580</v>
      </c>
      <c r="D31" s="24">
        <v>12852310</v>
      </c>
      <c r="E31" s="24">
        <v>1510070</v>
      </c>
      <c r="F31" s="24">
        <v>2725890</v>
      </c>
      <c r="G31" s="24">
        <v>8484460</v>
      </c>
      <c r="H31" s="24">
        <v>4151710</v>
      </c>
      <c r="I31" s="24">
        <v>4016610</v>
      </c>
      <c r="J31" s="24">
        <v>4617870</v>
      </c>
      <c r="K31" s="24">
        <v>7298560</v>
      </c>
      <c r="L31" s="24">
        <v>2680690</v>
      </c>
      <c r="M31" s="24">
        <v>6629480</v>
      </c>
      <c r="N31" s="24">
        <v>9253420</v>
      </c>
      <c r="O31" s="24">
        <v>12574360</v>
      </c>
      <c r="Q31" s="37">
        <f t="shared" si="16"/>
        <v>580</v>
      </c>
      <c r="R31" s="37">
        <f t="shared" si="17"/>
        <v>1960</v>
      </c>
      <c r="S31" s="37">
        <f t="shared" si="15"/>
        <v>3280</v>
      </c>
      <c r="T31" s="37">
        <f t="shared" si="18"/>
        <v>1780</v>
      </c>
      <c r="U31" s="37">
        <f t="shared" si="19"/>
        <v>6690</v>
      </c>
      <c r="V31" s="37">
        <f t="shared" si="20"/>
        <v>4730</v>
      </c>
      <c r="W31" s="37">
        <f t="shared" si="21"/>
        <v>2850</v>
      </c>
      <c r="X31" s="37">
        <f t="shared" si="22"/>
        <v>4730</v>
      </c>
      <c r="Y31" s="37">
        <f t="shared" si="23"/>
        <v>5300</v>
      </c>
      <c r="Z31" s="37">
        <f t="shared" si="24"/>
        <v>2780</v>
      </c>
      <c r="AA31" s="37">
        <f t="shared" si="25"/>
        <v>3580</v>
      </c>
      <c r="AB31" s="37">
        <f t="shared" si="26"/>
        <v>7610</v>
      </c>
      <c r="AC31" s="37">
        <f t="shared" si="27"/>
        <v>14760</v>
      </c>
      <c r="AD31" s="35">
        <f t="shared" si="28"/>
        <v>60630</v>
      </c>
      <c r="AF31" s="20">
        <f t="shared" si="1"/>
        <v>2.9</v>
      </c>
      <c r="AG31" s="20">
        <f t="shared" si="2"/>
        <v>9.8000000000000007</v>
      </c>
      <c r="AH31" s="20">
        <f t="shared" si="3"/>
        <v>16.399999999999999</v>
      </c>
      <c r="AI31" s="20">
        <f t="shared" si="4"/>
        <v>8.9</v>
      </c>
      <c r="AJ31" s="20">
        <f t="shared" si="5"/>
        <v>33.450000000000003</v>
      </c>
      <c r="AK31" s="20">
        <f t="shared" si="6"/>
        <v>23.650000000000002</v>
      </c>
      <c r="AL31" s="20">
        <f t="shared" si="7"/>
        <v>14.25</v>
      </c>
      <c r="AM31" s="20">
        <f t="shared" si="8"/>
        <v>23.650000000000002</v>
      </c>
      <c r="AN31" s="20">
        <f t="shared" si="9"/>
        <v>26.5</v>
      </c>
      <c r="AO31" s="20">
        <f t="shared" si="10"/>
        <v>13.9</v>
      </c>
      <c r="AP31" s="20">
        <f t="shared" si="11"/>
        <v>17.900000000000002</v>
      </c>
      <c r="AQ31" s="20">
        <f t="shared" si="12"/>
        <v>38.050000000000004</v>
      </c>
      <c r="AR31" s="20">
        <f t="shared" si="13"/>
        <v>73.8</v>
      </c>
      <c r="AS31" s="35">
        <f t="shared" si="29"/>
        <v>303.15000000000003</v>
      </c>
      <c r="AU31" s="47">
        <v>817241</v>
      </c>
      <c r="AV31" s="37">
        <f t="shared" si="34"/>
        <v>1612</v>
      </c>
      <c r="AW31" s="35">
        <f t="shared" si="30"/>
        <v>3.2240000000000002</v>
      </c>
    </row>
    <row r="32" spans="1:49" x14ac:dyDescent="0.25">
      <c r="A32" s="23">
        <v>43887</v>
      </c>
      <c r="B32" s="40">
        <v>84</v>
      </c>
      <c r="C32" s="24">
        <v>5953100</v>
      </c>
      <c r="D32" s="24">
        <v>12854050</v>
      </c>
      <c r="E32" s="24">
        <v>1512610</v>
      </c>
      <c r="F32" s="24">
        <v>2727200</v>
      </c>
      <c r="G32" s="24">
        <v>8490510</v>
      </c>
      <c r="H32" s="24">
        <v>4156150</v>
      </c>
      <c r="I32" s="24">
        <v>4019160</v>
      </c>
      <c r="J32" s="24">
        <v>4622280</v>
      </c>
      <c r="K32" s="24">
        <v>7303950</v>
      </c>
      <c r="L32" s="24">
        <v>2683150</v>
      </c>
      <c r="M32" s="24">
        <v>6632790</v>
      </c>
      <c r="N32" s="24">
        <v>9259870</v>
      </c>
      <c r="O32" s="24">
        <v>12588050</v>
      </c>
      <c r="Q32" s="37">
        <f t="shared" si="16"/>
        <v>520</v>
      </c>
      <c r="R32" s="37">
        <f t="shared" si="17"/>
        <v>1740</v>
      </c>
      <c r="S32" s="37">
        <f t="shared" si="15"/>
        <v>2540</v>
      </c>
      <c r="T32" s="37">
        <f t="shared" si="18"/>
        <v>1310</v>
      </c>
      <c r="U32" s="37">
        <f t="shared" si="19"/>
        <v>6050</v>
      </c>
      <c r="V32" s="37">
        <f t="shared" si="20"/>
        <v>4440</v>
      </c>
      <c r="W32" s="37">
        <f t="shared" si="21"/>
        <v>2550</v>
      </c>
      <c r="X32" s="37">
        <f t="shared" si="22"/>
        <v>4410</v>
      </c>
      <c r="Y32" s="37">
        <f t="shared" si="23"/>
        <v>5390</v>
      </c>
      <c r="Z32" s="37">
        <f t="shared" si="24"/>
        <v>2460</v>
      </c>
      <c r="AA32" s="37">
        <f t="shared" si="25"/>
        <v>3310</v>
      </c>
      <c r="AB32" s="37">
        <f t="shared" si="26"/>
        <v>6450</v>
      </c>
      <c r="AC32" s="37">
        <f t="shared" si="27"/>
        <v>13690</v>
      </c>
      <c r="AD32" s="35">
        <f t="shared" si="28"/>
        <v>54860</v>
      </c>
      <c r="AF32" s="20">
        <f t="shared" si="1"/>
        <v>2.6</v>
      </c>
      <c r="AG32" s="20">
        <f t="shared" si="2"/>
        <v>8.7000000000000011</v>
      </c>
      <c r="AH32" s="20">
        <f t="shared" si="3"/>
        <v>12.700000000000001</v>
      </c>
      <c r="AI32" s="20">
        <f t="shared" si="4"/>
        <v>6.55</v>
      </c>
      <c r="AJ32" s="20">
        <f t="shared" si="5"/>
        <v>30.25</v>
      </c>
      <c r="AK32" s="20">
        <f t="shared" si="6"/>
        <v>22.2</v>
      </c>
      <c r="AL32" s="20">
        <f t="shared" si="7"/>
        <v>12.75</v>
      </c>
      <c r="AM32" s="20">
        <f t="shared" si="8"/>
        <v>22.05</v>
      </c>
      <c r="AN32" s="20">
        <f t="shared" si="9"/>
        <v>26.95</v>
      </c>
      <c r="AO32" s="20">
        <f t="shared" si="10"/>
        <v>12.3</v>
      </c>
      <c r="AP32" s="20">
        <f t="shared" si="11"/>
        <v>16.55</v>
      </c>
      <c r="AQ32" s="20">
        <f t="shared" si="12"/>
        <v>32.25</v>
      </c>
      <c r="AR32" s="20">
        <f t="shared" si="13"/>
        <v>68.45</v>
      </c>
      <c r="AS32" s="35">
        <f t="shared" si="29"/>
        <v>274.3</v>
      </c>
      <c r="AU32" s="47">
        <v>818881</v>
      </c>
      <c r="AV32" s="37">
        <f t="shared" si="34"/>
        <v>1640</v>
      </c>
      <c r="AW32" s="35">
        <f t="shared" si="30"/>
        <v>3.2800000000000002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 t="str">
        <f t="shared" si="16"/>
        <v>0</v>
      </c>
      <c r="R33" s="37" t="str">
        <f t="shared" si="17"/>
        <v>0</v>
      </c>
      <c r="S33" s="37" t="str">
        <f t="shared" si="15"/>
        <v>0</v>
      </c>
      <c r="T33" s="37" t="str">
        <f t="shared" si="18"/>
        <v>0</v>
      </c>
      <c r="U33" s="37" t="str">
        <f t="shared" si="19"/>
        <v>0</v>
      </c>
      <c r="V33" s="37" t="str">
        <f t="shared" si="20"/>
        <v>0</v>
      </c>
      <c r="W33" s="37" t="str">
        <f t="shared" si="21"/>
        <v>0</v>
      </c>
      <c r="X33" s="37" t="str">
        <f t="shared" si="22"/>
        <v>0</v>
      </c>
      <c r="Y33" s="37" t="str">
        <f t="shared" si="23"/>
        <v>0</v>
      </c>
      <c r="Z33" s="37" t="str">
        <f t="shared" si="24"/>
        <v>0</v>
      </c>
      <c r="AA33" s="37" t="str">
        <f t="shared" si="25"/>
        <v>0</v>
      </c>
      <c r="AB33" s="37" t="str">
        <f t="shared" si="26"/>
        <v>0</v>
      </c>
      <c r="AC33" s="37" t="str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 t="str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14150</v>
      </c>
      <c r="R36" s="38">
        <f>SUM(R7:R35)</f>
        <v>139010</v>
      </c>
      <c r="S36" s="38">
        <f>SUM(S7:S35)</f>
        <v>42300</v>
      </c>
      <c r="T36" s="38">
        <f>SUM(T7:T35)</f>
        <v>36980</v>
      </c>
      <c r="U36" s="38">
        <f>SUM(U7:U35)</f>
        <v>179080</v>
      </c>
      <c r="V36" s="30">
        <f>SUM(V3:V7)</f>
        <v>8487680</v>
      </c>
      <c r="W36" s="38">
        <f t="shared" ref="W36:AD36" si="35">SUM(W7:W35)</f>
        <v>84490</v>
      </c>
      <c r="X36" s="38">
        <f t="shared" si="35"/>
        <v>121710</v>
      </c>
      <c r="Y36" s="38">
        <f t="shared" si="35"/>
        <v>146170</v>
      </c>
      <c r="Z36" s="38">
        <f t="shared" si="35"/>
        <v>75560</v>
      </c>
      <c r="AA36" s="38">
        <f t="shared" si="35"/>
        <v>94820</v>
      </c>
      <c r="AB36" s="38">
        <f t="shared" si="35"/>
        <v>185080</v>
      </c>
      <c r="AC36" s="38">
        <f t="shared" si="35"/>
        <v>401980</v>
      </c>
      <c r="AD36" s="34">
        <f t="shared" si="35"/>
        <v>1646620</v>
      </c>
      <c r="AF36" s="35">
        <f t="shared" ref="AF36:AS36" si="36">SUM(AF7:AF35)</f>
        <v>70.75</v>
      </c>
      <c r="AG36" s="35">
        <f t="shared" si="36"/>
        <v>695.05</v>
      </c>
      <c r="AH36" s="35">
        <f t="shared" si="36"/>
        <v>211.5</v>
      </c>
      <c r="AI36" s="35">
        <f t="shared" si="36"/>
        <v>184.9</v>
      </c>
      <c r="AJ36" s="35">
        <f t="shared" si="36"/>
        <v>895.4000000000002</v>
      </c>
      <c r="AK36" s="35">
        <f t="shared" si="36"/>
        <v>626.45000000000016</v>
      </c>
      <c r="AL36" s="35">
        <f t="shared" si="36"/>
        <v>422.45000000000005</v>
      </c>
      <c r="AM36" s="35">
        <f t="shared" si="36"/>
        <v>608.54999999999995</v>
      </c>
      <c r="AN36" s="35">
        <f t="shared" si="36"/>
        <v>730.85</v>
      </c>
      <c r="AO36" s="35">
        <f t="shared" si="36"/>
        <v>377.79999999999995</v>
      </c>
      <c r="AP36" s="35">
        <f t="shared" si="36"/>
        <v>474.1</v>
      </c>
      <c r="AQ36" s="35">
        <f t="shared" si="36"/>
        <v>925.4</v>
      </c>
      <c r="AR36" s="35">
        <f t="shared" si="36"/>
        <v>2009.8999999999999</v>
      </c>
      <c r="AS36" s="35">
        <f t="shared" si="36"/>
        <v>8233.0999999999985</v>
      </c>
      <c r="AU36" s="48"/>
      <c r="AV36" s="34">
        <f>SUM(AV7:AV35)</f>
        <v>50329</v>
      </c>
      <c r="AW36" s="34">
        <f>SUM(AW7:AW35)</f>
        <v>94.692000000000021</v>
      </c>
    </row>
    <row r="37" spans="1:49" x14ac:dyDescent="0.25">
      <c r="D37">
        <v>5.0000000000000001E-3</v>
      </c>
      <c r="AV37" s="36">
        <f>AV36*0.00378541*1000</f>
        <v>190515.89988999997</v>
      </c>
    </row>
    <row r="38" spans="1:49" x14ac:dyDescent="0.25">
      <c r="D38">
        <v>2E-3</v>
      </c>
      <c r="AV38">
        <f>AV37/31</f>
        <v>6145.6741899999988</v>
      </c>
    </row>
    <row r="39" spans="1:49" x14ac:dyDescent="0.25">
      <c r="AV39">
        <f>AV36*0.00378541</f>
        <v>190.51589988999999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2020-02-27T05:33:58Z</dcterms:modified>
</cp:coreProperties>
</file>