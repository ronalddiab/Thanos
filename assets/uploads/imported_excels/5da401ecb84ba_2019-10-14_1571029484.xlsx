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19" sheetId="1" r:id="rId3"/>
  </sheets>
  <definedNames>
    <definedName name="_xlnm.Print_Area" localSheetId="2">'10 - 2019'!$A$1:$J$37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2" i="2" l="1"/>
  <c r="I32" i="2"/>
  <c r="H32" i="2"/>
  <c r="F32" i="2"/>
  <c r="E32" i="2"/>
  <c r="L32" i="3"/>
  <c r="I32" i="3"/>
  <c r="G32" i="3"/>
  <c r="E32" i="3"/>
  <c r="B32" i="3"/>
  <c r="E31" i="3" l="1"/>
  <c r="L31" i="3" l="1"/>
  <c r="I31" i="3"/>
  <c r="G31" i="3"/>
  <c r="J31" i="2"/>
  <c r="I30" i="2"/>
  <c r="I31" i="2"/>
  <c r="H31" i="2"/>
  <c r="F31" i="2"/>
  <c r="E31" i="2"/>
  <c r="E29" i="3"/>
  <c r="E29" i="2"/>
  <c r="L30" i="3"/>
  <c r="L29" i="3"/>
  <c r="I30" i="3"/>
  <c r="I29" i="3"/>
  <c r="E30" i="3"/>
  <c r="G30" i="3"/>
  <c r="G29" i="3"/>
  <c r="F30" i="2"/>
  <c r="F29" i="2"/>
  <c r="F27" i="2"/>
  <c r="F28" i="2"/>
  <c r="E30" i="2"/>
  <c r="E28" i="2"/>
  <c r="E27" i="2"/>
  <c r="J30" i="2"/>
  <c r="H30" i="2"/>
  <c r="J29" i="2"/>
  <c r="I29" i="2"/>
  <c r="H29" i="2"/>
  <c r="L28" i="3"/>
  <c r="I28" i="3"/>
  <c r="G28" i="3"/>
  <c r="E28" i="3"/>
  <c r="J28" i="2"/>
  <c r="I28" i="2"/>
  <c r="H28" i="2"/>
  <c r="E27" i="3"/>
  <c r="G27" i="3"/>
  <c r="I27" i="3"/>
  <c r="L27" i="3"/>
  <c r="I25" i="3"/>
  <c r="J27" i="2"/>
  <c r="I27" i="2"/>
  <c r="H27" i="2"/>
  <c r="L26" i="3"/>
  <c r="I26" i="3"/>
  <c r="G26" i="3"/>
  <c r="E26" i="3"/>
  <c r="J26" i="2"/>
  <c r="I26" i="2"/>
  <c r="H26" i="2"/>
  <c r="F26" i="2"/>
  <c r="E26" i="2"/>
  <c r="L25" i="3"/>
  <c r="K25" i="3"/>
  <c r="G25" i="3"/>
  <c r="E25" i="3"/>
  <c r="J25" i="2"/>
  <c r="I25" i="2"/>
  <c r="H25" i="2"/>
  <c r="F25" i="2"/>
  <c r="E25" i="2"/>
  <c r="L24" i="3"/>
  <c r="K24" i="3"/>
  <c r="I24" i="3"/>
  <c r="G24" i="3"/>
  <c r="E24" i="3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L23" i="3"/>
  <c r="I23" i="3"/>
  <c r="G23" i="3"/>
  <c r="E23" i="3"/>
  <c r="K23" i="3"/>
  <c r="L22" i="3"/>
  <c r="K22" i="3"/>
  <c r="I22" i="3"/>
  <c r="G22" i="3"/>
  <c r="E22" i="3"/>
  <c r="L21" i="3"/>
  <c r="I21" i="3"/>
  <c r="G21" i="3"/>
  <c r="E21" i="3"/>
  <c r="K21" i="3"/>
  <c r="J21" i="2"/>
  <c r="I21" i="2"/>
  <c r="H21" i="2"/>
  <c r="F21" i="2"/>
  <c r="E21" i="2"/>
  <c r="L20" i="3"/>
  <c r="K20" i="3"/>
  <c r="I20" i="3"/>
  <c r="G20" i="3"/>
  <c r="E20" i="3"/>
  <c r="J20" i="2"/>
  <c r="I20" i="2"/>
  <c r="H20" i="2"/>
  <c r="F20" i="2"/>
  <c r="E20" i="2"/>
  <c r="L19" i="3"/>
  <c r="K19" i="3"/>
  <c r="I19" i="3"/>
  <c r="G19" i="3"/>
  <c r="E19" i="3"/>
  <c r="J19" i="2"/>
  <c r="I19" i="2"/>
  <c r="H19" i="2"/>
  <c r="F19" i="2"/>
  <c r="E19" i="2"/>
  <c r="J18" i="2"/>
  <c r="H18" i="2"/>
  <c r="F18" i="2"/>
  <c r="E18" i="2"/>
  <c r="I18" i="2"/>
  <c r="K18" i="3"/>
  <c r="L18" i="3"/>
  <c r="I18" i="3"/>
  <c r="G18" i="3"/>
  <c r="E18" i="3"/>
  <c r="J17" i="2"/>
  <c r="I17" i="2"/>
  <c r="H17" i="2"/>
  <c r="F17" i="2"/>
  <c r="E17" i="2"/>
  <c r="L17" i="3"/>
  <c r="G17" i="3"/>
  <c r="I17" i="3"/>
  <c r="E17" i="3"/>
  <c r="K17" i="3"/>
  <c r="J2" i="2"/>
  <c r="I2" i="2"/>
  <c r="H2" i="2"/>
  <c r="F2" i="2"/>
  <c r="E2" i="2"/>
  <c r="K2" i="3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<sst xmlns="http://schemas.openxmlformats.org/spreadsheetml/2006/main" count="106" uniqueCount="37">
  <si>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</si>
  <si>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</si>
  <si>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</si>
  <si>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</si>
  <si>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</si>
  <si>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</si>
  <si>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</si>
  <si>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</si>
  <si>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</si>
  <si>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</si>
  <si>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</si>
  <si>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</si>
  <si>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</si>
  <si>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</si>
  <si>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</si>
  <si>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</si>
  <si>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</si>
  <si>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</si>
  <si>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</si>
  <si>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</si>
  <si>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</si>
  <si>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</si>
  <si>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</si>
  <si>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</si>
  <si>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</si>
  <si>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</si>
  <si>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</si>
  <si>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</si>
  <si>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</si>
  <si>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</si>
  <si>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</si>
  <si>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</si>
  <si>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</si>
  <si>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</si>
  <si>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</si>
  <si>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</si>
  <si>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OCTOBER'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</si>
</sst>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6" sqref="P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'10 - 2019'!B7-'10 - 2019'!B6+'10 - 2019'!C7-'10 - 2019'!C6</f>
        <v>9861.5999999999767</v>
      </c>
      <c r="F2">
        <v>0.11799999999999999</v>
      </c>
      <c r="G2" s="6">
        <f>(('10 - 2019'!E7-'10 - 2019'!E6)+('10 - 2019'!F7-'10 - 2019'!F6)+('10 - 2019'!G7-'10 - 2019'!G6))*1.81</f>
        <v>115.24269999999973</v>
      </c>
      <c r="H2">
        <v>0.99</v>
      </c>
      <c r="I2" s="6">
        <f>'10 - 2019'!J7-'10 - 2019'!J6</f>
        <v>39310</v>
      </c>
      <c r="J2">
        <v>8.1000000000000003E-2</v>
      </c>
      <c r="K2" s="6">
        <f>'10 - 2019'!H7-'10 - 2019'!H6</f>
        <v>0</v>
      </c>
      <c r="L2" s="6">
        <f>'10 - 2019'!I7-'10 - 2019'!I6</f>
        <v>105</v>
      </c>
      <c r="M2" s="1">
        <v>4.393629424766913</v>
      </c>
      <c r="N2" s="6">
        <v>81</v>
      </c>
    </row>
    <row r="3" spans="1:15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'10 - 2019'!B8-'10 - 2019'!B7+'10 - 2019'!C8-'10 - 2019'!C7</f>
        <v>9741.8000000000466</v>
      </c>
      <c r="F3" s="25">
        <v>0.11799999999999999</v>
      </c>
      <c r="G3" s="27">
        <f>(('10 - 2019'!E8-'10 - 2019'!E7)+('10 - 2019'!F8-'10 - 2019'!F7)+('10 - 2019'!G8-'10 - 2019'!G7))*1.81</f>
        <v>109.66789999999986</v>
      </c>
      <c r="H3" s="25">
        <v>0.99</v>
      </c>
      <c r="I3" s="27">
        <f>'10 - 2019'!J8-'10 - 2019'!J7</f>
        <v>38949</v>
      </c>
      <c r="J3" s="25">
        <v>8.1000000000000003E-2</v>
      </c>
      <c r="K3" s="27">
        <f>'10 - 2019'!H8-'10 - 2019'!H7</f>
        <v>0</v>
      </c>
      <c r="L3" s="27">
        <f>'10 - 2019'!I8-'10 - 2019'!I7</f>
        <v>108</v>
      </c>
      <c r="M3" s="26">
        <v>4.393629424766913</v>
      </c>
      <c r="N3" s="6">
        <v>83</v>
      </c>
    </row>
    <row r="4" spans="1:15" x14ac:dyDescent="0.25">
      <c r="A4" t="s">
        <v>28</v>
      </c>
      <c r="B4">
        <f t="shared" ref="B4:B32" si="0">B3+1</f>
        <v>3</v>
      </c>
      <c r="C4" s="25">
        <v>10</v>
      </c>
      <c r="D4">
        <v>2019</v>
      </c>
      <c r="E4" s="27">
        <f>'10 - 2019'!B9-'10 - 2019'!B8+'10 - 2019'!C9-'10 - 2019'!C8</f>
        <v>9908.6999999999534</v>
      </c>
      <c r="F4" s="25">
        <v>0.11799999999999999</v>
      </c>
      <c r="G4" s="27">
        <f>(('10 - 2019'!E9-'10 - 2019'!E8)+('10 - 2019'!F9-'10 - 2019'!F8)+('10 - 2019'!G9-'10 - 2019'!G8))*1.81</f>
        <v>119.29710000000057</v>
      </c>
      <c r="H4" s="25">
        <v>0.99</v>
      </c>
      <c r="I4" s="27">
        <f>'10 - 2019'!J9-'10 - 2019'!J8</f>
        <v>33895</v>
      </c>
      <c r="J4" s="25">
        <v>8.1000000000000003E-2</v>
      </c>
      <c r="K4" s="27">
        <f>'10 - 2019'!H9-'10 - 2019'!H8</f>
        <v>0</v>
      </c>
      <c r="L4" s="27">
        <f>'10 - 2019'!I9-'10 - 2019'!I8</f>
        <v>117</v>
      </c>
      <c r="M4" s="26">
        <v>4.393629424766913</v>
      </c>
      <c r="N4" s="6">
        <v>78</v>
      </c>
    </row>
    <row r="5" spans="1:15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'10 - 2019'!B10-'10 - 2019'!B9+'10 - 2019'!C10-'10 - 2019'!C9</f>
        <v>10486</v>
      </c>
      <c r="F5" s="25">
        <v>0.11799999999999999</v>
      </c>
      <c r="G5" s="27">
        <f>(('10 - 2019'!E10-'10 - 2019'!E9)+('10 - 2019'!F10-'10 - 2019'!F9)+('10 - 2019'!G10-'10 - 2019'!G9))*1.81</f>
        <v>138.84509999999841</v>
      </c>
      <c r="H5" s="25">
        <v>0.99</v>
      </c>
      <c r="I5" s="27">
        <f>'10 - 2019'!J10-'10 - 2019'!J9</f>
        <v>34157</v>
      </c>
      <c r="J5" s="25">
        <v>8.1000000000000003E-2</v>
      </c>
      <c r="K5" s="27">
        <f>'10 - 2019'!H10-'10 - 2019'!H9</f>
        <v>0</v>
      </c>
      <c r="L5" s="27">
        <f>'10 - 2019'!I10-'10 - 2019'!I9</f>
        <v>140</v>
      </c>
      <c r="M5" s="26">
        <v>4.393629424766913</v>
      </c>
      <c r="N5" s="6">
        <v>63</v>
      </c>
    </row>
    <row r="6" spans="1:15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'10 - 2019'!B11-'10 - 2019'!B10+'10 - 2019'!C11-'10 - 2019'!C10</f>
        <v>9718.0999999999767</v>
      </c>
      <c r="F6" s="25">
        <v>0.11799999999999999</v>
      </c>
      <c r="G6" s="27">
        <f>(('10 - 2019'!E11-'10 - 2019'!E10)+('10 - 2019'!F11-'10 - 2019'!F10)+('10 - 2019'!G11-'10 - 2019'!G10))*1.81</f>
        <v>116.31060000000204</v>
      </c>
      <c r="H6" s="25">
        <v>0.99</v>
      </c>
      <c r="I6" s="27">
        <f>'10 - 2019'!J11-'10 - 2019'!J10</f>
        <v>34177</v>
      </c>
      <c r="J6" s="25">
        <v>8.1000000000000003E-2</v>
      </c>
      <c r="K6" s="27">
        <f>'10 - 2019'!H11-'10 - 2019'!H10</f>
        <v>0</v>
      </c>
      <c r="L6" s="27">
        <f>'10 - 2019'!I11-'10 - 2019'!I10</f>
        <v>95</v>
      </c>
      <c r="M6" s="26">
        <v>4.393629424766913</v>
      </c>
      <c r="N6" s="15">
        <v>63</v>
      </c>
    </row>
    <row r="7" spans="1:15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'10 - 2019'!B12-'10 - 2019'!B11+'10 - 2019'!C12-'10 - 2019'!C11</f>
        <v>9872.5999999999767</v>
      </c>
      <c r="F7" s="25">
        <v>0.11799999999999999</v>
      </c>
      <c r="G7" s="27">
        <f>(('10 - 2019'!E12-'10 - 2019'!E11)+('10 - 2019'!F12-'10 - 2019'!F11)+('10 - 2019'!G12-'10 - 2019'!G11))*1.81</f>
        <v>118.68169999999907</v>
      </c>
      <c r="H7" s="25">
        <v>0.99</v>
      </c>
      <c r="I7" s="27">
        <f>'10 - 2019'!J12-'10 - 2019'!J11</f>
        <v>32458</v>
      </c>
      <c r="J7" s="25">
        <v>8.1000000000000003E-2</v>
      </c>
      <c r="K7" s="27">
        <f>'10 - 2019'!H12-'10 - 2019'!H11</f>
        <v>0</v>
      </c>
      <c r="L7" s="27">
        <f>'10 - 2019'!I12-'10 - 2019'!I11</f>
        <v>121</v>
      </c>
      <c r="M7" s="26">
        <v>4.393629424766913</v>
      </c>
      <c r="N7" s="6">
        <v>76</v>
      </c>
    </row>
    <row r="8" spans="1:15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'10 - 2019'!B13-'10 - 2019'!B12+'10 - 2019'!C13-'10 - 2019'!C12</f>
        <v>9855.9000000000233</v>
      </c>
      <c r="F8" s="25">
        <v>0.11799999999999999</v>
      </c>
      <c r="G8" s="27">
        <f>(('10 - 2019'!E13-'10 - 2019'!E12)+('10 - 2019'!F13-'10 - 2019'!F12)+('10 - 2019'!G13-'10 - 2019'!G12))*1.81</f>
        <v>127.13439999999838</v>
      </c>
      <c r="H8" s="25">
        <v>0.99</v>
      </c>
      <c r="I8" s="27">
        <f>'10 - 2019'!J13-'10 - 2019'!J12</f>
        <v>28270</v>
      </c>
      <c r="J8" s="25">
        <v>8.1000000000000003E-2</v>
      </c>
      <c r="K8" s="27">
        <f>'10 - 2019'!H13-'10 - 2019'!H12</f>
        <v>0</v>
      </c>
      <c r="L8" s="27">
        <f>'10 - 2019'!I13-'10 - 2019'!I12</f>
        <v>112</v>
      </c>
      <c r="M8" s="26">
        <v>4.393629424766913</v>
      </c>
      <c r="N8" s="6">
        <v>96</v>
      </c>
    </row>
    <row r="9" spans="1:15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'10 - 2019'!B14-'10 - 2019'!B13+'10 - 2019'!C14-'10 - 2019'!C13</f>
        <v>9552.5999999999767</v>
      </c>
      <c r="F9" s="25">
        <v>0.11799999999999999</v>
      </c>
      <c r="G9" s="27">
        <f>(('10 - 2019'!E14-'10 - 2019'!E13)+('10 - 2019'!F14-'10 - 2019'!F13)+('10 - 2019'!G14-'10 - 2019'!G13))*1.81</f>
        <v>119.27900000000182</v>
      </c>
      <c r="H9" s="25">
        <v>0.99</v>
      </c>
      <c r="I9" s="27">
        <f>'10 - 2019'!J14-'10 - 2019'!J13</f>
        <v>32440</v>
      </c>
      <c r="J9" s="25">
        <v>8.1000000000000003E-2</v>
      </c>
      <c r="K9" s="27">
        <f>'10 - 2019'!H14-'10 - 2019'!H13</f>
        <v>0</v>
      </c>
      <c r="L9" s="27">
        <f>'10 - 2019'!I14-'10 - 2019'!I13</f>
        <v>119</v>
      </c>
      <c r="M9" s="26">
        <v>4.393629424766913</v>
      </c>
      <c r="N9" s="6">
        <v>101</v>
      </c>
    </row>
    <row r="10" spans="1:15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'10 - 2019'!B15-'10 - 2019'!B14+'10 - 2019'!C15-'10 - 2019'!C14</f>
        <v>8874.0999999999767</v>
      </c>
      <c r="F10" s="25">
        <v>0.11799999999999999</v>
      </c>
      <c r="G10" s="27">
        <f>(('10 - 2019'!E15-'10 - 2019'!E14)+('10 - 2019'!F15-'10 - 2019'!F14)+('10 - 2019'!G15-'10 - 2019'!G14))*1.81</f>
        <v>113.95759999999925</v>
      </c>
      <c r="H10" s="25">
        <v>0.99</v>
      </c>
      <c r="I10" s="27">
        <f>'10 - 2019'!J15-'10 - 2019'!J14</f>
        <v>30916</v>
      </c>
      <c r="J10" s="25">
        <v>8.1000000000000003E-2</v>
      </c>
      <c r="K10" s="27">
        <f>'10 - 2019'!H15-'10 - 2019'!H14</f>
        <v>0</v>
      </c>
      <c r="L10" s="27">
        <f>'10 - 2019'!I15-'10 - 2019'!I14</f>
        <v>142</v>
      </c>
      <c r="M10" s="26">
        <v>4.393629424766913</v>
      </c>
      <c r="N10" s="6">
        <v>100</v>
      </c>
    </row>
    <row r="11" spans="1:15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'10 - 2019'!B16-'10 - 2019'!B15+'10 - 2019'!C16-'10 - 2019'!C15</f>
        <v>10031</v>
      </c>
      <c r="F11" s="25">
        <v>0.11799999999999999</v>
      </c>
      <c r="G11" s="27">
        <f>(('10 - 2019'!E16-'10 - 2019'!E15)+('10 - 2019'!F16-'10 - 2019'!F15)+('10 - 2019'!G16-'10 - 2019'!G15))*1.81</f>
        <v>135.51469999999941</v>
      </c>
      <c r="H11" s="25">
        <v>0.99</v>
      </c>
      <c r="I11" s="27">
        <f>'10 - 2019'!J16-'10 - 2019'!J15</f>
        <v>42281</v>
      </c>
      <c r="J11" s="25">
        <v>8.1000000000000003E-2</v>
      </c>
      <c r="K11" s="27">
        <f>'10 - 2019'!H16-'10 - 2019'!H15</f>
        <v>0</v>
      </c>
      <c r="L11" s="27">
        <f>'10 - 2019'!I16-'10 - 2019'!I15</f>
        <v>112</v>
      </c>
      <c r="M11" s="26">
        <v>4.393629424766913</v>
      </c>
      <c r="N11" s="6">
        <v>98</v>
      </c>
    </row>
    <row r="12" spans="1:15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'10 - 2019'!B17-'10 - 2019'!B16+'10 - 2019'!C17-'10 - 2019'!C16</f>
        <v>11520.900000000023</v>
      </c>
      <c r="F12" s="25">
        <v>0.11799999999999999</v>
      </c>
      <c r="G12" s="27">
        <f>(('10 - 2019'!E17-'10 - 2019'!E16)+('10 - 2019'!F17-'10 - 2019'!F16)+('10 - 2019'!G17-'10 - 2019'!G16))*1.81</f>
        <v>144.03980000000192</v>
      </c>
      <c r="H12" s="25">
        <v>0.99</v>
      </c>
      <c r="I12" s="27">
        <f>'10 - 2019'!J17-'10 - 2019'!J16</f>
        <v>37874</v>
      </c>
      <c r="J12" s="25">
        <v>8.1000000000000003E-2</v>
      </c>
      <c r="K12" s="27">
        <f>'10 - 2019'!H17-'10 - 2019'!H16</f>
        <v>0</v>
      </c>
      <c r="L12" s="27">
        <f>'10 - 2019'!I17-'10 - 2019'!I16</f>
        <v>115</v>
      </c>
      <c r="M12" s="26">
        <v>4.393629424766913</v>
      </c>
      <c r="N12" s="6">
        <v>86</v>
      </c>
    </row>
    <row r="13" spans="1:15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'10 - 2019'!B18-'10 - 2019'!B17+'10 - 2019'!C18-'10 - 2019'!C17</f>
        <v>8009.0999999999767</v>
      </c>
      <c r="F13" s="25">
        <v>0.11799999999999999</v>
      </c>
      <c r="G13" s="27">
        <f>(('10 - 2019'!E18-'10 - 2019'!E17)+('10 - 2019'!F18-'10 - 2019'!F17)+('10 - 2019'!G18-'10 - 2019'!G17))*1.81</f>
        <v>99.332799999998144</v>
      </c>
      <c r="H13" s="25">
        <v>0.99</v>
      </c>
      <c r="I13" s="27">
        <f>'10 - 2019'!J18-'10 - 2019'!J17</f>
        <v>36166</v>
      </c>
      <c r="J13" s="25">
        <v>8.1000000000000003E-2</v>
      </c>
      <c r="K13" s="27">
        <f>'10 - 2019'!H18-'10 - 2019'!H17</f>
        <v>0</v>
      </c>
      <c r="L13" s="27">
        <f>'10 - 2019'!I18-'10 - 2019'!I17</f>
        <v>102</v>
      </c>
      <c r="M13" s="26">
        <v>4.393629424766913</v>
      </c>
      <c r="N13" s="6">
        <v>66</v>
      </c>
    </row>
    <row r="14" spans="1:15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'10 - 2019'!B19-'10 - 2019'!B18+'10 - 2019'!C19-'10 - 2019'!C18</f>
        <v>9744.9000000000233</v>
      </c>
      <c r="F14" s="25">
        <v>0.11799999999999999</v>
      </c>
      <c r="G14" s="27">
        <f>(('10 - 2019'!E19-'10 - 2019'!E18)+('10 - 2019'!F19-'10 - 2019'!F18)+('10 - 2019'!G19-'10 - 2019'!G18))*1.81</f>
        <v>125.39679999999996</v>
      </c>
      <c r="H14" s="25">
        <v>0.99</v>
      </c>
      <c r="I14" s="27">
        <f>'10 - 2019'!J19-'10 - 2019'!J18</f>
        <v>27732</v>
      </c>
      <c r="J14" s="25">
        <v>8.1000000000000003E-2</v>
      </c>
      <c r="K14" s="27">
        <f>'10 - 2019'!H19-'10 - 2019'!H18</f>
        <v>0</v>
      </c>
      <c r="L14" s="27">
        <f>'10 - 2019'!I19-'10 - 2019'!I18</f>
        <v>128</v>
      </c>
      <c r="M14" s="26">
        <v>4.393629424766913</v>
      </c>
      <c r="N14" s="6">
        <v>67</v>
      </c>
    </row>
    <row r="15" spans="1:15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'10 - 2019'!B20-'10 - 2019'!B19+'10 - 2019'!C20-'10 - 2019'!C19</f>
        <v>9249.1999999999534</v>
      </c>
      <c r="F15" s="25">
        <v>0.11799999999999999</v>
      </c>
      <c r="G15" s="27">
        <f>(('10 - 2019'!E20-'10 - 2019'!E19)+('10 - 2019'!F20-'10 - 2019'!F19)+('10 - 2019'!G20-'10 - 2019'!G19))*1.81</f>
        <v>109.52310000000081</v>
      </c>
      <c r="H15" s="25">
        <v>0.99</v>
      </c>
      <c r="I15" s="27">
        <f>'10 - 2019'!J20-'10 - 2019'!J19</f>
        <v>24429</v>
      </c>
      <c r="J15" s="25">
        <v>8.1000000000000003E-2</v>
      </c>
      <c r="K15" s="27">
        <f>'10 - 2019'!H20-'10 - 2019'!H19</f>
        <v>0</v>
      </c>
      <c r="L15" s="27">
        <f>'10 - 2019'!I20-'10 - 2019'!I19</f>
        <v>117</v>
      </c>
      <c r="M15" s="26">
        <v>4.393629424766913</v>
      </c>
      <c r="N15" s="6">
        <v>54</v>
      </c>
    </row>
    <row r="16" spans="1:15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v>0</v>
      </c>
      <c r="F16" s="25">
        <v>0.11799999999999999</v>
      </c>
      <c r="G16" s="27">
        <v>0</v>
      </c>
      <c r="H16" s="25">
        <v>0.99</v>
      </c>
      <c r="I16" s="27">
        <v>0</v>
      </c>
      <c r="J16" s="25">
        <v>8.1000000000000003E-2</v>
      </c>
      <c r="K16" s="27">
        <v>0</v>
      </c>
      <c r="L16" s="27">
        <v>0</v>
      </c>
      <c r="M16" s="26">
        <v>4.393629424766913</v>
      </c>
      <c r="N16" s="6"/>
    </row>
    <row r="17" spans="1:16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'10 - 2019'!B22-'10 - 2019'!B21+'10 - 2019'!C22-'10 - 2019'!C21</f>
        <v>0</v>
      </c>
      <c r="F17" s="25">
        <v>0.11799999999999999</v>
      </c>
      <c r="G17" s="27">
        <f>(('10 - 2019'!E22-'10 - 2019'!E21)+('10 - 2019'!F22-'10 - 2019'!F21)+('10 - 2019'!G22-'10 - 2019'!G21))*1.81</f>
        <v>0</v>
      </c>
      <c r="H17" s="25">
        <v>0.99</v>
      </c>
      <c r="I17" s="27">
        <f>'10 - 2019'!J22-'10 - 2019'!J21</f>
        <v>0</v>
      </c>
      <c r="J17" s="25">
        <v>8.1000000000000003E-2</v>
      </c>
      <c r="K17" s="27">
        <f>'10 - 2019'!H22-'10 - 2019'!H21</f>
        <v>0</v>
      </c>
      <c r="L17" s="27">
        <f>'10 - 2019'!I22-'10 - 2019'!I21</f>
        <v>0</v>
      </c>
      <c r="M17" s="26">
        <v>4.393629424766913</v>
      </c>
      <c r="N17" s="27"/>
    </row>
    <row r="18" spans="1:16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'10 - 2019'!B23-'10 - 2019'!B22+'10 - 2019'!C23-'10 - 2019'!C22</f>
        <v>0</v>
      </c>
      <c r="F18" s="25">
        <v>0.11799999999999999</v>
      </c>
      <c r="G18" s="27">
        <f>(('10 - 2019'!E23-'10 - 2019'!E22)+('10 - 2019'!F23-'10 - 2019'!F22)+('10 - 2019'!G23-'10 - 2019'!G22))*1.81</f>
        <v>0</v>
      </c>
      <c r="H18" s="25">
        <v>0.99</v>
      </c>
      <c r="I18" s="27">
        <f>'10 - 2019'!J23-'10 - 2019'!J22</f>
        <v>0</v>
      </c>
      <c r="J18" s="25">
        <v>8.1000000000000003E-2</v>
      </c>
      <c r="K18" s="27">
        <f>'10 - 2019'!H23-'10 - 2019'!H22</f>
        <v>0</v>
      </c>
      <c r="L18" s="27">
        <f>'10 - 2019'!I23-'10 - 2019'!I22</f>
        <v>0</v>
      </c>
      <c r="M18" s="26">
        <v>4.393629424766913</v>
      </c>
      <c r="N18" s="27"/>
    </row>
    <row r="19" spans="1:16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'10 - 2019'!B24-'10 - 2019'!B23+'10 - 2019'!C24-'10 - 2019'!C23</f>
        <v>0</v>
      </c>
      <c r="F19" s="25">
        <v>0.11799999999999999</v>
      </c>
      <c r="G19" s="27">
        <f>(('10 - 2019'!E24-'10 - 2019'!E23)+('10 - 2019'!F24-'10 - 2019'!F23)+('10 - 2019'!G24-'10 - 2019'!G23))*1.81</f>
        <v>0</v>
      </c>
      <c r="H19" s="25">
        <v>0.99</v>
      </c>
      <c r="I19" s="27">
        <f>'10 - 2019'!J24-'10 - 2019'!J23</f>
        <v>0</v>
      </c>
      <c r="J19" s="25">
        <v>8.1000000000000003E-2</v>
      </c>
      <c r="K19" s="27">
        <f>'10 - 2019'!H24-'10 - 2019'!H23</f>
        <v>0</v>
      </c>
      <c r="L19" s="27">
        <f>'10 - 2019'!I24-'10 - 2019'!I23</f>
        <v>0</v>
      </c>
      <c r="M19" s="26">
        <v>4.393629424766913</v>
      </c>
      <c r="N19" s="27"/>
    </row>
    <row r="20" spans="1:16" x14ac:dyDescent="0.25">
      <c r="A20" t="s">
        <v>28</v>
      </c>
      <c r="B20">
        <f t="shared" si="0"/>
        <v>19</v>
      </c>
      <c r="C20" s="25">
        <v>10</v>
      </c>
      <c r="D20">
        <v>2019</v>
      </c>
      <c r="E20" s="27">
        <f>'10 - 2019'!B25-'10 - 2019'!B24+'10 - 2019'!C25-'10 - 2019'!C24</f>
        <v>0</v>
      </c>
      <c r="F20" s="25">
        <v>0.11799999999999999</v>
      </c>
      <c r="G20" s="27">
        <f>(('10 - 2019'!E25-'10 - 2019'!E24)+('10 - 2019'!F25-'10 - 2019'!F24)+('10 - 2019'!G25-'10 - 2019'!G24))*1.81</f>
        <v>0</v>
      </c>
      <c r="H20" s="25">
        <v>0.99</v>
      </c>
      <c r="I20" s="27">
        <f>'10 - 2019'!J25-'10 - 2019'!J24</f>
        <v>0</v>
      </c>
      <c r="J20" s="25">
        <v>8.1000000000000003E-2</v>
      </c>
      <c r="K20" s="27">
        <f>'10 - 2019'!H25-'10 - 2019'!H24</f>
        <v>0</v>
      </c>
      <c r="L20" s="27">
        <f>'10 - 2019'!I25-'10 - 2019'!I24</f>
        <v>0</v>
      </c>
      <c r="M20" s="26">
        <v>4.3936294247669103</v>
      </c>
      <c r="N20" s="27"/>
    </row>
    <row r="21" spans="1:16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'10 - 2019'!B26-'10 - 2019'!B25+'10 - 2019'!C26-'10 - 2019'!C25</f>
        <v>0</v>
      </c>
      <c r="F21" s="25">
        <v>0.11799999999999999</v>
      </c>
      <c r="G21" s="27">
        <f>(('10 - 2019'!E26-'10 - 2019'!E25)+('10 - 2019'!F26-'10 - 2019'!F25)+('10 - 2019'!G26-'10 - 2019'!G25))*1.81</f>
        <v>0</v>
      </c>
      <c r="H21" s="25">
        <v>0.99</v>
      </c>
      <c r="I21" s="27">
        <f>'10 - 2019'!J26-'10 - 2019'!J25</f>
        <v>0</v>
      </c>
      <c r="J21" s="25">
        <v>8.1000000000000003E-2</v>
      </c>
      <c r="K21" s="27">
        <f>'10 - 2019'!H26-'10 - 2019'!H25</f>
        <v>0</v>
      </c>
      <c r="L21" s="27">
        <f>'10 - 2019'!I26-'10 - 2019'!I25</f>
        <v>0</v>
      </c>
      <c r="M21" s="26">
        <v>4.3936294247669103</v>
      </c>
      <c r="N21" s="6"/>
    </row>
    <row r="22" spans="1:16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'10 - 2019'!B27-'10 - 2019'!B26+'10 - 2019'!C27-'10 - 2019'!C26</f>
        <v>0</v>
      </c>
      <c r="F22" s="25">
        <v>0.11799999999999999</v>
      </c>
      <c r="G22" s="27">
        <f>(('10 - 2019'!E27-'10 - 2019'!E26)+('10 - 2019'!F27-'10 - 2019'!F26)+('10 - 2019'!G27-'10 - 2019'!G26))*1.81</f>
        <v>0</v>
      </c>
      <c r="H22" s="25">
        <v>0.99</v>
      </c>
      <c r="I22" s="27">
        <f>'10 - 2019'!J27-'10 - 2019'!J26</f>
        <v>0</v>
      </c>
      <c r="J22" s="25">
        <v>8.1000000000000003E-2</v>
      </c>
      <c r="K22" s="27">
        <f>'10 - 2019'!H27-'10 - 2019'!H26</f>
        <v>0</v>
      </c>
      <c r="L22" s="27">
        <f>'10 - 2019'!I27-'10 - 2019'!I26</f>
        <v>0</v>
      </c>
      <c r="M22" s="26">
        <v>4.3936294247669103</v>
      </c>
      <c r="N22" s="6"/>
    </row>
    <row r="23" spans="1:16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'10 - 2019'!B28-'10 - 2019'!B27+'10 - 2019'!C28-'10 - 2019'!C27</f>
        <v>0</v>
      </c>
      <c r="F23" s="25">
        <v>0.11799999999999999</v>
      </c>
      <c r="G23" s="27">
        <f>(('10 - 2019'!E28-'10 - 2019'!E27)+('10 - 2019'!F28-'10 - 2019'!F27)+('10 - 2019'!G28-'10 - 2019'!G27))*1.81</f>
        <v>0</v>
      </c>
      <c r="H23" s="25">
        <v>0.99</v>
      </c>
      <c r="I23" s="27">
        <f>'10 - 2019'!J28-'10 - 2019'!J27</f>
        <v>0</v>
      </c>
      <c r="J23" s="25">
        <v>8.1000000000000003E-2</v>
      </c>
      <c r="K23" s="27">
        <f>'10 - 2019'!H28-'10 - 2019'!H27</f>
        <v>0</v>
      </c>
      <c r="L23" s="27">
        <f>'10 - 2019'!I28-'10 - 2019'!I27</f>
        <v>0</v>
      </c>
      <c r="M23" s="26">
        <v>4.3936294247669103</v>
      </c>
      <c r="N23" s="6"/>
    </row>
    <row r="24" spans="1:16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'10 - 2019'!B29-'10 - 2019'!B28+'10 - 2019'!C29-'10 - 2019'!C28</f>
        <v>0</v>
      </c>
      <c r="F24" s="25">
        <v>0.11799999999999999</v>
      </c>
      <c r="G24" s="27">
        <f>(('10 - 2019'!E29-'10 - 2019'!E28)+('10 - 2019'!F29-'10 - 2019'!F28)+('10 - 2019'!G29-'10 - 2019'!G28))*1.81</f>
        <v>0</v>
      </c>
      <c r="H24" s="25">
        <v>0.99</v>
      </c>
      <c r="I24" s="27">
        <f>'10 - 2019'!J29-'10 - 2019'!J28</f>
        <v>0</v>
      </c>
      <c r="J24" s="25">
        <v>8.1000000000000003E-2</v>
      </c>
      <c r="K24" s="27">
        <f>'10 - 2019'!H29-'10 - 2019'!H28</f>
        <v>0</v>
      </c>
      <c r="L24" s="27">
        <f>'10 - 2019'!I29-'10 - 2019'!I28</f>
        <v>0</v>
      </c>
      <c r="M24" s="26">
        <v>4.3936294247669103</v>
      </c>
      <c r="N24" s="6"/>
    </row>
    <row r="25" spans="1:16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'10 - 2019'!B30-'10 - 2019'!B29+'10 - 2019'!C30-'10 - 2019'!C29</f>
        <v>0</v>
      </c>
      <c r="F25" s="25">
        <v>0.11799999999999999</v>
      </c>
      <c r="G25" s="27">
        <f>(('10 - 2019'!E30-'10 - 2019'!E29)+('10 - 2019'!F30-'10 - 2019'!F29)+('10 - 2019'!G30-'10 - 2019'!G29))*1.81</f>
        <v>0</v>
      </c>
      <c r="H25" s="25">
        <v>0.99</v>
      </c>
      <c r="I25" s="27">
        <f>'10 - 2019'!J30-'10 - 2019'!J29</f>
        <v>0</v>
      </c>
      <c r="J25" s="25">
        <v>8.1000000000000003E-2</v>
      </c>
      <c r="K25" s="27">
        <f>'10 - 2019'!H30-'10 - 2019'!H29</f>
        <v>0</v>
      </c>
      <c r="L25" s="27">
        <f>'10 - 2019'!I30-'10 - 2019'!I29</f>
        <v>0</v>
      </c>
      <c r="M25" s="26">
        <v>4.3936294247669103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'10 - 2019'!B31-'10 - 2019'!B30+'10 - 2019'!C31-'10 - 2019'!C30</f>
        <v>0</v>
      </c>
      <c r="F26" s="25">
        <v>0.11799999999999999</v>
      </c>
      <c r="G26" s="27">
        <f>(('10 - 2019'!E31-'10 - 2019'!E30)+('10 - 2019'!F31-'10 - 2019'!F30)+('10 - 2019'!G31-'10 - 2019'!G30))*1.81</f>
        <v>0</v>
      </c>
      <c r="H26" s="25">
        <v>0.99</v>
      </c>
      <c r="I26" s="27">
        <f>'10 - 2019'!J31-'10 - 2019'!J30</f>
        <v>0</v>
      </c>
      <c r="J26" s="25">
        <v>8.1000000000000003E-2</v>
      </c>
      <c r="K26" s="27">
        <v>0</v>
      </c>
      <c r="L26" s="27">
        <f>'10 - 2019'!I31-'10 - 2019'!I30</f>
        <v>0</v>
      </c>
      <c r="M26" s="26">
        <v>4.3936294247669103</v>
      </c>
      <c r="N26" s="6"/>
    </row>
    <row r="27" spans="1:16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'10 - 2019'!B32-'10 - 2019'!B31+'10 - 2019'!C32-'10 - 2019'!C31</f>
        <v>0</v>
      </c>
      <c r="F27" s="25">
        <v>0.11799999999999999</v>
      </c>
      <c r="G27" s="27">
        <f>(('10 - 2019'!E32-'10 - 2019'!E31)+('10 - 2019'!F32-'10 - 2019'!F31)+('10 - 2019'!G32-'10 - 2019'!G31))*1.81</f>
        <v>0</v>
      </c>
      <c r="H27" s="25">
        <v>0.99</v>
      </c>
      <c r="I27" s="27">
        <f>'10 - 2019'!J32-'10 - 2019'!J31</f>
        <v>0</v>
      </c>
      <c r="J27" s="25">
        <v>8.1000000000000003E-2</v>
      </c>
      <c r="K27" s="27">
        <v>0</v>
      </c>
      <c r="L27" s="27">
        <f>'10 - 2019'!I32-'10 - 2019'!I31</f>
        <v>0</v>
      </c>
      <c r="M27" s="26">
        <v>4.3936294247669103</v>
      </c>
      <c r="N27" s="6"/>
    </row>
    <row r="28" spans="1:16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'10 - 2019'!B33-'10 - 2019'!B32+'10 - 2019'!C33-'10 - 2019'!C32</f>
        <v>0</v>
      </c>
      <c r="F28" s="25">
        <v>0.11799999999999999</v>
      </c>
      <c r="G28" s="27">
        <f>(('10 - 2019'!E33-'10 - 2019'!E32)+('10 - 2019'!F33-'10 - 2019'!F32)+('10 - 2019'!G33-'10 - 2019'!G32))*1.81</f>
        <v>0</v>
      </c>
      <c r="H28" s="25">
        <v>0.99</v>
      </c>
      <c r="I28" s="27">
        <f>'10 - 2019'!J33-'10 - 2019'!J32</f>
        <v>0</v>
      </c>
      <c r="J28" s="25">
        <v>8.1000000000000003E-2</v>
      </c>
      <c r="K28" s="27">
        <v>0</v>
      </c>
      <c r="L28" s="27">
        <f>'10 - 2019'!I33-'10 - 2019'!I32</f>
        <v>0</v>
      </c>
      <c r="M28" s="26">
        <v>4.3936294247669103</v>
      </c>
      <c r="N28" s="6"/>
    </row>
    <row r="29" spans="1:16" x14ac:dyDescent="0.25">
      <c r="A29" t="s">
        <v>28</v>
      </c>
      <c r="B29">
        <f t="shared" si="0"/>
        <v>28</v>
      </c>
      <c r="C29" s="25">
        <v>10</v>
      </c>
      <c r="D29" s="25">
        <v>2019</v>
      </c>
      <c r="E29" s="27">
        <f>'10 - 2019'!B34-'10 - 2019'!B33+'10 - 2019'!C34-'10 - 2019'!C33</f>
        <v>0</v>
      </c>
      <c r="F29" s="25">
        <v>0.11799999999999999</v>
      </c>
      <c r="G29" s="27">
        <f>(('10 - 2019'!E34-'10 - 2019'!E33)+('10 - 2019'!F34-'10 - 2019'!F33)+('10 - 2019'!G34-'10 - 2019'!G33))*1.81</f>
        <v>0</v>
      </c>
      <c r="H29" s="25">
        <v>0.99</v>
      </c>
      <c r="I29" s="27">
        <f>'10 - 2019'!J34-'10 - 2019'!J33</f>
        <v>0</v>
      </c>
      <c r="J29" s="25">
        <v>8.1000000000000003E-2</v>
      </c>
      <c r="K29" s="27">
        <v>0</v>
      </c>
      <c r="L29" s="27">
        <f>'10 - 2019'!I34-'10 - 2019'!I33</f>
        <v>0</v>
      </c>
      <c r="M29" s="26">
        <v>4.3936294247669103</v>
      </c>
      <c r="N29" s="6"/>
    </row>
    <row r="30" spans="1:16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'10 - 2019'!B35-'10 - 2019'!B34+'10 - 2019'!C35-'10 - 2019'!C34</f>
        <v>0</v>
      </c>
      <c r="F30" s="25">
        <v>0.11799999999999999</v>
      </c>
      <c r="G30" s="27">
        <f>(('10 - 2019'!E35-'10 - 2019'!E34)+('10 - 2019'!F35-'10 - 2019'!F34)+('10 - 2019'!G35-'10 - 2019'!G34))*1.81</f>
        <v>0</v>
      </c>
      <c r="H30" s="25">
        <v>0.99</v>
      </c>
      <c r="I30" s="27">
        <f>'10 - 2019'!J35-'10 - 2019'!J34</f>
        <v>0</v>
      </c>
      <c r="J30" s="25">
        <v>8.1000000000000003E-2</v>
      </c>
      <c r="K30" s="27">
        <v>0</v>
      </c>
      <c r="L30" s="27">
        <f>'10 - 2019'!I35-'10 - 2019'!I34</f>
        <v>0</v>
      </c>
      <c r="M30" s="26">
        <v>4.3936294247669103</v>
      </c>
      <c r="N30" s="6"/>
    </row>
    <row r="31" spans="1:16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'10 - 2019'!B36-'10 - 2019'!B35+'10 - 2019'!C36-'10 - 2019'!C35</f>
        <v>0</v>
      </c>
      <c r="F31" s="25">
        <v>0.11799999999999999</v>
      </c>
      <c r="G31" s="27">
        <f>(('10 - 2019'!E36-'10 - 2019'!E35)+('10 - 2019'!F36-'10 - 2019'!F35)+('10 - 2019'!G36-'10 - 2019'!G35))*1.81</f>
        <v>0</v>
      </c>
      <c r="H31" s="25">
        <v>0.99</v>
      </c>
      <c r="I31" s="27">
        <f>'10 - 2019'!J36-'10 - 2019'!J35</f>
        <v>0</v>
      </c>
      <c r="J31" s="25">
        <v>8.1000000000000003E-2</v>
      </c>
      <c r="K31" s="27">
        <v>0</v>
      </c>
      <c r="L31" s="27">
        <f>'10 - 2019'!I36-'10 - 2019'!I35</f>
        <v>0</v>
      </c>
      <c r="M31" s="26">
        <v>4.3936294247669103</v>
      </c>
      <c r="N31" s="6"/>
    </row>
    <row r="32" spans="1:16" x14ac:dyDescent="0.25">
      <c r="A32" s="25" t="s">
        <v>28</v>
      </c>
      <c r="B32" s="25">
        <f t="shared" si="0"/>
        <v>31</v>
      </c>
      <c r="C32" s="25">
        <v>10</v>
      </c>
      <c r="D32" s="25">
        <v>2019</v>
      </c>
      <c r="E32" s="27">
        <f>'10 - 2019'!B37-'10 - 2019'!B36+'10 - 2019'!C37-'10 - 2019'!C36</f>
        <v>0</v>
      </c>
      <c r="F32" s="25">
        <v>0.11799999999999999</v>
      </c>
      <c r="G32" s="27">
        <f>(('10 - 2019'!E37-'10 - 2019'!E36)+('10 - 2019'!F37-'10 - 2019'!F36)+('10 - 2019'!G37-'10 - 2019'!G36))*1.81</f>
        <v>0</v>
      </c>
      <c r="H32" s="25">
        <v>0.99</v>
      </c>
      <c r="I32" s="27">
        <f>'10 - 2019'!J37-'10 - 2019'!J36</f>
        <v>0</v>
      </c>
      <c r="J32" s="25">
        <v>8.1000000000000003E-2</v>
      </c>
      <c r="K32" s="27">
        <v>0</v>
      </c>
      <c r="L32" s="27">
        <f>'10 - 2019'!I37-'10 - 2019'!I36</f>
        <v>0</v>
      </c>
      <c r="M32" s="26">
        <v>4.3936294247669103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6" sqref="K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</f>
        <v>3433.5999999999985</v>
      </c>
      <c r="F2" s="6">
        <f>'10 - 2019'!C7-'10 - 2019'!C6</f>
        <v>6428</v>
      </c>
      <c r="G2">
        <v>0.11799999999999999</v>
      </c>
      <c r="H2" s="6">
        <f>'10 - 2019'!E7-'10 - 2019'!E6</f>
        <v>27</v>
      </c>
      <c r="I2" s="6">
        <f>'10 - 2019'!F7-'10 - 2019'!F6</f>
        <v>4.7700000000002092</v>
      </c>
      <c r="J2" s="6">
        <f>'10 - 2019'!G7-'10 - 2019'!G6</f>
        <v>31.899999999999636</v>
      </c>
      <c r="K2">
        <v>0.74</v>
      </c>
      <c r="L2" s="6">
        <v>81</v>
      </c>
      <c r="M2" s="12"/>
    </row>
    <row r="3" spans="1:13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</f>
        <v>3399.8000000000029</v>
      </c>
      <c r="F3" s="27">
        <f>'10 - 2019'!C8-'10 - 2019'!C7</f>
        <v>6342</v>
      </c>
      <c r="G3" s="25">
        <v>0.11799999999999999</v>
      </c>
      <c r="H3" s="27">
        <f>'10 - 2019'!E8-'10 - 2019'!E7</f>
        <v>23.949999999999818</v>
      </c>
      <c r="I3" s="27">
        <f>'10 - 2019'!F8-'10 - 2019'!F7</f>
        <v>4.5499999999999545</v>
      </c>
      <c r="J3" s="27">
        <f>'10 - 2019'!G8-'10 - 2019'!G7</f>
        <v>32.090000000000146</v>
      </c>
      <c r="K3" s="25">
        <v>0.74</v>
      </c>
      <c r="L3" s="6">
        <v>83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10</v>
      </c>
      <c r="D4">
        <v>2019</v>
      </c>
      <c r="E4" s="27">
        <f>'10 - 2019'!B9-'10 - 2019'!B8</f>
        <v>3478.6999999999971</v>
      </c>
      <c r="F4" s="27">
        <f>'10 - 2019'!C9-'10 - 2019'!C8</f>
        <v>6430</v>
      </c>
      <c r="G4" s="25">
        <v>0.11799999999999999</v>
      </c>
      <c r="H4" s="27">
        <f>'10 - 2019'!E9-'10 - 2019'!E8</f>
        <v>23.819999999999709</v>
      </c>
      <c r="I4" s="27">
        <f>'10 - 2019'!F9-'10 - 2019'!F8</f>
        <v>4.8099999999999454</v>
      </c>
      <c r="J4" s="27">
        <f>'10 - 2019'!G9-'10 - 2019'!G8</f>
        <v>37.280000000000655</v>
      </c>
      <c r="K4" s="25">
        <v>0.74</v>
      </c>
      <c r="L4" s="6">
        <v>78</v>
      </c>
      <c r="M4" s="12"/>
    </row>
    <row r="5" spans="1:13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</f>
        <v>3722</v>
      </c>
      <c r="F5" s="27">
        <f>'10 - 2019'!C10-'10 - 2019'!C9</f>
        <v>6764</v>
      </c>
      <c r="G5" s="25">
        <v>0.11799999999999999</v>
      </c>
      <c r="H5" s="27">
        <f>'10 - 2019'!E10-'10 - 2019'!E9</f>
        <v>33.690000000000509</v>
      </c>
      <c r="I5" s="27">
        <f>'10 - 2019'!F10-'10 - 2019'!F9</f>
        <v>5</v>
      </c>
      <c r="J5" s="27">
        <f>'10 - 2019'!G10-'10 - 2019'!G9</f>
        <v>38.019999999998618</v>
      </c>
      <c r="K5" s="25">
        <v>0.74</v>
      </c>
      <c r="L5" s="6">
        <v>63</v>
      </c>
      <c r="M5" s="12"/>
    </row>
    <row r="6" spans="1:13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</f>
        <v>3480.1000000000058</v>
      </c>
      <c r="F6" s="27">
        <f>'10 - 2019'!C11-'10 - 2019'!C10</f>
        <v>6238</v>
      </c>
      <c r="G6" s="25">
        <v>0.11799999999999999</v>
      </c>
      <c r="H6" s="27">
        <f>'10 - 2019'!E11-'10 - 2019'!E10</f>
        <v>24.340000000000146</v>
      </c>
      <c r="I6" s="27">
        <f>'10 - 2019'!F11-'10 - 2019'!F10</f>
        <v>5.1199999999998909</v>
      </c>
      <c r="J6" s="27">
        <f>'10 - 2019'!G11-'10 - 2019'!G10</f>
        <v>34.800000000001091</v>
      </c>
      <c r="K6" s="25">
        <v>0.74</v>
      </c>
      <c r="L6" s="15">
        <v>63</v>
      </c>
      <c r="M6" s="13"/>
    </row>
    <row r="7" spans="1:13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</f>
        <v>3620.5999999999985</v>
      </c>
      <c r="F7" s="27">
        <f>'10 - 2019'!C12-'10 - 2019'!C11</f>
        <v>6252</v>
      </c>
      <c r="G7" s="25">
        <v>0.11799999999999999</v>
      </c>
      <c r="H7" s="27">
        <f>'10 - 2019'!E12-'10 - 2019'!E11</f>
        <v>26.639999999999418</v>
      </c>
      <c r="I7" s="27">
        <f>'10 - 2019'!F12-'10 - 2019'!F11</f>
        <v>5.5200000000002092</v>
      </c>
      <c r="J7" s="27">
        <f>'10 - 2019'!G12-'10 - 2019'!G11</f>
        <v>33.409999999999854</v>
      </c>
      <c r="K7" s="25">
        <v>0.74</v>
      </c>
      <c r="L7" s="6">
        <v>76</v>
      </c>
      <c r="M7" s="13"/>
    </row>
    <row r="8" spans="1:13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</f>
        <v>3572.9000000000015</v>
      </c>
      <c r="F8" s="27">
        <f>'10 - 2019'!C13-'10 - 2019'!C12</f>
        <v>6283</v>
      </c>
      <c r="G8" s="25">
        <v>0.11799999999999999</v>
      </c>
      <c r="H8" s="27">
        <f>'10 - 2019'!E13-'10 - 2019'!E12</f>
        <v>29.800000000000182</v>
      </c>
      <c r="I8" s="27">
        <f>'10 - 2019'!F13-'10 - 2019'!F12</f>
        <v>7.0699999999999363</v>
      </c>
      <c r="J8" s="27">
        <f>'10 - 2019'!G13-'10 - 2019'!G12</f>
        <v>33.369999999998981</v>
      </c>
      <c r="K8" s="25">
        <v>0.74</v>
      </c>
      <c r="L8" s="6">
        <v>96</v>
      </c>
      <c r="M8" s="13"/>
    </row>
    <row r="9" spans="1:13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</f>
        <v>3430.5999999999985</v>
      </c>
      <c r="F9" s="27">
        <f>'10 - 2019'!C14-'10 - 2019'!C13</f>
        <v>6122</v>
      </c>
      <c r="G9" s="25">
        <v>0.11799999999999999</v>
      </c>
      <c r="H9" s="27">
        <f>'10 - 2019'!E14-'10 - 2019'!E13</f>
        <v>25.140000000000327</v>
      </c>
      <c r="I9" s="27">
        <f>'10 - 2019'!F14-'10 - 2019'!F13</f>
        <v>7.2300000000000182</v>
      </c>
      <c r="J9" s="27">
        <f>'10 - 2019'!G14-'10 - 2019'!G13</f>
        <v>33.530000000000655</v>
      </c>
      <c r="K9" s="25">
        <v>0.74</v>
      </c>
      <c r="L9" s="6">
        <v>101</v>
      </c>
      <c r="M9" s="13"/>
    </row>
    <row r="10" spans="1:13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</f>
        <v>3185.0999999999985</v>
      </c>
      <c r="F10" s="27">
        <f>'10 - 2019'!C15-'10 - 2019'!C14</f>
        <v>5689</v>
      </c>
      <c r="G10" s="25">
        <v>0.11799999999999999</v>
      </c>
      <c r="H10" s="27">
        <f>'10 - 2019'!E15-'10 - 2019'!E14</f>
        <v>22.389999999999418</v>
      </c>
      <c r="I10" s="27">
        <f>'10 - 2019'!F15-'10 - 2019'!F14</f>
        <v>4.5599999999999454</v>
      </c>
      <c r="J10" s="27">
        <f>'10 - 2019'!G15-'10 - 2019'!G14</f>
        <v>36.010000000000218</v>
      </c>
      <c r="K10" s="25">
        <v>0.74</v>
      </c>
      <c r="L10" s="27">
        <v>100</v>
      </c>
      <c r="M10" s="13"/>
    </row>
    <row r="11" spans="1:13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</f>
        <v>3557</v>
      </c>
      <c r="F11" s="27">
        <f>'10 - 2019'!C16-'10 - 2019'!C15</f>
        <v>6474</v>
      </c>
      <c r="G11" s="25">
        <v>0.11799999999999999</v>
      </c>
      <c r="H11" s="27">
        <f>'10 - 2019'!E16-'10 - 2019'!E15</f>
        <v>28.850000000000364</v>
      </c>
      <c r="I11" s="27">
        <f>'10 - 2019'!F16-'10 - 2019'!F15</f>
        <v>7.6299999999998818</v>
      </c>
      <c r="J11" s="27">
        <f>'10 - 2019'!G16-'10 - 2019'!G15</f>
        <v>38.389999999999418</v>
      </c>
      <c r="K11" s="25">
        <v>0.74</v>
      </c>
      <c r="L11" s="27">
        <v>98</v>
      </c>
      <c r="M11" s="13"/>
    </row>
    <row r="12" spans="1:13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</f>
        <v>4019.8999999999942</v>
      </c>
      <c r="F12" s="27">
        <f>'10 - 2019'!C17-'10 - 2019'!C16</f>
        <v>7501</v>
      </c>
      <c r="G12" s="25">
        <v>0.11799999999999999</v>
      </c>
      <c r="H12" s="27">
        <f>'10 - 2019'!E17-'10 - 2019'!E16</f>
        <v>30.510000000000218</v>
      </c>
      <c r="I12" s="27">
        <f>'10 - 2019'!F17-'10 - 2019'!F16</f>
        <v>6.7000000000000455</v>
      </c>
      <c r="J12" s="27">
        <f>'10 - 2019'!G17-'10 - 2019'!G16</f>
        <v>42.3700000000008</v>
      </c>
      <c r="K12" s="25">
        <v>0.74</v>
      </c>
      <c r="L12" s="27">
        <v>86</v>
      </c>
      <c r="M12" s="13"/>
    </row>
    <row r="13" spans="1:13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</f>
        <v>2827.1000000000058</v>
      </c>
      <c r="F13" s="27">
        <f>'10 - 2019'!C18-'10 - 2019'!C17</f>
        <v>5182</v>
      </c>
      <c r="G13" s="25">
        <v>0.11799999999999999</v>
      </c>
      <c r="H13" s="27">
        <f>'10 - 2019'!E18-'10 - 2019'!E17</f>
        <v>21.819999999999709</v>
      </c>
      <c r="I13" s="27">
        <f>'10 - 2019'!F18-'10 - 2019'!F17</f>
        <v>5.9300000000000637</v>
      </c>
      <c r="J13" s="27">
        <f>'10 - 2019'!G18-'10 - 2019'!G17</f>
        <v>27.1299999999992</v>
      </c>
      <c r="K13" s="25">
        <v>0.74</v>
      </c>
      <c r="L13" s="27">
        <v>66</v>
      </c>
      <c r="M13" s="13"/>
    </row>
    <row r="14" spans="1:13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</f>
        <v>3443.8999999999942</v>
      </c>
      <c r="F14" s="27">
        <f>'10 - 2019'!C19-'10 - 2019'!C18</f>
        <v>6301</v>
      </c>
      <c r="G14" s="25">
        <v>0.11799999999999999</v>
      </c>
      <c r="H14" s="27">
        <f>'10 - 2019'!E19-'10 - 2019'!E18</f>
        <v>26.909999999999854</v>
      </c>
      <c r="I14" s="27">
        <f>'10 - 2019'!F19-'10 - 2019'!F18</f>
        <v>5.2000000000000455</v>
      </c>
      <c r="J14" s="27">
        <f>'10 - 2019'!G19-'10 - 2019'!G18</f>
        <v>37.170000000000073</v>
      </c>
      <c r="K14" s="25">
        <v>0.74</v>
      </c>
      <c r="L14" s="6">
        <v>67</v>
      </c>
      <c r="M14" s="13"/>
    </row>
    <row r="15" spans="1:13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</f>
        <v>3312.2000000000116</v>
      </c>
      <c r="F15" s="27">
        <f>'10 - 2019'!C20-'10 - 2019'!C19</f>
        <v>5937</v>
      </c>
      <c r="G15" s="25">
        <v>0.11799999999999999</v>
      </c>
      <c r="H15" s="27">
        <f>'10 - 2019'!E20-'10 - 2019'!E19</f>
        <v>24.529999999999745</v>
      </c>
      <c r="I15" s="27">
        <f>'10 - 2019'!F20-'10 - 2019'!F19</f>
        <v>5.6099999999999</v>
      </c>
      <c r="J15" s="27">
        <f>'10 - 2019'!G20-'10 - 2019'!G19</f>
        <v>30.3700000000008</v>
      </c>
      <c r="K15" s="25">
        <v>0.74</v>
      </c>
      <c r="L15" s="6">
        <v>54</v>
      </c>
      <c r="M15" s="13"/>
    </row>
    <row r="16" spans="1:13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v>0</v>
      </c>
      <c r="F16" s="27">
        <v>0</v>
      </c>
      <c r="G16" s="25">
        <v>0.11799999999999999</v>
      </c>
      <c r="H16" s="27">
        <v>0</v>
      </c>
      <c r="I16" s="27">
        <v>0</v>
      </c>
      <c r="J16" s="27">
        <v>0</v>
      </c>
      <c r="K16" s="25">
        <v>0.74</v>
      </c>
      <c r="L16" s="27"/>
      <c r="M16" s="13"/>
    </row>
    <row r="17" spans="1:13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</f>
        <v>0</v>
      </c>
      <c r="F17" s="27">
        <f>'10 - 2019'!C22-'10 - 2019'!C21</f>
        <v>0</v>
      </c>
      <c r="G17" s="25">
        <v>0.11799999999999999</v>
      </c>
      <c r="H17" s="27">
        <f>'10 - 2019'!E22-'10 - 2019'!E21</f>
        <v>0</v>
      </c>
      <c r="I17" s="27">
        <f>'10 - 2019'!F22-'10 - 2019'!F21</f>
        <v>0</v>
      </c>
      <c r="J17" s="27">
        <f>'10 - 2019'!G22-'10 - 2019'!G21</f>
        <v>0</v>
      </c>
      <c r="K17" s="25">
        <v>0.74</v>
      </c>
      <c r="L17" s="27"/>
      <c r="M17" s="13"/>
    </row>
    <row r="18" spans="1:13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</f>
        <v>0</v>
      </c>
      <c r="F18" s="27">
        <f>'10 - 2019'!C23-'10 - 2019'!C22</f>
        <v>0</v>
      </c>
      <c r="G18" s="25">
        <v>0.11799999999999999</v>
      </c>
      <c r="H18" s="27">
        <f>'10 - 2019'!E23-'10 - 2019'!E22</f>
        <v>0</v>
      </c>
      <c r="I18" s="27">
        <f>'10 - 2019'!F23-'10 - 2019'!F22</f>
        <v>0</v>
      </c>
      <c r="J18" s="27">
        <f>'10 - 2019'!G23-'10 - 2019'!G22</f>
        <v>0</v>
      </c>
      <c r="K18" s="25">
        <v>0.74</v>
      </c>
      <c r="L18" s="27"/>
      <c r="M18" s="13"/>
    </row>
    <row r="19" spans="1:13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</f>
        <v>0</v>
      </c>
      <c r="F19" s="27">
        <f>'10 - 2019'!C24-'10 - 2019'!C23</f>
        <v>0</v>
      </c>
      <c r="G19" s="25">
        <v>0.11799999999999999</v>
      </c>
      <c r="H19" s="27">
        <f>'10 - 2019'!E24-'10 - 2019'!E23</f>
        <v>0</v>
      </c>
      <c r="I19" s="27">
        <f>'10 - 2019'!F24-'10 - 2019'!F23</f>
        <v>0</v>
      </c>
      <c r="J19" s="27">
        <f>'10 - 2019'!G24-'10 - 2019'!G23</f>
        <v>0</v>
      </c>
      <c r="K19" s="25">
        <v>0.74</v>
      </c>
      <c r="L19" s="6"/>
      <c r="M19" s="13"/>
    </row>
    <row r="20" spans="1:13" x14ac:dyDescent="0.25">
      <c r="A20" t="s">
        <v>28</v>
      </c>
      <c r="B20">
        <f t="shared" si="0"/>
        <v>19</v>
      </c>
      <c r="C20" s="25">
        <v>10</v>
      </c>
      <c r="D20" s="25">
        <v>2019</v>
      </c>
      <c r="E20" s="27">
        <f>'10 - 2019'!B25-'10 - 2019'!B24</f>
        <v>0</v>
      </c>
      <c r="F20" s="27">
        <f>'10 - 2019'!C25-'10 - 2019'!C24</f>
        <v>0</v>
      </c>
      <c r="G20" s="25">
        <v>0.11799999999999999</v>
      </c>
      <c r="H20" s="27">
        <f>'10 - 2019'!E25-'10 - 2019'!E24</f>
        <v>0</v>
      </c>
      <c r="I20" s="27">
        <f>'10 - 2019'!F25-'10 - 2019'!F24</f>
        <v>0</v>
      </c>
      <c r="J20" s="27">
        <f>'10 - 2019'!G25-'10 - 2019'!G24</f>
        <v>0</v>
      </c>
      <c r="K20" s="25">
        <v>0.74</v>
      </c>
      <c r="L20" s="6"/>
      <c r="M20" s="13"/>
    </row>
    <row r="21" spans="1:13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</f>
        <v>0</v>
      </c>
      <c r="F21" s="27">
        <f>'10 - 2019'!C26-'10 - 2019'!C25</f>
        <v>0</v>
      </c>
      <c r="G21" s="25">
        <v>0.11799999999999999</v>
      </c>
      <c r="H21" s="27">
        <f>'10 - 2019'!E26-'10 - 2019'!E25</f>
        <v>0</v>
      </c>
      <c r="I21" s="27">
        <f>'10 - 2019'!F26-'10 - 2019'!F25</f>
        <v>0</v>
      </c>
      <c r="J21" s="27">
        <f>'10 - 2019'!G26-'10 - 2019'!G25</f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</f>
        <v>0</v>
      </c>
      <c r="F22" s="27">
        <f>'10 - 2019'!C27-'10 - 2019'!C26</f>
        <v>0</v>
      </c>
      <c r="G22" s="25">
        <v>0.11799999999999999</v>
      </c>
      <c r="H22" s="27">
        <f>'10 - 2019'!E27-'10 - 2019'!E26</f>
        <v>0</v>
      </c>
      <c r="I22" s="27">
        <f>'10 - 2019'!F27-'10 - 2019'!F26</f>
        <v>0</v>
      </c>
      <c r="J22" s="27">
        <f>'10 - 2019'!G27-'10 - 2019'!G26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</f>
        <v>0</v>
      </c>
      <c r="F23" s="27">
        <f>'10 - 2019'!C28-'10 - 2019'!C27</f>
        <v>0</v>
      </c>
      <c r="G23" s="25">
        <v>0.11799999999999999</v>
      </c>
      <c r="H23" s="27">
        <f>'10 - 2019'!E28-'10 - 2019'!E27</f>
        <v>0</v>
      </c>
      <c r="I23" s="27">
        <f>'10 - 2019'!F28-'10 - 2019'!F27</f>
        <v>0</v>
      </c>
      <c r="J23" s="27">
        <f>'10 - 2019'!G28-'10 - 2019'!G27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</f>
        <v>0</v>
      </c>
      <c r="F24" s="27">
        <f>'10 - 2019'!C29-'10 - 2019'!C28</f>
        <v>0</v>
      </c>
      <c r="G24" s="25">
        <v>0.11799999999999999</v>
      </c>
      <c r="H24" s="27">
        <f>'10 - 2019'!E29-'10 - 2019'!E28</f>
        <v>0</v>
      </c>
      <c r="I24" s="27">
        <f>'10 - 2019'!F29-'10 - 2019'!F28</f>
        <v>0</v>
      </c>
      <c r="J24" s="27">
        <f>'10 - 2019'!G29-'10 - 2019'!G28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</f>
        <v>0</v>
      </c>
      <c r="F25" s="27">
        <f>'10 - 2019'!C30-'10 - 2019'!C29</f>
        <v>0</v>
      </c>
      <c r="G25" s="25">
        <v>0.11799999999999999</v>
      </c>
      <c r="H25" s="27">
        <f>'10 - 2019'!E30-'10 - 2019'!E29</f>
        <v>0</v>
      </c>
      <c r="I25" s="27">
        <f>'10 - 2019'!F30-'10 - 2019'!F29</f>
        <v>0</v>
      </c>
      <c r="J25" s="27">
        <f>'10 - 2019'!G30-'10 - 2019'!G29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</f>
        <v>0</v>
      </c>
      <c r="F26" s="27">
        <f>'10 - 2019'!C31-'10 - 2019'!C30</f>
        <v>0</v>
      </c>
      <c r="G26" s="25">
        <v>0.11799999999999999</v>
      </c>
      <c r="H26" s="27">
        <f>'10 - 2019'!E31-'10 - 2019'!E30</f>
        <v>0</v>
      </c>
      <c r="I26" s="27">
        <f>'10 - 2019'!F31-'10 - 2019'!F30</f>
        <v>0</v>
      </c>
      <c r="J26" s="27">
        <f>'10 - 2019'!G31-'10 - 2019'!G30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</f>
        <v>0</v>
      </c>
      <c r="F27" s="27">
        <f>'10 - 2019'!C32-'10 - 2019'!C31</f>
        <v>0</v>
      </c>
      <c r="G27" s="25">
        <v>0.11799999999999999</v>
      </c>
      <c r="H27" s="27">
        <f>'10 - 2019'!E32-'10 - 2019'!E31</f>
        <v>0</v>
      </c>
      <c r="I27" s="27">
        <f>'10 - 2019'!F32-'10 - 2019'!F31</f>
        <v>0</v>
      </c>
      <c r="J27" s="27">
        <f>'10 - 2019'!G32-'10 - 2019'!G31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</f>
        <v>0</v>
      </c>
      <c r="F28" s="27">
        <f>'10 - 2019'!C33-'10 - 2019'!C32</f>
        <v>0</v>
      </c>
      <c r="G28" s="25">
        <v>0.11799999999999999</v>
      </c>
      <c r="H28" s="27">
        <f>'10 - 2019'!E33-'10 - 2019'!E32</f>
        <v>0</v>
      </c>
      <c r="I28" s="27">
        <f>'10 - 2019'!F33-'10 - 2019'!F32</f>
        <v>0</v>
      </c>
      <c r="J28" s="27">
        <f>'10 - 2019'!G33-'10 - 2019'!G32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10</v>
      </c>
      <c r="D29">
        <v>2019</v>
      </c>
      <c r="E29" s="27">
        <f>'10 - 2019'!B34-'10 - 2019'!B33</f>
        <v>0</v>
      </c>
      <c r="F29" s="27">
        <f>'10 - 2019'!C34-'10 - 2019'!C33</f>
        <v>0</v>
      </c>
      <c r="G29" s="25">
        <v>0.11799999999999999</v>
      </c>
      <c r="H29" s="27">
        <f>'10 - 2019'!E34-'10 - 2019'!E33</f>
        <v>0</v>
      </c>
      <c r="I29" s="27">
        <f>'10 - 2019'!F34-'10 - 2019'!F33</f>
        <v>0</v>
      </c>
      <c r="J29" s="27">
        <f>'10 - 2019'!G34-'10 - 2019'!G33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</f>
        <v>0</v>
      </c>
      <c r="F30" s="27">
        <f>'10 - 2019'!C35-'10 - 2019'!C34</f>
        <v>0</v>
      </c>
      <c r="G30" s="25">
        <v>0.11799999999999999</v>
      </c>
      <c r="H30" s="27">
        <f>'10 - 2019'!E35-'10 - 2019'!E34</f>
        <v>0</v>
      </c>
      <c r="I30" s="27">
        <f>'10 - 2019'!F35-'10 - 2019'!F34</f>
        <v>0</v>
      </c>
      <c r="J30" s="27">
        <f>'10 - 2019'!G35-'10 - 2019'!G34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</f>
        <v>0</v>
      </c>
      <c r="F31" s="27">
        <f>'10 - 2019'!C36-'10 - 2019'!C35</f>
        <v>0</v>
      </c>
      <c r="G31" s="25">
        <v>0.11799999999999999</v>
      </c>
      <c r="H31" s="27">
        <f>'10 - 2019'!E36-'10 - 2019'!E35</f>
        <v>0</v>
      </c>
      <c r="I31" s="27">
        <f>'10 - 2019'!F36-'10 - 2019'!F35</f>
        <v>0</v>
      </c>
      <c r="J31" s="27">
        <f>'10 - 2019'!G36-'10 - 2019'!G35</f>
        <v>0</v>
      </c>
      <c r="K31" s="25">
        <v>0.74</v>
      </c>
      <c r="L31" s="6"/>
    </row>
    <row r="32" spans="1:13" x14ac:dyDescent="0.25">
      <c r="A32" s="25" t="s">
        <v>28</v>
      </c>
      <c r="B32">
        <v>31</v>
      </c>
      <c r="C32" s="25">
        <v>10</v>
      </c>
      <c r="D32" s="25">
        <v>2019</v>
      </c>
      <c r="E32" s="27">
        <f>'10 - 2019'!B37-'10 - 2019'!B36</f>
        <v>0</v>
      </c>
      <c r="F32" s="27">
        <f>'10 - 2019'!C37-'10 - 2019'!C36</f>
        <v>0</v>
      </c>
      <c r="G32" s="25">
        <v>0.11799999999999999</v>
      </c>
      <c r="H32" s="27">
        <f>'10 - 2019'!E37-'10 - 2019'!E36</f>
        <v>0</v>
      </c>
      <c r="I32" s="27">
        <f>'10 - 2019'!F37-'10 - 2019'!F36</f>
        <v>0</v>
      </c>
      <c r="J32" s="27">
        <f>'10 - 2019'!G37-'10 - 2019'!G36</f>
        <v>0</v>
      </c>
      <c r="K32" s="25">
        <v>0.74</v>
      </c>
      <c r="L3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G21" sqref="G2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1" t="s">
        <v>31</v>
      </c>
      <c r="B2" s="61"/>
      <c r="C2" s="61"/>
      <c r="D2" s="61"/>
      <c r="E2" s="61"/>
      <c r="F2" s="61"/>
      <c r="G2" s="61"/>
      <c r="H2" s="61"/>
      <c r="I2" s="61"/>
      <c r="J2" s="61"/>
      <c r="K2" s="25"/>
      <c r="L2" s="25"/>
    </row>
    <row r="3" spans="1:15" ht="16.5" thickBot="1" x14ac:dyDescent="0.3">
      <c r="A3" s="54" t="s">
        <v>36</v>
      </c>
      <c r="B3" s="54"/>
      <c r="C3" s="54"/>
      <c r="D3" s="54"/>
      <c r="E3" s="54"/>
      <c r="F3" s="54"/>
      <c r="G3" s="54"/>
      <c r="H3" s="54"/>
      <c r="I3" s="54"/>
      <c r="J3" s="54"/>
      <c r="K3" s="25"/>
      <c r="L3" s="25"/>
    </row>
    <row r="4" spans="1:15" ht="16.5" thickBot="1" x14ac:dyDescent="0.3">
      <c r="A4" s="2"/>
      <c r="B4" s="55" t="s">
        <v>0</v>
      </c>
      <c r="C4" s="56"/>
      <c r="D4" s="55" t="s">
        <v>1</v>
      </c>
      <c r="E4" s="57"/>
      <c r="F4" s="57"/>
      <c r="G4" s="58"/>
      <c r="H4" s="59" t="s">
        <v>2</v>
      </c>
      <c r="I4" s="60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1">
        <v>43738</v>
      </c>
      <c r="B6" s="52">
        <v>34670.6</v>
      </c>
      <c r="C6" s="52">
        <v>691610</v>
      </c>
      <c r="D6" s="53">
        <v>0.42</v>
      </c>
      <c r="E6" s="30">
        <v>6379.05</v>
      </c>
      <c r="F6" s="30">
        <v>1129.1099999999999</v>
      </c>
      <c r="G6" s="30">
        <v>11667.01</v>
      </c>
      <c r="H6" s="52">
        <v>14528</v>
      </c>
      <c r="I6" s="52">
        <v>73229</v>
      </c>
      <c r="J6" s="52">
        <v>35251065</v>
      </c>
      <c r="K6" s="49"/>
      <c r="L6" s="34"/>
    </row>
    <row r="7" spans="1:15" ht="12.75" customHeight="1" x14ac:dyDescent="0.25">
      <c r="A7" s="50">
        <v>43739</v>
      </c>
      <c r="B7" s="38">
        <v>38104.199999999997</v>
      </c>
      <c r="C7" s="39">
        <v>698038</v>
      </c>
      <c r="D7" s="40">
        <v>0.37</v>
      </c>
      <c r="E7" s="41">
        <v>6406.05</v>
      </c>
      <c r="F7" s="41">
        <v>1133.8800000000001</v>
      </c>
      <c r="G7" s="41">
        <v>11698.91</v>
      </c>
      <c r="H7" s="42">
        <v>14528</v>
      </c>
      <c r="I7" s="42">
        <v>73334</v>
      </c>
      <c r="J7" s="42">
        <v>35290375</v>
      </c>
      <c r="K7" s="43"/>
      <c r="L7" s="44"/>
    </row>
    <row r="8" spans="1:15" ht="12.75" customHeight="1" x14ac:dyDescent="0.25">
      <c r="A8" s="50">
        <v>43740</v>
      </c>
      <c r="B8" s="28">
        <v>41504</v>
      </c>
      <c r="C8" s="20">
        <v>704380</v>
      </c>
      <c r="D8" s="17">
        <v>0.85</v>
      </c>
      <c r="E8" s="24">
        <v>6430</v>
      </c>
      <c r="F8" s="24">
        <v>1138.43</v>
      </c>
      <c r="G8" s="24">
        <v>11731</v>
      </c>
      <c r="H8" s="20">
        <v>14528</v>
      </c>
      <c r="I8" s="16">
        <v>73442</v>
      </c>
      <c r="J8" s="16">
        <v>35329324</v>
      </c>
      <c r="K8" s="19">
        <v>3900</v>
      </c>
      <c r="L8" s="34"/>
    </row>
    <row r="9" spans="1:15" ht="12.75" customHeight="1" x14ac:dyDescent="0.25">
      <c r="A9" s="50">
        <v>43741</v>
      </c>
      <c r="B9" s="16">
        <v>44982.7</v>
      </c>
      <c r="C9" s="16">
        <v>710810</v>
      </c>
      <c r="D9" s="17">
        <v>0.8</v>
      </c>
      <c r="E9" s="24">
        <v>6453.82</v>
      </c>
      <c r="F9" s="24">
        <v>1143.24</v>
      </c>
      <c r="G9" s="24">
        <v>11768.28</v>
      </c>
      <c r="H9" s="20">
        <v>14528</v>
      </c>
      <c r="I9" s="16">
        <v>73559</v>
      </c>
      <c r="J9" s="16">
        <v>35363219</v>
      </c>
      <c r="K9" s="19"/>
      <c r="L9" s="34"/>
    </row>
    <row r="10" spans="1:15" ht="12.75" customHeight="1" x14ac:dyDescent="0.25">
      <c r="A10" s="50">
        <v>43742</v>
      </c>
      <c r="B10" s="16">
        <v>48704.7</v>
      </c>
      <c r="C10" s="16">
        <v>717574</v>
      </c>
      <c r="D10" s="17">
        <v>0.73</v>
      </c>
      <c r="E10" s="24">
        <v>6487.51</v>
      </c>
      <c r="F10" s="24">
        <v>1148.24</v>
      </c>
      <c r="G10" s="24">
        <v>11806.3</v>
      </c>
      <c r="H10" s="20">
        <v>14528</v>
      </c>
      <c r="I10" s="16">
        <v>73699</v>
      </c>
      <c r="J10" s="16">
        <v>35397376</v>
      </c>
      <c r="K10" s="19"/>
      <c r="L10" s="34"/>
    </row>
    <row r="11" spans="1:15" ht="12.75" customHeight="1" x14ac:dyDescent="0.25">
      <c r="A11" s="50">
        <v>43743</v>
      </c>
      <c r="B11" s="16">
        <v>52184.800000000003</v>
      </c>
      <c r="C11" s="16">
        <v>723812</v>
      </c>
      <c r="D11" s="17">
        <v>0.67</v>
      </c>
      <c r="E11" s="24">
        <v>6511.85</v>
      </c>
      <c r="F11" s="24">
        <v>1153.3599999999999</v>
      </c>
      <c r="G11" s="24">
        <v>11841.1</v>
      </c>
      <c r="H11" s="16">
        <v>14528</v>
      </c>
      <c r="I11" s="16">
        <v>73794</v>
      </c>
      <c r="J11" s="16">
        <v>35431553</v>
      </c>
      <c r="K11" s="19"/>
      <c r="L11" s="34"/>
    </row>
    <row r="12" spans="1:15" ht="12.75" customHeight="1" x14ac:dyDescent="0.25">
      <c r="A12" s="50">
        <v>43744</v>
      </c>
      <c r="B12" s="16">
        <v>55805.4</v>
      </c>
      <c r="C12" s="16">
        <v>730064</v>
      </c>
      <c r="D12" s="17">
        <v>0.6</v>
      </c>
      <c r="E12" s="24">
        <v>6538.49</v>
      </c>
      <c r="F12" s="24">
        <v>1158.8800000000001</v>
      </c>
      <c r="G12" s="24">
        <v>11874.51</v>
      </c>
      <c r="H12" s="16">
        <v>14528</v>
      </c>
      <c r="I12" s="18">
        <v>73915</v>
      </c>
      <c r="J12" s="18">
        <v>35464011</v>
      </c>
      <c r="K12" s="19"/>
      <c r="L12" s="34"/>
    </row>
    <row r="13" spans="1:15" ht="12.75" customHeight="1" x14ac:dyDescent="0.25">
      <c r="A13" s="50">
        <v>43745</v>
      </c>
      <c r="B13" s="16">
        <v>59378.3</v>
      </c>
      <c r="C13" s="16">
        <v>736347</v>
      </c>
      <c r="D13" s="17">
        <v>0.54</v>
      </c>
      <c r="E13" s="24">
        <v>6568.29</v>
      </c>
      <c r="F13" s="24">
        <v>1165.95</v>
      </c>
      <c r="G13" s="18">
        <v>11907.88</v>
      </c>
      <c r="H13" s="16">
        <v>14528</v>
      </c>
      <c r="I13" s="16">
        <v>74027</v>
      </c>
      <c r="J13" s="16">
        <v>35492281</v>
      </c>
      <c r="K13" s="28"/>
      <c r="L13" s="34"/>
      <c r="O13" s="27"/>
    </row>
    <row r="14" spans="1:15" ht="12.75" customHeight="1" x14ac:dyDescent="0.25">
      <c r="A14" s="50">
        <v>43746</v>
      </c>
      <c r="B14" s="20">
        <v>62808.9</v>
      </c>
      <c r="C14" s="16">
        <v>742469</v>
      </c>
      <c r="D14" s="17">
        <v>0.49</v>
      </c>
      <c r="E14" s="24">
        <v>6593.43</v>
      </c>
      <c r="F14" s="24">
        <v>1173.18</v>
      </c>
      <c r="G14" s="18">
        <v>11941.41</v>
      </c>
      <c r="H14" s="16">
        <v>14528</v>
      </c>
      <c r="I14" s="16">
        <v>74146</v>
      </c>
      <c r="J14" s="16">
        <v>35524721</v>
      </c>
      <c r="K14" s="19"/>
      <c r="L14" s="34"/>
      <c r="O14" s="27"/>
    </row>
    <row r="15" spans="1:15" ht="12.75" customHeight="1" x14ac:dyDescent="0.25">
      <c r="A15" s="50">
        <v>43747</v>
      </c>
      <c r="B15" s="14">
        <v>65994</v>
      </c>
      <c r="C15" s="16">
        <v>748158</v>
      </c>
      <c r="D15" s="17">
        <v>0.85</v>
      </c>
      <c r="E15" s="24">
        <v>6615.82</v>
      </c>
      <c r="F15" s="24">
        <v>1177.74</v>
      </c>
      <c r="G15" s="18">
        <v>11977.42</v>
      </c>
      <c r="H15" s="16">
        <v>14528</v>
      </c>
      <c r="I15" s="16">
        <v>74288</v>
      </c>
      <c r="J15" s="16">
        <v>35555637</v>
      </c>
      <c r="K15" s="19">
        <v>3500</v>
      </c>
      <c r="L15" s="34"/>
    </row>
    <row r="16" spans="1:15" ht="12.75" customHeight="1" x14ac:dyDescent="0.25">
      <c r="A16" s="50">
        <v>43748</v>
      </c>
      <c r="B16" s="18">
        <v>69551</v>
      </c>
      <c r="C16" s="18">
        <v>754632</v>
      </c>
      <c r="D16" s="29">
        <v>0.78</v>
      </c>
      <c r="E16" s="30">
        <v>6644.67</v>
      </c>
      <c r="F16" s="30">
        <v>1185.3699999999999</v>
      </c>
      <c r="G16" s="18">
        <v>12015.81</v>
      </c>
      <c r="H16" s="16">
        <v>14528</v>
      </c>
      <c r="I16" s="18">
        <v>74400</v>
      </c>
      <c r="J16" s="18">
        <v>35597918</v>
      </c>
      <c r="K16" s="19"/>
      <c r="L16" s="34"/>
    </row>
    <row r="17" spans="1:16" ht="12.75" customHeight="1" x14ac:dyDescent="0.25">
      <c r="A17" s="50">
        <v>43749</v>
      </c>
      <c r="B17" s="16">
        <v>73570.899999999994</v>
      </c>
      <c r="C17" s="16">
        <v>762133</v>
      </c>
      <c r="D17" s="17">
        <v>0.7</v>
      </c>
      <c r="E17" s="30">
        <v>6675.18</v>
      </c>
      <c r="F17" s="30">
        <v>1192.07</v>
      </c>
      <c r="G17" s="18">
        <v>12058.18</v>
      </c>
      <c r="H17" s="16">
        <v>14528</v>
      </c>
      <c r="I17" s="16">
        <v>74515</v>
      </c>
      <c r="J17" s="16">
        <v>35635792</v>
      </c>
      <c r="K17" s="19"/>
      <c r="L17" s="34"/>
    </row>
    <row r="18" spans="1:16" ht="12.75" customHeight="1" x14ac:dyDescent="0.25">
      <c r="A18" s="50">
        <v>43750</v>
      </c>
      <c r="B18" s="16">
        <v>76398</v>
      </c>
      <c r="C18" s="16">
        <v>767315</v>
      </c>
      <c r="D18" s="17">
        <v>0.63</v>
      </c>
      <c r="E18" s="30">
        <v>6697</v>
      </c>
      <c r="F18" s="30">
        <v>1198</v>
      </c>
      <c r="G18" s="18">
        <v>12085.31</v>
      </c>
      <c r="H18" s="16">
        <v>14528</v>
      </c>
      <c r="I18" s="16">
        <v>74617</v>
      </c>
      <c r="J18" s="16">
        <v>35671958</v>
      </c>
      <c r="K18" s="19"/>
      <c r="L18" s="34"/>
    </row>
    <row r="19" spans="1:16" ht="12.75" customHeight="1" x14ac:dyDescent="0.25">
      <c r="A19" s="50">
        <v>43751</v>
      </c>
      <c r="B19" s="16">
        <v>79841.899999999994</v>
      </c>
      <c r="C19" s="16">
        <v>773616</v>
      </c>
      <c r="D19" s="17">
        <v>0.56999999999999995</v>
      </c>
      <c r="E19" s="30">
        <v>6723.91</v>
      </c>
      <c r="F19" s="30">
        <v>1203.2</v>
      </c>
      <c r="G19" s="18">
        <v>12122.48</v>
      </c>
      <c r="H19" s="16">
        <v>14528</v>
      </c>
      <c r="I19" s="16">
        <v>74745</v>
      </c>
      <c r="J19" s="16">
        <v>35699690</v>
      </c>
      <c r="K19" s="19"/>
      <c r="L19" s="34"/>
    </row>
    <row r="20" spans="1:16" ht="12.75" customHeight="1" x14ac:dyDescent="0.25">
      <c r="A20" s="50">
        <v>43752</v>
      </c>
      <c r="B20" s="16">
        <v>83154.100000000006</v>
      </c>
      <c r="C20" s="16">
        <v>779553</v>
      </c>
      <c r="D20" s="17">
        <v>0.5</v>
      </c>
      <c r="E20" s="30">
        <v>6748.44</v>
      </c>
      <c r="F20" s="30">
        <v>1208.81</v>
      </c>
      <c r="G20" s="18">
        <v>12152.85</v>
      </c>
      <c r="H20" s="16">
        <v>14528</v>
      </c>
      <c r="I20" s="16">
        <v>74862</v>
      </c>
      <c r="J20" s="16">
        <v>35724119</v>
      </c>
      <c r="K20" s="19"/>
      <c r="L20" s="34"/>
    </row>
    <row r="21" spans="1:16" ht="12.75" customHeight="1" x14ac:dyDescent="0.25">
      <c r="A21" s="50">
        <v>43753</v>
      </c>
      <c r="B21" s="16"/>
      <c r="C21" s="16"/>
      <c r="D21" s="17"/>
      <c r="E21" s="30"/>
      <c r="F21" s="30"/>
      <c r="G21" s="18"/>
      <c r="H21" s="16"/>
      <c r="I21" s="18"/>
      <c r="J21" s="16"/>
      <c r="K21" s="28"/>
      <c r="L21" s="34"/>
    </row>
    <row r="22" spans="1:16" ht="12.75" customHeight="1" x14ac:dyDescent="0.25">
      <c r="A22" s="50">
        <v>43754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50">
        <v>43755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50">
        <v>43756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50">
        <v>43757</v>
      </c>
      <c r="B25" s="16"/>
      <c r="C25" s="16"/>
      <c r="D25" s="17"/>
      <c r="E25" s="30"/>
      <c r="F25" s="30"/>
      <c r="G25" s="18"/>
      <c r="H25" s="16"/>
      <c r="I25" s="16"/>
      <c r="J25" s="16"/>
      <c r="K25" s="19"/>
      <c r="L25" s="34"/>
    </row>
    <row r="26" spans="1:16" ht="12.75" customHeight="1" x14ac:dyDescent="0.25">
      <c r="A26" s="50">
        <v>43758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43759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43760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43761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43762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43763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43764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43765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43766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43767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43768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0">
        <v>43769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25"/>
      <c r="B38" s="25"/>
      <c r="C38" s="37"/>
      <c r="D38" s="25"/>
      <c r="E38" s="27"/>
      <c r="F38" s="27"/>
      <c r="G38" s="27"/>
      <c r="H38" s="23"/>
      <c r="I38" s="37"/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10 - 2019</vt:lpstr>
      <vt:lpstr>'10 - 2019'!Print_Area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2019-10-14T04:59:05Z</dcterms:modified>
</cp:coreProperties>
</file>