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<sst xmlns="http://schemas.openxmlformats.org/spreadsheetml/2006/main" count="139" uniqueCount="59">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</sst>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0" fillId="3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6" borderId="2" xfId="0" quotePrefix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7" fillId="4" borderId="2" xfId="0" quotePrefix="1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0" borderId="2" xfId="0" quotePrefix="1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50</v>
      </c>
      <c r="J1" s="6" t="s">
        <v>51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Submetering!S2</f>
        <v>482.11800000000005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170</v>
      </c>
    </row>
    <row r="3" spans="1:11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Submetering!S3</f>
        <v>382.2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182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Submetering!S4</f>
        <v>502.32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99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Submetering!S5</f>
        <v>493.85699999999997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86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Submetering!S6</f>
        <v>481.84500000000003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126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Submetering!S7</f>
        <v>188.916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130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Submetering!S8</f>
        <v>140.322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109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159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124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76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77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79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53770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68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55160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70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57170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109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56570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125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59790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99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55450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67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52870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53040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87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56110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112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57510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123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58670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134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57210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88</v>
      </c>
    </row>
    <row r="26" spans="1:11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52890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82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54370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105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55440</v>
      </c>
      <c r="F28" s="11">
        <v>5.0000000000000001E-3</v>
      </c>
      <c r="G28" s="12">
        <f>Submetering!S28</f>
        <v>381.92700000000002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97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63570</v>
      </c>
      <c r="F29" s="11">
        <v>5.0000000000000001E-3</v>
      </c>
      <c r="G29" s="12">
        <f>Submetering!S29</f>
        <v>408.13499999999999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81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60930</v>
      </c>
      <c r="F30" s="11">
        <v>5.0000000000000001E-3</v>
      </c>
      <c r="G30" s="12">
        <f>Submetering!S30</f>
        <v>382.2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104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60320</v>
      </c>
      <c r="F31" s="11">
        <v>5.0000000000000001E-3</v>
      </c>
      <c r="G31" s="12">
        <f>Submetering!S31</f>
        <v>273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115</v>
      </c>
    </row>
    <row r="32" spans="1:11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62930</v>
      </c>
      <c r="F32" s="11">
        <v>5.0000000000000001E-3</v>
      </c>
      <c r="G32" s="12">
        <f>Submetering!S32</f>
        <v>379.197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53</v>
      </c>
      <c r="S1" s="17" t="s">
        <v>45</v>
      </c>
      <c r="T1" s="17" t="s">
        <v>55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Hotel!AT7</f>
        <v>0</v>
      </c>
      <c r="S2" s="4">
        <f>Hotel!BA7</f>
        <v>482.11800000000005</v>
      </c>
      <c r="T2" s="4">
        <f>Hotel!AX7</f>
        <v>0</v>
      </c>
      <c r="U2" s="4">
        <f>Hotel!B7</f>
        <v>170</v>
      </c>
    </row>
    <row r="3" spans="1:21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Hotel!AT8</f>
        <v>0</v>
      </c>
      <c r="S3" s="4">
        <f>Hotel!BA8</f>
        <v>382.2</v>
      </c>
      <c r="T3" s="4">
        <f>Hotel!AX8</f>
        <v>0</v>
      </c>
      <c r="U3" s="4">
        <f>Hotel!B8</f>
        <v>182</v>
      </c>
    </row>
    <row r="4" spans="1:21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Hotel!AT9</f>
        <v>0</v>
      </c>
      <c r="S4" s="4">
        <f>Hotel!BA9</f>
        <v>502.32</v>
      </c>
      <c r="T4" s="4">
        <f>Hotel!AX9</f>
        <v>0</v>
      </c>
      <c r="U4" s="4">
        <f>Hotel!B9</f>
        <v>99</v>
      </c>
    </row>
    <row r="5" spans="1:21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Hotel!AT10</f>
        <v>0</v>
      </c>
      <c r="S5" s="4">
        <f>Hotel!BA10</f>
        <v>493.85699999999997</v>
      </c>
      <c r="T5" s="4">
        <f>Hotel!AX10</f>
        <v>0</v>
      </c>
      <c r="U5" s="4">
        <f>Hotel!B10</f>
        <v>86</v>
      </c>
    </row>
    <row r="6" spans="1:21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Hotel!AT11</f>
        <v>0</v>
      </c>
      <c r="S6" s="4">
        <f>Hotel!BA11</f>
        <v>481.84500000000003</v>
      </c>
      <c r="T6" s="4">
        <f>Hotel!AX11</f>
        <v>0</v>
      </c>
      <c r="U6" s="4">
        <f>Hotel!B11</f>
        <v>126</v>
      </c>
    </row>
    <row r="7" spans="1:21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Hotel!AT12</f>
        <v>0</v>
      </c>
      <c r="S7" s="4">
        <f>Hotel!BA12</f>
        <v>188.916</v>
      </c>
      <c r="T7" s="4">
        <f>Hotel!AX12</f>
        <v>0</v>
      </c>
      <c r="U7" s="4">
        <f>Hotel!B12</f>
        <v>130</v>
      </c>
    </row>
    <row r="8" spans="1:21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Hotel!AT13</f>
        <v>0</v>
      </c>
      <c r="S8" s="4">
        <f>Hotel!BA13</f>
        <v>140.322</v>
      </c>
      <c r="T8" s="4">
        <f>Hotel!AX13</f>
        <v>0</v>
      </c>
      <c r="U8" s="4">
        <f>Hotel!B13</f>
        <v>109</v>
      </c>
    </row>
    <row r="9" spans="1:21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Hotel!AT14</f>
        <v>0</v>
      </c>
      <c r="S9" s="4">
        <f>Hotel!BA14</f>
        <v>0</v>
      </c>
      <c r="T9" s="4">
        <f>Hotel!AX14</f>
        <v>0</v>
      </c>
      <c r="U9" s="4">
        <f>Hotel!B14</f>
        <v>159</v>
      </c>
    </row>
    <row r="10" spans="1:21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Hotel!AT15</f>
        <v>0</v>
      </c>
      <c r="S10" s="4">
        <f>Hotel!BA15</f>
        <v>0</v>
      </c>
      <c r="T10" s="4">
        <f>Hotel!AX15</f>
        <v>0</v>
      </c>
      <c r="U10" s="4">
        <f>Hotel!B15</f>
        <v>124</v>
      </c>
    </row>
    <row r="11" spans="1:21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Hotel!AT16</f>
        <v>0</v>
      </c>
      <c r="S11" s="4">
        <f>Hotel!BA16</f>
        <v>0</v>
      </c>
      <c r="T11" s="4">
        <f>Hotel!AX16</f>
        <v>0</v>
      </c>
      <c r="U11" s="4">
        <f>Hotel!B16</f>
        <v>76</v>
      </c>
    </row>
    <row r="12" spans="1:21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Hotel!AT17</f>
        <v>0</v>
      </c>
      <c r="S12" s="4">
        <f>Hotel!BA17</f>
        <v>0</v>
      </c>
      <c r="T12" s="4">
        <f>Hotel!AX17</f>
        <v>0</v>
      </c>
      <c r="U12" s="4">
        <f>Hotel!B17</f>
        <v>77</v>
      </c>
    </row>
    <row r="13" spans="1:21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Hotel!AT18</f>
        <v>0</v>
      </c>
      <c r="S13" s="4">
        <f>Hotel!BA18</f>
        <v>0</v>
      </c>
      <c r="T13" s="4">
        <f>Hotel!AX18</f>
        <v>0</v>
      </c>
      <c r="U13" s="4">
        <f>Hotel!B18</f>
        <v>79</v>
      </c>
    </row>
    <row r="14" spans="1:21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570</v>
      </c>
      <c r="F14" s="4">
        <f>Hotel!R19</f>
        <v>1810</v>
      </c>
      <c r="G14" s="4">
        <f>Hotel!S19</f>
        <v>3050</v>
      </c>
      <c r="H14" s="4">
        <f>Hotel!T19</f>
        <v>1400</v>
      </c>
      <c r="I14" s="4">
        <f>Hotel!U19</f>
        <v>4900</v>
      </c>
      <c r="J14" s="4">
        <f>Hotel!V19</f>
        <v>3930</v>
      </c>
      <c r="K14" s="4">
        <f>Hotel!W19</f>
        <v>3280</v>
      </c>
      <c r="L14" s="4">
        <f>Hotel!X19</f>
        <v>4910</v>
      </c>
      <c r="M14" s="4">
        <f>Hotel!Y19</f>
        <v>5680</v>
      </c>
      <c r="N14" s="4">
        <f>Hotel!Z19</f>
        <v>2280</v>
      </c>
      <c r="O14" s="4">
        <f>Hotel!AA19</f>
        <v>2500</v>
      </c>
      <c r="P14" s="4">
        <f>Hotel!AB19</f>
        <v>7750</v>
      </c>
      <c r="Q14" s="4">
        <f>Hotel!AC19</f>
        <v>11710</v>
      </c>
      <c r="R14" s="4">
        <f>Hotel!AT19</f>
        <v>0</v>
      </c>
      <c r="S14" s="4">
        <f>Hotel!BA19</f>
        <v>0</v>
      </c>
      <c r="T14" s="4">
        <f>Hotel!AX19</f>
        <v>0</v>
      </c>
      <c r="U14" s="4">
        <f>Hotel!B19</f>
        <v>68</v>
      </c>
    </row>
    <row r="15" spans="1:21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580</v>
      </c>
      <c r="F15" s="4">
        <f>Hotel!R20</f>
        <v>1720</v>
      </c>
      <c r="G15" s="4">
        <f>Hotel!S20</f>
        <v>2870</v>
      </c>
      <c r="H15" s="4">
        <f>Hotel!T20</f>
        <v>1370</v>
      </c>
      <c r="I15" s="4">
        <f>Hotel!U20</f>
        <v>5260</v>
      </c>
      <c r="J15" s="4">
        <f>Hotel!V20</f>
        <v>3930</v>
      </c>
      <c r="K15" s="4">
        <f>Hotel!W20</f>
        <v>3090</v>
      </c>
      <c r="L15" s="4">
        <f>Hotel!X20</f>
        <v>4650</v>
      </c>
      <c r="M15" s="4">
        <f>Hotel!Y20</f>
        <v>5520</v>
      </c>
      <c r="N15" s="4">
        <f>Hotel!Z20</f>
        <v>2290</v>
      </c>
      <c r="O15" s="4">
        <f>Hotel!AA20</f>
        <v>3270</v>
      </c>
      <c r="P15" s="4">
        <f>Hotel!AB20</f>
        <v>7540</v>
      </c>
      <c r="Q15" s="4">
        <f>Hotel!AC20</f>
        <v>13070</v>
      </c>
      <c r="R15" s="4">
        <f>Hotel!AT20</f>
        <v>0</v>
      </c>
      <c r="S15" s="4">
        <f>Hotel!BA20</f>
        <v>0</v>
      </c>
      <c r="T15" s="4">
        <f>Hotel!AX20</f>
        <v>0</v>
      </c>
      <c r="U15" s="4">
        <f>Hotel!B20</f>
        <v>70</v>
      </c>
    </row>
    <row r="16" spans="1:21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590</v>
      </c>
      <c r="F16" s="4">
        <f>Hotel!R21</f>
        <v>1860</v>
      </c>
      <c r="G16" s="4">
        <f>Hotel!S21</f>
        <v>3420</v>
      </c>
      <c r="H16" s="4">
        <f>Hotel!T21</f>
        <v>1420</v>
      </c>
      <c r="I16" s="4">
        <f>Hotel!U21</f>
        <v>5540</v>
      </c>
      <c r="J16" s="4">
        <f>Hotel!V21</f>
        <v>4340</v>
      </c>
      <c r="K16" s="4">
        <f>Hotel!W21</f>
        <v>3340</v>
      </c>
      <c r="L16" s="4">
        <f>Hotel!X21</f>
        <v>4790</v>
      </c>
      <c r="M16" s="4">
        <f>Hotel!Y21</f>
        <v>5880</v>
      </c>
      <c r="N16" s="4">
        <f>Hotel!Z21</f>
        <v>2510</v>
      </c>
      <c r="O16" s="4">
        <f>Hotel!AA21</f>
        <v>3120</v>
      </c>
      <c r="P16" s="4">
        <f>Hotel!AB21</f>
        <v>7810</v>
      </c>
      <c r="Q16" s="4">
        <f>Hotel!AC21</f>
        <v>12550</v>
      </c>
      <c r="R16" s="4">
        <f>Hotel!AT21</f>
        <v>0</v>
      </c>
      <c r="S16" s="4">
        <f>Hotel!BA21</f>
        <v>0</v>
      </c>
      <c r="T16" s="4">
        <f>Hotel!AX21</f>
        <v>0</v>
      </c>
      <c r="U16" s="4">
        <f>Hotel!B21</f>
        <v>109</v>
      </c>
    </row>
    <row r="17" spans="1:21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590</v>
      </c>
      <c r="F17" s="4">
        <f>Hotel!R22</f>
        <v>1850</v>
      </c>
      <c r="G17" s="4">
        <f>Hotel!S22</f>
        <v>3300</v>
      </c>
      <c r="H17" s="4">
        <f>Hotel!T22</f>
        <v>1420</v>
      </c>
      <c r="I17" s="4">
        <f>Hotel!U22</f>
        <v>5490</v>
      </c>
      <c r="J17" s="4">
        <f>Hotel!V22</f>
        <v>4390</v>
      </c>
      <c r="K17" s="4">
        <f>Hotel!W22</f>
        <v>3180</v>
      </c>
      <c r="L17" s="4">
        <f>Hotel!X22</f>
        <v>4590</v>
      </c>
      <c r="M17" s="4">
        <f>Hotel!Y22</f>
        <v>6000</v>
      </c>
      <c r="N17" s="4">
        <f>Hotel!Z22</f>
        <v>2550</v>
      </c>
      <c r="O17" s="4">
        <f>Hotel!AA22</f>
        <v>3270</v>
      </c>
      <c r="P17" s="4">
        <f>Hotel!AB22</f>
        <v>7800</v>
      </c>
      <c r="Q17" s="4">
        <f>Hotel!AC22</f>
        <v>12140</v>
      </c>
      <c r="R17" s="4">
        <f>Hotel!AT22</f>
        <v>0</v>
      </c>
      <c r="S17" s="4">
        <f>Hotel!BA22</f>
        <v>0</v>
      </c>
      <c r="T17" s="4">
        <f>Hotel!AX22</f>
        <v>0</v>
      </c>
      <c r="U17" s="4">
        <f>Hotel!B22</f>
        <v>125</v>
      </c>
    </row>
    <row r="18" spans="1:21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600</v>
      </c>
      <c r="F18" s="4">
        <f>Hotel!R23</f>
        <v>1880</v>
      </c>
      <c r="G18" s="4">
        <f>Hotel!S23</f>
        <v>3240</v>
      </c>
      <c r="H18" s="4">
        <f>Hotel!T23</f>
        <v>1450</v>
      </c>
      <c r="I18" s="4">
        <f>Hotel!U23</f>
        <v>5890</v>
      </c>
      <c r="J18" s="4">
        <f>Hotel!V23</f>
        <v>4560</v>
      </c>
      <c r="K18" s="4">
        <f>Hotel!W23</f>
        <v>3330</v>
      </c>
      <c r="L18" s="4">
        <f>Hotel!X23</f>
        <v>4670</v>
      </c>
      <c r="M18" s="4">
        <f>Hotel!Y23</f>
        <v>6020</v>
      </c>
      <c r="N18" s="4">
        <f>Hotel!Z23</f>
        <v>2630</v>
      </c>
      <c r="O18" s="4">
        <f>Hotel!AA23</f>
        <v>3410</v>
      </c>
      <c r="P18" s="4">
        <f>Hotel!AB23</f>
        <v>7890</v>
      </c>
      <c r="Q18" s="4">
        <f>Hotel!AC23</f>
        <v>14220</v>
      </c>
      <c r="R18" s="4">
        <f>Hotel!AT23</f>
        <v>0</v>
      </c>
      <c r="S18" s="4">
        <f>Hotel!BA23</f>
        <v>0</v>
      </c>
      <c r="T18" s="4">
        <f>Hotel!AX23</f>
        <v>0</v>
      </c>
      <c r="U18" s="4">
        <f>Hotel!B23</f>
        <v>99</v>
      </c>
    </row>
    <row r="19" spans="1:21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580</v>
      </c>
      <c r="F19" s="4">
        <f>Hotel!R24</f>
        <v>1830</v>
      </c>
      <c r="G19" s="4">
        <f>Hotel!S24</f>
        <v>2880</v>
      </c>
      <c r="H19" s="4">
        <f>Hotel!T24</f>
        <v>1380</v>
      </c>
      <c r="I19" s="4">
        <f>Hotel!U24</f>
        <v>5570</v>
      </c>
      <c r="J19" s="4">
        <f>Hotel!V24</f>
        <v>4300</v>
      </c>
      <c r="K19" s="4">
        <f>Hotel!W24</f>
        <v>2830</v>
      </c>
      <c r="L19" s="4">
        <f>Hotel!X24</f>
        <v>4170</v>
      </c>
      <c r="M19" s="4">
        <f>Hotel!Y24</f>
        <v>5390</v>
      </c>
      <c r="N19" s="4">
        <f>Hotel!Z24</f>
        <v>2450</v>
      </c>
      <c r="O19" s="4">
        <f>Hotel!AA24</f>
        <v>3140</v>
      </c>
      <c r="P19" s="4">
        <f>Hotel!AB24</f>
        <v>7450</v>
      </c>
      <c r="Q19" s="4">
        <f>Hotel!AC24</f>
        <v>13480</v>
      </c>
      <c r="R19" s="4">
        <f>Hotel!AT24</f>
        <v>0</v>
      </c>
      <c r="S19" s="4">
        <f>Hotel!BA24</f>
        <v>0</v>
      </c>
      <c r="T19" s="4">
        <f>Hotel!AX24</f>
        <v>0</v>
      </c>
      <c r="U19" s="4">
        <f>Hotel!B24</f>
        <v>67</v>
      </c>
    </row>
    <row r="20" spans="1:21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570</v>
      </c>
      <c r="F20" s="4">
        <f>Hotel!R25</f>
        <v>1800</v>
      </c>
      <c r="G20" s="4">
        <f>Hotel!S25</f>
        <v>2840</v>
      </c>
      <c r="H20" s="4">
        <f>Hotel!T25</f>
        <v>1360</v>
      </c>
      <c r="I20" s="4">
        <f>Hotel!U25</f>
        <v>5060</v>
      </c>
      <c r="J20" s="4">
        <f>Hotel!V25</f>
        <v>4100</v>
      </c>
      <c r="K20" s="4">
        <f>Hotel!W25</f>
        <v>2800</v>
      </c>
      <c r="L20" s="4">
        <f>Hotel!X25</f>
        <v>4440</v>
      </c>
      <c r="M20" s="4">
        <f>Hotel!Y25</f>
        <v>5380</v>
      </c>
      <c r="N20" s="4">
        <f>Hotel!Z25</f>
        <v>2340</v>
      </c>
      <c r="O20" s="4">
        <f>Hotel!AA25</f>
        <v>2870</v>
      </c>
      <c r="P20" s="4">
        <f>Hotel!AB25</f>
        <v>7240</v>
      </c>
      <c r="Q20" s="4">
        <f>Hotel!AC25</f>
        <v>12070</v>
      </c>
      <c r="R20" s="4">
        <f>Hotel!AT25</f>
        <v>0</v>
      </c>
      <c r="S20" s="4">
        <f>Hotel!BA25</f>
        <v>0</v>
      </c>
      <c r="T20" s="4">
        <f>Hotel!AX25</f>
        <v>0</v>
      </c>
      <c r="U20" s="4">
        <f>Hotel!B25</f>
        <v>72</v>
      </c>
    </row>
    <row r="21" spans="1:21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590</v>
      </c>
      <c r="F21" s="4">
        <f>Hotel!R26</f>
        <v>1840</v>
      </c>
      <c r="G21" s="4">
        <f>Hotel!S26</f>
        <v>2890</v>
      </c>
      <c r="H21" s="4">
        <f>Hotel!T26</f>
        <v>1390</v>
      </c>
      <c r="I21" s="4">
        <f>Hotel!U26</f>
        <v>4850</v>
      </c>
      <c r="J21" s="4">
        <f>Hotel!V26</f>
        <v>4020</v>
      </c>
      <c r="K21" s="4">
        <f>Hotel!W26</f>
        <v>3060</v>
      </c>
      <c r="L21" s="4">
        <f>Hotel!X26</f>
        <v>4620</v>
      </c>
      <c r="M21" s="4">
        <f>Hotel!Y26</f>
        <v>5700</v>
      </c>
      <c r="N21" s="4">
        <f>Hotel!Z26</f>
        <v>2420</v>
      </c>
      <c r="O21" s="4">
        <f>Hotel!AA26</f>
        <v>2530</v>
      </c>
      <c r="P21" s="4">
        <f>Hotel!AB26</f>
        <v>7340</v>
      </c>
      <c r="Q21" s="4">
        <f>Hotel!AC26</f>
        <v>11790</v>
      </c>
      <c r="R21" s="4">
        <f>Hotel!AT26</f>
        <v>0</v>
      </c>
      <c r="S21" s="4">
        <f>Hotel!BA26</f>
        <v>0</v>
      </c>
      <c r="T21" s="4">
        <f>Hotel!AX26</f>
        <v>0</v>
      </c>
      <c r="U21" s="4">
        <f>Hotel!B26</f>
        <v>87</v>
      </c>
    </row>
    <row r="22" spans="1:21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600</v>
      </c>
      <c r="F22" s="4">
        <f>Hotel!R27</f>
        <v>1890</v>
      </c>
      <c r="G22" s="4">
        <f>Hotel!S27</f>
        <v>3060</v>
      </c>
      <c r="H22" s="4">
        <f>Hotel!T27</f>
        <v>1430</v>
      </c>
      <c r="I22" s="4">
        <f>Hotel!U27</f>
        <v>5720</v>
      </c>
      <c r="J22" s="4">
        <f>Hotel!V27</f>
        <v>4140</v>
      </c>
      <c r="K22" s="4">
        <f>Hotel!W27</f>
        <v>3540</v>
      </c>
      <c r="L22" s="4">
        <f>Hotel!X27</f>
        <v>4970</v>
      </c>
      <c r="M22" s="4">
        <f>Hotel!Y27</f>
        <v>5800</v>
      </c>
      <c r="N22" s="4">
        <f>Hotel!Z27</f>
        <v>2530</v>
      </c>
      <c r="O22" s="4">
        <f>Hotel!AA27</f>
        <v>3160</v>
      </c>
      <c r="P22" s="4">
        <f>Hotel!AB27</f>
        <v>7530</v>
      </c>
      <c r="Q22" s="4">
        <f>Hotel!AC27</f>
        <v>11740</v>
      </c>
      <c r="R22" s="4">
        <f>Hotel!AT27</f>
        <v>0</v>
      </c>
      <c r="S22" s="4">
        <f>Hotel!BA27</f>
        <v>0</v>
      </c>
      <c r="T22" s="4">
        <f>Hotel!AX27</f>
        <v>0</v>
      </c>
      <c r="U22" s="4">
        <f>Hotel!B27</f>
        <v>112</v>
      </c>
    </row>
    <row r="23" spans="1:21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580</v>
      </c>
      <c r="F23" s="4">
        <f>Hotel!R28</f>
        <v>1870</v>
      </c>
      <c r="G23" s="4">
        <f>Hotel!S28</f>
        <v>3350</v>
      </c>
      <c r="H23" s="4">
        <f>Hotel!T28</f>
        <v>1420</v>
      </c>
      <c r="I23" s="4">
        <f>Hotel!U28</f>
        <v>5570</v>
      </c>
      <c r="J23" s="4">
        <f>Hotel!V28</f>
        <v>4110</v>
      </c>
      <c r="K23" s="4">
        <f>Hotel!W28</f>
        <v>3610</v>
      </c>
      <c r="L23" s="4">
        <f>Hotel!X28</f>
        <v>5120</v>
      </c>
      <c r="M23" s="4">
        <f>Hotel!Y28</f>
        <v>5990</v>
      </c>
      <c r="N23" s="4">
        <f>Hotel!Z28</f>
        <v>2520</v>
      </c>
      <c r="O23" s="4">
        <f>Hotel!AA28</f>
        <v>3160</v>
      </c>
      <c r="P23" s="4">
        <f>Hotel!AB28</f>
        <v>7650</v>
      </c>
      <c r="Q23" s="4">
        <f>Hotel!AC28</f>
        <v>12560</v>
      </c>
      <c r="R23" s="4">
        <f>Hotel!AT28</f>
        <v>0</v>
      </c>
      <c r="S23" s="4">
        <f>Hotel!BA28</f>
        <v>0</v>
      </c>
      <c r="T23" s="4">
        <f>Hotel!AX28</f>
        <v>0</v>
      </c>
      <c r="U23" s="4">
        <f>Hotel!B28</f>
        <v>123</v>
      </c>
    </row>
    <row r="24" spans="1:21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600</v>
      </c>
      <c r="F24" s="4">
        <f>Hotel!R29</f>
        <v>1900</v>
      </c>
      <c r="G24" s="4">
        <f>Hotel!S29</f>
        <v>3250</v>
      </c>
      <c r="H24" s="4">
        <f>Hotel!T29</f>
        <v>1440</v>
      </c>
      <c r="I24" s="4">
        <f>Hotel!U29</f>
        <v>5640</v>
      </c>
      <c r="J24" s="4">
        <f>Hotel!V29</f>
        <v>4180</v>
      </c>
      <c r="K24" s="4">
        <f>Hotel!W29</f>
        <v>3250</v>
      </c>
      <c r="L24" s="4">
        <f>Hotel!X29</f>
        <v>4950</v>
      </c>
      <c r="M24" s="4">
        <f>Hotel!Y29</f>
        <v>6220</v>
      </c>
      <c r="N24" s="4">
        <f>Hotel!Z29</f>
        <v>2650</v>
      </c>
      <c r="O24" s="4">
        <f>Hotel!AA29</f>
        <v>3230</v>
      </c>
      <c r="P24" s="4">
        <f>Hotel!AB29</f>
        <v>7800</v>
      </c>
      <c r="Q24" s="4">
        <f>Hotel!AC29</f>
        <v>13560</v>
      </c>
      <c r="R24" s="4">
        <f>Hotel!AT29</f>
        <v>0</v>
      </c>
      <c r="S24" s="4">
        <f>Hotel!BA29</f>
        <v>0</v>
      </c>
      <c r="T24" s="4">
        <f>Hotel!AX29</f>
        <v>0</v>
      </c>
      <c r="U24" s="4">
        <f>Hotel!B29</f>
        <v>134</v>
      </c>
    </row>
    <row r="25" spans="1:21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580</v>
      </c>
      <c r="F25" s="4">
        <f>Hotel!R30</f>
        <v>1840</v>
      </c>
      <c r="G25" s="4">
        <f>Hotel!S30</f>
        <v>2920</v>
      </c>
      <c r="H25" s="4">
        <f>Hotel!T30</f>
        <v>1390</v>
      </c>
      <c r="I25" s="4">
        <f>Hotel!U30</f>
        <v>5680</v>
      </c>
      <c r="J25" s="4">
        <f>Hotel!V30</f>
        <v>4120</v>
      </c>
      <c r="K25" s="4">
        <f>Hotel!W30</f>
        <v>3030</v>
      </c>
      <c r="L25" s="4">
        <f>Hotel!X30</f>
        <v>4900</v>
      </c>
      <c r="M25" s="4">
        <f>Hotel!Y30</f>
        <v>6050</v>
      </c>
      <c r="N25" s="4">
        <f>Hotel!Z30</f>
        <v>2580</v>
      </c>
      <c r="O25" s="4">
        <f>Hotel!AA30</f>
        <v>3260</v>
      </c>
      <c r="P25" s="4">
        <f>Hotel!AB30</f>
        <v>7500</v>
      </c>
      <c r="Q25" s="4">
        <f>Hotel!AC30</f>
        <v>13360</v>
      </c>
      <c r="R25" s="4">
        <f>Hotel!AT30</f>
        <v>0</v>
      </c>
      <c r="S25" s="4">
        <f>Hotel!BA30</f>
        <v>0</v>
      </c>
      <c r="T25" s="4">
        <f>Hotel!AX30</f>
        <v>0</v>
      </c>
      <c r="U25" s="4">
        <f>Hotel!B30</f>
        <v>88</v>
      </c>
    </row>
    <row r="26" spans="1:21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580</v>
      </c>
      <c r="F26" s="4">
        <f>Hotel!R31</f>
        <v>1830</v>
      </c>
      <c r="G26" s="4">
        <f>Hotel!S31</f>
        <v>2790</v>
      </c>
      <c r="H26" s="4">
        <f>Hotel!T31</f>
        <v>1380</v>
      </c>
      <c r="I26" s="4">
        <f>Hotel!U31</f>
        <v>5300</v>
      </c>
      <c r="J26" s="4">
        <f>Hotel!V31</f>
        <v>3910</v>
      </c>
      <c r="K26" s="4">
        <f>Hotel!W31</f>
        <v>2830</v>
      </c>
      <c r="L26" s="4">
        <f>Hotel!X31</f>
        <v>4590</v>
      </c>
      <c r="M26" s="4">
        <f>Hotel!Y31</f>
        <v>5500</v>
      </c>
      <c r="N26" s="4">
        <f>Hotel!Z31</f>
        <v>2460</v>
      </c>
      <c r="O26" s="4">
        <f>Hotel!AA31</f>
        <v>3050</v>
      </c>
      <c r="P26" s="4">
        <f>Hotel!AB31</f>
        <v>7340</v>
      </c>
      <c r="Q26" s="4">
        <f>Hotel!AC31</f>
        <v>11330</v>
      </c>
      <c r="R26" s="4">
        <f>Hotel!AT31</f>
        <v>0</v>
      </c>
      <c r="S26" s="4">
        <f>Hotel!BA31</f>
        <v>0</v>
      </c>
      <c r="T26" s="4">
        <f>Hotel!AX31</f>
        <v>0</v>
      </c>
      <c r="U26" s="4">
        <f>Hotel!B31</f>
        <v>82</v>
      </c>
    </row>
    <row r="27" spans="1:21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980</v>
      </c>
      <c r="F27" s="4">
        <f>Hotel!R32</f>
        <v>1810</v>
      </c>
      <c r="G27" s="4">
        <f>Hotel!S32</f>
        <v>2720</v>
      </c>
      <c r="H27" s="4">
        <f>Hotel!T32</f>
        <v>1400</v>
      </c>
      <c r="I27" s="4">
        <f>Hotel!U32</f>
        <v>5270</v>
      </c>
      <c r="J27" s="4">
        <f>Hotel!V32</f>
        <v>4040</v>
      </c>
      <c r="K27" s="4">
        <f>Hotel!W32</f>
        <v>3020</v>
      </c>
      <c r="L27" s="4">
        <f>Hotel!X32</f>
        <v>4600</v>
      </c>
      <c r="M27" s="4">
        <f>Hotel!Y32</f>
        <v>5650</v>
      </c>
      <c r="N27" s="4">
        <f>Hotel!Z32</f>
        <v>2550</v>
      </c>
      <c r="O27" s="4">
        <f>Hotel!AA32</f>
        <v>3030</v>
      </c>
      <c r="P27" s="4">
        <f>Hotel!AB32</f>
        <v>7340</v>
      </c>
      <c r="Q27" s="4">
        <f>Hotel!AC32</f>
        <v>11960</v>
      </c>
      <c r="R27" s="4">
        <f>Hotel!AT32</f>
        <v>0</v>
      </c>
      <c r="S27" s="4">
        <f>Hotel!BA32</f>
        <v>0</v>
      </c>
      <c r="T27" s="4">
        <f>Hotel!AX32</f>
        <v>0</v>
      </c>
      <c r="U27" s="4">
        <f>Hotel!B32</f>
        <v>105</v>
      </c>
    </row>
    <row r="28" spans="1:21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180</v>
      </c>
      <c r="F28" s="4">
        <f>Hotel!R33</f>
        <v>5370</v>
      </c>
      <c r="G28" s="4">
        <f>Hotel!S33</f>
        <v>1300</v>
      </c>
      <c r="H28" s="4">
        <f>Hotel!T33</f>
        <v>1390</v>
      </c>
      <c r="I28" s="4">
        <f>Hotel!U33</f>
        <v>5090</v>
      </c>
      <c r="J28" s="4">
        <f>Hotel!V33</f>
        <v>4060</v>
      </c>
      <c r="K28" s="4">
        <f>Hotel!W33</f>
        <v>3160</v>
      </c>
      <c r="L28" s="4">
        <f>Hotel!X33</f>
        <v>4680</v>
      </c>
      <c r="M28" s="4">
        <f>Hotel!Y33</f>
        <v>5720</v>
      </c>
      <c r="N28" s="4">
        <f>Hotel!Z33</f>
        <v>2480</v>
      </c>
      <c r="O28" s="4">
        <f>Hotel!AA33</f>
        <v>2430</v>
      </c>
      <c r="P28" s="4">
        <f>Hotel!AB33</f>
        <v>7280</v>
      </c>
      <c r="Q28" s="4">
        <f>Hotel!AC33</f>
        <v>12300</v>
      </c>
      <c r="R28" s="4">
        <f>Hotel!AT33</f>
        <v>0</v>
      </c>
      <c r="S28" s="4">
        <f>Hotel!BA33</f>
        <v>381.92700000000002</v>
      </c>
      <c r="T28" s="4">
        <f>Hotel!AX33</f>
        <v>0</v>
      </c>
      <c r="U28" s="4">
        <f>Hotel!B33</f>
        <v>97</v>
      </c>
    </row>
    <row r="29" spans="1:21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560</v>
      </c>
      <c r="F29" s="4">
        <f>Hotel!R34</f>
        <v>9210</v>
      </c>
      <c r="G29" s="4">
        <f>Hotel!S34</f>
        <v>30</v>
      </c>
      <c r="H29" s="4">
        <f>Hotel!T34</f>
        <v>1420</v>
      </c>
      <c r="I29" s="4">
        <f>Hotel!U34</f>
        <v>5550</v>
      </c>
      <c r="J29" s="4">
        <f>Hotel!V34</f>
        <v>4150</v>
      </c>
      <c r="K29" s="4">
        <f>Hotel!W34</f>
        <v>3080</v>
      </c>
      <c r="L29" s="4">
        <f>Hotel!X34</f>
        <v>5540</v>
      </c>
      <c r="M29" s="4">
        <f>Hotel!Y34</f>
        <v>5730</v>
      </c>
      <c r="N29" s="4">
        <f>Hotel!Z34</f>
        <v>2450</v>
      </c>
      <c r="O29" s="4">
        <f>Hotel!AA34</f>
        <v>3170</v>
      </c>
      <c r="P29" s="4">
        <f>Hotel!AB34</f>
        <v>7390</v>
      </c>
      <c r="Q29" s="4">
        <f>Hotel!AC34</f>
        <v>15290</v>
      </c>
      <c r="R29" s="4">
        <f>Hotel!AT34</f>
        <v>0</v>
      </c>
      <c r="S29" s="4">
        <f>Hotel!BA34</f>
        <v>408.13499999999999</v>
      </c>
      <c r="T29" s="4">
        <f>Hotel!AX34</f>
        <v>0</v>
      </c>
      <c r="U29" s="4">
        <f>Hotel!B34</f>
        <v>81</v>
      </c>
    </row>
    <row r="30" spans="1:21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550</v>
      </c>
      <c r="F30" s="4">
        <f>Hotel!R35</f>
        <v>8840</v>
      </c>
      <c r="G30" s="4">
        <f>Hotel!S35</f>
        <v>0</v>
      </c>
      <c r="H30" s="4">
        <f>Hotel!T35</f>
        <v>1380</v>
      </c>
      <c r="I30" s="4">
        <f>Hotel!U35</f>
        <v>5720</v>
      </c>
      <c r="J30" s="4">
        <f>Hotel!V35</f>
        <v>4310</v>
      </c>
      <c r="K30" s="4">
        <f>Hotel!W35</f>
        <v>3030</v>
      </c>
      <c r="L30" s="4">
        <f>Hotel!X35</f>
        <v>4930</v>
      </c>
      <c r="M30" s="4">
        <f>Hotel!Y35</f>
        <v>5720</v>
      </c>
      <c r="N30" s="4">
        <f>Hotel!Z35</f>
        <v>2370</v>
      </c>
      <c r="O30" s="4">
        <f>Hotel!AA35</f>
        <v>3140</v>
      </c>
      <c r="P30" s="4">
        <f>Hotel!AB35</f>
        <v>7260</v>
      </c>
      <c r="Q30" s="4">
        <f>Hotel!AC35</f>
        <v>13680</v>
      </c>
      <c r="R30" s="4">
        <f>Hotel!AT35</f>
        <v>0</v>
      </c>
      <c r="S30" s="4">
        <f>Hotel!BA35</f>
        <v>382.2</v>
      </c>
      <c r="T30" s="4">
        <f>Hotel!AX35</f>
        <v>0</v>
      </c>
      <c r="U30" s="4">
        <f>Hotel!B35</f>
        <v>104</v>
      </c>
    </row>
    <row r="31" spans="1:21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560</v>
      </c>
      <c r="F31" s="4">
        <f>Hotel!R36</f>
        <v>9080</v>
      </c>
      <c r="G31" s="4">
        <f>Hotel!S36</f>
        <v>0</v>
      </c>
      <c r="H31" s="4">
        <f>Hotel!T36</f>
        <v>1390</v>
      </c>
      <c r="I31" s="4">
        <f>Hotel!U36</f>
        <v>5620</v>
      </c>
      <c r="J31" s="4">
        <f>Hotel!V36</f>
        <v>4210</v>
      </c>
      <c r="K31" s="4">
        <f>Hotel!W36</f>
        <v>2950</v>
      </c>
      <c r="L31" s="4">
        <f>Hotel!X36</f>
        <v>5230</v>
      </c>
      <c r="M31" s="4">
        <f>Hotel!Y36</f>
        <v>5860</v>
      </c>
      <c r="N31" s="4">
        <f>Hotel!Z36</f>
        <v>2600</v>
      </c>
      <c r="O31" s="4">
        <f>Hotel!AA36</f>
        <v>3390</v>
      </c>
      <c r="P31" s="4">
        <f>Hotel!AB36</f>
        <v>7360</v>
      </c>
      <c r="Q31" s="4">
        <f>Hotel!AC36</f>
        <v>12070</v>
      </c>
      <c r="R31" s="4">
        <f>Hotel!AT36</f>
        <v>0</v>
      </c>
      <c r="S31" s="4">
        <f>Hotel!BA36</f>
        <v>273</v>
      </c>
      <c r="T31" s="4">
        <f>Hotel!AX36</f>
        <v>0</v>
      </c>
      <c r="U31" s="4">
        <f>Hotel!B36</f>
        <v>115</v>
      </c>
    </row>
    <row r="32" spans="1:21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560</v>
      </c>
      <c r="F32" s="4">
        <f>Hotel!R37</f>
        <v>9170</v>
      </c>
      <c r="G32" s="4">
        <f>Hotel!S37</f>
        <v>0</v>
      </c>
      <c r="H32" s="4">
        <f>Hotel!T37</f>
        <v>1390</v>
      </c>
      <c r="I32" s="4">
        <f>Hotel!U37</f>
        <v>6350</v>
      </c>
      <c r="J32" s="4">
        <f>Hotel!V37</f>
        <v>4340</v>
      </c>
      <c r="K32" s="4">
        <f>Hotel!W37</f>
        <v>3280</v>
      </c>
      <c r="L32" s="4">
        <f>Hotel!X37</f>
        <v>5190</v>
      </c>
      <c r="M32" s="4">
        <f>Hotel!Y37</f>
        <v>6240</v>
      </c>
      <c r="N32" s="4">
        <f>Hotel!Z37</f>
        <v>2870</v>
      </c>
      <c r="O32" s="4">
        <f>Hotel!AA37</f>
        <v>3630</v>
      </c>
      <c r="P32" s="4">
        <f>Hotel!AB37</f>
        <v>7560</v>
      </c>
      <c r="Q32" s="4">
        <f>Hotel!AC37</f>
        <v>12350</v>
      </c>
      <c r="R32" s="4">
        <f>Hotel!AT37</f>
        <v>0</v>
      </c>
      <c r="S32" s="4">
        <f>Hotel!BA37</f>
        <v>379.197</v>
      </c>
      <c r="T32" s="4">
        <f>Hotel!AX37</f>
        <v>0</v>
      </c>
      <c r="U32" s="4">
        <f>Hotel!B37</f>
        <v>250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B19" zoomScale="93" zoomScaleNormal="93" workbookViewId="0">
      <selection activeCell="BA38" sqref="BA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52" customWidth="1"/>
    <col min="47" max="47" width="7.28515625" customWidth="1"/>
    <col min="48" max="50" width="11.85546875" style="55" customWidth="1"/>
    <col min="51" max="51" width="11.85546875" style="70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44895</v>
      </c>
      <c r="B2" s="40">
        <v>126</v>
      </c>
      <c r="C2" s="48">
        <v>8638730</v>
      </c>
      <c r="D2" s="48">
        <v>21019990</v>
      </c>
      <c r="E2" s="48">
        <v>3832480</v>
      </c>
      <c r="F2" s="48">
        <v>4373490</v>
      </c>
      <c r="G2" s="48">
        <v>12908600</v>
      </c>
      <c r="H2" s="48">
        <v>7653630</v>
      </c>
      <c r="I2" s="48">
        <v>6629410</v>
      </c>
      <c r="J2" s="48">
        <v>8268170</v>
      </c>
      <c r="K2" s="48">
        <v>11994680</v>
      </c>
      <c r="L2" s="48">
        <v>5235560</v>
      </c>
      <c r="M2" s="48">
        <v>9562520</v>
      </c>
      <c r="N2" s="48">
        <v>15903170</v>
      </c>
      <c r="O2" s="48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6"/>
      <c r="AW2" s="56"/>
      <c r="AX2" s="56"/>
      <c r="AY2" s="71">
        <v>345994</v>
      </c>
    </row>
    <row r="4" spans="1:54" ht="20.25" customHeight="1" x14ac:dyDescent="0.25">
      <c r="A4" s="26" t="s">
        <v>22</v>
      </c>
      <c r="B4" s="41" t="s">
        <v>47</v>
      </c>
      <c r="C4" s="27" t="s">
        <v>49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52</v>
      </c>
      <c r="AV4" s="69" t="s">
        <v>54</v>
      </c>
      <c r="AW4" s="69" t="s">
        <v>56</v>
      </c>
      <c r="AX4" s="69" t="s">
        <v>57</v>
      </c>
      <c r="AY4" s="72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72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6">
        <v>298912</v>
      </c>
      <c r="AW6" s="56"/>
      <c r="AX6" s="56" t="s">
        <v>58</v>
      </c>
      <c r="AY6" s="71">
        <v>345994</v>
      </c>
    </row>
    <row r="7" spans="1:54" x14ac:dyDescent="0.25">
      <c r="A7" s="23">
        <v>44896</v>
      </c>
      <c r="B7" s="40">
        <v>170</v>
      </c>
      <c r="C7" s="48">
        <v>8639350</v>
      </c>
      <c r="D7" s="48">
        <v>21021850</v>
      </c>
      <c r="E7" s="48">
        <v>3836450</v>
      </c>
      <c r="F7" s="48">
        <v>4374970</v>
      </c>
      <c r="G7" s="48">
        <v>12914210</v>
      </c>
      <c r="H7" s="48">
        <v>7657730</v>
      </c>
      <c r="I7" s="48">
        <v>6632390</v>
      </c>
      <c r="J7" s="48">
        <v>8272690</v>
      </c>
      <c r="K7" s="48">
        <v>12000450</v>
      </c>
      <c r="L7" s="48">
        <v>5238080</v>
      </c>
      <c r="M7" s="48">
        <v>9565700</v>
      </c>
      <c r="N7" s="48">
        <v>15911100</v>
      </c>
      <c r="O7" s="48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T7" s="53"/>
      <c r="AV7" s="57">
        <v>0</v>
      </c>
      <c r="AW7" s="56">
        <f t="shared" ref="AW7:AW39" si="14">(AV8-AV7)*1000</f>
        <v>0</v>
      </c>
      <c r="AX7" s="58">
        <f>AW7*$AX$44</f>
        <v>0</v>
      </c>
      <c r="AY7" s="73">
        <v>347760</v>
      </c>
      <c r="AZ7" s="37">
        <f>(IF((AY7-AY6&lt;0),"0",AY7-AY6))*100</f>
        <v>176600</v>
      </c>
      <c r="BA7" s="37">
        <f>AZ7*$AZ$44*60%</f>
        <v>482.11800000000005</v>
      </c>
      <c r="BB7" s="51">
        <f>BA7*0.4444</f>
        <v>214.25323920000002</v>
      </c>
    </row>
    <row r="8" spans="1:54" x14ac:dyDescent="0.25">
      <c r="A8" s="23">
        <v>44897</v>
      </c>
      <c r="B8" s="40">
        <v>182</v>
      </c>
      <c r="C8" s="49">
        <v>8639930</v>
      </c>
      <c r="D8" s="49">
        <v>21023700</v>
      </c>
      <c r="E8" s="49">
        <v>3839990</v>
      </c>
      <c r="F8" s="49">
        <v>4376440</v>
      </c>
      <c r="G8" s="49">
        <v>12920160</v>
      </c>
      <c r="H8" s="49">
        <v>7661850</v>
      </c>
      <c r="I8" s="49">
        <v>6635650</v>
      </c>
      <c r="J8" s="49">
        <v>8277300</v>
      </c>
      <c r="K8" s="49">
        <v>12006490</v>
      </c>
      <c r="L8" s="49">
        <v>5240820</v>
      </c>
      <c r="M8" s="49">
        <v>9569080</v>
      </c>
      <c r="N8" s="49">
        <v>15918860</v>
      </c>
      <c r="O8" s="49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T8" s="53"/>
      <c r="AV8" s="57">
        <v>0</v>
      </c>
      <c r="AW8" s="56">
        <f t="shared" si="14"/>
        <v>0</v>
      </c>
      <c r="AX8" s="58">
        <f t="shared" ref="AX8:AX39" si="17">AW8*$AX$44</f>
        <v>0</v>
      </c>
      <c r="AY8" s="71">
        <v>349160</v>
      </c>
      <c r="AZ8" s="37">
        <f t="shared" ref="AZ8:AZ38" si="18">(IF((AY8-AY7&lt;0),"0",AY8-AY7))*100</f>
        <v>140000</v>
      </c>
      <c r="BA8" s="37">
        <f t="shared" ref="BA8:BA39" si="19">AZ8*$AZ$44*60%</f>
        <v>382.2</v>
      </c>
      <c r="BB8" s="51">
        <f t="shared" ref="BB8:BB38" si="20">BA8*0.4444</f>
        <v>169.84968000000001</v>
      </c>
    </row>
    <row r="9" spans="1:54" x14ac:dyDescent="0.25">
      <c r="A9" s="23">
        <v>44898</v>
      </c>
      <c r="B9" s="40">
        <v>99</v>
      </c>
      <c r="C9" s="49">
        <v>8640510</v>
      </c>
      <c r="D9" s="49">
        <v>21025530</v>
      </c>
      <c r="E9" s="49">
        <v>3843270</v>
      </c>
      <c r="F9" s="49">
        <v>4377890</v>
      </c>
      <c r="G9" s="49">
        <v>12926030</v>
      </c>
      <c r="H9" s="49">
        <v>7665930</v>
      </c>
      <c r="I9" s="49">
        <v>6638650</v>
      </c>
      <c r="J9" s="49">
        <v>8281860</v>
      </c>
      <c r="K9" s="49">
        <v>12012380</v>
      </c>
      <c r="L9" s="49">
        <v>5243420</v>
      </c>
      <c r="M9" s="49">
        <v>9572320</v>
      </c>
      <c r="N9" s="49">
        <v>15928740</v>
      </c>
      <c r="O9" s="49">
        <v>22294110</v>
      </c>
      <c r="Q9" s="37">
        <f t="shared" ref="Q9:Q30" si="21">IF((C9-C8&lt;0), "0",C9-C8)</f>
        <v>580</v>
      </c>
      <c r="R9" s="37">
        <f t="shared" ref="R9:R37" si="22">IF((D9-D8&lt;0), "0",D9-D8)</f>
        <v>1830</v>
      </c>
      <c r="S9" s="37">
        <f t="shared" si="16"/>
        <v>3280</v>
      </c>
      <c r="T9" s="37">
        <f t="shared" ref="T9:T35" si="23">IF((F9-F8&lt;0), "0",F9-F8)</f>
        <v>1450</v>
      </c>
      <c r="U9" s="37">
        <f t="shared" ref="U9:U35" si="24">IF((G9-G8&lt;0), "0",G9-G8)</f>
        <v>5870</v>
      </c>
      <c r="V9" s="37">
        <f t="shared" ref="V9:V35" si="25">IF((H9-H8&lt;0), "0",H9-H8)</f>
        <v>4080</v>
      </c>
      <c r="W9" s="37">
        <f t="shared" ref="W9:W35" si="26">IF((I9-I8&lt;0), "0",I9-I8)</f>
        <v>3000</v>
      </c>
      <c r="X9" s="37">
        <f t="shared" ref="X9:X37" si="27">IF((J9-J8&lt;0), "0",J9-J8)</f>
        <v>4560</v>
      </c>
      <c r="Y9" s="37">
        <f t="shared" ref="Y9:Y35" si="28">IF((K9-K8&lt;0), "0",K9-K8)</f>
        <v>5890</v>
      </c>
      <c r="Z9" s="37">
        <f t="shared" ref="Z9:Z35" si="29">IF((L9-L8&lt;0), "0",L9-L8)</f>
        <v>2600</v>
      </c>
      <c r="AA9" s="37">
        <f t="shared" ref="AA9:AA35" si="30">IF((M9-M8&lt;0), "0",M9-M8)</f>
        <v>3240</v>
      </c>
      <c r="AB9" s="37">
        <f t="shared" ref="AB9:AB37" si="31">IF((N9-N8&lt;0), "0",N9-N8)</f>
        <v>9880</v>
      </c>
      <c r="AC9" s="37">
        <f t="shared" ref="AC9:AC37" si="32">IF((O9-O8&lt;0), "0",O9-O8)</f>
        <v>15790</v>
      </c>
      <c r="AD9" s="35">
        <f t="shared" ref="AD9:AD37" si="33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4">SUM(AF9:AR9)</f>
        <v>310.25</v>
      </c>
      <c r="AT9" s="53"/>
      <c r="AV9" s="57">
        <v>0</v>
      </c>
      <c r="AW9" s="56">
        <f t="shared" si="14"/>
        <v>0</v>
      </c>
      <c r="AX9" s="58">
        <f t="shared" si="17"/>
        <v>0</v>
      </c>
      <c r="AY9" s="71">
        <v>351000</v>
      </c>
      <c r="AZ9" s="37">
        <f t="shared" si="18"/>
        <v>184000</v>
      </c>
      <c r="BA9" s="37">
        <f t="shared" si="19"/>
        <v>502.32</v>
      </c>
      <c r="BB9" s="51">
        <f t="shared" si="20"/>
        <v>223.231008</v>
      </c>
    </row>
    <row r="10" spans="1:54" x14ac:dyDescent="0.25">
      <c r="A10" s="23">
        <v>44899</v>
      </c>
      <c r="B10" s="40">
        <v>86</v>
      </c>
      <c r="C10" s="48">
        <v>8641100</v>
      </c>
      <c r="D10" s="48">
        <v>21027400</v>
      </c>
      <c r="E10" s="48">
        <v>3846330</v>
      </c>
      <c r="F10" s="48">
        <v>4379380</v>
      </c>
      <c r="G10" s="48">
        <v>12931390</v>
      </c>
      <c r="H10" s="48">
        <v>7670020</v>
      </c>
      <c r="I10" s="48">
        <v>6641420</v>
      </c>
      <c r="J10" s="48">
        <v>8286100</v>
      </c>
      <c r="K10" s="48">
        <v>12018070</v>
      </c>
      <c r="L10" s="48">
        <v>5245860</v>
      </c>
      <c r="M10" s="48">
        <v>9575480</v>
      </c>
      <c r="N10" s="48">
        <v>15934440</v>
      </c>
      <c r="O10" s="48">
        <v>22302660</v>
      </c>
      <c r="Q10" s="37">
        <f t="shared" si="21"/>
        <v>590</v>
      </c>
      <c r="R10" s="37">
        <f t="shared" si="22"/>
        <v>1870</v>
      </c>
      <c r="S10" s="37">
        <f t="shared" si="16"/>
        <v>3060</v>
      </c>
      <c r="T10" s="37">
        <f t="shared" si="23"/>
        <v>1490</v>
      </c>
      <c r="U10" s="37">
        <f t="shared" si="24"/>
        <v>5360</v>
      </c>
      <c r="V10" s="37">
        <f t="shared" si="25"/>
        <v>4090</v>
      </c>
      <c r="W10" s="37">
        <f t="shared" si="26"/>
        <v>2770</v>
      </c>
      <c r="X10" s="37">
        <f t="shared" si="27"/>
        <v>4240</v>
      </c>
      <c r="Y10" s="37">
        <f t="shared" si="28"/>
        <v>5690</v>
      </c>
      <c r="Z10" s="37">
        <f t="shared" si="29"/>
        <v>2440</v>
      </c>
      <c r="AA10" s="37">
        <f t="shared" si="30"/>
        <v>3160</v>
      </c>
      <c r="AB10" s="37">
        <f t="shared" si="31"/>
        <v>5700</v>
      </c>
      <c r="AC10" s="37">
        <f t="shared" si="32"/>
        <v>8550</v>
      </c>
      <c r="AD10" s="35">
        <f t="shared" si="33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4"/>
        <v>245.05</v>
      </c>
      <c r="AT10" s="53"/>
      <c r="AV10" s="57">
        <v>0</v>
      </c>
      <c r="AW10" s="56">
        <f t="shared" si="14"/>
        <v>0</v>
      </c>
      <c r="AX10" s="58">
        <f t="shared" si="17"/>
        <v>0</v>
      </c>
      <c r="AY10" s="73">
        <v>352809</v>
      </c>
      <c r="AZ10" s="37">
        <f t="shared" si="18"/>
        <v>180900</v>
      </c>
      <c r="BA10" s="37">
        <f t="shared" si="19"/>
        <v>493.85699999999997</v>
      </c>
      <c r="BB10" s="51">
        <f t="shared" si="20"/>
        <v>219.4700508</v>
      </c>
    </row>
    <row r="11" spans="1:54" x14ac:dyDescent="0.25">
      <c r="A11" s="23">
        <v>44900</v>
      </c>
      <c r="B11" s="40">
        <v>126</v>
      </c>
      <c r="C11" s="48">
        <v>8641690</v>
      </c>
      <c r="D11" s="48">
        <v>21029250</v>
      </c>
      <c r="E11" s="48">
        <v>3849280</v>
      </c>
      <c r="F11" s="48">
        <v>4380810</v>
      </c>
      <c r="G11" s="48">
        <v>12936550</v>
      </c>
      <c r="H11" s="48">
        <v>7674000</v>
      </c>
      <c r="I11" s="48">
        <v>6644280</v>
      </c>
      <c r="J11" s="48">
        <v>8290900</v>
      </c>
      <c r="K11" s="48">
        <v>12023550</v>
      </c>
      <c r="L11" s="48">
        <v>5248270</v>
      </c>
      <c r="M11" s="48">
        <v>9578610</v>
      </c>
      <c r="N11" s="48">
        <v>15942150</v>
      </c>
      <c r="O11" s="48">
        <v>22313910</v>
      </c>
      <c r="Q11" s="37">
        <f t="shared" si="21"/>
        <v>590</v>
      </c>
      <c r="R11" s="37">
        <f t="shared" si="22"/>
        <v>1850</v>
      </c>
      <c r="S11" s="37">
        <f t="shared" si="16"/>
        <v>2950</v>
      </c>
      <c r="T11" s="37">
        <f t="shared" si="23"/>
        <v>1430</v>
      </c>
      <c r="U11" s="37">
        <f t="shared" si="24"/>
        <v>5160</v>
      </c>
      <c r="V11" s="37">
        <f t="shared" si="25"/>
        <v>3980</v>
      </c>
      <c r="W11" s="37">
        <f t="shared" si="26"/>
        <v>2860</v>
      </c>
      <c r="X11" s="37">
        <f t="shared" si="27"/>
        <v>4800</v>
      </c>
      <c r="Y11" s="37">
        <f t="shared" si="28"/>
        <v>5480</v>
      </c>
      <c r="Z11" s="37">
        <f t="shared" si="29"/>
        <v>2410</v>
      </c>
      <c r="AA11" s="37">
        <f t="shared" si="30"/>
        <v>3130</v>
      </c>
      <c r="AB11" s="37">
        <f t="shared" si="31"/>
        <v>7710</v>
      </c>
      <c r="AC11" s="37">
        <f t="shared" si="32"/>
        <v>11250</v>
      </c>
      <c r="AD11" s="35">
        <f t="shared" si="33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4"/>
        <v>268</v>
      </c>
      <c r="AT11" s="53"/>
      <c r="AV11" s="57">
        <v>0</v>
      </c>
      <c r="AW11" s="56">
        <f t="shared" si="14"/>
        <v>0</v>
      </c>
      <c r="AX11" s="58">
        <f t="shared" si="17"/>
        <v>0</v>
      </c>
      <c r="AY11" s="73">
        <v>354574</v>
      </c>
      <c r="AZ11" s="37">
        <f t="shared" si="18"/>
        <v>176500</v>
      </c>
      <c r="BA11" s="37">
        <f t="shared" si="19"/>
        <v>481.84500000000003</v>
      </c>
      <c r="BB11" s="51">
        <f t="shared" si="20"/>
        <v>214.13191800000001</v>
      </c>
    </row>
    <row r="12" spans="1:54" x14ac:dyDescent="0.25">
      <c r="A12" s="23">
        <v>44901</v>
      </c>
      <c r="B12" s="40">
        <v>130</v>
      </c>
      <c r="C12" s="49">
        <v>8642270</v>
      </c>
      <c r="D12" s="49">
        <v>21031090</v>
      </c>
      <c r="E12" s="49">
        <v>3852080</v>
      </c>
      <c r="F12" s="49">
        <v>4382220</v>
      </c>
      <c r="G12" s="49">
        <v>12941770</v>
      </c>
      <c r="H12" s="49">
        <v>7677880</v>
      </c>
      <c r="I12" s="49">
        <v>6647620</v>
      </c>
      <c r="J12" s="49">
        <v>8295730</v>
      </c>
      <c r="K12" s="49">
        <v>12029060</v>
      </c>
      <c r="L12" s="49">
        <v>5250630</v>
      </c>
      <c r="M12" s="49">
        <v>9581350</v>
      </c>
      <c r="N12" s="49">
        <v>15949880</v>
      </c>
      <c r="O12" s="49">
        <v>22325120</v>
      </c>
      <c r="Q12" s="37">
        <f t="shared" si="21"/>
        <v>580</v>
      </c>
      <c r="R12" s="37">
        <f t="shared" si="22"/>
        <v>1840</v>
      </c>
      <c r="S12" s="37">
        <f t="shared" si="16"/>
        <v>2800</v>
      </c>
      <c r="T12" s="37">
        <f t="shared" ref="T12:W14" si="35">IF((F12-F11&lt;0), "0",F12-F11)</f>
        <v>1410</v>
      </c>
      <c r="U12" s="37">
        <f t="shared" si="35"/>
        <v>5220</v>
      </c>
      <c r="V12" s="37">
        <f t="shared" si="35"/>
        <v>3880</v>
      </c>
      <c r="W12" s="37">
        <f t="shared" si="35"/>
        <v>3340</v>
      </c>
      <c r="X12" s="37">
        <f t="shared" si="27"/>
        <v>4830</v>
      </c>
      <c r="Y12" s="37">
        <f t="shared" si="28"/>
        <v>5510</v>
      </c>
      <c r="Z12" s="37">
        <f>IF((L12-L11&lt;0), "0",L12-L11)</f>
        <v>2360</v>
      </c>
      <c r="AA12" s="37">
        <f t="shared" si="30"/>
        <v>2740</v>
      </c>
      <c r="AB12" s="37">
        <f t="shared" si="31"/>
        <v>7730</v>
      </c>
      <c r="AC12" s="37">
        <f t="shared" si="32"/>
        <v>11210</v>
      </c>
      <c r="AD12" s="35">
        <f t="shared" si="33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4"/>
        <v>267.25</v>
      </c>
      <c r="AT12" s="53"/>
      <c r="AV12" s="57">
        <v>0</v>
      </c>
      <c r="AW12" s="56">
        <f t="shared" si="14"/>
        <v>0</v>
      </c>
      <c r="AX12" s="58">
        <f t="shared" si="17"/>
        <v>0</v>
      </c>
      <c r="AY12" s="71">
        <v>355266</v>
      </c>
      <c r="AZ12" s="37">
        <f t="shared" si="18"/>
        <v>69200</v>
      </c>
      <c r="BA12" s="37">
        <f t="shared" si="19"/>
        <v>188.916</v>
      </c>
      <c r="BB12" s="51">
        <f t="shared" si="20"/>
        <v>83.954270399999999</v>
      </c>
    </row>
    <row r="13" spans="1:54" x14ac:dyDescent="0.25">
      <c r="A13" s="23">
        <v>44902</v>
      </c>
      <c r="B13" s="40">
        <v>109</v>
      </c>
      <c r="C13" s="49">
        <v>8642850</v>
      </c>
      <c r="D13" s="49">
        <v>21032920</v>
      </c>
      <c r="E13" s="49">
        <v>3855070</v>
      </c>
      <c r="F13" s="49">
        <v>4383640</v>
      </c>
      <c r="G13" s="49">
        <v>12947560</v>
      </c>
      <c r="H13" s="49">
        <v>7681960</v>
      </c>
      <c r="I13" s="49">
        <v>6650920</v>
      </c>
      <c r="J13" s="49">
        <v>8300510</v>
      </c>
      <c r="K13" s="49">
        <v>12034750</v>
      </c>
      <c r="L13" s="49">
        <v>5253080</v>
      </c>
      <c r="M13" s="49">
        <v>9584660</v>
      </c>
      <c r="N13" s="49">
        <v>15957520</v>
      </c>
      <c r="O13" s="49">
        <v>22336280</v>
      </c>
      <c r="Q13" s="37">
        <f t="shared" si="21"/>
        <v>580</v>
      </c>
      <c r="R13" s="37">
        <f t="shared" si="22"/>
        <v>1830</v>
      </c>
      <c r="S13" s="37">
        <f t="shared" si="16"/>
        <v>2990</v>
      </c>
      <c r="T13" s="37">
        <f t="shared" si="35"/>
        <v>1420</v>
      </c>
      <c r="U13" s="37">
        <f t="shared" si="35"/>
        <v>5790</v>
      </c>
      <c r="V13" s="37">
        <f t="shared" si="35"/>
        <v>4080</v>
      </c>
      <c r="W13" s="37">
        <f t="shared" si="35"/>
        <v>3300</v>
      </c>
      <c r="X13" s="37">
        <f t="shared" si="27"/>
        <v>4780</v>
      </c>
      <c r="Y13" s="37">
        <f t="shared" si="28"/>
        <v>5690</v>
      </c>
      <c r="Z13" s="37">
        <f>IF((L13-L12&lt;0), "0",L13-L12)</f>
        <v>2450</v>
      </c>
      <c r="AA13" s="37">
        <f t="shared" si="30"/>
        <v>3310</v>
      </c>
      <c r="AB13" s="37">
        <f t="shared" si="31"/>
        <v>7640</v>
      </c>
      <c r="AC13" s="37">
        <f t="shared" si="32"/>
        <v>11160</v>
      </c>
      <c r="AD13" s="35">
        <f t="shared" si="33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4"/>
        <v>275.10000000000002</v>
      </c>
      <c r="AT13" s="53"/>
      <c r="AV13" s="57">
        <v>0</v>
      </c>
      <c r="AW13" s="56">
        <f t="shared" si="14"/>
        <v>0</v>
      </c>
      <c r="AX13" s="58">
        <f t="shared" si="17"/>
        <v>0</v>
      </c>
      <c r="AY13" s="74">
        <v>355780</v>
      </c>
      <c r="AZ13" s="37">
        <f t="shared" si="18"/>
        <v>51400</v>
      </c>
      <c r="BA13" s="37">
        <f t="shared" si="19"/>
        <v>140.322</v>
      </c>
      <c r="BB13" s="51">
        <f t="shared" si="20"/>
        <v>62.359096800000003</v>
      </c>
    </row>
    <row r="14" spans="1:54" x14ac:dyDescent="0.25">
      <c r="A14" s="23">
        <v>44903</v>
      </c>
      <c r="B14" s="40">
        <v>159</v>
      </c>
      <c r="C14" s="48">
        <v>8643440</v>
      </c>
      <c r="D14" s="48">
        <v>21034800</v>
      </c>
      <c r="E14" s="48">
        <v>3858150</v>
      </c>
      <c r="F14" s="48">
        <v>4385090</v>
      </c>
      <c r="G14" s="48">
        <v>12953260</v>
      </c>
      <c r="H14" s="48">
        <v>7686210</v>
      </c>
      <c r="I14" s="48">
        <v>6654490</v>
      </c>
      <c r="J14" s="48">
        <v>8305470</v>
      </c>
      <c r="K14" s="48">
        <v>12040730</v>
      </c>
      <c r="L14" s="48">
        <v>5255680</v>
      </c>
      <c r="M14" s="48">
        <v>9588240</v>
      </c>
      <c r="N14" s="48">
        <v>15965410</v>
      </c>
      <c r="O14" s="48">
        <v>22348840</v>
      </c>
      <c r="P14" s="47"/>
      <c r="Q14" s="37">
        <f t="shared" si="21"/>
        <v>590</v>
      </c>
      <c r="R14" s="37">
        <f t="shared" si="22"/>
        <v>1880</v>
      </c>
      <c r="S14" s="37">
        <f t="shared" si="16"/>
        <v>3080</v>
      </c>
      <c r="T14" s="37">
        <f t="shared" si="35"/>
        <v>1450</v>
      </c>
      <c r="U14" s="37">
        <f t="shared" si="35"/>
        <v>5700</v>
      </c>
      <c r="V14" s="37">
        <f t="shared" si="35"/>
        <v>4250</v>
      </c>
      <c r="W14" s="37">
        <f t="shared" si="35"/>
        <v>3570</v>
      </c>
      <c r="X14" s="37">
        <f t="shared" si="27"/>
        <v>4960</v>
      </c>
      <c r="Y14" s="37">
        <f t="shared" si="28"/>
        <v>5980</v>
      </c>
      <c r="Z14" s="37">
        <f>IF((L14-L13&lt;0), "0",L14-L13)</f>
        <v>2600</v>
      </c>
      <c r="AA14" s="37">
        <f t="shared" si="30"/>
        <v>3580</v>
      </c>
      <c r="AB14" s="37">
        <f t="shared" si="31"/>
        <v>7890</v>
      </c>
      <c r="AC14" s="37">
        <f t="shared" si="32"/>
        <v>12560</v>
      </c>
      <c r="AD14" s="35">
        <f t="shared" si="33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4"/>
        <v>290.45</v>
      </c>
      <c r="AT14" s="53"/>
      <c r="AV14" s="57">
        <v>0</v>
      </c>
      <c r="AW14" s="56">
        <f t="shared" si="14"/>
        <v>0</v>
      </c>
      <c r="AX14" s="58">
        <f t="shared" si="17"/>
        <v>0</v>
      </c>
      <c r="AY14" s="73">
        <v>355780</v>
      </c>
      <c r="AZ14" s="37">
        <f t="shared" si="18"/>
        <v>0</v>
      </c>
      <c r="BA14" s="37">
        <f t="shared" si="19"/>
        <v>0</v>
      </c>
      <c r="BB14" s="51">
        <f t="shared" si="20"/>
        <v>0</v>
      </c>
    </row>
    <row r="15" spans="1:54" x14ac:dyDescent="0.25">
      <c r="A15" s="23">
        <v>44904</v>
      </c>
      <c r="B15" s="40">
        <v>124</v>
      </c>
      <c r="C15" s="49">
        <v>8644030</v>
      </c>
      <c r="D15" s="49">
        <v>21036650</v>
      </c>
      <c r="E15" s="49">
        <v>3861100</v>
      </c>
      <c r="F15" s="49">
        <v>4386520</v>
      </c>
      <c r="G15" s="49">
        <v>12959580</v>
      </c>
      <c r="H15" s="49">
        <v>7690430</v>
      </c>
      <c r="I15" s="49">
        <v>6657790</v>
      </c>
      <c r="J15" s="49">
        <v>8310240</v>
      </c>
      <c r="K15" s="49">
        <v>12046810</v>
      </c>
      <c r="L15" s="49">
        <v>5258300</v>
      </c>
      <c r="M15" s="49">
        <v>9591880</v>
      </c>
      <c r="N15" s="49">
        <v>15973270</v>
      </c>
      <c r="O15" s="49">
        <v>22362390</v>
      </c>
      <c r="Q15" s="37">
        <f t="shared" si="21"/>
        <v>590</v>
      </c>
      <c r="R15" s="37">
        <f t="shared" si="22"/>
        <v>1850</v>
      </c>
      <c r="S15" s="37">
        <f t="shared" si="16"/>
        <v>2950</v>
      </c>
      <c r="T15" s="37">
        <f t="shared" si="23"/>
        <v>1430</v>
      </c>
      <c r="U15" s="37">
        <f t="shared" si="24"/>
        <v>6320</v>
      </c>
      <c r="V15" s="37">
        <f t="shared" si="25"/>
        <v>4220</v>
      </c>
      <c r="W15" s="37">
        <f t="shared" si="26"/>
        <v>3300</v>
      </c>
      <c r="X15" s="37">
        <f t="shared" si="27"/>
        <v>4770</v>
      </c>
      <c r="Y15" s="37">
        <f t="shared" si="28"/>
        <v>6080</v>
      </c>
      <c r="Z15" s="37">
        <f t="shared" si="29"/>
        <v>2620</v>
      </c>
      <c r="AA15" s="37">
        <f t="shared" si="30"/>
        <v>3640</v>
      </c>
      <c r="AB15" s="37">
        <f t="shared" si="31"/>
        <v>7860</v>
      </c>
      <c r="AC15" s="37">
        <f t="shared" si="32"/>
        <v>13550</v>
      </c>
      <c r="AD15" s="35">
        <f t="shared" si="33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4"/>
        <v>295.89999999999998</v>
      </c>
      <c r="AT15" s="53"/>
      <c r="AV15" s="57">
        <v>0</v>
      </c>
      <c r="AW15" s="56">
        <f t="shared" si="14"/>
        <v>0</v>
      </c>
      <c r="AX15" s="58">
        <f t="shared" si="17"/>
        <v>0</v>
      </c>
      <c r="AY15" s="71">
        <v>355780</v>
      </c>
      <c r="AZ15" s="37">
        <f t="shared" si="18"/>
        <v>0</v>
      </c>
      <c r="BA15" s="37">
        <f t="shared" si="19"/>
        <v>0</v>
      </c>
      <c r="BB15" s="51">
        <f t="shared" si="20"/>
        <v>0</v>
      </c>
    </row>
    <row r="16" spans="1:54" x14ac:dyDescent="0.25">
      <c r="A16" s="23">
        <v>44905</v>
      </c>
      <c r="B16" s="40">
        <v>76</v>
      </c>
      <c r="C16" s="49">
        <v>8644610</v>
      </c>
      <c r="D16" s="49">
        <v>21038500</v>
      </c>
      <c r="E16" s="49">
        <v>3863920</v>
      </c>
      <c r="F16" s="49">
        <v>4387950</v>
      </c>
      <c r="G16" s="49">
        <v>12965490</v>
      </c>
      <c r="H16" s="49">
        <v>7694620</v>
      </c>
      <c r="I16" s="49">
        <v>6661020</v>
      </c>
      <c r="J16" s="49">
        <v>8315010</v>
      </c>
      <c r="K16" s="49">
        <v>12052600</v>
      </c>
      <c r="L16" s="49">
        <v>5260750</v>
      </c>
      <c r="M16" s="49">
        <v>9595350</v>
      </c>
      <c r="N16" s="49">
        <v>15981010</v>
      </c>
      <c r="O16" s="49">
        <v>22375750</v>
      </c>
      <c r="Q16" s="37">
        <f t="shared" si="21"/>
        <v>580</v>
      </c>
      <c r="R16" s="37">
        <f t="shared" si="22"/>
        <v>1850</v>
      </c>
      <c r="S16" s="37">
        <f t="shared" si="16"/>
        <v>2820</v>
      </c>
      <c r="T16" s="37">
        <f t="shared" si="23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6"/>
        <v>3230</v>
      </c>
      <c r="X16" s="37">
        <f t="shared" si="27"/>
        <v>4770</v>
      </c>
      <c r="Y16" s="37">
        <f t="shared" si="28"/>
        <v>5790</v>
      </c>
      <c r="Z16" s="37">
        <f t="shared" si="29"/>
        <v>2450</v>
      </c>
      <c r="AA16" s="37">
        <f t="shared" si="30"/>
        <v>3470</v>
      </c>
      <c r="AB16" s="37">
        <f t="shared" si="31"/>
        <v>7740</v>
      </c>
      <c r="AC16" s="37">
        <f t="shared" si="32"/>
        <v>13360</v>
      </c>
      <c r="AD16" s="35">
        <f t="shared" si="33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4"/>
        <v>287.95</v>
      </c>
      <c r="AT16" s="53"/>
      <c r="AV16" s="57">
        <v>0</v>
      </c>
      <c r="AW16" s="56">
        <f t="shared" si="14"/>
        <v>0</v>
      </c>
      <c r="AX16" s="58">
        <f t="shared" si="17"/>
        <v>0</v>
      </c>
      <c r="AY16" s="71">
        <v>355780</v>
      </c>
      <c r="AZ16" s="37">
        <f t="shared" si="18"/>
        <v>0</v>
      </c>
      <c r="BA16" s="37">
        <f t="shared" si="19"/>
        <v>0</v>
      </c>
      <c r="BB16" s="51">
        <f t="shared" si="20"/>
        <v>0</v>
      </c>
    </row>
    <row r="17" spans="1:54" x14ac:dyDescent="0.25">
      <c r="A17" s="23">
        <v>44906</v>
      </c>
      <c r="B17" s="40">
        <v>77</v>
      </c>
      <c r="C17" s="48">
        <v>8645200</v>
      </c>
      <c r="D17" s="48">
        <v>21040350</v>
      </c>
      <c r="E17" s="48">
        <v>3866650</v>
      </c>
      <c r="F17" s="48">
        <v>4389370</v>
      </c>
      <c r="G17" s="48">
        <v>12970950</v>
      </c>
      <c r="H17" s="48">
        <v>7698690</v>
      </c>
      <c r="I17" s="48">
        <v>6664400</v>
      </c>
      <c r="J17" s="48">
        <v>8319500</v>
      </c>
      <c r="K17" s="48">
        <v>12058090</v>
      </c>
      <c r="L17" s="48">
        <v>5263090</v>
      </c>
      <c r="M17" s="48">
        <v>9598640</v>
      </c>
      <c r="N17" s="48">
        <v>15988840</v>
      </c>
      <c r="O17" s="48">
        <v>22388440</v>
      </c>
      <c r="Q17" s="37">
        <f t="shared" si="21"/>
        <v>590</v>
      </c>
      <c r="R17" s="37">
        <f t="shared" si="22"/>
        <v>1850</v>
      </c>
      <c r="S17" s="37">
        <f t="shared" si="16"/>
        <v>2730</v>
      </c>
      <c r="T17" s="37">
        <f t="shared" si="23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6"/>
        <v>3380</v>
      </c>
      <c r="X17" s="37">
        <f t="shared" si="27"/>
        <v>4490</v>
      </c>
      <c r="Y17" s="37">
        <f t="shared" si="28"/>
        <v>5490</v>
      </c>
      <c r="Z17" s="37">
        <f t="shared" si="29"/>
        <v>2340</v>
      </c>
      <c r="AA17" s="37">
        <f t="shared" si="30"/>
        <v>3290</v>
      </c>
      <c r="AB17" s="37">
        <f t="shared" si="31"/>
        <v>7830</v>
      </c>
      <c r="AC17" s="37">
        <f t="shared" si="32"/>
        <v>12690</v>
      </c>
      <c r="AD17" s="35">
        <f t="shared" si="33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4"/>
        <v>278.14999999999998</v>
      </c>
      <c r="AT17" s="53"/>
      <c r="AV17" s="57">
        <v>0</v>
      </c>
      <c r="AW17" s="56">
        <f t="shared" si="14"/>
        <v>0</v>
      </c>
      <c r="AX17" s="58">
        <f t="shared" si="17"/>
        <v>0</v>
      </c>
      <c r="AY17" s="71">
        <v>355780</v>
      </c>
      <c r="AZ17" s="37">
        <f t="shared" si="18"/>
        <v>0</v>
      </c>
      <c r="BA17" s="37">
        <f t="shared" si="19"/>
        <v>0</v>
      </c>
      <c r="BB17" s="51">
        <f t="shared" si="20"/>
        <v>0</v>
      </c>
    </row>
    <row r="18" spans="1:54" x14ac:dyDescent="0.25">
      <c r="A18" s="23">
        <v>44907</v>
      </c>
      <c r="B18" s="40">
        <v>79</v>
      </c>
      <c r="C18" s="49">
        <v>8645810</v>
      </c>
      <c r="D18" s="49">
        <v>21042270</v>
      </c>
      <c r="E18" s="49">
        <v>3869740</v>
      </c>
      <c r="F18" s="49">
        <v>4390850</v>
      </c>
      <c r="G18" s="49">
        <v>12976510</v>
      </c>
      <c r="H18" s="49">
        <v>7702810</v>
      </c>
      <c r="I18" s="49">
        <v>6668160</v>
      </c>
      <c r="J18" s="49">
        <v>8324640</v>
      </c>
      <c r="K18" s="49">
        <v>12063890</v>
      </c>
      <c r="L18" s="49">
        <v>5265420</v>
      </c>
      <c r="M18" s="49">
        <v>9601960</v>
      </c>
      <c r="N18" s="49">
        <v>15996770</v>
      </c>
      <c r="O18" s="49">
        <v>22399770</v>
      </c>
      <c r="Q18" s="37">
        <f t="shared" si="21"/>
        <v>610</v>
      </c>
      <c r="R18" s="37">
        <f t="shared" si="22"/>
        <v>1920</v>
      </c>
      <c r="S18" s="37">
        <f t="shared" si="16"/>
        <v>3090</v>
      </c>
      <c r="T18" s="37">
        <f t="shared" si="23"/>
        <v>1480</v>
      </c>
      <c r="U18" s="37">
        <f t="shared" si="24"/>
        <v>5560</v>
      </c>
      <c r="V18" s="37">
        <f t="shared" si="25"/>
        <v>4120</v>
      </c>
      <c r="W18" s="37">
        <f t="shared" si="26"/>
        <v>3760</v>
      </c>
      <c r="X18" s="37">
        <f t="shared" si="27"/>
        <v>5140</v>
      </c>
      <c r="Y18" s="37">
        <f t="shared" si="28"/>
        <v>5800</v>
      </c>
      <c r="Z18" s="37">
        <f t="shared" si="29"/>
        <v>2330</v>
      </c>
      <c r="AA18" s="37">
        <f t="shared" si="30"/>
        <v>3320</v>
      </c>
      <c r="AB18" s="37">
        <f t="shared" si="31"/>
        <v>7930</v>
      </c>
      <c r="AC18" s="37">
        <f t="shared" si="32"/>
        <v>11330</v>
      </c>
      <c r="AD18" s="35">
        <f t="shared" si="33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4"/>
        <v>281.95</v>
      </c>
      <c r="AT18" s="53"/>
      <c r="AV18" s="57">
        <v>0</v>
      </c>
      <c r="AW18" s="56">
        <f t="shared" si="14"/>
        <v>0</v>
      </c>
      <c r="AX18" s="58">
        <f t="shared" si="17"/>
        <v>0</v>
      </c>
      <c r="AY18" s="71">
        <v>355780</v>
      </c>
      <c r="AZ18" s="37">
        <f t="shared" si="18"/>
        <v>0</v>
      </c>
      <c r="BA18" s="37">
        <f t="shared" si="19"/>
        <v>0</v>
      </c>
      <c r="BB18" s="51">
        <f t="shared" si="20"/>
        <v>0</v>
      </c>
    </row>
    <row r="19" spans="1:54" x14ac:dyDescent="0.25">
      <c r="A19" s="23">
        <v>44908</v>
      </c>
      <c r="B19" s="40">
        <v>68</v>
      </c>
      <c r="C19" s="48">
        <v>8646380</v>
      </c>
      <c r="D19" s="48">
        <v>21044080</v>
      </c>
      <c r="E19" s="48">
        <v>3872790</v>
      </c>
      <c r="F19" s="48">
        <v>4392250</v>
      </c>
      <c r="G19" s="48">
        <v>12981410</v>
      </c>
      <c r="H19" s="48">
        <v>7706740</v>
      </c>
      <c r="I19" s="48">
        <v>6671440</v>
      </c>
      <c r="J19" s="48">
        <v>8329550</v>
      </c>
      <c r="K19" s="48">
        <v>12069570</v>
      </c>
      <c r="L19" s="48">
        <v>5267700</v>
      </c>
      <c r="M19" s="48">
        <v>9604460</v>
      </c>
      <c r="N19" s="48">
        <v>16004520</v>
      </c>
      <c r="O19" s="48">
        <v>22411480</v>
      </c>
      <c r="Q19" s="37">
        <f t="shared" si="21"/>
        <v>570</v>
      </c>
      <c r="R19" s="37">
        <f t="shared" si="22"/>
        <v>1810</v>
      </c>
      <c r="S19" s="37">
        <f t="shared" si="16"/>
        <v>3050</v>
      </c>
      <c r="T19" s="37">
        <f t="shared" si="23"/>
        <v>1400</v>
      </c>
      <c r="U19" s="37">
        <f t="shared" si="24"/>
        <v>4900</v>
      </c>
      <c r="V19" s="37">
        <f t="shared" si="25"/>
        <v>3930</v>
      </c>
      <c r="W19" s="37">
        <f t="shared" si="26"/>
        <v>3280</v>
      </c>
      <c r="X19" s="37">
        <f t="shared" si="27"/>
        <v>4910</v>
      </c>
      <c r="Y19" s="37">
        <f t="shared" si="28"/>
        <v>5680</v>
      </c>
      <c r="Z19" s="37">
        <f t="shared" si="29"/>
        <v>2280</v>
      </c>
      <c r="AA19" s="37">
        <f t="shared" si="30"/>
        <v>2500</v>
      </c>
      <c r="AB19" s="37">
        <f t="shared" si="31"/>
        <v>7750</v>
      </c>
      <c r="AC19" s="37">
        <f t="shared" si="32"/>
        <v>11710</v>
      </c>
      <c r="AD19" s="35">
        <f t="shared" si="33"/>
        <v>53770</v>
      </c>
      <c r="AF19" s="20">
        <f t="shared" si="1"/>
        <v>2.85</v>
      </c>
      <c r="AG19" s="20">
        <f t="shared" si="2"/>
        <v>9.0500000000000007</v>
      </c>
      <c r="AH19" s="20">
        <f t="shared" si="3"/>
        <v>15.25</v>
      </c>
      <c r="AI19" s="20">
        <f t="shared" si="4"/>
        <v>7</v>
      </c>
      <c r="AJ19" s="20">
        <f t="shared" si="5"/>
        <v>24.5</v>
      </c>
      <c r="AK19" s="20">
        <f t="shared" si="6"/>
        <v>19.650000000000002</v>
      </c>
      <c r="AL19" s="20">
        <f t="shared" si="7"/>
        <v>16.399999999999999</v>
      </c>
      <c r="AM19" s="20">
        <f t="shared" si="8"/>
        <v>24.55</v>
      </c>
      <c r="AN19" s="20">
        <f t="shared" si="9"/>
        <v>28.400000000000002</v>
      </c>
      <c r="AO19" s="20">
        <f t="shared" si="10"/>
        <v>11.4</v>
      </c>
      <c r="AP19" s="20">
        <f t="shared" si="11"/>
        <v>12.5</v>
      </c>
      <c r="AQ19" s="20">
        <f t="shared" si="12"/>
        <v>38.75</v>
      </c>
      <c r="AR19" s="20">
        <f t="shared" si="13"/>
        <v>58.550000000000004</v>
      </c>
      <c r="AS19" s="35">
        <f t="shared" si="34"/>
        <v>268.84999999999997</v>
      </c>
      <c r="AT19" s="53"/>
      <c r="AV19" s="57">
        <v>0</v>
      </c>
      <c r="AW19" s="56">
        <f t="shared" si="14"/>
        <v>0</v>
      </c>
      <c r="AX19" s="58">
        <f t="shared" si="17"/>
        <v>0</v>
      </c>
      <c r="AY19" s="71">
        <v>355780</v>
      </c>
      <c r="AZ19" s="37">
        <f t="shared" si="18"/>
        <v>0</v>
      </c>
      <c r="BA19" s="37">
        <f t="shared" si="19"/>
        <v>0</v>
      </c>
      <c r="BB19" s="51">
        <f t="shared" si="20"/>
        <v>0</v>
      </c>
    </row>
    <row r="20" spans="1:54" x14ac:dyDescent="0.25">
      <c r="A20" s="23">
        <v>44909</v>
      </c>
      <c r="B20" s="40">
        <v>70</v>
      </c>
      <c r="C20" s="49">
        <v>8646960</v>
      </c>
      <c r="D20" s="49">
        <v>21045800</v>
      </c>
      <c r="E20" s="49">
        <v>3875660</v>
      </c>
      <c r="F20" s="49">
        <v>4393620</v>
      </c>
      <c r="G20" s="49">
        <v>12986670</v>
      </c>
      <c r="H20" s="49">
        <v>7710670</v>
      </c>
      <c r="I20" s="49">
        <v>6674530</v>
      </c>
      <c r="J20" s="49">
        <v>8334200</v>
      </c>
      <c r="K20" s="49">
        <v>12075090</v>
      </c>
      <c r="L20" s="49">
        <v>5269990</v>
      </c>
      <c r="M20" s="49">
        <v>9607730</v>
      </c>
      <c r="N20" s="49">
        <v>16012060</v>
      </c>
      <c r="O20" s="49">
        <v>22424550</v>
      </c>
      <c r="Q20" s="37">
        <f t="shared" si="21"/>
        <v>580</v>
      </c>
      <c r="R20" s="37">
        <f t="shared" si="22"/>
        <v>1720</v>
      </c>
      <c r="S20" s="37">
        <f t="shared" si="16"/>
        <v>2870</v>
      </c>
      <c r="T20" s="37">
        <f t="shared" si="23"/>
        <v>1370</v>
      </c>
      <c r="U20" s="37">
        <f t="shared" si="24"/>
        <v>5260</v>
      </c>
      <c r="V20" s="37">
        <f t="shared" si="25"/>
        <v>3930</v>
      </c>
      <c r="W20" s="37">
        <f t="shared" si="26"/>
        <v>3090</v>
      </c>
      <c r="X20" s="37">
        <f t="shared" si="27"/>
        <v>4650</v>
      </c>
      <c r="Y20" s="37">
        <f t="shared" si="28"/>
        <v>5520</v>
      </c>
      <c r="Z20" s="37">
        <f t="shared" si="29"/>
        <v>2290</v>
      </c>
      <c r="AA20" s="37">
        <f t="shared" si="30"/>
        <v>3270</v>
      </c>
      <c r="AB20" s="37">
        <f t="shared" si="31"/>
        <v>7540</v>
      </c>
      <c r="AC20" s="37">
        <f t="shared" si="32"/>
        <v>13070</v>
      </c>
      <c r="AD20" s="35">
        <f t="shared" si="33"/>
        <v>55160</v>
      </c>
      <c r="AF20" s="20">
        <f t="shared" si="1"/>
        <v>2.9</v>
      </c>
      <c r="AG20" s="20">
        <f t="shared" si="2"/>
        <v>8.6</v>
      </c>
      <c r="AH20" s="20">
        <f t="shared" si="3"/>
        <v>14.35</v>
      </c>
      <c r="AI20" s="20">
        <f t="shared" si="4"/>
        <v>6.8500000000000005</v>
      </c>
      <c r="AJ20" s="20">
        <f t="shared" si="5"/>
        <v>26.3</v>
      </c>
      <c r="AK20" s="20">
        <f t="shared" si="6"/>
        <v>19.650000000000002</v>
      </c>
      <c r="AL20" s="20">
        <f t="shared" si="7"/>
        <v>15.450000000000001</v>
      </c>
      <c r="AM20" s="20">
        <f t="shared" si="8"/>
        <v>23.25</v>
      </c>
      <c r="AN20" s="20">
        <f t="shared" si="9"/>
        <v>27.6</v>
      </c>
      <c r="AO20" s="20">
        <f t="shared" si="10"/>
        <v>11.450000000000001</v>
      </c>
      <c r="AP20" s="20">
        <f t="shared" si="11"/>
        <v>16.350000000000001</v>
      </c>
      <c r="AQ20" s="20">
        <f t="shared" si="12"/>
        <v>37.700000000000003</v>
      </c>
      <c r="AR20" s="20">
        <f t="shared" si="13"/>
        <v>65.349999999999994</v>
      </c>
      <c r="AS20" s="35">
        <f t="shared" si="34"/>
        <v>275.79999999999995</v>
      </c>
      <c r="AT20" s="53"/>
      <c r="AV20" s="57">
        <v>0</v>
      </c>
      <c r="AW20" s="56">
        <f t="shared" si="14"/>
        <v>0</v>
      </c>
      <c r="AX20" s="58">
        <f t="shared" si="17"/>
        <v>0</v>
      </c>
      <c r="AY20" s="71">
        <v>355780</v>
      </c>
      <c r="AZ20" s="37">
        <f t="shared" si="18"/>
        <v>0</v>
      </c>
      <c r="BA20" s="37">
        <f t="shared" si="19"/>
        <v>0</v>
      </c>
      <c r="BB20" s="51">
        <f t="shared" si="20"/>
        <v>0</v>
      </c>
    </row>
    <row r="21" spans="1:54" x14ac:dyDescent="0.25">
      <c r="A21" s="23">
        <v>44910</v>
      </c>
      <c r="B21" s="40">
        <v>109</v>
      </c>
      <c r="C21" s="48">
        <v>8647550</v>
      </c>
      <c r="D21" s="48">
        <v>21047660</v>
      </c>
      <c r="E21" s="48">
        <v>3879080</v>
      </c>
      <c r="F21" s="48">
        <v>4395040</v>
      </c>
      <c r="G21" s="48">
        <v>12992210</v>
      </c>
      <c r="H21" s="48">
        <v>7715010</v>
      </c>
      <c r="I21" s="48">
        <v>6677870</v>
      </c>
      <c r="J21" s="48">
        <v>8338990</v>
      </c>
      <c r="K21" s="48">
        <v>12080970</v>
      </c>
      <c r="L21" s="48">
        <v>5272500</v>
      </c>
      <c r="M21" s="48">
        <v>9610850</v>
      </c>
      <c r="N21" s="48">
        <v>16019870</v>
      </c>
      <c r="O21" s="48">
        <v>22437100</v>
      </c>
      <c r="Q21" s="37">
        <f t="shared" si="21"/>
        <v>590</v>
      </c>
      <c r="R21" s="37">
        <f t="shared" si="22"/>
        <v>1860</v>
      </c>
      <c r="S21" s="37">
        <f t="shared" si="16"/>
        <v>3420</v>
      </c>
      <c r="T21" s="37">
        <f t="shared" si="23"/>
        <v>1420</v>
      </c>
      <c r="U21" s="37">
        <f t="shared" si="24"/>
        <v>5540</v>
      </c>
      <c r="V21" s="37">
        <f t="shared" si="25"/>
        <v>4340</v>
      </c>
      <c r="W21" s="37">
        <f t="shared" si="26"/>
        <v>3340</v>
      </c>
      <c r="X21" s="37">
        <f t="shared" si="27"/>
        <v>4790</v>
      </c>
      <c r="Y21" s="37">
        <f t="shared" si="28"/>
        <v>5880</v>
      </c>
      <c r="Z21" s="37">
        <f t="shared" si="29"/>
        <v>2510</v>
      </c>
      <c r="AA21" s="37">
        <f t="shared" si="30"/>
        <v>3120</v>
      </c>
      <c r="AB21" s="37">
        <f t="shared" si="31"/>
        <v>7810</v>
      </c>
      <c r="AC21" s="37">
        <f t="shared" si="32"/>
        <v>12550</v>
      </c>
      <c r="AD21" s="35">
        <f t="shared" si="33"/>
        <v>57170</v>
      </c>
      <c r="AF21" s="20">
        <f t="shared" si="1"/>
        <v>2.95</v>
      </c>
      <c r="AG21" s="20">
        <f t="shared" si="2"/>
        <v>9.3000000000000007</v>
      </c>
      <c r="AH21" s="20">
        <f t="shared" si="3"/>
        <v>17.100000000000001</v>
      </c>
      <c r="AI21" s="20">
        <f t="shared" si="4"/>
        <v>7.1000000000000005</v>
      </c>
      <c r="AJ21" s="20">
        <f t="shared" si="5"/>
        <v>27.7</v>
      </c>
      <c r="AK21" s="20">
        <f t="shared" si="6"/>
        <v>21.7</v>
      </c>
      <c r="AL21" s="20">
        <f t="shared" si="7"/>
        <v>16.7</v>
      </c>
      <c r="AM21" s="20">
        <f t="shared" si="8"/>
        <v>23.95</v>
      </c>
      <c r="AN21" s="20">
        <f t="shared" si="9"/>
        <v>29.400000000000002</v>
      </c>
      <c r="AO21" s="20">
        <f t="shared" si="10"/>
        <v>12.55</v>
      </c>
      <c r="AP21" s="20">
        <f t="shared" si="11"/>
        <v>15.6</v>
      </c>
      <c r="AQ21" s="20">
        <f t="shared" si="12"/>
        <v>39.050000000000004</v>
      </c>
      <c r="AR21" s="20">
        <f t="shared" si="13"/>
        <v>62.75</v>
      </c>
      <c r="AS21" s="35">
        <f t="shared" si="34"/>
        <v>285.85000000000002</v>
      </c>
      <c r="AT21" s="53"/>
      <c r="AV21" s="57">
        <v>0</v>
      </c>
      <c r="AW21" s="56">
        <f t="shared" si="14"/>
        <v>0</v>
      </c>
      <c r="AX21" s="58">
        <f t="shared" si="17"/>
        <v>0</v>
      </c>
      <c r="AY21" s="71">
        <v>355780</v>
      </c>
      <c r="AZ21" s="37">
        <f t="shared" si="18"/>
        <v>0</v>
      </c>
      <c r="BA21" s="37">
        <f t="shared" si="19"/>
        <v>0</v>
      </c>
      <c r="BB21" s="51">
        <f t="shared" si="20"/>
        <v>0</v>
      </c>
    </row>
    <row r="22" spans="1:54" x14ac:dyDescent="0.25">
      <c r="A22" s="23">
        <v>44911</v>
      </c>
      <c r="B22" s="40">
        <v>125</v>
      </c>
      <c r="C22" s="49">
        <v>8648140</v>
      </c>
      <c r="D22" s="49">
        <v>21049510</v>
      </c>
      <c r="E22" s="49">
        <v>3882380</v>
      </c>
      <c r="F22" s="49">
        <v>4396460</v>
      </c>
      <c r="G22" s="49">
        <v>12997700</v>
      </c>
      <c r="H22" s="49">
        <v>7719400</v>
      </c>
      <c r="I22" s="49">
        <v>6681050</v>
      </c>
      <c r="J22" s="49">
        <v>8343580</v>
      </c>
      <c r="K22" s="49">
        <v>12086970</v>
      </c>
      <c r="L22" s="49">
        <v>5275050</v>
      </c>
      <c r="M22" s="49">
        <v>9614120</v>
      </c>
      <c r="N22" s="49">
        <v>16027670</v>
      </c>
      <c r="O22" s="49">
        <v>22449240</v>
      </c>
      <c r="Q22" s="37">
        <f t="shared" si="21"/>
        <v>590</v>
      </c>
      <c r="R22" s="37">
        <f t="shared" si="22"/>
        <v>1850</v>
      </c>
      <c r="S22" s="37">
        <f t="shared" si="16"/>
        <v>3300</v>
      </c>
      <c r="T22" s="37">
        <f t="shared" si="23"/>
        <v>1420</v>
      </c>
      <c r="U22" s="37">
        <f t="shared" si="24"/>
        <v>5490</v>
      </c>
      <c r="V22" s="37">
        <f t="shared" si="25"/>
        <v>4390</v>
      </c>
      <c r="W22" s="37">
        <f t="shared" si="26"/>
        <v>3180</v>
      </c>
      <c r="X22" s="37">
        <f t="shared" si="27"/>
        <v>4590</v>
      </c>
      <c r="Y22" s="37">
        <f t="shared" si="28"/>
        <v>6000</v>
      </c>
      <c r="Z22" s="37">
        <f t="shared" si="29"/>
        <v>2550</v>
      </c>
      <c r="AA22" s="37">
        <f t="shared" si="30"/>
        <v>3270</v>
      </c>
      <c r="AB22" s="37">
        <f t="shared" si="31"/>
        <v>7800</v>
      </c>
      <c r="AC22" s="37">
        <f t="shared" si="32"/>
        <v>12140</v>
      </c>
      <c r="AD22" s="35">
        <f t="shared" si="33"/>
        <v>56570</v>
      </c>
      <c r="AF22" s="20">
        <f t="shared" si="1"/>
        <v>2.95</v>
      </c>
      <c r="AG22" s="20">
        <f t="shared" si="2"/>
        <v>9.25</v>
      </c>
      <c r="AH22" s="20">
        <f t="shared" si="3"/>
        <v>16.5</v>
      </c>
      <c r="AI22" s="20">
        <f t="shared" si="4"/>
        <v>7.1000000000000005</v>
      </c>
      <c r="AJ22" s="20">
        <f t="shared" si="5"/>
        <v>27.45</v>
      </c>
      <c r="AK22" s="20">
        <f t="shared" si="6"/>
        <v>21.95</v>
      </c>
      <c r="AL22" s="20">
        <f t="shared" si="7"/>
        <v>15.9</v>
      </c>
      <c r="AM22" s="20">
        <f t="shared" si="8"/>
        <v>22.95</v>
      </c>
      <c r="AN22" s="20">
        <f t="shared" si="9"/>
        <v>30</v>
      </c>
      <c r="AO22" s="20">
        <f t="shared" si="10"/>
        <v>12.75</v>
      </c>
      <c r="AP22" s="20">
        <f t="shared" si="11"/>
        <v>16.350000000000001</v>
      </c>
      <c r="AQ22" s="20">
        <f t="shared" si="12"/>
        <v>39</v>
      </c>
      <c r="AR22" s="20">
        <f t="shared" si="13"/>
        <v>60.7</v>
      </c>
      <c r="AS22" s="35">
        <f t="shared" si="34"/>
        <v>282.85000000000002</v>
      </c>
      <c r="AT22" s="53"/>
      <c r="AV22" s="57">
        <v>0</v>
      </c>
      <c r="AW22" s="56">
        <f t="shared" si="14"/>
        <v>0</v>
      </c>
      <c r="AX22" s="58">
        <f t="shared" si="17"/>
        <v>0</v>
      </c>
      <c r="AY22" s="71">
        <v>355780</v>
      </c>
      <c r="AZ22" s="37">
        <f t="shared" si="18"/>
        <v>0</v>
      </c>
      <c r="BA22" s="37">
        <f t="shared" si="19"/>
        <v>0</v>
      </c>
      <c r="BB22" s="51">
        <f t="shared" si="20"/>
        <v>0</v>
      </c>
    </row>
    <row r="23" spans="1:54" x14ac:dyDescent="0.25">
      <c r="A23" s="23">
        <v>44912</v>
      </c>
      <c r="B23" s="40">
        <v>99</v>
      </c>
      <c r="C23" s="24">
        <v>8648740</v>
      </c>
      <c r="D23" s="24">
        <v>21051390</v>
      </c>
      <c r="E23" s="24">
        <v>3885620</v>
      </c>
      <c r="F23" s="24">
        <v>4397910</v>
      </c>
      <c r="G23" s="24">
        <v>13003590</v>
      </c>
      <c r="H23" s="24">
        <v>7723960</v>
      </c>
      <c r="I23" s="24">
        <v>6684380</v>
      </c>
      <c r="J23" s="24">
        <v>8348250</v>
      </c>
      <c r="K23" s="24">
        <v>12092990</v>
      </c>
      <c r="L23" s="24">
        <v>5277680</v>
      </c>
      <c r="M23" s="24">
        <v>9617530</v>
      </c>
      <c r="N23" s="24">
        <v>16035560</v>
      </c>
      <c r="O23" s="24">
        <v>22463460</v>
      </c>
      <c r="Q23" s="37">
        <f t="shared" si="21"/>
        <v>600</v>
      </c>
      <c r="R23" s="37">
        <f t="shared" si="22"/>
        <v>1880</v>
      </c>
      <c r="S23" s="37">
        <f t="shared" si="16"/>
        <v>3240</v>
      </c>
      <c r="T23" s="37">
        <f t="shared" si="23"/>
        <v>1450</v>
      </c>
      <c r="U23" s="37">
        <f t="shared" si="24"/>
        <v>5890</v>
      </c>
      <c r="V23" s="37">
        <f t="shared" si="25"/>
        <v>4560</v>
      </c>
      <c r="W23" s="37">
        <f t="shared" si="26"/>
        <v>3330</v>
      </c>
      <c r="X23" s="37">
        <f t="shared" si="27"/>
        <v>4670</v>
      </c>
      <c r="Y23" s="37">
        <f t="shared" si="28"/>
        <v>6020</v>
      </c>
      <c r="Z23" s="37">
        <f t="shared" si="29"/>
        <v>2630</v>
      </c>
      <c r="AA23" s="37">
        <f t="shared" si="30"/>
        <v>3410</v>
      </c>
      <c r="AB23" s="37">
        <f t="shared" si="31"/>
        <v>7890</v>
      </c>
      <c r="AC23" s="37">
        <f t="shared" si="32"/>
        <v>14220</v>
      </c>
      <c r="AD23" s="35">
        <f t="shared" si="33"/>
        <v>59790</v>
      </c>
      <c r="AF23" s="20">
        <f t="shared" si="1"/>
        <v>3</v>
      </c>
      <c r="AG23" s="20">
        <f t="shared" si="2"/>
        <v>9.4</v>
      </c>
      <c r="AH23" s="20">
        <f t="shared" si="3"/>
        <v>16.2</v>
      </c>
      <c r="AI23" s="20">
        <f t="shared" si="4"/>
        <v>7.25</v>
      </c>
      <c r="AJ23" s="20">
        <f t="shared" si="5"/>
        <v>29.45</v>
      </c>
      <c r="AK23" s="20">
        <f t="shared" si="6"/>
        <v>22.8</v>
      </c>
      <c r="AL23" s="20">
        <f t="shared" si="7"/>
        <v>16.649999999999999</v>
      </c>
      <c r="AM23" s="20">
        <f t="shared" si="8"/>
        <v>23.35</v>
      </c>
      <c r="AN23" s="20">
        <f t="shared" si="9"/>
        <v>30.1</v>
      </c>
      <c r="AO23" s="20">
        <f t="shared" si="10"/>
        <v>13.15</v>
      </c>
      <c r="AP23" s="20">
        <f t="shared" si="11"/>
        <v>17.05</v>
      </c>
      <c r="AQ23" s="20">
        <f t="shared" si="12"/>
        <v>39.450000000000003</v>
      </c>
      <c r="AR23" s="20">
        <f t="shared" si="13"/>
        <v>71.100000000000009</v>
      </c>
      <c r="AS23" s="35">
        <f t="shared" si="34"/>
        <v>298.95000000000005</v>
      </c>
      <c r="AT23" s="53"/>
      <c r="AV23" s="57">
        <v>0</v>
      </c>
      <c r="AW23" s="56">
        <f t="shared" si="14"/>
        <v>0</v>
      </c>
      <c r="AX23" s="58">
        <f t="shared" si="17"/>
        <v>0</v>
      </c>
      <c r="AY23" s="71">
        <v>355780</v>
      </c>
      <c r="AZ23" s="37">
        <f t="shared" si="18"/>
        <v>0</v>
      </c>
      <c r="BA23" s="37">
        <f t="shared" si="19"/>
        <v>0</v>
      </c>
      <c r="BB23" s="51">
        <f t="shared" si="20"/>
        <v>0</v>
      </c>
    </row>
    <row r="24" spans="1:54" x14ac:dyDescent="0.25">
      <c r="A24" s="23">
        <v>44913</v>
      </c>
      <c r="B24" s="40">
        <v>67</v>
      </c>
      <c r="C24" s="49">
        <v>8649320</v>
      </c>
      <c r="D24" s="49">
        <v>21053220</v>
      </c>
      <c r="E24" s="49">
        <v>3888500</v>
      </c>
      <c r="F24" s="49">
        <v>4399290</v>
      </c>
      <c r="G24" s="49">
        <v>13009160</v>
      </c>
      <c r="H24" s="49">
        <v>7728260</v>
      </c>
      <c r="I24" s="49">
        <v>6687210</v>
      </c>
      <c r="J24" s="49">
        <v>8352420</v>
      </c>
      <c r="K24" s="49">
        <v>12098380</v>
      </c>
      <c r="L24" s="49">
        <v>5280130</v>
      </c>
      <c r="M24" s="49">
        <v>9620670</v>
      </c>
      <c r="N24" s="49">
        <v>16043010</v>
      </c>
      <c r="O24" s="49">
        <v>22476940</v>
      </c>
      <c r="Q24" s="37">
        <f t="shared" si="21"/>
        <v>580</v>
      </c>
      <c r="R24" s="37">
        <f t="shared" si="22"/>
        <v>1830</v>
      </c>
      <c r="S24" s="37">
        <f t="shared" si="16"/>
        <v>2880</v>
      </c>
      <c r="T24" s="37">
        <f t="shared" si="23"/>
        <v>1380</v>
      </c>
      <c r="U24" s="37">
        <f t="shared" si="24"/>
        <v>5570</v>
      </c>
      <c r="V24" s="37">
        <f t="shared" si="25"/>
        <v>4300</v>
      </c>
      <c r="W24" s="37">
        <f t="shared" si="26"/>
        <v>2830</v>
      </c>
      <c r="X24" s="37">
        <f t="shared" si="27"/>
        <v>4170</v>
      </c>
      <c r="Y24" s="37">
        <f t="shared" si="28"/>
        <v>5390</v>
      </c>
      <c r="Z24" s="37">
        <f t="shared" si="29"/>
        <v>2450</v>
      </c>
      <c r="AA24" s="37">
        <f t="shared" si="30"/>
        <v>3140</v>
      </c>
      <c r="AB24" s="37">
        <f t="shared" si="31"/>
        <v>7450</v>
      </c>
      <c r="AC24" s="37">
        <f t="shared" si="32"/>
        <v>13480</v>
      </c>
      <c r="AD24" s="35">
        <f t="shared" si="33"/>
        <v>55450</v>
      </c>
      <c r="AF24" s="20">
        <f t="shared" si="1"/>
        <v>2.9</v>
      </c>
      <c r="AG24" s="20">
        <f t="shared" si="2"/>
        <v>9.15</v>
      </c>
      <c r="AH24" s="20">
        <f t="shared" si="3"/>
        <v>14.4</v>
      </c>
      <c r="AI24" s="20">
        <f t="shared" si="4"/>
        <v>6.9</v>
      </c>
      <c r="AJ24" s="20">
        <f t="shared" si="5"/>
        <v>27.85</v>
      </c>
      <c r="AK24" s="20">
        <f t="shared" si="6"/>
        <v>21.5</v>
      </c>
      <c r="AL24" s="20">
        <f t="shared" si="7"/>
        <v>14.15</v>
      </c>
      <c r="AM24" s="20">
        <f t="shared" si="8"/>
        <v>20.85</v>
      </c>
      <c r="AN24" s="20">
        <f t="shared" si="9"/>
        <v>26.95</v>
      </c>
      <c r="AO24" s="20">
        <f t="shared" si="10"/>
        <v>12.25</v>
      </c>
      <c r="AP24" s="20">
        <f t="shared" si="11"/>
        <v>15.700000000000001</v>
      </c>
      <c r="AQ24" s="20">
        <f t="shared" si="12"/>
        <v>37.25</v>
      </c>
      <c r="AR24" s="20">
        <f t="shared" si="13"/>
        <v>67.400000000000006</v>
      </c>
      <c r="AS24" s="35">
        <f t="shared" si="34"/>
        <v>277.25</v>
      </c>
      <c r="AT24" s="53"/>
      <c r="AV24" s="57">
        <v>0</v>
      </c>
      <c r="AW24" s="56">
        <f t="shared" si="14"/>
        <v>0</v>
      </c>
      <c r="AX24" s="58">
        <f t="shared" si="17"/>
        <v>0</v>
      </c>
      <c r="AY24" s="71">
        <v>355780</v>
      </c>
      <c r="AZ24" s="37">
        <f t="shared" si="18"/>
        <v>0</v>
      </c>
      <c r="BA24" s="37">
        <f t="shared" si="19"/>
        <v>0</v>
      </c>
      <c r="BB24" s="51">
        <f t="shared" si="20"/>
        <v>0</v>
      </c>
    </row>
    <row r="25" spans="1:54" x14ac:dyDescent="0.25">
      <c r="A25" s="23">
        <v>44914</v>
      </c>
      <c r="B25" s="40">
        <v>72</v>
      </c>
      <c r="C25" s="24">
        <v>8649890</v>
      </c>
      <c r="D25" s="24">
        <v>21055020</v>
      </c>
      <c r="E25" s="24">
        <v>3891340</v>
      </c>
      <c r="F25" s="24">
        <v>4400650</v>
      </c>
      <c r="G25" s="24">
        <v>13014220</v>
      </c>
      <c r="H25" s="24">
        <v>7732360</v>
      </c>
      <c r="I25" s="24">
        <v>6690010</v>
      </c>
      <c r="J25" s="24">
        <v>8356860</v>
      </c>
      <c r="K25" s="24">
        <v>12103760</v>
      </c>
      <c r="L25" s="24">
        <v>5282470</v>
      </c>
      <c r="M25" s="24">
        <v>9623540</v>
      </c>
      <c r="N25" s="24">
        <v>16050250</v>
      </c>
      <c r="O25" s="24">
        <v>22489010</v>
      </c>
      <c r="Q25" s="37">
        <f t="shared" ref="Q25:AC27" si="36">IF((C25-C24&lt;0), "0",C25-C24)</f>
        <v>570</v>
      </c>
      <c r="R25" s="37">
        <f t="shared" si="22"/>
        <v>1800</v>
      </c>
      <c r="S25" s="37">
        <f t="shared" si="36"/>
        <v>2840</v>
      </c>
      <c r="T25" s="37">
        <f t="shared" si="36"/>
        <v>1360</v>
      </c>
      <c r="U25" s="37">
        <f t="shared" si="36"/>
        <v>5060</v>
      </c>
      <c r="V25" s="37">
        <f t="shared" si="36"/>
        <v>4100</v>
      </c>
      <c r="W25" s="37">
        <f t="shared" si="36"/>
        <v>2800</v>
      </c>
      <c r="X25" s="37">
        <f t="shared" si="36"/>
        <v>4440</v>
      </c>
      <c r="Y25" s="37">
        <f t="shared" si="36"/>
        <v>5380</v>
      </c>
      <c r="Z25" s="37">
        <f t="shared" si="36"/>
        <v>2340</v>
      </c>
      <c r="AA25" s="37">
        <f t="shared" si="36"/>
        <v>2870</v>
      </c>
      <c r="AB25" s="37">
        <f t="shared" si="36"/>
        <v>7240</v>
      </c>
      <c r="AC25" s="37">
        <f t="shared" si="36"/>
        <v>12070</v>
      </c>
      <c r="AD25" s="35">
        <f t="shared" si="33"/>
        <v>52870</v>
      </c>
      <c r="AF25" s="20">
        <f t="shared" si="1"/>
        <v>2.85</v>
      </c>
      <c r="AG25" s="20">
        <f t="shared" si="2"/>
        <v>9</v>
      </c>
      <c r="AH25" s="20">
        <f t="shared" si="3"/>
        <v>14.200000000000001</v>
      </c>
      <c r="AI25" s="20">
        <f t="shared" si="4"/>
        <v>6.8</v>
      </c>
      <c r="AJ25" s="20">
        <f t="shared" si="5"/>
        <v>25.3</v>
      </c>
      <c r="AK25" s="20">
        <f t="shared" si="6"/>
        <v>20.5</v>
      </c>
      <c r="AL25" s="20">
        <f t="shared" si="7"/>
        <v>14</v>
      </c>
      <c r="AM25" s="20">
        <f t="shared" si="8"/>
        <v>22.2</v>
      </c>
      <c r="AN25" s="20">
        <f t="shared" si="9"/>
        <v>26.900000000000002</v>
      </c>
      <c r="AO25" s="20">
        <f t="shared" si="10"/>
        <v>11.700000000000001</v>
      </c>
      <c r="AP25" s="20">
        <f t="shared" si="11"/>
        <v>14.35</v>
      </c>
      <c r="AQ25" s="20">
        <f t="shared" si="12"/>
        <v>36.200000000000003</v>
      </c>
      <c r="AR25" s="20">
        <f t="shared" si="13"/>
        <v>60.35</v>
      </c>
      <c r="AS25" s="35">
        <f t="shared" si="34"/>
        <v>264.35000000000002</v>
      </c>
      <c r="AT25" s="53"/>
      <c r="AV25" s="57">
        <v>0</v>
      </c>
      <c r="AW25" s="56">
        <f t="shared" si="14"/>
        <v>0</v>
      </c>
      <c r="AX25" s="58">
        <f t="shared" si="17"/>
        <v>0</v>
      </c>
      <c r="AY25" s="71">
        <v>355780</v>
      </c>
      <c r="AZ25" s="37">
        <f t="shared" si="18"/>
        <v>0</v>
      </c>
      <c r="BA25" s="37">
        <f t="shared" si="19"/>
        <v>0</v>
      </c>
      <c r="BB25" s="51">
        <f t="shared" si="20"/>
        <v>0</v>
      </c>
    </row>
    <row r="26" spans="1:54" x14ac:dyDescent="0.25">
      <c r="A26" s="23">
        <v>44915</v>
      </c>
      <c r="B26" s="40">
        <v>87</v>
      </c>
      <c r="C26" s="49">
        <v>8650480</v>
      </c>
      <c r="D26" s="49">
        <v>21056860</v>
      </c>
      <c r="E26" s="49">
        <v>3894230</v>
      </c>
      <c r="F26" s="49">
        <v>4402040</v>
      </c>
      <c r="G26" s="49">
        <v>13019070</v>
      </c>
      <c r="H26" s="49">
        <v>7736380</v>
      </c>
      <c r="I26" s="49">
        <v>6693070</v>
      </c>
      <c r="J26" s="49">
        <v>8361480</v>
      </c>
      <c r="K26" s="49">
        <v>12109460</v>
      </c>
      <c r="L26" s="49">
        <v>5284890</v>
      </c>
      <c r="M26" s="49">
        <v>9626070</v>
      </c>
      <c r="N26" s="49">
        <v>16057590</v>
      </c>
      <c r="O26" s="49">
        <v>22500800</v>
      </c>
      <c r="Q26" s="37">
        <f t="shared" si="36"/>
        <v>590</v>
      </c>
      <c r="R26" s="37">
        <f t="shared" si="22"/>
        <v>1840</v>
      </c>
      <c r="S26" s="37">
        <f t="shared" si="36"/>
        <v>2890</v>
      </c>
      <c r="T26" s="37">
        <f t="shared" si="36"/>
        <v>1390</v>
      </c>
      <c r="U26" s="37">
        <f t="shared" si="36"/>
        <v>4850</v>
      </c>
      <c r="V26" s="37">
        <f t="shared" si="36"/>
        <v>4020</v>
      </c>
      <c r="W26" s="37">
        <f t="shared" si="36"/>
        <v>3060</v>
      </c>
      <c r="X26" s="37">
        <f t="shared" si="36"/>
        <v>4620</v>
      </c>
      <c r="Y26" s="37">
        <f t="shared" si="36"/>
        <v>5700</v>
      </c>
      <c r="Z26" s="37">
        <f t="shared" si="36"/>
        <v>2420</v>
      </c>
      <c r="AA26" s="37">
        <f t="shared" si="36"/>
        <v>2530</v>
      </c>
      <c r="AB26" s="37">
        <f t="shared" si="36"/>
        <v>7340</v>
      </c>
      <c r="AC26" s="37">
        <f t="shared" si="36"/>
        <v>11790</v>
      </c>
      <c r="AD26" s="35">
        <f t="shared" si="33"/>
        <v>53040</v>
      </c>
      <c r="AF26" s="20">
        <f t="shared" si="1"/>
        <v>2.95</v>
      </c>
      <c r="AG26" s="20">
        <f t="shared" si="2"/>
        <v>9.2000000000000011</v>
      </c>
      <c r="AH26" s="20">
        <f t="shared" si="3"/>
        <v>14.450000000000001</v>
      </c>
      <c r="AI26" s="20">
        <f t="shared" si="4"/>
        <v>6.95</v>
      </c>
      <c r="AJ26" s="20">
        <f t="shared" si="5"/>
        <v>24.25</v>
      </c>
      <c r="AK26" s="20">
        <f t="shared" si="6"/>
        <v>20.100000000000001</v>
      </c>
      <c r="AL26" s="20">
        <f t="shared" si="7"/>
        <v>15.3</v>
      </c>
      <c r="AM26" s="20">
        <f t="shared" si="8"/>
        <v>23.1</v>
      </c>
      <c r="AN26" s="20">
        <f t="shared" si="9"/>
        <v>28.5</v>
      </c>
      <c r="AO26" s="20">
        <f t="shared" si="10"/>
        <v>12.1</v>
      </c>
      <c r="AP26" s="20">
        <f t="shared" si="11"/>
        <v>12.65</v>
      </c>
      <c r="AQ26" s="20">
        <f t="shared" si="12"/>
        <v>36.700000000000003</v>
      </c>
      <c r="AR26" s="20">
        <f t="shared" si="13"/>
        <v>58.95</v>
      </c>
      <c r="AS26" s="35">
        <f t="shared" si="34"/>
        <v>265.2</v>
      </c>
      <c r="AT26" s="53"/>
      <c r="AV26" s="57">
        <v>0</v>
      </c>
      <c r="AW26" s="56">
        <f t="shared" si="14"/>
        <v>0</v>
      </c>
      <c r="AX26" s="58">
        <f t="shared" si="17"/>
        <v>0</v>
      </c>
      <c r="AY26" s="71">
        <v>355780</v>
      </c>
      <c r="AZ26" s="37">
        <f t="shared" si="18"/>
        <v>0</v>
      </c>
      <c r="BA26" s="37">
        <f t="shared" si="19"/>
        <v>0</v>
      </c>
      <c r="BB26" s="51">
        <f t="shared" si="20"/>
        <v>0</v>
      </c>
    </row>
    <row r="27" spans="1:54" x14ac:dyDescent="0.25">
      <c r="A27" s="23">
        <v>44916</v>
      </c>
      <c r="B27" s="40">
        <v>112</v>
      </c>
      <c r="C27" s="24">
        <v>8651080</v>
      </c>
      <c r="D27" s="24">
        <v>21058750</v>
      </c>
      <c r="E27" s="24">
        <v>3897290</v>
      </c>
      <c r="F27" s="24">
        <v>4403470</v>
      </c>
      <c r="G27" s="24">
        <v>13024790</v>
      </c>
      <c r="H27" s="24">
        <v>7740520</v>
      </c>
      <c r="I27" s="24">
        <v>6696610</v>
      </c>
      <c r="J27" s="24">
        <v>8366450</v>
      </c>
      <c r="K27" s="24">
        <v>12115260</v>
      </c>
      <c r="L27" s="24">
        <v>5287420</v>
      </c>
      <c r="M27" s="24">
        <v>9629230</v>
      </c>
      <c r="N27" s="24">
        <v>16065120</v>
      </c>
      <c r="O27" s="24">
        <v>22512540</v>
      </c>
      <c r="Q27" s="37">
        <f t="shared" si="36"/>
        <v>600</v>
      </c>
      <c r="R27" s="37">
        <f t="shared" si="22"/>
        <v>1890</v>
      </c>
      <c r="S27" s="37">
        <f t="shared" si="36"/>
        <v>3060</v>
      </c>
      <c r="T27" s="37">
        <f t="shared" si="36"/>
        <v>1430</v>
      </c>
      <c r="U27" s="37">
        <f t="shared" si="36"/>
        <v>5720</v>
      </c>
      <c r="V27" s="37">
        <f t="shared" si="36"/>
        <v>4140</v>
      </c>
      <c r="W27" s="37">
        <f t="shared" si="36"/>
        <v>3540</v>
      </c>
      <c r="X27" s="37">
        <f t="shared" si="36"/>
        <v>4970</v>
      </c>
      <c r="Y27" s="37">
        <f t="shared" si="36"/>
        <v>5800</v>
      </c>
      <c r="Z27" s="37">
        <f t="shared" si="36"/>
        <v>2530</v>
      </c>
      <c r="AA27" s="37">
        <f t="shared" si="36"/>
        <v>3160</v>
      </c>
      <c r="AB27" s="37">
        <f t="shared" si="36"/>
        <v>7530</v>
      </c>
      <c r="AC27" s="37">
        <f t="shared" si="36"/>
        <v>11740</v>
      </c>
      <c r="AD27" s="35">
        <f t="shared" si="33"/>
        <v>56110</v>
      </c>
      <c r="AF27" s="20">
        <f t="shared" si="1"/>
        <v>3</v>
      </c>
      <c r="AG27" s="20">
        <f t="shared" si="2"/>
        <v>9.4500000000000011</v>
      </c>
      <c r="AH27" s="20">
        <f t="shared" si="3"/>
        <v>15.3</v>
      </c>
      <c r="AI27" s="20">
        <f t="shared" si="4"/>
        <v>7.15</v>
      </c>
      <c r="AJ27" s="20">
        <f t="shared" si="5"/>
        <v>28.6</v>
      </c>
      <c r="AK27" s="20">
        <f t="shared" si="6"/>
        <v>20.7</v>
      </c>
      <c r="AL27" s="20">
        <f t="shared" si="7"/>
        <v>17.7</v>
      </c>
      <c r="AM27" s="20">
        <f t="shared" si="8"/>
        <v>24.85</v>
      </c>
      <c r="AN27" s="20">
        <f t="shared" si="9"/>
        <v>29</v>
      </c>
      <c r="AO27" s="20">
        <f t="shared" si="10"/>
        <v>12.65</v>
      </c>
      <c r="AP27" s="20">
        <f t="shared" si="11"/>
        <v>15.8</v>
      </c>
      <c r="AQ27" s="20">
        <f t="shared" si="12"/>
        <v>37.65</v>
      </c>
      <c r="AR27" s="20">
        <f t="shared" si="13"/>
        <v>58.7</v>
      </c>
      <c r="AS27" s="35">
        <f t="shared" si="34"/>
        <v>280.55</v>
      </c>
      <c r="AT27" s="53"/>
      <c r="AV27" s="57">
        <v>0</v>
      </c>
      <c r="AW27" s="56">
        <f t="shared" si="14"/>
        <v>0</v>
      </c>
      <c r="AX27" s="58">
        <f t="shared" si="17"/>
        <v>0</v>
      </c>
      <c r="AY27" s="71">
        <v>355780</v>
      </c>
      <c r="AZ27" s="37">
        <f t="shared" si="18"/>
        <v>0</v>
      </c>
      <c r="BA27" s="37">
        <f t="shared" si="19"/>
        <v>0</v>
      </c>
      <c r="BB27" s="51">
        <f t="shared" si="20"/>
        <v>0</v>
      </c>
    </row>
    <row r="28" spans="1:54" x14ac:dyDescent="0.25">
      <c r="A28" s="23">
        <v>44917</v>
      </c>
      <c r="B28" s="40">
        <v>123</v>
      </c>
      <c r="C28" s="24">
        <v>8651660</v>
      </c>
      <c r="D28" s="24">
        <v>21060620</v>
      </c>
      <c r="E28" s="24">
        <v>3900640</v>
      </c>
      <c r="F28" s="24">
        <v>4404890</v>
      </c>
      <c r="G28" s="24">
        <v>13030360</v>
      </c>
      <c r="H28" s="24">
        <v>7744630</v>
      </c>
      <c r="I28" s="24">
        <v>6700220</v>
      </c>
      <c r="J28" s="24">
        <v>8371570</v>
      </c>
      <c r="K28" s="24">
        <v>12121250</v>
      </c>
      <c r="L28" s="24">
        <v>5289940</v>
      </c>
      <c r="M28" s="24">
        <v>9632390</v>
      </c>
      <c r="N28" s="24">
        <v>16072770</v>
      </c>
      <c r="O28" s="24">
        <v>22525100</v>
      </c>
      <c r="Q28" s="37">
        <f t="shared" si="21"/>
        <v>580</v>
      </c>
      <c r="R28" s="37">
        <f t="shared" si="22"/>
        <v>1870</v>
      </c>
      <c r="S28" s="37">
        <f t="shared" si="16"/>
        <v>3350</v>
      </c>
      <c r="T28" s="37">
        <f t="shared" si="23"/>
        <v>1420</v>
      </c>
      <c r="U28" s="37">
        <f t="shared" si="24"/>
        <v>5570</v>
      </c>
      <c r="V28" s="37">
        <f t="shared" si="25"/>
        <v>4110</v>
      </c>
      <c r="W28" s="37">
        <f t="shared" si="26"/>
        <v>3610</v>
      </c>
      <c r="X28" s="37">
        <f t="shared" si="27"/>
        <v>5120</v>
      </c>
      <c r="Y28" s="37">
        <f t="shared" si="28"/>
        <v>5990</v>
      </c>
      <c r="Z28" s="37">
        <f t="shared" si="29"/>
        <v>2520</v>
      </c>
      <c r="AA28" s="37">
        <f t="shared" si="30"/>
        <v>3160</v>
      </c>
      <c r="AB28" s="37">
        <f t="shared" si="31"/>
        <v>7650</v>
      </c>
      <c r="AC28" s="37">
        <f t="shared" si="32"/>
        <v>12560</v>
      </c>
      <c r="AD28" s="35">
        <f t="shared" si="33"/>
        <v>57510</v>
      </c>
      <c r="AF28" s="20">
        <f t="shared" si="1"/>
        <v>2.9</v>
      </c>
      <c r="AG28" s="20">
        <f t="shared" si="2"/>
        <v>9.35</v>
      </c>
      <c r="AH28" s="20">
        <f t="shared" si="3"/>
        <v>16.75</v>
      </c>
      <c r="AI28" s="20">
        <f t="shared" si="4"/>
        <v>7.1000000000000005</v>
      </c>
      <c r="AJ28" s="20">
        <f t="shared" si="5"/>
        <v>27.85</v>
      </c>
      <c r="AK28" s="20">
        <f t="shared" si="6"/>
        <v>20.55</v>
      </c>
      <c r="AL28" s="20">
        <f t="shared" si="7"/>
        <v>18.05</v>
      </c>
      <c r="AM28" s="20">
        <f t="shared" si="8"/>
        <v>25.6</v>
      </c>
      <c r="AN28" s="20">
        <f t="shared" si="9"/>
        <v>29.95</v>
      </c>
      <c r="AO28" s="20">
        <f t="shared" si="10"/>
        <v>12.6</v>
      </c>
      <c r="AP28" s="20">
        <f t="shared" si="11"/>
        <v>15.8</v>
      </c>
      <c r="AQ28" s="20">
        <f t="shared" si="12"/>
        <v>38.25</v>
      </c>
      <c r="AR28" s="20">
        <f t="shared" si="13"/>
        <v>62.800000000000004</v>
      </c>
      <c r="AS28" s="35">
        <f t="shared" si="34"/>
        <v>287.55</v>
      </c>
      <c r="AT28" s="53"/>
      <c r="AV28" s="57">
        <v>0</v>
      </c>
      <c r="AW28" s="56">
        <f t="shared" si="14"/>
        <v>0</v>
      </c>
      <c r="AX28" s="58">
        <f t="shared" si="17"/>
        <v>0</v>
      </c>
      <c r="AY28" s="71">
        <v>355780</v>
      </c>
      <c r="AZ28" s="37">
        <f t="shared" si="18"/>
        <v>0</v>
      </c>
      <c r="BA28" s="37">
        <f t="shared" si="19"/>
        <v>0</v>
      </c>
      <c r="BB28" s="51">
        <f t="shared" si="20"/>
        <v>0</v>
      </c>
    </row>
    <row r="29" spans="1:54" x14ac:dyDescent="0.25">
      <c r="A29" s="23">
        <v>44918</v>
      </c>
      <c r="B29" s="40">
        <v>134</v>
      </c>
      <c r="C29" s="50">
        <v>8652260</v>
      </c>
      <c r="D29" s="50">
        <v>21062520</v>
      </c>
      <c r="E29" s="50">
        <v>3903890</v>
      </c>
      <c r="F29" s="50">
        <v>4406330</v>
      </c>
      <c r="G29" s="50">
        <v>13036000</v>
      </c>
      <c r="H29" s="50">
        <v>7748810</v>
      </c>
      <c r="I29" s="50">
        <v>6703470</v>
      </c>
      <c r="J29" s="50">
        <v>8376520</v>
      </c>
      <c r="K29" s="50">
        <v>12127470</v>
      </c>
      <c r="L29" s="50">
        <v>5292590</v>
      </c>
      <c r="M29" s="50">
        <v>9635620</v>
      </c>
      <c r="N29" s="50">
        <v>16080570</v>
      </c>
      <c r="O29" s="50">
        <v>22538660</v>
      </c>
      <c r="Q29" s="37">
        <f t="shared" si="21"/>
        <v>600</v>
      </c>
      <c r="R29" s="37">
        <f t="shared" si="22"/>
        <v>1900</v>
      </c>
      <c r="S29" s="37">
        <f t="shared" si="16"/>
        <v>3250</v>
      </c>
      <c r="T29" s="37">
        <f t="shared" si="23"/>
        <v>1440</v>
      </c>
      <c r="U29" s="37">
        <f t="shared" si="24"/>
        <v>5640</v>
      </c>
      <c r="V29" s="37">
        <f t="shared" si="25"/>
        <v>4180</v>
      </c>
      <c r="W29" s="37">
        <f t="shared" si="26"/>
        <v>3250</v>
      </c>
      <c r="X29" s="37">
        <f t="shared" si="27"/>
        <v>4950</v>
      </c>
      <c r="Y29" s="37">
        <f t="shared" si="28"/>
        <v>6220</v>
      </c>
      <c r="Z29" s="37">
        <f t="shared" si="29"/>
        <v>2650</v>
      </c>
      <c r="AA29" s="37">
        <f t="shared" si="30"/>
        <v>3230</v>
      </c>
      <c r="AB29" s="37">
        <f t="shared" si="31"/>
        <v>7800</v>
      </c>
      <c r="AC29" s="37">
        <f t="shared" si="32"/>
        <v>13560</v>
      </c>
      <c r="AD29" s="35">
        <f t="shared" si="33"/>
        <v>58670</v>
      </c>
      <c r="AF29" s="20">
        <f t="shared" si="1"/>
        <v>3</v>
      </c>
      <c r="AG29" s="20">
        <f t="shared" si="2"/>
        <v>9.5</v>
      </c>
      <c r="AH29" s="20">
        <f t="shared" si="3"/>
        <v>16.25</v>
      </c>
      <c r="AI29" s="20">
        <f t="shared" si="4"/>
        <v>7.2</v>
      </c>
      <c r="AJ29" s="20">
        <f t="shared" si="5"/>
        <v>28.2</v>
      </c>
      <c r="AK29" s="20">
        <f t="shared" si="6"/>
        <v>20.900000000000002</v>
      </c>
      <c r="AL29" s="20">
        <f t="shared" si="7"/>
        <v>16.25</v>
      </c>
      <c r="AM29" s="20">
        <f t="shared" si="8"/>
        <v>24.75</v>
      </c>
      <c r="AN29" s="20">
        <f t="shared" si="9"/>
        <v>31.1</v>
      </c>
      <c r="AO29" s="20">
        <f t="shared" si="10"/>
        <v>13.25</v>
      </c>
      <c r="AP29" s="20">
        <f t="shared" si="11"/>
        <v>16.149999999999999</v>
      </c>
      <c r="AQ29" s="20">
        <f t="shared" si="12"/>
        <v>39</v>
      </c>
      <c r="AR29" s="20">
        <f t="shared" si="13"/>
        <v>67.8</v>
      </c>
      <c r="AS29" s="35">
        <f t="shared" si="34"/>
        <v>293.35000000000002</v>
      </c>
      <c r="AT29" s="53"/>
      <c r="AV29" s="57">
        <v>0</v>
      </c>
      <c r="AW29" s="56">
        <f t="shared" si="14"/>
        <v>0</v>
      </c>
      <c r="AX29" s="58">
        <f t="shared" si="17"/>
        <v>0</v>
      </c>
      <c r="AY29" s="71">
        <v>355780</v>
      </c>
      <c r="AZ29" s="37">
        <f t="shared" si="18"/>
        <v>0</v>
      </c>
      <c r="BA29" s="37">
        <f t="shared" si="19"/>
        <v>0</v>
      </c>
      <c r="BB29" s="51">
        <f t="shared" si="20"/>
        <v>0</v>
      </c>
    </row>
    <row r="30" spans="1:54" x14ac:dyDescent="0.25">
      <c r="A30" s="23">
        <v>44919</v>
      </c>
      <c r="B30" s="40">
        <v>88</v>
      </c>
      <c r="C30" s="49">
        <v>8652840</v>
      </c>
      <c r="D30" s="49">
        <v>21064360</v>
      </c>
      <c r="E30" s="49">
        <v>3906810</v>
      </c>
      <c r="F30" s="49">
        <v>4407720</v>
      </c>
      <c r="G30" s="49">
        <v>13041680</v>
      </c>
      <c r="H30" s="49">
        <v>7752930</v>
      </c>
      <c r="I30" s="49">
        <v>6706500</v>
      </c>
      <c r="J30" s="49">
        <v>8381420</v>
      </c>
      <c r="K30" s="49">
        <v>12133520</v>
      </c>
      <c r="L30" s="49">
        <v>5295170</v>
      </c>
      <c r="M30" s="49">
        <v>9638880</v>
      </c>
      <c r="N30" s="49">
        <v>16088070</v>
      </c>
      <c r="O30" s="49">
        <v>22552020</v>
      </c>
      <c r="Q30" s="37">
        <f t="shared" si="21"/>
        <v>580</v>
      </c>
      <c r="R30" s="37">
        <f t="shared" si="22"/>
        <v>1840</v>
      </c>
      <c r="S30" s="37">
        <f t="shared" si="16"/>
        <v>2920</v>
      </c>
      <c r="T30" s="37">
        <f t="shared" si="23"/>
        <v>1390</v>
      </c>
      <c r="U30" s="37">
        <f t="shared" si="24"/>
        <v>5680</v>
      </c>
      <c r="V30" s="37">
        <f t="shared" si="25"/>
        <v>4120</v>
      </c>
      <c r="W30" s="37">
        <f t="shared" si="26"/>
        <v>3030</v>
      </c>
      <c r="X30" s="37">
        <f t="shared" si="27"/>
        <v>4900</v>
      </c>
      <c r="Y30" s="37">
        <f t="shared" si="28"/>
        <v>6050</v>
      </c>
      <c r="Z30" s="37">
        <f t="shared" si="29"/>
        <v>2580</v>
      </c>
      <c r="AA30" s="37">
        <f t="shared" si="30"/>
        <v>3260</v>
      </c>
      <c r="AB30" s="37">
        <f t="shared" si="31"/>
        <v>7500</v>
      </c>
      <c r="AC30" s="37">
        <f t="shared" si="32"/>
        <v>13360</v>
      </c>
      <c r="AD30" s="35">
        <f t="shared" si="33"/>
        <v>57210</v>
      </c>
      <c r="AF30" s="20">
        <f t="shared" si="1"/>
        <v>2.9</v>
      </c>
      <c r="AG30" s="20">
        <f t="shared" si="2"/>
        <v>9.2000000000000011</v>
      </c>
      <c r="AH30" s="20">
        <f t="shared" si="3"/>
        <v>14.6</v>
      </c>
      <c r="AI30" s="20">
        <f t="shared" si="4"/>
        <v>6.95</v>
      </c>
      <c r="AJ30" s="20">
        <f t="shared" si="5"/>
        <v>28.400000000000002</v>
      </c>
      <c r="AK30" s="20">
        <f t="shared" si="6"/>
        <v>20.6</v>
      </c>
      <c r="AL30" s="20">
        <f t="shared" si="7"/>
        <v>15.15</v>
      </c>
      <c r="AM30" s="20">
        <f t="shared" si="8"/>
        <v>24.5</v>
      </c>
      <c r="AN30" s="20">
        <f t="shared" si="9"/>
        <v>30.25</v>
      </c>
      <c r="AO30" s="20">
        <f t="shared" si="10"/>
        <v>12.9</v>
      </c>
      <c r="AP30" s="20">
        <f t="shared" si="11"/>
        <v>16.3</v>
      </c>
      <c r="AQ30" s="20">
        <f t="shared" si="12"/>
        <v>37.5</v>
      </c>
      <c r="AR30" s="20">
        <f t="shared" si="13"/>
        <v>66.8</v>
      </c>
      <c r="AS30" s="35">
        <f t="shared" si="34"/>
        <v>286.05</v>
      </c>
      <c r="AT30" s="53"/>
      <c r="AV30" s="57">
        <v>0</v>
      </c>
      <c r="AW30" s="56">
        <f t="shared" si="14"/>
        <v>0</v>
      </c>
      <c r="AX30" s="58">
        <f t="shared" si="17"/>
        <v>0</v>
      </c>
      <c r="AY30" s="71">
        <v>355780</v>
      </c>
      <c r="AZ30" s="37">
        <f t="shared" si="18"/>
        <v>0</v>
      </c>
      <c r="BA30" s="37">
        <f t="shared" si="19"/>
        <v>0</v>
      </c>
      <c r="BB30" s="51">
        <f t="shared" si="20"/>
        <v>0</v>
      </c>
    </row>
    <row r="31" spans="1:54" x14ac:dyDescent="0.25">
      <c r="A31" s="23">
        <v>44920</v>
      </c>
      <c r="B31" s="40">
        <v>82</v>
      </c>
      <c r="C31" s="48">
        <v>8653420</v>
      </c>
      <c r="D31" s="48">
        <v>21066190</v>
      </c>
      <c r="E31" s="48">
        <v>3909600</v>
      </c>
      <c r="F31" s="48">
        <v>4409100</v>
      </c>
      <c r="G31" s="48">
        <v>13046980</v>
      </c>
      <c r="H31" s="48">
        <v>7756840</v>
      </c>
      <c r="I31" s="48">
        <v>6709330</v>
      </c>
      <c r="J31" s="48">
        <v>8386010</v>
      </c>
      <c r="K31" s="48">
        <v>12139020</v>
      </c>
      <c r="L31" s="48">
        <v>5297630</v>
      </c>
      <c r="M31" s="48">
        <v>9641930</v>
      </c>
      <c r="N31" s="48">
        <v>16095410</v>
      </c>
      <c r="O31" s="48">
        <v>22563350</v>
      </c>
      <c r="Q31" s="37">
        <f>IF((C31-C30&lt;0), "0",C31-C30)</f>
        <v>580</v>
      </c>
      <c r="R31" s="37">
        <f t="shared" si="22"/>
        <v>1830</v>
      </c>
      <c r="S31" s="37">
        <f t="shared" si="16"/>
        <v>2790</v>
      </c>
      <c r="T31" s="37">
        <f t="shared" si="23"/>
        <v>1380</v>
      </c>
      <c r="U31" s="37">
        <f t="shared" si="24"/>
        <v>5300</v>
      </c>
      <c r="V31" s="37">
        <f t="shared" si="25"/>
        <v>3910</v>
      </c>
      <c r="W31" s="37">
        <f t="shared" si="26"/>
        <v>2830</v>
      </c>
      <c r="X31" s="37">
        <f t="shared" si="27"/>
        <v>4590</v>
      </c>
      <c r="Y31" s="37">
        <f t="shared" si="28"/>
        <v>5500</v>
      </c>
      <c r="Z31" s="37">
        <f t="shared" si="29"/>
        <v>2460</v>
      </c>
      <c r="AA31" s="37">
        <f t="shared" si="30"/>
        <v>3050</v>
      </c>
      <c r="AB31" s="37">
        <f t="shared" si="31"/>
        <v>7340</v>
      </c>
      <c r="AC31" s="37">
        <f t="shared" si="32"/>
        <v>11330</v>
      </c>
      <c r="AD31" s="35">
        <f t="shared" si="33"/>
        <v>52890</v>
      </c>
      <c r="AF31" s="20">
        <f t="shared" si="1"/>
        <v>2.9</v>
      </c>
      <c r="AG31" s="20">
        <f t="shared" si="2"/>
        <v>9.15</v>
      </c>
      <c r="AH31" s="20">
        <f t="shared" si="3"/>
        <v>13.950000000000001</v>
      </c>
      <c r="AI31" s="20">
        <f t="shared" si="4"/>
        <v>6.9</v>
      </c>
      <c r="AJ31" s="20">
        <f t="shared" si="5"/>
        <v>26.5</v>
      </c>
      <c r="AK31" s="20">
        <f t="shared" si="6"/>
        <v>19.55</v>
      </c>
      <c r="AL31" s="20">
        <f t="shared" si="7"/>
        <v>14.15</v>
      </c>
      <c r="AM31" s="20">
        <f t="shared" si="8"/>
        <v>22.95</v>
      </c>
      <c r="AN31" s="20">
        <f t="shared" si="9"/>
        <v>27.5</v>
      </c>
      <c r="AO31" s="20">
        <f t="shared" si="10"/>
        <v>12.3</v>
      </c>
      <c r="AP31" s="20">
        <f t="shared" si="11"/>
        <v>15.25</v>
      </c>
      <c r="AQ31" s="20">
        <f t="shared" si="12"/>
        <v>36.700000000000003</v>
      </c>
      <c r="AR31" s="20">
        <f t="shared" si="13"/>
        <v>56.65</v>
      </c>
      <c r="AS31" s="35">
        <f t="shared" si="34"/>
        <v>264.45</v>
      </c>
      <c r="AT31" s="53"/>
      <c r="AV31" s="57">
        <v>0</v>
      </c>
      <c r="AW31" s="56">
        <f t="shared" si="14"/>
        <v>0</v>
      </c>
      <c r="AX31" s="58">
        <f t="shared" si="17"/>
        <v>0</v>
      </c>
      <c r="AY31" s="71">
        <v>355780</v>
      </c>
      <c r="AZ31" s="37">
        <f t="shared" si="18"/>
        <v>0</v>
      </c>
      <c r="BA31" s="37">
        <f t="shared" si="19"/>
        <v>0</v>
      </c>
      <c r="BB31" s="51">
        <f t="shared" si="20"/>
        <v>0</v>
      </c>
    </row>
    <row r="32" spans="1:54" x14ac:dyDescent="0.25">
      <c r="A32" s="23">
        <v>44921</v>
      </c>
      <c r="B32" s="40">
        <v>105</v>
      </c>
      <c r="C32" s="24">
        <v>8654400</v>
      </c>
      <c r="D32" s="49">
        <v>21068000</v>
      </c>
      <c r="E32" s="49">
        <v>3912320</v>
      </c>
      <c r="F32" s="49">
        <v>4410500</v>
      </c>
      <c r="G32" s="49">
        <v>13052250</v>
      </c>
      <c r="H32" s="49">
        <v>7760880</v>
      </c>
      <c r="I32" s="49">
        <v>6712350</v>
      </c>
      <c r="J32" s="49">
        <v>8390610</v>
      </c>
      <c r="K32" s="49">
        <v>12144670</v>
      </c>
      <c r="L32" s="49">
        <v>5300180</v>
      </c>
      <c r="M32" s="49">
        <v>9644960</v>
      </c>
      <c r="N32" s="49">
        <v>16102750</v>
      </c>
      <c r="O32" s="49">
        <v>22575310</v>
      </c>
      <c r="Q32" s="37">
        <f>IF((C32-C31&lt;0), "0",C32-C31)</f>
        <v>980</v>
      </c>
      <c r="R32" s="37">
        <f t="shared" si="22"/>
        <v>1810</v>
      </c>
      <c r="S32" s="37">
        <f t="shared" si="16"/>
        <v>2720</v>
      </c>
      <c r="T32" s="37">
        <f t="shared" si="23"/>
        <v>1400</v>
      </c>
      <c r="U32" s="37">
        <f t="shared" si="24"/>
        <v>5270</v>
      </c>
      <c r="V32" s="37">
        <f t="shared" si="25"/>
        <v>4040</v>
      </c>
      <c r="W32" s="37">
        <f t="shared" si="26"/>
        <v>3020</v>
      </c>
      <c r="X32" s="37">
        <f t="shared" si="27"/>
        <v>4600</v>
      </c>
      <c r="Y32" s="37">
        <f t="shared" si="28"/>
        <v>5650</v>
      </c>
      <c r="Z32" s="37">
        <f t="shared" si="29"/>
        <v>2550</v>
      </c>
      <c r="AA32" s="37">
        <f t="shared" si="30"/>
        <v>3030</v>
      </c>
      <c r="AB32" s="37">
        <f t="shared" si="31"/>
        <v>7340</v>
      </c>
      <c r="AC32" s="37">
        <f t="shared" si="32"/>
        <v>11960</v>
      </c>
      <c r="AD32" s="35">
        <f t="shared" si="33"/>
        <v>54370</v>
      </c>
      <c r="AF32" s="20">
        <f t="shared" si="1"/>
        <v>4.9000000000000004</v>
      </c>
      <c r="AG32" s="20">
        <f t="shared" si="2"/>
        <v>9.0500000000000007</v>
      </c>
      <c r="AH32" s="20">
        <f t="shared" si="3"/>
        <v>13.6</v>
      </c>
      <c r="AI32" s="20">
        <f t="shared" si="4"/>
        <v>7</v>
      </c>
      <c r="AJ32" s="20">
        <f t="shared" si="5"/>
        <v>26.35</v>
      </c>
      <c r="AK32" s="20">
        <f t="shared" si="6"/>
        <v>20.2</v>
      </c>
      <c r="AL32" s="20">
        <f t="shared" si="7"/>
        <v>15.1</v>
      </c>
      <c r="AM32" s="20">
        <f t="shared" si="8"/>
        <v>23</v>
      </c>
      <c r="AN32" s="20">
        <f t="shared" si="9"/>
        <v>28.25</v>
      </c>
      <c r="AO32" s="20">
        <f t="shared" si="10"/>
        <v>12.75</v>
      </c>
      <c r="AP32" s="20">
        <f t="shared" si="11"/>
        <v>15.15</v>
      </c>
      <c r="AQ32" s="20">
        <f t="shared" si="12"/>
        <v>36.700000000000003</v>
      </c>
      <c r="AR32" s="20">
        <f t="shared" si="13"/>
        <v>59.800000000000004</v>
      </c>
      <c r="AS32" s="35">
        <f t="shared" si="34"/>
        <v>271.85000000000002</v>
      </c>
      <c r="AT32" s="53"/>
      <c r="AV32" s="57">
        <v>0</v>
      </c>
      <c r="AW32" s="56">
        <f t="shared" si="14"/>
        <v>0</v>
      </c>
      <c r="AX32" s="58">
        <f t="shared" si="17"/>
        <v>0</v>
      </c>
      <c r="AY32" s="71">
        <v>355780</v>
      </c>
      <c r="AZ32" s="37">
        <f t="shared" si="18"/>
        <v>0</v>
      </c>
      <c r="BA32" s="37">
        <f t="shared" si="19"/>
        <v>0</v>
      </c>
      <c r="BB32" s="51">
        <f t="shared" si="20"/>
        <v>0</v>
      </c>
    </row>
    <row r="33" spans="1:54" x14ac:dyDescent="0.25">
      <c r="A33" s="23">
        <v>44922</v>
      </c>
      <c r="B33" s="40">
        <v>97</v>
      </c>
      <c r="C33" s="24">
        <v>8654580</v>
      </c>
      <c r="D33" s="48">
        <v>21073370</v>
      </c>
      <c r="E33" s="48">
        <v>3913620</v>
      </c>
      <c r="F33" s="48">
        <v>4411890</v>
      </c>
      <c r="G33" s="48">
        <v>13057340</v>
      </c>
      <c r="H33" s="48">
        <v>7764940</v>
      </c>
      <c r="I33" s="48">
        <v>6715510</v>
      </c>
      <c r="J33" s="48">
        <v>8395290</v>
      </c>
      <c r="K33" s="48">
        <v>12150390</v>
      </c>
      <c r="L33" s="48">
        <v>5302660</v>
      </c>
      <c r="M33" s="48">
        <v>9647390</v>
      </c>
      <c r="N33" s="48">
        <v>16110030</v>
      </c>
      <c r="O33" s="48">
        <v>22587610</v>
      </c>
      <c r="Q33" s="37">
        <f>IF((C33-C32&lt;0), "0",C33-C32)</f>
        <v>180</v>
      </c>
      <c r="R33" s="37">
        <f t="shared" si="22"/>
        <v>5370</v>
      </c>
      <c r="S33" s="37">
        <f t="shared" si="16"/>
        <v>1300</v>
      </c>
      <c r="T33" s="37">
        <f t="shared" si="23"/>
        <v>1390</v>
      </c>
      <c r="U33" s="37">
        <f t="shared" si="24"/>
        <v>5090</v>
      </c>
      <c r="V33" s="37">
        <f t="shared" si="25"/>
        <v>4060</v>
      </c>
      <c r="W33" s="37">
        <f t="shared" si="26"/>
        <v>3160</v>
      </c>
      <c r="X33" s="37">
        <f t="shared" si="27"/>
        <v>4680</v>
      </c>
      <c r="Y33" s="37">
        <f t="shared" si="28"/>
        <v>5720</v>
      </c>
      <c r="Z33" s="37">
        <f t="shared" si="29"/>
        <v>2480</v>
      </c>
      <c r="AA33" s="37">
        <f t="shared" si="30"/>
        <v>2430</v>
      </c>
      <c r="AB33" s="37">
        <f t="shared" si="31"/>
        <v>7280</v>
      </c>
      <c r="AC33" s="37">
        <f t="shared" si="32"/>
        <v>12300</v>
      </c>
      <c r="AD33" s="35">
        <f t="shared" si="33"/>
        <v>55440</v>
      </c>
      <c r="AF33" s="20">
        <f t="shared" si="1"/>
        <v>0.9</v>
      </c>
      <c r="AG33" s="20">
        <f t="shared" si="2"/>
        <v>26.85</v>
      </c>
      <c r="AH33" s="20">
        <f t="shared" si="3"/>
        <v>6.5</v>
      </c>
      <c r="AI33" s="20">
        <f t="shared" si="4"/>
        <v>6.95</v>
      </c>
      <c r="AJ33" s="20">
        <f t="shared" si="5"/>
        <v>25.45</v>
      </c>
      <c r="AK33" s="20">
        <f t="shared" si="6"/>
        <v>20.3</v>
      </c>
      <c r="AL33" s="20">
        <f t="shared" si="7"/>
        <v>15.8</v>
      </c>
      <c r="AM33" s="20">
        <f t="shared" si="8"/>
        <v>23.400000000000002</v>
      </c>
      <c r="AN33" s="20">
        <f t="shared" si="9"/>
        <v>28.6</v>
      </c>
      <c r="AO33" s="20">
        <f t="shared" si="10"/>
        <v>12.4</v>
      </c>
      <c r="AP33" s="20">
        <f t="shared" si="11"/>
        <v>12.15</v>
      </c>
      <c r="AQ33" s="20">
        <f t="shared" si="12"/>
        <v>36.4</v>
      </c>
      <c r="AR33" s="20">
        <f t="shared" si="13"/>
        <v>61.5</v>
      </c>
      <c r="AS33" s="35">
        <f t="shared" si="34"/>
        <v>277.20000000000005</v>
      </c>
      <c r="AT33" s="53"/>
      <c r="AV33" s="57">
        <v>0</v>
      </c>
      <c r="AW33" s="56">
        <f t="shared" si="14"/>
        <v>0</v>
      </c>
      <c r="AX33" s="58">
        <f t="shared" si="17"/>
        <v>0</v>
      </c>
      <c r="AY33" s="71">
        <v>357179</v>
      </c>
      <c r="AZ33" s="37">
        <f t="shared" si="18"/>
        <v>139900</v>
      </c>
      <c r="BA33" s="37">
        <f t="shared" si="19"/>
        <v>381.92700000000002</v>
      </c>
      <c r="BB33" s="51">
        <f t="shared" si="20"/>
        <v>169.72835880000002</v>
      </c>
    </row>
    <row r="34" spans="1:54" x14ac:dyDescent="0.25">
      <c r="A34" s="23">
        <v>44923</v>
      </c>
      <c r="B34" s="46">
        <v>81</v>
      </c>
      <c r="C34" s="45">
        <v>8655140</v>
      </c>
      <c r="D34" s="49">
        <v>21082580</v>
      </c>
      <c r="E34" s="49">
        <v>3913650</v>
      </c>
      <c r="F34" s="49">
        <v>4413310</v>
      </c>
      <c r="G34" s="49">
        <v>13062890</v>
      </c>
      <c r="H34" s="49">
        <v>7769090</v>
      </c>
      <c r="I34" s="49">
        <v>6718590</v>
      </c>
      <c r="J34" s="49">
        <v>8400830</v>
      </c>
      <c r="K34" s="49">
        <v>12156120</v>
      </c>
      <c r="L34" s="49">
        <v>5305110</v>
      </c>
      <c r="M34" s="49">
        <v>9650560</v>
      </c>
      <c r="N34" s="49">
        <v>16117420</v>
      </c>
      <c r="O34" s="49">
        <v>22602900</v>
      </c>
      <c r="Q34" s="37">
        <f>IF((C34-C33&lt;0), "0",C34-C33)</f>
        <v>560</v>
      </c>
      <c r="R34" s="37">
        <f t="shared" si="22"/>
        <v>9210</v>
      </c>
      <c r="S34" s="37">
        <f t="shared" si="16"/>
        <v>30</v>
      </c>
      <c r="T34" s="37">
        <f t="shared" si="23"/>
        <v>1420</v>
      </c>
      <c r="U34" s="37">
        <f t="shared" si="24"/>
        <v>5550</v>
      </c>
      <c r="V34" s="37">
        <f t="shared" si="25"/>
        <v>4150</v>
      </c>
      <c r="W34" s="37">
        <f t="shared" si="26"/>
        <v>3080</v>
      </c>
      <c r="X34" s="37">
        <f t="shared" si="27"/>
        <v>5540</v>
      </c>
      <c r="Y34" s="37">
        <f t="shared" si="28"/>
        <v>5730</v>
      </c>
      <c r="Z34" s="37">
        <f t="shared" si="29"/>
        <v>2450</v>
      </c>
      <c r="AA34" s="37">
        <f t="shared" si="30"/>
        <v>3170</v>
      </c>
      <c r="AB34" s="37">
        <f t="shared" si="31"/>
        <v>7390</v>
      </c>
      <c r="AC34" s="37">
        <f t="shared" si="32"/>
        <v>15290</v>
      </c>
      <c r="AD34" s="35">
        <f t="shared" si="33"/>
        <v>63570</v>
      </c>
      <c r="AF34" s="20">
        <f>Q34*$D$39</f>
        <v>2.8000000000000003</v>
      </c>
      <c r="AG34" s="20">
        <f t="shared" si="2"/>
        <v>46.050000000000004</v>
      </c>
      <c r="AH34" s="20">
        <f t="shared" si="3"/>
        <v>0.15</v>
      </c>
      <c r="AI34" s="20">
        <f t="shared" si="4"/>
        <v>7.1000000000000005</v>
      </c>
      <c r="AJ34" s="20">
        <f t="shared" si="5"/>
        <v>27.75</v>
      </c>
      <c r="AK34" s="20">
        <f t="shared" si="6"/>
        <v>20.75</v>
      </c>
      <c r="AL34" s="20">
        <f t="shared" si="7"/>
        <v>15.4</v>
      </c>
      <c r="AM34" s="20">
        <f t="shared" si="8"/>
        <v>27.7</v>
      </c>
      <c r="AN34" s="20">
        <f t="shared" si="9"/>
        <v>28.650000000000002</v>
      </c>
      <c r="AO34" s="20">
        <f t="shared" si="10"/>
        <v>12.25</v>
      </c>
      <c r="AP34" s="20">
        <f t="shared" si="11"/>
        <v>15.85</v>
      </c>
      <c r="AQ34" s="20">
        <f t="shared" si="12"/>
        <v>36.950000000000003</v>
      </c>
      <c r="AR34" s="20">
        <f t="shared" si="13"/>
        <v>76.45</v>
      </c>
      <c r="AS34" s="35">
        <f>SUM(AF34:AR34)</f>
        <v>317.84999999999997</v>
      </c>
      <c r="AT34" s="53"/>
      <c r="AV34" s="57">
        <v>0</v>
      </c>
      <c r="AW34" s="56">
        <f t="shared" si="14"/>
        <v>0</v>
      </c>
      <c r="AX34" s="58">
        <f t="shared" si="17"/>
        <v>0</v>
      </c>
      <c r="AY34" s="71">
        <v>358674</v>
      </c>
      <c r="AZ34" s="37">
        <f t="shared" si="18"/>
        <v>149500</v>
      </c>
      <c r="BA34" s="37">
        <f t="shared" si="19"/>
        <v>408.13499999999999</v>
      </c>
      <c r="BB34" s="51">
        <f t="shared" si="20"/>
        <v>181.37519399999999</v>
      </c>
    </row>
    <row r="35" spans="1:54" x14ac:dyDescent="0.25">
      <c r="A35" s="23">
        <v>44924</v>
      </c>
      <c r="B35" s="40">
        <v>104</v>
      </c>
      <c r="C35" s="50">
        <v>8655690</v>
      </c>
      <c r="D35" s="50">
        <v>21091420</v>
      </c>
      <c r="E35" s="50">
        <v>3913650</v>
      </c>
      <c r="F35" s="50">
        <v>4414690</v>
      </c>
      <c r="G35" s="50">
        <v>13068610</v>
      </c>
      <c r="H35" s="50">
        <v>7773400</v>
      </c>
      <c r="I35" s="50">
        <v>6721620</v>
      </c>
      <c r="J35" s="50">
        <v>8405760</v>
      </c>
      <c r="K35" s="50">
        <v>12161840</v>
      </c>
      <c r="L35" s="50">
        <v>5307480</v>
      </c>
      <c r="M35" s="50">
        <v>9653700</v>
      </c>
      <c r="N35" s="50">
        <v>16124680</v>
      </c>
      <c r="O35" s="50">
        <v>22616580</v>
      </c>
      <c r="Q35" s="37">
        <f>IF((C35-C34&lt;0), "0",C35-C34)</f>
        <v>550</v>
      </c>
      <c r="R35" s="37">
        <f t="shared" si="22"/>
        <v>8840</v>
      </c>
      <c r="S35" s="37">
        <f t="shared" si="16"/>
        <v>0</v>
      </c>
      <c r="T35" s="37">
        <f t="shared" si="23"/>
        <v>1380</v>
      </c>
      <c r="U35" s="37">
        <f t="shared" si="24"/>
        <v>5720</v>
      </c>
      <c r="V35" s="37">
        <f t="shared" si="25"/>
        <v>4310</v>
      </c>
      <c r="W35" s="37">
        <f t="shared" si="26"/>
        <v>3030</v>
      </c>
      <c r="X35" s="37">
        <f t="shared" si="27"/>
        <v>4930</v>
      </c>
      <c r="Y35" s="37">
        <f t="shared" si="28"/>
        <v>5720</v>
      </c>
      <c r="Z35" s="37">
        <f t="shared" si="29"/>
        <v>2370</v>
      </c>
      <c r="AA35" s="37">
        <f t="shared" si="30"/>
        <v>3140</v>
      </c>
      <c r="AB35" s="37">
        <f t="shared" si="31"/>
        <v>7260</v>
      </c>
      <c r="AC35" s="37">
        <f t="shared" si="32"/>
        <v>13680</v>
      </c>
      <c r="AD35" s="35">
        <f t="shared" si="33"/>
        <v>60930</v>
      </c>
      <c r="AF35" s="20">
        <f t="shared" si="1"/>
        <v>2.75</v>
      </c>
      <c r="AG35" s="20">
        <f t="shared" si="2"/>
        <v>44.2</v>
      </c>
      <c r="AH35" s="20">
        <f t="shared" si="3"/>
        <v>0</v>
      </c>
      <c r="AI35" s="20">
        <f t="shared" si="4"/>
        <v>6.9</v>
      </c>
      <c r="AJ35" s="20">
        <f t="shared" si="5"/>
        <v>28.6</v>
      </c>
      <c r="AK35" s="20">
        <f t="shared" si="6"/>
        <v>21.55</v>
      </c>
      <c r="AL35" s="20">
        <f t="shared" si="7"/>
        <v>15.15</v>
      </c>
      <c r="AM35" s="20">
        <f t="shared" si="8"/>
        <v>24.650000000000002</v>
      </c>
      <c r="AN35" s="20">
        <f t="shared" si="9"/>
        <v>28.6</v>
      </c>
      <c r="AO35" s="20">
        <f t="shared" si="10"/>
        <v>11.85</v>
      </c>
      <c r="AP35" s="20">
        <f t="shared" si="11"/>
        <v>15.700000000000001</v>
      </c>
      <c r="AQ35" s="20">
        <f t="shared" si="12"/>
        <v>36.300000000000004</v>
      </c>
      <c r="AR35" s="20">
        <f t="shared" si="13"/>
        <v>68.400000000000006</v>
      </c>
      <c r="AS35" s="35">
        <f>SUM(AF35:AR35)</f>
        <v>304.64999999999998</v>
      </c>
      <c r="AT35" s="53"/>
      <c r="AV35" s="57">
        <v>0</v>
      </c>
      <c r="AW35" s="56">
        <f t="shared" si="14"/>
        <v>0</v>
      </c>
      <c r="AX35" s="58">
        <f t="shared" si="17"/>
        <v>0</v>
      </c>
      <c r="AY35" s="73">
        <v>360074</v>
      </c>
      <c r="AZ35" s="37">
        <f t="shared" si="18"/>
        <v>140000</v>
      </c>
      <c r="BA35" s="37">
        <f t="shared" si="19"/>
        <v>382.2</v>
      </c>
      <c r="BB35" s="51">
        <f t="shared" si="20"/>
        <v>169.84968000000001</v>
      </c>
    </row>
    <row r="36" spans="1:54" x14ac:dyDescent="0.25">
      <c r="A36" s="23">
        <v>44925</v>
      </c>
      <c r="B36" s="40">
        <v>115</v>
      </c>
      <c r="C36" s="48">
        <v>8656250</v>
      </c>
      <c r="D36" s="48">
        <v>21100500</v>
      </c>
      <c r="E36" s="48">
        <v>3913650</v>
      </c>
      <c r="F36" s="48">
        <v>4416080</v>
      </c>
      <c r="G36" s="48">
        <v>13074230</v>
      </c>
      <c r="H36" s="48">
        <v>7777610</v>
      </c>
      <c r="I36" s="48">
        <v>6724570</v>
      </c>
      <c r="J36" s="48">
        <v>8410990</v>
      </c>
      <c r="K36" s="48">
        <v>12167700</v>
      </c>
      <c r="L36" s="48">
        <v>5310080</v>
      </c>
      <c r="M36" s="48">
        <v>9657090</v>
      </c>
      <c r="N36" s="48">
        <v>16132040</v>
      </c>
      <c r="O36" s="48">
        <v>22628650</v>
      </c>
      <c r="Q36" s="37">
        <f t="shared" ref="Q36:AA36" si="37">IF((C36-C35&lt;0), "0",C36-C35)</f>
        <v>560</v>
      </c>
      <c r="R36" s="37">
        <f t="shared" si="22"/>
        <v>9080</v>
      </c>
      <c r="S36" s="37">
        <f t="shared" si="37"/>
        <v>0</v>
      </c>
      <c r="T36" s="37">
        <f t="shared" si="37"/>
        <v>1390</v>
      </c>
      <c r="U36" s="37">
        <f t="shared" si="37"/>
        <v>5620</v>
      </c>
      <c r="V36" s="37">
        <f t="shared" si="37"/>
        <v>4210</v>
      </c>
      <c r="W36" s="37">
        <f t="shared" si="37"/>
        <v>2950</v>
      </c>
      <c r="X36" s="37">
        <f t="shared" si="27"/>
        <v>5230</v>
      </c>
      <c r="Y36" s="37">
        <f t="shared" si="37"/>
        <v>5860</v>
      </c>
      <c r="Z36" s="37">
        <f t="shared" si="37"/>
        <v>2600</v>
      </c>
      <c r="AA36" s="37">
        <f t="shared" si="37"/>
        <v>3390</v>
      </c>
      <c r="AB36" s="37">
        <f t="shared" si="31"/>
        <v>7360</v>
      </c>
      <c r="AC36" s="37">
        <f t="shared" si="32"/>
        <v>12070</v>
      </c>
      <c r="AD36" s="35">
        <f t="shared" si="33"/>
        <v>60320</v>
      </c>
      <c r="AF36" s="20">
        <f t="shared" si="1"/>
        <v>2.8000000000000003</v>
      </c>
      <c r="AG36" s="20">
        <f t="shared" si="2"/>
        <v>45.4</v>
      </c>
      <c r="AH36" s="20">
        <f t="shared" si="3"/>
        <v>0</v>
      </c>
      <c r="AI36" s="20">
        <f t="shared" si="4"/>
        <v>6.95</v>
      </c>
      <c r="AJ36" s="20">
        <f t="shared" si="5"/>
        <v>28.1</v>
      </c>
      <c r="AK36" s="20">
        <f t="shared" si="6"/>
        <v>21.05</v>
      </c>
      <c r="AL36" s="20">
        <f t="shared" si="7"/>
        <v>14.75</v>
      </c>
      <c r="AM36" s="20">
        <f t="shared" si="8"/>
        <v>26.150000000000002</v>
      </c>
      <c r="AN36" s="20">
        <f t="shared" si="9"/>
        <v>29.3</v>
      </c>
      <c r="AO36" s="20">
        <f t="shared" si="10"/>
        <v>13</v>
      </c>
      <c r="AP36" s="20">
        <f t="shared" si="11"/>
        <v>16.95</v>
      </c>
      <c r="AQ36" s="20">
        <f t="shared" si="12"/>
        <v>36.800000000000004</v>
      </c>
      <c r="AR36" s="20">
        <f t="shared" si="13"/>
        <v>60.35</v>
      </c>
      <c r="AS36" s="35">
        <f>SUM(AF36:AR36)</f>
        <v>301.60000000000002</v>
      </c>
      <c r="AT36" s="53"/>
      <c r="AV36" s="57">
        <v>0</v>
      </c>
      <c r="AW36" s="56">
        <f t="shared" si="14"/>
        <v>0</v>
      </c>
      <c r="AX36" s="58">
        <f t="shared" si="17"/>
        <v>0</v>
      </c>
      <c r="AY36" s="75">
        <v>361074</v>
      </c>
      <c r="AZ36" s="37">
        <f t="shared" si="18"/>
        <v>100000</v>
      </c>
      <c r="BA36" s="37">
        <f t="shared" si="19"/>
        <v>273</v>
      </c>
      <c r="BB36" s="51">
        <f t="shared" si="20"/>
        <v>121.3212</v>
      </c>
    </row>
    <row r="37" spans="1:54" x14ac:dyDescent="0.25">
      <c r="A37" s="23">
        <v>44926</v>
      </c>
      <c r="B37" s="40">
        <v>250</v>
      </c>
      <c r="C37" s="24">
        <v>8656810</v>
      </c>
      <c r="D37" s="24">
        <v>21109670</v>
      </c>
      <c r="E37" s="24">
        <v>3913650</v>
      </c>
      <c r="F37" s="24">
        <v>4417470</v>
      </c>
      <c r="G37" s="24">
        <v>13080580</v>
      </c>
      <c r="H37" s="24">
        <v>7781950</v>
      </c>
      <c r="I37" s="24">
        <v>6727850</v>
      </c>
      <c r="J37" s="24">
        <v>8416180</v>
      </c>
      <c r="K37" s="24">
        <v>12173940</v>
      </c>
      <c r="L37" s="24">
        <v>5312950</v>
      </c>
      <c r="M37" s="24">
        <v>9660720</v>
      </c>
      <c r="N37" s="24">
        <v>16139600</v>
      </c>
      <c r="O37" s="24">
        <v>22641000</v>
      </c>
      <c r="Q37" s="37">
        <f t="shared" ref="Q37" si="38">IF((C37-C36&lt;0), "0",C37-C36)</f>
        <v>560</v>
      </c>
      <c r="R37" s="37">
        <f t="shared" si="22"/>
        <v>9170</v>
      </c>
      <c r="S37" s="37">
        <f t="shared" ref="S37" si="39">IF((E37-E36&lt;0), "0",E37-E36)</f>
        <v>0</v>
      </c>
      <c r="T37" s="37">
        <f t="shared" ref="T37" si="40">IF((F37-F36&lt;0), "0",F37-F36)</f>
        <v>1390</v>
      </c>
      <c r="U37" s="37">
        <f t="shared" ref="U37" si="41">IF((G37-G36&lt;0), "0",G37-G36)</f>
        <v>6350</v>
      </c>
      <c r="V37" s="37">
        <f t="shared" ref="V37" si="42">IF((H37-H36&lt;0), "0",H37-H36)</f>
        <v>4340</v>
      </c>
      <c r="W37" s="37">
        <f t="shared" ref="W37" si="43">IF((I37-I36&lt;0), "0",I37-I36)</f>
        <v>3280</v>
      </c>
      <c r="X37" s="37">
        <f t="shared" si="27"/>
        <v>5190</v>
      </c>
      <c r="Y37" s="37">
        <f t="shared" ref="Y37" si="44">IF((K37-K36&lt;0), "0",K37-K36)</f>
        <v>6240</v>
      </c>
      <c r="Z37" s="37">
        <f t="shared" ref="Z37" si="45">IF((L37-L36&lt;0), "0",L37-L36)</f>
        <v>2870</v>
      </c>
      <c r="AA37" s="37">
        <f t="shared" ref="AA37" si="46">IF((M37-M36&lt;0), "0",M37-M36)</f>
        <v>3630</v>
      </c>
      <c r="AB37" s="37">
        <f t="shared" si="31"/>
        <v>7560</v>
      </c>
      <c r="AC37" s="37">
        <f t="shared" si="32"/>
        <v>12350</v>
      </c>
      <c r="AD37" s="35">
        <f t="shared" si="33"/>
        <v>62930</v>
      </c>
      <c r="AF37" s="20">
        <f t="shared" ref="AF37" si="47">Q37*$D$39</f>
        <v>2.8000000000000003</v>
      </c>
      <c r="AG37" s="20">
        <f t="shared" ref="AG37" si="48">R37*$D$39</f>
        <v>45.85</v>
      </c>
      <c r="AH37" s="20">
        <f t="shared" ref="AH37" si="49">S37*$D$39</f>
        <v>0</v>
      </c>
      <c r="AI37" s="20">
        <f t="shared" ref="AI37" si="50">T37*$D$39</f>
        <v>6.95</v>
      </c>
      <c r="AJ37" s="20">
        <f t="shared" ref="AJ37" si="51">U37*$D$39</f>
        <v>31.75</v>
      </c>
      <c r="AK37" s="20">
        <f t="shared" ref="AK37" si="52">V37*$D$39</f>
        <v>21.7</v>
      </c>
      <c r="AL37" s="20">
        <f t="shared" ref="AL37" si="53">W37*$D$39</f>
        <v>16.399999999999999</v>
      </c>
      <c r="AM37" s="20">
        <f t="shared" ref="AM37" si="54">X37*$D$39</f>
        <v>25.95</v>
      </c>
      <c r="AN37" s="20">
        <f t="shared" ref="AN37" si="55">Y37*$D$39</f>
        <v>31.2</v>
      </c>
      <c r="AO37" s="20">
        <f t="shared" ref="AO37" si="56">Z37*$D$39</f>
        <v>14.35</v>
      </c>
      <c r="AP37" s="20">
        <f t="shared" ref="AP37" si="57">AA37*$D$39</f>
        <v>18.150000000000002</v>
      </c>
      <c r="AQ37" s="20">
        <f t="shared" ref="AQ37" si="58">AB37*$D$39</f>
        <v>37.800000000000004</v>
      </c>
      <c r="AR37" s="20">
        <f t="shared" ref="AR37" si="59">AC37*$D$39</f>
        <v>61.75</v>
      </c>
      <c r="AS37" s="35">
        <f>SUM(AF37:AR37)</f>
        <v>314.64999999999998</v>
      </c>
      <c r="AT37" s="53"/>
      <c r="AV37" s="57">
        <v>0</v>
      </c>
      <c r="AW37" s="56">
        <f t="shared" si="14"/>
        <v>0</v>
      </c>
      <c r="AX37" s="58">
        <f t="shared" si="17"/>
        <v>0</v>
      </c>
      <c r="AY37" s="76">
        <v>362463</v>
      </c>
      <c r="AZ37" s="37">
        <f t="shared" si="18"/>
        <v>138900</v>
      </c>
      <c r="BA37" s="37">
        <f t="shared" si="19"/>
        <v>379.197</v>
      </c>
      <c r="BB37" s="51">
        <f t="shared" si="20"/>
        <v>168.5151468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18080</v>
      </c>
      <c r="R38" s="38">
        <f t="shared" ref="R38:AD38" si="60">SUM(R7:R37)</f>
        <v>89680</v>
      </c>
      <c r="S38" s="38">
        <f t="shared" si="60"/>
        <v>81170</v>
      </c>
      <c r="T38" s="38">
        <f t="shared" si="60"/>
        <v>43980</v>
      </c>
      <c r="U38" s="38">
        <f t="shared" si="60"/>
        <v>171980</v>
      </c>
      <c r="V38" s="38">
        <f t="shared" si="60"/>
        <v>128320</v>
      </c>
      <c r="W38" s="38">
        <f t="shared" si="60"/>
        <v>98440</v>
      </c>
      <c r="X38" s="38">
        <f t="shared" si="60"/>
        <v>148010</v>
      </c>
      <c r="Y38" s="38">
        <f t="shared" si="60"/>
        <v>179260</v>
      </c>
      <c r="Z38" s="38">
        <f t="shared" si="60"/>
        <v>77390</v>
      </c>
      <c r="AA38" s="38">
        <f t="shared" si="60"/>
        <v>98200</v>
      </c>
      <c r="AB38" s="38">
        <f t="shared" si="60"/>
        <v>236430</v>
      </c>
      <c r="AC38" s="38">
        <f t="shared" si="60"/>
        <v>385700</v>
      </c>
      <c r="AD38" s="38">
        <f t="shared" si="60"/>
        <v>1756640</v>
      </c>
      <c r="AF38" s="35">
        <f>SUM(AF7:AF37)</f>
        <v>90.40000000000002</v>
      </c>
      <c r="AG38" s="35">
        <f t="shared" ref="AG38:AT38" si="61">SUM(AG7:AG37)</f>
        <v>448.40000000000003</v>
      </c>
      <c r="AH38" s="35">
        <f t="shared" si="61"/>
        <v>405.84999999999997</v>
      </c>
      <c r="AI38" s="35">
        <f t="shared" si="61"/>
        <v>219.89999999999995</v>
      </c>
      <c r="AJ38" s="35">
        <f t="shared" si="61"/>
        <v>859.9000000000002</v>
      </c>
      <c r="AK38" s="35">
        <f t="shared" si="61"/>
        <v>641.59999999999991</v>
      </c>
      <c r="AL38" s="35">
        <f t="shared" si="61"/>
        <v>492.19999999999987</v>
      </c>
      <c r="AM38" s="35">
        <f t="shared" si="61"/>
        <v>740.05000000000018</v>
      </c>
      <c r="AN38" s="35">
        <f t="shared" si="61"/>
        <v>896.30000000000007</v>
      </c>
      <c r="AO38" s="35">
        <f t="shared" si="61"/>
        <v>386.95</v>
      </c>
      <c r="AP38" s="35">
        <f t="shared" si="61"/>
        <v>490.99999999999989</v>
      </c>
      <c r="AQ38" s="35">
        <f t="shared" si="61"/>
        <v>1182.1500000000001</v>
      </c>
      <c r="AR38" s="35">
        <f t="shared" si="61"/>
        <v>1928.5</v>
      </c>
      <c r="AS38" s="35">
        <f t="shared" si="61"/>
        <v>8783.2000000000007</v>
      </c>
      <c r="AT38" s="54">
        <f t="shared" si="61"/>
        <v>0</v>
      </c>
      <c r="AV38" s="57">
        <v>0</v>
      </c>
      <c r="AW38" s="56">
        <f t="shared" si="14"/>
        <v>0</v>
      </c>
      <c r="AX38" s="58">
        <f t="shared" si="17"/>
        <v>0</v>
      </c>
      <c r="AY38" s="77"/>
      <c r="AZ38" s="37">
        <f t="shared" si="18"/>
        <v>0</v>
      </c>
      <c r="BA38" s="37">
        <f>SUM(BA7:BA37)</f>
        <v>4496.0370000000003</v>
      </c>
      <c r="BB38" s="51">
        <f t="shared" si="20"/>
        <v>1998.0388428000001</v>
      </c>
    </row>
    <row r="39" spans="1:54" x14ac:dyDescent="0.25">
      <c r="B39" s="39">
        <f>SUM(B7:B37)</f>
        <v>3405</v>
      </c>
      <c r="D39">
        <v>5.0000000000000001E-3</v>
      </c>
      <c r="AV39" s="57">
        <v>0</v>
      </c>
      <c r="AW39" s="56">
        <f t="shared" si="14"/>
        <v>0</v>
      </c>
      <c r="AX39" s="58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5">
        <v>0.52800000000000002</v>
      </c>
      <c r="AX44" s="55">
        <v>3.79E-3</v>
      </c>
      <c r="AY44" s="70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2023-02-09T15:02:50Z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