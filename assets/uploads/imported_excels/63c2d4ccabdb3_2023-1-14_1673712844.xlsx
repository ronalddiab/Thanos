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<sst xmlns="http://schemas.openxmlformats.org/spreadsheetml/2006/main" count="315" uniqueCount="148">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</sst>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 t="e">
        <f>Submetering!E15+Submetering!F15+Submetering!G15+Submetering!H15+Submetering!J15-Submetering!AV15</f>
        <v>#VALUE!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 t="e">
        <f>'FS Desroches Daily'!CM17</f>
        <v>#VALUE!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4.9000000000014552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6.6999999999989086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4.2999999999992724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240.00000000000909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3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 t="str">
        <f>IF(LPG!F21-LPG!F20&lt;0,"0",(LPG!F21-LPG!F20)*1.8315)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 t="str">
        <f>'FS Desroches Daily'!D17</f>
        <v>0</v>
      </c>
      <c r="F15" s="32" t="str">
        <f>'FS Desroches Daily'!F17</f>
        <v>0</v>
      </c>
      <c r="G15" s="31" t="str">
        <f>'FS Desroches Daily'!H17</f>
        <v>0</v>
      </c>
      <c r="H15" s="32" t="str">
        <f>'FS Desroches Daily'!J17</f>
        <v>0</v>
      </c>
      <c r="I15" s="31" t="str">
        <f>'FS Desroches Daily'!L17</f>
        <v>0</v>
      </c>
      <c r="J15" s="32" t="str">
        <f>'FS Desroches Daily'!N17</f>
        <v/>
      </c>
      <c r="K15" s="13" t="str">
        <f>'FS Desroches Daily'!P17</f>
        <v/>
      </c>
      <c r="L15" s="31" t="str">
        <f>'FS Desroches Daily'!R17</f>
        <v/>
      </c>
      <c r="M15" s="31" t="e">
        <f>'FS Desroches Daily'!T17</f>
        <v>#VALUE!</v>
      </c>
      <c r="N15" s="31" t="str">
        <f>'FS Desroches Daily'!V17</f>
        <v/>
      </c>
      <c r="O15" s="31" t="str">
        <f>'FS Desroches Daily'!X17</f>
        <v/>
      </c>
      <c r="P15" s="31" t="str">
        <f>'FS Desroches Daily'!Z17</f>
        <v/>
      </c>
      <c r="Q15" s="31" t="str">
        <f>'FS Desroches Daily'!AB17</f>
        <v/>
      </c>
      <c r="R15" s="31" t="str">
        <f>'FS Desroches Daily'!AD17</f>
        <v/>
      </c>
      <c r="S15" s="31" t="str">
        <f>'FS Desroches Daily'!AF17</f>
        <v/>
      </c>
      <c r="T15" s="31" t="str">
        <f>'FS Desroches Daily'!AH17</f>
        <v/>
      </c>
      <c r="U15" s="35" t="str">
        <f>'FS Desroches Daily'!AJ17</f>
        <v/>
      </c>
      <c r="V15" s="35" t="str">
        <f>'FS Desroches Daily'!AL17</f>
        <v/>
      </c>
      <c r="W15" s="35" t="str">
        <f>'FS Desroches Daily'!AN17</f>
        <v/>
      </c>
      <c r="X15" s="35" t="str">
        <f>'FS Desroches Daily'!AP17</f>
        <v/>
      </c>
      <c r="Y15" s="35" t="str">
        <f>'FS Desroches Daily'!AR17</f>
        <v/>
      </c>
      <c r="Z15" s="35" t="str">
        <f>'FS Desroches Daily'!AT17</f>
        <v/>
      </c>
      <c r="AA15" s="35" t="str">
        <f>'FS Desroches Daily'!AT17</f>
        <v/>
      </c>
      <c r="AB15" s="35" t="str">
        <f>'FS Desroches Daily'!AV17</f>
        <v/>
      </c>
      <c r="AC15" s="35" t="str">
        <f>'FS Desroches Daily'!AZ17</f>
        <v/>
      </c>
      <c r="AD15" s="35" t="str">
        <f>'FS Desroches Daily'!BB17</f>
        <v/>
      </c>
      <c r="AE15" s="35" t="str">
        <f>'FS Desroches Daily'!BD17</f>
        <v/>
      </c>
      <c r="AF15" s="31" t="str">
        <f>'FS Desroches Daily'!BF17</f>
        <v/>
      </c>
      <c r="AG15" s="32" t="str">
        <f>'FS Desroches Daily'!BH17</f>
        <v/>
      </c>
      <c r="AH15" s="32" t="str">
        <f>'FS Desroches Daily'!BJ17</f>
        <v/>
      </c>
      <c r="AI15" s="32" t="str">
        <f>'FS Desroches Daily'!BL17</f>
        <v/>
      </c>
      <c r="AJ15" s="32" t="str">
        <f>'FS Desroches Daily'!BN17</f>
        <v/>
      </c>
      <c r="AK15" s="32" t="str">
        <f>'FS Desroches Daily'!BP17</f>
        <v/>
      </c>
      <c r="AL15" s="32" t="str">
        <f>'FS Desroches Daily'!BR17</f>
        <v/>
      </c>
      <c r="AM15" s="32" t="str">
        <f>'FS Desroches Daily'!BT17</f>
        <v/>
      </c>
      <c r="AN15" s="32" t="str">
        <f>'FS Desroches Daily'!BV17</f>
        <v/>
      </c>
      <c r="AO15" s="32" t="str">
        <f>'FS Desroches Daily'!BX17</f>
        <v/>
      </c>
      <c r="AP15" s="32" t="str">
        <f>'FS Desroches Daily'!BZ17</f>
        <v/>
      </c>
      <c r="AQ15" s="31" t="str">
        <f>'FS Desroches Daily'!CB17</f>
        <v/>
      </c>
      <c r="AR15" s="31" t="str">
        <f>'FS Desroches Daily'!CD17</f>
        <v/>
      </c>
      <c r="AS15" s="31" t="str">
        <f>'FS Desroches Daily'!CF17</f>
        <v/>
      </c>
      <c r="AT15" s="31" t="str">
        <f>'FS Desroches Daily'!CH17</f>
        <v/>
      </c>
      <c r="AU15" s="31" t="str">
        <f>'FS Desroches Daily'!CJ17</f>
        <v/>
      </c>
      <c r="AV15" s="31" t="str">
        <f>'FS Desroches Daily'!CL17</f>
        <v/>
      </c>
      <c r="AW15" s="31" t="e">
        <f>'FS Desroches Daily'!CM17</f>
        <v>#VALUE!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46000.000000000276</v>
      </c>
      <c r="F33" s="17">
        <f t="shared" ref="F33:BC33" si="0">SUM(F2:F32)</f>
        <v>45099.999999999702</v>
      </c>
      <c r="G33" s="17">
        <f t="shared" si="0"/>
        <v>54199.999999999811</v>
      </c>
      <c r="H33" s="17">
        <f t="shared" si="0"/>
        <v>22000.000000000244</v>
      </c>
      <c r="I33" s="17">
        <f t="shared" si="0"/>
        <v>37100.000000000131</v>
      </c>
      <c r="J33" s="17">
        <f t="shared" si="0"/>
        <v>23099.999999999905</v>
      </c>
      <c r="K33" s="17">
        <f t="shared" si="0"/>
        <v>257</v>
      </c>
      <c r="L33" s="17">
        <f t="shared" si="0"/>
        <v>62</v>
      </c>
      <c r="M33" s="17" t="e">
        <f t="shared" si="0"/>
        <v>#VALUE!</v>
      </c>
      <c r="N33" s="17">
        <f t="shared" si="0"/>
        <v>6636.3999999999069</v>
      </c>
      <c r="O33" s="17">
        <f t="shared" si="0"/>
        <v>4690.0000000000546</v>
      </c>
      <c r="P33" s="17">
        <f t="shared" si="0"/>
        <v>39900.000000000269</v>
      </c>
      <c r="Q33" s="17">
        <f t="shared" si="0"/>
        <v>4690.0000000000546</v>
      </c>
      <c r="R33" s="17">
        <f t="shared" si="0"/>
        <v>5210.0000000000364</v>
      </c>
      <c r="S33" s="17">
        <f t="shared" si="0"/>
        <v>11559.999999999945</v>
      </c>
      <c r="T33" s="17">
        <f t="shared" si="0"/>
        <v>618</v>
      </c>
      <c r="U33" s="35">
        <f t="shared" si="0"/>
        <v>12400.000000000189</v>
      </c>
      <c r="V33" s="35">
        <f t="shared" si="0"/>
        <v>3519.9999999999818</v>
      </c>
      <c r="W33" s="35">
        <f t="shared" si="0"/>
        <v>2329.9999999999841</v>
      </c>
      <c r="X33" s="35">
        <f t="shared" si="0"/>
        <v>3460.0000000000364</v>
      </c>
      <c r="Y33" s="35">
        <f t="shared" si="0"/>
        <v>2959.9999999999795</v>
      </c>
      <c r="Z33" s="35">
        <f t="shared" si="0"/>
        <v>3779.9999999999727</v>
      </c>
      <c r="AA33" s="35">
        <f t="shared" si="0"/>
        <v>3779.9999999999727</v>
      </c>
      <c r="AB33" s="35">
        <f t="shared" si="0"/>
        <v>2919.9999999999591</v>
      </c>
      <c r="AC33" s="35">
        <f t="shared" si="0"/>
        <v>2449.9999999999886</v>
      </c>
      <c r="AD33" s="35">
        <f t="shared" si="0"/>
        <v>2590.0000000000318</v>
      </c>
      <c r="AE33" s="35">
        <f t="shared" si="0"/>
        <v>2250</v>
      </c>
      <c r="AF33" s="17">
        <f t="shared" si="0"/>
        <v>598</v>
      </c>
      <c r="AG33" s="32">
        <f t="shared" si="0"/>
        <v>530.00000000002956</v>
      </c>
      <c r="AH33" s="32">
        <f t="shared" si="0"/>
        <v>560.00000000000227</v>
      </c>
      <c r="AI33" s="32">
        <f t="shared" si="0"/>
        <v>819.99999999999318</v>
      </c>
      <c r="AJ33" s="32">
        <f t="shared" si="0"/>
        <v>559.99999999997385</v>
      </c>
      <c r="AK33" s="32">
        <f t="shared" si="0"/>
        <v>469.99999999997044</v>
      </c>
      <c r="AL33" s="32">
        <f t="shared" si="0"/>
        <v>578</v>
      </c>
      <c r="AM33" s="32">
        <f t="shared" si="0"/>
        <v>609.99999999998522</v>
      </c>
      <c r="AN33" s="32">
        <f t="shared" si="0"/>
        <v>580</v>
      </c>
      <c r="AO33" s="32">
        <f t="shared" si="0"/>
        <v>530.00000000000114</v>
      </c>
      <c r="AP33" s="32">
        <f t="shared" si="0"/>
        <v>676</v>
      </c>
      <c r="AQ33" s="17">
        <f t="shared" si="0"/>
        <v>1035.5999999999985</v>
      </c>
      <c r="AR33" s="17">
        <f t="shared" si="0"/>
        <v>195.40000000000146</v>
      </c>
      <c r="AS33" s="17">
        <f t="shared" si="0"/>
        <v>57.199999999998909</v>
      </c>
      <c r="AT33" s="17">
        <f t="shared" si="0"/>
        <v>749.80000000000291</v>
      </c>
      <c r="AU33" s="17">
        <f t="shared" si="0"/>
        <v>4088</v>
      </c>
      <c r="AV33" s="17">
        <f t="shared" si="0"/>
        <v>14000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65.933999999999997</v>
      </c>
      <c r="BC33" s="17">
        <f t="shared" si="0"/>
        <v>518</v>
      </c>
    </row>
    <row r="35" spans="5:55" x14ac:dyDescent="0.25">
      <c r="E35" s="38">
        <f>E33/E37</f>
        <v>0.25339047472154752</v>
      </c>
      <c r="G35" s="29" t="e">
        <f>G33-M36</f>
        <v>#VALUE!</v>
      </c>
      <c r="AE35" s="35">
        <f>SUM(U33:AE33)</f>
        <v>42440.000000000087</v>
      </c>
      <c r="AG35" s="32">
        <f>SUM(AG33:AP33)</f>
        <v>5913.9999999999554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181537.99999999991</v>
      </c>
      <c r="G37" s="37" t="e">
        <f>M36/E37</f>
        <v>#VALUE!</v>
      </c>
      <c r="M37" s="35">
        <f>AE35</f>
        <v>42440.000000000087</v>
      </c>
    </row>
    <row r="38" spans="5:55" x14ac:dyDescent="0.25">
      <c r="L38" s="27">
        <f>M38/E37</f>
        <v>3.2577201467461125E-2</v>
      </c>
      <c r="M38" s="29">
        <f>AG35</f>
        <v>5913.9999999999554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R1" zoomScale="82" zoomScaleNormal="82" workbookViewId="0">
      <pane ySplit="1" topLeftCell="A2" activePane="bottomLeft" state="frozen"/>
      <selection pane="bottomLeft" activeCell="CF16" sqref="CF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9020.2000000000007</v>
      </c>
      <c r="CF12" s="67">
        <f t="shared" si="40"/>
        <v>4.9000000000014552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9026.9</v>
      </c>
      <c r="CF13" s="67">
        <f t="shared" si="40"/>
        <v>6.6999999999989086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9029.6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9033.9</v>
      </c>
      <c r="CF15" s="67">
        <f t="shared" si="40"/>
        <v>4.2999999999992724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464.74</v>
      </c>
      <c r="BB16" s="65">
        <f t="shared" si="25"/>
        <v>240.00000000000909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9036.9</v>
      </c>
      <c r="CF16" s="67">
        <f t="shared" si="40"/>
        <v>3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/>
      <c r="D17" s="64" t="str">
        <f t="shared" si="0"/>
        <v>0</v>
      </c>
      <c r="E17" s="58"/>
      <c r="F17" s="64" t="str">
        <f t="shared" si="1"/>
        <v>0</v>
      </c>
      <c r="G17" s="58"/>
      <c r="H17" s="64" t="str">
        <f t="shared" si="2"/>
        <v>0</v>
      </c>
      <c r="I17" s="58"/>
      <c r="J17" s="64" t="str">
        <f t="shared" si="3"/>
        <v>0</v>
      </c>
      <c r="K17" s="58"/>
      <c r="L17" s="64" t="str">
        <f t="shared" si="48"/>
        <v>0</v>
      </c>
      <c r="M17" s="58"/>
      <c r="N17" s="64" t="str">
        <f t="shared" si="49"/>
        <v/>
      </c>
      <c r="O17" s="58"/>
      <c r="P17" s="67" t="str">
        <f t="shared" si="6"/>
        <v/>
      </c>
      <c r="Q17" s="58"/>
      <c r="R17" s="67" t="str">
        <f t="shared" si="7"/>
        <v/>
      </c>
      <c r="S17" s="58"/>
      <c r="T17" s="67" t="e">
        <f t="shared" si="8"/>
        <v>#VALUE!</v>
      </c>
      <c r="U17" s="58"/>
      <c r="V17" s="67" t="str">
        <f t="shared" si="9"/>
        <v/>
      </c>
      <c r="W17" s="58"/>
      <c r="X17" s="65" t="str">
        <f t="shared" si="10"/>
        <v/>
      </c>
      <c r="Y17" s="58"/>
      <c r="Z17" s="65" t="str">
        <f t="shared" si="11"/>
        <v/>
      </c>
      <c r="AA17" s="58"/>
      <c r="AB17" s="65" t="str">
        <f t="shared" si="12"/>
        <v/>
      </c>
      <c r="AC17" s="58"/>
      <c r="AD17" s="65" t="str">
        <f t="shared" si="13"/>
        <v/>
      </c>
      <c r="AE17" s="58"/>
      <c r="AF17" s="65" t="str">
        <f t="shared" si="14"/>
        <v/>
      </c>
      <c r="AG17" s="58"/>
      <c r="AH17" s="67" t="str">
        <f t="shared" si="15"/>
        <v/>
      </c>
      <c r="AI17" s="58"/>
      <c r="AJ17" s="65" t="str">
        <f t="shared" si="16"/>
        <v/>
      </c>
      <c r="AK17" s="58"/>
      <c r="AL17" s="65" t="str">
        <f t="shared" si="17"/>
        <v/>
      </c>
      <c r="AM17" s="58"/>
      <c r="AN17" s="65" t="str">
        <f t="shared" si="18"/>
        <v/>
      </c>
      <c r="AO17" s="58"/>
      <c r="AP17" s="65" t="str">
        <f t="shared" si="19"/>
        <v/>
      </c>
      <c r="AQ17" s="58"/>
      <c r="AR17" s="65" t="str">
        <f t="shared" si="20"/>
        <v/>
      </c>
      <c r="AS17" s="58"/>
      <c r="AT17" s="65" t="str">
        <f t="shared" si="21"/>
        <v/>
      </c>
      <c r="AU17" s="58"/>
      <c r="AV17" s="65" t="str">
        <f t="shared" si="22"/>
        <v/>
      </c>
      <c r="AW17" s="58"/>
      <c r="AX17" s="65" t="str">
        <f t="shared" si="23"/>
        <v/>
      </c>
      <c r="AY17" s="58"/>
      <c r="AZ17" s="65" t="str">
        <f t="shared" si="24"/>
        <v/>
      </c>
      <c r="BA17" s="58"/>
      <c r="BB17" s="65" t="str">
        <f t="shared" si="25"/>
        <v/>
      </c>
      <c r="BC17" s="58"/>
      <c r="BD17" s="65" t="str">
        <f t="shared" si="26"/>
        <v/>
      </c>
      <c r="BE17" s="59"/>
      <c r="BF17" s="67" t="str">
        <f t="shared" si="27"/>
        <v/>
      </c>
      <c r="BG17" s="60"/>
      <c r="BH17" s="65" t="str">
        <f t="shared" si="28"/>
        <v/>
      </c>
      <c r="BI17" s="60"/>
      <c r="BJ17" s="65" t="str">
        <f t="shared" si="29"/>
        <v/>
      </c>
      <c r="BK17" s="60"/>
      <c r="BL17" s="65" t="str">
        <f t="shared" si="30"/>
        <v/>
      </c>
      <c r="BM17" s="60"/>
      <c r="BN17" s="65" t="str">
        <f t="shared" si="31"/>
        <v/>
      </c>
      <c r="BO17" s="60"/>
      <c r="BP17" s="65" t="str">
        <f t="shared" si="32"/>
        <v/>
      </c>
      <c r="BQ17" s="60"/>
      <c r="BR17" s="65" t="str">
        <f t="shared" si="33"/>
        <v/>
      </c>
      <c r="BS17" s="60"/>
      <c r="BT17" s="65" t="str">
        <f t="shared" si="34"/>
        <v/>
      </c>
      <c r="BU17" s="60"/>
      <c r="BV17" s="65" t="str">
        <f t="shared" si="35"/>
        <v/>
      </c>
      <c r="BW17" s="60"/>
      <c r="BX17" s="65" t="str">
        <f t="shared" si="36"/>
        <v/>
      </c>
      <c r="BY17" s="60"/>
      <c r="BZ17" s="67" t="str">
        <f t="shared" si="37"/>
        <v/>
      </c>
      <c r="CA17" s="60"/>
      <c r="CB17" s="67" t="str">
        <f t="shared" si="38"/>
        <v/>
      </c>
      <c r="CC17" s="60"/>
      <c r="CD17" s="67" t="str">
        <f t="shared" si="39"/>
        <v/>
      </c>
      <c r="CE17" s="60"/>
      <c r="CF17" s="67" t="str">
        <f t="shared" si="40"/>
        <v/>
      </c>
      <c r="CG17" s="60"/>
      <c r="CH17" s="67" t="str">
        <f t="shared" si="41"/>
        <v/>
      </c>
      <c r="CI17" s="60"/>
      <c r="CJ17" s="67" t="str">
        <f t="shared" si="42"/>
        <v/>
      </c>
      <c r="CK17" s="60"/>
      <c r="CL17" s="64" t="str">
        <f t="shared" si="43"/>
        <v/>
      </c>
      <c r="CM17" s="65" t="e">
        <f t="shared" si="50"/>
        <v>#VALUE!</v>
      </c>
      <c r="CN17" s="62"/>
      <c r="CO17" s="62"/>
      <c r="CP17" s="68"/>
      <c r="CQ17" s="67" t="str">
        <f t="shared" si="51"/>
        <v/>
      </c>
      <c r="CR17" s="68"/>
      <c r="CS17" s="67" t="str">
        <f t="shared" si="44"/>
        <v/>
      </c>
      <c r="CT17" s="75"/>
      <c r="CU17" s="67" t="str">
        <f t="shared" si="45"/>
        <v/>
      </c>
      <c r="CV17" s="68"/>
      <c r="CW17" s="67" t="str">
        <f t="shared" si="46"/>
        <v/>
      </c>
      <c r="CX17" s="58"/>
      <c r="CY17" s="67" t="str">
        <f t="shared" si="47"/>
        <v/>
      </c>
    </row>
    <row r="18" spans="1:103" ht="25.5" customHeight="1" thickBot="1" x14ac:dyDescent="0.45">
      <c r="A18" s="63">
        <v>44941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8"/>
        <v>0</v>
      </c>
      <c r="M18" s="58"/>
      <c r="N18" s="64">
        <f t="shared" si="49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8"/>
        <v>0</v>
      </c>
      <c r="U18" s="58"/>
      <c r="V18" s="67">
        <f t="shared" si="9"/>
        <v>0</v>
      </c>
      <c r="W18" s="58"/>
      <c r="X18" s="65">
        <f t="shared" si="10"/>
        <v>0</v>
      </c>
      <c r="Y18" s="58"/>
      <c r="Z18" s="65">
        <f t="shared" si="11"/>
        <v>0</v>
      </c>
      <c r="AA18" s="58"/>
      <c r="AB18" s="65">
        <f t="shared" si="12"/>
        <v>0</v>
      </c>
      <c r="AC18" s="58"/>
      <c r="AD18" s="65">
        <f t="shared" si="13"/>
        <v>0</v>
      </c>
      <c r="AE18" s="58"/>
      <c r="AF18" s="65">
        <f t="shared" si="14"/>
        <v>0</v>
      </c>
      <c r="AG18" s="58"/>
      <c r="AH18" s="67">
        <f t="shared" si="15"/>
        <v>0</v>
      </c>
      <c r="AI18" s="58"/>
      <c r="AJ18" s="65">
        <f t="shared" si="16"/>
        <v>0</v>
      </c>
      <c r="AK18" s="58"/>
      <c r="AL18" s="65">
        <f t="shared" si="17"/>
        <v>0</v>
      </c>
      <c r="AM18" s="58"/>
      <c r="AN18" s="65">
        <f t="shared" si="18"/>
        <v>0</v>
      </c>
      <c r="AO18" s="58"/>
      <c r="AP18" s="65">
        <f t="shared" si="19"/>
        <v>0</v>
      </c>
      <c r="AQ18" s="58"/>
      <c r="AR18" s="65">
        <f t="shared" si="20"/>
        <v>0</v>
      </c>
      <c r="AS18" s="58"/>
      <c r="AT18" s="65">
        <f t="shared" si="21"/>
        <v>0</v>
      </c>
      <c r="AU18" s="58"/>
      <c r="AV18" s="65">
        <f t="shared" si="22"/>
        <v>0</v>
      </c>
      <c r="AW18" s="58"/>
      <c r="AX18" s="65">
        <f t="shared" si="23"/>
        <v>0</v>
      </c>
      <c r="AY18" s="58"/>
      <c r="AZ18" s="65">
        <f t="shared" si="24"/>
        <v>0</v>
      </c>
      <c r="BA18" s="58"/>
      <c r="BB18" s="65">
        <f t="shared" si="25"/>
        <v>0</v>
      </c>
      <c r="BC18" s="58"/>
      <c r="BD18" s="65">
        <f t="shared" si="26"/>
        <v>0</v>
      </c>
      <c r="BE18" s="59"/>
      <c r="BF18" s="67">
        <f t="shared" si="27"/>
        <v>0</v>
      </c>
      <c r="BG18" s="60"/>
      <c r="BH18" s="65">
        <f t="shared" si="28"/>
        <v>0</v>
      </c>
      <c r="BI18" s="60"/>
      <c r="BJ18" s="65">
        <f t="shared" si="29"/>
        <v>0</v>
      </c>
      <c r="BK18" s="60"/>
      <c r="BL18" s="65">
        <f t="shared" si="30"/>
        <v>0</v>
      </c>
      <c r="BM18" s="60"/>
      <c r="BN18" s="65">
        <f t="shared" si="31"/>
        <v>0</v>
      </c>
      <c r="BO18" s="60"/>
      <c r="BP18" s="65">
        <f t="shared" si="32"/>
        <v>0</v>
      </c>
      <c r="BQ18" s="60"/>
      <c r="BR18" s="65">
        <f t="shared" si="33"/>
        <v>0</v>
      </c>
      <c r="BS18" s="60"/>
      <c r="BT18" s="65">
        <f t="shared" si="34"/>
        <v>0</v>
      </c>
      <c r="BU18" s="60"/>
      <c r="BV18" s="65">
        <f t="shared" si="35"/>
        <v>0</v>
      </c>
      <c r="BW18" s="60"/>
      <c r="BX18" s="65">
        <f t="shared" si="36"/>
        <v>0</v>
      </c>
      <c r="BY18" s="60"/>
      <c r="BZ18" s="67">
        <f t="shared" si="37"/>
        <v>0</v>
      </c>
      <c r="CA18" s="60"/>
      <c r="CB18" s="67">
        <f t="shared" si="38"/>
        <v>0</v>
      </c>
      <c r="CC18" s="60"/>
      <c r="CD18" s="67">
        <f t="shared" si="39"/>
        <v>0</v>
      </c>
      <c r="CE18" s="60"/>
      <c r="CF18" s="67">
        <f t="shared" si="40"/>
        <v>0</v>
      </c>
      <c r="CG18" s="60"/>
      <c r="CH18" s="67">
        <f t="shared" si="41"/>
        <v>0</v>
      </c>
      <c r="CI18" s="60"/>
      <c r="CJ18" s="67">
        <f t="shared" si="42"/>
        <v>0</v>
      </c>
      <c r="CK18" s="60"/>
      <c r="CL18" s="64">
        <f t="shared" si="43"/>
        <v>0</v>
      </c>
      <c r="CM18" s="65">
        <f t="shared" si="50"/>
        <v>0</v>
      </c>
      <c r="CN18" s="62"/>
      <c r="CO18" s="62"/>
      <c r="CP18" s="68"/>
      <c r="CQ18" s="67">
        <f t="shared" si="51"/>
        <v>0</v>
      </c>
      <c r="CR18" s="68"/>
      <c r="CS18" s="67">
        <f t="shared" si="44"/>
        <v>0</v>
      </c>
      <c r="CT18" s="75"/>
      <c r="CU18" s="67">
        <f t="shared" si="45"/>
        <v>0</v>
      </c>
      <c r="CV18" s="68"/>
      <c r="CW18" s="67">
        <f t="shared" si="46"/>
        <v>0</v>
      </c>
      <c r="CX18" s="58"/>
      <c r="CY18" s="67">
        <f t="shared" si="47"/>
        <v>0</v>
      </c>
    </row>
    <row r="19" spans="1:103" ht="25.5" customHeight="1" thickBot="1" x14ac:dyDescent="0.45">
      <c r="A19" s="63">
        <v>44942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8"/>
        <v>0</v>
      </c>
      <c r="M19" s="58"/>
      <c r="N19" s="64">
        <f t="shared" si="49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8"/>
        <v>0</v>
      </c>
      <c r="U19" s="58"/>
      <c r="V19" s="67">
        <f t="shared" si="9"/>
        <v>0</v>
      </c>
      <c r="W19" s="58"/>
      <c r="X19" s="65">
        <f t="shared" si="10"/>
        <v>0</v>
      </c>
      <c r="Y19" s="58"/>
      <c r="Z19" s="65">
        <f t="shared" si="11"/>
        <v>0</v>
      </c>
      <c r="AA19" s="58"/>
      <c r="AB19" s="65">
        <f t="shared" si="12"/>
        <v>0</v>
      </c>
      <c r="AC19" s="58"/>
      <c r="AD19" s="65">
        <f t="shared" si="13"/>
        <v>0</v>
      </c>
      <c r="AE19" s="58"/>
      <c r="AF19" s="65">
        <f t="shared" si="14"/>
        <v>0</v>
      </c>
      <c r="AG19" s="58"/>
      <c r="AH19" s="67">
        <f t="shared" si="15"/>
        <v>0</v>
      </c>
      <c r="AI19" s="58"/>
      <c r="AJ19" s="65">
        <f t="shared" si="16"/>
        <v>0</v>
      </c>
      <c r="AK19" s="58"/>
      <c r="AL19" s="65">
        <f t="shared" si="17"/>
        <v>0</v>
      </c>
      <c r="AM19" s="58"/>
      <c r="AN19" s="65">
        <f t="shared" si="18"/>
        <v>0</v>
      </c>
      <c r="AO19" s="58"/>
      <c r="AP19" s="65">
        <f t="shared" si="19"/>
        <v>0</v>
      </c>
      <c r="AQ19" s="58"/>
      <c r="AR19" s="65">
        <f t="shared" si="20"/>
        <v>0</v>
      </c>
      <c r="AS19" s="58"/>
      <c r="AT19" s="65">
        <f t="shared" si="21"/>
        <v>0</v>
      </c>
      <c r="AU19" s="58"/>
      <c r="AV19" s="65">
        <f t="shared" si="22"/>
        <v>0</v>
      </c>
      <c r="AW19" s="58"/>
      <c r="AX19" s="65">
        <f t="shared" si="23"/>
        <v>0</v>
      </c>
      <c r="AY19" s="58"/>
      <c r="AZ19" s="65">
        <f t="shared" si="24"/>
        <v>0</v>
      </c>
      <c r="BA19" s="58"/>
      <c r="BB19" s="65">
        <f t="shared" si="25"/>
        <v>0</v>
      </c>
      <c r="BC19" s="58"/>
      <c r="BD19" s="65">
        <f t="shared" si="26"/>
        <v>0</v>
      </c>
      <c r="BE19" s="59"/>
      <c r="BF19" s="67">
        <f t="shared" si="27"/>
        <v>0</v>
      </c>
      <c r="BG19" s="60"/>
      <c r="BH19" s="65">
        <f t="shared" si="28"/>
        <v>0</v>
      </c>
      <c r="BI19" s="60"/>
      <c r="BJ19" s="65">
        <f t="shared" si="29"/>
        <v>0</v>
      </c>
      <c r="BK19" s="60"/>
      <c r="BL19" s="65">
        <f t="shared" si="30"/>
        <v>0</v>
      </c>
      <c r="BM19" s="60"/>
      <c r="BN19" s="65">
        <f t="shared" si="31"/>
        <v>0</v>
      </c>
      <c r="BO19" s="60"/>
      <c r="BP19" s="65">
        <f t="shared" si="32"/>
        <v>0</v>
      </c>
      <c r="BQ19" s="60"/>
      <c r="BR19" s="65">
        <f t="shared" si="33"/>
        <v>0</v>
      </c>
      <c r="BS19" s="60"/>
      <c r="BT19" s="65">
        <f t="shared" si="34"/>
        <v>0</v>
      </c>
      <c r="BU19" s="60"/>
      <c r="BV19" s="65">
        <f t="shared" si="35"/>
        <v>0</v>
      </c>
      <c r="BW19" s="60"/>
      <c r="BX19" s="65">
        <f t="shared" si="36"/>
        <v>0</v>
      </c>
      <c r="BY19" s="60"/>
      <c r="BZ19" s="67">
        <f t="shared" si="37"/>
        <v>0</v>
      </c>
      <c r="CA19" s="60"/>
      <c r="CB19" s="67">
        <f t="shared" si="38"/>
        <v>0</v>
      </c>
      <c r="CC19" s="60"/>
      <c r="CD19" s="67">
        <f t="shared" si="39"/>
        <v>0</v>
      </c>
      <c r="CE19" s="60"/>
      <c r="CF19" s="67">
        <f t="shared" si="40"/>
        <v>0</v>
      </c>
      <c r="CG19" s="60"/>
      <c r="CH19" s="67">
        <f t="shared" si="41"/>
        <v>0</v>
      </c>
      <c r="CI19" s="60"/>
      <c r="CJ19" s="67">
        <f t="shared" si="42"/>
        <v>0</v>
      </c>
      <c r="CK19" s="60"/>
      <c r="CL19" s="64">
        <f t="shared" si="43"/>
        <v>0</v>
      </c>
      <c r="CM19" s="65">
        <f t="shared" si="50"/>
        <v>0</v>
      </c>
      <c r="CN19" s="62"/>
      <c r="CO19" s="62"/>
      <c r="CP19" s="68"/>
      <c r="CQ19" s="67">
        <f t="shared" si="51"/>
        <v>0</v>
      </c>
      <c r="CR19" s="68"/>
      <c r="CS19" s="67">
        <f t="shared" si="44"/>
        <v>0</v>
      </c>
      <c r="CT19" s="75"/>
      <c r="CU19" s="67">
        <f t="shared" si="45"/>
        <v>0</v>
      </c>
      <c r="CV19" s="68"/>
      <c r="CW19" s="67">
        <f t="shared" si="46"/>
        <v>0</v>
      </c>
      <c r="CX19" s="58"/>
      <c r="CY19" s="67">
        <f t="shared" si="47"/>
        <v>0</v>
      </c>
    </row>
    <row r="20" spans="1:103" ht="25.5" customHeight="1" thickBot="1" x14ac:dyDescent="0.45">
      <c r="A20" s="63">
        <v>44943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8"/>
        <v>0</v>
      </c>
      <c r="M20" s="58"/>
      <c r="N20" s="64">
        <f t="shared" si="49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50"/>
        <v>0</v>
      </c>
      <c r="CN20" s="62"/>
      <c r="CO20" s="62"/>
      <c r="CP20" s="68"/>
      <c r="CQ20" s="67">
        <f t="shared" si="51"/>
        <v>0</v>
      </c>
      <c r="CR20" s="68"/>
      <c r="CS20" s="67">
        <f t="shared" si="44"/>
        <v>0</v>
      </c>
      <c r="CT20" s="75"/>
      <c r="CU20" s="67">
        <f t="shared" si="45"/>
        <v>0</v>
      </c>
      <c r="CV20" s="68"/>
      <c r="CW20" s="67">
        <f t="shared" si="46"/>
        <v>0</v>
      </c>
      <c r="CX20" s="58"/>
      <c r="CY20" s="67">
        <f t="shared" si="47"/>
        <v>0</v>
      </c>
    </row>
    <row r="21" spans="1:103" ht="25.5" customHeight="1" thickBot="1" x14ac:dyDescent="0.45">
      <c r="A21" s="63">
        <v>44944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8"/>
        <v>0</v>
      </c>
      <c r="M21" s="58"/>
      <c r="N21" s="64">
        <f t="shared" si="49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50"/>
        <v>0</v>
      </c>
      <c r="CN21" s="62"/>
      <c r="CO21" s="62"/>
      <c r="CP21" s="68"/>
      <c r="CQ21" s="67">
        <f t="shared" si="51"/>
        <v>0</v>
      </c>
      <c r="CR21" s="68"/>
      <c r="CS21" s="67">
        <f t="shared" si="44"/>
        <v>0</v>
      </c>
      <c r="CT21" s="75"/>
      <c r="CU21" s="67">
        <f t="shared" si="45"/>
        <v>0</v>
      </c>
      <c r="CV21" s="68"/>
      <c r="CW21" s="67">
        <f t="shared" si="46"/>
        <v>0</v>
      </c>
      <c r="CX21" s="58"/>
      <c r="CY21" s="67">
        <f t="shared" si="47"/>
        <v>0</v>
      </c>
    </row>
    <row r="22" spans="1:103" ht="25.5" customHeight="1" thickBot="1" x14ac:dyDescent="0.45">
      <c r="A22" s="63">
        <v>44945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8"/>
        <v>0</v>
      </c>
      <c r="M22" s="58"/>
      <c r="N22" s="64">
        <f t="shared" si="49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50"/>
        <v>0</v>
      </c>
      <c r="CN22" s="62"/>
      <c r="CO22" s="62"/>
      <c r="CP22" s="68"/>
      <c r="CQ22" s="67">
        <f t="shared" si="51"/>
        <v>0</v>
      </c>
      <c r="CR22" s="68"/>
      <c r="CS22" s="67">
        <f t="shared" si="44"/>
        <v>0</v>
      </c>
      <c r="CT22" s="75"/>
      <c r="CU22" s="67">
        <f t="shared" si="45"/>
        <v>0</v>
      </c>
      <c r="CV22" s="68"/>
      <c r="CW22" s="67">
        <f t="shared" si="46"/>
        <v>0</v>
      </c>
      <c r="CX22" s="58"/>
      <c r="CY22" s="67">
        <f t="shared" si="47"/>
        <v>0</v>
      </c>
    </row>
    <row r="23" spans="1:103" ht="25.5" customHeight="1" thickBot="1" x14ac:dyDescent="0.45">
      <c r="A23" s="63">
        <v>44946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8"/>
        <v>0</v>
      </c>
      <c r="M23" s="58"/>
      <c r="N23" s="64">
        <f t="shared" si="49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51"/>
        <v>0</v>
      </c>
      <c r="CR23" s="68"/>
      <c r="CS23" s="67">
        <f t="shared" si="44"/>
        <v>0</v>
      </c>
      <c r="CT23" s="75"/>
      <c r="CU23" s="67">
        <f t="shared" si="45"/>
        <v>0</v>
      </c>
      <c r="CV23" s="68"/>
      <c r="CW23" s="67">
        <f t="shared" si="46"/>
        <v>0</v>
      </c>
      <c r="CX23" s="58"/>
      <c r="CY23" s="67">
        <f t="shared" si="47"/>
        <v>0</v>
      </c>
    </row>
    <row r="24" spans="1:103" ht="25.5" customHeight="1" thickBot="1" x14ac:dyDescent="0.45">
      <c r="A24" s="63">
        <v>44947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8"/>
        <v>0</v>
      </c>
      <c r="M24" s="58"/>
      <c r="N24" s="64">
        <f t="shared" si="49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50"/>
        <v>0</v>
      </c>
      <c r="CN24" s="62"/>
      <c r="CO24" s="62"/>
      <c r="CP24" s="68"/>
      <c r="CQ24" s="67">
        <f t="shared" si="51"/>
        <v>0</v>
      </c>
      <c r="CR24" s="68"/>
      <c r="CS24" s="67">
        <f t="shared" si="44"/>
        <v>0</v>
      </c>
      <c r="CT24" s="75"/>
      <c r="CU24" s="67">
        <f t="shared" si="45"/>
        <v>0</v>
      </c>
      <c r="CV24" s="68"/>
      <c r="CW24" s="67">
        <f t="shared" si="46"/>
        <v>0</v>
      </c>
      <c r="CX24" s="58"/>
      <c r="CY24" s="67">
        <f t="shared" si="47"/>
        <v>0</v>
      </c>
    </row>
    <row r="25" spans="1:103" ht="25.5" customHeight="1" thickBot="1" x14ac:dyDescent="0.45">
      <c r="A25" s="63">
        <v>44948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8"/>
        <v>0</v>
      </c>
      <c r="M25" s="58"/>
      <c r="N25" s="64">
        <f t="shared" si="49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50"/>
        <v>0</v>
      </c>
      <c r="CN25" s="62"/>
      <c r="CO25" s="62"/>
      <c r="CP25" s="68"/>
      <c r="CQ25" s="67">
        <f t="shared" si="51"/>
        <v>0</v>
      </c>
      <c r="CR25" s="68"/>
      <c r="CS25" s="67">
        <f t="shared" si="44"/>
        <v>0</v>
      </c>
      <c r="CT25" s="75"/>
      <c r="CU25" s="67">
        <f t="shared" si="45"/>
        <v>0</v>
      </c>
      <c r="CV25" s="68"/>
      <c r="CW25" s="67">
        <f t="shared" si="46"/>
        <v>0</v>
      </c>
      <c r="CX25" s="58"/>
      <c r="CY25" s="67">
        <f t="shared" si="47"/>
        <v>0</v>
      </c>
    </row>
    <row r="26" spans="1:103" ht="25.5" customHeight="1" thickBot="1" x14ac:dyDescent="0.45">
      <c r="A26" s="63">
        <v>44949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8"/>
        <v>0</v>
      </c>
      <c r="M26" s="58"/>
      <c r="N26" s="64">
        <f t="shared" si="49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50"/>
        <v>0</v>
      </c>
      <c r="CN26" s="62"/>
      <c r="CO26" s="62"/>
      <c r="CP26" s="68"/>
      <c r="CQ26" s="67">
        <f t="shared" si="51"/>
        <v>0</v>
      </c>
      <c r="CR26" s="68"/>
      <c r="CS26" s="67">
        <f t="shared" si="44"/>
        <v>0</v>
      </c>
      <c r="CT26" s="75"/>
      <c r="CU26" s="67">
        <f t="shared" si="45"/>
        <v>0</v>
      </c>
      <c r="CV26" s="68"/>
      <c r="CW26" s="67">
        <f t="shared" si="46"/>
        <v>0</v>
      </c>
      <c r="CX26" s="58"/>
      <c r="CY26" s="67">
        <f t="shared" si="47"/>
        <v>0</v>
      </c>
    </row>
    <row r="27" spans="1:103" ht="25.5" customHeight="1" thickBot="1" x14ac:dyDescent="0.45">
      <c r="A27" s="63">
        <v>44950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8"/>
        <v>0</v>
      </c>
      <c r="M27" s="58"/>
      <c r="N27" s="64">
        <f t="shared" si="49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50"/>
        <v>0</v>
      </c>
      <c r="CN27" s="62"/>
      <c r="CO27" s="62"/>
      <c r="CP27" s="68"/>
      <c r="CQ27" s="67">
        <f t="shared" si="51"/>
        <v>0</v>
      </c>
      <c r="CR27" s="68"/>
      <c r="CS27" s="67">
        <f t="shared" si="44"/>
        <v>0</v>
      </c>
      <c r="CT27" s="75"/>
      <c r="CU27" s="67">
        <f t="shared" si="45"/>
        <v>0</v>
      </c>
      <c r="CV27" s="68"/>
      <c r="CW27" s="67">
        <f t="shared" si="46"/>
        <v>0</v>
      </c>
      <c r="CX27" s="58"/>
      <c r="CY27" s="67">
        <f t="shared" si="47"/>
        <v>0</v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/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20" sqref="C20:Q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/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/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/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/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-233</v>
      </c>
    </row>
    <row r="22" spans="1:20" x14ac:dyDescent="0.25">
      <c r="A22" s="73">
        <v>44941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44942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44943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44944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44945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44946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44947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44948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44949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2023-01-14T16:11:39Z</dcterms:modified>
</cp:coreProperties>
</file>