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35" windowHeight="10530" tabRatio="584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W28" i="2"/>
  <c r="AC30" i="5"/>
  <c r="AB14" i="74" l="1"/>
  <c r="AB13"/>
  <c r="AB12"/>
  <c r="AB11"/>
  <c r="AB10"/>
  <c r="AA14"/>
  <c r="AA13"/>
  <c r="AA12"/>
  <c r="AA11"/>
  <c r="AA10"/>
  <c r="AE27" i="5" l="1"/>
  <c r="T20" i="3"/>
  <c r="L20"/>
  <c r="L14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I18"/>
  <c r="M18" s="1"/>
  <c r="K16"/>
  <c r="I16"/>
  <c r="G16"/>
  <c r="C16"/>
  <c r="K14"/>
  <c r="I14"/>
  <c r="G14"/>
  <c r="C14"/>
  <c r="L13" i="3"/>
  <c r="AE15" i="1"/>
  <c r="AI14"/>
  <c r="C18" i="76" l="1"/>
  <c r="G18"/>
  <c r="K18"/>
  <c r="N18" s="1"/>
  <c r="K17"/>
  <c r="N17" s="1"/>
  <c r="G17"/>
  <c r="C17"/>
  <c r="S12" i="3"/>
  <c r="I19" i="76" l="1"/>
  <c r="M19" s="1"/>
  <c r="D17"/>
  <c r="E17" s="1"/>
  <c r="L17"/>
  <c r="K19"/>
  <c r="N19" s="1"/>
  <c r="D18"/>
  <c r="E18" s="1"/>
  <c r="L18"/>
  <c r="C19"/>
  <c r="G19"/>
  <c r="AQ11" i="1"/>
  <c r="Y5" i="2"/>
  <c r="W5"/>
  <c r="H6" i="77"/>
  <c r="I20" i="76" l="1"/>
  <c r="M20" s="1"/>
  <c r="G20"/>
  <c r="D19"/>
  <c r="E19" s="1"/>
  <c r="L19"/>
  <c r="C20"/>
  <c r="K20"/>
  <c r="N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9" s="1"/>
  <c r="H34" s="1"/>
  <c r="H35" s="1"/>
  <c r="D18" i="77"/>
  <c r="D17"/>
  <c r="I21" i="76" l="1"/>
  <c r="M21" s="1"/>
  <c r="C21"/>
  <c r="G21"/>
  <c r="K21"/>
  <c r="N21" s="1"/>
  <c r="D20"/>
  <c r="E20" s="1"/>
  <c r="L20"/>
  <c r="C19" i="77"/>
  <c r="C18"/>
  <c r="C17"/>
  <c r="C16"/>
  <c r="C15"/>
  <c r="C14"/>
  <c r="I22" i="76" l="1"/>
  <c r="M22" s="1"/>
  <c r="D21"/>
  <c r="E21" s="1"/>
  <c r="L21"/>
  <c r="C22"/>
  <c r="G22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X39" i="74"/>
  <c r="X34"/>
  <c r="K23" i="76"/>
  <c r="N23" s="1"/>
  <c r="G23"/>
  <c r="L22"/>
  <c r="D22"/>
  <c r="E22" s="1"/>
  <c r="C23"/>
  <c r="W10" i="74"/>
  <c r="X10" s="1"/>
  <c r="W39"/>
  <c r="W38"/>
  <c r="X38" s="1"/>
  <c r="W37"/>
  <c r="X37" s="1"/>
  <c r="W36"/>
  <c r="X36" s="1"/>
  <c r="W35"/>
  <c r="X35" s="1"/>
  <c r="W34"/>
  <c r="W33"/>
  <c r="X33" s="1"/>
  <c r="W32"/>
  <c r="X32" s="1"/>
  <c r="W31"/>
  <c r="X31" s="1"/>
  <c r="W30"/>
  <c r="X30" s="1"/>
  <c r="W29"/>
  <c r="X29" s="1"/>
  <c r="W28"/>
  <c r="X28" s="1"/>
  <c r="W27"/>
  <c r="X27" s="1"/>
  <c r="W26"/>
  <c r="X26" s="1"/>
  <c r="W25"/>
  <c r="X25" s="1"/>
  <c r="W24"/>
  <c r="X24" s="1"/>
  <c r="W23"/>
  <c r="X23" s="1"/>
  <c r="W22"/>
  <c r="X22" s="1"/>
  <c r="W21"/>
  <c r="X21" s="1"/>
  <c r="W20"/>
  <c r="X20" s="1"/>
  <c r="W19"/>
  <c r="X19" s="1"/>
  <c r="W18"/>
  <c r="X18" s="1"/>
  <c r="W17"/>
  <c r="X17" s="1"/>
  <c r="W16"/>
  <c r="X16" s="1"/>
  <c r="W15"/>
  <c r="X15" s="1"/>
  <c r="W14"/>
  <c r="X14" s="1"/>
  <c r="W13"/>
  <c r="X13" s="1"/>
  <c r="W12"/>
  <c r="X12" s="1"/>
  <c r="W11"/>
  <c r="X11" s="1"/>
  <c r="AK37" i="5"/>
  <c r="A32" i="76"/>
  <c r="I24" l="1"/>
  <c r="M24" s="1"/>
  <c r="K24"/>
  <c r="N24" s="1"/>
  <c r="D23"/>
  <c r="E23" s="1"/>
  <c r="L23"/>
  <c r="C24"/>
  <c r="G24"/>
  <c r="G30" i="73"/>
  <c r="D30"/>
  <c r="I25" i="76" l="1"/>
  <c r="M25" s="1"/>
  <c r="G25"/>
  <c r="C25"/>
  <c r="D24"/>
  <c r="E24" s="1"/>
  <c r="L24"/>
  <c r="K25"/>
  <c r="N25" s="1"/>
  <c r="F14"/>
  <c r="T16" i="3"/>
  <c r="T17" s="1"/>
  <c r="T18" s="1"/>
  <c r="T19" s="1"/>
  <c r="T21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1" s="1"/>
  <c r="R28" s="1"/>
  <c r="R29" s="1"/>
  <c r="R30" s="1"/>
  <c r="R31" s="1"/>
  <c r="R32" s="1"/>
  <c r="G7" i="5"/>
  <c r="G10" s="1"/>
  <c r="G11" s="1"/>
  <c r="G12" s="1"/>
  <c r="G19" s="1"/>
  <c r="G20" s="1"/>
  <c r="G22" s="1"/>
  <c r="G24" s="1"/>
  <c r="G28" s="1"/>
  <c r="G30" s="1"/>
  <c r="G32" s="1"/>
  <c r="G34" s="1"/>
  <c r="G35" s="1"/>
  <c r="V9"/>
  <c r="V10" s="1"/>
  <c r="V11" s="1"/>
  <c r="V12" s="1"/>
  <c r="V13" s="1"/>
  <c r="V17" s="1"/>
  <c r="V18" s="1"/>
  <c r="V19" s="1"/>
  <c r="V21" s="1"/>
  <c r="V22" s="1"/>
  <c r="V24" s="1"/>
  <c r="V25" s="1"/>
  <c r="V28" s="1"/>
  <c r="V30" s="1"/>
  <c r="V32" s="1"/>
  <c r="V33" s="1"/>
  <c r="V34" s="1"/>
  <c r="V35" s="1"/>
  <c r="X6"/>
  <c r="X7" s="1"/>
  <c r="X11" s="1"/>
  <c r="X19" s="1"/>
  <c r="X20" s="1"/>
  <c r="X28" s="1"/>
  <c r="X30" s="1"/>
  <c r="X32" s="1"/>
  <c r="X34" s="1"/>
  <c r="X35" s="1"/>
  <c r="Z6"/>
  <c r="Z7" s="1"/>
  <c r="Z11" s="1"/>
  <c r="Z12" s="1"/>
  <c r="Z13" s="1"/>
  <c r="Z17" s="1"/>
  <c r="Z18" s="1"/>
  <c r="Z19" s="1"/>
  <c r="Z20" s="1"/>
  <c r="Z24" s="1"/>
  <c r="Z31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7" s="1"/>
  <c r="AB28" s="1"/>
  <c r="AB29" s="1"/>
  <c r="AB30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7" s="1"/>
  <c r="AC28" s="1"/>
  <c r="AC29" s="1"/>
  <c r="AC33" s="1"/>
  <c r="AC34" s="1"/>
  <c r="AC35" s="1"/>
  <c r="AE7"/>
  <c r="AE10" s="1"/>
  <c r="AE11" s="1"/>
  <c r="AE12" s="1"/>
  <c r="AE13" s="1"/>
  <c r="AE14" s="1"/>
  <c r="AE17" s="1"/>
  <c r="AE18" s="1"/>
  <c r="AE19" s="1"/>
  <c r="AE21" s="1"/>
  <c r="AE22" s="1"/>
  <c r="AE24" s="1"/>
  <c r="AE25" s="1"/>
  <c r="AE28" s="1"/>
  <c r="AE30" s="1"/>
  <c r="AE32" s="1"/>
  <c r="AE33" s="1"/>
  <c r="AE34" s="1"/>
  <c r="AE35" s="1"/>
  <c r="AG12"/>
  <c r="AG21" s="1"/>
  <c r="AG30" s="1"/>
  <c r="AT6"/>
  <c r="AT11" s="1"/>
  <c r="AT12" s="1"/>
  <c r="AT18" s="1"/>
  <c r="AT34" s="1"/>
  <c r="AT35" s="1"/>
  <c r="AV34"/>
  <c r="AV35" s="1"/>
  <c r="AX34"/>
  <c r="AX35" s="1"/>
  <c r="B6"/>
  <c r="B7" s="1"/>
  <c r="B9" s="1"/>
  <c r="B10" s="1"/>
  <c r="B11" s="1"/>
  <c r="B12" s="1"/>
  <c r="B13" s="1"/>
  <c r="B18" s="1"/>
  <c r="B19" s="1"/>
  <c r="B20" s="1"/>
  <c r="B21" s="1"/>
  <c r="B22" s="1"/>
  <c r="B24" s="1"/>
  <c r="B25" s="1"/>
  <c r="B28" s="1"/>
  <c r="B30" s="1"/>
  <c r="B32" s="1"/>
  <c r="B33" s="1"/>
  <c r="B34" s="1"/>
  <c r="B35" s="1"/>
  <c r="F31" i="2"/>
  <c r="F32" s="1"/>
  <c r="H31"/>
  <c r="H32" s="1"/>
  <c r="J31"/>
  <c r="J32" s="1"/>
  <c r="L31"/>
  <c r="L32" s="1"/>
  <c r="P31"/>
  <c r="P32" s="1"/>
  <c r="S31"/>
  <c r="S32" s="1"/>
  <c r="U18"/>
  <c r="U31" s="1"/>
  <c r="U32" s="1"/>
  <c r="W4"/>
  <c r="W6" s="1"/>
  <c r="W7" s="1"/>
  <c r="W8" s="1"/>
  <c r="W10" s="1"/>
  <c r="W14" s="1"/>
  <c r="W15" s="1"/>
  <c r="W16" s="1"/>
  <c r="W17" s="1"/>
  <c r="W18" s="1"/>
  <c r="W19" s="1"/>
  <c r="W21" s="1"/>
  <c r="W22" s="1"/>
  <c r="W23" s="1"/>
  <c r="W25" s="1"/>
  <c r="W27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7" s="1"/>
  <c r="Y28" s="1"/>
  <c r="Y29" s="1"/>
  <c r="Y30" s="1"/>
  <c r="Y31" s="1"/>
  <c r="Y32" s="1"/>
  <c r="AA4"/>
  <c r="AA7" s="1"/>
  <c r="AA10" s="1"/>
  <c r="AA18" s="1"/>
  <c r="AA21" s="1"/>
  <c r="AA27" s="1"/>
  <c r="AA31" s="1"/>
  <c r="AA32" s="1"/>
  <c r="AC4"/>
  <c r="AC7" s="1"/>
  <c r="AC10" s="1"/>
  <c r="AC18" s="1"/>
  <c r="AC21" s="1"/>
  <c r="AC27" s="1"/>
  <c r="AC30" s="1"/>
  <c r="AC31" s="1"/>
  <c r="AC32" s="1"/>
  <c r="D31"/>
  <c r="D32" s="1"/>
  <c r="A2"/>
  <c r="C33" i="1"/>
  <c r="C34" s="1"/>
  <c r="F16"/>
  <c r="F17" s="1"/>
  <c r="F18" s="1"/>
  <c r="F20" s="1"/>
  <c r="F21" s="1"/>
  <c r="F24" s="1"/>
  <c r="F27" s="1"/>
  <c r="F29" s="1"/>
  <c r="F32" s="1"/>
  <c r="F33" s="1"/>
  <c r="F34" s="1"/>
  <c r="H16"/>
  <c r="H17" s="1"/>
  <c r="H18" s="1"/>
  <c r="H19" s="1"/>
  <c r="H21" s="1"/>
  <c r="H23" s="1"/>
  <c r="H24" s="1"/>
  <c r="H27" s="1"/>
  <c r="H29" s="1"/>
  <c r="H33" s="1"/>
  <c r="H34" s="1"/>
  <c r="K5"/>
  <c r="K8" s="1"/>
  <c r="K11" s="1"/>
  <c r="K30" s="1"/>
  <c r="K33" s="1"/>
  <c r="K34" s="1"/>
  <c r="M5"/>
  <c r="M8" s="1"/>
  <c r="M11" s="1"/>
  <c r="M30" s="1"/>
  <c r="M33" s="1"/>
  <c r="M34" s="1"/>
  <c r="P6"/>
  <c r="P9" s="1"/>
  <c r="P10" s="1"/>
  <c r="P11" s="1"/>
  <c r="P12" s="1"/>
  <c r="P17" s="1"/>
  <c r="P18" s="1"/>
  <c r="P19" s="1"/>
  <c r="P20" s="1"/>
  <c r="P21" s="1"/>
  <c r="P23" s="1"/>
  <c r="P24" s="1"/>
  <c r="P27" s="1"/>
  <c r="P29" s="1"/>
  <c r="P32" s="1"/>
  <c r="P33" s="1"/>
  <c r="P34" s="1"/>
  <c r="Q17"/>
  <c r="Q18" s="1"/>
  <c r="Q19" s="1"/>
  <c r="Q20" s="1"/>
  <c r="Q21" s="1"/>
  <c r="Q23" s="1"/>
  <c r="Q24" s="1"/>
  <c r="Q27" s="1"/>
  <c r="Q29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3" s="1"/>
  <c r="X24" s="1"/>
  <c r="X27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3" s="1"/>
  <c r="AC24" s="1"/>
  <c r="AC27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3" s="1"/>
  <c r="AE24" s="1"/>
  <c r="AE27" s="1"/>
  <c r="AE30" s="1"/>
  <c r="AE31" s="1"/>
  <c r="AE32" s="1"/>
  <c r="AE33" s="1"/>
  <c r="AE34" s="1"/>
  <c r="AN9"/>
  <c r="AN18" s="1"/>
  <c r="AN21" s="1"/>
  <c r="AN33" s="1"/>
  <c r="AN34" s="1"/>
  <c r="AP9"/>
  <c r="AP21" s="1"/>
  <c r="AP33" s="1"/>
  <c r="AP34" s="1"/>
  <c r="AR11"/>
  <c r="AR18" s="1"/>
  <c r="AR24" s="1"/>
  <c r="AR27" s="1"/>
  <c r="AR33" s="1"/>
  <c r="AR34" s="1"/>
  <c r="AX4"/>
  <c r="B33"/>
  <c r="B34" s="1"/>
  <c r="I26" i="76" l="1"/>
  <c r="M26" s="1"/>
  <c r="G26"/>
  <c r="D25"/>
  <c r="E25" s="1"/>
  <c r="L25"/>
  <c r="K26"/>
  <c r="N26" s="1"/>
  <c r="C26"/>
  <c r="Z9" i="1"/>
  <c r="Z10" s="1"/>
  <c r="Z11" s="1"/>
  <c r="Z12" s="1"/>
  <c r="Z17" s="1"/>
  <c r="Z18" s="1"/>
  <c r="Z19" s="1"/>
  <c r="Z20" s="1"/>
  <c r="Z21" s="1"/>
  <c r="Z23" s="1"/>
  <c r="Z24" s="1"/>
  <c r="Z27" s="1"/>
  <c r="Z29" s="1"/>
  <c r="Z30" s="1"/>
  <c r="Z31" s="1"/>
  <c r="Z32" s="1"/>
  <c r="Z33" s="1"/>
  <c r="Z34" s="1"/>
  <c r="AA8"/>
  <c r="X31" i="2"/>
  <c r="W32"/>
  <c r="AG34" i="5"/>
  <c r="AG35" s="1"/>
  <c r="AH31"/>
  <c r="U8"/>
  <c r="I27" i="76" l="1"/>
  <c r="M27" s="1"/>
  <c r="K27"/>
  <c r="N27" s="1"/>
  <c r="G27"/>
  <c r="C27"/>
  <c r="D26"/>
  <c r="E26" s="1"/>
  <c r="L26"/>
  <c r="U9" i="5"/>
  <c r="I28" i="76" l="1"/>
  <c r="M28" s="1"/>
  <c r="C28"/>
  <c r="G28"/>
  <c r="K28"/>
  <c r="N28" s="1"/>
  <c r="D27"/>
  <c r="E27" s="1"/>
  <c r="L27"/>
  <c r="T22" i="5"/>
  <c r="T34" s="1"/>
  <c r="T35" s="1"/>
  <c r="U10"/>
  <c r="I29" i="76" l="1"/>
  <c r="M29" s="1"/>
  <c r="G29"/>
  <c r="K29"/>
  <c r="N29" s="1"/>
  <c r="D28"/>
  <c r="E28" s="1"/>
  <c r="L28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1" s="1"/>
  <c r="L22" s="1"/>
  <c r="L24" s="1"/>
  <c r="L25" s="1"/>
  <c r="L27" s="1"/>
  <c r="L28" s="1"/>
  <c r="L29" s="1"/>
  <c r="L30" s="1"/>
  <c r="L31" s="1"/>
  <c r="L32" s="1"/>
  <c r="J3"/>
  <c r="D7"/>
  <c r="D24" s="1"/>
  <c r="D25" s="1"/>
  <c r="D31" s="1"/>
  <c r="D32" s="1"/>
  <c r="B7"/>
  <c r="B24" s="1"/>
  <c r="B25" s="1"/>
  <c r="B31" s="1"/>
  <c r="B32" s="1"/>
  <c r="I30" i="76" l="1"/>
  <c r="M30" s="1"/>
  <c r="C30"/>
  <c r="G30"/>
  <c r="D29"/>
  <c r="E29" s="1"/>
  <c r="L29"/>
  <c r="K30"/>
  <c r="N30" s="1"/>
  <c r="M6" i="79"/>
  <c r="I6" s="1"/>
  <c r="J4" i="3"/>
  <c r="I31" i="76" l="1"/>
  <c r="M31" s="1"/>
  <c r="G31"/>
  <c r="K31"/>
  <c r="N31" s="1"/>
  <c r="C31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N43"/>
  <c r="J43"/>
  <c r="F43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J19" i="3" l="1"/>
  <c r="M21" i="79"/>
  <c r="O20"/>
  <c r="K19" i="5"/>
  <c r="I19" i="79"/>
  <c r="W18" i="76"/>
  <c r="M22" i="79" l="1"/>
  <c r="O21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17" i="81" l="1"/>
  <c r="BC10" i="5"/>
  <c r="I4" i="3"/>
  <c r="H5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I23" i="3"/>
  <c r="H24"/>
  <c r="I24" s="1"/>
  <c r="H32"/>
  <c r="I31"/>
  <c r="BC22" i="7"/>
  <c r="AS22"/>
  <c r="AX22" s="1"/>
  <c r="Q21" i="76" s="1"/>
  <c r="AN27" i="7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I32" i="3"/>
  <c r="X24" i="7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Y25"/>
  <c r="AR25" s="1"/>
  <c r="AS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N29" i="7" l="1"/>
  <c r="O31" i="2"/>
  <c r="S33" i="76"/>
  <c r="T33" s="1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R26" s="1"/>
  <c r="AS26" s="1"/>
  <c r="AQ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BC26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Q26" i="7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X28"/>
  <c r="Q27" i="76" s="1"/>
  <c r="U30" i="7"/>
  <c r="V30"/>
  <c r="W30" s="1"/>
  <c r="Y29"/>
  <c r="AR29" s="1"/>
  <c r="AS29" s="1"/>
  <c r="AQ27"/>
  <c r="BC28"/>
  <c r="AX27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S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8" i="76" s="1"/>
  <c r="AQ29" i="7"/>
  <c r="BC29"/>
  <c r="V32"/>
  <c r="W32" s="1"/>
  <c r="U32"/>
  <c r="AX30" l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Y35" i="7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T19" s="1"/>
  <c r="F16" i="81" s="1"/>
  <c r="O23" i="76"/>
  <c r="P23" s="1"/>
  <c r="R23" s="1"/>
  <c r="T23" s="1"/>
  <c r="F20" i="81" s="1"/>
  <c r="O27" i="76"/>
  <c r="P27" s="1"/>
  <c r="R27" s="1"/>
  <c r="T27" s="1"/>
  <c r="F24" i="81" s="1"/>
  <c r="O31" i="76"/>
  <c r="P31" s="1"/>
  <c r="R31" s="1"/>
  <c r="T31" s="1"/>
  <c r="O21"/>
  <c r="P21" s="1"/>
  <c r="R21" s="1"/>
  <c r="T21" s="1"/>
  <c r="F18" i="81" s="1"/>
  <c r="O29" i="76"/>
  <c r="P29" s="1"/>
  <c r="R29" s="1"/>
  <c r="T29" s="1"/>
  <c r="F26" i="81" s="1"/>
  <c r="O30" i="76"/>
  <c r="P30" s="1"/>
  <c r="R30" s="1"/>
  <c r="T30" s="1"/>
  <c r="F27" i="81" s="1"/>
  <c r="O20" i="76"/>
  <c r="P20" s="1"/>
  <c r="R20" s="1"/>
  <c r="T20" s="1"/>
  <c r="F17" i="81" s="1"/>
  <c r="O24" i="76"/>
  <c r="P24" s="1"/>
  <c r="R24" s="1"/>
  <c r="T24" s="1"/>
  <c r="F21" i="81" s="1"/>
  <c r="O28" i="76"/>
  <c r="P28" s="1"/>
  <c r="R28" s="1"/>
  <c r="T28" s="1"/>
  <c r="F25" i="81" s="1"/>
  <c r="O32" i="76"/>
  <c r="P32" s="1"/>
  <c r="R32" s="1"/>
  <c r="T32" s="1"/>
  <c r="O25"/>
  <c r="P25" s="1"/>
  <c r="R25" s="1"/>
  <c r="T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O26"/>
  <c r="P26" s="1"/>
  <c r="R26" s="1"/>
  <c r="T26" s="1"/>
  <c r="F23" i="81" s="1"/>
  <c r="O12" i="76"/>
  <c r="P12" s="1"/>
  <c r="R12" s="1"/>
  <c r="T12" s="1"/>
  <c r="F10" i="81" s="1"/>
  <c r="O10" i="76"/>
  <c r="P10" s="1"/>
  <c r="R10" s="1"/>
  <c r="T10" s="1"/>
  <c r="F8" i="81" s="1"/>
  <c r="F22"/>
  <c r="O14" i="76"/>
  <c r="AB36"/>
  <c r="AB37" s="1"/>
  <c r="O4"/>
  <c r="P4" s="1"/>
  <c r="R4" s="1"/>
  <c r="T4" s="1"/>
  <c r="F2" i="81" s="1"/>
  <c r="F29"/>
  <c r="O5" i="76"/>
  <c r="P5" s="1"/>
  <c r="R5" s="1"/>
  <c r="T5" s="1"/>
  <c r="F3" i="81" s="1"/>
  <c r="O11" i="76"/>
  <c r="P11" s="1"/>
  <c r="R11" s="1"/>
  <c r="T11" s="1"/>
  <c r="F9" i="81" s="1"/>
  <c r="O16" i="76"/>
  <c r="P16" s="1"/>
  <c r="R16" s="1"/>
  <c r="T16" s="1"/>
  <c r="F13" i="81" s="1"/>
  <c r="O9" i="76"/>
  <c r="P9" s="1"/>
  <c r="R9" s="1"/>
  <c r="T9" s="1"/>
  <c r="F7" i="81" s="1"/>
  <c r="F31"/>
  <c r="O8" i="76"/>
  <c r="P8" s="1"/>
  <c r="R8" s="1"/>
  <c r="T8" s="1"/>
  <c r="F6" i="81" s="1"/>
  <c r="O6" i="76"/>
  <c r="P6" s="1"/>
  <c r="R6" s="1"/>
  <c r="T6" s="1"/>
  <c r="F4" i="81" s="1"/>
  <c r="F28"/>
  <c r="O13" i="76"/>
  <c r="P13" s="1"/>
  <c r="R13" s="1"/>
  <c r="T13" s="1"/>
  <c r="F11" i="81" s="1"/>
  <c r="F30"/>
  <c r="O7" i="76"/>
  <c r="P7" s="1"/>
  <c r="R7" s="1"/>
  <c r="T7" s="1"/>
  <c r="F5" i="81" s="1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  <c r="BC24" i="7"/>
  <c r="BC23"/>
  <c r="AQ23"/>
  <c r="AS23"/>
  <c r="AX23" s="1"/>
  <c r="Q22" i="76" l="1"/>
  <c r="R22" s="1"/>
  <c r="T22" s="1"/>
  <c r="F19" i="81" s="1"/>
  <c r="AX36" i="7"/>
  <c r="Z42" i="76" s="1"/>
  <c r="Z43" s="1"/>
  <c r="Z45" s="1"/>
  <c r="AY23" i="7"/>
  <c r="AY36" s="1"/>
  <c r="AS39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<sst xmlns="http://schemas.openxmlformats.org/spreadsheetml/2006/main" count="673" uniqueCount="417">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</sst>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/>
    <xf numFmtId="0" fontId="0" fillId="22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0" fontId="23" fillId="14" borderId="43" xfId="0" applyFont="1" applyFill="1" applyBorder="1" applyAlignment="1">
      <alignment horizontal="right"/>
    </xf>
    <xf numFmtId="0" fontId="23" fillId="14" borderId="15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18356</c:v>
                </c:pt>
                <c:pt idx="20">
                  <c:v>15602</c:v>
                </c:pt>
                <c:pt idx="21">
                  <c:v>15615</c:v>
                </c:pt>
                <c:pt idx="22">
                  <c:v>16091</c:v>
                </c:pt>
                <c:pt idx="23">
                  <c:v>15947</c:v>
                </c:pt>
                <c:pt idx="24">
                  <c:v>15711</c:v>
                </c:pt>
                <c:pt idx="25">
                  <c:v>17638</c:v>
                </c:pt>
                <c:pt idx="26">
                  <c:v>15515</c:v>
                </c:pt>
                <c:pt idx="27">
                  <c:v>17211</c:v>
                </c:pt>
                <c:pt idx="28">
                  <c:v>18814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9987968"/>
        <c:axId val="139662080"/>
      </c:lineChart>
      <c:catAx>
        <c:axId val="1399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62080"/>
        <c:crosses val="autoZero"/>
        <c:auto val="1"/>
        <c:lblAlgn val="ctr"/>
        <c:lblOffset val="100"/>
      </c:catAx>
      <c:valAx>
        <c:axId val="139662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156"/>
          <c:w val="0.11899800868449698"/>
          <c:h val="4.49826989619438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6706</c:v>
                </c:pt>
                <c:pt idx="22">
                  <c:v>7214</c:v>
                </c:pt>
                <c:pt idx="23">
                  <c:v>6130</c:v>
                </c:pt>
                <c:pt idx="24">
                  <c:v>6093</c:v>
                </c:pt>
                <c:pt idx="25">
                  <c:v>6029</c:v>
                </c:pt>
                <c:pt idx="26">
                  <c:v>7102</c:v>
                </c:pt>
                <c:pt idx="27">
                  <c:v>5597</c:v>
                </c:pt>
                <c:pt idx="28">
                  <c:v>6341</c:v>
                </c:pt>
                <c:pt idx="29">
                  <c:v>6535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9682560"/>
        <c:axId val="139684096"/>
      </c:lineChart>
      <c:catAx>
        <c:axId val="13968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84096"/>
        <c:crosses val="autoZero"/>
        <c:auto val="1"/>
        <c:lblAlgn val="ctr"/>
        <c:lblOffset val="100"/>
      </c:catAx>
      <c:valAx>
        <c:axId val="13968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8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27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3.04E-2</c:v>
                </c:pt>
                <c:pt idx="19">
                  <c:v>2.1700000000000001E-2</c:v>
                </c:pt>
                <c:pt idx="20">
                  <c:v>8.6999999999999994E-3</c:v>
                </c:pt>
                <c:pt idx="21">
                  <c:v>2.6100000000000002E-2</c:v>
                </c:pt>
                <c:pt idx="22">
                  <c:v>1.7399999999999999E-2</c:v>
                </c:pt>
                <c:pt idx="23">
                  <c:v>1.2999999999999999E-2</c:v>
                </c:pt>
                <c:pt idx="24">
                  <c:v>1.7399999999999999E-2</c:v>
                </c:pt>
                <c:pt idx="25">
                  <c:v>1.2999999999999999E-2</c:v>
                </c:pt>
                <c:pt idx="26">
                  <c:v>2.4E-2</c:v>
                </c:pt>
                <c:pt idx="27">
                  <c:v>3.4799999999999998E-2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700096"/>
        <c:axId val="139701632"/>
      </c:lineChart>
      <c:catAx>
        <c:axId val="1397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01632"/>
        <c:crosses val="autoZero"/>
        <c:auto val="1"/>
        <c:lblAlgn val="ctr"/>
        <c:lblOffset val="100"/>
      </c:catAx>
      <c:valAx>
        <c:axId val="1397016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483"/>
          <c:y val="0.62975887529634156"/>
          <c:w val="7.9124755870162669E-2"/>
          <c:h val="4.49826989619438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6.992</c:v>
                </c:pt>
                <c:pt idx="19">
                  <c:v>4.9910000000000005</c:v>
                </c:pt>
                <c:pt idx="20">
                  <c:v>2.0009999999999999</c:v>
                </c:pt>
                <c:pt idx="21">
                  <c:v>6.0030000000000001</c:v>
                </c:pt>
                <c:pt idx="22">
                  <c:v>4.0019999999999998</c:v>
                </c:pt>
                <c:pt idx="23">
                  <c:v>2.9899999999999998</c:v>
                </c:pt>
                <c:pt idx="24">
                  <c:v>4.0019999999999998</c:v>
                </c:pt>
                <c:pt idx="25">
                  <c:v>2.9899999999999998</c:v>
                </c:pt>
                <c:pt idx="26">
                  <c:v>5.5200000000000005</c:v>
                </c:pt>
                <c:pt idx="27">
                  <c:v>8.0039999999999996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730048"/>
        <c:axId val="89740032"/>
      </c:lineChart>
      <c:catAx>
        <c:axId val="8973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40032"/>
        <c:crosses val="autoZero"/>
        <c:auto val="1"/>
        <c:lblAlgn val="ctr"/>
        <c:lblOffset val="100"/>
      </c:catAx>
      <c:valAx>
        <c:axId val="89740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3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952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239.7</c:v>
                </c:pt>
                <c:pt idx="19">
                  <c:v>170.5</c:v>
                </c:pt>
                <c:pt idx="20">
                  <c:v>212.6875</c:v>
                </c:pt>
                <c:pt idx="21">
                  <c:v>225</c:v>
                </c:pt>
                <c:pt idx="22">
                  <c:v>239.76923076923077</c:v>
                </c:pt>
                <c:pt idx="23">
                  <c:v>192.8125</c:v>
                </c:pt>
                <c:pt idx="24">
                  <c:v>211.875</c:v>
                </c:pt>
                <c:pt idx="25">
                  <c:v>246.46153846153845</c:v>
                </c:pt>
                <c:pt idx="26">
                  <c:v>232.92857142857142</c:v>
                </c:pt>
                <c:pt idx="27">
                  <c:v>212.63636363636363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776512"/>
        <c:axId val="89778048"/>
      </c:lineChart>
      <c:catAx>
        <c:axId val="8977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78048"/>
        <c:crosses val="autoZero"/>
        <c:auto val="1"/>
        <c:lblAlgn val="ctr"/>
        <c:lblOffset val="100"/>
      </c:catAx>
      <c:valAx>
        <c:axId val="89778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7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62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913216"/>
        <c:axId val="89914752"/>
      </c:lineChart>
      <c:catAx>
        <c:axId val="899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4752"/>
        <c:crosses val="autoZero"/>
        <c:auto val="1"/>
        <c:lblAlgn val="ctr"/>
        <c:lblOffset val="100"/>
      </c:catAx>
      <c:valAx>
        <c:axId val="8991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078208"/>
        <c:axId val="90088192"/>
      </c:lineChart>
      <c:catAx>
        <c:axId val="9007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88192"/>
        <c:crosses val="autoZero"/>
        <c:auto val="1"/>
        <c:lblAlgn val="ctr"/>
        <c:lblOffset val="100"/>
      </c:catAx>
      <c:valAx>
        <c:axId val="9008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7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246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254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154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181632"/>
        <c:axId val="90183168"/>
      </c:lineChart>
      <c:catAx>
        <c:axId val="9018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3168"/>
        <c:crosses val="autoZero"/>
        <c:auto val="1"/>
        <c:lblAlgn val="ctr"/>
        <c:lblOffset val="100"/>
      </c:catAx>
      <c:valAx>
        <c:axId val="9018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215552"/>
        <c:axId val="90217088"/>
      </c:lineChart>
      <c:catAx>
        <c:axId val="9021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7088"/>
        <c:crosses val="autoZero"/>
        <c:auto val="1"/>
        <c:lblAlgn val="ctr"/>
        <c:lblOffset val="100"/>
      </c:catAx>
      <c:valAx>
        <c:axId val="90217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899"/>
          <c:w val="0.127240331517717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376448"/>
        <c:axId val="90382336"/>
      </c:lineChart>
      <c:catAx>
        <c:axId val="9037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2336"/>
        <c:crosses val="autoZero"/>
        <c:auto val="1"/>
        <c:lblAlgn val="ctr"/>
        <c:lblOffset val="100"/>
      </c:catAx>
      <c:valAx>
        <c:axId val="9038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7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352</c:v>
                </c:pt>
                <c:pt idx="16">
                  <c:v>346</c:v>
                </c:pt>
                <c:pt idx="17">
                  <c:v>312</c:v>
                </c:pt>
                <c:pt idx="18">
                  <c:v>588.59999999997672</c:v>
                </c:pt>
                <c:pt idx="19">
                  <c:v>482</c:v>
                </c:pt>
                <c:pt idx="20">
                  <c:v>279</c:v>
                </c:pt>
                <c:pt idx="21">
                  <c:v>382</c:v>
                </c:pt>
                <c:pt idx="22">
                  <c:v>449</c:v>
                </c:pt>
                <c:pt idx="23">
                  <c:v>318</c:v>
                </c:pt>
                <c:pt idx="24">
                  <c:v>434</c:v>
                </c:pt>
                <c:pt idx="25">
                  <c:v>603</c:v>
                </c:pt>
                <c:pt idx="26">
                  <c:v>341</c:v>
                </c:pt>
                <c:pt idx="27">
                  <c:v>372</c:v>
                </c:pt>
                <c:pt idx="28">
                  <c:v>397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439040"/>
        <c:axId val="90457216"/>
      </c:lineChart>
      <c:catAx>
        <c:axId val="904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57216"/>
        <c:crosses val="autoZero"/>
        <c:auto val="1"/>
        <c:lblAlgn val="ctr"/>
        <c:lblOffset val="100"/>
      </c:catAx>
      <c:valAx>
        <c:axId val="9045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899"/>
          <c:w val="0.135416885389342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120</c:v>
                </c:pt>
                <c:pt idx="15">
                  <c:v>90</c:v>
                </c:pt>
                <c:pt idx="16">
                  <c:v>90</c:v>
                </c:pt>
                <c:pt idx="17">
                  <c:v>510</c:v>
                </c:pt>
                <c:pt idx="18">
                  <c:v>150</c:v>
                </c:pt>
                <c:pt idx="19">
                  <c:v>60</c:v>
                </c:pt>
                <c:pt idx="20">
                  <c:v>90</c:v>
                </c:pt>
                <c:pt idx="21">
                  <c:v>-60</c:v>
                </c:pt>
                <c:pt idx="22">
                  <c:v>90</c:v>
                </c:pt>
                <c:pt idx="23">
                  <c:v>90</c:v>
                </c:pt>
                <c:pt idx="24">
                  <c:v>530</c:v>
                </c:pt>
                <c:pt idx="25">
                  <c:v>30</c:v>
                </c:pt>
                <c:pt idx="26">
                  <c:v>60</c:v>
                </c:pt>
                <c:pt idx="27">
                  <c:v>300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481408"/>
        <c:axId val="90482944"/>
      </c:lineChart>
      <c:catAx>
        <c:axId val="9048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2944"/>
        <c:crosses val="autoZero"/>
        <c:auto val="1"/>
        <c:lblAlgn val="ctr"/>
        <c:lblOffset val="100"/>
      </c:catAx>
      <c:valAx>
        <c:axId val="90482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8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18356</c:v>
                </c:pt>
                <c:pt idx="20">
                  <c:v>15602</c:v>
                </c:pt>
                <c:pt idx="21">
                  <c:v>15615</c:v>
                </c:pt>
                <c:pt idx="22">
                  <c:v>16091</c:v>
                </c:pt>
                <c:pt idx="23">
                  <c:v>15947</c:v>
                </c:pt>
                <c:pt idx="24">
                  <c:v>15711</c:v>
                </c:pt>
                <c:pt idx="25">
                  <c:v>17638</c:v>
                </c:pt>
                <c:pt idx="26">
                  <c:v>15515</c:v>
                </c:pt>
                <c:pt idx="27">
                  <c:v>17211</c:v>
                </c:pt>
                <c:pt idx="28">
                  <c:v>18814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122496"/>
        <c:axId val="90140672"/>
      </c:lineChart>
      <c:catAx>
        <c:axId val="901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40672"/>
        <c:crosses val="autoZero"/>
        <c:auto val="1"/>
        <c:lblAlgn val="ctr"/>
        <c:lblOffset val="100"/>
      </c:catAx>
      <c:valAx>
        <c:axId val="90140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156"/>
          <c:w val="0.12291688538932598"/>
          <c:h val="4.49826989619437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6706</c:v>
                </c:pt>
                <c:pt idx="22">
                  <c:v>7214</c:v>
                </c:pt>
                <c:pt idx="23">
                  <c:v>6130</c:v>
                </c:pt>
                <c:pt idx="24">
                  <c:v>6093</c:v>
                </c:pt>
                <c:pt idx="25">
                  <c:v>6029</c:v>
                </c:pt>
                <c:pt idx="26">
                  <c:v>7102</c:v>
                </c:pt>
                <c:pt idx="27">
                  <c:v>5597</c:v>
                </c:pt>
                <c:pt idx="28">
                  <c:v>6341</c:v>
                </c:pt>
                <c:pt idx="29">
                  <c:v>6535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0160512"/>
        <c:axId val="90166400"/>
      </c:lineChart>
      <c:catAx>
        <c:axId val="9016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66400"/>
        <c:crosses val="autoZero"/>
        <c:auto val="1"/>
        <c:lblAlgn val="ctr"/>
        <c:lblOffset val="100"/>
      </c:catAx>
      <c:valAx>
        <c:axId val="90166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6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899"/>
          <c:w val="0.135416885389342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391296"/>
        <c:axId val="90392832"/>
      </c:lineChart>
      <c:catAx>
        <c:axId val="9039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92832"/>
        <c:crosses val="autoZero"/>
        <c:auto val="1"/>
        <c:lblAlgn val="ctr"/>
        <c:lblOffset val="100"/>
      </c:catAx>
      <c:valAx>
        <c:axId val="90392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9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331"/>
          <c:y val="0.54325368498487869"/>
          <c:w val="0.11458355205599259"/>
          <c:h val="4.49826989619431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-1553.0967741935456</c:v>
                </c:pt>
                <c:pt idx="15">
                  <c:v>-1840.0645161290377</c:v>
                </c:pt>
                <c:pt idx="16">
                  <c:v>-217.38709677419683</c:v>
                </c:pt>
                <c:pt idx="17">
                  <c:v>-2760.096774193531</c:v>
                </c:pt>
                <c:pt idx="18">
                  <c:v>-1903.0645161290449</c:v>
                </c:pt>
                <c:pt idx="19">
                  <c:v>-1163.709677419356</c:v>
                </c:pt>
                <c:pt idx="20">
                  <c:v>-1212.7096774193487</c:v>
                </c:pt>
                <c:pt idx="21">
                  <c:v>-1972.4032258064544</c:v>
                </c:pt>
                <c:pt idx="22">
                  <c:v>-1651.7258064516136</c:v>
                </c:pt>
                <c:pt idx="23">
                  <c:v>-2099.4064516129001</c:v>
                </c:pt>
                <c:pt idx="24">
                  <c:v>5.0516129032257595</c:v>
                </c:pt>
                <c:pt idx="25">
                  <c:v>-2786.7741935483864</c:v>
                </c:pt>
                <c:pt idx="26">
                  <c:v>-1634.7161290322547</c:v>
                </c:pt>
                <c:pt idx="27">
                  <c:v>-2018.7354838709725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527616"/>
        <c:axId val="90529152"/>
      </c:lineChart>
      <c:catAx>
        <c:axId val="9052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9152"/>
        <c:crosses val="autoZero"/>
        <c:auto val="1"/>
        <c:lblAlgn val="ctr"/>
        <c:lblOffset val="100"/>
      </c:catAx>
      <c:valAx>
        <c:axId val="90529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81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537344"/>
        <c:axId val="90567808"/>
      </c:lineChart>
      <c:catAx>
        <c:axId val="9053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67808"/>
        <c:crosses val="autoZero"/>
        <c:auto val="1"/>
        <c:lblAlgn val="ctr"/>
        <c:lblOffset val="100"/>
      </c:catAx>
      <c:valAx>
        <c:axId val="9056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3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625"/>
          <c:y val="0.62975887529634156"/>
          <c:w val="0.13541688538934313"/>
          <c:h val="4.49826989619437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3.04E-2</c:v>
                </c:pt>
                <c:pt idx="19">
                  <c:v>2.1700000000000001E-2</c:v>
                </c:pt>
                <c:pt idx="20">
                  <c:v>8.6999999999999994E-3</c:v>
                </c:pt>
                <c:pt idx="21">
                  <c:v>2.6100000000000002E-2</c:v>
                </c:pt>
                <c:pt idx="22">
                  <c:v>1.7399999999999999E-2</c:v>
                </c:pt>
                <c:pt idx="23">
                  <c:v>1.2999999999999999E-2</c:v>
                </c:pt>
                <c:pt idx="24">
                  <c:v>1.7399999999999999E-2</c:v>
                </c:pt>
                <c:pt idx="25">
                  <c:v>1.2999999999999999E-2</c:v>
                </c:pt>
                <c:pt idx="26">
                  <c:v>2.4E-2</c:v>
                </c:pt>
                <c:pt idx="27">
                  <c:v>3.4799999999999998E-2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587904"/>
        <c:axId val="90589440"/>
      </c:lineChart>
      <c:catAx>
        <c:axId val="9058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89440"/>
        <c:crosses val="autoZero"/>
        <c:auto val="1"/>
        <c:lblAlgn val="ctr"/>
        <c:lblOffset val="100"/>
      </c:catAx>
      <c:valAx>
        <c:axId val="905894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8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156"/>
          <c:w val="9.730870597697025E-2"/>
          <c:h val="4.49826989619437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84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6.992</c:v>
                </c:pt>
                <c:pt idx="19">
                  <c:v>4.9910000000000005</c:v>
                </c:pt>
                <c:pt idx="20">
                  <c:v>2.0009999999999999</c:v>
                </c:pt>
                <c:pt idx="21">
                  <c:v>6.0030000000000001</c:v>
                </c:pt>
                <c:pt idx="22">
                  <c:v>4.0019999999999998</c:v>
                </c:pt>
                <c:pt idx="23">
                  <c:v>2.9899999999999998</c:v>
                </c:pt>
                <c:pt idx="24">
                  <c:v>4.0019999999999998</c:v>
                </c:pt>
                <c:pt idx="25">
                  <c:v>2.9899999999999998</c:v>
                </c:pt>
                <c:pt idx="26">
                  <c:v>5.5200000000000005</c:v>
                </c:pt>
                <c:pt idx="27">
                  <c:v>8.0039999999999996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642304"/>
        <c:axId val="90643840"/>
      </c:lineChart>
      <c:catAx>
        <c:axId val="9064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43840"/>
        <c:crosses val="autoZero"/>
        <c:auto val="1"/>
        <c:lblAlgn val="ctr"/>
        <c:lblOffset val="100"/>
      </c:catAx>
      <c:valAx>
        <c:axId val="90643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4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7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659840"/>
        <c:axId val="90669824"/>
      </c:lineChart>
      <c:catAx>
        <c:axId val="9065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69824"/>
        <c:crosses val="autoZero"/>
        <c:auto val="1"/>
        <c:lblAlgn val="ctr"/>
        <c:lblOffset val="100"/>
      </c:catAx>
      <c:valAx>
        <c:axId val="9066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913"/>
          <c:y val="0.62975887529634156"/>
          <c:w val="0.13250539334757044"/>
          <c:h val="4.49826989619437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246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254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154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771840"/>
        <c:axId val="90773376"/>
      </c:lineChart>
      <c:catAx>
        <c:axId val="907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3376"/>
        <c:crosses val="autoZero"/>
        <c:auto val="1"/>
        <c:lblAlgn val="ctr"/>
        <c:lblOffset val="100"/>
      </c:catAx>
      <c:valAx>
        <c:axId val="9077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8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805760"/>
        <c:axId val="90807296"/>
      </c:lineChart>
      <c:catAx>
        <c:axId val="9080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07296"/>
        <c:crosses val="autoZero"/>
        <c:auto val="1"/>
        <c:lblAlgn val="ctr"/>
        <c:lblOffset val="100"/>
      </c:catAx>
      <c:valAx>
        <c:axId val="9080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0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9526"/>
          <c:w val="0.1234311819809231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-54.900000000000006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167.6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90914176"/>
        <c:axId val="90924160"/>
      </c:lineChart>
      <c:catAx>
        <c:axId val="909141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24160"/>
        <c:crosses val="autoZero"/>
        <c:auto val="1"/>
        <c:lblAlgn val="ctr"/>
        <c:lblOffset val="100"/>
      </c:catAx>
      <c:valAx>
        <c:axId val="909241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533"/>
          <c:y val="0.45486256926221136"/>
          <c:w val="0.1569039853282083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239.7</c:v>
                </c:pt>
                <c:pt idx="19">
                  <c:v>170.5</c:v>
                </c:pt>
                <c:pt idx="20">
                  <c:v>212.6875</c:v>
                </c:pt>
                <c:pt idx="21">
                  <c:v>225</c:v>
                </c:pt>
                <c:pt idx="22">
                  <c:v>239.76923076923077</c:v>
                </c:pt>
                <c:pt idx="23">
                  <c:v>192.8125</c:v>
                </c:pt>
                <c:pt idx="24">
                  <c:v>211.875</c:v>
                </c:pt>
                <c:pt idx="25">
                  <c:v>246.46153846153845</c:v>
                </c:pt>
                <c:pt idx="26">
                  <c:v>232.92857142857142</c:v>
                </c:pt>
                <c:pt idx="27">
                  <c:v>212.63636363636363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943872"/>
        <c:axId val="90945408"/>
      </c:lineChart>
      <c:catAx>
        <c:axId val="9094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45408"/>
        <c:crosses val="autoZero"/>
        <c:auto val="1"/>
        <c:lblAlgn val="ctr"/>
        <c:lblOffset val="100"/>
      </c:catAx>
      <c:valAx>
        <c:axId val="90945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4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156"/>
          <c:w val="0.14853578449138968"/>
          <c:h val="4.49826989619440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986368"/>
        <c:axId val="90987904"/>
      </c:lineChart>
      <c:catAx>
        <c:axId val="9098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7904"/>
        <c:crosses val="autoZero"/>
        <c:auto val="1"/>
        <c:lblAlgn val="ctr"/>
        <c:lblOffset val="100"/>
      </c:catAx>
      <c:valAx>
        <c:axId val="9098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0067"/>
          <c:y val="0.62975887529634156"/>
          <c:w val="0.12164948453608219"/>
          <c:h val="4.49826989619440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24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238400"/>
        <c:axId val="91239936"/>
      </c:lineChart>
      <c:catAx>
        <c:axId val="9123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9936"/>
        <c:crosses val="autoZero"/>
        <c:auto val="1"/>
        <c:lblAlgn val="ctr"/>
        <c:lblOffset val="100"/>
      </c:catAx>
      <c:valAx>
        <c:axId val="91239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6706</c:v>
                </c:pt>
                <c:pt idx="22">
                  <c:v>7214</c:v>
                </c:pt>
                <c:pt idx="23">
                  <c:v>6130</c:v>
                </c:pt>
                <c:pt idx="24">
                  <c:v>6093</c:v>
                </c:pt>
                <c:pt idx="25">
                  <c:v>6029</c:v>
                </c:pt>
                <c:pt idx="26">
                  <c:v>7102</c:v>
                </c:pt>
                <c:pt idx="27">
                  <c:v>5597</c:v>
                </c:pt>
                <c:pt idx="28">
                  <c:v>6341</c:v>
                </c:pt>
                <c:pt idx="29">
                  <c:v>6535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1595904"/>
        <c:axId val="91597440"/>
      </c:lineChart>
      <c:catAx>
        <c:axId val="9159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7440"/>
        <c:crosses val="autoZero"/>
        <c:auto val="1"/>
        <c:lblAlgn val="ctr"/>
        <c:lblOffset val="100"/>
      </c:catAx>
      <c:valAx>
        <c:axId val="9159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02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-54.900000000000006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167.6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91667840"/>
        <c:axId val="91669632"/>
      </c:lineChart>
      <c:catAx>
        <c:axId val="916678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69632"/>
        <c:crosses val="autoZero"/>
        <c:auto val="1"/>
        <c:lblAlgn val="ctr"/>
        <c:lblOffset val="100"/>
      </c:catAx>
      <c:valAx>
        <c:axId val="916696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6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13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H27" sqref="H2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6.6086751152829276E-2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5.9017146173646763E-2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7.7029595274542173E-2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2.0989931936600661E-2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7.0245061962627503E-2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6.2633867859029593E-2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6.809142829625546E-2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6.2002075296336147E-2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6.6403002475366818E-2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7.0013882640732467E-2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9.1721917759349333E-2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7.1192433686546472E-2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7.1692466416848011E-2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7.5406421590094877E-2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15381</v>
      </c>
      <c r="F16" s="340">
        <f>SUM('EDl log'!T19)</f>
        <v>6.3495347723501405E-2</v>
      </c>
      <c r="G16" s="207">
        <f>-tanks!AW20</f>
        <v>352</v>
      </c>
      <c r="H16" s="340">
        <f>SUM(tanks!AV20)</f>
        <v>0.36</v>
      </c>
      <c r="I16" s="10">
        <f>('B5'!AU19)*0.51</f>
        <v>61.2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15463</v>
      </c>
      <c r="F17" s="340">
        <f>SUM('EDl log'!T20)</f>
        <v>7.5298067466362195E-2</v>
      </c>
      <c r="G17" s="207">
        <f>-tanks!AW21</f>
        <v>346</v>
      </c>
      <c r="H17" s="340">
        <f>SUM(tanks!AV21)</f>
        <v>0.36</v>
      </c>
      <c r="I17" s="10">
        <f>('B5'!AU20)*0.51</f>
        <v>45.9</v>
      </c>
      <c r="J17" s="319">
        <f>'B5'!AX20/0.51</f>
        <v>1.3725490196078429</v>
      </c>
      <c r="K17" s="207">
        <f>WATER!I21</f>
        <v>80</v>
      </c>
      <c r="L17" s="341">
        <f>SUM(WATER!J21)</f>
        <v>3.125</v>
      </c>
      <c r="M17" s="341">
        <f>WATER!Q21</f>
        <v>0</v>
      </c>
      <c r="N17" s="517">
        <v>0.6</v>
      </c>
      <c r="O17" s="10">
        <f>ELEC!B18</f>
        <v>4.9910000000000005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14854</v>
      </c>
      <c r="F18" s="340">
        <f>SUM('EDl log'!T21)</f>
        <v>4.4932262688075687E-2</v>
      </c>
      <c r="G18" s="207">
        <f>-tanks!AW22</f>
        <v>312</v>
      </c>
      <c r="H18" s="340">
        <f>SUM(tanks!AV22)</f>
        <v>0.39300000000000002</v>
      </c>
      <c r="I18" s="10">
        <f>('B5'!AU21)*0.51</f>
        <v>45.9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4.0019999999999998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17822</v>
      </c>
      <c r="F19" s="340">
        <f>SUM('EDl log'!T22)</f>
        <v>7.2850853578506333E-2</v>
      </c>
      <c r="G19" s="207">
        <f>-tanks!AW23</f>
        <v>588.59999999997672</v>
      </c>
      <c r="H19" s="340">
        <f>SUM(tanks!AV23)</f>
        <v>0.39300000000000002</v>
      </c>
      <c r="I19" s="10">
        <f>('B5'!AU22)*0.51</f>
        <v>260.10000000000002</v>
      </c>
      <c r="J19" s="319">
        <f>'B5'!AX22/0.51</f>
        <v>1.3725490196078429</v>
      </c>
      <c r="K19" s="207">
        <f>WATER!I23</f>
        <v>338</v>
      </c>
      <c r="L19" s="341">
        <f>SUM(WATER!J23)</f>
        <v>0.73964497041420119</v>
      </c>
      <c r="M19" s="341">
        <f>WATER!Q23</f>
        <v>0</v>
      </c>
      <c r="N19" s="517">
        <v>0.6</v>
      </c>
      <c r="O19" s="10">
        <f>ELEC!B20</f>
        <v>4.9910000000000005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18356</v>
      </c>
      <c r="F20" s="340">
        <f>SUM('EDl log'!T23)</f>
        <v>6.8584898413351414E-2</v>
      </c>
      <c r="G20" s="207">
        <f>-tanks!AW24</f>
        <v>482</v>
      </c>
      <c r="H20" s="340">
        <f>SUM(tanks!AV24)</f>
        <v>0.39300000000000002</v>
      </c>
      <c r="I20" s="10">
        <f>('B5'!AU23)*0.51</f>
        <v>76.5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6.992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15602</v>
      </c>
      <c r="F21" s="340">
        <f>SUM('EDl log'!T24)</f>
        <v>6.5339039026028611E-2</v>
      </c>
      <c r="G21" s="207">
        <f>-tanks!AW25</f>
        <v>279</v>
      </c>
      <c r="H21" s="340">
        <f>SUM(tanks!AV25)</f>
        <v>0.39300000000000002</v>
      </c>
      <c r="I21" s="10">
        <f>('B5'!AU24)*0.51</f>
        <v>30.6</v>
      </c>
      <c r="J21" s="319">
        <f>'B5'!AX24/0.51</f>
        <v>1.3725490196078429</v>
      </c>
      <c r="K21" s="207">
        <f>WATER!I25</f>
        <v>246</v>
      </c>
      <c r="L21" s="341">
        <f>SUM(WATER!J25)</f>
        <v>1.0162601626016261</v>
      </c>
      <c r="M21" s="341">
        <f>WATER!Q25</f>
        <v>0</v>
      </c>
      <c r="N21" s="517">
        <v>0.6</v>
      </c>
      <c r="O21" s="10">
        <f>ELEC!B22</f>
        <v>4.9910000000000005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15615</v>
      </c>
      <c r="F22" s="340">
        <f>SUM('EDl log'!T25)</f>
        <v>6.8667534275586528E-2</v>
      </c>
      <c r="G22" s="207">
        <f>-tanks!AW26</f>
        <v>382</v>
      </c>
      <c r="H22" s="340">
        <f>SUM(tanks!AV26)</f>
        <v>0.39300000000000002</v>
      </c>
      <c r="I22" s="10">
        <f>('B5'!AU25)*0.51</f>
        <v>45.9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16091</v>
      </c>
      <c r="F23" s="340">
        <f>SUM('EDl log'!T26)</f>
        <v>7.4020048665082147E-2</v>
      </c>
      <c r="G23" s="207">
        <f>-tanks!AW27</f>
        <v>449</v>
      </c>
      <c r="H23" s="340">
        <f>SUM(tanks!AV27)</f>
        <v>0.39300000000000002</v>
      </c>
      <c r="I23" s="10">
        <f>('B5'!AU26)*0.51</f>
        <v>-30.6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6.0030000000000001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15947</v>
      </c>
      <c r="F24" s="340">
        <f>SUM('EDl log'!T27)</f>
        <v>7.0187627241929534E-2</v>
      </c>
      <c r="G24" s="207">
        <f>-tanks!AW28</f>
        <v>318</v>
      </c>
      <c r="H24" s="340">
        <f>SUM(tanks!AV28)</f>
        <v>0.39300000000000002</v>
      </c>
      <c r="I24" s="10">
        <f>('B5'!AU27)*0.51</f>
        <v>45.9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4.0019999999999998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15711</v>
      </c>
      <c r="F25" s="340">
        <f>SUM('EDl log'!T28)</f>
        <v>7.8856370822263044E-2</v>
      </c>
      <c r="G25" s="207">
        <f>-tanks!AW29</f>
        <v>434</v>
      </c>
      <c r="H25" s="340">
        <f>SUM(tanks!AV29)</f>
        <v>0.39300000000000002</v>
      </c>
      <c r="I25" s="10">
        <f>('B5'!AU28)*0.51</f>
        <v>45.9</v>
      </c>
      <c r="J25" s="319">
        <f>'B5'!AX28/0.51</f>
        <v>1.3725490196078429</v>
      </c>
      <c r="K25" s="207">
        <f>WATER!I29</f>
        <v>254</v>
      </c>
      <c r="L25" s="341">
        <f>SUM(WATER!J29)</f>
        <v>0.98425196850393704</v>
      </c>
      <c r="M25" s="341">
        <f>WATER!Q29</f>
        <v>0</v>
      </c>
      <c r="N25" s="517">
        <v>0.6</v>
      </c>
      <c r="O25" s="10">
        <f>ELEC!B26</f>
        <v>2.9899999999999998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17638</v>
      </c>
      <c r="F26" s="340">
        <f>SUM('EDl log'!T29)</f>
        <v>3.1745447079820986E-2</v>
      </c>
      <c r="G26" s="207">
        <f>-tanks!AW30</f>
        <v>603</v>
      </c>
      <c r="H26" s="340">
        <f>SUM(tanks!AV30)</f>
        <v>0.4128</v>
      </c>
      <c r="I26" s="10">
        <f>('B5'!AU29)*0.51</f>
        <v>270.3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4.0019999999999998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15515</v>
      </c>
      <c r="F27" s="340">
        <f>SUM('EDl log'!T30)</f>
        <v>9.3240384566704665E-2</v>
      </c>
      <c r="G27" s="207">
        <f>-tanks!AW31</f>
        <v>341</v>
      </c>
      <c r="H27" s="340">
        <f>SUM(tanks!AV31)</f>
        <v>0.4128</v>
      </c>
      <c r="I27" s="10">
        <f>('B5'!AU30)*0.51</f>
        <v>15.3</v>
      </c>
      <c r="J27" s="319">
        <f>'B5'!AX30/0.51</f>
        <v>1.3725490196078429</v>
      </c>
      <c r="K27" s="207">
        <f>WATER!I31</f>
        <v>74</v>
      </c>
      <c r="L27" s="341">
        <f>SUM(WATER!J31)</f>
        <v>4.7691891891891895</v>
      </c>
      <c r="M27" s="341">
        <f>WATER!Q31</f>
        <v>0</v>
      </c>
      <c r="N27" s="517">
        <v>0.6</v>
      </c>
      <c r="O27" s="10">
        <f>ELEC!B28</f>
        <v>2.9899999999999998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17211</v>
      </c>
      <c r="F28" s="340">
        <f>SUM('EDl log'!T31)</f>
        <v>6.7324081473899303E-2</v>
      </c>
      <c r="G28" s="207">
        <f>-tanks!AW32</f>
        <v>372</v>
      </c>
      <c r="H28" s="340">
        <f>SUM(tanks!AV32)</f>
        <v>0.4128</v>
      </c>
      <c r="I28" s="10">
        <f>('B5'!AU31)*0.51</f>
        <v>30.6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5.5200000000000005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18814</v>
      </c>
      <c r="F29" s="340">
        <f>SUM('EDl log'!T32)</f>
        <v>6.6435310920602689E-2</v>
      </c>
      <c r="G29" s="207">
        <f>-tanks!AW33</f>
        <v>397</v>
      </c>
      <c r="H29" s="340">
        <f>SUM(tanks!AV33)</f>
        <v>0.4128</v>
      </c>
      <c r="I29" s="10">
        <f>('B5'!AU32)*0.51</f>
        <v>153</v>
      </c>
      <c r="J29" s="319">
        <f>'B5'!AX32/0.51</f>
        <v>1.3725490196078429</v>
      </c>
      <c r="K29" s="207">
        <f>WATER!I33</f>
        <v>154</v>
      </c>
      <c r="L29" s="341">
        <f>SUM(WATER!J33)</f>
        <v>1.6233766233766234</v>
      </c>
      <c r="M29" s="341">
        <f>WATER!Q33</f>
        <v>0</v>
      </c>
      <c r="N29" s="517">
        <v>0.6</v>
      </c>
      <c r="O29" s="10">
        <f>ELEC!B30</f>
        <v>8.0039999999999996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0.4128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0.4128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opLeftCell="A13" workbookViewId="0">
      <selection activeCell="D34" sqref="D3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5210</v>
      </c>
      <c r="F16" s="207">
        <f>ELEC!K17</f>
        <v>2726</v>
      </c>
      <c r="G16" s="207">
        <f>ELEC!I17</f>
        <v>1932</v>
      </c>
      <c r="H16" s="207">
        <f>ELEC!E17</f>
        <v>3824</v>
      </c>
      <c r="I16" s="207">
        <f>ELEC!G17</f>
        <v>1689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6306</v>
      </c>
      <c r="F17" s="207">
        <f>ELEC!K18</f>
        <v>2512</v>
      </c>
      <c r="G17" s="207">
        <f>ELEC!I18</f>
        <v>1736</v>
      </c>
      <c r="H17" s="207">
        <f>ELEC!E18</f>
        <v>3276</v>
      </c>
      <c r="I17" s="207">
        <f>ELEC!G18</f>
        <v>1633</v>
      </c>
      <c r="J17" s="207">
        <f>WATER!Y21</f>
        <v>2</v>
      </c>
      <c r="K17" s="207">
        <f>WATER!AJ21</f>
        <v>19</v>
      </c>
      <c r="L17" s="10">
        <f>ELEC!B18</f>
        <v>4.9910000000000005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5496</v>
      </c>
      <c r="F18" s="207">
        <f>ELEC!K19</f>
        <v>2280</v>
      </c>
      <c r="G18" s="207">
        <f>ELEC!I19</f>
        <v>1652</v>
      </c>
      <c r="H18" s="207">
        <f>ELEC!E19</f>
        <v>3844</v>
      </c>
      <c r="I18" s="207">
        <f>ELEC!G19</f>
        <v>1582</v>
      </c>
      <c r="J18" s="207">
        <f>WATER!Y22</f>
        <v>134</v>
      </c>
      <c r="K18" s="207">
        <f>WATER!AJ22</f>
        <v>48</v>
      </c>
      <c r="L18" s="10">
        <f>ELEC!B19</f>
        <v>4.0019999999999998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6870</v>
      </c>
      <c r="F19" s="207">
        <f>ELEC!K20</f>
        <v>2736</v>
      </c>
      <c r="G19" s="207">
        <f>ELEC!I20</f>
        <v>1932</v>
      </c>
      <c r="H19" s="207">
        <f>ELEC!E20</f>
        <v>4476</v>
      </c>
      <c r="I19" s="207">
        <f>ELEC!G20</f>
        <v>1808</v>
      </c>
      <c r="J19" s="207">
        <f>WATER!Y23</f>
        <v>58</v>
      </c>
      <c r="K19" s="207">
        <f>WATER!AJ23</f>
        <v>40</v>
      </c>
      <c r="L19" s="10">
        <f>ELEC!B20</f>
        <v>4.9910000000000005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7746</v>
      </c>
      <c r="F20" s="207">
        <f>ELEC!K21</f>
        <v>2928</v>
      </c>
      <c r="G20" s="207">
        <f>ELEC!I21</f>
        <v>1764</v>
      </c>
      <c r="H20" s="207">
        <f>ELEC!E21</f>
        <v>4248</v>
      </c>
      <c r="I20" s="207">
        <f>ELEC!G21</f>
        <v>1670</v>
      </c>
      <c r="J20" s="207">
        <f>WATER!Y24</f>
        <v>3</v>
      </c>
      <c r="K20" s="207">
        <f>WATER!AJ24</f>
        <v>0</v>
      </c>
      <c r="L20" s="10">
        <f>ELEC!B21</f>
        <v>6.992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5782</v>
      </c>
      <c r="F21" s="207">
        <f>ELEC!K22</f>
        <v>2328</v>
      </c>
      <c r="G21" s="207">
        <f>ELEC!I22</f>
        <v>1640</v>
      </c>
      <c r="H21" s="207">
        <f>ELEC!E22</f>
        <v>4280</v>
      </c>
      <c r="I21" s="207">
        <f>ELEC!G22</f>
        <v>1572</v>
      </c>
      <c r="J21" s="207">
        <f>WATER!Y25</f>
        <v>31</v>
      </c>
      <c r="K21" s="207">
        <f>WATER!AJ25</f>
        <v>36</v>
      </c>
      <c r="L21" s="10">
        <f>ELEC!B22</f>
        <v>4.9910000000000005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4428</v>
      </c>
      <c r="F22" s="207">
        <f>ELEC!K23</f>
        <v>2400</v>
      </c>
      <c r="G22" s="207">
        <f>ELEC!I23</f>
        <v>1626</v>
      </c>
      <c r="H22" s="207">
        <f>ELEC!E23</f>
        <v>5496</v>
      </c>
      <c r="I22" s="207">
        <f>ELEC!G23</f>
        <v>1665</v>
      </c>
      <c r="J22" s="207">
        <f>WATER!Y26</f>
        <v>0</v>
      </c>
      <c r="K22" s="207">
        <f>WATER!AJ26</f>
        <v>0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6622</v>
      </c>
      <c r="F23" s="207">
        <f>ELEC!K24</f>
        <v>2528</v>
      </c>
      <c r="G23" s="207">
        <f>ELEC!I24</f>
        <v>1622</v>
      </c>
      <c r="H23" s="207">
        <f>ELEC!E24</f>
        <v>3714</v>
      </c>
      <c r="I23" s="207">
        <f>ELEC!G24</f>
        <v>1605</v>
      </c>
      <c r="J23" s="207">
        <f>WATER!Y27</f>
        <v>28</v>
      </c>
      <c r="K23" s="207">
        <f>WATER!AJ27</f>
        <v>29</v>
      </c>
      <c r="L23" s="10">
        <f>ELEC!B24</f>
        <v>6.0030000000000001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6008</v>
      </c>
      <c r="F24" s="207">
        <f>ELEC!K25</f>
        <v>2408</v>
      </c>
      <c r="G24" s="207">
        <f>ELEC!I25</f>
        <v>1606</v>
      </c>
      <c r="H24" s="207">
        <f>ELEC!E25</f>
        <v>4382</v>
      </c>
      <c r="I24" s="207">
        <f>ELEC!G25</f>
        <v>1543</v>
      </c>
      <c r="J24" s="207">
        <f>WATER!Y28</f>
        <v>0</v>
      </c>
      <c r="K24" s="207">
        <f>WATER!AJ28</f>
        <v>0</v>
      </c>
      <c r="L24" s="10">
        <f>ELEC!B25</f>
        <v>4.0019999999999998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4338</v>
      </c>
      <c r="F25" s="207">
        <f>ELEC!K26</f>
        <v>2068</v>
      </c>
      <c r="G25" s="207">
        <f>ELEC!I26</f>
        <v>1694</v>
      </c>
      <c r="H25" s="207">
        <f>ELEC!E26</f>
        <v>6044</v>
      </c>
      <c r="I25" s="207">
        <f>ELEC!G26</f>
        <v>1567</v>
      </c>
      <c r="J25" s="207">
        <f>WATER!Y29</f>
        <v>168</v>
      </c>
      <c r="K25" s="207">
        <f>WATER!AJ29</f>
        <v>55</v>
      </c>
      <c r="L25" s="10">
        <f>ELEC!B26</f>
        <v>2.9899999999999998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7086</v>
      </c>
      <c r="F26" s="207">
        <f>ELEC!K27</f>
        <v>3492</v>
      </c>
      <c r="G26" s="207">
        <f>ELEC!I27</f>
        <v>1668</v>
      </c>
      <c r="H26" s="207">
        <f>ELEC!E27</f>
        <v>3808</v>
      </c>
      <c r="I26" s="207">
        <f>ELEC!G27</f>
        <v>1584</v>
      </c>
      <c r="J26" s="207">
        <f>WATER!Y30</f>
        <v>0</v>
      </c>
      <c r="K26" s="207">
        <f>WATER!AJ30</f>
        <v>26</v>
      </c>
      <c r="L26" s="10">
        <f>ELEC!B27</f>
        <v>4.0019999999999998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3792</v>
      </c>
      <c r="F27" s="207">
        <f>ELEC!K28</f>
        <v>2420</v>
      </c>
      <c r="G27" s="207">
        <f>ELEC!I28</f>
        <v>1612</v>
      </c>
      <c r="H27" s="207">
        <f>ELEC!E28</f>
        <v>6088</v>
      </c>
      <c r="I27" s="207">
        <f>ELEC!G28</f>
        <v>1603</v>
      </c>
      <c r="J27" s="207">
        <f>WATER!Y31</f>
        <v>1</v>
      </c>
      <c r="K27" s="207">
        <f>WATER!AJ31</f>
        <v>0</v>
      </c>
      <c r="L27" s="10">
        <f>ELEC!B28</f>
        <v>2.9899999999999998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7348</v>
      </c>
      <c r="F28" s="207">
        <f>ELEC!K29</f>
        <v>2720</v>
      </c>
      <c r="G28" s="207">
        <f>ELEC!I29</f>
        <v>1808</v>
      </c>
      <c r="H28" s="207">
        <f>ELEC!E29</f>
        <v>3618</v>
      </c>
      <c r="I28" s="207">
        <f>ELEC!G29</f>
        <v>1717</v>
      </c>
      <c r="J28" s="207">
        <f>WATER!Y32</f>
        <v>0</v>
      </c>
      <c r="K28" s="207">
        <f>WATER!AJ32</f>
        <v>1</v>
      </c>
      <c r="L28" s="10">
        <f>ELEC!B29</f>
        <v>5.5200000000000005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7968</v>
      </c>
      <c r="F29" s="207">
        <f>ELEC!K30</f>
        <v>2954</v>
      </c>
      <c r="G29" s="207">
        <f>ELEC!I30</f>
        <v>1746</v>
      </c>
      <c r="H29" s="207">
        <f>ELEC!E30</f>
        <v>4352</v>
      </c>
      <c r="I29" s="207">
        <f>ELEC!G30</f>
        <v>1794</v>
      </c>
      <c r="J29" s="207">
        <f>WATER!Y33</f>
        <v>53</v>
      </c>
      <c r="K29" s="207">
        <f>WATER!AJ33</f>
        <v>56</v>
      </c>
      <c r="L29" s="10">
        <f>ELEC!B30</f>
        <v>8.0039999999999996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N1" zoomScale="85" zoomScaleNormal="85" zoomScaleSheetLayoutView="100" workbookViewId="0">
      <pane ySplit="1" topLeftCell="A14" activePane="bottomLeft" state="frozen"/>
      <selection activeCell="C1" sqref="C1"/>
      <selection pane="bottomLeft" activeCell="AE30" sqref="AE30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5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5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5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5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5">
        <v>625865</v>
      </c>
      <c r="Z3" s="476">
        <f>Y3-Y2</f>
        <v>0</v>
      </c>
      <c r="AA3" s="461">
        <v>35119</v>
      </c>
      <c r="AB3" s="476">
        <f>AA3-AA2</f>
        <v>0</v>
      </c>
      <c r="AC3" s="585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5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5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5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5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5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5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5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5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5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1.2999999999999999E-2</v>
      </c>
      <c r="B17" s="467">
        <f t="shared" si="6"/>
        <v>2.9899999999999998</v>
      </c>
      <c r="C17" s="474">
        <v>43997</v>
      </c>
      <c r="D17" s="461">
        <v>31795582</v>
      </c>
      <c r="E17" s="321">
        <f t="shared" si="10"/>
        <v>3824</v>
      </c>
      <c r="F17" s="461">
        <v>3716824</v>
      </c>
      <c r="G17" s="322">
        <f t="shared" si="0"/>
        <v>1689</v>
      </c>
      <c r="H17" s="461">
        <v>17496382</v>
      </c>
      <c r="I17" s="322">
        <f t="shared" si="11"/>
        <v>1932</v>
      </c>
      <c r="J17" s="461">
        <v>28486266</v>
      </c>
      <c r="K17" s="322">
        <f t="shared" si="12"/>
        <v>2726</v>
      </c>
      <c r="L17" s="461">
        <v>23144096</v>
      </c>
      <c r="M17" s="322">
        <f t="shared" si="13"/>
        <v>5210</v>
      </c>
      <c r="N17" s="320">
        <f t="shared" si="14"/>
        <v>15381</v>
      </c>
      <c r="O17" s="483">
        <f t="shared" si="21"/>
        <v>5144.1471571906359</v>
      </c>
      <c r="P17" s="461">
        <v>15597</v>
      </c>
      <c r="Q17" s="465">
        <f t="shared" si="23"/>
        <v>6000</v>
      </c>
      <c r="R17" s="465">
        <f t="shared" si="18"/>
        <v>9381</v>
      </c>
      <c r="S17" s="461">
        <v>8717</v>
      </c>
      <c r="T17" s="485">
        <f t="shared" si="3"/>
        <v>7</v>
      </c>
      <c r="U17" s="461">
        <v>100987</v>
      </c>
      <c r="V17" s="465">
        <f t="shared" si="15"/>
        <v>1578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v>35159</v>
      </c>
      <c r="AB17" s="465">
        <f t="shared" si="16"/>
        <v>4</v>
      </c>
      <c r="AC17" s="461">
        <v>799323</v>
      </c>
      <c r="AD17" s="465">
        <f t="shared" ref="AD17:AD32" si="24">AC17-AC16</f>
        <v>893</v>
      </c>
      <c r="AE17" s="488">
        <f t="shared" si="8"/>
        <v>11</v>
      </c>
      <c r="AF17" s="489">
        <f t="shared" si="9"/>
        <v>2471</v>
      </c>
      <c r="AG17" s="481">
        <f t="shared" si="22"/>
        <v>224.63636363636363</v>
      </c>
      <c r="AI17" s="482">
        <f>R17-'EDl log'!B16</f>
        <v>1647</v>
      </c>
    </row>
    <row r="18" spans="1:35">
      <c r="A18" s="473">
        <f>'General information '!F21</f>
        <v>2.1700000000000001E-2</v>
      </c>
      <c r="B18" s="467">
        <f t="shared" si="6"/>
        <v>4.9910000000000005</v>
      </c>
      <c r="C18" s="474">
        <v>43998</v>
      </c>
      <c r="D18" s="461">
        <v>31798858</v>
      </c>
      <c r="E18" s="321">
        <f t="shared" si="10"/>
        <v>3276</v>
      </c>
      <c r="F18" s="461">
        <v>3718457</v>
      </c>
      <c r="G18" s="322">
        <f t="shared" si="0"/>
        <v>1633</v>
      </c>
      <c r="H18" s="461">
        <v>17498118</v>
      </c>
      <c r="I18" s="322">
        <f t="shared" si="11"/>
        <v>1736</v>
      </c>
      <c r="J18" s="461">
        <v>28488778</v>
      </c>
      <c r="K18" s="322">
        <f t="shared" si="12"/>
        <v>2512</v>
      </c>
      <c r="L18" s="461">
        <v>23150402</v>
      </c>
      <c r="M18" s="322">
        <f t="shared" si="13"/>
        <v>6306</v>
      </c>
      <c r="N18" s="320">
        <f t="shared" si="14"/>
        <v>15463</v>
      </c>
      <c r="O18" s="483">
        <f t="shared" si="21"/>
        <v>3098.1767180925663</v>
      </c>
      <c r="P18" s="461">
        <v>15602</v>
      </c>
      <c r="Q18" s="465">
        <f t="shared" si="23"/>
        <v>5000</v>
      </c>
      <c r="R18" s="465">
        <f t="shared" si="18"/>
        <v>10463</v>
      </c>
      <c r="S18" s="461">
        <v>8729</v>
      </c>
      <c r="T18" s="485">
        <f t="shared" si="3"/>
        <v>12</v>
      </c>
      <c r="U18" s="461">
        <f t="shared" si="7"/>
        <v>100987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35159</v>
      </c>
      <c r="AB18" s="465">
        <f t="shared" si="16"/>
        <v>0</v>
      </c>
      <c r="AC18" s="461">
        <f t="shared" si="7"/>
        <v>799323</v>
      </c>
      <c r="AD18" s="465">
        <f t="shared" si="24"/>
        <v>0</v>
      </c>
      <c r="AE18" s="488">
        <f t="shared" si="8"/>
        <v>12</v>
      </c>
      <c r="AF18" s="489">
        <f t="shared" si="9"/>
        <v>0</v>
      </c>
      <c r="AG18" s="481">
        <f t="shared" si="22"/>
        <v>0</v>
      </c>
      <c r="AI18" s="482">
        <f>R18-'EDl log'!B17</f>
        <v>-1651</v>
      </c>
    </row>
    <row r="19" spans="1:35">
      <c r="A19" s="473">
        <f>'General information '!F22</f>
        <v>1.7399999999999999E-2</v>
      </c>
      <c r="B19" s="467">
        <f t="shared" si="6"/>
        <v>4.0019999999999998</v>
      </c>
      <c r="C19" s="474">
        <v>43999</v>
      </c>
      <c r="D19" s="461">
        <v>31802702</v>
      </c>
      <c r="E19" s="321">
        <f t="shared" si="10"/>
        <v>3844</v>
      </c>
      <c r="F19" s="585">
        <v>3720039</v>
      </c>
      <c r="G19" s="322">
        <f t="shared" si="0"/>
        <v>1582</v>
      </c>
      <c r="H19" s="461">
        <v>17499770</v>
      </c>
      <c r="I19" s="322">
        <f t="shared" si="11"/>
        <v>1652</v>
      </c>
      <c r="J19" s="585">
        <v>28491058</v>
      </c>
      <c r="K19" s="322">
        <f t="shared" si="12"/>
        <v>2280</v>
      </c>
      <c r="L19" s="461">
        <v>23155898</v>
      </c>
      <c r="M19" s="322">
        <f t="shared" si="13"/>
        <v>5496</v>
      </c>
      <c r="N19" s="320">
        <f t="shared" si="14"/>
        <v>14854</v>
      </c>
      <c r="O19" s="483">
        <f t="shared" si="21"/>
        <v>3711.6441779110446</v>
      </c>
      <c r="P19" s="585">
        <v>15605</v>
      </c>
      <c r="Q19" s="465">
        <f>(P19-P18)*1000</f>
        <v>3000</v>
      </c>
      <c r="R19" s="465">
        <f t="shared" si="18"/>
        <v>11854</v>
      </c>
      <c r="S19" s="461">
        <v>8738</v>
      </c>
      <c r="T19" s="485">
        <f t="shared" si="3"/>
        <v>9</v>
      </c>
      <c r="U19" s="585">
        <v>105996</v>
      </c>
      <c r="V19" s="465">
        <f t="shared" si="15"/>
        <v>5009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v>35162</v>
      </c>
      <c r="AB19" s="465">
        <f t="shared" si="16"/>
        <v>3</v>
      </c>
      <c r="AC19" s="585">
        <v>799844</v>
      </c>
      <c r="AD19" s="465">
        <f t="shared" si="24"/>
        <v>521</v>
      </c>
      <c r="AE19" s="488">
        <f t="shared" si="8"/>
        <v>12</v>
      </c>
      <c r="AF19" s="489">
        <f t="shared" si="9"/>
        <v>5530</v>
      </c>
      <c r="AG19" s="481">
        <f t="shared" si="22"/>
        <v>460.83333333333331</v>
      </c>
      <c r="AI19" s="482">
        <f>R19-'EDl log'!B18</f>
        <v>-6258</v>
      </c>
    </row>
    <row r="20" spans="1:35">
      <c r="A20" s="473">
        <f>'General information '!F23</f>
        <v>2.1700000000000001E-2</v>
      </c>
      <c r="B20" s="467">
        <f t="shared" si="6"/>
        <v>4.9910000000000005</v>
      </c>
      <c r="C20" s="474">
        <v>44000</v>
      </c>
      <c r="D20" s="461">
        <v>31807178</v>
      </c>
      <c r="E20" s="321">
        <f t="shared" si="10"/>
        <v>4476</v>
      </c>
      <c r="F20" s="461">
        <v>3721847</v>
      </c>
      <c r="G20" s="322">
        <f t="shared" si="0"/>
        <v>1808</v>
      </c>
      <c r="H20" s="461">
        <v>17501702</v>
      </c>
      <c r="I20" s="322">
        <f t="shared" si="11"/>
        <v>1932</v>
      </c>
      <c r="J20" s="461">
        <v>28493794</v>
      </c>
      <c r="K20" s="322">
        <f t="shared" si="12"/>
        <v>2736</v>
      </c>
      <c r="L20" s="461">
        <v>23162768</v>
      </c>
      <c r="M20" s="322">
        <f t="shared" si="13"/>
        <v>6870</v>
      </c>
      <c r="N20" s="320">
        <f t="shared" si="14"/>
        <v>17822</v>
      </c>
      <c r="O20" s="483">
        <f t="shared" si="21"/>
        <v>3570.8274894810656</v>
      </c>
      <c r="P20" s="461">
        <v>15611</v>
      </c>
      <c r="Q20" s="465">
        <f t="shared" si="23"/>
        <v>6000</v>
      </c>
      <c r="R20" s="465">
        <f t="shared" si="18"/>
        <v>11822</v>
      </c>
      <c r="S20" s="461">
        <v>8749</v>
      </c>
      <c r="T20" s="485">
        <f t="shared" si="3"/>
        <v>11</v>
      </c>
      <c r="U20" s="461">
        <v>108602</v>
      </c>
      <c r="V20" s="465">
        <f t="shared" si="15"/>
        <v>2606</v>
      </c>
      <c r="W20" s="461"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v>35164</v>
      </c>
      <c r="AB20" s="465">
        <f t="shared" si="16"/>
        <v>2</v>
      </c>
      <c r="AC20" s="461">
        <v>800461</v>
      </c>
      <c r="AD20" s="465">
        <f t="shared" si="24"/>
        <v>617</v>
      </c>
      <c r="AE20" s="488">
        <f t="shared" si="8"/>
        <v>13</v>
      </c>
      <c r="AF20" s="489">
        <f t="shared" si="9"/>
        <v>3223</v>
      </c>
      <c r="AG20" s="481">
        <f t="shared" si="22"/>
        <v>247.92307692307693</v>
      </c>
      <c r="AI20" s="482">
        <f>R20-'EDl log'!B19</f>
        <v>-11176</v>
      </c>
    </row>
    <row r="21" spans="1:35">
      <c r="A21" s="473">
        <f>'General information '!F24</f>
        <v>3.04E-2</v>
      </c>
      <c r="B21" s="467">
        <f t="shared" si="6"/>
        <v>6.992</v>
      </c>
      <c r="C21" s="474">
        <v>44001</v>
      </c>
      <c r="D21" s="461">
        <v>31811426</v>
      </c>
      <c r="E21" s="321">
        <f t="shared" si="10"/>
        <v>4248</v>
      </c>
      <c r="F21" s="461">
        <v>3723517</v>
      </c>
      <c r="G21" s="322">
        <f t="shared" si="0"/>
        <v>1670</v>
      </c>
      <c r="H21" s="461">
        <v>17503466</v>
      </c>
      <c r="I21" s="322">
        <f t="shared" si="11"/>
        <v>1764</v>
      </c>
      <c r="J21" s="461">
        <v>28496722</v>
      </c>
      <c r="K21" s="322">
        <f t="shared" si="12"/>
        <v>2928</v>
      </c>
      <c r="L21" s="461">
        <v>23170514</v>
      </c>
      <c r="M21" s="322">
        <f t="shared" si="13"/>
        <v>7746</v>
      </c>
      <c r="N21" s="320">
        <f t="shared" si="14"/>
        <v>18356</v>
      </c>
      <c r="O21" s="483">
        <f t="shared" si="21"/>
        <v>2625.2860411899314</v>
      </c>
      <c r="P21" s="461">
        <v>15616</v>
      </c>
      <c r="Q21" s="465">
        <f>(P21-P20)*1000</f>
        <v>5000</v>
      </c>
      <c r="R21" s="465">
        <f t="shared" si="18"/>
        <v>13356</v>
      </c>
      <c r="S21" s="461">
        <v>8769</v>
      </c>
      <c r="T21" s="485">
        <f t="shared" si="3"/>
        <v>20</v>
      </c>
      <c r="U21" s="461">
        <v>113396</v>
      </c>
      <c r="V21" s="465">
        <f t="shared" si="15"/>
        <v>4794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35164</v>
      </c>
      <c r="AB21" s="465">
        <f t="shared" si="16"/>
        <v>0</v>
      </c>
      <c r="AC21" s="461">
        <f t="shared" si="7"/>
        <v>800461</v>
      </c>
      <c r="AD21" s="465">
        <f t="shared" si="24"/>
        <v>0</v>
      </c>
      <c r="AE21" s="488">
        <f t="shared" si="8"/>
        <v>20</v>
      </c>
      <c r="AF21" s="489">
        <f t="shared" si="9"/>
        <v>4794</v>
      </c>
      <c r="AG21" s="481">
        <f t="shared" si="22"/>
        <v>239.7</v>
      </c>
      <c r="AI21" s="482">
        <f>R21-'EDl log'!B20</f>
        <v>-15123</v>
      </c>
    </row>
    <row r="22" spans="1:35">
      <c r="A22" s="473">
        <f>'General information '!F25</f>
        <v>2.1700000000000001E-2</v>
      </c>
      <c r="B22" s="467">
        <f t="shared" si="6"/>
        <v>4.9910000000000005</v>
      </c>
      <c r="C22" s="474">
        <v>44002</v>
      </c>
      <c r="D22" s="461">
        <v>31815706</v>
      </c>
      <c r="E22" s="321">
        <f t="shared" si="10"/>
        <v>4280</v>
      </c>
      <c r="F22" s="461">
        <v>3725089</v>
      </c>
      <c r="G22" s="322">
        <f t="shared" si="0"/>
        <v>1572</v>
      </c>
      <c r="H22" s="461">
        <v>17505106</v>
      </c>
      <c r="I22" s="322">
        <f t="shared" si="11"/>
        <v>1640</v>
      </c>
      <c r="J22" s="461">
        <v>28499050</v>
      </c>
      <c r="K22" s="322">
        <f t="shared" si="12"/>
        <v>2328</v>
      </c>
      <c r="L22" s="461">
        <v>23176296</v>
      </c>
      <c r="M22" s="322">
        <f t="shared" si="13"/>
        <v>5782</v>
      </c>
      <c r="N22" s="320">
        <f t="shared" si="14"/>
        <v>15602</v>
      </c>
      <c r="O22" s="483">
        <f t="shared" si="21"/>
        <v>3126.0268483269883</v>
      </c>
      <c r="P22" s="461">
        <v>15619</v>
      </c>
      <c r="Q22" s="465">
        <f t="shared" si="23"/>
        <v>3000</v>
      </c>
      <c r="R22" s="465">
        <f t="shared" si="18"/>
        <v>12602</v>
      </c>
      <c r="S22" s="461">
        <v>8783</v>
      </c>
      <c r="T22" s="485">
        <f t="shared" si="3"/>
        <v>14</v>
      </c>
      <c r="U22" s="461">
        <v>115780</v>
      </c>
      <c r="V22" s="465">
        <f t="shared" si="15"/>
        <v>2384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v>35166</v>
      </c>
      <c r="AB22" s="465">
        <f t="shared" si="16"/>
        <v>2</v>
      </c>
      <c r="AC22" s="461">
        <v>800805</v>
      </c>
      <c r="AD22" s="465">
        <f t="shared" si="24"/>
        <v>344</v>
      </c>
      <c r="AE22" s="488">
        <f t="shared" si="8"/>
        <v>16</v>
      </c>
      <c r="AF22" s="489">
        <f t="shared" si="9"/>
        <v>2728</v>
      </c>
      <c r="AG22" s="481">
        <f t="shared" si="22"/>
        <v>170.5</v>
      </c>
      <c r="AI22" s="482">
        <f>R22-'EDl log'!B21</f>
        <v>-21837</v>
      </c>
    </row>
    <row r="23" spans="1:35">
      <c r="A23" s="473">
        <f>'General information '!F26</f>
        <v>8.6999999999999994E-3</v>
      </c>
      <c r="B23" s="467">
        <f t="shared" si="6"/>
        <v>2.0009999999999999</v>
      </c>
      <c r="C23" s="474">
        <v>44003</v>
      </c>
      <c r="D23" s="461">
        <v>31821202</v>
      </c>
      <c r="E23" s="321">
        <f t="shared" si="10"/>
        <v>5496</v>
      </c>
      <c r="F23" s="461">
        <v>3726754</v>
      </c>
      <c r="G23" s="322">
        <f t="shared" si="0"/>
        <v>1665</v>
      </c>
      <c r="H23" s="461">
        <v>17506732</v>
      </c>
      <c r="I23" s="454">
        <f t="shared" si="11"/>
        <v>1626</v>
      </c>
      <c r="J23" s="461">
        <v>28501450</v>
      </c>
      <c r="K23" s="322">
        <f t="shared" si="12"/>
        <v>2400</v>
      </c>
      <c r="L23" s="461">
        <v>23180724</v>
      </c>
      <c r="M23" s="322">
        <f t="shared" si="13"/>
        <v>4428</v>
      </c>
      <c r="N23" s="320">
        <f t="shared" si="14"/>
        <v>15615</v>
      </c>
      <c r="O23" s="483">
        <f t="shared" si="21"/>
        <v>7803.5982008995506</v>
      </c>
      <c r="P23" s="461">
        <v>15621</v>
      </c>
      <c r="Q23" s="465">
        <f t="shared" si="23"/>
        <v>2000</v>
      </c>
      <c r="R23" s="465">
        <f t="shared" si="18"/>
        <v>13615</v>
      </c>
      <c r="S23" s="461">
        <v>8789</v>
      </c>
      <c r="T23" s="485">
        <f t="shared" si="3"/>
        <v>6</v>
      </c>
      <c r="U23" s="461">
        <v>116856</v>
      </c>
      <c r="V23" s="465">
        <f t="shared" si="15"/>
        <v>1076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v>35176</v>
      </c>
      <c r="AB23" s="465">
        <f t="shared" si="16"/>
        <v>10</v>
      </c>
      <c r="AC23" s="461">
        <v>803132</v>
      </c>
      <c r="AD23" s="465">
        <f t="shared" si="24"/>
        <v>2327</v>
      </c>
      <c r="AE23" s="488">
        <f t="shared" si="8"/>
        <v>16</v>
      </c>
      <c r="AF23" s="489">
        <f t="shared" si="9"/>
        <v>3403</v>
      </c>
      <c r="AG23" s="481">
        <f t="shared" si="22"/>
        <v>212.6875</v>
      </c>
      <c r="AI23" s="482">
        <f>R23-'EDl log'!B22</f>
        <v>-26897</v>
      </c>
    </row>
    <row r="24" spans="1:35">
      <c r="A24" s="473">
        <f>'General information '!F27</f>
        <v>2.6100000000000002E-2</v>
      </c>
      <c r="B24" s="467">
        <f t="shared" si="6"/>
        <v>6.0030000000000001</v>
      </c>
      <c r="C24" s="474">
        <v>44004</v>
      </c>
      <c r="D24" s="461">
        <v>31824916</v>
      </c>
      <c r="E24" s="321">
        <f t="shared" si="10"/>
        <v>3714</v>
      </c>
      <c r="F24" s="461">
        <v>3728359</v>
      </c>
      <c r="G24" s="322">
        <f t="shared" si="0"/>
        <v>1605</v>
      </c>
      <c r="H24" s="461">
        <v>17508354</v>
      </c>
      <c r="I24" s="322">
        <f t="shared" si="11"/>
        <v>1622</v>
      </c>
      <c r="J24" s="461">
        <v>28503978</v>
      </c>
      <c r="K24" s="322">
        <f t="shared" si="12"/>
        <v>2528</v>
      </c>
      <c r="L24" s="461">
        <v>23187346</v>
      </c>
      <c r="M24" s="322">
        <f t="shared" si="13"/>
        <v>6622</v>
      </c>
      <c r="N24" s="320">
        <f t="shared" si="14"/>
        <v>16091</v>
      </c>
      <c r="O24" s="483">
        <f t="shared" si="21"/>
        <v>2680.4930867899384</v>
      </c>
      <c r="P24" s="461">
        <v>15625</v>
      </c>
      <c r="Q24" s="465">
        <f t="shared" si="23"/>
        <v>4000</v>
      </c>
      <c r="R24" s="465">
        <f t="shared" si="18"/>
        <v>12091</v>
      </c>
      <c r="S24" s="461">
        <v>8803</v>
      </c>
      <c r="T24" s="485">
        <f t="shared" si="3"/>
        <v>14</v>
      </c>
      <c r="U24" s="461">
        <v>120006</v>
      </c>
      <c r="V24" s="465">
        <f t="shared" si="15"/>
        <v>3150</v>
      </c>
      <c r="W24" s="461"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v>35176</v>
      </c>
      <c r="AB24" s="465">
        <f t="shared" si="16"/>
        <v>0</v>
      </c>
      <c r="AC24" s="461">
        <v>803132</v>
      </c>
      <c r="AD24" s="465">
        <f t="shared" si="24"/>
        <v>0</v>
      </c>
      <c r="AE24" s="488">
        <f t="shared" si="8"/>
        <v>14</v>
      </c>
      <c r="AF24" s="489">
        <f t="shared" si="9"/>
        <v>3150</v>
      </c>
      <c r="AG24" s="481">
        <f t="shared" si="22"/>
        <v>225</v>
      </c>
      <c r="AI24" s="482">
        <f>R24-'EDl log'!B23</f>
        <v>-35393</v>
      </c>
    </row>
    <row r="25" spans="1:35">
      <c r="A25" s="473">
        <f>'General information '!F28</f>
        <v>1.7399999999999999E-2</v>
      </c>
      <c r="B25" s="467">
        <f t="shared" si="6"/>
        <v>4.0019999999999998</v>
      </c>
      <c r="C25" s="474">
        <v>44005</v>
      </c>
      <c r="D25" s="461">
        <v>31829298</v>
      </c>
      <c r="E25" s="321">
        <f t="shared" si="10"/>
        <v>4382</v>
      </c>
      <c r="F25" s="585">
        <v>3729902</v>
      </c>
      <c r="G25" s="322">
        <f t="shared" si="0"/>
        <v>1543</v>
      </c>
      <c r="H25" s="461">
        <v>17509960</v>
      </c>
      <c r="I25" s="322">
        <f t="shared" si="11"/>
        <v>1606</v>
      </c>
      <c r="J25" s="585">
        <v>28506386</v>
      </c>
      <c r="K25" s="322">
        <f t="shared" si="12"/>
        <v>2408</v>
      </c>
      <c r="L25" s="461">
        <v>23193354</v>
      </c>
      <c r="M25" s="322">
        <f t="shared" si="13"/>
        <v>6008</v>
      </c>
      <c r="N25" s="320">
        <f t="shared" si="14"/>
        <v>15947</v>
      </c>
      <c r="O25" s="483">
        <f t="shared" si="21"/>
        <v>3984.7576211894057</v>
      </c>
      <c r="P25" s="585">
        <v>15629</v>
      </c>
      <c r="Q25" s="465">
        <f t="shared" si="23"/>
        <v>4000</v>
      </c>
      <c r="R25" s="465">
        <f t="shared" si="18"/>
        <v>11947</v>
      </c>
      <c r="S25" s="461">
        <v>8813</v>
      </c>
      <c r="T25" s="485">
        <f t="shared" si="3"/>
        <v>10</v>
      </c>
      <c r="U25" s="585">
        <v>122274</v>
      </c>
      <c r="V25" s="465">
        <f t="shared" si="15"/>
        <v>2268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v>35179</v>
      </c>
      <c r="AB25" s="465">
        <f t="shared" si="16"/>
        <v>3</v>
      </c>
      <c r="AC25" s="585">
        <v>803981</v>
      </c>
      <c r="AD25" s="465">
        <f t="shared" si="24"/>
        <v>849</v>
      </c>
      <c r="AE25" s="488">
        <f t="shared" si="8"/>
        <v>13</v>
      </c>
      <c r="AF25" s="489">
        <f t="shared" si="9"/>
        <v>3117</v>
      </c>
      <c r="AG25" s="481">
        <f t="shared" si="22"/>
        <v>239.76923076923077</v>
      </c>
      <c r="AI25" s="482">
        <f>R25-'EDl log'!B24</f>
        <v>-42243</v>
      </c>
    </row>
    <row r="26" spans="1:35">
      <c r="A26" s="473">
        <f>'General information '!F29</f>
        <v>1.2999999999999999E-2</v>
      </c>
      <c r="B26" s="467">
        <f t="shared" si="6"/>
        <v>2.9899999999999998</v>
      </c>
      <c r="C26" s="474">
        <v>44006</v>
      </c>
      <c r="D26" s="461">
        <v>31835342</v>
      </c>
      <c r="E26" s="321">
        <f t="shared" si="10"/>
        <v>6044</v>
      </c>
      <c r="F26" s="461">
        <v>3731469</v>
      </c>
      <c r="G26" s="322">
        <f t="shared" si="0"/>
        <v>1567</v>
      </c>
      <c r="H26" s="461">
        <v>17511654</v>
      </c>
      <c r="I26" s="322">
        <f t="shared" si="11"/>
        <v>1694</v>
      </c>
      <c r="J26" s="461">
        <v>28508454</v>
      </c>
      <c r="K26" s="322">
        <f t="shared" si="12"/>
        <v>2068</v>
      </c>
      <c r="L26" s="461">
        <v>23197692</v>
      </c>
      <c r="M26" s="322">
        <f t="shared" si="13"/>
        <v>4338</v>
      </c>
      <c r="N26" s="320">
        <f t="shared" si="14"/>
        <v>15711</v>
      </c>
      <c r="O26" s="483">
        <f t="shared" si="21"/>
        <v>5254.5150501672242</v>
      </c>
      <c r="P26" s="461">
        <v>15633</v>
      </c>
      <c r="Q26" s="465">
        <f t="shared" si="23"/>
        <v>4000</v>
      </c>
      <c r="R26" s="490">
        <f>N26-Q26</f>
        <v>11711</v>
      </c>
      <c r="S26" s="461">
        <v>8818</v>
      </c>
      <c r="T26" s="485">
        <f t="shared" si="3"/>
        <v>5</v>
      </c>
      <c r="U26" s="461">
        <v>123044</v>
      </c>
      <c r="V26" s="465">
        <f t="shared" si="15"/>
        <v>770</v>
      </c>
      <c r="W26" s="461">
        <v>31853</v>
      </c>
      <c r="X26" s="465">
        <f t="shared" si="20"/>
        <v>0</v>
      </c>
      <c r="Y26" s="461">
        <v>625865</v>
      </c>
      <c r="Z26" s="465">
        <f t="shared" si="19"/>
        <v>0</v>
      </c>
      <c r="AA26" s="461">
        <v>35190</v>
      </c>
      <c r="AB26" s="465">
        <f t="shared" si="16"/>
        <v>11</v>
      </c>
      <c r="AC26" s="461">
        <v>806296</v>
      </c>
      <c r="AD26" s="465">
        <f t="shared" si="24"/>
        <v>2315</v>
      </c>
      <c r="AE26" s="488">
        <f t="shared" si="8"/>
        <v>16</v>
      </c>
      <c r="AF26" s="489">
        <f t="shared" si="9"/>
        <v>3085</v>
      </c>
      <c r="AG26" s="481">
        <f t="shared" si="22"/>
        <v>192.8125</v>
      </c>
      <c r="AI26" s="482">
        <f>R26-'EDl log'!B25</f>
        <v>-49693</v>
      </c>
    </row>
    <row r="27" spans="1:35">
      <c r="A27" s="473">
        <f>'General information '!F30</f>
        <v>1.7399999999999999E-2</v>
      </c>
      <c r="B27" s="467">
        <f t="shared" si="6"/>
        <v>4.0019999999999998</v>
      </c>
      <c r="C27" s="474">
        <v>44007</v>
      </c>
      <c r="D27" s="461">
        <v>31839150</v>
      </c>
      <c r="E27" s="321">
        <f t="shared" si="10"/>
        <v>3808</v>
      </c>
      <c r="F27" s="585">
        <v>3733053</v>
      </c>
      <c r="G27" s="322">
        <f>F27-F26</f>
        <v>1584</v>
      </c>
      <c r="H27" s="461">
        <v>17513322</v>
      </c>
      <c r="I27" s="322">
        <f t="shared" si="11"/>
        <v>1668</v>
      </c>
      <c r="J27" s="585">
        <v>28511946</v>
      </c>
      <c r="K27" s="322">
        <f t="shared" si="12"/>
        <v>3492</v>
      </c>
      <c r="L27" s="461">
        <v>23204778</v>
      </c>
      <c r="M27" s="322">
        <f t="shared" si="13"/>
        <v>7086</v>
      </c>
      <c r="N27" s="320">
        <f t="shared" si="14"/>
        <v>17638</v>
      </c>
      <c r="O27" s="483">
        <f t="shared" si="21"/>
        <v>4407.2963518240886</v>
      </c>
      <c r="P27" s="585">
        <v>15637</v>
      </c>
      <c r="Q27" s="465">
        <f t="shared" si="23"/>
        <v>4000</v>
      </c>
      <c r="R27" s="465">
        <f t="shared" si="18"/>
        <v>13638</v>
      </c>
      <c r="S27" s="461">
        <v>8834</v>
      </c>
      <c r="T27" s="485">
        <f t="shared" si="3"/>
        <v>16</v>
      </c>
      <c r="U27" s="585">
        <v>126434</v>
      </c>
      <c r="V27" s="465">
        <f t="shared" si="15"/>
        <v>3390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35190</v>
      </c>
      <c r="AB27" s="465">
        <f t="shared" si="16"/>
        <v>0</v>
      </c>
      <c r="AC27" s="461">
        <f t="shared" si="7"/>
        <v>806296</v>
      </c>
      <c r="AD27" s="465">
        <f t="shared" si="24"/>
        <v>0</v>
      </c>
      <c r="AE27" s="488">
        <f t="shared" si="8"/>
        <v>16</v>
      </c>
      <c r="AF27" s="489">
        <f t="shared" si="9"/>
        <v>3390</v>
      </c>
      <c r="AG27" s="481">
        <f t="shared" si="22"/>
        <v>211.875</v>
      </c>
      <c r="AI27" s="482">
        <f>R27-'EDl log'!B26</f>
        <v>-53896</v>
      </c>
    </row>
    <row r="28" spans="1:35">
      <c r="A28" s="473">
        <f>'General information '!F31</f>
        <v>1.2999999999999999E-2</v>
      </c>
      <c r="B28" s="467">
        <f t="shared" si="6"/>
        <v>2.9899999999999998</v>
      </c>
      <c r="C28" s="474">
        <v>44008</v>
      </c>
      <c r="D28" s="461">
        <v>31845238</v>
      </c>
      <c r="E28" s="321">
        <f t="shared" si="10"/>
        <v>6088</v>
      </c>
      <c r="F28" s="461">
        <v>3734656</v>
      </c>
      <c r="G28" s="322">
        <f t="shared" si="0"/>
        <v>1603</v>
      </c>
      <c r="H28" s="461">
        <v>17514934</v>
      </c>
      <c r="I28" s="322">
        <f t="shared" si="11"/>
        <v>1612</v>
      </c>
      <c r="J28" s="461">
        <v>28514366</v>
      </c>
      <c r="K28" s="322">
        <f t="shared" si="12"/>
        <v>2420</v>
      </c>
      <c r="L28" s="461">
        <v>23208570</v>
      </c>
      <c r="M28" s="322">
        <f t="shared" si="13"/>
        <v>3792</v>
      </c>
      <c r="N28" s="320">
        <f t="shared" si="14"/>
        <v>15515</v>
      </c>
      <c r="O28" s="483">
        <f t="shared" si="21"/>
        <v>5188.9632107023417</v>
      </c>
      <c r="P28" s="461">
        <v>15642</v>
      </c>
      <c r="Q28" s="465">
        <f t="shared" si="23"/>
        <v>5000</v>
      </c>
      <c r="R28" s="465">
        <f>N28-Q28</f>
        <v>10515</v>
      </c>
      <c r="S28" s="461">
        <v>8836</v>
      </c>
      <c r="T28" s="485">
        <f t="shared" si="3"/>
        <v>2</v>
      </c>
      <c r="U28" s="461">
        <v>126839</v>
      </c>
      <c r="V28" s="465">
        <f t="shared" si="15"/>
        <v>405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v>35201</v>
      </c>
      <c r="AB28" s="465">
        <f t="shared" si="16"/>
        <v>11</v>
      </c>
      <c r="AC28" s="461">
        <v>809095</v>
      </c>
      <c r="AD28" s="465">
        <f t="shared" si="24"/>
        <v>2799</v>
      </c>
      <c r="AE28" s="488">
        <f t="shared" si="8"/>
        <v>13</v>
      </c>
      <c r="AF28" s="489">
        <f t="shared" si="9"/>
        <v>3204</v>
      </c>
      <c r="AG28" s="481">
        <f t="shared" si="22"/>
        <v>246.46153846153845</v>
      </c>
      <c r="AI28" s="482">
        <f>R28-'EDl log'!B27</f>
        <v>-63112</v>
      </c>
    </row>
    <row r="29" spans="1:35">
      <c r="A29" s="473">
        <f>'General information '!F32</f>
        <v>2.4E-2</v>
      </c>
      <c r="B29" s="467">
        <f>SUM(230*A29)</f>
        <v>5.5200000000000005</v>
      </c>
      <c r="C29" s="474">
        <v>44009</v>
      </c>
      <c r="D29" s="461">
        <v>31848856</v>
      </c>
      <c r="E29" s="321">
        <f t="shared" si="10"/>
        <v>3618</v>
      </c>
      <c r="F29" s="461">
        <v>3736373</v>
      </c>
      <c r="G29" s="322">
        <f t="shared" si="0"/>
        <v>1717</v>
      </c>
      <c r="H29" s="461">
        <v>17516742</v>
      </c>
      <c r="I29" s="322">
        <f t="shared" si="11"/>
        <v>1808</v>
      </c>
      <c r="J29" s="461">
        <v>28517086</v>
      </c>
      <c r="K29" s="322">
        <f t="shared" si="12"/>
        <v>2720</v>
      </c>
      <c r="L29" s="461">
        <v>23215918</v>
      </c>
      <c r="M29" s="322">
        <f t="shared" si="13"/>
        <v>7348</v>
      </c>
      <c r="N29" s="320">
        <f t="shared" si="14"/>
        <v>17211</v>
      </c>
      <c r="O29" s="483">
        <f t="shared" si="21"/>
        <v>3117.9347826086955</v>
      </c>
      <c r="P29" s="461">
        <v>15647</v>
      </c>
      <c r="Q29" s="465">
        <f t="shared" si="23"/>
        <v>5000</v>
      </c>
      <c r="R29" s="465">
        <f t="shared" si="18"/>
        <v>12211</v>
      </c>
      <c r="S29" s="461">
        <v>8849</v>
      </c>
      <c r="T29" s="485">
        <f t="shared" si="3"/>
        <v>13</v>
      </c>
      <c r="U29" s="461">
        <v>129921</v>
      </c>
      <c r="V29" s="465">
        <f t="shared" si="15"/>
        <v>3082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v>35202</v>
      </c>
      <c r="AB29" s="465">
        <f t="shared" si="16"/>
        <v>1</v>
      </c>
      <c r="AC29" s="461">
        <v>809274</v>
      </c>
      <c r="AD29" s="465">
        <f t="shared" si="24"/>
        <v>179</v>
      </c>
      <c r="AE29" s="488">
        <f t="shared" si="8"/>
        <v>14</v>
      </c>
      <c r="AF29" s="489">
        <f t="shared" si="9"/>
        <v>3261</v>
      </c>
      <c r="AG29" s="481">
        <f t="shared" si="22"/>
        <v>232.92857142857142</v>
      </c>
      <c r="AI29" s="482">
        <f>R29-'EDl log'!B28</f>
        <v>-67445</v>
      </c>
    </row>
    <row r="30" spans="1:35">
      <c r="A30" s="473">
        <f>'General information '!F33</f>
        <v>3.4799999999999998E-2</v>
      </c>
      <c r="B30" s="467">
        <f t="shared" si="6"/>
        <v>8.0039999999999996</v>
      </c>
      <c r="C30" s="474">
        <v>44010</v>
      </c>
      <c r="D30" s="461">
        <v>31853208</v>
      </c>
      <c r="E30" s="321">
        <f t="shared" si="10"/>
        <v>4352</v>
      </c>
      <c r="F30" s="461">
        <v>3738167</v>
      </c>
      <c r="G30" s="322">
        <f t="shared" si="0"/>
        <v>1794</v>
      </c>
      <c r="H30" s="461">
        <v>17518488</v>
      </c>
      <c r="I30" s="322">
        <f t="shared" si="11"/>
        <v>1746</v>
      </c>
      <c r="J30" s="461">
        <v>28520040</v>
      </c>
      <c r="K30" s="322">
        <f t="shared" si="12"/>
        <v>2954</v>
      </c>
      <c r="L30" s="461">
        <v>23223886</v>
      </c>
      <c r="M30" s="322">
        <f t="shared" si="13"/>
        <v>7968</v>
      </c>
      <c r="N30" s="320">
        <f t="shared" si="14"/>
        <v>18814</v>
      </c>
      <c r="O30" s="483">
        <f t="shared" si="21"/>
        <v>2350.5747126436781</v>
      </c>
      <c r="P30" s="461">
        <v>15653</v>
      </c>
      <c r="Q30" s="465">
        <f t="shared" si="23"/>
        <v>6000</v>
      </c>
      <c r="R30" s="465">
        <f t="shared" si="18"/>
        <v>12814</v>
      </c>
      <c r="S30" s="461">
        <v>8871</v>
      </c>
      <c r="T30" s="485">
        <f t="shared" si="3"/>
        <v>22</v>
      </c>
      <c r="U30" s="461">
        <v>134599</v>
      </c>
      <c r="V30" s="465">
        <f t="shared" si="15"/>
        <v>4678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v>35202</v>
      </c>
      <c r="AB30" s="465">
        <f t="shared" si="16"/>
        <v>0</v>
      </c>
      <c r="AC30" s="461">
        <f t="shared" si="7"/>
        <v>809274</v>
      </c>
      <c r="AD30" s="465">
        <f t="shared" si="24"/>
        <v>0</v>
      </c>
      <c r="AE30" s="488">
        <f t="shared" si="8"/>
        <v>22</v>
      </c>
      <c r="AF30" s="489">
        <f t="shared" si="9"/>
        <v>4678</v>
      </c>
      <c r="AG30" s="481">
        <f t="shared" si="22"/>
        <v>212.63636363636363</v>
      </c>
      <c r="AI30" s="482">
        <f>R30-'EDl log'!B29</f>
        <v>-73944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ref="D31:L32" si="25">D30</f>
        <v>31853208</v>
      </c>
      <c r="E31" s="321">
        <f t="shared" si="10"/>
        <v>0</v>
      </c>
      <c r="F31" s="461">
        <f t="shared" si="25"/>
        <v>3738167</v>
      </c>
      <c r="G31" s="322">
        <f t="shared" si="0"/>
        <v>0</v>
      </c>
      <c r="H31" s="461">
        <f t="shared" si="25"/>
        <v>17518488</v>
      </c>
      <c r="I31" s="322">
        <f t="shared" si="11"/>
        <v>0</v>
      </c>
      <c r="J31" s="461">
        <f t="shared" si="25"/>
        <v>28520040</v>
      </c>
      <c r="K31" s="322">
        <f t="shared" si="12"/>
        <v>0</v>
      </c>
      <c r="L31" s="461">
        <f t="shared" si="25"/>
        <v>23223886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ref="P31:P32" si="26">P30</f>
        <v>15653</v>
      </c>
      <c r="Q31" s="465">
        <f t="shared" si="23"/>
        <v>0</v>
      </c>
      <c r="R31" s="465">
        <f t="shared" si="18"/>
        <v>0</v>
      </c>
      <c r="S31" s="461">
        <f t="shared" si="7"/>
        <v>8871</v>
      </c>
      <c r="T31" s="485">
        <f t="shared" si="3"/>
        <v>0</v>
      </c>
      <c r="U31" s="461">
        <f t="shared" si="7"/>
        <v>134599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35202</v>
      </c>
      <c r="AB31" s="465">
        <f t="shared" si="16"/>
        <v>0</v>
      </c>
      <c r="AC31" s="461">
        <f t="shared" si="7"/>
        <v>809274</v>
      </c>
      <c r="AD31" s="465">
        <f t="shared" si="24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-92355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5"/>
        <v>31853208</v>
      </c>
      <c r="E32" s="321">
        <f t="shared" si="10"/>
        <v>0</v>
      </c>
      <c r="F32" s="461">
        <f t="shared" si="25"/>
        <v>3738167</v>
      </c>
      <c r="G32" s="322">
        <f>F32-F31</f>
        <v>0</v>
      </c>
      <c r="H32" s="461">
        <f t="shared" si="25"/>
        <v>17518488</v>
      </c>
      <c r="I32" s="322">
        <f>H32-H31</f>
        <v>0</v>
      </c>
      <c r="J32" s="461">
        <f t="shared" si="25"/>
        <v>28520040</v>
      </c>
      <c r="K32" s="322">
        <f>J32-J31</f>
        <v>0</v>
      </c>
      <c r="L32" s="461">
        <f t="shared" si="25"/>
        <v>23223886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6"/>
        <v>15653</v>
      </c>
      <c r="Q32" s="465">
        <f>(P32-P31)*1000</f>
        <v>0</v>
      </c>
      <c r="R32" s="465">
        <f>N32-Q32</f>
        <v>0</v>
      </c>
      <c r="S32" s="461">
        <f t="shared" si="7"/>
        <v>8871</v>
      </c>
      <c r="T32" s="485">
        <f t="shared" si="3"/>
        <v>0</v>
      </c>
      <c r="U32" s="461">
        <f t="shared" si="7"/>
        <v>134599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35202</v>
      </c>
      <c r="AB32" s="465">
        <f t="shared" si="16"/>
        <v>0</v>
      </c>
      <c r="AC32" s="461">
        <f t="shared" si="7"/>
        <v>809274</v>
      </c>
      <c r="AD32" s="465">
        <f t="shared" si="24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-98696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C1" zoomScale="90" zoomScaleNormal="90" workbookViewId="0">
      <pane ySplit="1" topLeftCell="A13" activePane="bottomLeft" state="frozen"/>
      <selection activeCell="K1" sqref="K1"/>
      <selection pane="bottomLeft" activeCell="AX32" sqref="AX3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14" t="s">
        <v>2</v>
      </c>
      <c r="G1" s="615"/>
      <c r="H1" s="615"/>
      <c r="I1" s="616"/>
      <c r="J1" s="292">
        <f>J35</f>
        <v>73.101851851851848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410"/>
      <c r="V1" s="27" t="s">
        <v>104</v>
      </c>
      <c r="W1" s="411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219.30555555555554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73.101851851851848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292.40740740740739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146.2037037037037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219.30555555555554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438.61111111111109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292.40740740740739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365.50925925925924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292.40740740740739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292.40740740740739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v>172</v>
      </c>
      <c r="C19" s="64">
        <v>178</v>
      </c>
      <c r="D19" s="45">
        <f t="shared" si="0"/>
        <v>-22</v>
      </c>
      <c r="E19" s="45">
        <f t="shared" si="16"/>
        <v>-184.36</v>
      </c>
      <c r="F19" s="64"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v>2005</v>
      </c>
      <c r="L19" s="52">
        <f t="shared" si="3"/>
        <v>5</v>
      </c>
      <c r="M19" s="64">
        <v>147032</v>
      </c>
      <c r="N19" s="409">
        <f t="shared" si="5"/>
        <v>352</v>
      </c>
      <c r="O19" s="67">
        <f t="shared" si="6"/>
        <v>365.50925925925924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5</v>
      </c>
      <c r="V19" s="62">
        <f t="shared" si="20"/>
        <v>352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352</v>
      </c>
      <c r="AJ19" s="328">
        <f>-tanks!AW20</f>
        <v>352</v>
      </c>
      <c r="AK19" s="328">
        <f t="shared" si="25"/>
        <v>0</v>
      </c>
      <c r="AL19" s="328">
        <f>S19+L20+G19</f>
        <v>5</v>
      </c>
      <c r="AM19" s="328">
        <f t="shared" si="26"/>
        <v>0</v>
      </c>
      <c r="AN19" s="64">
        <v>67</v>
      </c>
      <c r="AO19" s="330">
        <f t="shared" si="27"/>
        <v>2010.0000000000002</v>
      </c>
      <c r="AP19" s="64">
        <v>67</v>
      </c>
      <c r="AQ19" s="330">
        <f t="shared" si="28"/>
        <v>2010.0000000000002</v>
      </c>
      <c r="AR19" s="64">
        <v>58</v>
      </c>
      <c r="AS19" s="330">
        <f t="shared" si="34"/>
        <v>1739.9999999999998</v>
      </c>
      <c r="AT19" s="330">
        <f t="shared" si="35"/>
        <v>5760</v>
      </c>
      <c r="AU19" s="330">
        <f t="shared" si="36"/>
        <v>120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v>166</v>
      </c>
      <c r="C20" s="64">
        <v>172</v>
      </c>
      <c r="D20" s="45">
        <f>C19-C20</f>
        <v>6</v>
      </c>
      <c r="E20" s="45">
        <f t="shared" si="16"/>
        <v>50.28</v>
      </c>
      <c r="F20" s="64">
        <f t="shared" si="42"/>
        <v>1596</v>
      </c>
      <c r="G20" s="52">
        <f t="shared" si="1"/>
        <v>0</v>
      </c>
      <c r="H20" s="64">
        <v>353837</v>
      </c>
      <c r="I20" s="409">
        <f t="shared" si="2"/>
        <v>0</v>
      </c>
      <c r="J20" s="66">
        <f t="shared" si="17"/>
        <v>0</v>
      </c>
      <c r="K20" s="64">
        <v>2010</v>
      </c>
      <c r="L20" s="52">
        <f t="shared" si="3"/>
        <v>5</v>
      </c>
      <c r="M20" s="64">
        <v>147378</v>
      </c>
      <c r="N20" s="409">
        <f t="shared" si="5"/>
        <v>346</v>
      </c>
      <c r="O20" s="67">
        <f t="shared" si="6"/>
        <v>365.50925925925924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5</v>
      </c>
      <c r="V20" s="62">
        <f t="shared" si="20"/>
        <v>346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346</v>
      </c>
      <c r="AJ20" s="328">
        <f>-tanks!AW21</f>
        <v>346</v>
      </c>
      <c r="AK20" s="328">
        <f t="shared" si="25"/>
        <v>0</v>
      </c>
      <c r="AL20" s="328">
        <f>S20+L21+G20</f>
        <v>4</v>
      </c>
      <c r="AM20" s="328">
        <f t="shared" si="26"/>
        <v>0</v>
      </c>
      <c r="AN20" s="64">
        <v>66</v>
      </c>
      <c r="AO20" s="330">
        <f t="shared" si="27"/>
        <v>1980</v>
      </c>
      <c r="AP20" s="64">
        <v>66</v>
      </c>
      <c r="AQ20" s="330">
        <f t="shared" si="28"/>
        <v>1980</v>
      </c>
      <c r="AR20" s="64">
        <v>57</v>
      </c>
      <c r="AS20" s="330">
        <f t="shared" si="34"/>
        <v>1709.9999999999998</v>
      </c>
      <c r="AT20" s="330">
        <f t="shared" si="35"/>
        <v>5670</v>
      </c>
      <c r="AU20" s="330">
        <f t="shared" si="36"/>
        <v>90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v>192</v>
      </c>
      <c r="C21" s="64">
        <v>198</v>
      </c>
      <c r="D21" s="45">
        <f t="shared" ref="D21:D31" si="45">C20-C21</f>
        <v>-26</v>
      </c>
      <c r="E21" s="45">
        <f t="shared" si="16"/>
        <v>-217.88000000000002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v>2014</v>
      </c>
      <c r="L21" s="52">
        <f t="shared" si="3"/>
        <v>4</v>
      </c>
      <c r="M21" s="64">
        <v>147690</v>
      </c>
      <c r="N21" s="409">
        <f t="shared" si="5"/>
        <v>312</v>
      </c>
      <c r="O21" s="67">
        <f t="shared" si="6"/>
        <v>292.40740740740739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4</v>
      </c>
      <c r="V21" s="62">
        <f t="shared" si="20"/>
        <v>312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312</v>
      </c>
      <c r="AJ21" s="328">
        <f>-tanks!AW22</f>
        <v>312</v>
      </c>
      <c r="AK21" s="328">
        <f t="shared" si="25"/>
        <v>0</v>
      </c>
      <c r="AL21" s="328">
        <f t="shared" ref="AL21:AL34" si="46">S21+L21+G21</f>
        <v>4</v>
      </c>
      <c r="AM21" s="328">
        <f t="shared" si="26"/>
        <v>0</v>
      </c>
      <c r="AN21" s="64">
        <f t="shared" si="38"/>
        <v>66</v>
      </c>
      <c r="AO21" s="330">
        <f t="shared" si="27"/>
        <v>1980</v>
      </c>
      <c r="AP21" s="64">
        <f t="shared" si="39"/>
        <v>66</v>
      </c>
      <c r="AQ21" s="330">
        <f t="shared" si="28"/>
        <v>1980</v>
      </c>
      <c r="AR21" s="64">
        <v>54</v>
      </c>
      <c r="AS21" s="330">
        <f t="shared" si="34"/>
        <v>1620</v>
      </c>
      <c r="AT21" s="330">
        <f t="shared" si="35"/>
        <v>5580</v>
      </c>
      <c r="AU21" s="330">
        <f t="shared" si="36"/>
        <v>90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v>183</v>
      </c>
      <c r="C22" s="64">
        <v>189</v>
      </c>
      <c r="D22" s="45">
        <f t="shared" si="45"/>
        <v>9</v>
      </c>
      <c r="E22" s="45">
        <f t="shared" si="16"/>
        <v>75.42</v>
      </c>
      <c r="F22" s="64">
        <v>1596</v>
      </c>
      <c r="G22" s="52">
        <f t="shared" si="1"/>
        <v>0</v>
      </c>
      <c r="H22" s="64">
        <v>353837</v>
      </c>
      <c r="I22" s="409">
        <f t="shared" si="2"/>
        <v>0</v>
      </c>
      <c r="J22" s="66">
        <f t="shared" si="17"/>
        <v>0</v>
      </c>
      <c r="K22" s="64">
        <v>2019</v>
      </c>
      <c r="L22" s="52">
        <f t="shared" si="3"/>
        <v>5</v>
      </c>
      <c r="M22" s="64">
        <v>148041</v>
      </c>
      <c r="N22" s="409">
        <f t="shared" si="5"/>
        <v>351</v>
      </c>
      <c r="O22" s="67">
        <f t="shared" si="6"/>
        <v>365.50925925925924</v>
      </c>
      <c r="P22" s="64">
        <v>1803</v>
      </c>
      <c r="Q22" s="64"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5</v>
      </c>
      <c r="V22" s="62">
        <f t="shared" si="20"/>
        <v>351</v>
      </c>
      <c r="W22" s="413"/>
      <c r="X22" s="64">
        <v>2418</v>
      </c>
      <c r="Y22" s="52">
        <f t="shared" si="22"/>
        <v>0</v>
      </c>
      <c r="Z22" s="64">
        <v>135964.1</v>
      </c>
      <c r="AA22" s="65">
        <f t="shared" si="11"/>
        <v>0</v>
      </c>
      <c r="AB22" s="294">
        <f t="shared" si="44"/>
        <v>0</v>
      </c>
      <c r="AC22" s="64">
        <v>1852</v>
      </c>
      <c r="AD22" s="45">
        <f t="shared" si="13"/>
        <v>4</v>
      </c>
      <c r="AE22" s="64">
        <v>360537</v>
      </c>
      <c r="AF22" s="316">
        <f t="shared" si="23"/>
        <v>237.59999999997672</v>
      </c>
      <c r="AG22" s="213">
        <f t="shared" si="32"/>
        <v>59.399999999994179</v>
      </c>
      <c r="AH22" s="62">
        <f t="shared" si="33"/>
        <v>237.59999999997672</v>
      </c>
      <c r="AI22" s="328">
        <f t="shared" si="24"/>
        <v>588.59999999997672</v>
      </c>
      <c r="AJ22" s="328">
        <f>-tanks!AW23</f>
        <v>588.59999999997672</v>
      </c>
      <c r="AK22" s="328">
        <f t="shared" si="25"/>
        <v>0</v>
      </c>
      <c r="AL22" s="328">
        <f t="shared" si="46"/>
        <v>5</v>
      </c>
      <c r="AM22" s="328">
        <f t="shared" si="26"/>
        <v>4</v>
      </c>
      <c r="AN22" s="64">
        <v>80</v>
      </c>
      <c r="AO22" s="330">
        <f t="shared" si="27"/>
        <v>2400</v>
      </c>
      <c r="AP22" s="64">
        <v>80</v>
      </c>
      <c r="AQ22" s="330">
        <f t="shared" si="28"/>
        <v>2400</v>
      </c>
      <c r="AR22" s="64">
        <v>79</v>
      </c>
      <c r="AS22" s="330">
        <f t="shared" si="34"/>
        <v>2370</v>
      </c>
      <c r="AT22" s="330">
        <f t="shared" si="35"/>
        <v>7170</v>
      </c>
      <c r="AU22" s="330">
        <f t="shared" si="36"/>
        <v>510</v>
      </c>
      <c r="AV22" s="276">
        <v>2100</v>
      </c>
      <c r="AW22" s="276">
        <v>0.7</v>
      </c>
      <c r="AX22" s="323">
        <f t="shared" si="29"/>
        <v>0.7</v>
      </c>
    </row>
    <row r="23" spans="1:50">
      <c r="A23" s="63">
        <f>ELEC!C21</f>
        <v>44001</v>
      </c>
      <c r="B23" s="64">
        <v>177</v>
      </c>
      <c r="C23" s="64">
        <v>182.1</v>
      </c>
      <c r="D23" s="45">
        <f t="shared" si="45"/>
        <v>6.9000000000000057</v>
      </c>
      <c r="E23" s="45">
        <f t="shared" si="16"/>
        <v>57.822000000000052</v>
      </c>
      <c r="F23" s="64"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v>2025</v>
      </c>
      <c r="L23" s="52">
        <f t="shared" si="3"/>
        <v>6</v>
      </c>
      <c r="M23" s="64">
        <v>148523</v>
      </c>
      <c r="N23" s="409">
        <f t="shared" si="5"/>
        <v>482</v>
      </c>
      <c r="O23" s="67">
        <f t="shared" si="6"/>
        <v>438.61111111111109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6</v>
      </c>
      <c r="V23" s="62">
        <f t="shared" si="20"/>
        <v>482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1852</v>
      </c>
      <c r="AD23" s="45">
        <f t="shared" si="13"/>
        <v>0</v>
      </c>
      <c r="AE23" s="64">
        <f t="shared" si="14"/>
        <v>360537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482</v>
      </c>
      <c r="AJ23" s="328">
        <f>-tanks!AW24</f>
        <v>482</v>
      </c>
      <c r="AK23" s="328">
        <f t="shared" si="25"/>
        <v>0</v>
      </c>
      <c r="AL23" s="328">
        <f t="shared" si="46"/>
        <v>6</v>
      </c>
      <c r="AM23" s="328">
        <f t="shared" si="26"/>
        <v>0</v>
      </c>
      <c r="AN23" s="64">
        <v>78</v>
      </c>
      <c r="AO23" s="330">
        <f t="shared" si="27"/>
        <v>2340</v>
      </c>
      <c r="AP23" s="64">
        <v>78</v>
      </c>
      <c r="AQ23" s="330">
        <f t="shared" si="28"/>
        <v>2340</v>
      </c>
      <c r="AR23" s="64">
        <v>78</v>
      </c>
      <c r="AS23" s="330">
        <f t="shared" si="34"/>
        <v>2340</v>
      </c>
      <c r="AT23" s="330">
        <f t="shared" si="35"/>
        <v>7020</v>
      </c>
      <c r="AU23" s="330">
        <f t="shared" si="36"/>
        <v>150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v>173</v>
      </c>
      <c r="C24" s="64">
        <v>179</v>
      </c>
      <c r="D24" s="45">
        <f t="shared" si="45"/>
        <v>3.0999999999999943</v>
      </c>
      <c r="E24" s="45">
        <f t="shared" si="16"/>
        <v>25.977999999999955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v>2029</v>
      </c>
      <c r="L24" s="52">
        <f t="shared" si="3"/>
        <v>4</v>
      </c>
      <c r="M24" s="64">
        <v>148802</v>
      </c>
      <c r="N24" s="409">
        <f t="shared" si="5"/>
        <v>279</v>
      </c>
      <c r="O24" s="67">
        <f t="shared" si="6"/>
        <v>292.40740740740739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4</v>
      </c>
      <c r="V24" s="62">
        <f t="shared" si="20"/>
        <v>279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7">SUM(Y24*$AB$2)</f>
        <v>0</v>
      </c>
      <c r="AC24" s="64">
        <f t="shared" si="12"/>
        <v>1852</v>
      </c>
      <c r="AD24" s="45">
        <f t="shared" si="13"/>
        <v>0</v>
      </c>
      <c r="AE24" s="64">
        <f t="shared" si="14"/>
        <v>360537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279</v>
      </c>
      <c r="AJ24" s="328">
        <f>-tanks!AW25</f>
        <v>279</v>
      </c>
      <c r="AK24" s="328">
        <f t="shared" si="25"/>
        <v>0</v>
      </c>
      <c r="AL24" s="328">
        <f t="shared" si="46"/>
        <v>4</v>
      </c>
      <c r="AM24" s="328">
        <f t="shared" si="26"/>
        <v>0</v>
      </c>
      <c r="AN24" s="64">
        <v>76</v>
      </c>
      <c r="AO24" s="330">
        <f t="shared" si="27"/>
        <v>2280</v>
      </c>
      <c r="AP24" s="64">
        <v>78</v>
      </c>
      <c r="AQ24" s="330">
        <f t="shared" si="28"/>
        <v>2340</v>
      </c>
      <c r="AR24" s="64">
        <f t="shared" si="41"/>
        <v>78</v>
      </c>
      <c r="AS24" s="330">
        <f t="shared" si="34"/>
        <v>2340</v>
      </c>
      <c r="AT24" s="330">
        <f t="shared" ref="AT24:AT34" si="48">SUM(AO24+AQ24+AS24)</f>
        <v>6960</v>
      </c>
      <c r="AU24" s="330">
        <f t="shared" si="36"/>
        <v>60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v>169</v>
      </c>
      <c r="C25" s="64">
        <v>175.2</v>
      </c>
      <c r="D25" s="45">
        <f t="shared" si="45"/>
        <v>3.8000000000000114</v>
      </c>
      <c r="E25" s="45">
        <f t="shared" si="16"/>
        <v>31.844000000000097</v>
      </c>
      <c r="F25" s="64">
        <v>1596</v>
      </c>
      <c r="G25" s="52">
        <f t="shared" si="1"/>
        <v>0</v>
      </c>
      <c r="H25" s="64">
        <v>353837</v>
      </c>
      <c r="I25" s="409">
        <f t="shared" si="2"/>
        <v>0</v>
      </c>
      <c r="J25" s="66">
        <f t="shared" si="17"/>
        <v>0</v>
      </c>
      <c r="K25" s="64">
        <v>2034</v>
      </c>
      <c r="L25" s="52">
        <f t="shared" si="3"/>
        <v>5</v>
      </c>
      <c r="M25" s="64">
        <v>149184</v>
      </c>
      <c r="N25" s="409">
        <f t="shared" si="5"/>
        <v>382</v>
      </c>
      <c r="O25" s="67">
        <f t="shared" si="6"/>
        <v>365.50925925925924</v>
      </c>
      <c r="P25" s="64">
        <v>1803</v>
      </c>
      <c r="Q25" s="64"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5</v>
      </c>
      <c r="V25" s="62">
        <f t="shared" si="20"/>
        <v>382</v>
      </c>
      <c r="W25" s="413"/>
      <c r="X25" s="64">
        <v>2418</v>
      </c>
      <c r="Y25" s="52">
        <f t="shared" si="22"/>
        <v>0</v>
      </c>
      <c r="Z25" s="64">
        <v>135964.1</v>
      </c>
      <c r="AA25" s="65">
        <f t="shared" si="11"/>
        <v>0</v>
      </c>
      <c r="AB25" s="294">
        <f t="shared" si="47"/>
        <v>0</v>
      </c>
      <c r="AC25" s="64">
        <v>1852</v>
      </c>
      <c r="AD25" s="45">
        <f t="shared" si="13"/>
        <v>0</v>
      </c>
      <c r="AE25" s="64">
        <v>360537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382</v>
      </c>
      <c r="AJ25" s="328">
        <f>-tanks!AW26</f>
        <v>382</v>
      </c>
      <c r="AK25" s="328">
        <f t="shared" si="25"/>
        <v>0</v>
      </c>
      <c r="AL25" s="328">
        <f t="shared" si="46"/>
        <v>5</v>
      </c>
      <c r="AM25" s="328">
        <f t="shared" si="26"/>
        <v>0</v>
      </c>
      <c r="AN25" s="64">
        <v>75</v>
      </c>
      <c r="AO25" s="330">
        <f t="shared" si="27"/>
        <v>2250</v>
      </c>
      <c r="AP25" s="64">
        <v>77</v>
      </c>
      <c r="AQ25" s="330">
        <f t="shared" ref="AQ25:AQ34" si="49">(AP25/100)*3000</f>
        <v>2310</v>
      </c>
      <c r="AR25" s="64">
        <v>77</v>
      </c>
      <c r="AS25" s="330">
        <f t="shared" si="34"/>
        <v>2310</v>
      </c>
      <c r="AT25" s="330">
        <f t="shared" si="48"/>
        <v>6870</v>
      </c>
      <c r="AU25" s="330">
        <f t="shared" si="36"/>
        <v>90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v>162.5</v>
      </c>
      <c r="C26" s="64">
        <v>169</v>
      </c>
      <c r="D26" s="45">
        <f t="shared" si="45"/>
        <v>6.1999999999999886</v>
      </c>
      <c r="E26" s="45">
        <f t="shared" si="16"/>
        <v>51.955999999999911</v>
      </c>
      <c r="F26" s="64">
        <v>1596</v>
      </c>
      <c r="G26" s="52">
        <f t="shared" si="1"/>
        <v>0</v>
      </c>
      <c r="H26" s="64">
        <v>353837</v>
      </c>
      <c r="I26" s="409">
        <f t="shared" si="2"/>
        <v>0</v>
      </c>
      <c r="J26" s="66">
        <f t="shared" si="17"/>
        <v>0</v>
      </c>
      <c r="K26" s="64">
        <v>2040</v>
      </c>
      <c r="L26" s="52">
        <f t="shared" si="3"/>
        <v>6</v>
      </c>
      <c r="M26" s="64">
        <v>149633</v>
      </c>
      <c r="N26" s="409">
        <f t="shared" si="5"/>
        <v>449</v>
      </c>
      <c r="O26" s="67">
        <f t="shared" si="6"/>
        <v>438.61111111111109</v>
      </c>
      <c r="P26" s="64">
        <v>1803</v>
      </c>
      <c r="Q26" s="64"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6</v>
      </c>
      <c r="V26" s="62">
        <f t="shared" si="20"/>
        <v>449</v>
      </c>
      <c r="W26" s="413"/>
      <c r="X26" s="64">
        <v>2418</v>
      </c>
      <c r="Y26" s="52">
        <f t="shared" si="22"/>
        <v>0</v>
      </c>
      <c r="Z26" s="64">
        <v>135964.1</v>
      </c>
      <c r="AA26" s="65">
        <f t="shared" si="11"/>
        <v>0</v>
      </c>
      <c r="AB26" s="294">
        <f t="shared" si="47"/>
        <v>0</v>
      </c>
      <c r="AC26" s="64">
        <v>1852</v>
      </c>
      <c r="AD26" s="45">
        <f t="shared" si="13"/>
        <v>0</v>
      </c>
      <c r="AE26" s="64">
        <v>360537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449</v>
      </c>
      <c r="AJ26" s="328">
        <f>-tanks!AW27</f>
        <v>449</v>
      </c>
      <c r="AK26" s="328">
        <f t="shared" si="25"/>
        <v>0</v>
      </c>
      <c r="AL26" s="328">
        <f t="shared" si="46"/>
        <v>6</v>
      </c>
      <c r="AM26" s="328">
        <f t="shared" si="26"/>
        <v>0</v>
      </c>
      <c r="AN26" s="64">
        <v>79</v>
      </c>
      <c r="AO26" s="330">
        <f t="shared" si="27"/>
        <v>2370</v>
      </c>
      <c r="AP26" s="64">
        <v>77</v>
      </c>
      <c r="AQ26" s="330">
        <f t="shared" si="49"/>
        <v>2310</v>
      </c>
      <c r="AR26" s="64">
        <v>75</v>
      </c>
      <c r="AS26" s="330">
        <f t="shared" si="34"/>
        <v>2250</v>
      </c>
      <c r="AT26" s="330">
        <f t="shared" si="48"/>
        <v>6930</v>
      </c>
      <c r="AU26" s="330">
        <f t="shared" si="36"/>
        <v>-60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v>157</v>
      </c>
      <c r="C27" s="64">
        <v>164</v>
      </c>
      <c r="D27" s="45">
        <f t="shared" si="45"/>
        <v>5</v>
      </c>
      <c r="E27" s="45">
        <f t="shared" si="16"/>
        <v>41.900000000000006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603">
        <v>2044</v>
      </c>
      <c r="L27" s="52">
        <f t="shared" si="3"/>
        <v>4</v>
      </c>
      <c r="M27" s="604">
        <v>149951</v>
      </c>
      <c r="N27" s="409">
        <f t="shared" si="5"/>
        <v>318</v>
      </c>
      <c r="O27" s="67">
        <f t="shared" si="6"/>
        <v>292.40740740740739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4</v>
      </c>
      <c r="V27" s="62">
        <f t="shared" si="20"/>
        <v>318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7"/>
        <v>0</v>
      </c>
      <c r="AC27" s="64">
        <f t="shared" si="12"/>
        <v>1852</v>
      </c>
      <c r="AD27" s="45">
        <f t="shared" si="13"/>
        <v>0</v>
      </c>
      <c r="AE27" s="64">
        <f t="shared" si="14"/>
        <v>360537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318</v>
      </c>
      <c r="AJ27" s="328">
        <f>-tanks!AW28</f>
        <v>318</v>
      </c>
      <c r="AK27" s="328">
        <f t="shared" si="25"/>
        <v>0</v>
      </c>
      <c r="AL27" s="328">
        <f t="shared" si="46"/>
        <v>4</v>
      </c>
      <c r="AM27" s="328">
        <f t="shared" si="26"/>
        <v>0</v>
      </c>
      <c r="AN27" s="64">
        <v>77</v>
      </c>
      <c r="AO27" s="330">
        <f>(AN27/100)*3000</f>
        <v>2310</v>
      </c>
      <c r="AP27" s="64">
        <v>76</v>
      </c>
      <c r="AQ27" s="330">
        <f t="shared" si="49"/>
        <v>2280</v>
      </c>
      <c r="AR27" s="64">
        <f t="shared" si="41"/>
        <v>75</v>
      </c>
      <c r="AS27" s="330">
        <f t="shared" si="34"/>
        <v>2250</v>
      </c>
      <c r="AT27" s="330">
        <f t="shared" si="48"/>
        <v>6840</v>
      </c>
      <c r="AU27" s="330">
        <f t="shared" si="36"/>
        <v>90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v>150.19999999999999</v>
      </c>
      <c r="C28" s="64">
        <v>157</v>
      </c>
      <c r="D28" s="45">
        <f t="shared" si="45"/>
        <v>7</v>
      </c>
      <c r="E28" s="45">
        <f t="shared" si="16"/>
        <v>58.660000000000004</v>
      </c>
      <c r="F28" s="64">
        <v>1596</v>
      </c>
      <c r="G28" s="52">
        <f t="shared" si="1"/>
        <v>0</v>
      </c>
      <c r="H28" s="64">
        <v>353850</v>
      </c>
      <c r="I28" s="409">
        <f t="shared" si="2"/>
        <v>13</v>
      </c>
      <c r="J28" s="66">
        <f t="shared" si="17"/>
        <v>0</v>
      </c>
      <c r="K28" s="64">
        <v>2050</v>
      </c>
      <c r="L28" s="52">
        <f t="shared" si="3"/>
        <v>6</v>
      </c>
      <c r="M28" s="64">
        <v>150372</v>
      </c>
      <c r="N28" s="409">
        <f t="shared" si="5"/>
        <v>421</v>
      </c>
      <c r="O28" s="67">
        <f t="shared" si="6"/>
        <v>438.61111111111109</v>
      </c>
      <c r="P28" s="64">
        <v>1803</v>
      </c>
      <c r="Q28" s="64"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6</v>
      </c>
      <c r="V28" s="62">
        <f t="shared" si="20"/>
        <v>434</v>
      </c>
      <c r="W28" s="413"/>
      <c r="X28" s="64">
        <v>2418</v>
      </c>
      <c r="Y28" s="52">
        <f t="shared" si="22"/>
        <v>0</v>
      </c>
      <c r="Z28" s="64">
        <v>135964.1</v>
      </c>
      <c r="AA28" s="65">
        <f t="shared" si="11"/>
        <v>0</v>
      </c>
      <c r="AB28" s="294">
        <f t="shared" si="47"/>
        <v>0</v>
      </c>
      <c r="AC28" s="64">
        <v>1852</v>
      </c>
      <c r="AD28" s="45">
        <f t="shared" si="13"/>
        <v>0</v>
      </c>
      <c r="AE28" s="64">
        <v>360537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434</v>
      </c>
      <c r="AJ28" s="328">
        <f>-tanks!AW29</f>
        <v>434</v>
      </c>
      <c r="AK28" s="328">
        <f t="shared" si="25"/>
        <v>0</v>
      </c>
      <c r="AL28" s="328">
        <f t="shared" si="46"/>
        <v>6</v>
      </c>
      <c r="AM28" s="328">
        <f t="shared" si="26"/>
        <v>0</v>
      </c>
      <c r="AN28" s="64">
        <v>75</v>
      </c>
      <c r="AO28" s="330">
        <f t="shared" ref="AO28:AO34" si="50">(AN28/100)*3000</f>
        <v>2250</v>
      </c>
      <c r="AP28" s="64">
        <v>76</v>
      </c>
      <c r="AQ28" s="330">
        <f t="shared" si="49"/>
        <v>2280</v>
      </c>
      <c r="AR28" s="64">
        <v>74</v>
      </c>
      <c r="AS28" s="330">
        <f t="shared" si="34"/>
        <v>2220</v>
      </c>
      <c r="AT28" s="330">
        <f t="shared" si="48"/>
        <v>6750</v>
      </c>
      <c r="AU28" s="330">
        <f t="shared" si="36"/>
        <v>90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v>186</v>
      </c>
      <c r="C29" s="64">
        <v>191</v>
      </c>
      <c r="D29" s="45">
        <f t="shared" si="45"/>
        <v>-34</v>
      </c>
      <c r="E29" s="45">
        <f t="shared" si="16"/>
        <v>-284.92</v>
      </c>
      <c r="F29" s="64">
        <f t="shared" si="42"/>
        <v>1596</v>
      </c>
      <c r="G29" s="52">
        <f t="shared" si="1"/>
        <v>0</v>
      </c>
      <c r="H29" s="64">
        <f t="shared" si="42"/>
        <v>353850</v>
      </c>
      <c r="I29" s="409">
        <f t="shared" si="2"/>
        <v>0</v>
      </c>
      <c r="J29" s="66">
        <f t="shared" si="17"/>
        <v>0</v>
      </c>
      <c r="K29" s="603">
        <v>2054</v>
      </c>
      <c r="L29" s="52">
        <f t="shared" si="3"/>
        <v>4</v>
      </c>
      <c r="M29" s="604">
        <v>150694</v>
      </c>
      <c r="N29" s="409">
        <f t="shared" si="5"/>
        <v>322</v>
      </c>
      <c r="O29" s="67">
        <f t="shared" si="6"/>
        <v>292.40740740740739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4</v>
      </c>
      <c r="V29" s="62">
        <f t="shared" si="20"/>
        <v>322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7"/>
        <v>0</v>
      </c>
      <c r="AC29" s="64">
        <v>1857</v>
      </c>
      <c r="AD29" s="45">
        <f t="shared" si="13"/>
        <v>5</v>
      </c>
      <c r="AE29" s="64">
        <v>360818</v>
      </c>
      <c r="AF29" s="316">
        <f t="shared" si="23"/>
        <v>281</v>
      </c>
      <c r="AG29" s="213">
        <f t="shared" si="32"/>
        <v>56.2</v>
      </c>
      <c r="AH29" s="62">
        <f t="shared" si="33"/>
        <v>281</v>
      </c>
      <c r="AI29" s="328">
        <f t="shared" si="24"/>
        <v>603</v>
      </c>
      <c r="AJ29" s="328">
        <f>-tanks!AW30</f>
        <v>603</v>
      </c>
      <c r="AK29" s="328">
        <f t="shared" si="25"/>
        <v>0</v>
      </c>
      <c r="AL29" s="328">
        <f t="shared" si="46"/>
        <v>4</v>
      </c>
      <c r="AM29" s="328">
        <f t="shared" si="26"/>
        <v>5</v>
      </c>
      <c r="AN29" s="64">
        <v>79</v>
      </c>
      <c r="AO29" s="330">
        <f t="shared" si="50"/>
        <v>2370</v>
      </c>
      <c r="AP29" s="64">
        <v>82</v>
      </c>
      <c r="AQ29" s="330">
        <f t="shared" si="49"/>
        <v>2460</v>
      </c>
      <c r="AR29" s="64">
        <v>83</v>
      </c>
      <c r="AS29" s="330">
        <f t="shared" si="34"/>
        <v>2490</v>
      </c>
      <c r="AT29" s="330">
        <f>SUM(AO29+AQ29+AS29)</f>
        <v>7320</v>
      </c>
      <c r="AU29" s="330">
        <f>AT28-AT29+AV29</f>
        <v>530</v>
      </c>
      <c r="AV29" s="276">
        <v>1100</v>
      </c>
      <c r="AW29" s="276">
        <v>0.7</v>
      </c>
      <c r="AX29" s="323">
        <f t="shared" si="29"/>
        <v>0.7</v>
      </c>
    </row>
    <row r="30" spans="1:50">
      <c r="A30" s="63">
        <f>ELEC!C28</f>
        <v>44008</v>
      </c>
      <c r="B30" s="64">
        <v>176</v>
      </c>
      <c r="C30" s="64">
        <v>185</v>
      </c>
      <c r="D30" s="45">
        <f t="shared" si="45"/>
        <v>6</v>
      </c>
      <c r="E30" s="45">
        <f t="shared" si="16"/>
        <v>50.28</v>
      </c>
      <c r="F30" s="64">
        <v>1598</v>
      </c>
      <c r="G30" s="52">
        <f t="shared" si="1"/>
        <v>2</v>
      </c>
      <c r="H30" s="64">
        <v>353983</v>
      </c>
      <c r="I30" s="409">
        <f t="shared" si="2"/>
        <v>133</v>
      </c>
      <c r="J30" s="66">
        <f t="shared" si="17"/>
        <v>66.5</v>
      </c>
      <c r="K30" s="64">
        <f t="shared" si="37"/>
        <v>2054</v>
      </c>
      <c r="L30" s="52">
        <f t="shared" si="3"/>
        <v>0</v>
      </c>
      <c r="M30" s="64">
        <f t="shared" si="4"/>
        <v>150694</v>
      </c>
      <c r="N30" s="409">
        <f t="shared" si="5"/>
        <v>0</v>
      </c>
      <c r="O30" s="67">
        <f t="shared" si="6"/>
        <v>0</v>
      </c>
      <c r="P30" s="64">
        <v>1806</v>
      </c>
      <c r="Q30" s="64">
        <v>153182</v>
      </c>
      <c r="R30" s="408">
        <f t="shared" si="40"/>
        <v>208</v>
      </c>
      <c r="S30" s="52">
        <f t="shared" si="8"/>
        <v>3</v>
      </c>
      <c r="T30" s="68">
        <f t="shared" si="30"/>
        <v>0</v>
      </c>
      <c r="U30" s="415">
        <f t="shared" si="19"/>
        <v>5</v>
      </c>
      <c r="V30" s="62">
        <f t="shared" si="20"/>
        <v>341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7"/>
        <v>0</v>
      </c>
      <c r="AC30" s="64">
        <f t="shared" si="12"/>
        <v>1857</v>
      </c>
      <c r="AD30" s="45">
        <f t="shared" si="13"/>
        <v>0</v>
      </c>
      <c r="AE30" s="64">
        <f t="shared" si="14"/>
        <v>360818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341</v>
      </c>
      <c r="AJ30" s="328">
        <f>-tanks!AW31</f>
        <v>341</v>
      </c>
      <c r="AK30" s="328">
        <f t="shared" si="25"/>
        <v>0</v>
      </c>
      <c r="AL30" s="328">
        <f t="shared" si="46"/>
        <v>5</v>
      </c>
      <c r="AM30" s="328">
        <f t="shared" si="26"/>
        <v>0</v>
      </c>
      <c r="AN30" s="64">
        <v>78</v>
      </c>
      <c r="AO30" s="330">
        <f t="shared" si="50"/>
        <v>2340</v>
      </c>
      <c r="AP30" s="64">
        <v>82</v>
      </c>
      <c r="AQ30" s="330">
        <f t="shared" si="49"/>
        <v>2460</v>
      </c>
      <c r="AR30" s="64">
        <v>83</v>
      </c>
      <c r="AS30" s="330">
        <f t="shared" si="34"/>
        <v>2490</v>
      </c>
      <c r="AT30" s="330">
        <f t="shared" si="48"/>
        <v>7290</v>
      </c>
      <c r="AU30" s="330">
        <f t="shared" si="36"/>
        <v>30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v>171.4</v>
      </c>
      <c r="C31" s="64">
        <v>177.2</v>
      </c>
      <c r="D31" s="45">
        <f t="shared" si="45"/>
        <v>7.8000000000000114</v>
      </c>
      <c r="E31" s="45">
        <f t="shared" si="16"/>
        <v>65.364000000000104</v>
      </c>
      <c r="F31" s="64">
        <v>1601</v>
      </c>
      <c r="G31" s="52">
        <f t="shared" si="1"/>
        <v>3</v>
      </c>
      <c r="H31" s="64">
        <v>354278</v>
      </c>
      <c r="I31" s="409">
        <f t="shared" si="2"/>
        <v>295</v>
      </c>
      <c r="J31" s="66">
        <f t="shared" si="17"/>
        <v>98.333333333333329</v>
      </c>
      <c r="K31" s="64">
        <v>2055</v>
      </c>
      <c r="L31" s="52">
        <f t="shared" si="3"/>
        <v>1</v>
      </c>
      <c r="M31" s="64">
        <v>150771</v>
      </c>
      <c r="N31" s="409">
        <f t="shared" si="5"/>
        <v>77</v>
      </c>
      <c r="O31" s="67">
        <f t="shared" si="6"/>
        <v>73.101851851851848</v>
      </c>
      <c r="P31" s="64">
        <v>1806</v>
      </c>
      <c r="Q31" s="64">
        <f t="shared" si="43"/>
        <v>153182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4</v>
      </c>
      <c r="V31" s="62">
        <f t="shared" si="20"/>
        <v>372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7"/>
        <v>0</v>
      </c>
      <c r="AC31" s="64">
        <f t="shared" si="12"/>
        <v>1857</v>
      </c>
      <c r="AD31" s="276">
        <f t="shared" si="13"/>
        <v>0</v>
      </c>
      <c r="AE31" s="64">
        <f t="shared" si="14"/>
        <v>360818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372</v>
      </c>
      <c r="AJ31" s="328">
        <f>-tanks!AW32</f>
        <v>372</v>
      </c>
      <c r="AK31" s="328">
        <f t="shared" si="25"/>
        <v>0</v>
      </c>
      <c r="AL31" s="328">
        <f t="shared" si="46"/>
        <v>4</v>
      </c>
      <c r="AM31" s="328">
        <f t="shared" si="26"/>
        <v>0</v>
      </c>
      <c r="AN31" s="64">
        <v>77</v>
      </c>
      <c r="AO31" s="330">
        <f t="shared" si="50"/>
        <v>2310</v>
      </c>
      <c r="AP31" s="64">
        <v>82</v>
      </c>
      <c r="AQ31" s="330">
        <f t="shared" si="49"/>
        <v>2460</v>
      </c>
      <c r="AR31" s="64">
        <v>82</v>
      </c>
      <c r="AS31" s="330">
        <f t="shared" si="34"/>
        <v>2460</v>
      </c>
      <c r="AT31" s="330">
        <f t="shared" si="48"/>
        <v>7230</v>
      </c>
      <c r="AU31" s="330">
        <f t="shared" si="36"/>
        <v>60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v>165</v>
      </c>
      <c r="C32" s="64">
        <v>170</v>
      </c>
      <c r="D32" s="45">
        <f t="shared" si="0"/>
        <v>7.1999999999999886</v>
      </c>
      <c r="E32" s="45">
        <f t="shared" ref="E32:E34" si="51">D32*8.38</f>
        <v>60.335999999999913</v>
      </c>
      <c r="F32" s="64">
        <f t="shared" si="42"/>
        <v>1601</v>
      </c>
      <c r="G32" s="52">
        <f t="shared" si="1"/>
        <v>0</v>
      </c>
      <c r="H32" s="64">
        <v>354278</v>
      </c>
      <c r="I32" s="409">
        <f t="shared" si="2"/>
        <v>0</v>
      </c>
      <c r="J32" s="66">
        <f t="shared" si="17"/>
        <v>0</v>
      </c>
      <c r="K32" s="64">
        <v>2061</v>
      </c>
      <c r="L32" s="52">
        <f t="shared" si="3"/>
        <v>6</v>
      </c>
      <c r="M32" s="64">
        <v>151168</v>
      </c>
      <c r="N32" s="409">
        <f t="shared" si="5"/>
        <v>397</v>
      </c>
      <c r="O32" s="67">
        <f t="shared" si="6"/>
        <v>438.61111111111109</v>
      </c>
      <c r="P32" s="64">
        <f t="shared" si="18"/>
        <v>1806</v>
      </c>
      <c r="Q32" s="64">
        <f t="shared" si="43"/>
        <v>153182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6</v>
      </c>
      <c r="V32" s="62">
        <f t="shared" si="20"/>
        <v>397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7"/>
        <v>0</v>
      </c>
      <c r="AC32" s="64">
        <f t="shared" si="12"/>
        <v>1857</v>
      </c>
      <c r="AD32" s="276">
        <f t="shared" si="13"/>
        <v>0</v>
      </c>
      <c r="AE32" s="64">
        <f t="shared" si="14"/>
        <v>360818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397</v>
      </c>
      <c r="AJ32" s="328">
        <f>-tanks!AW33</f>
        <v>397</v>
      </c>
      <c r="AK32" s="328">
        <f t="shared" si="25"/>
        <v>0</v>
      </c>
      <c r="AL32" s="328">
        <f t="shared" si="46"/>
        <v>6</v>
      </c>
      <c r="AM32" s="328">
        <f t="shared" si="26"/>
        <v>0</v>
      </c>
      <c r="AN32" s="64">
        <v>74</v>
      </c>
      <c r="AO32" s="330">
        <f t="shared" si="50"/>
        <v>2220</v>
      </c>
      <c r="AP32" s="64">
        <v>79</v>
      </c>
      <c r="AQ32" s="330">
        <f t="shared" si="49"/>
        <v>2370</v>
      </c>
      <c r="AR32" s="64">
        <v>78</v>
      </c>
      <c r="AS32" s="330">
        <f t="shared" si="34"/>
        <v>2340</v>
      </c>
      <c r="AT32" s="330">
        <f t="shared" si="48"/>
        <v>6930</v>
      </c>
      <c r="AU32" s="330">
        <f t="shared" si="36"/>
        <v>300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ref="B33:C34" si="52">B32</f>
        <v>165</v>
      </c>
      <c r="C33" s="64">
        <f t="shared" si="52"/>
        <v>170</v>
      </c>
      <c r="D33" s="45">
        <f t="shared" si="0"/>
        <v>0</v>
      </c>
      <c r="E33" s="45">
        <f t="shared" si="51"/>
        <v>0</v>
      </c>
      <c r="F33" s="64">
        <f t="shared" si="42"/>
        <v>1601</v>
      </c>
      <c r="G33" s="52">
        <f t="shared" si="1"/>
        <v>0</v>
      </c>
      <c r="H33" s="64">
        <f t="shared" si="42"/>
        <v>354278</v>
      </c>
      <c r="I33" s="409">
        <f t="shared" si="2"/>
        <v>0</v>
      </c>
      <c r="J33" s="66">
        <f t="shared" si="17"/>
        <v>0</v>
      </c>
      <c r="K33" s="64">
        <f t="shared" si="37"/>
        <v>2061</v>
      </c>
      <c r="L33" s="52">
        <f t="shared" si="3"/>
        <v>0</v>
      </c>
      <c r="M33" s="64">
        <f t="shared" si="4"/>
        <v>151168</v>
      </c>
      <c r="N33" s="409">
        <f t="shared" si="5"/>
        <v>0</v>
      </c>
      <c r="O33" s="67">
        <f t="shared" si="6"/>
        <v>0</v>
      </c>
      <c r="P33" s="64">
        <f t="shared" si="18"/>
        <v>1806</v>
      </c>
      <c r="Q33" s="64">
        <f t="shared" si="43"/>
        <v>153182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7"/>
        <v>0</v>
      </c>
      <c r="AC33" s="64">
        <f t="shared" si="12"/>
        <v>1857</v>
      </c>
      <c r="AD33" s="45">
        <f t="shared" si="13"/>
        <v>0</v>
      </c>
      <c r="AE33" s="64">
        <f t="shared" si="14"/>
        <v>360818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6"/>
        <v>0</v>
      </c>
      <c r="AM33" s="328">
        <f t="shared" si="26"/>
        <v>0</v>
      </c>
      <c r="AN33" s="64">
        <f t="shared" si="38"/>
        <v>74</v>
      </c>
      <c r="AO33" s="330">
        <f t="shared" si="50"/>
        <v>2220</v>
      </c>
      <c r="AP33" s="64">
        <f t="shared" si="39"/>
        <v>79</v>
      </c>
      <c r="AQ33" s="330">
        <f t="shared" si="49"/>
        <v>2370</v>
      </c>
      <c r="AR33" s="64">
        <f t="shared" si="41"/>
        <v>78</v>
      </c>
      <c r="AS33" s="330">
        <f t="shared" si="34"/>
        <v>2340</v>
      </c>
      <c r="AT33" s="330">
        <f t="shared" si="48"/>
        <v>6930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52"/>
        <v>165</v>
      </c>
      <c r="C34" s="64">
        <f t="shared" si="52"/>
        <v>170</v>
      </c>
      <c r="D34" s="45">
        <f t="shared" si="0"/>
        <v>0</v>
      </c>
      <c r="E34" s="45">
        <f t="shared" si="51"/>
        <v>0</v>
      </c>
      <c r="F34" s="64">
        <f t="shared" si="42"/>
        <v>1601</v>
      </c>
      <c r="G34" s="52">
        <f t="shared" si="1"/>
        <v>0</v>
      </c>
      <c r="H34" s="64">
        <f t="shared" si="42"/>
        <v>354278</v>
      </c>
      <c r="I34" s="409">
        <f t="shared" si="2"/>
        <v>0</v>
      </c>
      <c r="J34" s="66">
        <f t="shared" si="17"/>
        <v>0</v>
      </c>
      <c r="K34" s="64">
        <f t="shared" si="37"/>
        <v>2061</v>
      </c>
      <c r="L34" s="52">
        <f t="shared" si="3"/>
        <v>0</v>
      </c>
      <c r="M34" s="64">
        <f t="shared" si="4"/>
        <v>151168</v>
      </c>
      <c r="N34" s="409">
        <f t="shared" si="5"/>
        <v>0</v>
      </c>
      <c r="O34" s="67">
        <f t="shared" si="6"/>
        <v>0</v>
      </c>
      <c r="P34" s="64">
        <f t="shared" si="18"/>
        <v>1806</v>
      </c>
      <c r="Q34" s="64">
        <f t="shared" si="43"/>
        <v>153182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7"/>
        <v>0</v>
      </c>
      <c r="AC34" s="64">
        <f t="shared" si="12"/>
        <v>1857</v>
      </c>
      <c r="AD34" s="45">
        <f t="shared" si="13"/>
        <v>0</v>
      </c>
      <c r="AE34" s="64">
        <f t="shared" si="14"/>
        <v>360818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6"/>
        <v>0</v>
      </c>
      <c r="AM34" s="328">
        <f>Y34+AD34</f>
        <v>0</v>
      </c>
      <c r="AN34" s="64">
        <f t="shared" si="38"/>
        <v>74</v>
      </c>
      <c r="AO34" s="330">
        <f t="shared" si="50"/>
        <v>2220</v>
      </c>
      <c r="AP34" s="64">
        <f t="shared" si="39"/>
        <v>79</v>
      </c>
      <c r="AQ34" s="330">
        <f t="shared" si="49"/>
        <v>2370</v>
      </c>
      <c r="AR34" s="64">
        <f t="shared" si="41"/>
        <v>78</v>
      </c>
      <c r="AS34" s="330">
        <f t="shared" si="34"/>
        <v>2340</v>
      </c>
      <c r="AT34" s="330">
        <f t="shared" si="48"/>
        <v>6930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73.101851851851848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3</v>
      </c>
      <c r="AT35" s="323"/>
      <c r="AU35" s="323">
        <f>SUM(AU5:AU34)</f>
        <v>3970</v>
      </c>
      <c r="AV35" s="72">
        <f>SUM(AV5:AV34)</f>
        <v>4300</v>
      </c>
      <c r="AW35" s="323">
        <f>SUM(AW5:AW34)/AS35</f>
        <v>0.69999999999999984</v>
      </c>
    </row>
    <row r="36" spans="1:50">
      <c r="AH36" s="62">
        <f>AF36+AA36</f>
        <v>0</v>
      </c>
      <c r="AI36" s="331">
        <f>SUM(AI5:AI34)</f>
        <v>11087.699999999983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2024.7</v>
      </c>
      <c r="AV37" s="323">
        <f>AV35/0.51</f>
        <v>8431.3725490196084</v>
      </c>
      <c r="AW37" s="323">
        <f>SUM(AW5:AW34)/AS35</f>
        <v>0.69999999999999984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2193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I1" zoomScaleNormal="100" workbookViewId="0">
      <pane ySplit="3" topLeftCell="A22" activePane="bottomLeft" state="frozen"/>
      <selection pane="bottomLeft" activeCell="BB33" sqref="BB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9006835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20" t="s">
        <v>126</v>
      </c>
      <c r="AO3" s="621"/>
      <c r="AP3" s="622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7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6280</v>
      </c>
      <c r="L20" s="84">
        <f t="shared" si="33"/>
        <v>2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v>4861</v>
      </c>
      <c r="U20" s="5">
        <f t="shared" si="4"/>
        <v>2</v>
      </c>
      <c r="V20" s="5">
        <v>409</v>
      </c>
      <c r="W20" s="334">
        <f t="shared" si="17"/>
        <v>1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v>159.22</v>
      </c>
      <c r="AF20" s="84">
        <f t="shared" si="21"/>
        <v>0.19999999999998863</v>
      </c>
      <c r="AG20" s="5">
        <v>1647</v>
      </c>
      <c r="AH20" s="84">
        <f t="shared" si="22"/>
        <v>3</v>
      </c>
      <c r="AI20" s="84">
        <f t="shared" si="23"/>
        <v>3.1999999999999886</v>
      </c>
      <c r="AJ20" s="336">
        <f t="shared" si="24"/>
        <v>0</v>
      </c>
      <c r="AK20" s="337">
        <f t="shared" si="5"/>
        <v>-2</v>
      </c>
      <c r="AL20" s="337">
        <f t="shared" si="25"/>
        <v>-1</v>
      </c>
      <c r="AM20" s="337">
        <f>'General information '!D20</f>
        <v>23</v>
      </c>
      <c r="AN20" s="85">
        <f>'General information '!H20</f>
        <v>0</v>
      </c>
      <c r="AO20" s="85"/>
      <c r="AP20" s="85">
        <f>'General information '!J20</f>
        <v>158</v>
      </c>
      <c r="AQ20" s="82"/>
      <c r="AR20" s="285">
        <f t="shared" si="26"/>
        <v>43997</v>
      </c>
      <c r="AS20" s="438">
        <f t="shared" si="6"/>
        <v>0.9</v>
      </c>
      <c r="AT20" s="205">
        <v>161</v>
      </c>
      <c r="AU20" s="439">
        <f t="shared" si="34"/>
        <v>1.1000000000000001</v>
      </c>
      <c r="AV20" s="205">
        <v>66</v>
      </c>
      <c r="AW20" s="5">
        <v>2.9</v>
      </c>
      <c r="AX20" s="205">
        <v>89</v>
      </c>
      <c r="AY20" s="442">
        <f t="shared" si="7"/>
        <v>144.9</v>
      </c>
      <c r="AZ20" s="442">
        <f t="shared" si="27"/>
        <v>72.600000000000009</v>
      </c>
      <c r="BA20" s="442">
        <f t="shared" si="28"/>
        <v>258.09999999999997</v>
      </c>
      <c r="BB20" s="21">
        <f t="shared" si="29"/>
        <v>-14.400000000000006</v>
      </c>
      <c r="BC20" s="21">
        <f t="shared" si="30"/>
        <v>-25.299999999999997</v>
      </c>
      <c r="BD20" s="21">
        <f t="shared" si="30"/>
        <v>-20.300000000000011</v>
      </c>
      <c r="BE20" s="24">
        <f t="shared" si="31"/>
        <v>-60.000000000000014</v>
      </c>
      <c r="BF20" s="97">
        <f t="shared" si="8"/>
        <v>60.000000000000014</v>
      </c>
      <c r="BG20" s="83">
        <f t="shared" si="9"/>
        <v>-60.000000000000014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v>599829</v>
      </c>
      <c r="H21" s="5">
        <f t="shared" si="14"/>
        <v>80</v>
      </c>
      <c r="I21" s="5">
        <f t="shared" si="0"/>
        <v>80</v>
      </c>
      <c r="J21" s="344">
        <f t="shared" si="1"/>
        <v>3.125</v>
      </c>
      <c r="K21" s="5">
        <f>'Swimming Pool quality check '!H21</f>
        <v>6288</v>
      </c>
      <c r="L21" s="84">
        <f t="shared" si="33"/>
        <v>8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v>4864</v>
      </c>
      <c r="U21" s="5">
        <f t="shared" si="4"/>
        <v>3</v>
      </c>
      <c r="V21" s="5">
        <f t="shared" si="18"/>
        <v>409</v>
      </c>
      <c r="W21" s="334">
        <f t="shared" si="17"/>
        <v>0</v>
      </c>
      <c r="X21" s="5">
        <v>143985</v>
      </c>
      <c r="Y21" s="334">
        <f>SUM(X21-X20)</f>
        <v>2</v>
      </c>
      <c r="Z21" s="5">
        <v>95030</v>
      </c>
      <c r="AA21" s="84">
        <f t="shared" si="20"/>
        <v>19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159.22</v>
      </c>
      <c r="AF21" s="84">
        <f t="shared" si="21"/>
        <v>0</v>
      </c>
      <c r="AG21" s="5">
        <f t="shared" si="18"/>
        <v>1647</v>
      </c>
      <c r="AH21" s="84">
        <f t="shared" si="22"/>
        <v>0</v>
      </c>
      <c r="AI21" s="84">
        <f t="shared" si="23"/>
        <v>0</v>
      </c>
      <c r="AJ21" s="336">
        <f t="shared" si="24"/>
        <v>19</v>
      </c>
      <c r="AK21" s="337">
        <f t="shared" si="5"/>
        <v>-6</v>
      </c>
      <c r="AL21" s="337">
        <f t="shared" si="25"/>
        <v>19</v>
      </c>
      <c r="AM21" s="337">
        <f>'General information '!D21</f>
        <v>23.5</v>
      </c>
      <c r="AN21" s="85">
        <f>'General information '!H21</f>
        <v>0</v>
      </c>
      <c r="AO21" s="85"/>
      <c r="AP21" s="85">
        <f>'General information '!J21</f>
        <v>228</v>
      </c>
      <c r="AQ21" s="82"/>
      <c r="AR21" s="285">
        <f t="shared" si="26"/>
        <v>43998</v>
      </c>
      <c r="AS21" s="438">
        <f t="shared" si="6"/>
        <v>0.9</v>
      </c>
      <c r="AT21" s="205">
        <v>163</v>
      </c>
      <c r="AU21" s="439">
        <f t="shared" si="34"/>
        <v>1.1000000000000001</v>
      </c>
      <c r="AV21" s="205">
        <v>80</v>
      </c>
      <c r="AW21" s="5">
        <v>2.9</v>
      </c>
      <c r="AX21" s="205">
        <v>79</v>
      </c>
      <c r="AY21" s="442">
        <f t="shared" si="7"/>
        <v>146.70000000000002</v>
      </c>
      <c r="AZ21" s="442">
        <f t="shared" si="27"/>
        <v>88</v>
      </c>
      <c r="BA21" s="442">
        <f t="shared" si="28"/>
        <v>229.1</v>
      </c>
      <c r="BB21" s="21">
        <f t="shared" si="29"/>
        <v>1.8000000000000114</v>
      </c>
      <c r="BC21" s="21">
        <f t="shared" si="30"/>
        <v>15.399999999999991</v>
      </c>
      <c r="BD21" s="21">
        <f t="shared" si="30"/>
        <v>-28.999999999999972</v>
      </c>
      <c r="BE21" s="24">
        <f t="shared" si="31"/>
        <v>-11.799999999999969</v>
      </c>
      <c r="BF21" s="97">
        <f t="shared" si="8"/>
        <v>91.799999999999969</v>
      </c>
      <c r="BG21" s="83">
        <f t="shared" si="9"/>
        <v>-11.799999999999969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599829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6292</v>
      </c>
      <c r="L22" s="84">
        <f t="shared" si="33"/>
        <v>4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4864</v>
      </c>
      <c r="U22" s="5">
        <f t="shared" si="4"/>
        <v>0</v>
      </c>
      <c r="V22" s="5">
        <f t="shared" si="18"/>
        <v>409</v>
      </c>
      <c r="W22" s="334">
        <f t="shared" si="17"/>
        <v>0</v>
      </c>
      <c r="X22" s="600">
        <v>144119</v>
      </c>
      <c r="Y22" s="334">
        <f t="shared" si="19"/>
        <v>134</v>
      </c>
      <c r="Z22" s="5">
        <v>95078</v>
      </c>
      <c r="AA22" s="84">
        <f t="shared" si="20"/>
        <v>48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159.22</v>
      </c>
      <c r="AF22" s="84">
        <f t="shared" si="21"/>
        <v>0</v>
      </c>
      <c r="AG22" s="5">
        <v>1649</v>
      </c>
      <c r="AH22" s="84">
        <f t="shared" si="22"/>
        <v>2</v>
      </c>
      <c r="AI22" s="84">
        <f t="shared" si="23"/>
        <v>2</v>
      </c>
      <c r="AJ22" s="336">
        <f t="shared" si="24"/>
        <v>48</v>
      </c>
      <c r="AK22" s="337">
        <f t="shared" si="5"/>
        <v>130</v>
      </c>
      <c r="AL22" s="337">
        <f t="shared" si="25"/>
        <v>48</v>
      </c>
      <c r="AM22" s="337">
        <f>'General information '!D22</f>
        <v>24.5</v>
      </c>
      <c r="AN22" s="85">
        <f>'General information '!H22</f>
        <v>0</v>
      </c>
      <c r="AO22" s="85"/>
      <c r="AP22" s="85">
        <f>'General information '!J22</f>
        <v>234</v>
      </c>
      <c r="AR22" s="285">
        <f t="shared" si="26"/>
        <v>43999</v>
      </c>
      <c r="AS22" s="438">
        <f t="shared" ref="AS22:AT35" si="38">AS21</f>
        <v>0.9</v>
      </c>
      <c r="AT22" s="205">
        <v>40</v>
      </c>
      <c r="AU22" s="439">
        <f t="shared" si="34"/>
        <v>1.1000000000000001</v>
      </c>
      <c r="AV22" s="205">
        <v>105</v>
      </c>
      <c r="AW22" s="5">
        <v>2.9</v>
      </c>
      <c r="AX22" s="205">
        <v>100</v>
      </c>
      <c r="AY22" s="442">
        <f t="shared" si="7"/>
        <v>36</v>
      </c>
      <c r="AZ22" s="442">
        <f t="shared" si="27"/>
        <v>115.50000000000001</v>
      </c>
      <c r="BA22" s="442">
        <f t="shared" si="28"/>
        <v>290</v>
      </c>
      <c r="BB22" s="21">
        <f>AY22-AY21</f>
        <v>-110.70000000000002</v>
      </c>
      <c r="BC22" s="21">
        <f t="shared" si="29"/>
        <v>27.500000000000014</v>
      </c>
      <c r="BD22" s="21">
        <f t="shared" si="29"/>
        <v>60.900000000000006</v>
      </c>
      <c r="BE22" s="24">
        <f t="shared" si="31"/>
        <v>-22.299999999999997</v>
      </c>
      <c r="BF22" s="97">
        <f t="shared" si="8"/>
        <v>22.299999999999997</v>
      </c>
      <c r="BG22" s="83">
        <f t="shared" si="9"/>
        <v>-22.299999999999997</v>
      </c>
    </row>
    <row r="23" spans="1:61" ht="15.75" thickBot="1">
      <c r="A23" s="6">
        <f>ELEC!C20</f>
        <v>44000</v>
      </c>
      <c r="B23" s="5"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v>600167</v>
      </c>
      <c r="H23" s="5">
        <f t="shared" si="14"/>
        <v>338</v>
      </c>
      <c r="I23" s="5">
        <f t="shared" si="0"/>
        <v>338</v>
      </c>
      <c r="J23" s="344">
        <f t="shared" si="1"/>
        <v>0.73964497041420119</v>
      </c>
      <c r="K23" s="5">
        <f>'Swimming Pool quality check '!H23</f>
        <v>6294</v>
      </c>
      <c r="L23" s="282">
        <f t="shared" si="33"/>
        <v>2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v>4868</v>
      </c>
      <c r="U23" s="5">
        <f t="shared" si="4"/>
        <v>4</v>
      </c>
      <c r="V23" s="5">
        <v>409</v>
      </c>
      <c r="W23" s="334">
        <f t="shared" si="17"/>
        <v>0</v>
      </c>
      <c r="X23" s="5">
        <v>144177</v>
      </c>
      <c r="Y23" s="334">
        <f t="shared" si="19"/>
        <v>58</v>
      </c>
      <c r="Z23" s="5">
        <v>95118</v>
      </c>
      <c r="AA23" s="84">
        <f t="shared" si="20"/>
        <v>40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v>160.58000000000001</v>
      </c>
      <c r="AF23" s="84">
        <f t="shared" si="21"/>
        <v>1.3600000000000136</v>
      </c>
      <c r="AG23" s="5">
        <v>1664.26</v>
      </c>
      <c r="AH23" s="84">
        <f t="shared" si="22"/>
        <v>15.259999999999991</v>
      </c>
      <c r="AI23" s="84">
        <f t="shared" si="23"/>
        <v>16.620000000000005</v>
      </c>
      <c r="AJ23" s="336">
        <f t="shared" si="24"/>
        <v>40</v>
      </c>
      <c r="AK23" s="337">
        <f t="shared" si="5"/>
        <v>56</v>
      </c>
      <c r="AL23" s="337">
        <f t="shared" si="25"/>
        <v>40</v>
      </c>
      <c r="AM23" s="337">
        <f>'General information '!D23</f>
        <v>25.5</v>
      </c>
      <c r="AN23" s="85">
        <f>'General information '!H23</f>
        <v>0</v>
      </c>
      <c r="AO23" s="85"/>
      <c r="AP23" s="85">
        <f>'General information '!J23</f>
        <v>273</v>
      </c>
      <c r="AR23" s="285">
        <f t="shared" si="26"/>
        <v>44000</v>
      </c>
      <c r="AS23" s="438">
        <f t="shared" si="38"/>
        <v>0.9</v>
      </c>
      <c r="AT23" s="205">
        <v>125</v>
      </c>
      <c r="AU23" s="439">
        <f t="shared" si="34"/>
        <v>1.1000000000000001</v>
      </c>
      <c r="AV23" s="205">
        <v>93</v>
      </c>
      <c r="AW23" s="5">
        <v>2.9</v>
      </c>
      <c r="AX23" s="205">
        <v>113</v>
      </c>
      <c r="AY23" s="442">
        <f t="shared" si="7"/>
        <v>112.5</v>
      </c>
      <c r="AZ23" s="442">
        <f t="shared" si="27"/>
        <v>102.30000000000001</v>
      </c>
      <c r="BA23" s="442">
        <f t="shared" si="28"/>
        <v>327.7</v>
      </c>
      <c r="BB23" s="21">
        <f t="shared" si="29"/>
        <v>76.5</v>
      </c>
      <c r="BC23" s="21">
        <f t="shared" si="29"/>
        <v>-13.200000000000003</v>
      </c>
      <c r="BD23" s="21">
        <f t="shared" si="29"/>
        <v>37.699999999999989</v>
      </c>
      <c r="BE23" s="24">
        <f t="shared" si="31"/>
        <v>100.99999999999999</v>
      </c>
      <c r="BF23" s="97">
        <f t="shared" si="8"/>
        <v>237</v>
      </c>
      <c r="BG23" s="83">
        <f t="shared" si="9"/>
        <v>101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600167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6297</v>
      </c>
      <c r="L24" s="282">
        <f t="shared" si="33"/>
        <v>3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v>4871</v>
      </c>
      <c r="U24" s="5">
        <f t="shared" si="4"/>
        <v>3</v>
      </c>
      <c r="V24" s="5">
        <f t="shared" si="18"/>
        <v>409</v>
      </c>
      <c r="W24" s="334">
        <f t="shared" si="17"/>
        <v>0</v>
      </c>
      <c r="X24" s="5">
        <v>144180</v>
      </c>
      <c r="Y24" s="334">
        <f t="shared" si="19"/>
        <v>3</v>
      </c>
      <c r="Z24" s="5">
        <f t="shared" si="18"/>
        <v>95118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160.58000000000001</v>
      </c>
      <c r="AF24" s="84">
        <f t="shared" si="21"/>
        <v>0</v>
      </c>
      <c r="AG24" s="5">
        <v>1664.74</v>
      </c>
      <c r="AH24" s="84">
        <f t="shared" si="22"/>
        <v>0.48000000000001819</v>
      </c>
      <c r="AI24" s="84">
        <f t="shared" si="23"/>
        <v>0.48000000000001819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25.5</v>
      </c>
      <c r="AN24" s="85">
        <f>'General information '!H24</f>
        <v>0</v>
      </c>
      <c r="AO24" s="85"/>
      <c r="AP24" s="85">
        <f>'General information '!J24</f>
        <v>248</v>
      </c>
      <c r="AR24" s="285">
        <f t="shared" si="26"/>
        <v>44001</v>
      </c>
      <c r="AS24" s="438">
        <f t="shared" si="38"/>
        <v>0.9</v>
      </c>
      <c r="AT24" s="205">
        <v>121</v>
      </c>
      <c r="AU24" s="439">
        <f t="shared" si="34"/>
        <v>1.1000000000000001</v>
      </c>
      <c r="AV24" s="205">
        <v>91</v>
      </c>
      <c r="AW24" s="5">
        <v>2.9</v>
      </c>
      <c r="AX24" s="205">
        <v>106</v>
      </c>
      <c r="AY24" s="442">
        <f t="shared" si="7"/>
        <v>108.9</v>
      </c>
      <c r="AZ24" s="442">
        <f t="shared" si="27"/>
        <v>100.10000000000001</v>
      </c>
      <c r="BA24" s="442">
        <f t="shared" si="28"/>
        <v>307.39999999999998</v>
      </c>
      <c r="BB24" s="21">
        <f t="shared" si="29"/>
        <v>-3.5999999999999943</v>
      </c>
      <c r="BC24" s="21">
        <f t="shared" si="29"/>
        <v>-2.2000000000000028</v>
      </c>
      <c r="BD24" s="21">
        <f t="shared" si="29"/>
        <v>-20.300000000000011</v>
      </c>
      <c r="BE24" s="24">
        <f t="shared" si="31"/>
        <v>-26.100000000000009</v>
      </c>
      <c r="BF24" s="97">
        <f t="shared" si="8"/>
        <v>26.100000000000009</v>
      </c>
      <c r="BG24" s="83">
        <f t="shared" si="9"/>
        <v>-26.100000000000009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v>600413</v>
      </c>
      <c r="H25" s="5">
        <f t="shared" si="14"/>
        <v>246</v>
      </c>
      <c r="I25" s="5">
        <f t="shared" si="0"/>
        <v>246</v>
      </c>
      <c r="J25" s="344">
        <f t="shared" si="1"/>
        <v>1.0162601626016261</v>
      </c>
      <c r="K25" s="5">
        <f>'Swimming Pool quality check '!H25</f>
        <v>6299</v>
      </c>
      <c r="L25" s="282">
        <f t="shared" si="33"/>
        <v>2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v>4873</v>
      </c>
      <c r="U25" s="5">
        <f t="shared" si="4"/>
        <v>2</v>
      </c>
      <c r="V25" s="5">
        <f t="shared" si="18"/>
        <v>409</v>
      </c>
      <c r="W25" s="334">
        <f t="shared" si="17"/>
        <v>0</v>
      </c>
      <c r="X25" s="5">
        <v>144211</v>
      </c>
      <c r="Y25" s="334">
        <f t="shared" si="19"/>
        <v>31</v>
      </c>
      <c r="Z25" s="5">
        <v>95154</v>
      </c>
      <c r="AA25" s="84">
        <f t="shared" si="20"/>
        <v>36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160.58000000000001</v>
      </c>
      <c r="AF25" s="84">
        <f t="shared" si="21"/>
        <v>0</v>
      </c>
      <c r="AG25" s="5">
        <v>1666.76</v>
      </c>
      <c r="AH25" s="84">
        <f t="shared" si="22"/>
        <v>2.0199999999999818</v>
      </c>
      <c r="AI25" s="84">
        <f t="shared" si="23"/>
        <v>2.0199999999999818</v>
      </c>
      <c r="AJ25" s="336">
        <f t="shared" si="24"/>
        <v>36</v>
      </c>
      <c r="AK25" s="337">
        <f t="shared" si="5"/>
        <v>29</v>
      </c>
      <c r="AL25" s="337">
        <f t="shared" si="25"/>
        <v>36</v>
      </c>
      <c r="AM25" s="337">
        <f>'General information '!D25</f>
        <v>24.5</v>
      </c>
      <c r="AN25" s="85">
        <f>'General information '!H25</f>
        <v>0</v>
      </c>
      <c r="AO25" s="85"/>
      <c r="AP25" s="85">
        <f>'General information '!J25</f>
        <v>304</v>
      </c>
      <c r="AR25" s="285">
        <f t="shared" si="26"/>
        <v>44002</v>
      </c>
      <c r="AS25" s="438">
        <f t="shared" si="38"/>
        <v>0.9</v>
      </c>
      <c r="AT25" s="205">
        <v>195</v>
      </c>
      <c r="AU25" s="439">
        <f t="shared" si="34"/>
        <v>1.1000000000000001</v>
      </c>
      <c r="AV25" s="205">
        <v>100</v>
      </c>
      <c r="AW25" s="5">
        <v>2.9</v>
      </c>
      <c r="AX25" s="205">
        <v>115</v>
      </c>
      <c r="AY25" s="442">
        <f t="shared" si="7"/>
        <v>175.5</v>
      </c>
      <c r="AZ25" s="442">
        <f t="shared" si="27"/>
        <v>110.00000000000001</v>
      </c>
      <c r="BA25" s="442">
        <f t="shared" si="28"/>
        <v>333.5</v>
      </c>
      <c r="BB25" s="21">
        <f t="shared" si="29"/>
        <v>66.599999999999994</v>
      </c>
      <c r="BC25" s="21">
        <f t="shared" si="29"/>
        <v>9.9000000000000057</v>
      </c>
      <c r="BD25" s="21">
        <f t="shared" si="29"/>
        <v>26.100000000000023</v>
      </c>
      <c r="BE25" s="24">
        <f t="shared" si="31"/>
        <v>102.60000000000002</v>
      </c>
      <c r="BF25" s="97">
        <f t="shared" si="8"/>
        <v>143.39999999999998</v>
      </c>
      <c r="BG25" s="83">
        <f t="shared" si="9"/>
        <v>102.60000000000002</v>
      </c>
    </row>
    <row r="26" spans="1:61" ht="15.75" thickBot="1">
      <c r="A26" s="6">
        <f>ELEC!C23</f>
        <v>44003</v>
      </c>
      <c r="B26" s="5"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v>600413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6303</v>
      </c>
      <c r="L26" s="282">
        <f t="shared" si="33"/>
        <v>4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v>4877</v>
      </c>
      <c r="U26" s="5">
        <f t="shared" si="4"/>
        <v>4</v>
      </c>
      <c r="V26" s="5">
        <v>409</v>
      </c>
      <c r="W26" s="334">
        <f t="shared" si="17"/>
        <v>0</v>
      </c>
      <c r="X26" s="5">
        <v>144211</v>
      </c>
      <c r="Y26" s="334">
        <f t="shared" si="19"/>
        <v>0</v>
      </c>
      <c r="Z26" s="5">
        <v>95154</v>
      </c>
      <c r="AA26" s="84">
        <f t="shared" si="20"/>
        <v>0</v>
      </c>
      <c r="AB26" s="5">
        <v>268</v>
      </c>
      <c r="AC26" s="5">
        <v>670</v>
      </c>
      <c r="AD26" s="84">
        <f t="shared" si="32"/>
        <v>0</v>
      </c>
      <c r="AE26" s="5">
        <v>160.58000000000001</v>
      </c>
      <c r="AF26" s="84">
        <f t="shared" si="21"/>
        <v>0</v>
      </c>
      <c r="AG26" s="5">
        <v>1668.5</v>
      </c>
      <c r="AH26" s="84">
        <f t="shared" si="22"/>
        <v>1.7400000000000091</v>
      </c>
      <c r="AI26" s="84">
        <f t="shared" si="23"/>
        <v>1.7400000000000091</v>
      </c>
      <c r="AJ26" s="336">
        <f t="shared" si="24"/>
        <v>0</v>
      </c>
      <c r="AK26" s="337">
        <f t="shared" si="5"/>
        <v>-4</v>
      </c>
      <c r="AL26" s="337">
        <f>SUM(AJ26-W26)</f>
        <v>0</v>
      </c>
      <c r="AM26" s="337">
        <f>'General information '!D26</f>
        <v>25</v>
      </c>
      <c r="AN26" s="85">
        <f>'General information '!H26</f>
        <v>0</v>
      </c>
      <c r="AO26" s="85"/>
      <c r="AP26" s="85">
        <f>'General information '!J26</f>
        <v>196</v>
      </c>
      <c r="AR26" s="285">
        <f t="shared" si="26"/>
        <v>44003</v>
      </c>
      <c r="AS26" s="438">
        <f t="shared" si="38"/>
        <v>0.9</v>
      </c>
      <c r="AT26" s="205">
        <v>193</v>
      </c>
      <c r="AU26" s="439">
        <f t="shared" si="34"/>
        <v>1.1000000000000001</v>
      </c>
      <c r="AV26" s="205">
        <v>75</v>
      </c>
      <c r="AW26" s="5">
        <v>2.9</v>
      </c>
      <c r="AX26" s="205">
        <v>97</v>
      </c>
      <c r="AY26" s="442">
        <f t="shared" si="7"/>
        <v>173.70000000000002</v>
      </c>
      <c r="AZ26" s="442">
        <f t="shared" si="27"/>
        <v>82.5</v>
      </c>
      <c r="BA26" s="442">
        <f t="shared" si="28"/>
        <v>281.3</v>
      </c>
      <c r="BB26" s="21">
        <f t="shared" si="29"/>
        <v>-1.7999999999999829</v>
      </c>
      <c r="BC26" s="21">
        <f t="shared" si="29"/>
        <v>-27.500000000000014</v>
      </c>
      <c r="BD26" s="21">
        <f t="shared" si="29"/>
        <v>-52.199999999999989</v>
      </c>
      <c r="BE26" s="24">
        <f t="shared" si="31"/>
        <v>-81.499999999999986</v>
      </c>
      <c r="BF26" s="353">
        <f t="shared" si="8"/>
        <v>81.499999999999986</v>
      </c>
      <c r="BG26" s="83">
        <f t="shared" si="9"/>
        <v>-81.499999999999986</v>
      </c>
    </row>
    <row r="27" spans="1:61" ht="15.75" thickBot="1">
      <c r="A27" s="6">
        <f>ELEC!C24</f>
        <v>44004</v>
      </c>
      <c r="B27" s="5"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v>600413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6310</v>
      </c>
      <c r="L27" s="282">
        <f t="shared" si="33"/>
        <v>7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v>4879</v>
      </c>
      <c r="U27" s="5">
        <f t="shared" si="4"/>
        <v>2</v>
      </c>
      <c r="V27" s="5">
        <v>409</v>
      </c>
      <c r="W27" s="334">
        <f t="shared" si="17"/>
        <v>0</v>
      </c>
      <c r="X27" s="5">
        <v>144239</v>
      </c>
      <c r="Y27" s="334">
        <f>SUM(X27-X26)</f>
        <v>28</v>
      </c>
      <c r="Z27" s="5">
        <v>95183</v>
      </c>
      <c r="AA27" s="84">
        <f t="shared" si="20"/>
        <v>29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>AE26</f>
        <v>160.58000000000001</v>
      </c>
      <c r="AF27" s="84">
        <f t="shared" si="21"/>
        <v>0</v>
      </c>
      <c r="AG27" s="5">
        <v>1670.5</v>
      </c>
      <c r="AH27" s="84">
        <f t="shared" si="22"/>
        <v>2</v>
      </c>
      <c r="AI27" s="84">
        <f t="shared" si="23"/>
        <v>2</v>
      </c>
      <c r="AJ27" s="336">
        <f t="shared" si="24"/>
        <v>29</v>
      </c>
      <c r="AK27" s="337">
        <f t="shared" si="5"/>
        <v>21</v>
      </c>
      <c r="AL27" s="337">
        <f t="shared" si="25"/>
        <v>29</v>
      </c>
      <c r="AM27" s="337">
        <f>'General information '!D27</f>
        <v>25.5</v>
      </c>
      <c r="AN27" s="85">
        <f>'General information '!H27</f>
        <v>0</v>
      </c>
      <c r="AO27" s="85"/>
      <c r="AP27" s="85">
        <f>'General information '!J27</f>
        <v>317.62</v>
      </c>
      <c r="AR27" s="285">
        <f t="shared" si="26"/>
        <v>44004</v>
      </c>
      <c r="AS27" s="438">
        <f t="shared" si="38"/>
        <v>0.9</v>
      </c>
      <c r="AT27" s="205">
        <v>183</v>
      </c>
      <c r="AU27" s="439">
        <f t="shared" si="34"/>
        <v>1.1000000000000001</v>
      </c>
      <c r="AV27" s="205">
        <v>86</v>
      </c>
      <c r="AW27" s="5">
        <v>2.9</v>
      </c>
      <c r="AX27" s="205">
        <v>92</v>
      </c>
      <c r="AY27" s="442">
        <f t="shared" si="7"/>
        <v>164.70000000000002</v>
      </c>
      <c r="AZ27" s="442">
        <f t="shared" si="27"/>
        <v>94.600000000000009</v>
      </c>
      <c r="BA27" s="442">
        <f t="shared" si="28"/>
        <v>266.8</v>
      </c>
      <c r="BB27" s="21">
        <f t="shared" si="29"/>
        <v>-9</v>
      </c>
      <c r="BC27" s="21">
        <f t="shared" si="29"/>
        <v>12.100000000000009</v>
      </c>
      <c r="BD27" s="21">
        <f t="shared" si="29"/>
        <v>-14.5</v>
      </c>
      <c r="BE27" s="24">
        <f t="shared" si="31"/>
        <v>-11.399999999999991</v>
      </c>
      <c r="BF27" s="97">
        <f t="shared" si="8"/>
        <v>11.399999999999991</v>
      </c>
      <c r="BG27" s="83">
        <f t="shared" si="9"/>
        <v>-11.399999999999991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600413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6310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v>4881</v>
      </c>
      <c r="U28" s="5">
        <f t="shared" si="4"/>
        <v>2</v>
      </c>
      <c r="V28" s="5">
        <f t="shared" si="18"/>
        <v>409</v>
      </c>
      <c r="W28" s="334">
        <f t="shared" si="17"/>
        <v>0</v>
      </c>
      <c r="X28" s="5">
        <f t="shared" si="18"/>
        <v>144239</v>
      </c>
      <c r="Y28" s="334">
        <f t="shared" si="19"/>
        <v>0</v>
      </c>
      <c r="Z28" s="5">
        <v>95183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160.58000000000001</v>
      </c>
      <c r="AF28" s="84">
        <f t="shared" si="21"/>
        <v>0</v>
      </c>
      <c r="AG28" s="5">
        <v>1670.5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25</v>
      </c>
      <c r="AN28" s="85">
        <f>'General information '!H28</f>
        <v>0</v>
      </c>
      <c r="AO28" s="85"/>
      <c r="AP28" s="85">
        <f>'General information '!J28</f>
        <v>174</v>
      </c>
      <c r="AR28" s="285">
        <f t="shared" si="26"/>
        <v>44005</v>
      </c>
      <c r="AS28" s="438">
        <f t="shared" si="38"/>
        <v>0.9</v>
      </c>
      <c r="AT28" s="205">
        <v>152</v>
      </c>
      <c r="AU28" s="439">
        <f t="shared" si="34"/>
        <v>1.1000000000000001</v>
      </c>
      <c r="AV28" s="205">
        <v>72</v>
      </c>
      <c r="AW28" s="5">
        <v>2.9</v>
      </c>
      <c r="AX28" s="205">
        <v>82</v>
      </c>
      <c r="AY28" s="442">
        <f t="shared" si="7"/>
        <v>136.80000000000001</v>
      </c>
      <c r="AZ28" s="442">
        <f t="shared" si="27"/>
        <v>79.2</v>
      </c>
      <c r="BA28" s="442">
        <f t="shared" si="28"/>
        <v>237.79999999999998</v>
      </c>
      <c r="BB28" s="21">
        <f t="shared" si="29"/>
        <v>-27.900000000000006</v>
      </c>
      <c r="BC28" s="21">
        <f t="shared" si="29"/>
        <v>-15.400000000000006</v>
      </c>
      <c r="BD28" s="21">
        <f t="shared" si="29"/>
        <v>-29.000000000000028</v>
      </c>
      <c r="BE28" s="24">
        <f t="shared" si="31"/>
        <v>-72.30000000000004</v>
      </c>
      <c r="BF28" s="97">
        <f t="shared" si="8"/>
        <v>72.30000000000004</v>
      </c>
      <c r="BG28" s="83">
        <f t="shared" si="9"/>
        <v>-72.30000000000004</v>
      </c>
    </row>
    <row r="29" spans="1:61" ht="15.75" thickBot="1">
      <c r="A29" s="6">
        <f>ELEC!C26</f>
        <v>44006</v>
      </c>
      <c r="B29" s="5"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v>600667</v>
      </c>
      <c r="H29" s="5">
        <f t="shared" si="14"/>
        <v>254</v>
      </c>
      <c r="I29" s="5">
        <f t="shared" si="0"/>
        <v>254</v>
      </c>
      <c r="J29" s="344">
        <f t="shared" si="1"/>
        <v>0.98425196850393704</v>
      </c>
      <c r="K29" s="5">
        <f>'Swimming Pool quality check '!H29</f>
        <v>6310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v>4884</v>
      </c>
      <c r="U29" s="5">
        <f t="shared" si="4"/>
        <v>3</v>
      </c>
      <c r="V29" s="5">
        <v>409</v>
      </c>
      <c r="W29" s="334">
        <f t="shared" si="17"/>
        <v>0</v>
      </c>
      <c r="X29" s="5">
        <v>144407</v>
      </c>
      <c r="Y29" s="334">
        <f t="shared" si="19"/>
        <v>168</v>
      </c>
      <c r="Z29" s="5">
        <v>95238</v>
      </c>
      <c r="AA29" s="84">
        <f t="shared" si="20"/>
        <v>55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v>160.58000000000001</v>
      </c>
      <c r="AF29" s="84">
        <f t="shared" si="21"/>
        <v>0</v>
      </c>
      <c r="AG29" s="5">
        <v>1673</v>
      </c>
      <c r="AH29" s="84">
        <f t="shared" si="22"/>
        <v>2.5</v>
      </c>
      <c r="AI29" s="84">
        <f t="shared" si="23"/>
        <v>2.5</v>
      </c>
      <c r="AJ29" s="336">
        <f t="shared" si="24"/>
        <v>55</v>
      </c>
      <c r="AK29" s="337">
        <f t="shared" si="5"/>
        <v>168</v>
      </c>
      <c r="AL29" s="337">
        <f t="shared" si="25"/>
        <v>55</v>
      </c>
      <c r="AM29" s="337">
        <f>'General information '!D29</f>
        <v>25</v>
      </c>
      <c r="AN29" s="85">
        <f>'General information '!H29</f>
        <v>0</v>
      </c>
      <c r="AO29" s="85"/>
      <c r="AP29" s="85">
        <f>'General information '!J29</f>
        <v>226</v>
      </c>
      <c r="AR29" s="285">
        <f t="shared" si="26"/>
        <v>44006</v>
      </c>
      <c r="AS29" s="438">
        <f t="shared" si="38"/>
        <v>0.9</v>
      </c>
      <c r="AT29" s="205">
        <v>70</v>
      </c>
      <c r="AU29" s="439">
        <f t="shared" si="34"/>
        <v>1.1000000000000001</v>
      </c>
      <c r="AV29" s="205">
        <v>98</v>
      </c>
      <c r="AW29" s="5">
        <v>2.9</v>
      </c>
      <c r="AX29" s="205">
        <v>113</v>
      </c>
      <c r="AY29" s="442">
        <f t="shared" si="7"/>
        <v>63</v>
      </c>
      <c r="AZ29" s="442">
        <f t="shared" si="27"/>
        <v>107.80000000000001</v>
      </c>
      <c r="BA29" s="442">
        <f t="shared" si="28"/>
        <v>327.7</v>
      </c>
      <c r="BB29" s="21">
        <f t="shared" si="29"/>
        <v>-73.800000000000011</v>
      </c>
      <c r="BC29" s="21">
        <f t="shared" si="29"/>
        <v>28.600000000000009</v>
      </c>
      <c r="BD29" s="21">
        <f t="shared" si="29"/>
        <v>89.9</v>
      </c>
      <c r="BE29" s="24">
        <f t="shared" si="31"/>
        <v>44.7</v>
      </c>
      <c r="BF29" s="97">
        <f t="shared" si="8"/>
        <v>209.3</v>
      </c>
      <c r="BG29" s="83">
        <f t="shared" si="9"/>
        <v>44.699999999999989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600667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6319</v>
      </c>
      <c r="L30" s="282">
        <f t="shared" si="33"/>
        <v>9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v>4886</v>
      </c>
      <c r="U30" s="5">
        <f t="shared" si="4"/>
        <v>2</v>
      </c>
      <c r="V30" s="5">
        <f t="shared" si="18"/>
        <v>409</v>
      </c>
      <c r="W30" s="334">
        <f t="shared" si="17"/>
        <v>0</v>
      </c>
      <c r="X30" s="5">
        <f t="shared" si="18"/>
        <v>144407</v>
      </c>
      <c r="Y30" s="334">
        <f t="shared" si="19"/>
        <v>0</v>
      </c>
      <c r="Z30" s="5">
        <v>95264</v>
      </c>
      <c r="AA30" s="84">
        <f t="shared" si="20"/>
        <v>26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160.58000000000001</v>
      </c>
      <c r="AF30" s="84">
        <f t="shared" si="21"/>
        <v>0</v>
      </c>
      <c r="AG30" s="5">
        <f t="shared" si="18"/>
        <v>1673</v>
      </c>
      <c r="AH30" s="84">
        <f t="shared" si="22"/>
        <v>0</v>
      </c>
      <c r="AI30" s="84">
        <f t="shared" si="23"/>
        <v>0</v>
      </c>
      <c r="AJ30" s="336">
        <f t="shared" si="24"/>
        <v>26</v>
      </c>
      <c r="AK30" s="337">
        <f t="shared" si="5"/>
        <v>-9</v>
      </c>
      <c r="AL30" s="337">
        <f t="shared" si="25"/>
        <v>26</v>
      </c>
      <c r="AM30" s="337">
        <f>'General information '!D30</f>
        <v>30</v>
      </c>
      <c r="AN30" s="85">
        <f>'General information '!H30</f>
        <v>0</v>
      </c>
      <c r="AO30" s="85"/>
      <c r="AP30" s="85">
        <f>'General information '!J30</f>
        <v>239</v>
      </c>
      <c r="AR30" s="285">
        <f t="shared" si="26"/>
        <v>44007</v>
      </c>
      <c r="AS30" s="438">
        <f t="shared" si="38"/>
        <v>0.9</v>
      </c>
      <c r="AT30" s="205">
        <v>54</v>
      </c>
      <c r="AU30" s="439">
        <f t="shared" si="34"/>
        <v>1.1000000000000001</v>
      </c>
      <c r="AV30" s="205">
        <v>100</v>
      </c>
      <c r="AW30" s="5">
        <v>2.9</v>
      </c>
      <c r="AX30" s="205">
        <v>105</v>
      </c>
      <c r="AY30" s="442">
        <f t="shared" si="7"/>
        <v>48.6</v>
      </c>
      <c r="AZ30" s="442">
        <f t="shared" si="27"/>
        <v>110.00000000000001</v>
      </c>
      <c r="BA30" s="442">
        <f t="shared" si="28"/>
        <v>304.5</v>
      </c>
      <c r="BB30" s="21">
        <f t="shared" si="29"/>
        <v>-14.399999999999999</v>
      </c>
      <c r="BC30" s="21">
        <f t="shared" si="29"/>
        <v>2.2000000000000028</v>
      </c>
      <c r="BD30" s="21">
        <f t="shared" si="29"/>
        <v>-23.199999999999989</v>
      </c>
      <c r="BE30" s="24">
        <f t="shared" si="31"/>
        <v>-35.399999999999984</v>
      </c>
      <c r="BF30" s="97">
        <f t="shared" si="8"/>
        <v>35.399999999999984</v>
      </c>
      <c r="BG30" s="83">
        <f t="shared" si="9"/>
        <v>-35.399999999999984</v>
      </c>
    </row>
    <row r="31" spans="1:61" ht="15.75" thickBot="1">
      <c r="A31" s="6">
        <f>ELEC!C28</f>
        <v>44008</v>
      </c>
      <c r="B31" s="5">
        <v>108535</v>
      </c>
      <c r="C31" s="5">
        <f t="shared" si="11"/>
        <v>62</v>
      </c>
      <c r="D31" s="433">
        <f t="shared" si="12"/>
        <v>2.2962962962962963</v>
      </c>
      <c r="E31" s="343">
        <f>SUM((C31*$E$4)+(7500/'EDl log'!$A$39))</f>
        <v>352.92</v>
      </c>
      <c r="F31" s="337">
        <v>2</v>
      </c>
      <c r="G31" s="5">
        <v>600679</v>
      </c>
      <c r="H31" s="5">
        <f t="shared" si="14"/>
        <v>12</v>
      </c>
      <c r="I31" s="5">
        <f t="shared" si="0"/>
        <v>74</v>
      </c>
      <c r="J31" s="344">
        <f t="shared" si="1"/>
        <v>4.7691891891891895</v>
      </c>
      <c r="K31" s="5">
        <f>'Swimming Pool quality check '!H31</f>
        <v>6328</v>
      </c>
      <c r="L31" s="282">
        <f t="shared" si="33"/>
        <v>9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v>4888</v>
      </c>
      <c r="U31" s="5">
        <f t="shared" si="4"/>
        <v>2</v>
      </c>
      <c r="V31" s="5">
        <v>410</v>
      </c>
      <c r="W31" s="334">
        <f t="shared" si="17"/>
        <v>1</v>
      </c>
      <c r="X31" s="5">
        <v>144408</v>
      </c>
      <c r="Y31" s="334">
        <f t="shared" si="19"/>
        <v>1</v>
      </c>
      <c r="Z31" s="5">
        <f t="shared" si="18"/>
        <v>95264</v>
      </c>
      <c r="AA31" s="84">
        <f t="shared" si="20"/>
        <v>0</v>
      </c>
      <c r="AB31" s="5">
        <v>259</v>
      </c>
      <c r="AC31" s="5">
        <v>670</v>
      </c>
      <c r="AD31" s="84">
        <f t="shared" si="32"/>
        <v>0</v>
      </c>
      <c r="AE31" s="5">
        <v>161.69999999999999</v>
      </c>
      <c r="AF31" s="84">
        <f t="shared" si="21"/>
        <v>1.1199999999999761</v>
      </c>
      <c r="AG31" s="5">
        <v>1685.6</v>
      </c>
      <c r="AH31" s="84">
        <f>AG31-AG30</f>
        <v>12.599999999999909</v>
      </c>
      <c r="AI31" s="84">
        <f>AF31+AH31</f>
        <v>13.719999999999885</v>
      </c>
      <c r="AJ31" s="336">
        <f t="shared" si="24"/>
        <v>0</v>
      </c>
      <c r="AK31" s="337">
        <f>SUM(Y31-L31)</f>
        <v>-8</v>
      </c>
      <c r="AL31" s="337">
        <f t="shared" si="25"/>
        <v>-1</v>
      </c>
      <c r="AM31" s="337">
        <f>'General information '!D31</f>
        <v>26</v>
      </c>
      <c r="AN31" s="85">
        <f>'General information '!H31</f>
        <v>0</v>
      </c>
      <c r="AO31" s="85"/>
      <c r="AP31" s="85">
        <f>'General information '!J31</f>
        <v>223</v>
      </c>
      <c r="AR31" s="285">
        <f t="shared" si="26"/>
        <v>44008</v>
      </c>
      <c r="AS31" s="438">
        <f t="shared" si="38"/>
        <v>0.9</v>
      </c>
      <c r="AT31" s="205">
        <v>108</v>
      </c>
      <c r="AU31" s="439">
        <f t="shared" si="34"/>
        <v>1.1000000000000001</v>
      </c>
      <c r="AV31" s="205">
        <v>94</v>
      </c>
      <c r="AW31" s="5">
        <v>2.9</v>
      </c>
      <c r="AX31" s="205">
        <v>93</v>
      </c>
      <c r="AY31" s="442">
        <f t="shared" si="7"/>
        <v>97.2</v>
      </c>
      <c r="AZ31" s="442">
        <f t="shared" si="27"/>
        <v>103.4</v>
      </c>
      <c r="BA31" s="442">
        <f t="shared" si="28"/>
        <v>269.7</v>
      </c>
      <c r="BB31" s="21">
        <f t="shared" si="29"/>
        <v>48.6</v>
      </c>
      <c r="BC31" s="21">
        <f t="shared" si="29"/>
        <v>-6.6000000000000085</v>
      </c>
      <c r="BD31" s="21">
        <f t="shared" si="29"/>
        <v>-34.800000000000011</v>
      </c>
      <c r="BE31" s="24">
        <f t="shared" si="31"/>
        <v>7.1999999999999815</v>
      </c>
      <c r="BF31" s="97">
        <f t="shared" si="8"/>
        <v>66.800000000000011</v>
      </c>
      <c r="BG31" s="83">
        <f t="shared" si="9"/>
        <v>7.1999999999999886</v>
      </c>
    </row>
    <row r="32" spans="1:61" ht="15.75" thickBot="1">
      <c r="A32" s="6">
        <f>ELEC!C29</f>
        <v>44009</v>
      </c>
      <c r="B32" s="5">
        <f t="shared" si="10"/>
        <v>108535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600679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6337</v>
      </c>
      <c r="L32" s="282">
        <f t="shared" si="33"/>
        <v>9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v>4890</v>
      </c>
      <c r="U32" s="5">
        <f t="shared" si="4"/>
        <v>2</v>
      </c>
      <c r="V32" s="5">
        <f t="shared" si="18"/>
        <v>410</v>
      </c>
      <c r="W32" s="334">
        <f t="shared" si="17"/>
        <v>0</v>
      </c>
      <c r="X32" s="5">
        <f t="shared" si="18"/>
        <v>144408</v>
      </c>
      <c r="Y32" s="334">
        <f t="shared" si="19"/>
        <v>0</v>
      </c>
      <c r="Z32" s="5">
        <v>95265</v>
      </c>
      <c r="AA32" s="84">
        <f t="shared" si="20"/>
        <v>1</v>
      </c>
      <c r="AB32" s="5">
        <f t="shared" si="18"/>
        <v>259</v>
      </c>
      <c r="AC32" s="5">
        <v>670</v>
      </c>
      <c r="AD32" s="84">
        <f t="shared" si="32"/>
        <v>0</v>
      </c>
      <c r="AE32" s="5">
        <f t="shared" si="18"/>
        <v>161.69999999999999</v>
      </c>
      <c r="AF32" s="84">
        <f t="shared" si="21"/>
        <v>0</v>
      </c>
      <c r="AG32" s="5">
        <v>1688.52</v>
      </c>
      <c r="AH32" s="84">
        <f t="shared" si="22"/>
        <v>2.9200000000000728</v>
      </c>
      <c r="AI32" s="84">
        <f t="shared" si="23"/>
        <v>2.9200000000000728</v>
      </c>
      <c r="AJ32" s="336">
        <f t="shared" si="24"/>
        <v>1</v>
      </c>
      <c r="AK32" s="337">
        <v>0</v>
      </c>
      <c r="AL32" s="337">
        <f t="shared" si="25"/>
        <v>1</v>
      </c>
      <c r="AM32" s="337">
        <f>'General information '!D32</f>
        <v>27</v>
      </c>
      <c r="AN32" s="85">
        <f>'General information '!H32</f>
        <v>0</v>
      </c>
      <c r="AO32" s="85"/>
      <c r="AP32" s="85">
        <f>'General information '!J32</f>
        <v>236</v>
      </c>
      <c r="AR32" s="285">
        <f t="shared" si="26"/>
        <v>44009</v>
      </c>
      <c r="AS32" s="438">
        <f t="shared" si="38"/>
        <v>0.9</v>
      </c>
      <c r="AT32" s="205">
        <v>98</v>
      </c>
      <c r="AU32" s="439">
        <f t="shared" si="34"/>
        <v>1.1000000000000001</v>
      </c>
      <c r="AV32" s="205">
        <v>69</v>
      </c>
      <c r="AW32" s="5">
        <v>2.9</v>
      </c>
      <c r="AX32" s="205">
        <v>82</v>
      </c>
      <c r="AY32" s="442">
        <f t="shared" si="7"/>
        <v>88.2</v>
      </c>
      <c r="AZ32" s="442">
        <f t="shared" si="27"/>
        <v>75.900000000000006</v>
      </c>
      <c r="BA32" s="442">
        <f t="shared" si="28"/>
        <v>237.79999999999998</v>
      </c>
      <c r="BB32" s="21">
        <f t="shared" si="29"/>
        <v>-9</v>
      </c>
      <c r="BC32" s="21">
        <f t="shared" si="29"/>
        <v>-27.5</v>
      </c>
      <c r="BD32" s="21">
        <f t="shared" si="29"/>
        <v>-31.900000000000006</v>
      </c>
      <c r="BE32" s="24">
        <f t="shared" si="31"/>
        <v>-68.400000000000006</v>
      </c>
      <c r="BF32" s="97">
        <f t="shared" si="8"/>
        <v>68.400000000000006</v>
      </c>
      <c r="BG32" s="83">
        <f t="shared" si="9"/>
        <v>-68.400000000000006</v>
      </c>
    </row>
    <row r="33" spans="1:59" ht="15.75" thickBot="1">
      <c r="A33" s="6">
        <f>ELEC!C30</f>
        <v>44010</v>
      </c>
      <c r="B33" s="5">
        <f t="shared" si="10"/>
        <v>108535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v>600833</v>
      </c>
      <c r="H33" s="5">
        <f t="shared" si="14"/>
        <v>154</v>
      </c>
      <c r="I33" s="5">
        <f t="shared" si="0"/>
        <v>154</v>
      </c>
      <c r="J33" s="344">
        <f t="shared" si="1"/>
        <v>1.6233766233766234</v>
      </c>
      <c r="K33" s="5">
        <f>'Swimming Pool quality check '!H33</f>
        <v>6348</v>
      </c>
      <c r="L33" s="282">
        <f t="shared" si="33"/>
        <v>11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v>4893</v>
      </c>
      <c r="U33" s="5">
        <f t="shared" si="4"/>
        <v>3</v>
      </c>
      <c r="V33" s="5">
        <f t="shared" si="18"/>
        <v>410</v>
      </c>
      <c r="W33" s="334">
        <f t="shared" si="17"/>
        <v>0</v>
      </c>
      <c r="X33" s="5">
        <v>144461</v>
      </c>
      <c r="Y33" s="334">
        <f t="shared" si="19"/>
        <v>53</v>
      </c>
      <c r="Z33" s="5">
        <v>95321</v>
      </c>
      <c r="AA33" s="84">
        <f t="shared" si="20"/>
        <v>56</v>
      </c>
      <c r="AB33" s="5">
        <f t="shared" si="18"/>
        <v>259</v>
      </c>
      <c r="AC33" s="5">
        <f t="shared" si="18"/>
        <v>670</v>
      </c>
      <c r="AD33" s="84">
        <f t="shared" si="32"/>
        <v>0</v>
      </c>
      <c r="AE33" s="5">
        <f t="shared" si="18"/>
        <v>161.69999999999999</v>
      </c>
      <c r="AF33" s="84">
        <f>AE33-AE32</f>
        <v>0</v>
      </c>
      <c r="AG33" s="5">
        <v>1689.75</v>
      </c>
      <c r="AH33" s="84">
        <f t="shared" si="22"/>
        <v>1.2300000000000182</v>
      </c>
      <c r="AI33" s="84">
        <f t="shared" si="23"/>
        <v>1.2300000000000182</v>
      </c>
      <c r="AJ33" s="336">
        <f t="shared" si="24"/>
        <v>56</v>
      </c>
      <c r="AK33" s="337">
        <f>SUM(Y33-L33)</f>
        <v>42</v>
      </c>
      <c r="AL33" s="337">
        <f t="shared" si="25"/>
        <v>56</v>
      </c>
      <c r="AM33" s="337">
        <f>'General information '!D33</f>
        <v>28</v>
      </c>
      <c r="AN33" s="85">
        <f>'General information '!H33</f>
        <v>0</v>
      </c>
      <c r="AO33" s="85"/>
      <c r="AP33" s="85">
        <f>'General information '!J33</f>
        <v>218</v>
      </c>
      <c r="AR33" s="285">
        <f t="shared" si="26"/>
        <v>44010</v>
      </c>
      <c r="AS33" s="438">
        <f t="shared" si="38"/>
        <v>0.9</v>
      </c>
      <c r="AT33" s="205">
        <v>54</v>
      </c>
      <c r="AU33" s="439">
        <f t="shared" si="34"/>
        <v>1.1000000000000001</v>
      </c>
      <c r="AV33" s="205">
        <v>107</v>
      </c>
      <c r="AW33" s="5">
        <v>2.9</v>
      </c>
      <c r="AX33" s="205">
        <v>84</v>
      </c>
      <c r="AY33" s="442">
        <f t="shared" si="7"/>
        <v>48.6</v>
      </c>
      <c r="AZ33" s="442">
        <f t="shared" si="27"/>
        <v>117.7</v>
      </c>
      <c r="BA33" s="442">
        <f t="shared" si="28"/>
        <v>243.6</v>
      </c>
      <c r="BB33" s="21">
        <f t="shared" si="29"/>
        <v>-39.6</v>
      </c>
      <c r="BC33" s="21">
        <f t="shared" si="29"/>
        <v>41.8</v>
      </c>
      <c r="BD33" s="21">
        <f t="shared" si="29"/>
        <v>5.8000000000000114</v>
      </c>
      <c r="BE33" s="24">
        <f t="shared" si="31"/>
        <v>8.0000000000000071</v>
      </c>
      <c r="BF33" s="97">
        <f t="shared" si="8"/>
        <v>146</v>
      </c>
      <c r="BG33" s="83">
        <f t="shared" si="9"/>
        <v>8</v>
      </c>
    </row>
    <row r="34" spans="1:59" ht="15.75" thickBot="1">
      <c r="A34" s="6">
        <f>ELEC!C31</f>
        <v>44011</v>
      </c>
      <c r="B34" s="5">
        <f t="shared" si="10"/>
        <v>108535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600833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6348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4893</v>
      </c>
      <c r="U34" s="5">
        <f t="shared" si="4"/>
        <v>0</v>
      </c>
      <c r="V34" s="5">
        <f t="shared" si="18"/>
        <v>410</v>
      </c>
      <c r="W34" s="334">
        <f t="shared" si="17"/>
        <v>0</v>
      </c>
      <c r="X34" s="5">
        <f t="shared" si="18"/>
        <v>144461</v>
      </c>
      <c r="Y34" s="334">
        <f t="shared" si="19"/>
        <v>0</v>
      </c>
      <c r="Z34" s="5">
        <f t="shared" si="18"/>
        <v>95321</v>
      </c>
      <c r="AA34" s="84">
        <f t="shared" si="20"/>
        <v>0</v>
      </c>
      <c r="AB34" s="5">
        <f t="shared" si="18"/>
        <v>259</v>
      </c>
      <c r="AC34" s="5">
        <f t="shared" si="18"/>
        <v>670</v>
      </c>
      <c r="AD34" s="84">
        <f t="shared" si="32"/>
        <v>0</v>
      </c>
      <c r="AE34" s="5">
        <f t="shared" si="18"/>
        <v>161.69999999999999</v>
      </c>
      <c r="AF34" s="84">
        <f t="shared" si="21"/>
        <v>0</v>
      </c>
      <c r="AG34" s="5">
        <f t="shared" si="18"/>
        <v>1689.75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38"/>
        <v>0.9</v>
      </c>
      <c r="AT34" s="205">
        <f t="shared" si="38"/>
        <v>54</v>
      </c>
      <c r="AU34" s="440">
        <f t="shared" si="34"/>
        <v>1.1000000000000001</v>
      </c>
      <c r="AV34" s="205">
        <f t="shared" si="34"/>
        <v>107</v>
      </c>
      <c r="AW34" s="5">
        <v>2.9</v>
      </c>
      <c r="AX34" s="205">
        <f t="shared" ref="AX34" si="39">AX33</f>
        <v>84</v>
      </c>
      <c r="AY34" s="442">
        <f t="shared" si="7"/>
        <v>48.6</v>
      </c>
      <c r="AZ34" s="442">
        <f t="shared" si="27"/>
        <v>117.7</v>
      </c>
      <c r="BA34" s="442">
        <f t="shared" si="28"/>
        <v>243.6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108535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600833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6348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4893</v>
      </c>
      <c r="U35" s="5">
        <f t="shared" si="4"/>
        <v>0</v>
      </c>
      <c r="V35" s="5">
        <f t="shared" si="18"/>
        <v>410</v>
      </c>
      <c r="W35" s="334">
        <f t="shared" si="17"/>
        <v>0</v>
      </c>
      <c r="X35" s="5">
        <f t="shared" si="18"/>
        <v>144461</v>
      </c>
      <c r="Y35" s="334">
        <f t="shared" si="19"/>
        <v>0</v>
      </c>
      <c r="Z35" s="5">
        <f t="shared" si="18"/>
        <v>95321</v>
      </c>
      <c r="AA35" s="84">
        <f t="shared" si="20"/>
        <v>0</v>
      </c>
      <c r="AB35" s="5">
        <f t="shared" si="18"/>
        <v>259</v>
      </c>
      <c r="AC35" s="5">
        <f t="shared" si="18"/>
        <v>670</v>
      </c>
      <c r="AD35" s="84">
        <f t="shared" si="32"/>
        <v>0</v>
      </c>
      <c r="AE35" s="5">
        <f t="shared" si="18"/>
        <v>161.69999999999999</v>
      </c>
      <c r="AF35" s="84">
        <f t="shared" si="21"/>
        <v>0</v>
      </c>
      <c r="AG35" s="5">
        <f t="shared" si="18"/>
        <v>1689.75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38"/>
        <v>0.9</v>
      </c>
      <c r="AT35" s="205">
        <f t="shared" si="38"/>
        <v>54</v>
      </c>
      <c r="AU35" s="441">
        <f t="shared" si="34"/>
        <v>1.1000000000000001</v>
      </c>
      <c r="AV35" s="205">
        <f t="shared" si="34"/>
        <v>107</v>
      </c>
      <c r="AW35" s="5">
        <v>2.9</v>
      </c>
      <c r="AX35" s="205">
        <f t="shared" ref="AX35" si="40">AX34</f>
        <v>84</v>
      </c>
      <c r="AY35" s="442">
        <f t="shared" si="7"/>
        <v>48.6</v>
      </c>
      <c r="AZ35" s="442">
        <f t="shared" si="27"/>
        <v>117.7</v>
      </c>
      <c r="BA35" s="442">
        <f t="shared" si="28"/>
        <v>243.6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62</v>
      </c>
      <c r="D36" s="332">
        <f>SUM(D6:D35)</f>
        <v>2.2962962962962963</v>
      </c>
      <c r="F36" s="428">
        <f>SUM(F6:F35)</f>
        <v>2</v>
      </c>
      <c r="H36" s="426">
        <f>SUM(H6:H35)</f>
        <v>1859</v>
      </c>
      <c r="I36" s="426">
        <f>SUM(I6:I35)</f>
        <v>1921</v>
      </c>
      <c r="L36" s="275">
        <f>SUM(L7:L35)</f>
        <v>136</v>
      </c>
      <c r="Q36" s="514">
        <f>SUM(Q5:Q35)</f>
        <v>0</v>
      </c>
      <c r="U36" s="423">
        <f>SUM(U6:U35)</f>
        <v>63</v>
      </c>
      <c r="X36" s="333"/>
      <c r="Y36" s="332" t="e">
        <f>SUM(Y35,Y33,Y31,Y29,Y27,Y25,Y23,Y21,Y19,Y17,Y15,Y13,Y11,Y9,Y7+#REF!)</f>
        <v>#REF!</v>
      </c>
      <c r="AJ36" s="332">
        <f>SUM(AJ6:AJ35)</f>
        <v>523</v>
      </c>
      <c r="AK36" s="337" t="e">
        <f t="shared" si="5"/>
        <v>#REF!</v>
      </c>
      <c r="AL36" s="332">
        <f>SUM(AL6:AL35)</f>
        <v>520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102.92</v>
      </c>
      <c r="E37" s="342">
        <f>SUM(E6:E35)</f>
        <v>7602.92</v>
      </c>
      <c r="F37" s="431">
        <f>SUM(F6:F35)</f>
        <v>2</v>
      </c>
      <c r="H37" s="158">
        <v>7500</v>
      </c>
      <c r="I37" s="427">
        <f>SUM('General information '!G36/WATER!I36)</f>
        <v>6.3672045809474234E-2</v>
      </c>
      <c r="L37" s="158"/>
      <c r="O37" s="511">
        <f>SUM(Q36+I36)</f>
        <v>1921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2.2962962962962963</v>
      </c>
      <c r="F38" s="429">
        <f>SUM(F6:F35)</f>
        <v>2</v>
      </c>
      <c r="G38" s="1">
        <f>SUM(I36)</f>
        <v>1921</v>
      </c>
      <c r="H38" s="1">
        <f>SUM(H37+C37)</f>
        <v>7602.92</v>
      </c>
      <c r="K38" s="1">
        <f>SUM(H38/G38)</f>
        <v>3.957792816241541</v>
      </c>
      <c r="AJ38" s="332">
        <f>SUM(C37-AK37)</f>
        <v>102.92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abSelected="1" zoomScaleNormal="100" workbookViewId="0">
      <pane ySplit="4" topLeftCell="A19" activePane="bottomLeft" state="frozen"/>
      <selection pane="bottomLeft" activeCell="M33" sqref="M33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>
        <v>26</v>
      </c>
      <c r="C20" s="37">
        <v>20</v>
      </c>
      <c r="D20" s="26">
        <f t="shared" si="3"/>
        <v>23</v>
      </c>
      <c r="E20" s="350">
        <v>0.62</v>
      </c>
      <c r="F20" s="350">
        <v>1.2999999999999999E-2</v>
      </c>
      <c r="G20" s="246">
        <f t="shared" si="4"/>
        <v>2.9899999999999998</v>
      </c>
      <c r="H20" s="3">
        <v>0</v>
      </c>
      <c r="I20" s="3"/>
      <c r="J20" s="37">
        <v>158</v>
      </c>
      <c r="K20" s="270">
        <f t="shared" si="2"/>
        <v>158</v>
      </c>
      <c r="L20" s="3"/>
      <c r="M20" s="3"/>
      <c r="N20" s="156"/>
      <c r="O20" s="3"/>
    </row>
    <row r="21" spans="1:15">
      <c r="A21" s="501">
        <f>ELEC!C18</f>
        <v>43998</v>
      </c>
      <c r="B21" s="37">
        <v>26</v>
      </c>
      <c r="C21" s="37">
        <v>21</v>
      </c>
      <c r="D21" s="26">
        <f>(C21+B21)/2</f>
        <v>23.5</v>
      </c>
      <c r="E21" s="350">
        <v>0.65</v>
      </c>
      <c r="F21" s="350">
        <v>2.1700000000000001E-2</v>
      </c>
      <c r="G21" s="246">
        <f t="shared" si="4"/>
        <v>4.9910000000000005</v>
      </c>
      <c r="H21" s="3">
        <v>0</v>
      </c>
      <c r="I21" s="3"/>
      <c r="J21" s="37">
        <v>228</v>
      </c>
      <c r="K21" s="270">
        <f t="shared" si="2"/>
        <v>228</v>
      </c>
      <c r="L21" s="3"/>
      <c r="M21" s="3"/>
      <c r="N21" s="156"/>
      <c r="O21" s="3"/>
    </row>
    <row r="22" spans="1:15">
      <c r="A22" s="501">
        <f>ELEC!C19</f>
        <v>43999</v>
      </c>
      <c r="B22" s="37">
        <v>27</v>
      </c>
      <c r="C22" s="37">
        <v>22</v>
      </c>
      <c r="D22" s="26">
        <f t="shared" si="3"/>
        <v>24.5</v>
      </c>
      <c r="E22" s="350">
        <v>0.72</v>
      </c>
      <c r="F22" s="407">
        <v>1.7399999999999999E-2</v>
      </c>
      <c r="G22" s="246">
        <f t="shared" si="4"/>
        <v>4.0019999999999998</v>
      </c>
      <c r="H22" s="3">
        <v>0</v>
      </c>
      <c r="I22" s="3"/>
      <c r="J22" s="37">
        <v>234</v>
      </c>
      <c r="K22" s="270">
        <f t="shared" si="2"/>
        <v>234</v>
      </c>
      <c r="L22" s="3"/>
      <c r="M22" s="3"/>
      <c r="N22" s="156"/>
      <c r="O22" s="3"/>
    </row>
    <row r="23" spans="1:15">
      <c r="A23" s="501">
        <f>ELEC!C20</f>
        <v>44000</v>
      </c>
      <c r="B23" s="37">
        <v>27</v>
      </c>
      <c r="C23" s="37">
        <v>24</v>
      </c>
      <c r="D23" s="26">
        <f>(C23+B23)/2</f>
        <v>25.5</v>
      </c>
      <c r="E23" s="350">
        <v>0.65</v>
      </c>
      <c r="F23" s="350">
        <v>2.1700000000000001E-2</v>
      </c>
      <c r="G23" s="246">
        <f t="shared" si="4"/>
        <v>4.9910000000000005</v>
      </c>
      <c r="H23" s="3"/>
      <c r="I23" s="3"/>
      <c r="J23" s="37">
        <v>273</v>
      </c>
      <c r="K23" s="270">
        <f t="shared" si="2"/>
        <v>273</v>
      </c>
      <c r="L23" s="3"/>
      <c r="M23" s="3"/>
      <c r="N23" s="156"/>
      <c r="O23" s="3"/>
    </row>
    <row r="24" spans="1:15">
      <c r="A24" s="501">
        <f>ELEC!C21</f>
        <v>44001</v>
      </c>
      <c r="B24" s="37">
        <v>27</v>
      </c>
      <c r="C24" s="37">
        <v>24</v>
      </c>
      <c r="D24" s="26">
        <f t="shared" si="3"/>
        <v>25.5</v>
      </c>
      <c r="E24" s="350">
        <v>0.7</v>
      </c>
      <c r="F24" s="350">
        <v>3.04E-2</v>
      </c>
      <c r="G24" s="246">
        <f t="shared" si="4"/>
        <v>6.992</v>
      </c>
      <c r="H24" s="3">
        <v>0</v>
      </c>
      <c r="I24" s="3"/>
      <c r="J24" s="37">
        <v>248</v>
      </c>
      <c r="K24" s="270">
        <f t="shared" si="2"/>
        <v>248</v>
      </c>
      <c r="L24" s="3"/>
      <c r="M24" s="3"/>
      <c r="N24" s="156"/>
      <c r="O24" s="3"/>
    </row>
    <row r="25" spans="1:15">
      <c r="A25" s="501">
        <f>ELEC!C22</f>
        <v>44002</v>
      </c>
      <c r="B25" s="37">
        <v>26</v>
      </c>
      <c r="C25" s="37">
        <v>23</v>
      </c>
      <c r="D25" s="26">
        <f t="shared" si="3"/>
        <v>24.5</v>
      </c>
      <c r="E25" s="350">
        <v>0.65</v>
      </c>
      <c r="F25" s="350">
        <v>2.1700000000000001E-2</v>
      </c>
      <c r="G25" s="246">
        <f t="shared" si="4"/>
        <v>4.9910000000000005</v>
      </c>
      <c r="H25" s="3"/>
      <c r="I25" s="3"/>
      <c r="J25" s="37">
        <v>304</v>
      </c>
      <c r="K25" s="270">
        <f t="shared" si="2"/>
        <v>304</v>
      </c>
      <c r="L25" s="3"/>
      <c r="M25" s="3"/>
      <c r="N25" s="156"/>
      <c r="O25" s="3"/>
    </row>
    <row r="26" spans="1:15">
      <c r="A26" s="501">
        <f>ELEC!C23</f>
        <v>44003</v>
      </c>
      <c r="B26" s="37">
        <v>29</v>
      </c>
      <c r="C26" s="37">
        <v>21</v>
      </c>
      <c r="D26" s="26">
        <f>(C26+B26)/2</f>
        <v>25</v>
      </c>
      <c r="E26" s="350">
        <v>0.65</v>
      </c>
      <c r="F26" s="350">
        <v>8.6999999999999994E-3</v>
      </c>
      <c r="G26" s="246">
        <f t="shared" si="4"/>
        <v>2.0009999999999999</v>
      </c>
      <c r="H26" s="3"/>
      <c r="I26" s="3"/>
      <c r="J26" s="37">
        <v>196</v>
      </c>
      <c r="K26" s="270">
        <f t="shared" si="2"/>
        <v>196</v>
      </c>
      <c r="L26" s="3"/>
      <c r="M26" s="3"/>
      <c r="N26" s="156"/>
      <c r="O26" s="3"/>
    </row>
    <row r="27" spans="1:15">
      <c r="A27" s="501">
        <f>ELEC!C24</f>
        <v>44004</v>
      </c>
      <c r="B27" s="37">
        <v>29</v>
      </c>
      <c r="C27" s="37">
        <v>22</v>
      </c>
      <c r="D27" s="26">
        <f t="shared" si="3"/>
        <v>25.5</v>
      </c>
      <c r="E27" s="350">
        <v>0.7</v>
      </c>
      <c r="F27" s="350">
        <v>2.6100000000000002E-2</v>
      </c>
      <c r="G27" s="246">
        <f t="shared" si="4"/>
        <v>6.0030000000000001</v>
      </c>
      <c r="H27" s="3"/>
      <c r="I27" s="3"/>
      <c r="J27" s="37">
        <v>317.62</v>
      </c>
      <c r="K27" s="270">
        <f>+J27+H27+I27</f>
        <v>317.62</v>
      </c>
      <c r="L27" s="3"/>
      <c r="M27" s="3"/>
      <c r="N27" s="156"/>
      <c r="O27" s="3"/>
    </row>
    <row r="28" spans="1:15">
      <c r="A28" s="501">
        <f>ELEC!C25</f>
        <v>44005</v>
      </c>
      <c r="B28" s="37">
        <v>27</v>
      </c>
      <c r="C28" s="37">
        <v>23</v>
      </c>
      <c r="D28" s="26">
        <f t="shared" si="3"/>
        <v>25</v>
      </c>
      <c r="E28" s="350">
        <v>0.65</v>
      </c>
      <c r="F28" s="350">
        <v>1.7399999999999999E-2</v>
      </c>
      <c r="G28" s="246">
        <f t="shared" si="4"/>
        <v>4.0019999999999998</v>
      </c>
      <c r="H28" s="3">
        <v>0</v>
      </c>
      <c r="I28" s="3"/>
      <c r="J28" s="37">
        <v>174</v>
      </c>
      <c r="K28" s="270">
        <f t="shared" ref="K28:K35" si="5">+J28+H28+I28</f>
        <v>174</v>
      </c>
      <c r="L28" s="3"/>
      <c r="M28" s="3"/>
      <c r="N28" s="156"/>
      <c r="O28" s="3"/>
    </row>
    <row r="29" spans="1:15">
      <c r="A29" s="501">
        <f>ELEC!C26</f>
        <v>44006</v>
      </c>
      <c r="B29" s="37">
        <v>27</v>
      </c>
      <c r="C29" s="37">
        <v>23</v>
      </c>
      <c r="D29" s="26">
        <f t="shared" si="3"/>
        <v>25</v>
      </c>
      <c r="E29" s="350">
        <v>0.65</v>
      </c>
      <c r="F29" s="350">
        <v>1.2999999999999999E-2</v>
      </c>
      <c r="G29" s="246">
        <f t="shared" si="4"/>
        <v>2.9899999999999998</v>
      </c>
      <c r="H29" s="3"/>
      <c r="I29" s="3"/>
      <c r="J29" s="37">
        <v>226</v>
      </c>
      <c r="K29" s="270">
        <f t="shared" si="5"/>
        <v>226</v>
      </c>
      <c r="L29" s="3"/>
      <c r="M29" s="3"/>
      <c r="N29" s="156"/>
      <c r="O29" s="3"/>
    </row>
    <row r="30" spans="1:15">
      <c r="A30" s="501">
        <f>ELEC!C27</f>
        <v>44007</v>
      </c>
      <c r="B30" s="37">
        <v>33</v>
      </c>
      <c r="C30" s="37">
        <v>27</v>
      </c>
      <c r="D30" s="26">
        <f t="shared" si="3"/>
        <v>30</v>
      </c>
      <c r="E30" s="350">
        <v>0.69</v>
      </c>
      <c r="F30" s="407">
        <v>1.7399999999999999E-2</v>
      </c>
      <c r="G30" s="246">
        <f t="shared" si="4"/>
        <v>4.0019999999999998</v>
      </c>
      <c r="H30" s="3">
        <v>0</v>
      </c>
      <c r="I30" s="3"/>
      <c r="J30" s="37">
        <v>239</v>
      </c>
      <c r="K30" s="270">
        <f t="shared" si="5"/>
        <v>239</v>
      </c>
      <c r="L30" s="3"/>
      <c r="M30" s="3"/>
      <c r="N30" s="156"/>
      <c r="O30" s="3"/>
    </row>
    <row r="31" spans="1:15">
      <c r="A31" s="501">
        <f>ELEC!C28</f>
        <v>44008</v>
      </c>
      <c r="B31" s="37">
        <v>28</v>
      </c>
      <c r="C31" s="37">
        <v>24</v>
      </c>
      <c r="D31" s="3">
        <f t="shared" si="3"/>
        <v>26</v>
      </c>
      <c r="E31" s="351">
        <v>0.66</v>
      </c>
      <c r="F31" s="290">
        <v>1.2999999999999999E-2</v>
      </c>
      <c r="G31" s="246">
        <f t="shared" si="4"/>
        <v>2.9899999999999998</v>
      </c>
      <c r="H31" s="3"/>
      <c r="I31" s="3"/>
      <c r="J31" s="37">
        <v>223</v>
      </c>
      <c r="K31" s="270">
        <f t="shared" si="5"/>
        <v>223</v>
      </c>
      <c r="L31" s="3"/>
      <c r="M31" s="3"/>
      <c r="N31" s="156"/>
      <c r="O31" s="3"/>
    </row>
    <row r="32" spans="1:15">
      <c r="A32" s="501">
        <f>ELEC!C29</f>
        <v>44009</v>
      </c>
      <c r="B32" s="37">
        <v>29</v>
      </c>
      <c r="C32" s="37">
        <v>25</v>
      </c>
      <c r="D32" s="289">
        <f>(C32+B32)/2</f>
        <v>27</v>
      </c>
      <c r="E32" s="351">
        <v>0.55000000000000004</v>
      </c>
      <c r="F32" s="355">
        <v>2.4E-2</v>
      </c>
      <c r="G32" s="246">
        <f t="shared" si="4"/>
        <v>5.5200000000000005</v>
      </c>
      <c r="H32" s="3"/>
      <c r="I32" s="3"/>
      <c r="J32" s="37">
        <v>236</v>
      </c>
      <c r="K32" s="270">
        <f t="shared" si="5"/>
        <v>236</v>
      </c>
      <c r="L32" s="3"/>
      <c r="M32" s="3"/>
      <c r="N32" s="156"/>
      <c r="O32" s="3"/>
    </row>
    <row r="33" spans="1:15">
      <c r="A33" s="501">
        <f>ELEC!C30</f>
        <v>44010</v>
      </c>
      <c r="B33" s="37">
        <v>30</v>
      </c>
      <c r="C33" s="37">
        <v>26</v>
      </c>
      <c r="D33" s="26">
        <f t="shared" si="3"/>
        <v>28</v>
      </c>
      <c r="E33" s="350">
        <v>0.66</v>
      </c>
      <c r="F33" s="350">
        <v>3.4799999999999998E-2</v>
      </c>
      <c r="G33" s="246">
        <f t="shared" si="4"/>
        <v>8.0039999999999996</v>
      </c>
      <c r="H33" s="3">
        <v>0</v>
      </c>
      <c r="I33" s="3"/>
      <c r="J33" s="37">
        <v>218</v>
      </c>
      <c r="K33" s="270">
        <f t="shared" si="5"/>
        <v>218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1.8992857142857145E-2</v>
      </c>
      <c r="G36" s="207">
        <f>SUM(G6:G35)</f>
        <v>122.31399999999999</v>
      </c>
    </row>
    <row r="37" spans="1:15">
      <c r="D37" s="268">
        <f>SUM(D6:D35)/'EDl log'!A37</f>
        <v>24.285714285714285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9" zoomScale="90" zoomScaleNormal="90" workbookViewId="0">
      <pane xSplit="1" topLeftCell="AL1" activePane="topRight" state="frozen"/>
      <selection pane="topRight" activeCell="A31" sqref="A3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234</v>
      </c>
      <c r="AT3" s="632" t="s">
        <v>302</v>
      </c>
      <c r="AU3" s="633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7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1544.3037974683546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172</v>
      </c>
      <c r="C20" s="207">
        <f t="shared" si="18"/>
        <v>3700.7741935483868</v>
      </c>
      <c r="D20">
        <f t="shared" si="19"/>
        <v>172</v>
      </c>
      <c r="E20" s="207">
        <f t="shared" si="18"/>
        <v>3700.7741935483868</v>
      </c>
      <c r="F20">
        <f t="shared" si="20"/>
        <v>172</v>
      </c>
      <c r="G20" s="207">
        <f t="shared" si="1"/>
        <v>3700.7741935483868</v>
      </c>
      <c r="H20" s="207">
        <f t="shared" si="21"/>
        <v>172</v>
      </c>
      <c r="I20" s="207">
        <f t="shared" si="2"/>
        <v>3700.7741935483868</v>
      </c>
      <c r="J20" s="207">
        <f t="shared" si="22"/>
        <v>172</v>
      </c>
      <c r="K20" s="207">
        <f t="shared" si="3"/>
        <v>3700.7741935483868</v>
      </c>
      <c r="L20" s="207">
        <f t="shared" si="23"/>
        <v>172</v>
      </c>
      <c r="M20" s="207">
        <f t="shared" si="4"/>
        <v>3700.7741935483868</v>
      </c>
      <c r="N20" s="207">
        <f t="shared" si="24"/>
        <v>172</v>
      </c>
      <c r="O20" s="207">
        <f t="shared" si="5"/>
        <v>3700.7741935483868</v>
      </c>
      <c r="P20" s="207">
        <f t="shared" si="25"/>
        <v>172</v>
      </c>
      <c r="Q20" s="207">
        <f t="shared" si="6"/>
        <v>3700.7741935483868</v>
      </c>
      <c r="R20" s="207">
        <f t="shared" si="26"/>
        <v>172</v>
      </c>
      <c r="S20" s="207">
        <f t="shared" si="7"/>
        <v>3700.7741935483868</v>
      </c>
      <c r="T20" s="207">
        <f t="shared" si="27"/>
        <v>172</v>
      </c>
      <c r="U20" s="207">
        <f t="shared" si="8"/>
        <v>3700.7741935483868</v>
      </c>
      <c r="V20" s="207">
        <f t="shared" si="28"/>
        <v>172</v>
      </c>
      <c r="W20" s="207">
        <f t="shared" si="9"/>
        <v>3700.7741935483868</v>
      </c>
      <c r="X20" s="35">
        <f t="shared" si="10"/>
        <v>0.55483870967741933</v>
      </c>
      <c r="Y20" s="36">
        <f t="shared" si="29"/>
        <v>40708.516129032258</v>
      </c>
      <c r="Z20" s="207">
        <f>'B5'!C19</f>
        <v>178</v>
      </c>
      <c r="AA20" s="207">
        <f t="shared" si="30"/>
        <v>1780</v>
      </c>
      <c r="AB20" s="207">
        <f t="shared" si="31"/>
        <v>178</v>
      </c>
      <c r="AC20" s="207">
        <f t="shared" si="30"/>
        <v>1780</v>
      </c>
      <c r="AD20" s="207">
        <f t="shared" si="32"/>
        <v>178</v>
      </c>
      <c r="AE20" s="207">
        <f t="shared" si="11"/>
        <v>1780</v>
      </c>
      <c r="AF20" s="207">
        <f t="shared" si="33"/>
        <v>178</v>
      </c>
      <c r="AG20" s="207">
        <f t="shared" si="12"/>
        <v>1780</v>
      </c>
      <c r="AH20" s="207">
        <f t="shared" si="34"/>
        <v>178</v>
      </c>
      <c r="AI20" s="207">
        <f t="shared" si="13"/>
        <v>1780</v>
      </c>
      <c r="AJ20" s="207">
        <f t="shared" si="35"/>
        <v>178</v>
      </c>
      <c r="AK20" s="207">
        <f t="shared" si="14"/>
        <v>1780</v>
      </c>
      <c r="AL20" s="207">
        <f t="shared" si="36"/>
        <v>178</v>
      </c>
      <c r="AM20" s="207">
        <f t="shared" si="15"/>
        <v>1780</v>
      </c>
      <c r="AN20" s="35">
        <f t="shared" si="16"/>
        <v>0.63571428571428568</v>
      </c>
      <c r="AO20" s="36">
        <f t="shared" si="17"/>
        <v>12460</v>
      </c>
      <c r="AQ20" s="227">
        <f t="shared" si="37"/>
        <v>0.57188895481372759</v>
      </c>
      <c r="AR20" s="38">
        <f t="shared" si="41"/>
        <v>53168.516129032258</v>
      </c>
      <c r="AS20" s="201">
        <f t="shared" si="38"/>
        <v>-1553.0967741935456</v>
      </c>
      <c r="AT20" s="278">
        <v>8300</v>
      </c>
      <c r="AU20" s="452">
        <v>0.36</v>
      </c>
      <c r="AV20" s="539">
        <f t="shared" si="42"/>
        <v>0.36</v>
      </c>
      <c r="AW20" s="300">
        <f>-SUM('B5'!AI19)</f>
        <v>-352</v>
      </c>
      <c r="AX20" s="300">
        <f t="shared" si="39"/>
        <v>-1201.0967741935456</v>
      </c>
      <c r="AY20" s="37">
        <f t="shared" si="40"/>
        <v>-1553.0967741935456</v>
      </c>
      <c r="AZ20" s="101">
        <f>ELEC!A17</f>
        <v>1.2999999999999999E-2</v>
      </c>
      <c r="BA20" s="119">
        <f>'General information '!D20</f>
        <v>23</v>
      </c>
      <c r="BB20" s="407">
        <f>SUM('General information '!E20)</f>
        <v>0.62</v>
      </c>
      <c r="BC20" s="3">
        <f t="shared" si="43"/>
        <v>1</v>
      </c>
      <c r="BD20" s="103">
        <v>19222</v>
      </c>
      <c r="BE20" s="14">
        <f>(305/1185)*ELEC!Q18</f>
        <v>1286.9198312236288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166</v>
      </c>
      <c r="C21" s="207">
        <f t="shared" si="18"/>
        <v>3571.6774193548385</v>
      </c>
      <c r="D21">
        <f t="shared" si="19"/>
        <v>166</v>
      </c>
      <c r="E21" s="207">
        <f t="shared" si="18"/>
        <v>3571.6774193548385</v>
      </c>
      <c r="F21">
        <f t="shared" si="20"/>
        <v>166</v>
      </c>
      <c r="G21" s="207">
        <f t="shared" si="1"/>
        <v>3571.6774193548385</v>
      </c>
      <c r="H21" s="207">
        <f t="shared" si="21"/>
        <v>166</v>
      </c>
      <c r="I21" s="207">
        <f t="shared" si="2"/>
        <v>3571.6774193548385</v>
      </c>
      <c r="J21" s="207">
        <f t="shared" si="22"/>
        <v>166</v>
      </c>
      <c r="K21" s="207">
        <f t="shared" si="3"/>
        <v>3571.6774193548385</v>
      </c>
      <c r="L21" s="207">
        <f t="shared" si="23"/>
        <v>166</v>
      </c>
      <c r="M21" s="207">
        <f t="shared" si="4"/>
        <v>3571.6774193548385</v>
      </c>
      <c r="N21" s="207">
        <f t="shared" si="24"/>
        <v>166</v>
      </c>
      <c r="O21" s="207">
        <f t="shared" si="5"/>
        <v>3571.6774193548385</v>
      </c>
      <c r="P21" s="207">
        <f t="shared" si="25"/>
        <v>166</v>
      </c>
      <c r="Q21" s="207">
        <f t="shared" si="6"/>
        <v>3571.6774193548385</v>
      </c>
      <c r="R21" s="207">
        <f t="shared" si="26"/>
        <v>166</v>
      </c>
      <c r="S21" s="207">
        <f t="shared" si="7"/>
        <v>3571.6774193548385</v>
      </c>
      <c r="T21" s="207">
        <f t="shared" si="27"/>
        <v>166</v>
      </c>
      <c r="U21" s="207">
        <f t="shared" si="8"/>
        <v>3571.6774193548385</v>
      </c>
      <c r="V21" s="207">
        <f t="shared" si="28"/>
        <v>166</v>
      </c>
      <c r="W21" s="207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7">
        <f>'B5'!C20</f>
        <v>172</v>
      </c>
      <c r="AA21" s="207">
        <f t="shared" si="30"/>
        <v>1720</v>
      </c>
      <c r="AB21" s="207">
        <f t="shared" si="31"/>
        <v>172</v>
      </c>
      <c r="AC21" s="207">
        <f t="shared" si="30"/>
        <v>1720</v>
      </c>
      <c r="AD21" s="207">
        <f t="shared" si="32"/>
        <v>172</v>
      </c>
      <c r="AE21" s="207">
        <f t="shared" si="11"/>
        <v>1720</v>
      </c>
      <c r="AF21" s="207">
        <f t="shared" si="33"/>
        <v>172</v>
      </c>
      <c r="AG21" s="207">
        <f t="shared" si="12"/>
        <v>1720</v>
      </c>
      <c r="AH21" s="207">
        <f t="shared" si="34"/>
        <v>172</v>
      </c>
      <c r="AI21" s="207">
        <f t="shared" si="13"/>
        <v>1720</v>
      </c>
      <c r="AJ21" s="207">
        <f t="shared" si="35"/>
        <v>172</v>
      </c>
      <c r="AK21" s="207">
        <f t="shared" si="14"/>
        <v>1720</v>
      </c>
      <c r="AL21" s="207">
        <f t="shared" si="36"/>
        <v>172</v>
      </c>
      <c r="AM21" s="207">
        <f t="shared" si="15"/>
        <v>1720</v>
      </c>
      <c r="AN21" s="35">
        <f t="shared" si="16"/>
        <v>0.61428571428571432</v>
      </c>
      <c r="AO21" s="36">
        <f t="shared" si="17"/>
        <v>12040</v>
      </c>
      <c r="AQ21" s="227">
        <f t="shared" si="37"/>
        <v>0.55209693033132434</v>
      </c>
      <c r="AR21" s="38">
        <f t="shared" si="41"/>
        <v>51328.45161290322</v>
      </c>
      <c r="AS21" s="201">
        <f>SUM(AR21-AR20-AT21)</f>
        <v>-1840.0645161290377</v>
      </c>
      <c r="AT21" s="278"/>
      <c r="AU21" s="452"/>
      <c r="AV21" s="539">
        <f t="shared" si="42"/>
        <v>0.36</v>
      </c>
      <c r="AW21" s="300">
        <f>-SUM('B5'!AI20)</f>
        <v>-346</v>
      </c>
      <c r="AX21" s="300">
        <f t="shared" si="39"/>
        <v>-1494.0645161290377</v>
      </c>
      <c r="AY21" s="37">
        <f t="shared" si="40"/>
        <v>-1840.0645161290377</v>
      </c>
      <c r="AZ21" s="101">
        <f>ELEC!A18</f>
        <v>2.1700000000000001E-2</v>
      </c>
      <c r="BA21" s="119">
        <f>'General information '!D21</f>
        <v>23.5</v>
      </c>
      <c r="BB21" s="407">
        <f>SUM('General information '!E21)</f>
        <v>0.65</v>
      </c>
      <c r="BC21" s="3">
        <f t="shared" si="43"/>
        <v>0</v>
      </c>
      <c r="BD21" s="103">
        <v>19222</v>
      </c>
      <c r="BE21" s="14">
        <f>(305/1185)*ELEC!Q19</f>
        <v>772.15189873417728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192</v>
      </c>
      <c r="C22" s="207">
        <f t="shared" si="18"/>
        <v>4131.0967741935483</v>
      </c>
      <c r="D22">
        <f t="shared" si="19"/>
        <v>192</v>
      </c>
      <c r="E22" s="207">
        <f t="shared" si="18"/>
        <v>4131.0967741935483</v>
      </c>
      <c r="F22">
        <f t="shared" si="20"/>
        <v>192</v>
      </c>
      <c r="G22" s="207">
        <f t="shared" si="1"/>
        <v>4131.0967741935483</v>
      </c>
      <c r="H22" s="207">
        <f t="shared" si="21"/>
        <v>192</v>
      </c>
      <c r="I22" s="207">
        <f t="shared" si="2"/>
        <v>4131.0967741935483</v>
      </c>
      <c r="J22" s="207">
        <f t="shared" si="22"/>
        <v>192</v>
      </c>
      <c r="K22" s="207">
        <f t="shared" si="3"/>
        <v>4131.0967741935483</v>
      </c>
      <c r="L22" s="207">
        <f t="shared" si="23"/>
        <v>192</v>
      </c>
      <c r="M22" s="207">
        <f t="shared" si="4"/>
        <v>4131.0967741935483</v>
      </c>
      <c r="N22" s="207">
        <f t="shared" si="24"/>
        <v>192</v>
      </c>
      <c r="O22" s="207">
        <f t="shared" si="5"/>
        <v>4131.0967741935483</v>
      </c>
      <c r="P22" s="207">
        <f t="shared" si="25"/>
        <v>192</v>
      </c>
      <c r="Q22" s="207">
        <f t="shared" si="6"/>
        <v>4131.0967741935483</v>
      </c>
      <c r="R22" s="207">
        <f t="shared" si="26"/>
        <v>192</v>
      </c>
      <c r="S22" s="207">
        <f t="shared" si="7"/>
        <v>4131.0967741935483</v>
      </c>
      <c r="T22" s="207">
        <f t="shared" si="27"/>
        <v>192</v>
      </c>
      <c r="U22" s="207">
        <f t="shared" si="8"/>
        <v>4131.0967741935483</v>
      </c>
      <c r="V22" s="207">
        <f t="shared" si="28"/>
        <v>192</v>
      </c>
      <c r="W22" s="207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7">
        <f>'B5'!C21</f>
        <v>198</v>
      </c>
      <c r="AA22" s="207">
        <f t="shared" si="30"/>
        <v>1980</v>
      </c>
      <c r="AB22" s="207">
        <f t="shared" si="31"/>
        <v>198</v>
      </c>
      <c r="AC22" s="207">
        <f t="shared" si="30"/>
        <v>1980</v>
      </c>
      <c r="AD22" s="207">
        <f t="shared" si="32"/>
        <v>198</v>
      </c>
      <c r="AE22" s="207">
        <f t="shared" si="11"/>
        <v>1980</v>
      </c>
      <c r="AF22" s="207">
        <f t="shared" si="33"/>
        <v>198</v>
      </c>
      <c r="AG22" s="207">
        <f t="shared" si="12"/>
        <v>1980</v>
      </c>
      <c r="AH22" s="207">
        <f t="shared" si="34"/>
        <v>198</v>
      </c>
      <c r="AI22" s="207">
        <f t="shared" si="13"/>
        <v>1980</v>
      </c>
      <c r="AJ22" s="207">
        <f t="shared" si="35"/>
        <v>198</v>
      </c>
      <c r="AK22" s="207">
        <f t="shared" si="14"/>
        <v>1980</v>
      </c>
      <c r="AL22" s="207">
        <f t="shared" si="36"/>
        <v>198</v>
      </c>
      <c r="AM22" s="207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7">
        <f t="shared" si="37"/>
        <v>0.63786236975507182</v>
      </c>
      <c r="AR22" s="38">
        <f t="shared" si="41"/>
        <v>59302.064516129023</v>
      </c>
      <c r="AS22" s="201">
        <f t="shared" si="38"/>
        <v>-217.38709677419683</v>
      </c>
      <c r="AT22" s="278">
        <v>8191</v>
      </c>
      <c r="AU22" s="452">
        <v>0.39300000000000002</v>
      </c>
      <c r="AV22" s="539">
        <f t="shared" si="42"/>
        <v>0.39300000000000002</v>
      </c>
      <c r="AW22" s="300">
        <f>-SUM('B5'!AI21)</f>
        <v>-312</v>
      </c>
      <c r="AX22" s="300">
        <f t="shared" si="39"/>
        <v>94.612903225803166</v>
      </c>
      <c r="AY22" s="37">
        <f t="shared" si="40"/>
        <v>-217.38709677419683</v>
      </c>
      <c r="AZ22" s="101">
        <f>ELEC!A19</f>
        <v>1.7399999999999999E-2</v>
      </c>
      <c r="BA22" s="119">
        <f>'General information '!D22</f>
        <v>24.5</v>
      </c>
      <c r="BB22" s="407">
        <f>SUM('General information '!E22)</f>
        <v>0.72</v>
      </c>
      <c r="BC22" s="3">
        <f t="shared" si="43"/>
        <v>1</v>
      </c>
      <c r="BD22" s="103">
        <v>19222</v>
      </c>
      <c r="BE22" s="14">
        <f>(305/1185)*ELEC!Q20</f>
        <v>1544.3037974683546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183</v>
      </c>
      <c r="C23" s="207">
        <f t="shared" si="18"/>
        <v>3937.4516129032259</v>
      </c>
      <c r="D23">
        <f t="shared" si="19"/>
        <v>183</v>
      </c>
      <c r="E23" s="207">
        <f t="shared" si="18"/>
        <v>3937.4516129032259</v>
      </c>
      <c r="F23">
        <f t="shared" si="20"/>
        <v>183</v>
      </c>
      <c r="G23" s="207">
        <f t="shared" si="1"/>
        <v>3937.4516129032259</v>
      </c>
      <c r="H23" s="207">
        <f t="shared" si="21"/>
        <v>183</v>
      </c>
      <c r="I23" s="207">
        <f t="shared" si="2"/>
        <v>3937.4516129032259</v>
      </c>
      <c r="J23" s="207">
        <f t="shared" si="22"/>
        <v>183</v>
      </c>
      <c r="K23" s="207">
        <f t="shared" si="3"/>
        <v>3937.4516129032259</v>
      </c>
      <c r="L23" s="207">
        <f t="shared" si="23"/>
        <v>183</v>
      </c>
      <c r="M23" s="207">
        <f t="shared" si="4"/>
        <v>3937.4516129032259</v>
      </c>
      <c r="N23" s="207">
        <f t="shared" si="24"/>
        <v>183</v>
      </c>
      <c r="O23" s="207">
        <f t="shared" si="5"/>
        <v>3937.4516129032259</v>
      </c>
      <c r="P23" s="207">
        <f t="shared" si="25"/>
        <v>183</v>
      </c>
      <c r="Q23" s="207">
        <f t="shared" si="6"/>
        <v>3937.4516129032259</v>
      </c>
      <c r="R23" s="207">
        <f t="shared" si="26"/>
        <v>183</v>
      </c>
      <c r="S23" s="207">
        <f t="shared" si="7"/>
        <v>3937.4516129032259</v>
      </c>
      <c r="T23" s="207">
        <f t="shared" si="27"/>
        <v>183</v>
      </c>
      <c r="U23" s="207">
        <f t="shared" si="8"/>
        <v>3937.4516129032259</v>
      </c>
      <c r="V23" s="207">
        <f t="shared" si="28"/>
        <v>183</v>
      </c>
      <c r="W23" s="207">
        <f t="shared" si="9"/>
        <v>3937.4516129032259</v>
      </c>
      <c r="X23" s="35">
        <f t="shared" si="10"/>
        <v>0.59032258064516141</v>
      </c>
      <c r="Y23" s="36">
        <f t="shared" si="29"/>
        <v>43311.967741935492</v>
      </c>
      <c r="Z23" s="207">
        <f>'B5'!C22</f>
        <v>189</v>
      </c>
      <c r="AA23" s="207">
        <f t="shared" si="30"/>
        <v>1890</v>
      </c>
      <c r="AB23" s="207">
        <f t="shared" si="31"/>
        <v>189</v>
      </c>
      <c r="AC23" s="207">
        <f t="shared" si="30"/>
        <v>1890</v>
      </c>
      <c r="AD23" s="207">
        <f t="shared" si="32"/>
        <v>189</v>
      </c>
      <c r="AE23" s="207">
        <f t="shared" si="11"/>
        <v>1890</v>
      </c>
      <c r="AF23" s="207">
        <f t="shared" si="33"/>
        <v>189</v>
      </c>
      <c r="AG23" s="207">
        <f t="shared" si="12"/>
        <v>1890</v>
      </c>
      <c r="AH23" s="207">
        <f t="shared" si="34"/>
        <v>189</v>
      </c>
      <c r="AI23" s="207">
        <f t="shared" si="13"/>
        <v>1890</v>
      </c>
      <c r="AJ23" s="207">
        <f t="shared" si="35"/>
        <v>189</v>
      </c>
      <c r="AK23" s="207">
        <f t="shared" si="14"/>
        <v>1890</v>
      </c>
      <c r="AL23" s="207">
        <f t="shared" si="36"/>
        <v>189</v>
      </c>
      <c r="AM23" s="207">
        <f t="shared" si="15"/>
        <v>1890</v>
      </c>
      <c r="AN23" s="35">
        <f t="shared" si="16"/>
        <v>0.67500000000000004</v>
      </c>
      <c r="AO23" s="36">
        <f t="shared" si="17"/>
        <v>13230</v>
      </c>
      <c r="AQ23" s="227">
        <f t="shared" si="37"/>
        <v>0.60817433303146706</v>
      </c>
      <c r="AR23" s="38">
        <f t="shared" si="41"/>
        <v>56541.967741935492</v>
      </c>
      <c r="AS23" s="201">
        <f t="shared" si="38"/>
        <v>-2760.096774193531</v>
      </c>
      <c r="AT23" s="278"/>
      <c r="AU23" s="452"/>
      <c r="AV23" s="539">
        <f t="shared" si="42"/>
        <v>0.39300000000000002</v>
      </c>
      <c r="AW23" s="300">
        <f>-SUM('B5'!AI22)</f>
        <v>-588.59999999997672</v>
      </c>
      <c r="AX23" s="300">
        <f t="shared" si="39"/>
        <v>-2171.4967741935543</v>
      </c>
      <c r="AY23" s="37">
        <f t="shared" si="40"/>
        <v>-2760.096774193531</v>
      </c>
      <c r="AZ23" s="101">
        <f>ELEC!A20</f>
        <v>2.1700000000000001E-2</v>
      </c>
      <c r="BA23" s="119">
        <f>'General information '!D23</f>
        <v>25.5</v>
      </c>
      <c r="BB23" s="407">
        <f>SUM('General information '!E23)</f>
        <v>0.65</v>
      </c>
      <c r="BC23" s="3">
        <f t="shared" si="43"/>
        <v>0</v>
      </c>
      <c r="BD23" s="103">
        <v>19222</v>
      </c>
      <c r="BE23" s="14">
        <f>(305/1185)*ELEC!Q21</f>
        <v>1286.9198312236288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177</v>
      </c>
      <c r="C24" s="207">
        <f t="shared" si="18"/>
        <v>3808.3548387096776</v>
      </c>
      <c r="D24">
        <f t="shared" si="19"/>
        <v>177</v>
      </c>
      <c r="E24" s="207">
        <f t="shared" si="18"/>
        <v>3808.3548387096776</v>
      </c>
      <c r="F24">
        <f t="shared" si="20"/>
        <v>177</v>
      </c>
      <c r="G24" s="207">
        <f t="shared" si="1"/>
        <v>3808.3548387096776</v>
      </c>
      <c r="H24" s="207">
        <f t="shared" si="21"/>
        <v>177</v>
      </c>
      <c r="I24" s="207">
        <f t="shared" si="2"/>
        <v>3808.3548387096776</v>
      </c>
      <c r="J24" s="207">
        <f t="shared" si="22"/>
        <v>177</v>
      </c>
      <c r="K24" s="207">
        <f t="shared" si="3"/>
        <v>3808.3548387096776</v>
      </c>
      <c r="L24" s="207">
        <f t="shared" si="23"/>
        <v>177</v>
      </c>
      <c r="M24" s="207">
        <f t="shared" si="4"/>
        <v>3808.3548387096776</v>
      </c>
      <c r="N24" s="207">
        <f t="shared" si="24"/>
        <v>177</v>
      </c>
      <c r="O24" s="207">
        <f t="shared" si="5"/>
        <v>3808.3548387096776</v>
      </c>
      <c r="P24" s="207">
        <f t="shared" si="25"/>
        <v>177</v>
      </c>
      <c r="Q24" s="207">
        <f t="shared" si="6"/>
        <v>3808.3548387096776</v>
      </c>
      <c r="R24" s="207">
        <f t="shared" si="26"/>
        <v>177</v>
      </c>
      <c r="S24" s="207">
        <f t="shared" si="7"/>
        <v>3808.3548387096776</v>
      </c>
      <c r="T24" s="207">
        <f t="shared" si="27"/>
        <v>177</v>
      </c>
      <c r="U24" s="207">
        <f t="shared" si="8"/>
        <v>3808.3548387096776</v>
      </c>
      <c r="V24" s="207">
        <f t="shared" si="28"/>
        <v>177</v>
      </c>
      <c r="W24" s="207">
        <f t="shared" si="9"/>
        <v>3808.3548387096776</v>
      </c>
      <c r="X24" s="35">
        <f t="shared" si="10"/>
        <v>0.57096774193548383</v>
      </c>
      <c r="Y24" s="36">
        <f t="shared" si="29"/>
        <v>41891.903225806447</v>
      </c>
      <c r="Z24" s="207">
        <f>'B5'!C23</f>
        <v>182.1</v>
      </c>
      <c r="AA24" s="207">
        <f t="shared" si="30"/>
        <v>1821</v>
      </c>
      <c r="AB24" s="207">
        <f t="shared" si="31"/>
        <v>182.1</v>
      </c>
      <c r="AC24" s="207">
        <f t="shared" si="30"/>
        <v>1821</v>
      </c>
      <c r="AD24" s="207">
        <f t="shared" si="32"/>
        <v>182.1</v>
      </c>
      <c r="AE24" s="207">
        <f t="shared" si="11"/>
        <v>1821</v>
      </c>
      <c r="AF24" s="207">
        <f t="shared" si="33"/>
        <v>182.1</v>
      </c>
      <c r="AG24" s="207">
        <f t="shared" si="12"/>
        <v>1821</v>
      </c>
      <c r="AH24" s="207">
        <f t="shared" si="34"/>
        <v>182.1</v>
      </c>
      <c r="AI24" s="207">
        <f t="shared" si="13"/>
        <v>1821</v>
      </c>
      <c r="AJ24" s="207">
        <f t="shared" si="35"/>
        <v>182.1</v>
      </c>
      <c r="AK24" s="207">
        <f t="shared" si="14"/>
        <v>1821</v>
      </c>
      <c r="AL24" s="207">
        <f t="shared" si="36"/>
        <v>182.1</v>
      </c>
      <c r="AM24" s="207">
        <f t="shared" si="15"/>
        <v>1821</v>
      </c>
      <c r="AN24" s="35">
        <f t="shared" si="16"/>
        <v>0.65035714285714286</v>
      </c>
      <c r="AO24" s="36">
        <f t="shared" si="17"/>
        <v>12747</v>
      </c>
      <c r="AQ24" s="227">
        <f t="shared" si="37"/>
        <v>0.58770467060133857</v>
      </c>
      <c r="AR24" s="38">
        <f t="shared" si="41"/>
        <v>54638.903225806447</v>
      </c>
      <c r="AS24" s="201">
        <f t="shared" si="38"/>
        <v>-1903.0645161290449</v>
      </c>
      <c r="AT24" s="278"/>
      <c r="AU24" s="452"/>
      <c r="AV24" s="539">
        <f t="shared" si="42"/>
        <v>0.39300000000000002</v>
      </c>
      <c r="AW24" s="300">
        <f>-SUM('B5'!AI23)</f>
        <v>-482</v>
      </c>
      <c r="AX24" s="300">
        <f t="shared" si="39"/>
        <v>-1421.0645161290449</v>
      </c>
      <c r="AY24" s="37">
        <f t="shared" si="40"/>
        <v>-1903.0645161290449</v>
      </c>
      <c r="AZ24" s="101">
        <f>ELEC!A21</f>
        <v>3.04E-2</v>
      </c>
      <c r="BA24" s="119">
        <f>'General information '!D24</f>
        <v>25.5</v>
      </c>
      <c r="BB24" s="407">
        <f>SUM('General information '!E24)</f>
        <v>0.7</v>
      </c>
      <c r="BC24" s="3">
        <f t="shared" si="43"/>
        <v>0</v>
      </c>
      <c r="BD24" s="103">
        <v>19222</v>
      </c>
      <c r="BE24" s="14">
        <f>(305/1185)*ELEC!Q22</f>
        <v>772.15189873417728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173</v>
      </c>
      <c r="C25" s="207">
        <f t="shared" si="18"/>
        <v>3722.2903225806449</v>
      </c>
      <c r="D25">
        <f t="shared" si="19"/>
        <v>173</v>
      </c>
      <c r="E25" s="207">
        <f t="shared" si="18"/>
        <v>3722.2903225806449</v>
      </c>
      <c r="F25">
        <f t="shared" si="20"/>
        <v>173</v>
      </c>
      <c r="G25" s="207">
        <f t="shared" si="1"/>
        <v>3722.2903225806449</v>
      </c>
      <c r="H25" s="207">
        <f t="shared" si="21"/>
        <v>173</v>
      </c>
      <c r="I25" s="207">
        <f t="shared" si="2"/>
        <v>3722.2903225806449</v>
      </c>
      <c r="J25" s="207">
        <f t="shared" si="22"/>
        <v>173</v>
      </c>
      <c r="K25" s="207">
        <f t="shared" si="3"/>
        <v>3722.2903225806449</v>
      </c>
      <c r="L25" s="207">
        <f t="shared" si="23"/>
        <v>173</v>
      </c>
      <c r="M25" s="207">
        <f t="shared" si="4"/>
        <v>3722.2903225806449</v>
      </c>
      <c r="N25" s="207">
        <f t="shared" si="24"/>
        <v>173</v>
      </c>
      <c r="O25" s="207">
        <f t="shared" si="5"/>
        <v>3722.2903225806449</v>
      </c>
      <c r="P25" s="207">
        <f t="shared" si="25"/>
        <v>173</v>
      </c>
      <c r="Q25" s="207">
        <f t="shared" si="6"/>
        <v>3722.2903225806449</v>
      </c>
      <c r="R25" s="207">
        <f t="shared" si="26"/>
        <v>173</v>
      </c>
      <c r="S25" s="207">
        <f t="shared" si="7"/>
        <v>3722.2903225806449</v>
      </c>
      <c r="T25" s="207">
        <f t="shared" si="27"/>
        <v>173</v>
      </c>
      <c r="U25" s="207">
        <f t="shared" si="8"/>
        <v>3722.2903225806449</v>
      </c>
      <c r="V25" s="207">
        <f t="shared" si="28"/>
        <v>173</v>
      </c>
      <c r="W25" s="207">
        <f t="shared" si="9"/>
        <v>3722.2903225806449</v>
      </c>
      <c r="X25" s="35">
        <f t="shared" si="10"/>
        <v>0.55806451612903218</v>
      </c>
      <c r="Y25" s="36">
        <f t="shared" si="29"/>
        <v>40945.193548387091</v>
      </c>
      <c r="Z25" s="207">
        <f>'B5'!C24</f>
        <v>179</v>
      </c>
      <c r="AA25" s="207">
        <f t="shared" si="30"/>
        <v>1790</v>
      </c>
      <c r="AB25" s="207">
        <f t="shared" si="31"/>
        <v>179</v>
      </c>
      <c r="AC25" s="207">
        <f t="shared" si="30"/>
        <v>1790</v>
      </c>
      <c r="AD25" s="207">
        <f t="shared" si="32"/>
        <v>179</v>
      </c>
      <c r="AE25" s="207">
        <f t="shared" si="11"/>
        <v>1790</v>
      </c>
      <c r="AF25" s="207">
        <f t="shared" si="33"/>
        <v>179</v>
      </c>
      <c r="AG25" s="207">
        <f t="shared" si="12"/>
        <v>1790</v>
      </c>
      <c r="AH25" s="207">
        <f t="shared" si="34"/>
        <v>179</v>
      </c>
      <c r="AI25" s="207">
        <f t="shared" si="13"/>
        <v>1790</v>
      </c>
      <c r="AJ25" s="207">
        <f t="shared" si="35"/>
        <v>179</v>
      </c>
      <c r="AK25" s="207">
        <f t="shared" si="14"/>
        <v>1790</v>
      </c>
      <c r="AL25" s="207">
        <f t="shared" si="36"/>
        <v>179</v>
      </c>
      <c r="AM25" s="207">
        <f t="shared" si="15"/>
        <v>1790</v>
      </c>
      <c r="AN25" s="35">
        <f t="shared" si="16"/>
        <v>0.63928571428571423</v>
      </c>
      <c r="AO25" s="36">
        <f t="shared" si="17"/>
        <v>12530</v>
      </c>
      <c r="AQ25" s="227">
        <f t="shared" si="37"/>
        <v>0.57518762556079484</v>
      </c>
      <c r="AR25" s="38">
        <f t="shared" si="41"/>
        <v>53475.193548387091</v>
      </c>
      <c r="AS25" s="201">
        <f t="shared" si="38"/>
        <v>-1163.709677419356</v>
      </c>
      <c r="AT25" s="278"/>
      <c r="AU25" s="452"/>
      <c r="AV25" s="539">
        <f t="shared" si="42"/>
        <v>0.39300000000000002</v>
      </c>
      <c r="AW25" s="300">
        <f>-SUM('B5'!AI24)</f>
        <v>-279</v>
      </c>
      <c r="AX25" s="300">
        <f t="shared" si="39"/>
        <v>-884.70967741935601</v>
      </c>
      <c r="AY25" s="37">
        <f t="shared" si="40"/>
        <v>-1163.709677419356</v>
      </c>
      <c r="AZ25" s="101">
        <f>ELEC!A22</f>
        <v>2.1700000000000001E-2</v>
      </c>
      <c r="BA25" s="119">
        <f>'General information '!D25</f>
        <v>24.5</v>
      </c>
      <c r="BB25" s="407">
        <f>SUM('General information '!E25)</f>
        <v>0.65</v>
      </c>
      <c r="BC25" s="3">
        <f t="shared" si="43"/>
        <v>0</v>
      </c>
      <c r="BD25" s="103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169</v>
      </c>
      <c r="C26" s="207">
        <f t="shared" si="18"/>
        <v>3636.2258064516127</v>
      </c>
      <c r="D26">
        <f t="shared" si="19"/>
        <v>169</v>
      </c>
      <c r="E26" s="207">
        <f t="shared" si="18"/>
        <v>3636.2258064516127</v>
      </c>
      <c r="F26">
        <f t="shared" si="20"/>
        <v>169</v>
      </c>
      <c r="G26" s="207">
        <f t="shared" si="1"/>
        <v>3636.2258064516127</v>
      </c>
      <c r="H26" s="207">
        <f t="shared" si="21"/>
        <v>169</v>
      </c>
      <c r="I26" s="207">
        <f t="shared" si="2"/>
        <v>3636.2258064516127</v>
      </c>
      <c r="J26" s="207">
        <f t="shared" si="22"/>
        <v>169</v>
      </c>
      <c r="K26" s="207">
        <f t="shared" si="3"/>
        <v>3636.2258064516127</v>
      </c>
      <c r="L26" s="207">
        <f t="shared" si="23"/>
        <v>169</v>
      </c>
      <c r="M26" s="207">
        <f t="shared" si="4"/>
        <v>3636.2258064516127</v>
      </c>
      <c r="N26" s="207">
        <f t="shared" si="24"/>
        <v>169</v>
      </c>
      <c r="O26" s="207">
        <f t="shared" si="5"/>
        <v>3636.2258064516127</v>
      </c>
      <c r="P26" s="207">
        <f t="shared" si="25"/>
        <v>169</v>
      </c>
      <c r="Q26" s="207">
        <f t="shared" si="6"/>
        <v>3636.2258064516127</v>
      </c>
      <c r="R26" s="207">
        <f t="shared" si="26"/>
        <v>169</v>
      </c>
      <c r="S26" s="207">
        <f t="shared" si="7"/>
        <v>3636.2258064516127</v>
      </c>
      <c r="T26" s="207">
        <f t="shared" si="27"/>
        <v>169</v>
      </c>
      <c r="U26" s="207">
        <f t="shared" si="8"/>
        <v>3636.2258064516127</v>
      </c>
      <c r="V26" s="207">
        <f t="shared" si="28"/>
        <v>169</v>
      </c>
      <c r="W26" s="207">
        <f t="shared" si="9"/>
        <v>3636.2258064516127</v>
      </c>
      <c r="X26" s="35">
        <f t="shared" si="10"/>
        <v>0.54516129032258065</v>
      </c>
      <c r="Y26" s="36">
        <f t="shared" si="29"/>
        <v>39998.483870967742</v>
      </c>
      <c r="Z26" s="207">
        <f>'B5'!C25</f>
        <v>175.2</v>
      </c>
      <c r="AA26" s="207">
        <f t="shared" si="30"/>
        <v>1752</v>
      </c>
      <c r="AB26" s="207">
        <f t="shared" si="31"/>
        <v>175.2</v>
      </c>
      <c r="AC26" s="207">
        <f t="shared" si="30"/>
        <v>1752</v>
      </c>
      <c r="AD26" s="207">
        <f t="shared" si="32"/>
        <v>175.2</v>
      </c>
      <c r="AE26" s="207">
        <f t="shared" si="11"/>
        <v>1752</v>
      </c>
      <c r="AF26" s="207">
        <f t="shared" si="33"/>
        <v>175.2</v>
      </c>
      <c r="AG26" s="207">
        <f t="shared" si="12"/>
        <v>1752</v>
      </c>
      <c r="AH26" s="207">
        <f t="shared" si="34"/>
        <v>175.2</v>
      </c>
      <c r="AI26" s="207">
        <f t="shared" si="13"/>
        <v>1752</v>
      </c>
      <c r="AJ26" s="207">
        <f t="shared" si="35"/>
        <v>175.2</v>
      </c>
      <c r="AK26" s="207">
        <f t="shared" si="14"/>
        <v>1752</v>
      </c>
      <c r="AL26" s="207">
        <f t="shared" si="36"/>
        <v>175.2</v>
      </c>
      <c r="AM26" s="207">
        <f t="shared" si="15"/>
        <v>1752</v>
      </c>
      <c r="AN26" s="35">
        <f t="shared" si="16"/>
        <v>0.62571428571428567</v>
      </c>
      <c r="AO26" s="36">
        <f t="shared" si="17"/>
        <v>12264</v>
      </c>
      <c r="AQ26" s="227">
        <f t="shared" si="37"/>
        <v>0.56214352878313156</v>
      </c>
      <c r="AR26" s="38">
        <f t="shared" si="41"/>
        <v>52262.483870967742</v>
      </c>
      <c r="AS26" s="201">
        <f t="shared" si="38"/>
        <v>-1212.7096774193487</v>
      </c>
      <c r="AT26" s="278"/>
      <c r="AU26" s="452"/>
      <c r="AV26" s="539">
        <f t="shared" si="42"/>
        <v>0.39300000000000002</v>
      </c>
      <c r="AW26" s="300">
        <f>-SUM('B5'!AI25)</f>
        <v>-382</v>
      </c>
      <c r="AX26" s="300">
        <f t="shared" si="39"/>
        <v>-830.70967741934874</v>
      </c>
      <c r="AY26" s="37">
        <f t="shared" si="40"/>
        <v>-1212.7096774193487</v>
      </c>
      <c r="AZ26" s="101">
        <f>ELEC!A23</f>
        <v>8.6999999999999994E-3</v>
      </c>
      <c r="BA26" s="119">
        <f>'General information '!D26</f>
        <v>25</v>
      </c>
      <c r="BB26" s="407">
        <f>SUM('General information '!E26)</f>
        <v>0.65</v>
      </c>
      <c r="BC26" s="3">
        <f t="shared" si="43"/>
        <v>0</v>
      </c>
      <c r="BD26" s="103">
        <v>19222</v>
      </c>
      <c r="BE26" s="14">
        <f>(305/1185)*ELEC!Q24</f>
        <v>1029.535864978903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162.5</v>
      </c>
      <c r="C27" s="207">
        <f t="shared" si="18"/>
        <v>3496.3709677419356</v>
      </c>
      <c r="D27">
        <f t="shared" si="19"/>
        <v>162.5</v>
      </c>
      <c r="E27" s="207">
        <f t="shared" si="18"/>
        <v>3496.3709677419356</v>
      </c>
      <c r="F27">
        <f t="shared" si="20"/>
        <v>162.5</v>
      </c>
      <c r="G27" s="207">
        <f t="shared" si="1"/>
        <v>3496.3709677419356</v>
      </c>
      <c r="H27" s="207">
        <f t="shared" si="21"/>
        <v>162.5</v>
      </c>
      <c r="I27" s="207">
        <f t="shared" si="2"/>
        <v>3496.3709677419356</v>
      </c>
      <c r="J27" s="207">
        <f t="shared" si="22"/>
        <v>162.5</v>
      </c>
      <c r="K27" s="207">
        <f t="shared" si="3"/>
        <v>3496.3709677419356</v>
      </c>
      <c r="L27" s="207">
        <f t="shared" si="23"/>
        <v>162.5</v>
      </c>
      <c r="M27" s="207">
        <f t="shared" si="4"/>
        <v>3496.3709677419356</v>
      </c>
      <c r="N27" s="207">
        <f t="shared" si="24"/>
        <v>162.5</v>
      </c>
      <c r="O27" s="207">
        <f t="shared" si="5"/>
        <v>3496.3709677419356</v>
      </c>
      <c r="P27" s="207">
        <f t="shared" si="25"/>
        <v>162.5</v>
      </c>
      <c r="Q27" s="207">
        <f t="shared" si="6"/>
        <v>3496.3709677419356</v>
      </c>
      <c r="R27" s="207">
        <f t="shared" si="26"/>
        <v>162.5</v>
      </c>
      <c r="S27" s="207">
        <f t="shared" si="7"/>
        <v>3496.3709677419356</v>
      </c>
      <c r="T27" s="207">
        <f t="shared" si="27"/>
        <v>162.5</v>
      </c>
      <c r="U27" s="207">
        <f t="shared" si="8"/>
        <v>3496.3709677419356</v>
      </c>
      <c r="V27" s="207">
        <f t="shared" si="28"/>
        <v>162.5</v>
      </c>
      <c r="W27" s="207">
        <f t="shared" si="9"/>
        <v>3496.3709677419356</v>
      </c>
      <c r="X27" s="35">
        <f t="shared" si="10"/>
        <v>0.52419354838709675</v>
      </c>
      <c r="Y27" s="36">
        <f t="shared" si="29"/>
        <v>38460.080645161288</v>
      </c>
      <c r="Z27" s="207">
        <f>'B5'!C26</f>
        <v>169</v>
      </c>
      <c r="AA27" s="207">
        <f t="shared" si="30"/>
        <v>1690</v>
      </c>
      <c r="AB27" s="207">
        <f t="shared" si="31"/>
        <v>169</v>
      </c>
      <c r="AC27" s="207">
        <f t="shared" si="30"/>
        <v>1690</v>
      </c>
      <c r="AD27" s="207">
        <f t="shared" si="32"/>
        <v>169</v>
      </c>
      <c r="AE27" s="207">
        <f t="shared" si="11"/>
        <v>1690</v>
      </c>
      <c r="AF27" s="207">
        <f t="shared" si="33"/>
        <v>169</v>
      </c>
      <c r="AG27" s="207">
        <f t="shared" si="12"/>
        <v>1690</v>
      </c>
      <c r="AH27" s="207">
        <f t="shared" si="34"/>
        <v>169</v>
      </c>
      <c r="AI27" s="207">
        <f t="shared" si="13"/>
        <v>1690</v>
      </c>
      <c r="AJ27" s="207">
        <f t="shared" si="35"/>
        <v>169</v>
      </c>
      <c r="AK27" s="207">
        <f t="shared" si="14"/>
        <v>1690</v>
      </c>
      <c r="AL27" s="207">
        <f t="shared" si="36"/>
        <v>169</v>
      </c>
      <c r="AM27" s="207">
        <f t="shared" si="15"/>
        <v>1690</v>
      </c>
      <c r="AN27" s="35">
        <f t="shared" si="16"/>
        <v>0.60357142857142854</v>
      </c>
      <c r="AO27" s="36">
        <f t="shared" si="17"/>
        <v>11830</v>
      </c>
      <c r="AQ27" s="227">
        <f t="shared" si="37"/>
        <v>0.54092804824310303</v>
      </c>
      <c r="AR27" s="38">
        <f t="shared" si="41"/>
        <v>50290.080645161288</v>
      </c>
      <c r="AS27" s="201">
        <f t="shared" si="38"/>
        <v>-1972.4032258064544</v>
      </c>
      <c r="AT27" s="278"/>
      <c r="AU27" s="452"/>
      <c r="AV27" s="539">
        <f t="shared" si="42"/>
        <v>0.39300000000000002</v>
      </c>
      <c r="AW27" s="300">
        <f>-SUM('B5'!AI26)</f>
        <v>-449</v>
      </c>
      <c r="AX27" s="300">
        <f t="shared" si="39"/>
        <v>-1523.4032258064544</v>
      </c>
      <c r="AY27" s="37">
        <f t="shared" si="40"/>
        <v>-1972.4032258064544</v>
      </c>
      <c r="AZ27" s="101">
        <f>ELEC!A24</f>
        <v>2.6100000000000002E-2</v>
      </c>
      <c r="BA27" s="119">
        <f>'General information '!D27</f>
        <v>25.5</v>
      </c>
      <c r="BB27" s="407">
        <f>SUM('General information '!E27)</f>
        <v>0.7</v>
      </c>
      <c r="BC27" s="3">
        <f t="shared" si="43"/>
        <v>0</v>
      </c>
      <c r="BD27" s="103">
        <v>19222</v>
      </c>
      <c r="BE27" s="14">
        <f>(305/1185)*ELEC!Q25</f>
        <v>1029.535864978903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157</v>
      </c>
      <c r="C28" s="207">
        <f t="shared" si="18"/>
        <v>3378.0322580645161</v>
      </c>
      <c r="D28">
        <f t="shared" si="19"/>
        <v>157</v>
      </c>
      <c r="E28" s="207">
        <f t="shared" si="18"/>
        <v>3378.0322580645161</v>
      </c>
      <c r="F28">
        <f t="shared" si="20"/>
        <v>157</v>
      </c>
      <c r="G28" s="207">
        <f t="shared" si="1"/>
        <v>3378.0322580645161</v>
      </c>
      <c r="H28" s="207">
        <f t="shared" si="21"/>
        <v>157</v>
      </c>
      <c r="I28" s="207">
        <f t="shared" si="2"/>
        <v>3378.0322580645161</v>
      </c>
      <c r="J28" s="207">
        <f t="shared" si="22"/>
        <v>157</v>
      </c>
      <c r="K28" s="207">
        <f t="shared" si="3"/>
        <v>3378.0322580645161</v>
      </c>
      <c r="L28" s="207">
        <f t="shared" si="23"/>
        <v>157</v>
      </c>
      <c r="M28" s="207">
        <f t="shared" si="4"/>
        <v>3378.0322580645161</v>
      </c>
      <c r="N28" s="207">
        <f t="shared" si="24"/>
        <v>157</v>
      </c>
      <c r="O28" s="207">
        <f t="shared" si="5"/>
        <v>3378.0322580645161</v>
      </c>
      <c r="P28" s="207">
        <f t="shared" si="25"/>
        <v>157</v>
      </c>
      <c r="Q28" s="207">
        <f t="shared" si="6"/>
        <v>3378.0322580645161</v>
      </c>
      <c r="R28" s="207">
        <f t="shared" si="26"/>
        <v>157</v>
      </c>
      <c r="S28" s="207">
        <f t="shared" si="7"/>
        <v>3378.0322580645161</v>
      </c>
      <c r="T28" s="207">
        <f t="shared" si="27"/>
        <v>157</v>
      </c>
      <c r="U28" s="207">
        <f t="shared" si="8"/>
        <v>3378.0322580645161</v>
      </c>
      <c r="V28" s="207">
        <f t="shared" si="28"/>
        <v>157</v>
      </c>
      <c r="W28" s="207">
        <f t="shared" si="9"/>
        <v>3378.0322580645161</v>
      </c>
      <c r="X28" s="35">
        <f t="shared" si="10"/>
        <v>0.50645161290322571</v>
      </c>
      <c r="Y28" s="36">
        <f t="shared" si="29"/>
        <v>37158.354838709674</v>
      </c>
      <c r="Z28" s="207">
        <f>'B5'!C27</f>
        <v>164</v>
      </c>
      <c r="AA28" s="207">
        <f t="shared" si="30"/>
        <v>1640</v>
      </c>
      <c r="AB28" s="207">
        <f t="shared" si="31"/>
        <v>164</v>
      </c>
      <c r="AC28" s="207">
        <f t="shared" si="30"/>
        <v>1640</v>
      </c>
      <c r="AD28" s="207">
        <f t="shared" si="32"/>
        <v>164</v>
      </c>
      <c r="AE28" s="207">
        <f t="shared" si="11"/>
        <v>1640</v>
      </c>
      <c r="AF28" s="207">
        <f t="shared" si="33"/>
        <v>164</v>
      </c>
      <c r="AG28" s="207">
        <f t="shared" si="12"/>
        <v>1640</v>
      </c>
      <c r="AH28" s="207">
        <f t="shared" si="34"/>
        <v>164</v>
      </c>
      <c r="AI28" s="207">
        <f t="shared" si="13"/>
        <v>1640</v>
      </c>
      <c r="AJ28" s="207">
        <f t="shared" si="35"/>
        <v>164</v>
      </c>
      <c r="AK28" s="207">
        <f t="shared" si="14"/>
        <v>1640</v>
      </c>
      <c r="AL28" s="207">
        <f t="shared" si="36"/>
        <v>164</v>
      </c>
      <c r="AM28" s="207">
        <f t="shared" si="15"/>
        <v>1640</v>
      </c>
      <c r="AN28" s="35">
        <f t="shared" si="16"/>
        <v>0.58571428571428574</v>
      </c>
      <c r="AO28" s="36">
        <f t="shared" si="17"/>
        <v>11480</v>
      </c>
      <c r="AQ28" s="227">
        <f t="shared" si="37"/>
        <v>0.52316182466074723</v>
      </c>
      <c r="AR28" s="38">
        <f t="shared" si="41"/>
        <v>48638.354838709674</v>
      </c>
      <c r="AS28" s="201">
        <f t="shared" si="38"/>
        <v>-1651.7258064516136</v>
      </c>
      <c r="AT28" s="368"/>
      <c r="AU28" s="452"/>
      <c r="AV28" s="539">
        <f t="shared" si="42"/>
        <v>0.39300000000000002</v>
      </c>
      <c r="AW28" s="300">
        <f>-SUM('B5'!AI27)</f>
        <v>-318</v>
      </c>
      <c r="AX28" s="300">
        <f t="shared" si="39"/>
        <v>-1333.7258064516136</v>
      </c>
      <c r="AY28" s="37">
        <f t="shared" si="40"/>
        <v>-1651.7258064516136</v>
      </c>
      <c r="AZ28" s="101">
        <f>ELEC!A25</f>
        <v>1.7399999999999999E-2</v>
      </c>
      <c r="BA28" s="119">
        <f>'General information '!D28</f>
        <v>25</v>
      </c>
      <c r="BB28" s="407">
        <f>SUM('General information '!E28)</f>
        <v>0.65</v>
      </c>
      <c r="BC28" s="3">
        <f t="shared" si="43"/>
        <v>0</v>
      </c>
      <c r="BD28" s="103">
        <v>19222</v>
      </c>
      <c r="BE28" s="14">
        <f>(305/1185)*ELEC!Q26</f>
        <v>1029.535864978903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150.19999999999999</v>
      </c>
      <c r="C29" s="207">
        <f t="shared" si="18"/>
        <v>3231.7225806451611</v>
      </c>
      <c r="D29">
        <f t="shared" si="19"/>
        <v>150.19999999999999</v>
      </c>
      <c r="E29" s="207">
        <f t="shared" si="18"/>
        <v>3231.7225806451611</v>
      </c>
      <c r="F29">
        <f t="shared" si="20"/>
        <v>150.19999999999999</v>
      </c>
      <c r="G29" s="207">
        <f t="shared" si="1"/>
        <v>3231.7225806451611</v>
      </c>
      <c r="H29" s="207">
        <f t="shared" si="21"/>
        <v>150.19999999999999</v>
      </c>
      <c r="I29" s="207">
        <f t="shared" si="2"/>
        <v>3231.7225806451611</v>
      </c>
      <c r="J29" s="207">
        <f t="shared" si="22"/>
        <v>150.19999999999999</v>
      </c>
      <c r="K29" s="207">
        <f t="shared" si="3"/>
        <v>3231.7225806451611</v>
      </c>
      <c r="L29" s="207">
        <f t="shared" si="23"/>
        <v>150.19999999999999</v>
      </c>
      <c r="M29" s="207">
        <f t="shared" si="4"/>
        <v>3231.7225806451611</v>
      </c>
      <c r="N29" s="207">
        <f t="shared" si="24"/>
        <v>150.19999999999999</v>
      </c>
      <c r="O29" s="207">
        <f t="shared" si="5"/>
        <v>3231.7225806451611</v>
      </c>
      <c r="P29" s="207">
        <f t="shared" si="25"/>
        <v>150.19999999999999</v>
      </c>
      <c r="Q29" s="207">
        <f t="shared" si="6"/>
        <v>3231.7225806451611</v>
      </c>
      <c r="R29" s="207">
        <f t="shared" si="26"/>
        <v>150.19999999999999</v>
      </c>
      <c r="S29" s="207">
        <f t="shared" si="7"/>
        <v>3231.7225806451611</v>
      </c>
      <c r="T29" s="207">
        <f t="shared" si="27"/>
        <v>150.19999999999999</v>
      </c>
      <c r="U29" s="207">
        <f t="shared" si="8"/>
        <v>3231.7225806451611</v>
      </c>
      <c r="V29" s="207">
        <f t="shared" si="28"/>
        <v>150.19999999999999</v>
      </c>
      <c r="W29" s="207">
        <f t="shared" si="9"/>
        <v>3231.7225806451611</v>
      </c>
      <c r="X29" s="35">
        <f t="shared" si="10"/>
        <v>0.48451612903225805</v>
      </c>
      <c r="Y29" s="36">
        <f t="shared" si="29"/>
        <v>35548.948387096774</v>
      </c>
      <c r="Z29" s="207">
        <f>'B5'!C28</f>
        <v>157</v>
      </c>
      <c r="AA29" s="207">
        <f t="shared" si="30"/>
        <v>1570</v>
      </c>
      <c r="AB29" s="207">
        <f t="shared" si="31"/>
        <v>157</v>
      </c>
      <c r="AC29" s="207">
        <f t="shared" si="30"/>
        <v>1570</v>
      </c>
      <c r="AD29" s="207">
        <f t="shared" si="32"/>
        <v>157</v>
      </c>
      <c r="AE29" s="207">
        <f t="shared" si="11"/>
        <v>1570</v>
      </c>
      <c r="AF29" s="207">
        <f t="shared" si="33"/>
        <v>157</v>
      </c>
      <c r="AG29" s="207">
        <f t="shared" si="12"/>
        <v>1570</v>
      </c>
      <c r="AH29" s="207">
        <f t="shared" si="34"/>
        <v>157</v>
      </c>
      <c r="AI29" s="207">
        <f t="shared" si="13"/>
        <v>1570</v>
      </c>
      <c r="AJ29" s="207">
        <f t="shared" si="35"/>
        <v>157</v>
      </c>
      <c r="AK29" s="207">
        <f t="shared" si="14"/>
        <v>1570</v>
      </c>
      <c r="AL29" s="207">
        <f t="shared" si="36"/>
        <v>157</v>
      </c>
      <c r="AM29" s="207">
        <f t="shared" si="15"/>
        <v>1570</v>
      </c>
      <c r="AN29" s="35">
        <f t="shared" si="16"/>
        <v>0.56071428571428572</v>
      </c>
      <c r="AO29" s="36">
        <f t="shared" si="17"/>
        <v>10990</v>
      </c>
      <c r="AQ29" s="227">
        <f t="shared" si="37"/>
        <v>0.5005802773700847</v>
      </c>
      <c r="AR29" s="38">
        <f t="shared" si="41"/>
        <v>46538.948387096774</v>
      </c>
      <c r="AS29" s="201">
        <f t="shared" si="38"/>
        <v>-2099.4064516129001</v>
      </c>
      <c r="AT29" s="368"/>
      <c r="AU29" s="452"/>
      <c r="AV29" s="539">
        <f t="shared" si="42"/>
        <v>0.39300000000000002</v>
      </c>
      <c r="AW29" s="300">
        <f>-SUM('B5'!AI28)</f>
        <v>-434</v>
      </c>
      <c r="AX29" s="300">
        <f>-SUM(AW29-AS29)</f>
        <v>-1665.4064516129001</v>
      </c>
      <c r="AY29" s="37">
        <f t="shared" si="40"/>
        <v>-2099.4064516129001</v>
      </c>
      <c r="AZ29" s="101">
        <f>ELEC!A26</f>
        <v>1.2999999999999999E-2</v>
      </c>
      <c r="BA29" s="119">
        <f>'General information '!D29</f>
        <v>25</v>
      </c>
      <c r="BB29" s="407">
        <f>SUM('General information '!E29)</f>
        <v>0.65</v>
      </c>
      <c r="BC29" s="3">
        <f t="shared" si="43"/>
        <v>0</v>
      </c>
      <c r="BD29" s="103">
        <v>19222</v>
      </c>
      <c r="BE29" s="14">
        <f>(305/1185)*ELEC!Q27</f>
        <v>1029.535864978903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186</v>
      </c>
      <c r="C30" s="207">
        <f t="shared" si="18"/>
        <v>4002</v>
      </c>
      <c r="D30">
        <f t="shared" ref="D30:D35" si="44">SUM(B30)</f>
        <v>186</v>
      </c>
      <c r="E30" s="207">
        <f t="shared" si="18"/>
        <v>4002</v>
      </c>
      <c r="F30">
        <f t="shared" ref="F30:F35" si="45">SUM(D30)</f>
        <v>186</v>
      </c>
      <c r="G30" s="207">
        <f t="shared" si="1"/>
        <v>4002</v>
      </c>
      <c r="H30" s="207">
        <f t="shared" ref="H30:H35" si="46">SUM(F30)</f>
        <v>186</v>
      </c>
      <c r="I30" s="207">
        <f t="shared" si="2"/>
        <v>4002</v>
      </c>
      <c r="J30" s="207">
        <f t="shared" ref="J30:J35" si="47">SUM(H30)</f>
        <v>186</v>
      </c>
      <c r="K30" s="207">
        <f t="shared" si="3"/>
        <v>4002</v>
      </c>
      <c r="L30" s="207">
        <f t="shared" ref="L30:L35" si="48">SUM(J30)</f>
        <v>186</v>
      </c>
      <c r="M30" s="207">
        <f t="shared" si="4"/>
        <v>4002</v>
      </c>
      <c r="N30" s="207">
        <f t="shared" ref="N30:N35" si="49">SUM(L30)</f>
        <v>186</v>
      </c>
      <c r="O30" s="207">
        <f t="shared" si="5"/>
        <v>4002</v>
      </c>
      <c r="P30" s="207">
        <f t="shared" ref="P30:P35" si="50">SUM(N30)</f>
        <v>186</v>
      </c>
      <c r="Q30" s="207">
        <f t="shared" si="6"/>
        <v>4002</v>
      </c>
      <c r="R30" s="207">
        <f t="shared" ref="R30:R35" si="51">SUM(P30)</f>
        <v>186</v>
      </c>
      <c r="S30" s="207">
        <f t="shared" si="7"/>
        <v>4002</v>
      </c>
      <c r="T30" s="207">
        <f t="shared" ref="T30:T35" si="52">SUM(R30)</f>
        <v>186</v>
      </c>
      <c r="U30" s="207">
        <f t="shared" si="8"/>
        <v>4002</v>
      </c>
      <c r="V30" s="207">
        <f t="shared" ref="V30:V35" si="53">SUM(T30)</f>
        <v>186</v>
      </c>
      <c r="W30" s="207">
        <f t="shared" si="9"/>
        <v>4002</v>
      </c>
      <c r="X30" s="35">
        <f t="shared" ref="X30:X35" si="54">SUM(Y30/73370)</f>
        <v>0.6</v>
      </c>
      <c r="Y30" s="36">
        <f t="shared" ref="Y30:Y35" si="55">SUM(C30+E30+G30+I30+K30+M30+O30+Q30+S30+U30+W30)</f>
        <v>44022</v>
      </c>
      <c r="Z30" s="207">
        <f>'B5'!C29</f>
        <v>191</v>
      </c>
      <c r="AA30" s="207">
        <f t="shared" si="30"/>
        <v>1910</v>
      </c>
      <c r="AB30" s="207">
        <f t="shared" ref="AB30:AB35" si="56">SUM(Z30)</f>
        <v>191</v>
      </c>
      <c r="AC30" s="207">
        <f t="shared" si="30"/>
        <v>1910</v>
      </c>
      <c r="AD30" s="207">
        <f t="shared" ref="AD30:AD35" si="57">SUM(AB30)</f>
        <v>191</v>
      </c>
      <c r="AE30" s="207">
        <f t="shared" si="11"/>
        <v>1910</v>
      </c>
      <c r="AF30" s="207">
        <f t="shared" ref="AF30:AF35" si="58">SUM(AD30)</f>
        <v>191</v>
      </c>
      <c r="AG30" s="207">
        <f t="shared" si="12"/>
        <v>1910</v>
      </c>
      <c r="AH30" s="207">
        <f t="shared" ref="AH30:AH35" si="59">SUM(AF30)</f>
        <v>191</v>
      </c>
      <c r="AI30" s="207">
        <f t="shared" si="13"/>
        <v>1910</v>
      </c>
      <c r="AJ30" s="207">
        <f t="shared" ref="AJ30:AJ35" si="60">SUM(AH30)</f>
        <v>191</v>
      </c>
      <c r="AK30" s="207">
        <f t="shared" si="14"/>
        <v>1910</v>
      </c>
      <c r="AL30" s="207">
        <f t="shared" ref="AL30:AL35" si="61">SUM(AJ30)</f>
        <v>191</v>
      </c>
      <c r="AM30" s="207">
        <f t="shared" si="15"/>
        <v>1910</v>
      </c>
      <c r="AN30" s="35">
        <f t="shared" ref="AN30:AN35" si="62">SUM(AO30/19600)</f>
        <v>0.68214285714285716</v>
      </c>
      <c r="AO30" s="36">
        <f t="shared" ref="AO30:AO35" si="63">SUM(AA30+AC30+AE30+AG30+AI30+AK30+AM30)</f>
        <v>13370</v>
      </c>
      <c r="AQ30" s="227">
        <f t="shared" si="37"/>
        <v>0.6173174142196407</v>
      </c>
      <c r="AR30" s="38">
        <f t="shared" si="41"/>
        <v>57392</v>
      </c>
      <c r="AS30" s="201">
        <f t="shared" si="38"/>
        <v>5.0516129032257595</v>
      </c>
      <c r="AT30" s="368">
        <v>10848</v>
      </c>
      <c r="AU30" s="452">
        <v>0.4128</v>
      </c>
      <c r="AV30" s="539">
        <f t="shared" si="42"/>
        <v>0.4128</v>
      </c>
      <c r="AW30" s="300">
        <f>-SUM('B5'!AI29)</f>
        <v>-603</v>
      </c>
      <c r="AX30" s="300">
        <f>-SUM(AW30-AS30)</f>
        <v>608.05161290322576</v>
      </c>
      <c r="AY30" s="37">
        <f t="shared" si="40"/>
        <v>5.0516129032257595</v>
      </c>
      <c r="AZ30" s="101">
        <f>ELEC!A27</f>
        <v>1.7399999999999999E-2</v>
      </c>
      <c r="BA30" s="119">
        <f>'General information '!D30</f>
        <v>30</v>
      </c>
      <c r="BB30" s="407">
        <f>SUM('General information '!E30)</f>
        <v>0.69</v>
      </c>
      <c r="BC30" s="3">
        <f t="shared" si="43"/>
        <v>1</v>
      </c>
      <c r="BD30" s="103">
        <v>19222</v>
      </c>
      <c r="BE30" s="14">
        <f>(305/1185)*ELEC!Q28</f>
        <v>1286.9198312236288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176</v>
      </c>
      <c r="C31" s="207">
        <f t="shared" si="18"/>
        <v>3786.8387096774195</v>
      </c>
      <c r="D31">
        <f t="shared" si="44"/>
        <v>176</v>
      </c>
      <c r="E31" s="207">
        <f t="shared" si="18"/>
        <v>3786.8387096774195</v>
      </c>
      <c r="F31">
        <f t="shared" si="45"/>
        <v>176</v>
      </c>
      <c r="G31" s="207">
        <f t="shared" si="1"/>
        <v>3786.8387096774195</v>
      </c>
      <c r="H31" s="207">
        <f t="shared" si="46"/>
        <v>176</v>
      </c>
      <c r="I31" s="207">
        <f t="shared" si="2"/>
        <v>3786.8387096774195</v>
      </c>
      <c r="J31" s="207">
        <f t="shared" si="47"/>
        <v>176</v>
      </c>
      <c r="K31" s="207">
        <f t="shared" si="3"/>
        <v>3786.8387096774195</v>
      </c>
      <c r="L31" s="207">
        <f t="shared" si="48"/>
        <v>176</v>
      </c>
      <c r="M31" s="207">
        <f t="shared" si="4"/>
        <v>3786.8387096774195</v>
      </c>
      <c r="N31" s="207">
        <f t="shared" si="49"/>
        <v>176</v>
      </c>
      <c r="O31" s="207">
        <f t="shared" si="5"/>
        <v>3786.8387096774195</v>
      </c>
      <c r="P31" s="207">
        <f t="shared" si="50"/>
        <v>176</v>
      </c>
      <c r="Q31" s="207">
        <f t="shared" si="6"/>
        <v>3786.8387096774195</v>
      </c>
      <c r="R31" s="207">
        <f t="shared" si="51"/>
        <v>176</v>
      </c>
      <c r="S31" s="207">
        <f t="shared" si="7"/>
        <v>3786.8387096774195</v>
      </c>
      <c r="T31" s="207">
        <f t="shared" si="52"/>
        <v>176</v>
      </c>
      <c r="U31" s="207">
        <f t="shared" si="8"/>
        <v>3786.8387096774195</v>
      </c>
      <c r="V31" s="207">
        <f t="shared" si="53"/>
        <v>176</v>
      </c>
      <c r="W31" s="207">
        <f t="shared" si="9"/>
        <v>3786.8387096774195</v>
      </c>
      <c r="X31" s="35">
        <f t="shared" si="54"/>
        <v>0.56774193548387097</v>
      </c>
      <c r="Y31" s="36">
        <f t="shared" si="55"/>
        <v>41655.225806451614</v>
      </c>
      <c r="Z31" s="207">
        <f>'B5'!C30</f>
        <v>185</v>
      </c>
      <c r="AA31" s="207">
        <f t="shared" si="30"/>
        <v>1850</v>
      </c>
      <c r="AB31" s="207">
        <f t="shared" si="56"/>
        <v>185</v>
      </c>
      <c r="AC31" s="207">
        <f t="shared" si="30"/>
        <v>1850</v>
      </c>
      <c r="AD31" s="207">
        <f t="shared" si="57"/>
        <v>185</v>
      </c>
      <c r="AE31" s="207">
        <f t="shared" si="11"/>
        <v>1850</v>
      </c>
      <c r="AF31" s="207">
        <f t="shared" si="58"/>
        <v>185</v>
      </c>
      <c r="AG31" s="207">
        <f t="shared" si="12"/>
        <v>1850</v>
      </c>
      <c r="AH31" s="207">
        <f t="shared" si="59"/>
        <v>185</v>
      </c>
      <c r="AI31" s="207">
        <f t="shared" si="13"/>
        <v>1850</v>
      </c>
      <c r="AJ31" s="207">
        <f t="shared" si="60"/>
        <v>185</v>
      </c>
      <c r="AK31" s="207">
        <f t="shared" si="14"/>
        <v>1850</v>
      </c>
      <c r="AL31" s="207">
        <f t="shared" si="61"/>
        <v>185</v>
      </c>
      <c r="AM31" s="207">
        <f t="shared" si="15"/>
        <v>1850</v>
      </c>
      <c r="AN31" s="35">
        <f t="shared" si="62"/>
        <v>0.6607142857142857</v>
      </c>
      <c r="AO31" s="36">
        <f t="shared" si="63"/>
        <v>12950</v>
      </c>
      <c r="AQ31" s="227">
        <f t="shared" si="37"/>
        <v>0.58734243096108008</v>
      </c>
      <c r="AR31" s="38">
        <f t="shared" si="41"/>
        <v>54605.225806451614</v>
      </c>
      <c r="AS31" s="201">
        <f>SUM(AR31-AR30-AT31)</f>
        <v>-2786.7741935483864</v>
      </c>
      <c r="AT31" s="368"/>
      <c r="AU31" s="452"/>
      <c r="AV31" s="539">
        <f t="shared" si="42"/>
        <v>0.4128</v>
      </c>
      <c r="AW31" s="300">
        <f>-SUM('B5'!AI30)</f>
        <v>-341</v>
      </c>
      <c r="AX31" s="300">
        <f t="shared" si="39"/>
        <v>-2445.7741935483864</v>
      </c>
      <c r="AY31" s="37">
        <f t="shared" si="40"/>
        <v>-2786.7741935483864</v>
      </c>
      <c r="AZ31" s="101">
        <f>ELEC!A28</f>
        <v>1.2999999999999999E-2</v>
      </c>
      <c r="BA31" s="119">
        <f>'General information '!D31</f>
        <v>26</v>
      </c>
      <c r="BB31" s="407">
        <f>SUM('General information '!E31)</f>
        <v>0.66</v>
      </c>
      <c r="BC31" s="3">
        <f t="shared" si="43"/>
        <v>0</v>
      </c>
      <c r="BD31" s="103">
        <v>19222</v>
      </c>
      <c r="BE31" s="14">
        <f>(305/1185)*ELEC!Q29</f>
        <v>1286.9198312236288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171.4</v>
      </c>
      <c r="C32" s="207">
        <f t="shared" si="18"/>
        <v>3687.8645161290324</v>
      </c>
      <c r="D32">
        <f t="shared" si="44"/>
        <v>171.4</v>
      </c>
      <c r="E32" s="207">
        <f t="shared" si="18"/>
        <v>3687.8645161290324</v>
      </c>
      <c r="F32">
        <f t="shared" si="45"/>
        <v>171.4</v>
      </c>
      <c r="G32" s="207">
        <f t="shared" si="1"/>
        <v>3687.8645161290324</v>
      </c>
      <c r="H32" s="207">
        <f t="shared" si="46"/>
        <v>171.4</v>
      </c>
      <c r="I32" s="207">
        <f t="shared" si="2"/>
        <v>3687.8645161290324</v>
      </c>
      <c r="J32" s="207">
        <f t="shared" si="47"/>
        <v>171.4</v>
      </c>
      <c r="K32" s="207">
        <f t="shared" si="3"/>
        <v>3687.8645161290324</v>
      </c>
      <c r="L32" s="207">
        <f t="shared" si="48"/>
        <v>171.4</v>
      </c>
      <c r="M32" s="207">
        <f t="shared" si="4"/>
        <v>3687.8645161290324</v>
      </c>
      <c r="N32" s="207">
        <f t="shared" si="49"/>
        <v>171.4</v>
      </c>
      <c r="O32" s="207">
        <f t="shared" si="5"/>
        <v>3687.8645161290324</v>
      </c>
      <c r="P32" s="207">
        <f t="shared" si="50"/>
        <v>171.4</v>
      </c>
      <c r="Q32" s="207">
        <f t="shared" si="6"/>
        <v>3687.8645161290324</v>
      </c>
      <c r="R32" s="207">
        <f t="shared" si="51"/>
        <v>171.4</v>
      </c>
      <c r="S32" s="207">
        <f t="shared" si="7"/>
        <v>3687.8645161290324</v>
      </c>
      <c r="T32" s="207">
        <f t="shared" si="52"/>
        <v>171.4</v>
      </c>
      <c r="U32" s="207">
        <f t="shared" si="8"/>
        <v>3687.8645161290324</v>
      </c>
      <c r="V32" s="207">
        <f t="shared" si="53"/>
        <v>171.4</v>
      </c>
      <c r="W32" s="207">
        <f t="shared" si="9"/>
        <v>3687.8645161290324</v>
      </c>
      <c r="X32" s="35">
        <f t="shared" si="54"/>
        <v>0.55290322580645168</v>
      </c>
      <c r="Y32" s="36">
        <f t="shared" si="55"/>
        <v>40566.509677419359</v>
      </c>
      <c r="Z32" s="207">
        <f>'B5'!C31</f>
        <v>177.2</v>
      </c>
      <c r="AA32" s="207">
        <f t="shared" si="30"/>
        <v>1772</v>
      </c>
      <c r="AB32" s="207">
        <f t="shared" si="56"/>
        <v>177.2</v>
      </c>
      <c r="AC32" s="207">
        <f t="shared" si="30"/>
        <v>1772</v>
      </c>
      <c r="AD32" s="207">
        <f t="shared" si="57"/>
        <v>177.2</v>
      </c>
      <c r="AE32" s="207">
        <f t="shared" si="11"/>
        <v>1772</v>
      </c>
      <c r="AF32" s="207">
        <f t="shared" si="58"/>
        <v>177.2</v>
      </c>
      <c r="AG32" s="207">
        <f t="shared" si="12"/>
        <v>1772</v>
      </c>
      <c r="AH32" s="207">
        <f t="shared" si="59"/>
        <v>177.2</v>
      </c>
      <c r="AI32" s="207">
        <f t="shared" si="13"/>
        <v>1772</v>
      </c>
      <c r="AJ32" s="207">
        <f t="shared" si="60"/>
        <v>177.2</v>
      </c>
      <c r="AK32" s="207">
        <f t="shared" si="14"/>
        <v>1772</v>
      </c>
      <c r="AL32" s="207">
        <f t="shared" si="61"/>
        <v>177.2</v>
      </c>
      <c r="AM32" s="207">
        <f t="shared" si="15"/>
        <v>1772</v>
      </c>
      <c r="AN32" s="35">
        <f t="shared" si="62"/>
        <v>0.6328571428571429</v>
      </c>
      <c r="AO32" s="36">
        <f t="shared" si="63"/>
        <v>12404</v>
      </c>
      <c r="AQ32" s="227">
        <f t="shared" si="37"/>
        <v>0.56975916615488176</v>
      </c>
      <c r="AR32" s="38">
        <f t="shared" si="41"/>
        <v>52970.509677419359</v>
      </c>
      <c r="AS32" s="201">
        <f t="shared" si="38"/>
        <v>-1634.7161290322547</v>
      </c>
      <c r="AT32" s="368"/>
      <c r="AU32" s="452"/>
      <c r="AV32" s="539">
        <f>IF(AT32&gt;0,AU32,AV31)</f>
        <v>0.4128</v>
      </c>
      <c r="AW32" s="300">
        <f>-SUM('B5'!AI31)</f>
        <v>-372</v>
      </c>
      <c r="AX32" s="300">
        <f t="shared" si="39"/>
        <v>-1262.7161290322547</v>
      </c>
      <c r="AY32" s="37">
        <f t="shared" si="40"/>
        <v>-1634.7161290322547</v>
      </c>
      <c r="AZ32" s="101">
        <f>ELEC!A29</f>
        <v>2.4E-2</v>
      </c>
      <c r="BA32" s="119">
        <f>'General information '!D32</f>
        <v>27</v>
      </c>
      <c r="BB32" s="407">
        <f>SUM('General information '!E32)</f>
        <v>0.55000000000000004</v>
      </c>
      <c r="BC32" s="3">
        <f t="shared" si="43"/>
        <v>0</v>
      </c>
      <c r="BD32" s="103">
        <v>19222</v>
      </c>
      <c r="BE32" s="14">
        <f>(305/1185)*ELEC!Q30</f>
        <v>1544.3037974683546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165</v>
      </c>
      <c r="C33" s="207">
        <f t="shared" si="18"/>
        <v>3550.1612903225805</v>
      </c>
      <c r="D33">
        <f t="shared" si="44"/>
        <v>165</v>
      </c>
      <c r="E33" s="207">
        <f t="shared" si="18"/>
        <v>3550.1612903225805</v>
      </c>
      <c r="F33">
        <f t="shared" si="45"/>
        <v>165</v>
      </c>
      <c r="G33" s="207">
        <f t="shared" si="1"/>
        <v>3550.1612903225805</v>
      </c>
      <c r="H33" s="207">
        <f t="shared" si="46"/>
        <v>165</v>
      </c>
      <c r="I33" s="207">
        <f t="shared" si="2"/>
        <v>3550.1612903225805</v>
      </c>
      <c r="J33" s="207">
        <f t="shared" si="47"/>
        <v>165</v>
      </c>
      <c r="K33" s="207">
        <f t="shared" si="3"/>
        <v>3550.1612903225805</v>
      </c>
      <c r="L33" s="207">
        <f t="shared" si="48"/>
        <v>165</v>
      </c>
      <c r="M33" s="207">
        <f t="shared" si="4"/>
        <v>3550.1612903225805</v>
      </c>
      <c r="N33" s="207">
        <f t="shared" si="49"/>
        <v>165</v>
      </c>
      <c r="O33" s="207">
        <f t="shared" si="5"/>
        <v>3550.1612903225805</v>
      </c>
      <c r="P33" s="207">
        <f t="shared" si="50"/>
        <v>165</v>
      </c>
      <c r="Q33" s="207">
        <f t="shared" si="6"/>
        <v>3550.1612903225805</v>
      </c>
      <c r="R33" s="207">
        <f t="shared" si="51"/>
        <v>165</v>
      </c>
      <c r="S33" s="207">
        <f t="shared" si="7"/>
        <v>3550.1612903225805</v>
      </c>
      <c r="T33" s="207">
        <f t="shared" si="52"/>
        <v>165</v>
      </c>
      <c r="U33" s="207">
        <f t="shared" si="8"/>
        <v>3550.1612903225805</v>
      </c>
      <c r="V33" s="207">
        <f t="shared" si="53"/>
        <v>165</v>
      </c>
      <c r="W33" s="207">
        <f t="shared" si="9"/>
        <v>3550.1612903225805</v>
      </c>
      <c r="X33" s="35">
        <f t="shared" si="54"/>
        <v>0.532258064516129</v>
      </c>
      <c r="Y33" s="36">
        <f t="shared" si="55"/>
        <v>39051.774193548386</v>
      </c>
      <c r="Z33" s="207">
        <f>'B5'!C32</f>
        <v>170</v>
      </c>
      <c r="AA33" s="207">
        <f t="shared" si="30"/>
        <v>1700</v>
      </c>
      <c r="AB33" s="207">
        <f t="shared" si="56"/>
        <v>170</v>
      </c>
      <c r="AC33" s="207">
        <f t="shared" si="30"/>
        <v>1700</v>
      </c>
      <c r="AD33" s="207">
        <f t="shared" si="57"/>
        <v>170</v>
      </c>
      <c r="AE33" s="207">
        <f t="shared" si="11"/>
        <v>1700</v>
      </c>
      <c r="AF33" s="207">
        <f t="shared" si="58"/>
        <v>170</v>
      </c>
      <c r="AG33" s="207">
        <f t="shared" si="12"/>
        <v>1700</v>
      </c>
      <c r="AH33" s="207">
        <f t="shared" si="59"/>
        <v>170</v>
      </c>
      <c r="AI33" s="207">
        <f t="shared" si="13"/>
        <v>1700</v>
      </c>
      <c r="AJ33" s="207">
        <f t="shared" si="60"/>
        <v>170</v>
      </c>
      <c r="AK33" s="207">
        <f t="shared" si="14"/>
        <v>1700</v>
      </c>
      <c r="AL33" s="207">
        <f t="shared" si="61"/>
        <v>170</v>
      </c>
      <c r="AM33" s="207">
        <f t="shared" si="15"/>
        <v>1700</v>
      </c>
      <c r="AN33" s="35">
        <f t="shared" si="62"/>
        <v>0.6071428571428571</v>
      </c>
      <c r="AO33" s="36">
        <f t="shared" si="63"/>
        <v>11900</v>
      </c>
      <c r="AQ33" s="227">
        <f t="shared" si="37"/>
        <v>0.54804532853122934</v>
      </c>
      <c r="AR33" s="38">
        <f t="shared" si="41"/>
        <v>50951.774193548386</v>
      </c>
      <c r="AS33" s="201">
        <f t="shared" si="38"/>
        <v>-2018.7354838709725</v>
      </c>
      <c r="AT33" s="368"/>
      <c r="AU33" s="452"/>
      <c r="AV33" s="539">
        <f>IF(AT33&gt;0,AU33,AV32)</f>
        <v>0.4128</v>
      </c>
      <c r="AW33" s="300">
        <f>-SUM('B5'!AI32)</f>
        <v>-397</v>
      </c>
      <c r="AX33" s="300">
        <f t="shared" si="39"/>
        <v>-1621.7354838709725</v>
      </c>
      <c r="AY33" s="37">
        <f t="shared" si="40"/>
        <v>-2018.7354838709725</v>
      </c>
      <c r="AZ33" s="101">
        <f>ELEC!A30</f>
        <v>3.4799999999999998E-2</v>
      </c>
      <c r="BA33" s="119">
        <f>'General information '!D33</f>
        <v>28</v>
      </c>
      <c r="BB33" s="208">
        <f>SUM('General information '!E33)</f>
        <v>0.66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165</v>
      </c>
      <c r="C34" s="207">
        <f t="shared" si="18"/>
        <v>3550.1612903225805</v>
      </c>
      <c r="D34">
        <f t="shared" si="44"/>
        <v>165</v>
      </c>
      <c r="E34" s="207">
        <f t="shared" si="18"/>
        <v>3550.1612903225805</v>
      </c>
      <c r="F34">
        <f t="shared" si="45"/>
        <v>165</v>
      </c>
      <c r="G34" s="207">
        <f t="shared" si="1"/>
        <v>3550.1612903225805</v>
      </c>
      <c r="H34" s="207">
        <f t="shared" si="46"/>
        <v>165</v>
      </c>
      <c r="I34" s="207">
        <f t="shared" si="2"/>
        <v>3550.1612903225805</v>
      </c>
      <c r="J34" s="207">
        <f t="shared" si="47"/>
        <v>165</v>
      </c>
      <c r="K34" s="207">
        <f t="shared" si="3"/>
        <v>3550.1612903225805</v>
      </c>
      <c r="L34" s="207">
        <f t="shared" si="48"/>
        <v>165</v>
      </c>
      <c r="M34" s="207">
        <f t="shared" si="4"/>
        <v>3550.1612903225805</v>
      </c>
      <c r="N34" s="207">
        <f t="shared" si="49"/>
        <v>165</v>
      </c>
      <c r="O34" s="207">
        <f t="shared" si="5"/>
        <v>3550.1612903225805</v>
      </c>
      <c r="P34" s="207">
        <f t="shared" si="50"/>
        <v>165</v>
      </c>
      <c r="Q34" s="207">
        <f t="shared" si="6"/>
        <v>3550.1612903225805</v>
      </c>
      <c r="R34" s="207">
        <f t="shared" si="51"/>
        <v>165</v>
      </c>
      <c r="S34" s="207">
        <f t="shared" si="7"/>
        <v>3550.1612903225805</v>
      </c>
      <c r="T34" s="207">
        <f t="shared" si="52"/>
        <v>165</v>
      </c>
      <c r="U34" s="207">
        <f t="shared" si="8"/>
        <v>3550.1612903225805</v>
      </c>
      <c r="V34" s="207">
        <f t="shared" si="53"/>
        <v>165</v>
      </c>
      <c r="W34" s="207">
        <f t="shared" si="9"/>
        <v>3550.1612903225805</v>
      </c>
      <c r="X34" s="35">
        <f t="shared" si="54"/>
        <v>0.532258064516129</v>
      </c>
      <c r="Y34" s="36">
        <f t="shared" si="55"/>
        <v>39051.774193548386</v>
      </c>
      <c r="Z34" s="207">
        <f>'B5'!C33</f>
        <v>170</v>
      </c>
      <c r="AA34" s="207">
        <f t="shared" si="30"/>
        <v>1700</v>
      </c>
      <c r="AB34" s="207">
        <f t="shared" si="56"/>
        <v>170</v>
      </c>
      <c r="AC34" s="207">
        <f t="shared" si="30"/>
        <v>1700</v>
      </c>
      <c r="AD34" s="207">
        <f t="shared" si="57"/>
        <v>170</v>
      </c>
      <c r="AE34" s="207">
        <f t="shared" si="11"/>
        <v>1700</v>
      </c>
      <c r="AF34" s="207">
        <f t="shared" si="58"/>
        <v>170</v>
      </c>
      <c r="AG34" s="207">
        <f t="shared" si="12"/>
        <v>1700</v>
      </c>
      <c r="AH34" s="207">
        <f t="shared" si="59"/>
        <v>170</v>
      </c>
      <c r="AI34" s="207">
        <f t="shared" si="13"/>
        <v>1700</v>
      </c>
      <c r="AJ34" s="207">
        <f t="shared" si="60"/>
        <v>170</v>
      </c>
      <c r="AK34" s="207">
        <f t="shared" si="14"/>
        <v>1700</v>
      </c>
      <c r="AL34" s="207">
        <f t="shared" si="61"/>
        <v>170</v>
      </c>
      <c r="AM34" s="207">
        <f t="shared" si="15"/>
        <v>1700</v>
      </c>
      <c r="AN34" s="35">
        <f t="shared" si="62"/>
        <v>0.6071428571428571</v>
      </c>
      <c r="AO34" s="36">
        <f t="shared" si="63"/>
        <v>11900</v>
      </c>
      <c r="AQ34" s="227">
        <f>SUM(AR34/92970)</f>
        <v>0.54804532853122934</v>
      </c>
      <c r="AR34" s="38">
        <f t="shared" si="41"/>
        <v>50951.774193548386</v>
      </c>
      <c r="AS34" s="201">
        <f t="shared" si="38"/>
        <v>0</v>
      </c>
      <c r="AT34" s="368"/>
      <c r="AU34" s="452"/>
      <c r="AV34" s="539">
        <f t="shared" si="42"/>
        <v>0.4128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165</v>
      </c>
      <c r="C35" s="207">
        <f t="shared" si="18"/>
        <v>3550.1612903225805</v>
      </c>
      <c r="D35">
        <f t="shared" si="44"/>
        <v>165</v>
      </c>
      <c r="E35" s="207">
        <f t="shared" si="18"/>
        <v>3550.1612903225805</v>
      </c>
      <c r="F35">
        <f t="shared" si="45"/>
        <v>165</v>
      </c>
      <c r="G35" s="207">
        <f t="shared" si="1"/>
        <v>3550.1612903225805</v>
      </c>
      <c r="H35" s="207">
        <f t="shared" si="46"/>
        <v>165</v>
      </c>
      <c r="I35" s="207">
        <f t="shared" si="2"/>
        <v>3550.1612903225805</v>
      </c>
      <c r="J35" s="207">
        <f t="shared" si="47"/>
        <v>165</v>
      </c>
      <c r="K35" s="207">
        <f t="shared" si="3"/>
        <v>3550.1612903225805</v>
      </c>
      <c r="L35" s="207">
        <f t="shared" si="48"/>
        <v>165</v>
      </c>
      <c r="M35" s="207">
        <f t="shared" si="4"/>
        <v>3550.1612903225805</v>
      </c>
      <c r="N35" s="207">
        <f t="shared" si="49"/>
        <v>165</v>
      </c>
      <c r="O35" s="207">
        <f t="shared" si="5"/>
        <v>3550.1612903225805</v>
      </c>
      <c r="P35" s="207">
        <f t="shared" si="50"/>
        <v>165</v>
      </c>
      <c r="Q35" s="207">
        <f t="shared" si="6"/>
        <v>3550.1612903225805</v>
      </c>
      <c r="R35" s="207">
        <f t="shared" si="51"/>
        <v>165</v>
      </c>
      <c r="S35" s="207">
        <f t="shared" si="7"/>
        <v>3550.1612903225805</v>
      </c>
      <c r="T35" s="207">
        <f t="shared" si="52"/>
        <v>165</v>
      </c>
      <c r="U35" s="207">
        <f t="shared" si="8"/>
        <v>3550.1612903225805</v>
      </c>
      <c r="V35" s="207">
        <f t="shared" si="53"/>
        <v>165</v>
      </c>
      <c r="W35" s="207">
        <f t="shared" si="9"/>
        <v>3550.1612903225805</v>
      </c>
      <c r="X35" s="35">
        <f t="shared" si="54"/>
        <v>0.532258064516129</v>
      </c>
      <c r="Y35" s="36">
        <f t="shared" si="55"/>
        <v>39051.774193548386</v>
      </c>
      <c r="Z35" s="207">
        <f>'B5'!C34</f>
        <v>170</v>
      </c>
      <c r="AA35" s="207">
        <f t="shared" si="30"/>
        <v>1700</v>
      </c>
      <c r="AB35" s="207">
        <f t="shared" si="56"/>
        <v>170</v>
      </c>
      <c r="AC35" s="207">
        <f t="shared" si="30"/>
        <v>1700</v>
      </c>
      <c r="AD35" s="207">
        <f t="shared" si="57"/>
        <v>170</v>
      </c>
      <c r="AE35" s="207">
        <f t="shared" si="11"/>
        <v>1700</v>
      </c>
      <c r="AF35" s="207">
        <f t="shared" si="58"/>
        <v>170</v>
      </c>
      <c r="AG35" s="207">
        <f t="shared" si="12"/>
        <v>1700</v>
      </c>
      <c r="AH35" s="207">
        <f t="shared" si="59"/>
        <v>170</v>
      </c>
      <c r="AI35" s="207">
        <f t="shared" si="13"/>
        <v>1700</v>
      </c>
      <c r="AJ35" s="207">
        <f t="shared" si="60"/>
        <v>170</v>
      </c>
      <c r="AK35" s="207">
        <f t="shared" si="14"/>
        <v>1700</v>
      </c>
      <c r="AL35" s="207">
        <f t="shared" si="61"/>
        <v>170</v>
      </c>
      <c r="AM35" s="207">
        <f t="shared" si="15"/>
        <v>1700</v>
      </c>
      <c r="AN35" s="35">
        <f t="shared" si="62"/>
        <v>0.6071428571428571</v>
      </c>
      <c r="AO35" s="36">
        <f t="shared" si="63"/>
        <v>11900</v>
      </c>
      <c r="AQ35" s="227">
        <f>SUM(AR35/92970)</f>
        <v>0.54804532853122934</v>
      </c>
      <c r="AR35" s="38">
        <f t="shared" si="41"/>
        <v>50951.774193548386</v>
      </c>
      <c r="AS35" s="201">
        <f t="shared" si="38"/>
        <v>0</v>
      </c>
      <c r="AT35" s="368"/>
      <c r="AU35" s="452"/>
      <c r="AV35" s="539">
        <f>IF(AT35&gt;0,AU35,AV34)</f>
        <v>0.4128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5</v>
      </c>
      <c r="AT36" s="207">
        <f>SUM(AT6:AT35)</f>
        <v>37692.1</v>
      </c>
      <c r="AU36">
        <f>SUM(AU6:AU35)/AS36</f>
        <v>0.32116</v>
      </c>
      <c r="AX36" s="207">
        <f>SUM(AX6:AX35)</f>
        <v>-31037.883870967766</v>
      </c>
      <c r="AY36" s="207">
        <f>SUM(AY6:AY35)</f>
        <v>-42125.583870967748</v>
      </c>
    </row>
    <row r="37" spans="1:60">
      <c r="AS37" s="210"/>
      <c r="AT37">
        <f>+AT36*AU36</f>
        <v>12105.194835999999</v>
      </c>
    </row>
    <row r="39" spans="1:60">
      <c r="AS39" s="166">
        <f>SUM(AS6:AS35)/'EDl log'!A37</f>
        <v>-1504.4851382488482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D1" zoomScaleNormal="100" workbookViewId="0">
      <pane ySplit="1" topLeftCell="A13" activePane="bottomLeft" state="frozen"/>
      <selection pane="bottomLeft" activeCell="Z30" sqref="Z3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3">
        <v>8659</v>
      </c>
      <c r="C3" s="297">
        <f>B3-B2</f>
        <v>4</v>
      </c>
      <c r="D3" s="584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4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4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4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4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1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1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1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1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1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1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1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v>8697</v>
      </c>
      <c r="C17" s="297">
        <f t="shared" si="11"/>
        <v>8</v>
      </c>
      <c r="D17" s="277">
        <v>160634</v>
      </c>
      <c r="E17" s="297">
        <f t="shared" si="12"/>
        <v>1143</v>
      </c>
      <c r="F17" s="297">
        <f t="shared" si="0"/>
        <v>142.875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8</v>
      </c>
      <c r="AA17" s="297">
        <f t="shared" si="20"/>
        <v>1143</v>
      </c>
      <c r="AB17" s="297">
        <f t="shared" si="21"/>
        <v>142.875</v>
      </c>
      <c r="AC17" s="297">
        <f t="shared" si="22"/>
        <v>142.875</v>
      </c>
      <c r="AD17" s="74">
        <f>ELEC!Q17</f>
        <v>6000</v>
      </c>
      <c r="AE17" s="74">
        <f t="shared" si="24"/>
        <v>750</v>
      </c>
      <c r="AF17" s="416">
        <f t="shared" si="25"/>
        <v>0.46875</v>
      </c>
      <c r="AG17" s="417">
        <f t="shared" si="26"/>
        <v>150</v>
      </c>
      <c r="AH17" s="417">
        <f t="shared" si="23"/>
        <v>-7.125</v>
      </c>
      <c r="AI17" s="74">
        <f t="shared" si="27"/>
        <v>1544.3037974683546</v>
      </c>
      <c r="AJ17" s="299">
        <f t="shared" si="9"/>
        <v>0.25738396624472576</v>
      </c>
      <c r="AK17" s="299">
        <f t="shared" ref="AK17:AK32" si="30">IF(Z17&gt;0,AI17/Z17,0)</f>
        <v>193.03797468354432</v>
      </c>
    </row>
    <row r="18" spans="1:37">
      <c r="A18" s="4">
        <f>ELEC!C18</f>
        <v>43998</v>
      </c>
      <c r="B18" s="277">
        <v>8704</v>
      </c>
      <c r="C18" s="297">
        <f t="shared" si="11"/>
        <v>7</v>
      </c>
      <c r="D18" s="277">
        <v>161446</v>
      </c>
      <c r="E18" s="297">
        <f t="shared" si="12"/>
        <v>812</v>
      </c>
      <c r="F18" s="297">
        <f t="shared" si="0"/>
        <v>116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7</v>
      </c>
      <c r="AA18" s="297">
        <f t="shared" si="20"/>
        <v>812</v>
      </c>
      <c r="AB18" s="297">
        <f t="shared" si="21"/>
        <v>116</v>
      </c>
      <c r="AC18" s="297">
        <f t="shared" si="22"/>
        <v>116</v>
      </c>
      <c r="AD18" s="74">
        <f>ELEC!Q18</f>
        <v>5000</v>
      </c>
      <c r="AE18" s="74">
        <f t="shared" si="24"/>
        <v>714.28571428571433</v>
      </c>
      <c r="AF18" s="416">
        <f t="shared" si="25"/>
        <v>0.44642857142857145</v>
      </c>
      <c r="AG18" s="417">
        <f t="shared" si="26"/>
        <v>142.85714285714286</v>
      </c>
      <c r="AH18" s="417">
        <f t="shared" si="23"/>
        <v>-26.857142857142861</v>
      </c>
      <c r="AI18" s="74">
        <f t="shared" si="27"/>
        <v>1286.9198312236288</v>
      </c>
      <c r="AJ18" s="299">
        <f t="shared" si="9"/>
        <v>0.25738396624472576</v>
      </c>
      <c r="AK18" s="299">
        <f t="shared" si="30"/>
        <v>183.8456901748041</v>
      </c>
    </row>
    <row r="19" spans="1:37">
      <c r="A19" s="4">
        <f>ELEC!C19</f>
        <v>43999</v>
      </c>
      <c r="B19" s="591">
        <v>8709</v>
      </c>
      <c r="C19" s="297">
        <f t="shared" si="11"/>
        <v>5</v>
      </c>
      <c r="D19" s="277">
        <v>162454</v>
      </c>
      <c r="E19" s="297">
        <f t="shared" si="12"/>
        <v>1008</v>
      </c>
      <c r="F19" s="297">
        <f t="shared" si="0"/>
        <v>201.6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5</v>
      </c>
      <c r="AA19" s="297">
        <f t="shared" si="20"/>
        <v>1008</v>
      </c>
      <c r="AB19" s="297">
        <f t="shared" si="21"/>
        <v>201.6</v>
      </c>
      <c r="AC19" s="297">
        <f t="shared" si="22"/>
        <v>201.6</v>
      </c>
      <c r="AD19" s="74">
        <f>ELEC!Q19</f>
        <v>3000</v>
      </c>
      <c r="AE19" s="74">
        <f t="shared" si="24"/>
        <v>600</v>
      </c>
      <c r="AF19" s="416">
        <f t="shared" si="25"/>
        <v>0.375</v>
      </c>
      <c r="AG19" s="417">
        <f t="shared" si="26"/>
        <v>120</v>
      </c>
      <c r="AH19" s="417">
        <f t="shared" si="23"/>
        <v>81.599999999999994</v>
      </c>
      <c r="AI19" s="74">
        <f t="shared" si="27"/>
        <v>772.15189873417728</v>
      </c>
      <c r="AJ19" s="299">
        <f t="shared" si="9"/>
        <v>0.25738396624472576</v>
      </c>
      <c r="AK19" s="299">
        <f t="shared" si="30"/>
        <v>154.43037974683546</v>
      </c>
    </row>
    <row r="20" spans="1:37">
      <c r="A20" s="4">
        <f>ELEC!C20</f>
        <v>44000</v>
      </c>
      <c r="B20" s="277">
        <v>8717</v>
      </c>
      <c r="C20" s="297">
        <f>B20-B19</f>
        <v>8</v>
      </c>
      <c r="D20" s="277">
        <v>163377</v>
      </c>
      <c r="E20" s="297">
        <f t="shared" si="12"/>
        <v>923</v>
      </c>
      <c r="F20" s="297">
        <f t="shared" si="0"/>
        <v>115.375</v>
      </c>
      <c r="G20" s="200"/>
      <c r="H20" s="298">
        <f t="shared" si="13"/>
        <v>8770</v>
      </c>
      <c r="I20" s="297" t="str">
        <f t="shared" si="1"/>
        <v>ok</v>
      </c>
      <c r="J20" s="277">
        <v>10698</v>
      </c>
      <c r="K20" s="297">
        <f t="shared" si="2"/>
        <v>0</v>
      </c>
      <c r="L20" s="277">
        <f>L19</f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v>11226</v>
      </c>
      <c r="S20" s="297">
        <f t="shared" si="5"/>
        <v>0</v>
      </c>
      <c r="T20" s="277">
        <f>T19</f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8</v>
      </c>
      <c r="AA20" s="297">
        <f t="shared" si="20"/>
        <v>923</v>
      </c>
      <c r="AB20" s="297">
        <f t="shared" si="21"/>
        <v>115.375</v>
      </c>
      <c r="AC20" s="297">
        <f t="shared" si="22"/>
        <v>115.375</v>
      </c>
      <c r="AD20" s="74">
        <f>ELEC!Q20</f>
        <v>6000</v>
      </c>
      <c r="AE20" s="74">
        <f t="shared" si="24"/>
        <v>750</v>
      </c>
      <c r="AF20" s="416">
        <f t="shared" si="25"/>
        <v>0.46875</v>
      </c>
      <c r="AG20" s="417">
        <f t="shared" si="26"/>
        <v>150</v>
      </c>
      <c r="AH20" s="417">
        <f t="shared" si="23"/>
        <v>-34.625</v>
      </c>
      <c r="AI20" s="74">
        <f>AD20*AJ20</f>
        <v>1544.3037974683546</v>
      </c>
      <c r="AJ20" s="299">
        <f t="shared" si="9"/>
        <v>0.25738396624472576</v>
      </c>
      <c r="AK20" s="299">
        <f t="shared" si="30"/>
        <v>193.03797468354432</v>
      </c>
    </row>
    <row r="21" spans="1:37">
      <c r="A21" s="4">
        <f>ELEC!C21</f>
        <v>44001</v>
      </c>
      <c r="B21" s="277">
        <v>8723</v>
      </c>
      <c r="C21" s="297">
        <f t="shared" si="11"/>
        <v>6</v>
      </c>
      <c r="D21" s="277">
        <v>164067</v>
      </c>
      <c r="E21" s="297">
        <f t="shared" si="12"/>
        <v>690</v>
      </c>
      <c r="F21" s="297">
        <f t="shared" si="0"/>
        <v>115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6</v>
      </c>
      <c r="AA21" s="297">
        <f t="shared" si="20"/>
        <v>690</v>
      </c>
      <c r="AB21" s="297">
        <f t="shared" si="21"/>
        <v>115</v>
      </c>
      <c r="AC21" s="297">
        <f t="shared" si="22"/>
        <v>115</v>
      </c>
      <c r="AD21" s="74">
        <f>ELEC!Q21</f>
        <v>5000</v>
      </c>
      <c r="AE21" s="74">
        <f t="shared" si="24"/>
        <v>833.33333333333337</v>
      </c>
      <c r="AF21" s="416">
        <f t="shared" si="25"/>
        <v>0.52083333333333337</v>
      </c>
      <c r="AG21" s="417">
        <f t="shared" si="26"/>
        <v>166.66666666666669</v>
      </c>
      <c r="AH21" s="417">
        <f t="shared" si="23"/>
        <v>-51.666666666666686</v>
      </c>
      <c r="AI21" s="74">
        <f t="shared" si="27"/>
        <v>1286.9198312236288</v>
      </c>
      <c r="AJ21" s="299">
        <f t="shared" si="9"/>
        <v>0.25738396624472576</v>
      </c>
      <c r="AK21" s="299">
        <f t="shared" si="30"/>
        <v>214.48663853727146</v>
      </c>
    </row>
    <row r="22" spans="1:37">
      <c r="A22" s="4">
        <f>ELEC!C22</f>
        <v>44002</v>
      </c>
      <c r="B22" s="277">
        <v>8725</v>
      </c>
      <c r="C22" s="297">
        <f t="shared" si="11"/>
        <v>2</v>
      </c>
      <c r="D22" s="277">
        <v>164300</v>
      </c>
      <c r="E22" s="297">
        <f t="shared" si="12"/>
        <v>233</v>
      </c>
      <c r="F22" s="297">
        <f t="shared" si="0"/>
        <v>116.5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v>11229</v>
      </c>
      <c r="S22" s="297">
        <f t="shared" si="5"/>
        <v>3</v>
      </c>
      <c r="T22" s="277">
        <v>259611</v>
      </c>
      <c r="U22" s="297">
        <f t="shared" si="32"/>
        <v>458</v>
      </c>
      <c r="V22" s="297">
        <f t="shared" si="18"/>
        <v>152.66666666666666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5</v>
      </c>
      <c r="AA22" s="297">
        <f t="shared" si="20"/>
        <v>691</v>
      </c>
      <c r="AB22" s="297">
        <f t="shared" si="21"/>
        <v>269.16666666666663</v>
      </c>
      <c r="AC22" s="297">
        <f t="shared" si="22"/>
        <v>138.19999999999999</v>
      </c>
      <c r="AD22" s="74">
        <f>ELEC!Q22</f>
        <v>3000</v>
      </c>
      <c r="AE22" s="74">
        <f t="shared" si="24"/>
        <v>600</v>
      </c>
      <c r="AF22" s="416">
        <f t="shared" si="25"/>
        <v>0.375</v>
      </c>
      <c r="AG22" s="417">
        <f t="shared" si="26"/>
        <v>120</v>
      </c>
      <c r="AH22" s="417">
        <f t="shared" si="23"/>
        <v>18.199999999999989</v>
      </c>
      <c r="AI22" s="74">
        <f t="shared" si="27"/>
        <v>772.15189873417728</v>
      </c>
      <c r="AJ22" s="299">
        <f t="shared" si="9"/>
        <v>0.25738396624472576</v>
      </c>
      <c r="AK22" s="299">
        <f t="shared" si="30"/>
        <v>154.43037974683546</v>
      </c>
    </row>
    <row r="23" spans="1:37">
      <c r="A23" s="4">
        <f>ELEC!C23</f>
        <v>44003</v>
      </c>
      <c r="B23" s="277">
        <v>8725</v>
      </c>
      <c r="C23" s="297">
        <f t="shared" si="11"/>
        <v>0</v>
      </c>
      <c r="D23" s="277">
        <v>164300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v>10698</v>
      </c>
      <c r="K23" s="297">
        <f t="shared" si="2"/>
        <v>0</v>
      </c>
      <c r="L23" s="277">
        <v>238497</v>
      </c>
      <c r="M23" s="297">
        <f t="shared" si="3"/>
        <v>18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v>11232</v>
      </c>
      <c r="S23" s="297">
        <f t="shared" si="5"/>
        <v>3</v>
      </c>
      <c r="T23" s="277">
        <v>260388</v>
      </c>
      <c r="U23" s="297">
        <f t="shared" si="32"/>
        <v>777</v>
      </c>
      <c r="V23" s="297">
        <f t="shared" si="18"/>
        <v>259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3</v>
      </c>
      <c r="AA23" s="297">
        <f t="shared" si="20"/>
        <v>795</v>
      </c>
      <c r="AB23" s="297">
        <f t="shared" si="21"/>
        <v>259</v>
      </c>
      <c r="AC23" s="297">
        <f t="shared" si="22"/>
        <v>265</v>
      </c>
      <c r="AD23" s="74">
        <f>ELEC!Q23</f>
        <v>2000</v>
      </c>
      <c r="AE23" s="74">
        <f t="shared" si="24"/>
        <v>666.66666666666663</v>
      </c>
      <c r="AF23" s="416">
        <f t="shared" si="25"/>
        <v>0.41666666666666663</v>
      </c>
      <c r="AG23" s="417">
        <f t="shared" si="26"/>
        <v>133.33333333333331</v>
      </c>
      <c r="AH23" s="417">
        <f t="shared" si="23"/>
        <v>131.66666666666669</v>
      </c>
      <c r="AI23" s="74">
        <f t="shared" si="27"/>
        <v>514.76793248945148</v>
      </c>
      <c r="AJ23" s="299">
        <f t="shared" si="9"/>
        <v>0.25738396624472576</v>
      </c>
      <c r="AK23" s="299">
        <f t="shared" si="30"/>
        <v>171.58931082981715</v>
      </c>
    </row>
    <row r="24" spans="1:37">
      <c r="A24" s="4">
        <f>ELEC!C24</f>
        <v>44004</v>
      </c>
      <c r="B24" s="277">
        <f t="shared" si="28"/>
        <v>8725</v>
      </c>
      <c r="C24" s="297">
        <f t="shared" si="11"/>
        <v>0</v>
      </c>
      <c r="D24" s="277">
        <f t="shared" si="28"/>
        <v>164300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238497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v>11238</v>
      </c>
      <c r="S24" s="297">
        <f t="shared" si="5"/>
        <v>6</v>
      </c>
      <c r="T24" s="277">
        <v>261853</v>
      </c>
      <c r="U24" s="297">
        <f t="shared" si="32"/>
        <v>1465</v>
      </c>
      <c r="V24" s="297">
        <f t="shared" si="18"/>
        <v>244.16666666666666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6</v>
      </c>
      <c r="AA24" s="297">
        <f t="shared" si="20"/>
        <v>1465</v>
      </c>
      <c r="AB24" s="297">
        <f t="shared" si="21"/>
        <v>244.16666666666666</v>
      </c>
      <c r="AC24" s="297">
        <f t="shared" si="22"/>
        <v>244.16666666666666</v>
      </c>
      <c r="AD24" s="74">
        <f>ELEC!Q24</f>
        <v>4000</v>
      </c>
      <c r="AE24" s="74">
        <f t="shared" si="24"/>
        <v>666.66666666666663</v>
      </c>
      <c r="AF24" s="416">
        <f t="shared" si="25"/>
        <v>0.41666666666666663</v>
      </c>
      <c r="AG24" s="417">
        <f t="shared" si="26"/>
        <v>133.33333333333331</v>
      </c>
      <c r="AH24" s="417">
        <f t="shared" si="23"/>
        <v>110.83333333333334</v>
      </c>
      <c r="AI24" s="74">
        <f t="shared" si="27"/>
        <v>1029.535864978903</v>
      </c>
      <c r="AJ24" s="299">
        <f t="shared" si="9"/>
        <v>0.25738396624472576</v>
      </c>
      <c r="AK24" s="299">
        <f t="shared" si="30"/>
        <v>171.58931082981715</v>
      </c>
    </row>
    <row r="25" spans="1:37">
      <c r="A25" s="4">
        <f>ELEC!C25</f>
        <v>44005</v>
      </c>
      <c r="B25" s="277">
        <f t="shared" si="28"/>
        <v>8725</v>
      </c>
      <c r="C25" s="297">
        <f t="shared" si="11"/>
        <v>0</v>
      </c>
      <c r="D25" s="277">
        <f t="shared" si="28"/>
        <v>164300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238497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602">
        <v>11244</v>
      </c>
      <c r="S25" s="297">
        <f t="shared" si="5"/>
        <v>6</v>
      </c>
      <c r="T25" s="277">
        <v>263169</v>
      </c>
      <c r="U25" s="297">
        <f t="shared" si="32"/>
        <v>1316</v>
      </c>
      <c r="V25" s="297">
        <f t="shared" si="18"/>
        <v>219.33333333333334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6</v>
      </c>
      <c r="AA25" s="297">
        <f t="shared" si="20"/>
        <v>1316</v>
      </c>
      <c r="AB25" s="297">
        <f t="shared" si="21"/>
        <v>219.33333333333334</v>
      </c>
      <c r="AC25" s="297">
        <f t="shared" si="22"/>
        <v>219.33333333333334</v>
      </c>
      <c r="AD25" s="74">
        <f>ELEC!Q25</f>
        <v>4000</v>
      </c>
      <c r="AE25" s="74">
        <f t="shared" si="24"/>
        <v>666.66666666666663</v>
      </c>
      <c r="AF25" s="416">
        <f t="shared" si="25"/>
        <v>0.41666666666666663</v>
      </c>
      <c r="AG25" s="417">
        <f t="shared" si="26"/>
        <v>133.33333333333331</v>
      </c>
      <c r="AH25" s="417">
        <f t="shared" si="23"/>
        <v>86.000000000000028</v>
      </c>
      <c r="AI25" s="74">
        <f t="shared" si="27"/>
        <v>1029.535864978903</v>
      </c>
      <c r="AJ25" s="299">
        <f t="shared" si="9"/>
        <v>0.25738396624472576</v>
      </c>
      <c r="AK25" s="299">
        <f t="shared" si="30"/>
        <v>171.58931082981715</v>
      </c>
    </row>
    <row r="26" spans="1:37">
      <c r="A26" s="4">
        <f>ELEC!C26</f>
        <v>44006</v>
      </c>
      <c r="B26" s="277">
        <v>8725</v>
      </c>
      <c r="C26" s="297">
        <f t="shared" si="11"/>
        <v>0</v>
      </c>
      <c r="D26" s="277">
        <v>164310</v>
      </c>
      <c r="E26" s="297">
        <f t="shared" si="12"/>
        <v>10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v>10698</v>
      </c>
      <c r="K26" s="297">
        <f t="shared" si="2"/>
        <v>0</v>
      </c>
      <c r="L26" s="277">
        <v>238497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v>11250</v>
      </c>
      <c r="S26" s="297">
        <f t="shared" si="5"/>
        <v>6</v>
      </c>
      <c r="T26" s="277">
        <v>264452</v>
      </c>
      <c r="U26" s="297">
        <f t="shared" si="32"/>
        <v>1283</v>
      </c>
      <c r="V26" s="297">
        <f t="shared" si="18"/>
        <v>213.83333333333334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6</v>
      </c>
      <c r="AA26" s="297">
        <f t="shared" si="20"/>
        <v>1293</v>
      </c>
      <c r="AB26" s="297">
        <f t="shared" si="21"/>
        <v>213.83333333333334</v>
      </c>
      <c r="AC26" s="297">
        <f t="shared" si="22"/>
        <v>215.5</v>
      </c>
      <c r="AD26" s="74">
        <f>ELEC!Q26</f>
        <v>4000</v>
      </c>
      <c r="AE26" s="74">
        <f t="shared" si="24"/>
        <v>666.66666666666663</v>
      </c>
      <c r="AF26" s="416">
        <f t="shared" si="25"/>
        <v>0.41666666666666663</v>
      </c>
      <c r="AG26" s="417">
        <f t="shared" si="26"/>
        <v>133.33333333333331</v>
      </c>
      <c r="AH26" s="417">
        <f t="shared" si="23"/>
        <v>82.166666666666686</v>
      </c>
      <c r="AI26" s="74">
        <f t="shared" si="27"/>
        <v>1029.535864978903</v>
      </c>
      <c r="AJ26" s="299">
        <f t="shared" si="9"/>
        <v>0.25738396624472576</v>
      </c>
      <c r="AK26" s="299">
        <f t="shared" si="30"/>
        <v>171.58931082981715</v>
      </c>
    </row>
    <row r="27" spans="1:37">
      <c r="A27" s="4">
        <f>ELEC!C27</f>
        <v>44007</v>
      </c>
      <c r="B27" s="591">
        <v>8728</v>
      </c>
      <c r="C27" s="297">
        <f t="shared" si="11"/>
        <v>3</v>
      </c>
      <c r="D27" s="277">
        <v>164584</v>
      </c>
      <c r="E27" s="297">
        <f t="shared" si="12"/>
        <v>274</v>
      </c>
      <c r="F27" s="297">
        <f t="shared" si="0"/>
        <v>91.333333333333329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238497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602">
        <v>11252</v>
      </c>
      <c r="S27" s="297">
        <f t="shared" si="5"/>
        <v>2</v>
      </c>
      <c r="T27" s="277">
        <v>264751</v>
      </c>
      <c r="U27" s="297">
        <f t="shared" si="32"/>
        <v>299</v>
      </c>
      <c r="V27" s="297">
        <f t="shared" si="18"/>
        <v>149.5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5</v>
      </c>
      <c r="AA27" s="297">
        <f t="shared" si="20"/>
        <v>573</v>
      </c>
      <c r="AB27" s="297">
        <f t="shared" si="21"/>
        <v>240.83333333333331</v>
      </c>
      <c r="AC27" s="297">
        <f t="shared" si="22"/>
        <v>114.6</v>
      </c>
      <c r="AD27" s="74">
        <f>ELEC!Q27</f>
        <v>4000</v>
      </c>
      <c r="AE27" s="74">
        <f t="shared" si="24"/>
        <v>800</v>
      </c>
      <c r="AF27" s="416">
        <f t="shared" si="25"/>
        <v>0.5</v>
      </c>
      <c r="AG27" s="417">
        <f t="shared" si="26"/>
        <v>160</v>
      </c>
      <c r="AH27" s="417">
        <f t="shared" si="23"/>
        <v>-45.400000000000006</v>
      </c>
      <c r="AI27" s="74">
        <f t="shared" si="27"/>
        <v>1029.535864978903</v>
      </c>
      <c r="AJ27" s="299">
        <f t="shared" si="9"/>
        <v>0.25738396624472576</v>
      </c>
      <c r="AK27" s="299">
        <f t="shared" si="30"/>
        <v>205.9071729957806</v>
      </c>
    </row>
    <row r="28" spans="1:37">
      <c r="A28" s="4">
        <f>ELEC!C28</f>
        <v>44008</v>
      </c>
      <c r="B28" s="277">
        <v>8734</v>
      </c>
      <c r="C28" s="297">
        <f t="shared" si="11"/>
        <v>6</v>
      </c>
      <c r="D28" s="277">
        <v>165427</v>
      </c>
      <c r="E28" s="297">
        <f t="shared" si="12"/>
        <v>843</v>
      </c>
      <c r="F28" s="297">
        <f t="shared" si="0"/>
        <v>140.5</v>
      </c>
      <c r="G28" s="295"/>
      <c r="H28" s="298">
        <f t="shared" si="13"/>
        <v>8770</v>
      </c>
      <c r="I28" s="297" t="str">
        <f t="shared" si="1"/>
        <v>ok</v>
      </c>
      <c r="J28" s="277">
        <v>10698</v>
      </c>
      <c r="K28" s="297">
        <f t="shared" si="2"/>
        <v>0</v>
      </c>
      <c r="L28" s="277">
        <f t="shared" si="14"/>
        <v>238497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11252</v>
      </c>
      <c r="S28" s="297">
        <f t="shared" si="5"/>
        <v>0</v>
      </c>
      <c r="T28" s="277">
        <v>264771</v>
      </c>
      <c r="U28" s="297">
        <f t="shared" si="32"/>
        <v>20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6</v>
      </c>
      <c r="AA28" s="297">
        <f t="shared" si="20"/>
        <v>863</v>
      </c>
      <c r="AB28" s="297">
        <f t="shared" si="21"/>
        <v>140.5</v>
      </c>
      <c r="AC28" s="297">
        <f t="shared" si="22"/>
        <v>143.83333333333334</v>
      </c>
      <c r="AD28" s="74">
        <f>ELEC!Q28</f>
        <v>5000</v>
      </c>
      <c r="AE28" s="74">
        <f t="shared" si="24"/>
        <v>833.33333333333337</v>
      </c>
      <c r="AF28" s="416">
        <f t="shared" si="25"/>
        <v>0.52083333333333337</v>
      </c>
      <c r="AG28" s="417">
        <f t="shared" si="26"/>
        <v>166.66666666666669</v>
      </c>
      <c r="AH28" s="417">
        <f t="shared" si="23"/>
        <v>-22.833333333333343</v>
      </c>
      <c r="AI28" s="74">
        <f t="shared" si="27"/>
        <v>1286.9198312236288</v>
      </c>
      <c r="AJ28" s="299">
        <f t="shared" si="9"/>
        <v>0.25738396624472576</v>
      </c>
      <c r="AK28" s="299">
        <f t="shared" si="30"/>
        <v>214.48663853727146</v>
      </c>
    </row>
    <row r="29" spans="1:37">
      <c r="A29" s="4">
        <f>ELEC!C29</f>
        <v>44009</v>
      </c>
      <c r="B29" s="277">
        <v>8741</v>
      </c>
      <c r="C29" s="297">
        <f t="shared" si="11"/>
        <v>7</v>
      </c>
      <c r="D29" s="277">
        <v>166182</v>
      </c>
      <c r="E29" s="297">
        <f>SUM(D29-D28)</f>
        <v>755</v>
      </c>
      <c r="F29" s="297">
        <f t="shared" si="0"/>
        <v>107.85714285714286</v>
      </c>
      <c r="G29" s="200"/>
      <c r="H29" s="298">
        <f t="shared" si="13"/>
        <v>8770</v>
      </c>
      <c r="I29" s="297" t="str">
        <f t="shared" si="1"/>
        <v>ok</v>
      </c>
      <c r="J29" s="277">
        <v>10698</v>
      </c>
      <c r="K29" s="297">
        <f t="shared" si="2"/>
        <v>0</v>
      </c>
      <c r="L29" s="277">
        <f t="shared" si="14"/>
        <v>238497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11252</v>
      </c>
      <c r="S29" s="297">
        <f t="shared" si="5"/>
        <v>0</v>
      </c>
      <c r="T29" s="277">
        <f t="shared" si="17"/>
        <v>264771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7</v>
      </c>
      <c r="AA29" s="297">
        <f t="shared" si="20"/>
        <v>755</v>
      </c>
      <c r="AB29" s="297">
        <f t="shared" si="21"/>
        <v>107.85714285714286</v>
      </c>
      <c r="AC29" s="297">
        <f t="shared" si="22"/>
        <v>107.85714285714286</v>
      </c>
      <c r="AD29" s="74">
        <f>ELEC!Q29</f>
        <v>5000</v>
      </c>
      <c r="AE29" s="74">
        <f t="shared" si="24"/>
        <v>714.28571428571433</v>
      </c>
      <c r="AF29" s="416">
        <f t="shared" si="25"/>
        <v>0.44642857142857145</v>
      </c>
      <c r="AG29" s="417">
        <f t="shared" si="26"/>
        <v>142.85714285714286</v>
      </c>
      <c r="AH29" s="417">
        <f t="shared" si="23"/>
        <v>-35</v>
      </c>
      <c r="AI29" s="74">
        <f t="shared" si="27"/>
        <v>1286.9198312236288</v>
      </c>
      <c r="AJ29" s="299">
        <f t="shared" si="9"/>
        <v>0.25738396624472576</v>
      </c>
      <c r="AK29" s="299">
        <f t="shared" si="30"/>
        <v>183.8456901748041</v>
      </c>
    </row>
    <row r="30" spans="1:37">
      <c r="A30" s="4">
        <f>ELEC!C30</f>
        <v>44010</v>
      </c>
      <c r="B30" s="277">
        <v>8748</v>
      </c>
      <c r="C30" s="297">
        <f t="shared" si="11"/>
        <v>7</v>
      </c>
      <c r="D30" s="277">
        <v>167174</v>
      </c>
      <c r="E30" s="297">
        <f t="shared" si="12"/>
        <v>992</v>
      </c>
      <c r="F30" s="297">
        <f t="shared" si="0"/>
        <v>141.71428571428572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238497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11252</v>
      </c>
      <c r="S30" s="297">
        <f t="shared" si="5"/>
        <v>0</v>
      </c>
      <c r="T30" s="277">
        <f t="shared" si="17"/>
        <v>264771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7</v>
      </c>
      <c r="AA30" s="297">
        <f t="shared" si="20"/>
        <v>992</v>
      </c>
      <c r="AB30" s="297">
        <f t="shared" si="21"/>
        <v>141.71428571428572</v>
      </c>
      <c r="AC30" s="297">
        <f t="shared" si="22"/>
        <v>141.71428571428572</v>
      </c>
      <c r="AD30" s="74">
        <f>ELEC!Q30</f>
        <v>6000</v>
      </c>
      <c r="AE30" s="74">
        <f t="shared" si="24"/>
        <v>857.14285714285711</v>
      </c>
      <c r="AF30" s="416">
        <f t="shared" si="25"/>
        <v>0.5357142857142857</v>
      </c>
      <c r="AG30" s="417">
        <f t="shared" si="26"/>
        <v>171.42857142857142</v>
      </c>
      <c r="AH30" s="417">
        <f t="shared" si="23"/>
        <v>-29.714285714285694</v>
      </c>
      <c r="AI30" s="74">
        <f t="shared" si="27"/>
        <v>1544.3037974683546</v>
      </c>
      <c r="AJ30" s="299">
        <f t="shared" si="9"/>
        <v>0.25738396624472576</v>
      </c>
      <c r="AK30" s="299">
        <f t="shared" si="30"/>
        <v>220.61482820976494</v>
      </c>
    </row>
    <row r="31" spans="1:37">
      <c r="A31" s="4">
        <f>ELEC!C31</f>
        <v>44011</v>
      </c>
      <c r="B31" s="277">
        <f t="shared" si="28"/>
        <v>8748</v>
      </c>
      <c r="C31" s="297">
        <f t="shared" si="11"/>
        <v>0</v>
      </c>
      <c r="D31" s="277">
        <f t="shared" si="28"/>
        <v>167174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238497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11252</v>
      </c>
      <c r="S31" s="297">
        <f t="shared" si="5"/>
        <v>0</v>
      </c>
      <c r="T31" s="277">
        <f t="shared" si="17"/>
        <v>264771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8748</v>
      </c>
      <c r="C32" s="297">
        <f t="shared" si="11"/>
        <v>0</v>
      </c>
      <c r="D32" s="277">
        <f t="shared" si="28"/>
        <v>167174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238497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11252</v>
      </c>
      <c r="S32" s="297">
        <f t="shared" si="5"/>
        <v>0</v>
      </c>
      <c r="T32" s="277">
        <f t="shared" si="17"/>
        <v>264771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153</v>
      </c>
      <c r="V33" s="40"/>
      <c r="X33">
        <v>341</v>
      </c>
      <c r="Z33" s="435">
        <f>SUM(Z3:Z32)</f>
        <v>153</v>
      </c>
    </row>
    <row r="34" spans="3:26">
      <c r="C34" s="40">
        <f>SUM(C3:C32)</f>
        <v>93</v>
      </c>
      <c r="K34" s="40">
        <f>SUM(K3:K32)</f>
        <v>9</v>
      </c>
      <c r="S34" s="40">
        <f>SUM(S3:S32)</f>
        <v>51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9633</v>
      </c>
      <c r="E6" s="3">
        <f>ELEC!Q24</f>
        <v>4000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11</v>
      </c>
      <c r="B16" s="3">
        <f>ELEC!AF17</f>
        <v>2471</v>
      </c>
      <c r="C16" s="3">
        <f>ELEC!N17</f>
        <v>15381</v>
      </c>
      <c r="D16" s="3">
        <f t="shared" si="0"/>
        <v>9381</v>
      </c>
      <c r="E16" s="3">
        <f>ELEC!Q17</f>
        <v>6000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-90.30000000000004</v>
      </c>
      <c r="J16" s="9">
        <f>'B5'!A18</f>
        <v>43996</v>
      </c>
    </row>
    <row r="17" spans="1:10">
      <c r="A17" s="3">
        <f>ELEC!T18+ELEC!X18+ELEC!AB18</f>
        <v>12</v>
      </c>
      <c r="B17" s="3">
        <f>ELEC!AF18</f>
        <v>0</v>
      </c>
      <c r="C17" s="3">
        <f>ELEC!N18</f>
        <v>15463</v>
      </c>
      <c r="D17" s="3">
        <f t="shared" si="0"/>
        <v>10463</v>
      </c>
      <c r="E17" s="3">
        <f>ELEC!Q18</f>
        <v>5000</v>
      </c>
      <c r="F17" s="3">
        <f>GEN!Z17</f>
        <v>8</v>
      </c>
      <c r="G17" s="3">
        <f>WATER!C20+WATER!H20</f>
        <v>0</v>
      </c>
      <c r="H17" s="3">
        <f>WATER!L20</f>
        <v>2</v>
      </c>
      <c r="I17" s="15">
        <f>WATER!BC20+WATER!BD20+WATER!BE21-Sheet1!G17</f>
        <v>-57.399999999999977</v>
      </c>
      <c r="J17" s="9">
        <f>'B5'!A19</f>
        <v>43997</v>
      </c>
    </row>
    <row r="18" spans="1:10">
      <c r="A18" s="3">
        <f>ELEC!T19+ELEC!X19+ELEC!AB19</f>
        <v>12</v>
      </c>
      <c r="B18" s="3">
        <f>ELEC!AF19</f>
        <v>5530</v>
      </c>
      <c r="C18" s="3">
        <f>ELEC!N19</f>
        <v>14854</v>
      </c>
      <c r="D18" s="3">
        <f t="shared" si="0"/>
        <v>11854</v>
      </c>
      <c r="E18" s="3">
        <f>ELEC!Q19</f>
        <v>3000</v>
      </c>
      <c r="F18" s="3">
        <f>GEN!Z18</f>
        <v>7</v>
      </c>
      <c r="G18" s="3">
        <f>WATER!C21+WATER!H21</f>
        <v>80</v>
      </c>
      <c r="H18" s="3">
        <f>WATER!L21</f>
        <v>8</v>
      </c>
      <c r="I18" s="15">
        <f>WATER!BC21+WATER!BD21+WATER!BE22-Sheet1!G18</f>
        <v>-115.89999999999998</v>
      </c>
      <c r="J18" s="9">
        <f>'B5'!A20</f>
        <v>43998</v>
      </c>
    </row>
    <row r="19" spans="1:10">
      <c r="A19" s="3">
        <f>ELEC!T20+ELEC!X20+ELEC!AB20</f>
        <v>13</v>
      </c>
      <c r="B19" s="3">
        <f>ELEC!AF20</f>
        <v>3223</v>
      </c>
      <c r="C19" s="3">
        <f>ELEC!N20</f>
        <v>17822</v>
      </c>
      <c r="D19" s="3">
        <f t="shared" si="0"/>
        <v>11822</v>
      </c>
      <c r="E19" s="3">
        <f>ELEC!Q20</f>
        <v>6000</v>
      </c>
      <c r="F19" s="3">
        <f>GEN!Z19</f>
        <v>5</v>
      </c>
      <c r="G19" s="3">
        <f>WATER!C22+WATER!H22</f>
        <v>0</v>
      </c>
      <c r="H19" s="3">
        <f>WATER!L22</f>
        <v>4</v>
      </c>
      <c r="I19" s="15">
        <f>WATER!BC22+WATER!BD22+WATER!BE23-Sheet1!G19</f>
        <v>189.4</v>
      </c>
      <c r="J19" s="9">
        <f>'B5'!A21</f>
        <v>43999</v>
      </c>
    </row>
    <row r="20" spans="1:10">
      <c r="A20" s="3">
        <f>ELEC!T21+ELEC!X21+ELEC!AB21</f>
        <v>20</v>
      </c>
      <c r="B20" s="3">
        <f>ELEC!AF21</f>
        <v>4794</v>
      </c>
      <c r="C20" s="3">
        <f>ELEC!N21</f>
        <v>18356</v>
      </c>
      <c r="D20" s="3">
        <f t="shared" si="0"/>
        <v>13356</v>
      </c>
      <c r="E20" s="3">
        <f>ELEC!Q21</f>
        <v>5000</v>
      </c>
      <c r="F20" s="3">
        <f>GEN!Z20</f>
        <v>8</v>
      </c>
      <c r="G20" s="3">
        <f>WATER!C23+WATER!H23</f>
        <v>338</v>
      </c>
      <c r="H20" s="3">
        <f>WATER!L23</f>
        <v>2</v>
      </c>
      <c r="I20" s="15">
        <f>WATER!BC23+WATER!BD23+WATER!BE24-Sheet1!G20</f>
        <v>-339.6</v>
      </c>
      <c r="J20" s="9">
        <f>'B5'!A22</f>
        <v>44000</v>
      </c>
    </row>
    <row r="21" spans="1:10">
      <c r="A21" s="3">
        <f>ELEC!T22+ELEC!X22+ELEC!AB22</f>
        <v>16</v>
      </c>
      <c r="B21" s="3">
        <f>ELEC!AF22</f>
        <v>2728</v>
      </c>
      <c r="C21" s="3">
        <f>ELEC!N22</f>
        <v>15602</v>
      </c>
      <c r="D21" s="3">
        <f t="shared" si="0"/>
        <v>12602</v>
      </c>
      <c r="E21" s="3">
        <f>ELEC!Q22</f>
        <v>3000</v>
      </c>
      <c r="F21" s="3">
        <f>GEN!Z21</f>
        <v>6</v>
      </c>
      <c r="G21" s="3">
        <f>WATER!C24+WATER!H24</f>
        <v>0</v>
      </c>
      <c r="H21" s="3">
        <f>WATER!L24</f>
        <v>3</v>
      </c>
      <c r="I21" s="15">
        <f>WATER!BC24+WATER!BD24+WATER!BE25-Sheet1!G21</f>
        <v>80.100000000000009</v>
      </c>
      <c r="J21" s="9">
        <f>'B5'!A23</f>
        <v>44001</v>
      </c>
    </row>
    <row r="22" spans="1:10">
      <c r="A22" s="3">
        <f>ELEC!T23+ELEC!X23+ELEC!AB23</f>
        <v>16</v>
      </c>
      <c r="B22" s="3">
        <f>ELEC!AF23</f>
        <v>3403</v>
      </c>
      <c r="C22" s="3">
        <f>ELEC!N23</f>
        <v>15615</v>
      </c>
      <c r="D22" s="3">
        <f t="shared" si="0"/>
        <v>13615</v>
      </c>
      <c r="E22" s="3">
        <f>ELEC!Q23</f>
        <v>2000</v>
      </c>
      <c r="F22" s="3">
        <f>GEN!Z22</f>
        <v>5</v>
      </c>
      <c r="G22" s="3">
        <f>WATER!C25+WATER!H25</f>
        <v>246</v>
      </c>
      <c r="H22" s="3">
        <f>WATER!L25</f>
        <v>2</v>
      </c>
      <c r="I22" s="15">
        <f>WATER!BC25+WATER!BD25+WATER!BE26-Sheet1!G22</f>
        <v>-291.49999999999994</v>
      </c>
      <c r="J22" s="9">
        <f>'B5'!A24</f>
        <v>44002</v>
      </c>
    </row>
    <row r="23" spans="1:10">
      <c r="A23" s="3">
        <f>ELEC!T24+ELEC!X24+ELEC!AB24</f>
        <v>14</v>
      </c>
      <c r="B23" s="3">
        <f>ELEC!AF24</f>
        <v>3150</v>
      </c>
      <c r="C23" s="3">
        <f>ELEC!N24</f>
        <v>16091</v>
      </c>
      <c r="D23" s="3">
        <f t="shared" si="0"/>
        <v>12091</v>
      </c>
      <c r="E23" s="3">
        <f>ELEC!Q24</f>
        <v>4000</v>
      </c>
      <c r="F23" s="3">
        <f>GEN!Z23</f>
        <v>3</v>
      </c>
      <c r="G23" s="3">
        <f>WATER!C26+WATER!H26</f>
        <v>0</v>
      </c>
      <c r="H23" s="3">
        <f>WATER!L26</f>
        <v>4</v>
      </c>
      <c r="I23" s="15">
        <f>WATER!BC26+WATER!BD26+WATER!BE27-Sheet1!G23</f>
        <v>-91.1</v>
      </c>
      <c r="J23" s="9">
        <f>'B5'!A25</f>
        <v>44003</v>
      </c>
    </row>
    <row r="24" spans="1:10">
      <c r="A24" s="3">
        <f>ELEC!T25+ELEC!X25+ELEC!AB25</f>
        <v>13</v>
      </c>
      <c r="B24" s="3">
        <f>ELEC!AF25</f>
        <v>3117</v>
      </c>
      <c r="C24" s="3">
        <f>ELEC!N25</f>
        <v>15947</v>
      </c>
      <c r="D24" s="3">
        <f t="shared" si="0"/>
        <v>11947</v>
      </c>
      <c r="E24" s="3">
        <f>ELEC!Q25</f>
        <v>4000</v>
      </c>
      <c r="F24" s="3">
        <f>GEN!Z24</f>
        <v>6</v>
      </c>
      <c r="G24" s="3">
        <f>WATER!C27+WATER!H27</f>
        <v>0</v>
      </c>
      <c r="H24" s="3">
        <f>WATER!L27</f>
        <v>7</v>
      </c>
      <c r="I24" s="15">
        <f>WATER!BC27+WATER!BD27+WATER!BE28-Sheet1!G24</f>
        <v>-74.700000000000031</v>
      </c>
      <c r="J24" s="9">
        <f>'B5'!A26</f>
        <v>44004</v>
      </c>
    </row>
    <row r="25" spans="1:10">
      <c r="A25" s="3">
        <f>ELEC!T26+ELEC!X26+ELEC!AB26</f>
        <v>16</v>
      </c>
      <c r="B25" s="3">
        <f>ELEC!AF26</f>
        <v>3085</v>
      </c>
      <c r="C25" s="3">
        <f>ELEC!N26</f>
        <v>15711</v>
      </c>
      <c r="D25" s="3">
        <f t="shared" si="0"/>
        <v>11711</v>
      </c>
      <c r="E25" s="3">
        <f>ELEC!Q26</f>
        <v>4000</v>
      </c>
      <c r="F25" s="3">
        <f>GEN!Z25</f>
        <v>6</v>
      </c>
      <c r="G25" s="3">
        <f>WATER!C28+WATER!H28</f>
        <v>0</v>
      </c>
      <c r="H25" s="3">
        <f>WATER!L28</f>
        <v>0</v>
      </c>
      <c r="I25" s="15">
        <f>WATER!BC28+WATER!BD28+WATER!BE29-Sheet1!G25</f>
        <v>0.29999999999996874</v>
      </c>
      <c r="J25" s="9">
        <f>'B5'!A27</f>
        <v>44005</v>
      </c>
    </row>
    <row r="26" spans="1:10">
      <c r="A26" s="3">
        <f>ELEC!T27+ELEC!X27+ELEC!AB27</f>
        <v>16</v>
      </c>
      <c r="B26" s="3">
        <f>ELEC!AF27</f>
        <v>3390</v>
      </c>
      <c r="C26" s="3">
        <f>ELEC!N27</f>
        <v>17638</v>
      </c>
      <c r="D26" s="3">
        <f t="shared" si="0"/>
        <v>13638</v>
      </c>
      <c r="E26" s="3">
        <f>ELEC!Q27</f>
        <v>4000</v>
      </c>
      <c r="F26" s="3">
        <f>GEN!Z26</f>
        <v>6</v>
      </c>
      <c r="G26" s="3">
        <f>WATER!C29+WATER!H29</f>
        <v>254</v>
      </c>
      <c r="H26" s="3">
        <f>WATER!L29</f>
        <v>0</v>
      </c>
      <c r="I26" s="15">
        <f>WATER!BC29+WATER!BD29+WATER!BE30-Sheet1!G26</f>
        <v>-170.89999999999998</v>
      </c>
      <c r="J26" s="9">
        <f>'B5'!A28</f>
        <v>44006</v>
      </c>
    </row>
    <row r="27" spans="1:10">
      <c r="A27" s="3">
        <f>ELEC!T28+ELEC!X28+ELEC!AB28</f>
        <v>13</v>
      </c>
      <c r="B27" s="3">
        <f>ELEC!AF28</f>
        <v>3204</v>
      </c>
      <c r="C27" s="3">
        <f>ELEC!N28</f>
        <v>15515</v>
      </c>
      <c r="D27" s="3">
        <f t="shared" si="0"/>
        <v>10515</v>
      </c>
      <c r="E27" s="3">
        <f>ELEC!Q28</f>
        <v>5000</v>
      </c>
      <c r="F27" s="3">
        <f>GEN!Z27</f>
        <v>5</v>
      </c>
      <c r="G27" s="3">
        <f>WATER!C30+WATER!H30</f>
        <v>0</v>
      </c>
      <c r="H27" s="3">
        <f>WATER!L30</f>
        <v>9</v>
      </c>
      <c r="I27" s="15">
        <f>WATER!BC30+WATER!BD30+WATER!BE31-Sheet1!G27</f>
        <v>-13.800000000000004</v>
      </c>
      <c r="J27" s="9">
        <f>'B5'!A29</f>
        <v>44007</v>
      </c>
    </row>
    <row r="28" spans="1:10">
      <c r="A28" s="3">
        <f>ELEC!T29+ELEC!X29+ELEC!AB29</f>
        <v>14</v>
      </c>
      <c r="B28" s="3">
        <f>ELEC!AF29</f>
        <v>3261</v>
      </c>
      <c r="C28" s="3">
        <f>ELEC!N29</f>
        <v>17211</v>
      </c>
      <c r="D28" s="3">
        <f t="shared" si="0"/>
        <v>12211</v>
      </c>
      <c r="E28" s="3">
        <f>ELEC!Q29</f>
        <v>5000</v>
      </c>
      <c r="F28" s="3">
        <f>GEN!Z28</f>
        <v>6</v>
      </c>
      <c r="G28" s="3">
        <f>WATER!C31+WATER!H31</f>
        <v>74</v>
      </c>
      <c r="H28" s="3">
        <f>WATER!L31</f>
        <v>9</v>
      </c>
      <c r="I28" s="15">
        <f>WATER!BC31+WATER!BD31+WATER!BE32-Sheet1!G28</f>
        <v>-183.8</v>
      </c>
      <c r="J28" s="9">
        <f>'B5'!A30</f>
        <v>44008</v>
      </c>
    </row>
    <row r="29" spans="1:10">
      <c r="A29" s="3">
        <f>ELEC!T30+ELEC!X30+ELEC!AB30</f>
        <v>22</v>
      </c>
      <c r="B29" s="3">
        <f>ELEC!AF30</f>
        <v>4678</v>
      </c>
      <c r="C29" s="3">
        <f>ELEC!N30</f>
        <v>18814</v>
      </c>
      <c r="D29" s="3">
        <f t="shared" si="0"/>
        <v>12814</v>
      </c>
      <c r="E29" s="3">
        <f>ELEC!Q30</f>
        <v>6000</v>
      </c>
      <c r="F29" s="3">
        <f>GEN!Z29</f>
        <v>7</v>
      </c>
      <c r="G29" s="3">
        <f>WATER!C32+WATER!H32</f>
        <v>0</v>
      </c>
      <c r="H29" s="3">
        <f>WATER!L32</f>
        <v>9</v>
      </c>
      <c r="I29" s="15">
        <f>WATER!BC32+WATER!BD32+WATER!BE33-Sheet1!G29</f>
        <v>-51.4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7</v>
      </c>
      <c r="G30" s="3">
        <f>WATER!C33+WATER!H33</f>
        <v>154</v>
      </c>
      <c r="H30" s="3">
        <f>WATER!L33</f>
        <v>11</v>
      </c>
      <c r="I30" s="15">
        <f>WATER!BC33+WATER!BD33+WATER!BE34-Sheet1!G30</f>
        <v>-106.39999999999999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352</v>
      </c>
      <c r="C19" s="77">
        <f>'B5'!AH19</f>
        <v>0</v>
      </c>
      <c r="D19" s="77">
        <f>GEN!AI17</f>
        <v>1544.3037974683546</v>
      </c>
      <c r="E19" s="248">
        <f t="shared" si="0"/>
        <v>1896.3037974683546</v>
      </c>
      <c r="F19" s="76">
        <f>WATER!L19</f>
        <v>12</v>
      </c>
      <c r="G19" s="79">
        <f>WATER!BG19</f>
        <v>-29.40000000000002</v>
      </c>
      <c r="H19" s="80">
        <f>ELEC!AF17</f>
        <v>2471</v>
      </c>
      <c r="I19" s="80">
        <f>ELEC!Q17</f>
        <v>6000</v>
      </c>
      <c r="J19" s="80">
        <f>ELEC!R17</f>
        <v>9381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346</v>
      </c>
      <c r="C20" s="77">
        <f>'B5'!AH20</f>
        <v>0</v>
      </c>
      <c r="D20" s="77">
        <f>GEN!AI18</f>
        <v>1286.9198312236288</v>
      </c>
      <c r="E20" s="248">
        <f t="shared" si="0"/>
        <v>1632.9198312236288</v>
      </c>
      <c r="F20" s="76">
        <f>WATER!L20</f>
        <v>2</v>
      </c>
      <c r="G20" s="79">
        <f>WATER!BG20</f>
        <v>-60.000000000000014</v>
      </c>
      <c r="H20" s="80">
        <f>ELEC!AF18</f>
        <v>0</v>
      </c>
      <c r="I20" s="80">
        <f>ELEC!Q18</f>
        <v>5000</v>
      </c>
      <c r="J20" s="80">
        <f>ELEC!R18</f>
        <v>10463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312</v>
      </c>
      <c r="C21" s="77">
        <f>'B5'!AH21</f>
        <v>0</v>
      </c>
      <c r="D21" s="77">
        <f>GEN!AI19</f>
        <v>772.15189873417728</v>
      </c>
      <c r="E21" s="248">
        <f t="shared" si="0"/>
        <v>1084.1518987341774</v>
      </c>
      <c r="F21" s="76">
        <f>WATER!L21</f>
        <v>8</v>
      </c>
      <c r="G21" s="79">
        <f>WATER!BG21</f>
        <v>-11.799999999999969</v>
      </c>
      <c r="H21" s="80">
        <f>ELEC!AF19</f>
        <v>5530</v>
      </c>
      <c r="I21" s="80">
        <f>ELEC!Q19</f>
        <v>3000</v>
      </c>
      <c r="J21" s="80">
        <f>ELEC!R19</f>
        <v>11854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351</v>
      </c>
      <c r="C22" s="77">
        <f>'B5'!AH22</f>
        <v>237.59999999997672</v>
      </c>
      <c r="D22" s="77">
        <f>GEN!AI20</f>
        <v>1544.3037974683546</v>
      </c>
      <c r="E22" s="248">
        <f t="shared" si="0"/>
        <v>2132.9037974683315</v>
      </c>
      <c r="F22" s="76">
        <f>WATER!L22</f>
        <v>4</v>
      </c>
      <c r="G22" s="79">
        <f>WATER!BG22</f>
        <v>-22.299999999999997</v>
      </c>
      <c r="H22" s="80">
        <f>ELEC!AF20</f>
        <v>3223</v>
      </c>
      <c r="I22" s="80">
        <f>ELEC!Q20</f>
        <v>6000</v>
      </c>
      <c r="J22" s="80">
        <f>ELEC!R20</f>
        <v>11822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482</v>
      </c>
      <c r="C23" s="77">
        <f>'B5'!AH23</f>
        <v>0</v>
      </c>
      <c r="D23" s="77">
        <f>GEN!AI21</f>
        <v>1286.9198312236288</v>
      </c>
      <c r="E23" s="248">
        <f t="shared" si="0"/>
        <v>1768.9198312236288</v>
      </c>
      <c r="F23" s="76">
        <f>WATER!L23</f>
        <v>2</v>
      </c>
      <c r="G23" s="79">
        <f>WATER!BG23</f>
        <v>101</v>
      </c>
      <c r="H23" s="80">
        <f>ELEC!AF21</f>
        <v>4794</v>
      </c>
      <c r="I23" s="80">
        <f>ELEC!Q21</f>
        <v>5000</v>
      </c>
      <c r="J23" s="80">
        <f>ELEC!R21</f>
        <v>13356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279</v>
      </c>
      <c r="C24" s="77">
        <f>'B5'!AH24</f>
        <v>0</v>
      </c>
      <c r="D24" s="77">
        <f>GEN!AI22</f>
        <v>772.15189873417728</v>
      </c>
      <c r="E24" s="248">
        <f t="shared" si="0"/>
        <v>1051.1518987341774</v>
      </c>
      <c r="F24" s="76">
        <f>WATER!L24</f>
        <v>3</v>
      </c>
      <c r="G24" s="79">
        <f>WATER!BG24</f>
        <v>-26.100000000000009</v>
      </c>
      <c r="H24" s="80">
        <f>ELEC!AF22</f>
        <v>2728</v>
      </c>
      <c r="I24" s="80">
        <f>ELEC!Q22</f>
        <v>3000</v>
      </c>
      <c r="J24" s="80">
        <f>ELEC!R22</f>
        <v>12602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382</v>
      </c>
      <c r="C25" s="77">
        <f>'B5'!AH25</f>
        <v>0</v>
      </c>
      <c r="D25" s="77">
        <f>GEN!AI23</f>
        <v>514.76793248945148</v>
      </c>
      <c r="E25" s="248">
        <f t="shared" si="0"/>
        <v>896.76793248945148</v>
      </c>
      <c r="F25" s="76">
        <f>WATER!L25</f>
        <v>2</v>
      </c>
      <c r="G25" s="79">
        <f>WATER!BG25</f>
        <v>102.60000000000002</v>
      </c>
      <c r="H25" s="80">
        <f>ELEC!AF23</f>
        <v>3403</v>
      </c>
      <c r="I25" s="80">
        <f>ELEC!Q23</f>
        <v>2000</v>
      </c>
      <c r="J25" s="80">
        <f>ELEC!R23</f>
        <v>13615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449</v>
      </c>
      <c r="C26" s="77">
        <f>'B5'!AH26</f>
        <v>0</v>
      </c>
      <c r="D26" s="77">
        <f>GEN!AI24</f>
        <v>1029.535864978903</v>
      </c>
      <c r="E26" s="248">
        <f t="shared" si="0"/>
        <v>1478.535864978903</v>
      </c>
      <c r="F26" s="76">
        <f>WATER!L26</f>
        <v>4</v>
      </c>
      <c r="G26" s="79">
        <f>WATER!BG26</f>
        <v>-81.499999999999986</v>
      </c>
      <c r="H26" s="80">
        <f>ELEC!AF24</f>
        <v>3150</v>
      </c>
      <c r="I26" s="80">
        <f>ELEC!Q24</f>
        <v>4000</v>
      </c>
      <c r="J26" s="80">
        <f>ELEC!R24</f>
        <v>12091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318</v>
      </c>
      <c r="C27" s="77">
        <f>'B5'!AH27</f>
        <v>0</v>
      </c>
      <c r="D27" s="77">
        <f>GEN!AI25</f>
        <v>1029.535864978903</v>
      </c>
      <c r="E27" s="248">
        <f t="shared" si="0"/>
        <v>1347.535864978903</v>
      </c>
      <c r="F27" s="76">
        <f>WATER!L27</f>
        <v>7</v>
      </c>
      <c r="G27" s="79">
        <f>WATER!BG27</f>
        <v>-11.399999999999991</v>
      </c>
      <c r="H27" s="80">
        <f>ELEC!AF25</f>
        <v>3117</v>
      </c>
      <c r="I27" s="80">
        <f>ELEC!Q25</f>
        <v>4000</v>
      </c>
      <c r="J27" s="80">
        <f>ELEC!R25</f>
        <v>11947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434</v>
      </c>
      <c r="C28" s="77">
        <f>'B5'!AH28</f>
        <v>0</v>
      </c>
      <c r="D28" s="77">
        <f>GEN!AI26</f>
        <v>1029.535864978903</v>
      </c>
      <c r="E28" s="248">
        <f t="shared" si="0"/>
        <v>1463.535864978903</v>
      </c>
      <c r="F28" s="76">
        <f>WATER!L28</f>
        <v>0</v>
      </c>
      <c r="G28" s="79">
        <f>WATER!BG28</f>
        <v>-72.30000000000004</v>
      </c>
      <c r="H28" s="80">
        <f>ELEC!AF26</f>
        <v>3085</v>
      </c>
      <c r="I28" s="80">
        <f>ELEC!Q26</f>
        <v>4000</v>
      </c>
      <c r="J28" s="80">
        <f>ELEC!R26</f>
        <v>11711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322</v>
      </c>
      <c r="C29" s="77">
        <f>'B5'!AH29</f>
        <v>281</v>
      </c>
      <c r="D29" s="77">
        <f>GEN!AI27</f>
        <v>1029.535864978903</v>
      </c>
      <c r="E29" s="78">
        <f t="shared" si="0"/>
        <v>1632.535864978903</v>
      </c>
      <c r="F29" s="76">
        <f>WATER!L29</f>
        <v>0</v>
      </c>
      <c r="G29" s="79">
        <f>WATER!BG29</f>
        <v>44.699999999999989</v>
      </c>
      <c r="H29" s="80">
        <f>ELEC!AF27</f>
        <v>3390</v>
      </c>
      <c r="I29" s="80">
        <f>ELEC!Q27</f>
        <v>4000</v>
      </c>
      <c r="J29" s="80">
        <f>ELEC!R27</f>
        <v>13638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341</v>
      </c>
      <c r="C30" s="77">
        <f>'B5'!AH30</f>
        <v>0</v>
      </c>
      <c r="D30" s="77">
        <f>GEN!AI28</f>
        <v>1286.9198312236288</v>
      </c>
      <c r="E30" s="78">
        <f t="shared" si="0"/>
        <v>1627.9198312236288</v>
      </c>
      <c r="F30" s="76">
        <f>WATER!L30</f>
        <v>9</v>
      </c>
      <c r="G30" s="79">
        <f>WATER!BG30</f>
        <v>-35.399999999999984</v>
      </c>
      <c r="H30" s="80">
        <f>ELEC!AF28</f>
        <v>3204</v>
      </c>
      <c r="I30" s="80">
        <f>ELEC!Q28</f>
        <v>5000</v>
      </c>
      <c r="J30" s="80">
        <f>ELEC!R28</f>
        <v>10515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372</v>
      </c>
      <c r="C31" s="77">
        <f>'B5'!AH31</f>
        <v>0</v>
      </c>
      <c r="D31" s="77">
        <f>GEN!AI29</f>
        <v>1286.9198312236288</v>
      </c>
      <c r="E31" s="78">
        <f t="shared" si="0"/>
        <v>1658.9198312236288</v>
      </c>
      <c r="F31" s="76">
        <f>WATER!L31</f>
        <v>9</v>
      </c>
      <c r="G31" s="79">
        <f>WATER!BG31</f>
        <v>7.1999999999999886</v>
      </c>
      <c r="H31" s="80">
        <f>ELEC!AF29</f>
        <v>3261</v>
      </c>
      <c r="I31" s="80">
        <f>ELEC!Q29</f>
        <v>5000</v>
      </c>
      <c r="J31" s="80">
        <f>ELEC!R29</f>
        <v>12211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397</v>
      </c>
      <c r="C32" s="77">
        <f>'B5'!AH32</f>
        <v>0</v>
      </c>
      <c r="D32" s="77">
        <f>GEN!AI30</f>
        <v>1544.3037974683546</v>
      </c>
      <c r="E32" s="78">
        <f t="shared" si="0"/>
        <v>1941.3037974683546</v>
      </c>
      <c r="F32" s="76">
        <f>WATER!L32</f>
        <v>9</v>
      </c>
      <c r="G32" s="79">
        <f>WATER!BG32</f>
        <v>-68.400000000000006</v>
      </c>
      <c r="H32" s="80">
        <f>ELEC!AF30</f>
        <v>4678</v>
      </c>
      <c r="I32" s="80">
        <f>ELEC!Q30</f>
        <v>6000</v>
      </c>
      <c r="J32" s="80">
        <f>ELEC!R30</f>
        <v>12814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11</v>
      </c>
      <c r="G33" s="79">
        <f>WATER!BG33</f>
        <v>8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4</v>
      </c>
      <c r="G23">
        <f t="shared" si="1"/>
        <v>428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6</v>
      </c>
      <c r="E27">
        <f t="shared" si="0"/>
        <v>540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4</v>
      </c>
      <c r="E28">
        <f t="shared" si="0"/>
        <v>360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6</v>
      </c>
      <c r="E29">
        <f t="shared" si="0"/>
        <v>540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4</v>
      </c>
      <c r="E30">
        <f t="shared" si="0"/>
        <v>360</v>
      </c>
      <c r="F30">
        <f>'B5'!AM29</f>
        <v>5</v>
      </c>
      <c r="G30">
        <f t="shared" si="1"/>
        <v>535</v>
      </c>
    </row>
    <row r="31" spans="3:7">
      <c r="C31" s="100">
        <v>42455</v>
      </c>
      <c r="D31">
        <f>'B5'!AL30</f>
        <v>5</v>
      </c>
      <c r="E31">
        <f t="shared" si="0"/>
        <v>450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6</v>
      </c>
      <c r="E33">
        <f t="shared" si="0"/>
        <v>540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zoomScale="80" zoomScaleNormal="80" workbookViewId="0">
      <selection activeCell="K32" sqref="K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0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0">
        <v>8029660</v>
      </c>
      <c r="G4" s="161">
        <f t="shared" ref="G4:G33" si="0">F4-F3</f>
        <v>897</v>
      </c>
      <c r="H4" s="580">
        <v>24627769</v>
      </c>
      <c r="I4" s="162">
        <f t="shared" ref="I4:I34" si="1">H4-H3</f>
        <v>3020</v>
      </c>
      <c r="J4" s="582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149.29893053252258</v>
      </c>
      <c r="P4" s="307">
        <f>SUM(L4:O4)</f>
        <v>695.74005822738161</v>
      </c>
      <c r="Q4" s="307">
        <f>SUM(-tanks!AX6*tanks!$AU$36)</f>
        <v>248.83787600000736</v>
      </c>
      <c r="R4" s="307">
        <f>SUM(P4:Q4)</f>
        <v>944.57793422738894</v>
      </c>
      <c r="S4" s="309">
        <f>SUM(ELEC!N3)</f>
        <v>14293</v>
      </c>
      <c r="T4" s="346">
        <f>IF(S4&gt;0,R4/S4,0)</f>
        <v>6.6086751152829276E-2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79"/>
      <c r="AC4" s="680"/>
    </row>
    <row r="5" spans="1:30">
      <c r="A5" s="164">
        <f>ELEC!C4</f>
        <v>43984</v>
      </c>
      <c r="B5" s="578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8">
        <v>8030570</v>
      </c>
      <c r="G5" s="161">
        <f t="shared" si="0"/>
        <v>910</v>
      </c>
      <c r="H5" s="578">
        <v>24630940</v>
      </c>
      <c r="I5" s="162">
        <f t="shared" si="1"/>
        <v>3171</v>
      </c>
      <c r="J5" s="586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149.29893053252258</v>
      </c>
      <c r="P5" s="307">
        <f t="shared" ref="P5:P33" si="9">SUM(L5:O5)</f>
        <v>685.78450267182609</v>
      </c>
      <c r="Q5" s="307">
        <f>SUM(-tanks!AX7*tanks!$AU$36)</f>
        <v>124.40287999999669</v>
      </c>
      <c r="R5" s="307">
        <f t="shared" ref="R5:R33" si="10">SUM(P5:Q5)</f>
        <v>810.18738267182277</v>
      </c>
      <c r="S5" s="309">
        <f>SUM(ELEC!N4)</f>
        <v>13728</v>
      </c>
      <c r="T5" s="346">
        <f>IF(S5&gt;0,R5/S5,0)</f>
        <v>5.9017146173646763E-2</v>
      </c>
      <c r="U5" s="256"/>
      <c r="V5" s="673"/>
      <c r="W5" s="674"/>
      <c r="X5" s="674"/>
      <c r="Y5" s="675"/>
      <c r="Z5" s="26" t="s">
        <v>203</v>
      </c>
      <c r="AA5" s="271">
        <f>'[2]EDl log'!AA22</f>
        <v>5000</v>
      </c>
      <c r="AB5" s="681"/>
      <c r="AC5" s="682"/>
    </row>
    <row r="6" spans="1:30">
      <c r="A6" s="164">
        <f>ELEC!C5</f>
        <v>43985</v>
      </c>
      <c r="B6" s="566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6">
        <v>8031383</v>
      </c>
      <c r="G6" s="161">
        <f t="shared" si="0"/>
        <v>813</v>
      </c>
      <c r="H6" s="566">
        <v>24635178</v>
      </c>
      <c r="I6" s="162">
        <f t="shared" si="1"/>
        <v>4238</v>
      </c>
      <c r="J6" s="566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149.29893053252258</v>
      </c>
      <c r="P6" s="307">
        <f t="shared" si="9"/>
        <v>714.53674147779623</v>
      </c>
      <c r="Q6" s="307">
        <f>SUM(-tanks!AX8*tanks!$AU$36)</f>
        <v>395.92190400000385</v>
      </c>
      <c r="R6" s="307">
        <f t="shared" si="10"/>
        <v>1110.4586454778</v>
      </c>
      <c r="S6" s="309">
        <f>SUM(ELEC!N5)</f>
        <v>14416</v>
      </c>
      <c r="T6" s="346">
        <f t="shared" ref="T6:T33" si="12">IF(S6&gt;0,R6/S6,0)</f>
        <v>7.7029595274542173E-2</v>
      </c>
      <c r="V6" s="676"/>
      <c r="W6" s="677"/>
      <c r="X6" s="677"/>
      <c r="Y6" s="678"/>
      <c r="Z6" s="3"/>
      <c r="AA6" s="3"/>
      <c r="AB6" s="681"/>
      <c r="AC6" s="682"/>
    </row>
    <row r="7" spans="1:30" ht="15" customHeight="1">
      <c r="A7" s="164">
        <f>ELEC!C6</f>
        <v>43986</v>
      </c>
      <c r="B7" s="588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8">
        <v>8032171</v>
      </c>
      <c r="G7" s="161">
        <f t="shared" si="0"/>
        <v>788</v>
      </c>
      <c r="H7" s="588">
        <v>24638023</v>
      </c>
      <c r="I7" s="162">
        <f t="shared" si="1"/>
        <v>2845</v>
      </c>
      <c r="J7" s="586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149.29893053252258</v>
      </c>
      <c r="P7" s="307">
        <f t="shared" si="9"/>
        <v>630.30722240648606</v>
      </c>
      <c r="Q7" s="307">
        <f>SUM(-tanks!AX9*tanks!$AU$36)</f>
        <v>-368.91959999999801</v>
      </c>
      <c r="R7" s="307">
        <f t="shared" si="10"/>
        <v>261.38762240648805</v>
      </c>
      <c r="S7" s="309">
        <f>SUM(ELEC!N6)</f>
        <v>12453</v>
      </c>
      <c r="T7" s="346">
        <f t="shared" si="12"/>
        <v>2.0989931936600661E-2</v>
      </c>
      <c r="V7" s="669" t="s">
        <v>204</v>
      </c>
      <c r="W7" s="670"/>
      <c r="X7" s="671" t="s">
        <v>205</v>
      </c>
      <c r="Y7" s="672"/>
      <c r="Z7" s="670"/>
      <c r="AA7" s="26"/>
      <c r="AB7" s="683"/>
      <c r="AC7" s="684"/>
    </row>
    <row r="8" spans="1:30" ht="15.75" customHeight="1">
      <c r="A8" s="164">
        <f>ELEC!C7</f>
        <v>43987</v>
      </c>
      <c r="B8" s="566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6">
        <v>8032954</v>
      </c>
      <c r="G8" s="161">
        <f t="shared" si="0"/>
        <v>783</v>
      </c>
      <c r="H8" s="566">
        <v>24641021</v>
      </c>
      <c r="I8" s="162">
        <f t="shared" si="1"/>
        <v>2998</v>
      </c>
      <c r="J8" s="566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149.29893053252258</v>
      </c>
      <c r="P8" s="307">
        <f t="shared" si="9"/>
        <v>648.46708973650266</v>
      </c>
      <c r="Q8" s="307">
        <f>SUM(-tanks!AX10*tanks!$AU$36)</f>
        <v>309.18383999999804</v>
      </c>
      <c r="R8" s="307">
        <f t="shared" si="10"/>
        <v>957.65092973650076</v>
      </c>
      <c r="S8" s="309">
        <f>SUM(ELEC!N7)</f>
        <v>13633</v>
      </c>
      <c r="T8" s="346">
        <f>IF(S8&gt;0,R8/S8,0)</f>
        <v>7.0245061962627503E-2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6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6">
        <v>8033888</v>
      </c>
      <c r="G9" s="161">
        <f t="shared" si="0"/>
        <v>934</v>
      </c>
      <c r="H9" s="566">
        <v>24644340</v>
      </c>
      <c r="I9" s="162">
        <f t="shared" si="1"/>
        <v>3319</v>
      </c>
      <c r="J9" s="566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149.29893053252258</v>
      </c>
      <c r="P9" s="307">
        <f t="shared" si="9"/>
        <v>693.06543136171001</v>
      </c>
      <c r="Q9" s="307">
        <f>SUM(-tanks!AX11*tanks!$AU$36)</f>
        <v>169.90399999999971</v>
      </c>
      <c r="R9" s="307">
        <f>SUM(P9:Q9)</f>
        <v>862.96943136170967</v>
      </c>
      <c r="S9" s="309">
        <f>SUM(ELEC!N8)</f>
        <v>13778</v>
      </c>
      <c r="T9" s="346">
        <f t="shared" si="12"/>
        <v>6.2633867859029593E-2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6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6">
        <v>8035096</v>
      </c>
      <c r="G10" s="161">
        <f t="shared" si="0"/>
        <v>1208</v>
      </c>
      <c r="H10" s="566">
        <v>24648943</v>
      </c>
      <c r="I10" s="162">
        <f t="shared" si="1"/>
        <v>4603</v>
      </c>
      <c r="J10" s="566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149.29893053252258</v>
      </c>
      <c r="P10" s="307">
        <f t="shared" si="9"/>
        <v>826.03259554081455</v>
      </c>
      <c r="Q10" s="307">
        <f>SUM(-tanks!AX12*tanks!$AU$36)</f>
        <v>277.38900000000507</v>
      </c>
      <c r="R10" s="307">
        <f t="shared" si="10"/>
        <v>1103.4215955408197</v>
      </c>
      <c r="S10" s="309">
        <f>SUM(ELEC!N9)</f>
        <v>16205</v>
      </c>
      <c r="T10" s="346">
        <f t="shared" si="12"/>
        <v>6.809142829625546E-2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89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89">
        <v>8036024</v>
      </c>
      <c r="G11" s="161">
        <f t="shared" si="0"/>
        <v>928</v>
      </c>
      <c r="H11" s="589">
        <v>24652464</v>
      </c>
      <c r="I11" s="162">
        <f t="shared" si="1"/>
        <v>3521</v>
      </c>
      <c r="J11" s="586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149.29893053252258</v>
      </c>
      <c r="P11" s="307">
        <f t="shared" si="9"/>
        <v>742.83259554081451</v>
      </c>
      <c r="Q11" s="307">
        <f>SUM(-tanks!AX13*tanks!$AU$36)</f>
        <v>233.39007999999805</v>
      </c>
      <c r="R11" s="307">
        <f t="shared" si="10"/>
        <v>976.22267554081259</v>
      </c>
      <c r="S11" s="309">
        <f>SUM(ELEC!N10)</f>
        <v>15745</v>
      </c>
      <c r="T11" s="346">
        <f t="shared" si="12"/>
        <v>6.2002075296336147E-2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6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6">
        <v>8037265</v>
      </c>
      <c r="G12" s="161">
        <f t="shared" si="0"/>
        <v>1241</v>
      </c>
      <c r="H12" s="566">
        <v>24655859</v>
      </c>
      <c r="I12" s="162">
        <f t="shared" si="1"/>
        <v>3395</v>
      </c>
      <c r="J12" s="566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149.29893053252258</v>
      </c>
      <c r="P12" s="307">
        <f t="shared" si="9"/>
        <v>786.91087083103002</v>
      </c>
      <c r="Q12" s="307">
        <f>SUM(-tanks!AX14*tanks!$AU$36)</f>
        <v>227.92621600000098</v>
      </c>
      <c r="R12" s="307">
        <f t="shared" si="10"/>
        <v>1014.837086831031</v>
      </c>
      <c r="S12" s="309">
        <f>SUM(ELEC!N11)</f>
        <v>15283</v>
      </c>
      <c r="T12" s="346">
        <f t="shared" si="12"/>
        <v>6.6403002475366818E-2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6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6">
        <v>8037688</v>
      </c>
      <c r="G13" s="161">
        <f t="shared" si="0"/>
        <v>423</v>
      </c>
      <c r="H13" s="566">
        <v>24658386</v>
      </c>
      <c r="I13" s="162">
        <f t="shared" si="1"/>
        <v>2527</v>
      </c>
      <c r="J13" s="566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149.29893053252258</v>
      </c>
      <c r="P13" s="307">
        <f t="shared" si="9"/>
        <v>573.99146784595541</v>
      </c>
      <c r="Q13" s="307">
        <f>SUM(-tanks!AX15*tanks!$AU$36)</f>
        <v>590.61945599998865</v>
      </c>
      <c r="R13" s="307">
        <f t="shared" si="10"/>
        <v>1164.6109238459439</v>
      </c>
      <c r="S13" s="309">
        <f>SUM(ELEC!N12)</f>
        <v>16634</v>
      </c>
      <c r="T13" s="346">
        <f t="shared" si="12"/>
        <v>7.0013882640732467E-2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64">
        <f>ELEC!C13</f>
        <v>43993</v>
      </c>
      <c r="B14" s="566">
        <v>50054654</v>
      </c>
      <c r="C14" s="662">
        <f>SUM(B15+B14-B13)</f>
        <v>6667</v>
      </c>
      <c r="D14" s="666">
        <f t="shared" si="8"/>
        <v>6668</v>
      </c>
      <c r="E14" s="666">
        <f t="shared" si="11"/>
        <v>50058818</v>
      </c>
      <c r="F14" s="592">
        <f t="shared" ref="F14:J34" si="13">F13</f>
        <v>8037688</v>
      </c>
      <c r="G14" s="656">
        <f>F15+F14-F13</f>
        <v>413</v>
      </c>
      <c r="H14" s="592">
        <v>24659259</v>
      </c>
      <c r="I14" s="658">
        <f>H15+H14-H13</f>
        <v>2785</v>
      </c>
      <c r="J14" s="592">
        <v>17357710</v>
      </c>
      <c r="K14" s="660">
        <f>J15+J14-J13</f>
        <v>3470</v>
      </c>
      <c r="L14" s="654">
        <f t="shared" si="3"/>
        <v>87.668325041459369</v>
      </c>
      <c r="M14" s="654">
        <f t="shared" si="4"/>
        <v>206.91210613598673</v>
      </c>
      <c r="N14" s="654">
        <f t="shared" si="5"/>
        <v>184.14593698175787</v>
      </c>
      <c r="O14" s="654">
        <f t="shared" si="6"/>
        <v>149.29893053252258</v>
      </c>
      <c r="P14" s="648">
        <f>SUM(L14:O15)</f>
        <v>628.02529869172656</v>
      </c>
      <c r="Q14" s="648">
        <f>SUM(-tanks!AX16*tanks!$AU$36)</f>
        <v>696.16402799999992</v>
      </c>
      <c r="R14" s="648">
        <f>SUM(P14:Q15)</f>
        <v>1324.1893266917264</v>
      </c>
      <c r="S14" s="650">
        <f>SUM(ELEC!N13)</f>
        <v>14437</v>
      </c>
      <c r="T14" s="652">
        <f t="shared" si="12"/>
        <v>9.1721917759349333E-2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65"/>
      <c r="B15" s="592">
        <v>4163</v>
      </c>
      <c r="C15" s="663"/>
      <c r="D15" s="667"/>
      <c r="E15" s="668"/>
      <c r="F15" s="592">
        <v>413</v>
      </c>
      <c r="G15" s="657"/>
      <c r="H15" s="592">
        <v>1912</v>
      </c>
      <c r="I15" s="659"/>
      <c r="J15" s="592">
        <v>1838</v>
      </c>
      <c r="K15" s="661"/>
      <c r="L15" s="655"/>
      <c r="M15" s="655"/>
      <c r="N15" s="655"/>
      <c r="O15" s="655"/>
      <c r="P15" s="649"/>
      <c r="Q15" s="649"/>
      <c r="R15" s="649"/>
      <c r="S15" s="651"/>
      <c r="T15" s="653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6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6">
        <v>1332</v>
      </c>
      <c r="G16" s="161">
        <f>F16-F15</f>
        <v>919</v>
      </c>
      <c r="H16" s="566">
        <v>3574</v>
      </c>
      <c r="I16" s="162">
        <f>H16-H15</f>
        <v>1662</v>
      </c>
      <c r="J16" s="566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149.29893053252258</v>
      </c>
      <c r="P16" s="307">
        <f t="shared" si="9"/>
        <v>519.91518260549105</v>
      </c>
      <c r="Q16" s="307">
        <f>SUM(-tanks!AX17*tanks!$AU$36)</f>
        <v>609.90874000000156</v>
      </c>
      <c r="R16" s="307">
        <f t="shared" si="10"/>
        <v>1129.8239226054925</v>
      </c>
      <c r="S16" s="309">
        <f>SUM(ELEC!N14)</f>
        <v>15870</v>
      </c>
      <c r="T16" s="346">
        <f t="shared" si="12"/>
        <v>7.1192433686546472E-2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6">
        <v>12114</v>
      </c>
      <c r="C17" s="271">
        <f t="shared" si="7"/>
        <v>4380</v>
      </c>
      <c r="D17" s="318">
        <f t="shared" si="8"/>
        <v>4391</v>
      </c>
      <c r="E17" s="318">
        <f t="shared" si="11"/>
        <v>12125</v>
      </c>
      <c r="F17" s="566">
        <v>1960</v>
      </c>
      <c r="G17" s="161">
        <f t="shared" si="0"/>
        <v>628</v>
      </c>
      <c r="H17" s="566">
        <v>5810</v>
      </c>
      <c r="I17" s="162">
        <f t="shared" si="1"/>
        <v>2236</v>
      </c>
      <c r="J17" s="566">
        <v>4346</v>
      </c>
      <c r="K17" s="163">
        <f t="shared" si="2"/>
        <v>1527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81.03482587064677</v>
      </c>
      <c r="O17" s="306">
        <f t="shared" si="17"/>
        <v>149.29893053252258</v>
      </c>
      <c r="P17" s="307">
        <f t="shared" si="9"/>
        <v>529.76460217431361</v>
      </c>
      <c r="Q17" s="307">
        <f>SUM(-tanks!AX18*tanks!$AU$36)</f>
        <v>548.99193999999852</v>
      </c>
      <c r="R17" s="307">
        <f t="shared" si="10"/>
        <v>1078.756542174312</v>
      </c>
      <c r="S17" s="309">
        <f>SUM(ELEC!N15)</f>
        <v>15047</v>
      </c>
      <c r="T17" s="346">
        <f t="shared" si="12"/>
        <v>7.1692466416848011E-2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6">
        <v>18112</v>
      </c>
      <c r="C18" s="271">
        <f t="shared" si="7"/>
        <v>5998</v>
      </c>
      <c r="D18" s="318">
        <f t="shared" si="8"/>
        <v>5996</v>
      </c>
      <c r="E18" s="318">
        <f t="shared" si="11"/>
        <v>18110</v>
      </c>
      <c r="F18" s="596">
        <v>2978</v>
      </c>
      <c r="G18" s="161">
        <f t="shared" si="0"/>
        <v>1018</v>
      </c>
      <c r="H18" s="596">
        <v>8675</v>
      </c>
      <c r="I18" s="162">
        <f t="shared" si="1"/>
        <v>2865</v>
      </c>
      <c r="J18" s="586">
        <v>6459</v>
      </c>
      <c r="K18" s="163">
        <f t="shared" si="2"/>
        <v>2113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112.13266998341625</v>
      </c>
      <c r="O18" s="306">
        <f t="shared" si="17"/>
        <v>149.29893053252258</v>
      </c>
      <c r="P18" s="307">
        <f t="shared" si="9"/>
        <v>690.38019089736508</v>
      </c>
      <c r="Q18" s="307">
        <f>SUM(-tanks!AX19*tanks!$AU$36)</f>
        <v>395.47228000000104</v>
      </c>
      <c r="R18" s="307">
        <f t="shared" si="10"/>
        <v>1085.8524708973662</v>
      </c>
      <c r="S18" s="309">
        <f>SUM(ELEC!N16)</f>
        <v>14400</v>
      </c>
      <c r="T18" s="346">
        <f t="shared" si="12"/>
        <v>7.5406421590094877E-2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6">
        <v>22998</v>
      </c>
      <c r="C19" s="271">
        <f t="shared" si="7"/>
        <v>4886</v>
      </c>
      <c r="D19" s="318">
        <f t="shared" si="8"/>
        <v>4887</v>
      </c>
      <c r="E19" s="318">
        <f t="shared" si="11"/>
        <v>22999</v>
      </c>
      <c r="F19" s="566">
        <v>3808</v>
      </c>
      <c r="G19" s="161">
        <f t="shared" si="0"/>
        <v>830</v>
      </c>
      <c r="H19" s="566">
        <v>11035</v>
      </c>
      <c r="I19" s="162">
        <f t="shared" si="1"/>
        <v>2360</v>
      </c>
      <c r="J19" s="566">
        <v>8156</v>
      </c>
      <c r="K19" s="163">
        <f t="shared" si="2"/>
        <v>1697</v>
      </c>
      <c r="L19" s="306">
        <f t="shared" si="14"/>
        <v>176.18573797678275</v>
      </c>
      <c r="M19" s="306">
        <f t="shared" si="15"/>
        <v>175.33665008291874</v>
      </c>
      <c r="N19" s="306">
        <f t="shared" si="16"/>
        <v>90.056384742951906</v>
      </c>
      <c r="O19" s="306">
        <f t="shared" si="17"/>
        <v>149.29893053252258</v>
      </c>
      <c r="P19" s="307">
        <f t="shared" si="9"/>
        <v>590.87770333517597</v>
      </c>
      <c r="Q19" s="307">
        <f>SUM(-tanks!AX20*tanks!$AU$36)</f>
        <v>385.74423999999908</v>
      </c>
      <c r="R19" s="307">
        <f t="shared" si="10"/>
        <v>976.62194333517505</v>
      </c>
      <c r="S19" s="309">
        <f>SUM(ELEC!N17)</f>
        <v>15381</v>
      </c>
      <c r="T19" s="346">
        <f t="shared" si="12"/>
        <v>6.3495347723501405E-2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6">
        <v>28479</v>
      </c>
      <c r="C20" s="271">
        <f t="shared" si="7"/>
        <v>5481</v>
      </c>
      <c r="D20" s="318">
        <f t="shared" si="8"/>
        <v>5482</v>
      </c>
      <c r="E20" s="318">
        <f t="shared" si="11"/>
        <v>28480</v>
      </c>
      <c r="F20" s="566">
        <v>5078</v>
      </c>
      <c r="G20" s="161">
        <f>F20-F19</f>
        <v>1270</v>
      </c>
      <c r="H20" s="566">
        <v>13018</v>
      </c>
      <c r="I20" s="162">
        <f t="shared" si="1"/>
        <v>1983</v>
      </c>
      <c r="J20" s="566">
        <v>10385</v>
      </c>
      <c r="K20" s="163">
        <f t="shared" si="2"/>
        <v>2229</v>
      </c>
      <c r="L20" s="306">
        <f t="shared" si="14"/>
        <v>269.58540630182421</v>
      </c>
      <c r="M20" s="306">
        <f t="shared" si="15"/>
        <v>147.32736318407962</v>
      </c>
      <c r="N20" s="306">
        <f t="shared" si="16"/>
        <v>118.28855721393035</v>
      </c>
      <c r="O20" s="306">
        <f t="shared" si="17"/>
        <v>149.29893053252258</v>
      </c>
      <c r="P20" s="307">
        <f t="shared" si="9"/>
        <v>684.50025723235683</v>
      </c>
      <c r="Q20" s="307">
        <f>SUM(-tanks!AX21*tanks!$AU$36)</f>
        <v>479.83376000000175</v>
      </c>
      <c r="R20" s="307">
        <f t="shared" si="10"/>
        <v>1164.3340172323585</v>
      </c>
      <c r="S20" s="309">
        <f>SUM(ELEC!N18)</f>
        <v>15463</v>
      </c>
      <c r="T20" s="346">
        <f t="shared" si="12"/>
        <v>7.5298067466362195E-2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97">
        <v>34439</v>
      </c>
      <c r="C21" s="271">
        <f t="shared" si="7"/>
        <v>5960</v>
      </c>
      <c r="D21" s="318">
        <f t="shared" si="8"/>
        <v>5958</v>
      </c>
      <c r="E21" s="318">
        <f t="shared" si="11"/>
        <v>34437</v>
      </c>
      <c r="F21" s="597">
        <v>6146</v>
      </c>
      <c r="G21" s="161">
        <f t="shared" si="0"/>
        <v>1068</v>
      </c>
      <c r="H21" s="597">
        <v>15953</v>
      </c>
      <c r="I21" s="162">
        <f t="shared" si="1"/>
        <v>2935</v>
      </c>
      <c r="J21" s="586">
        <v>12340</v>
      </c>
      <c r="K21" s="163">
        <f t="shared" si="2"/>
        <v>1955</v>
      </c>
      <c r="L21" s="306">
        <f t="shared" si="14"/>
        <v>226.70646766169153</v>
      </c>
      <c r="M21" s="306">
        <f t="shared" si="15"/>
        <v>218.05638474295191</v>
      </c>
      <c r="N21" s="306">
        <f t="shared" si="16"/>
        <v>103.74792703150912</v>
      </c>
      <c r="O21" s="306">
        <f t="shared" si="17"/>
        <v>149.29893053252258</v>
      </c>
      <c r="P21" s="307">
        <f t="shared" si="9"/>
        <v>697.80970996867518</v>
      </c>
      <c r="Q21" s="307">
        <f>SUM(-tanks!AX22*tanks!$AU$36)</f>
        <v>-30.385879999998945</v>
      </c>
      <c r="R21" s="307">
        <f t="shared" si="10"/>
        <v>667.42382996867627</v>
      </c>
      <c r="S21" s="309">
        <f>SUM(ELEC!N19)</f>
        <v>14854</v>
      </c>
      <c r="T21" s="346">
        <f t="shared" si="12"/>
        <v>4.4932262688075687E-2</v>
      </c>
      <c r="V21" t="s">
        <v>416</v>
      </c>
      <c r="AB21" s="271"/>
    </row>
    <row r="22" spans="1:32">
      <c r="A22" s="164">
        <f>ELEC!C20</f>
        <v>44000</v>
      </c>
      <c r="B22" s="566">
        <v>40512</v>
      </c>
      <c r="C22" s="271">
        <f t="shared" si="7"/>
        <v>6073</v>
      </c>
      <c r="D22" s="318">
        <f t="shared" si="8"/>
        <v>6074</v>
      </c>
      <c r="E22" s="318">
        <f t="shared" si="11"/>
        <v>40513</v>
      </c>
      <c r="F22" s="566">
        <v>6616</v>
      </c>
      <c r="G22" s="161">
        <f t="shared" si="0"/>
        <v>470</v>
      </c>
      <c r="H22" s="566">
        <v>18520</v>
      </c>
      <c r="I22" s="162">
        <f t="shared" si="1"/>
        <v>2567</v>
      </c>
      <c r="J22" s="566">
        <v>15377</v>
      </c>
      <c r="K22" s="163">
        <f t="shared" si="2"/>
        <v>3037</v>
      </c>
      <c r="L22" s="306">
        <f t="shared" si="14"/>
        <v>99.767827529021559</v>
      </c>
      <c r="M22" s="306">
        <f t="shared" si="15"/>
        <v>190.71575456053068</v>
      </c>
      <c r="N22" s="306">
        <f t="shared" si="16"/>
        <v>161.16749585406302</v>
      </c>
      <c r="O22" s="306">
        <f t="shared" si="17"/>
        <v>149.29893053252258</v>
      </c>
      <c r="P22" s="307">
        <f t="shared" si="9"/>
        <v>600.95000847613778</v>
      </c>
      <c r="Q22" s="307">
        <f>SUM(-tanks!AX23*tanks!$AU$36)</f>
        <v>697.39790400000186</v>
      </c>
      <c r="R22" s="307">
        <f t="shared" si="10"/>
        <v>1298.3479124761398</v>
      </c>
      <c r="S22" s="309">
        <f>SUM(ELEC!N20)</f>
        <v>17822</v>
      </c>
      <c r="T22" s="346">
        <f t="shared" si="12"/>
        <v>7.2850853578506333E-2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79"/>
      <c r="AC22" s="680"/>
    </row>
    <row r="23" spans="1:32">
      <c r="A23" s="164">
        <f>ELEC!C21</f>
        <v>44001</v>
      </c>
      <c r="B23" s="566">
        <v>47484</v>
      </c>
      <c r="C23" s="271">
        <f t="shared" si="7"/>
        <v>6972</v>
      </c>
      <c r="D23" s="318">
        <f t="shared" si="8"/>
        <v>6971</v>
      </c>
      <c r="E23" s="318">
        <f t="shared" si="11"/>
        <v>47483</v>
      </c>
      <c r="F23" s="566">
        <v>7874</v>
      </c>
      <c r="G23" s="161">
        <f t="shared" si="0"/>
        <v>1258</v>
      </c>
      <c r="H23" s="566">
        <v>22432</v>
      </c>
      <c r="I23" s="162">
        <f t="shared" si="1"/>
        <v>3912</v>
      </c>
      <c r="J23" s="566">
        <v>17178</v>
      </c>
      <c r="K23" s="163">
        <f t="shared" si="2"/>
        <v>1801</v>
      </c>
      <c r="L23" s="306">
        <f t="shared" si="14"/>
        <v>267.03814262023218</v>
      </c>
      <c r="M23" s="306">
        <f t="shared" si="15"/>
        <v>290.64278606965172</v>
      </c>
      <c r="N23" s="306">
        <f t="shared" si="16"/>
        <v>95.575456053067995</v>
      </c>
      <c r="O23" s="306">
        <f t="shared" si="17"/>
        <v>149.29893053252258</v>
      </c>
      <c r="P23" s="307">
        <f t="shared" si="9"/>
        <v>802.55531527547453</v>
      </c>
      <c r="Q23" s="307">
        <f>SUM(-tanks!AX24*tanks!$AU$36)</f>
        <v>456.38908000000407</v>
      </c>
      <c r="R23" s="307">
        <f t="shared" si="10"/>
        <v>1258.9443952754787</v>
      </c>
      <c r="S23" s="309">
        <f>SUM(ELEC!N21)</f>
        <v>18356</v>
      </c>
      <c r="T23" s="346">
        <f t="shared" si="12"/>
        <v>6.8584898413351414E-2</v>
      </c>
      <c r="V23" s="685"/>
      <c r="W23" s="686"/>
      <c r="X23" s="686"/>
      <c r="Y23" s="687"/>
      <c r="Z23" s="26" t="s">
        <v>203</v>
      </c>
      <c r="AA23" s="26">
        <v>5000</v>
      </c>
      <c r="AB23" s="681"/>
      <c r="AC23" s="682"/>
    </row>
    <row r="24" spans="1:32">
      <c r="A24" s="164">
        <f>ELEC!C22</f>
        <v>44002</v>
      </c>
      <c r="B24" s="566">
        <v>54190</v>
      </c>
      <c r="C24" s="271">
        <f t="shared" si="7"/>
        <v>6706</v>
      </c>
      <c r="D24" s="318">
        <f t="shared" si="8"/>
        <v>6706</v>
      </c>
      <c r="E24" s="318">
        <f t="shared" si="11"/>
        <v>54190</v>
      </c>
      <c r="F24" s="566">
        <v>8831</v>
      </c>
      <c r="G24" s="161">
        <f t="shared" si="0"/>
        <v>957</v>
      </c>
      <c r="H24" s="566">
        <v>26095</v>
      </c>
      <c r="I24" s="162">
        <f t="shared" si="1"/>
        <v>3663</v>
      </c>
      <c r="J24" s="566">
        <v>19264</v>
      </c>
      <c r="K24" s="163">
        <f t="shared" si="2"/>
        <v>2086</v>
      </c>
      <c r="L24" s="306">
        <f t="shared" si="14"/>
        <v>203.14427860696517</v>
      </c>
      <c r="M24" s="306">
        <f t="shared" si="15"/>
        <v>272.14328358208957</v>
      </c>
      <c r="N24" s="306">
        <f t="shared" si="16"/>
        <v>110.69983416252073</v>
      </c>
      <c r="O24" s="306">
        <f t="shared" si="17"/>
        <v>149.29893053252258</v>
      </c>
      <c r="P24" s="307">
        <f t="shared" si="9"/>
        <v>735.286326884098</v>
      </c>
      <c r="Q24" s="307">
        <f>SUM(-tanks!AX25*tanks!$AU$36)</f>
        <v>284.13336000000038</v>
      </c>
      <c r="R24" s="307">
        <f t="shared" si="10"/>
        <v>1019.4196868840984</v>
      </c>
      <c r="S24" s="309">
        <f>SUM(ELEC!N22)</f>
        <v>15602</v>
      </c>
      <c r="T24" s="346">
        <f t="shared" si="12"/>
        <v>6.5339039026028611E-2</v>
      </c>
      <c r="V24" s="688"/>
      <c r="W24" s="689"/>
      <c r="X24" s="689"/>
      <c r="Y24" s="690"/>
      <c r="Z24" s="691"/>
      <c r="AA24" s="692"/>
      <c r="AB24" s="681"/>
      <c r="AC24" s="682"/>
    </row>
    <row r="25" spans="1:32" ht="15" customHeight="1">
      <c r="A25" s="164">
        <f>ELEC!C23</f>
        <v>44003</v>
      </c>
      <c r="B25" s="566">
        <v>61404</v>
      </c>
      <c r="C25" s="271">
        <f t="shared" si="7"/>
        <v>7214</v>
      </c>
      <c r="D25" s="318">
        <f t="shared" si="8"/>
        <v>7214</v>
      </c>
      <c r="E25" s="318">
        <f t="shared" si="11"/>
        <v>61404</v>
      </c>
      <c r="F25" s="566">
        <v>10029</v>
      </c>
      <c r="G25" s="161">
        <f t="shared" si="0"/>
        <v>1198</v>
      </c>
      <c r="H25" s="566">
        <v>29986</v>
      </c>
      <c r="I25" s="162">
        <f t="shared" si="1"/>
        <v>3891</v>
      </c>
      <c r="J25" s="566">
        <v>21389</v>
      </c>
      <c r="K25" s="163">
        <f t="shared" si="2"/>
        <v>2125</v>
      </c>
      <c r="L25" s="306">
        <f t="shared" si="14"/>
        <v>254.30182421227198</v>
      </c>
      <c r="M25" s="306">
        <f t="shared" si="15"/>
        <v>289.0825870646766</v>
      </c>
      <c r="N25" s="306">
        <f t="shared" si="16"/>
        <v>112.76948590381426</v>
      </c>
      <c r="O25" s="306">
        <f t="shared" si="17"/>
        <v>149.29893053252258</v>
      </c>
      <c r="P25" s="307">
        <f t="shared" si="9"/>
        <v>805.4528277132855</v>
      </c>
      <c r="Q25" s="307">
        <f>SUM(-tanks!AX26*tanks!$AU$36)</f>
        <v>266.79071999999803</v>
      </c>
      <c r="R25" s="307">
        <f t="shared" si="10"/>
        <v>1072.2435477132835</v>
      </c>
      <c r="S25" s="309">
        <f>SUM(ELEC!N23)</f>
        <v>15615</v>
      </c>
      <c r="T25" s="346">
        <f t="shared" si="12"/>
        <v>6.8667534275586528E-2</v>
      </c>
      <c r="V25" s="693" t="s">
        <v>204</v>
      </c>
      <c r="W25" s="694"/>
      <c r="X25" s="695" t="s">
        <v>205</v>
      </c>
      <c r="Y25" s="696"/>
      <c r="Z25" s="697"/>
      <c r="AA25" s="171"/>
      <c r="AB25" s="683"/>
      <c r="AC25" s="684"/>
    </row>
    <row r="26" spans="1:32" ht="17.25" customHeight="1">
      <c r="A26" s="164">
        <f>ELEC!C24</f>
        <v>44004</v>
      </c>
      <c r="B26" s="566">
        <v>67534</v>
      </c>
      <c r="C26" s="271">
        <f t="shared" si="7"/>
        <v>6130</v>
      </c>
      <c r="D26" s="318">
        <f t="shared" si="8"/>
        <v>6130</v>
      </c>
      <c r="E26" s="318">
        <f t="shared" si="11"/>
        <v>67534</v>
      </c>
      <c r="F26" s="566">
        <v>11141</v>
      </c>
      <c r="G26" s="161">
        <f t="shared" si="0"/>
        <v>1112</v>
      </c>
      <c r="H26" s="566">
        <v>32349</v>
      </c>
      <c r="I26" s="162">
        <f t="shared" si="1"/>
        <v>2363</v>
      </c>
      <c r="J26" s="566">
        <v>24044</v>
      </c>
      <c r="K26" s="163">
        <f t="shared" si="2"/>
        <v>2655</v>
      </c>
      <c r="L26" s="306">
        <f t="shared" si="14"/>
        <v>236.04643449419569</v>
      </c>
      <c r="M26" s="306">
        <f t="shared" si="15"/>
        <v>175.55953565505806</v>
      </c>
      <c r="N26" s="306">
        <f t="shared" si="16"/>
        <v>140.8955223880597</v>
      </c>
      <c r="O26" s="306">
        <f t="shared" si="17"/>
        <v>149.29893053252258</v>
      </c>
      <c r="P26" s="307">
        <f t="shared" si="9"/>
        <v>701.80042306983603</v>
      </c>
      <c r="Q26" s="307">
        <f>SUM(-tanks!AX27*tanks!$AU$36)</f>
        <v>489.25618000000088</v>
      </c>
      <c r="R26" s="307">
        <f t="shared" si="10"/>
        <v>1191.0566030698369</v>
      </c>
      <c r="S26" s="309">
        <f>SUM(ELEC!N24)</f>
        <v>16091</v>
      </c>
      <c r="T26" s="346">
        <f t="shared" si="12"/>
        <v>7.4020048665082147E-2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601">
        <v>73627</v>
      </c>
      <c r="C27" s="271">
        <f t="shared" si="7"/>
        <v>6093</v>
      </c>
      <c r="D27" s="318">
        <f t="shared" si="8"/>
        <v>6108</v>
      </c>
      <c r="E27" s="318">
        <f t="shared" si="11"/>
        <v>73642</v>
      </c>
      <c r="F27" s="601">
        <v>12048</v>
      </c>
      <c r="G27" s="161">
        <f t="shared" si="0"/>
        <v>907</v>
      </c>
      <c r="H27" s="601">
        <v>35793</v>
      </c>
      <c r="I27" s="162">
        <f t="shared" si="1"/>
        <v>3444</v>
      </c>
      <c r="J27" s="586">
        <v>25801</v>
      </c>
      <c r="K27" s="163">
        <f t="shared" si="2"/>
        <v>1757</v>
      </c>
      <c r="L27" s="306">
        <f t="shared" si="14"/>
        <v>192.530679933665</v>
      </c>
      <c r="M27" s="306">
        <f t="shared" si="15"/>
        <v>255.8726368159204</v>
      </c>
      <c r="N27" s="306">
        <f t="shared" si="16"/>
        <v>93.240464344941955</v>
      </c>
      <c r="O27" s="306">
        <f t="shared" si="17"/>
        <v>149.29893053252258</v>
      </c>
      <c r="P27" s="307">
        <f t="shared" si="9"/>
        <v>690.94271162705002</v>
      </c>
      <c r="Q27" s="307">
        <f>SUM(-tanks!AX28*tanks!$AU$36)</f>
        <v>428.33938000000023</v>
      </c>
      <c r="R27" s="307">
        <f t="shared" si="10"/>
        <v>1119.2820916270502</v>
      </c>
      <c r="S27" s="309">
        <f>SUM(ELEC!N25)</f>
        <v>15947</v>
      </c>
      <c r="T27" s="346">
        <f t="shared" si="12"/>
        <v>7.0187627241929534E-2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0.3527941459882149</v>
      </c>
    </row>
    <row r="28" spans="1:32">
      <c r="A28" s="164">
        <f>ELEC!C26</f>
        <v>44006</v>
      </c>
      <c r="B28" s="566">
        <v>79656</v>
      </c>
      <c r="C28" s="271">
        <f t="shared" si="7"/>
        <v>6029</v>
      </c>
      <c r="D28" s="318">
        <f t="shared" si="8"/>
        <v>6014</v>
      </c>
      <c r="E28" s="318">
        <f t="shared" si="11"/>
        <v>79641</v>
      </c>
      <c r="F28" s="566">
        <v>13202</v>
      </c>
      <c r="G28" s="161">
        <f t="shared" si="0"/>
        <v>1154</v>
      </c>
      <c r="H28" s="566">
        <v>38237</v>
      </c>
      <c r="I28" s="162">
        <f t="shared" si="1"/>
        <v>2444</v>
      </c>
      <c r="J28" s="566">
        <v>28217</v>
      </c>
      <c r="K28" s="163">
        <f t="shared" si="2"/>
        <v>2416</v>
      </c>
      <c r="L28" s="306">
        <f t="shared" si="14"/>
        <v>244.96185737976782</v>
      </c>
      <c r="M28" s="306">
        <f t="shared" si="15"/>
        <v>181.57744610281924</v>
      </c>
      <c r="N28" s="306">
        <f t="shared" si="16"/>
        <v>128.21227197346602</v>
      </c>
      <c r="O28" s="306">
        <f t="shared" si="17"/>
        <v>149.29893053252258</v>
      </c>
      <c r="P28" s="307">
        <f t="shared" si="9"/>
        <v>704.05050598857565</v>
      </c>
      <c r="Q28" s="307">
        <f>SUM(-tanks!AX29*tanks!$AU$36)</f>
        <v>534.86193599999899</v>
      </c>
      <c r="R28" s="307">
        <f t="shared" si="10"/>
        <v>1238.9124419885748</v>
      </c>
      <c r="S28" s="309">
        <f>SUM(ELEC!N26)</f>
        <v>15711</v>
      </c>
      <c r="T28" s="346">
        <f t="shared" si="12"/>
        <v>7.8856370822263044E-2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0.49146484614531077</v>
      </c>
    </row>
    <row r="29" spans="1:32">
      <c r="A29" s="164">
        <f>ELEC!C27</f>
        <v>44007</v>
      </c>
      <c r="B29" s="605">
        <v>86758</v>
      </c>
      <c r="C29" s="271">
        <f t="shared" si="7"/>
        <v>7102</v>
      </c>
      <c r="D29" s="318">
        <f t="shared" si="8"/>
        <v>7102</v>
      </c>
      <c r="E29" s="318">
        <f t="shared" si="11"/>
        <v>86758</v>
      </c>
      <c r="F29" s="605">
        <v>14188</v>
      </c>
      <c r="G29" s="161">
        <f t="shared" si="0"/>
        <v>986</v>
      </c>
      <c r="H29" s="605">
        <v>41631</v>
      </c>
      <c r="I29" s="162">
        <f t="shared" si="1"/>
        <v>3394</v>
      </c>
      <c r="J29" s="586">
        <v>30939</v>
      </c>
      <c r="K29" s="163">
        <f t="shared" si="2"/>
        <v>2722</v>
      </c>
      <c r="L29" s="306">
        <f t="shared" si="14"/>
        <v>209.30016583747928</v>
      </c>
      <c r="M29" s="306">
        <f t="shared" si="15"/>
        <v>252.15787728026535</v>
      </c>
      <c r="N29" s="306">
        <f t="shared" si="16"/>
        <v>144.45107794361525</v>
      </c>
      <c r="O29" s="306">
        <f t="shared" si="17"/>
        <v>149.29893053252258</v>
      </c>
      <c r="P29" s="307">
        <f t="shared" si="9"/>
        <v>755.20805159388249</v>
      </c>
      <c r="Q29" s="307">
        <f>SUM(-tanks!AX30*tanks!$AU$36)</f>
        <v>-195.28185599999998</v>
      </c>
      <c r="R29" s="307">
        <f t="shared" si="10"/>
        <v>559.92619559388254</v>
      </c>
      <c r="S29" s="309">
        <f>SUM(ELEC!N27)</f>
        <v>17638</v>
      </c>
      <c r="T29" s="346">
        <f t="shared" si="12"/>
        <v>3.1745447079820986E-2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0.15516868827854446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6">
        <v>92355</v>
      </c>
      <c r="C30" s="271">
        <f t="shared" si="7"/>
        <v>5597</v>
      </c>
      <c r="D30" s="318">
        <f t="shared" si="8"/>
        <v>5599</v>
      </c>
      <c r="E30" s="318">
        <f t="shared" si="11"/>
        <v>92357</v>
      </c>
      <c r="F30" s="566">
        <v>15234</v>
      </c>
      <c r="G30" s="161">
        <f t="shared" si="0"/>
        <v>1046</v>
      </c>
      <c r="H30" s="566">
        <v>43901</v>
      </c>
      <c r="I30" s="162">
        <f t="shared" si="1"/>
        <v>2270</v>
      </c>
      <c r="J30" s="566">
        <v>33222</v>
      </c>
      <c r="K30" s="163">
        <f t="shared" si="2"/>
        <v>2283</v>
      </c>
      <c r="L30" s="306">
        <f t="shared" si="14"/>
        <v>222.03648424543948</v>
      </c>
      <c r="M30" s="306">
        <f t="shared" si="15"/>
        <v>168.65008291873963</v>
      </c>
      <c r="N30" s="306">
        <f t="shared" si="16"/>
        <v>121.1542288557214</v>
      </c>
      <c r="O30" s="306">
        <f t="shared" si="17"/>
        <v>149.29893053252258</v>
      </c>
      <c r="P30" s="307">
        <f t="shared" si="9"/>
        <v>661.1397265524231</v>
      </c>
      <c r="Q30" s="307">
        <f>SUM(-tanks!AX31*tanks!$AU$36)</f>
        <v>785.48483999999974</v>
      </c>
      <c r="R30" s="307">
        <f t="shared" si="10"/>
        <v>1446.6245665524229</v>
      </c>
      <c r="S30" s="309">
        <f>SUM(ELEC!N28)</f>
        <v>15515</v>
      </c>
      <c r="T30" s="346">
        <f t="shared" si="12"/>
        <v>9.3240384566704665E-2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6">
        <v>98696</v>
      </c>
      <c r="C31" s="271">
        <f t="shared" si="7"/>
        <v>6341</v>
      </c>
      <c r="D31" s="318">
        <f t="shared" si="8"/>
        <v>6339</v>
      </c>
      <c r="E31" s="318">
        <f t="shared" si="11"/>
        <v>98694</v>
      </c>
      <c r="F31" s="566">
        <v>16438</v>
      </c>
      <c r="G31" s="161">
        <f t="shared" si="0"/>
        <v>1204</v>
      </c>
      <c r="H31" s="566">
        <v>47472</v>
      </c>
      <c r="I31" s="162">
        <f t="shared" si="1"/>
        <v>3571</v>
      </c>
      <c r="J31" s="566">
        <v>34786</v>
      </c>
      <c r="K31" s="163">
        <f t="shared" si="2"/>
        <v>1564</v>
      </c>
      <c r="L31" s="306">
        <f t="shared" si="14"/>
        <v>255.575456053068</v>
      </c>
      <c r="M31" s="306">
        <f t="shared" si="15"/>
        <v>265.30812603648423</v>
      </c>
      <c r="N31" s="306">
        <f t="shared" si="16"/>
        <v>82.998341625207303</v>
      </c>
      <c r="O31" s="306">
        <f t="shared" si="17"/>
        <v>149.29893053252258</v>
      </c>
      <c r="P31" s="307">
        <f t="shared" si="9"/>
        <v>753.18085424728213</v>
      </c>
      <c r="Q31" s="307">
        <f>SUM(-tanks!AX32*tanks!$AU$36)</f>
        <v>405.53391199999891</v>
      </c>
      <c r="R31" s="307">
        <f t="shared" si="10"/>
        <v>1158.714766247281</v>
      </c>
      <c r="S31" s="309">
        <f>SUM(ELEC!N29)</f>
        <v>17211</v>
      </c>
      <c r="T31" s="346">
        <f t="shared" si="12"/>
        <v>6.7324081473899303E-2</v>
      </c>
      <c r="V31" s="220" t="s">
        <v>317</v>
      </c>
      <c r="W31" s="459">
        <f>'General information '!F36</f>
        <v>1.8992857142857145E-2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6752044.1333333328</v>
      </c>
    </row>
    <row r="32" spans="1:32">
      <c r="A32" s="164">
        <f>ELEC!C30</f>
        <v>44010</v>
      </c>
      <c r="B32" s="566">
        <v>105231</v>
      </c>
      <c r="C32" s="271">
        <f t="shared" si="7"/>
        <v>6535</v>
      </c>
      <c r="D32" s="318">
        <f t="shared" si="8"/>
        <v>6435</v>
      </c>
      <c r="E32" s="318">
        <f t="shared" si="11"/>
        <v>105131</v>
      </c>
      <c r="F32" s="566">
        <v>17645</v>
      </c>
      <c r="G32" s="161">
        <f t="shared" si="0"/>
        <v>1207</v>
      </c>
      <c r="H32" s="566">
        <v>49645</v>
      </c>
      <c r="I32" s="162">
        <f t="shared" si="1"/>
        <v>2173</v>
      </c>
      <c r="J32" s="566">
        <v>37841</v>
      </c>
      <c r="K32" s="163">
        <f t="shared" si="2"/>
        <v>3055</v>
      </c>
      <c r="L32" s="306">
        <f t="shared" si="14"/>
        <v>256.21227197346599</v>
      </c>
      <c r="M32" s="306">
        <f t="shared" si="15"/>
        <v>161.44344941956882</v>
      </c>
      <c r="N32" s="306">
        <f t="shared" si="16"/>
        <v>162.12271973466002</v>
      </c>
      <c r="O32" s="306">
        <f t="shared" si="17"/>
        <v>149.29893053252258</v>
      </c>
      <c r="P32" s="307">
        <f t="shared" si="9"/>
        <v>729.07737166021741</v>
      </c>
      <c r="Q32" s="307">
        <f>SUM(-tanks!AX33*tanks!$AU$36)</f>
        <v>520.83656800000153</v>
      </c>
      <c r="R32" s="307">
        <f t="shared" si="10"/>
        <v>1249.9139396602191</v>
      </c>
      <c r="S32" s="309">
        <f>SUM(ELEC!N30)</f>
        <v>18814</v>
      </c>
      <c r="T32" s="346">
        <f t="shared" si="12"/>
        <v>6.6435310920602689E-2</v>
      </c>
      <c r="V32" s="220" t="s">
        <v>318</v>
      </c>
      <c r="W32" s="221">
        <f>SUM(GEN!U33)</f>
        <v>153</v>
      </c>
      <c r="X32" s="226">
        <f>SUM(W32/A37)</f>
        <v>5.4642857142857144</v>
      </c>
      <c r="Y32" s="267">
        <f>SUM(X32/2)</f>
        <v>2.7321428571428572</v>
      </c>
      <c r="Z32" s="3"/>
      <c r="AA32" s="3"/>
      <c r="AB32" s="593">
        <f>SUM(AB31+AC32)+AB56</f>
        <v>29512604.133333333</v>
      </c>
      <c r="AC32" s="255">
        <f>SUM(AC31)</f>
        <v>6752044.1333333328</v>
      </c>
    </row>
    <row r="33" spans="1:29">
      <c r="A33" s="164">
        <f>ELEC!C31</f>
        <v>44011</v>
      </c>
      <c r="B33" s="566">
        <f t="shared" ref="B33:B34" si="18">B32</f>
        <v>105231</v>
      </c>
      <c r="C33" s="271">
        <f t="shared" si="7"/>
        <v>0</v>
      </c>
      <c r="D33" s="318">
        <f t="shared" si="8"/>
        <v>0</v>
      </c>
      <c r="E33" s="318">
        <f t="shared" si="11"/>
        <v>105231</v>
      </c>
      <c r="F33" s="566">
        <f t="shared" si="13"/>
        <v>17645</v>
      </c>
      <c r="G33" s="161">
        <f t="shared" si="0"/>
        <v>0</v>
      </c>
      <c r="H33" s="566">
        <f t="shared" si="13"/>
        <v>49645</v>
      </c>
      <c r="I33" s="162">
        <f t="shared" si="1"/>
        <v>0</v>
      </c>
      <c r="J33" s="566">
        <f t="shared" si="13"/>
        <v>37841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149.29893053252258</v>
      </c>
      <c r="P33" s="307">
        <f t="shared" si="9"/>
        <v>149.29893053252258</v>
      </c>
      <c r="Q33" s="307">
        <f>SUM(-tanks!AX34*tanks!$AU$36)</f>
        <v>0</v>
      </c>
      <c r="R33" s="307">
        <f t="shared" si="10"/>
        <v>149.29893053252258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6">
        <f t="shared" si="18"/>
        <v>105231</v>
      </c>
      <c r="C34" s="271">
        <f t="shared" si="7"/>
        <v>0</v>
      </c>
      <c r="D34" s="318">
        <f t="shared" si="8"/>
        <v>0</v>
      </c>
      <c r="E34" s="318">
        <f t="shared" si="11"/>
        <v>105231</v>
      </c>
      <c r="F34" s="566">
        <f t="shared" si="13"/>
        <v>17645</v>
      </c>
      <c r="G34" s="161">
        <f>F34-F33</f>
        <v>0</v>
      </c>
      <c r="H34" s="566">
        <f t="shared" si="13"/>
        <v>49645</v>
      </c>
      <c r="I34" s="162">
        <f t="shared" si="1"/>
        <v>0</v>
      </c>
      <c r="J34" s="566">
        <f t="shared" si="13"/>
        <v>37841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149.29893053252258</v>
      </c>
      <c r="P34" s="307">
        <f>SUM(L34:O34)</f>
        <v>149.29893053252258</v>
      </c>
      <c r="Q34" s="307">
        <f>SUM(-tanks!AX35*tanks!$AU$36)</f>
        <v>0</v>
      </c>
      <c r="R34" s="307">
        <f>SUM(P34:Q34)</f>
        <v>149.29893053252258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69"/>
      <c r="B35" s="570"/>
      <c r="C35" s="571"/>
      <c r="D35" s="570"/>
      <c r="E35" s="570"/>
      <c r="F35" s="570"/>
      <c r="G35" s="570"/>
      <c r="H35" s="570"/>
      <c r="I35" s="570"/>
      <c r="J35" s="570"/>
      <c r="K35" s="570"/>
      <c r="L35" s="572"/>
      <c r="M35" s="572"/>
      <c r="N35" s="572"/>
      <c r="O35" s="572"/>
      <c r="P35" s="573"/>
      <c r="Q35" s="573"/>
      <c r="R35" s="573"/>
      <c r="S35" s="574"/>
      <c r="T35" s="575"/>
      <c r="V35" s="220"/>
      <c r="W35" s="221"/>
      <c r="X35" s="221"/>
      <c r="Y35" s="221"/>
      <c r="Z35" s="3"/>
      <c r="AA35" s="3"/>
      <c r="AB35" s="3"/>
      <c r="AC35" s="247"/>
    </row>
    <row r="36" spans="1:29">
      <c r="A36" s="569"/>
      <c r="B36" s="570"/>
      <c r="C36" s="571"/>
      <c r="D36" s="571"/>
      <c r="E36" s="571"/>
      <c r="F36" s="570"/>
      <c r="G36" s="570"/>
      <c r="H36" s="570"/>
      <c r="I36" s="570"/>
      <c r="J36" s="570"/>
      <c r="K36" s="576"/>
      <c r="L36" s="573"/>
      <c r="M36" s="573"/>
      <c r="N36" s="573"/>
      <c r="O36" s="573"/>
      <c r="P36" s="574"/>
      <c r="Q36" s="574"/>
      <c r="R36" s="574"/>
      <c r="S36" s="574"/>
      <c r="T36" s="575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3246386.4546666667</v>
      </c>
      <c r="AC36" s="288"/>
    </row>
    <row r="37" spans="1:29" ht="15.75" thickBot="1">
      <c r="A37" s="568">
        <f>A39-COUNTIF(C4:C35,0)</f>
        <v>28</v>
      </c>
      <c r="C37" s="177">
        <f>SUM(C4:C35)/A37</f>
        <v>6115.4642857142853</v>
      </c>
      <c r="D37" s="177"/>
      <c r="E37" s="177"/>
      <c r="G37" s="177">
        <f>SUM(G4:G35)/A37</f>
        <v>948.92857142857144</v>
      </c>
      <c r="I37" s="177">
        <f>SUM(I4:I35)/A37</f>
        <v>3005.5357142857142</v>
      </c>
      <c r="K37" s="177">
        <f>SUM(K4:K36)/A37</f>
        <v>2157.5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32758990.588</v>
      </c>
      <c r="AC37" s="288"/>
    </row>
    <row r="38" spans="1:29" ht="15.75" thickBot="1">
      <c r="A38" s="214"/>
      <c r="C38" s="216">
        <f>SUM(G38:K38)</f>
        <v>0.99942768041207009</v>
      </c>
      <c r="G38" s="229">
        <f>IF(C37&gt;0,G37/C37,0)</f>
        <v>0.15516868827854446</v>
      </c>
      <c r="H38" s="216"/>
      <c r="I38" s="229">
        <f>SUM(I37/C37)</f>
        <v>0.49146484614531077</v>
      </c>
      <c r="J38" s="216"/>
      <c r="K38" s="229">
        <f>SUM(K37/C37)</f>
        <v>0.3527941459882149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19577.183504698729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4478.967915975677</v>
      </c>
      <c r="Z40" s="40"/>
      <c r="AA40" s="302" t="s">
        <v>215</v>
      </c>
      <c r="AB40" s="303">
        <f>SUM(AB38)</f>
        <v>19577.183504698729</v>
      </c>
    </row>
    <row r="41" spans="1:29">
      <c r="V41" s="221"/>
      <c r="W41" s="83">
        <f>(AB31+AB56)/1507.5</f>
        <v>15098.215588723051</v>
      </c>
      <c r="X41" s="594"/>
      <c r="Z41" s="304">
        <f>SUM(AB40)</f>
        <v>19577.183504698729</v>
      </c>
      <c r="AA41" s="303"/>
      <c r="AB41" s="303"/>
    </row>
    <row r="42" spans="1:29">
      <c r="V42" s="17"/>
      <c r="W42" s="83">
        <f>SUM(W40:W41)</f>
        <v>19577.183504698729</v>
      </c>
      <c r="X42" s="594"/>
      <c r="Y42" s="83"/>
      <c r="Z42" s="304">
        <f>SUM(-tanks!AX36)*tanks!AU36</f>
        <v>9968.1267840000073</v>
      </c>
      <c r="AA42" s="102">
        <f>SUM(AB32/A37)</f>
        <v>1054021.5761904761</v>
      </c>
      <c r="AB42" s="361">
        <f>SUM(AA42*A39)</f>
        <v>31620647.285714284</v>
      </c>
    </row>
    <row r="43" spans="1:29" ht="18.75">
      <c r="W43" s="83">
        <f>(AB31+AB56)/1507.5</f>
        <v>15098.215588723051</v>
      </c>
      <c r="Z43" s="284">
        <f>SUM(Z41:Z42)</f>
        <v>29545.310288698736</v>
      </c>
      <c r="AA43" s="303">
        <f>SUM(AA42/1507.5)</f>
        <v>699.18512516781163</v>
      </c>
      <c r="AB43" s="360">
        <f>SUM(AB42/1507.5)</f>
        <v>20975.553755034351</v>
      </c>
    </row>
    <row r="44" spans="1:29">
      <c r="D44" s="540"/>
      <c r="E44" s="540"/>
      <c r="F44" s="540"/>
      <c r="W44" s="83">
        <f>SUM(W42:W43)</f>
        <v>34675.39909342178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79"/>
      <c r="AC47" s="680"/>
    </row>
    <row r="48" spans="1:29">
      <c r="V48" s="685"/>
      <c r="W48" s="686"/>
      <c r="X48" s="686"/>
      <c r="Y48" s="687"/>
      <c r="Z48" s="26" t="s">
        <v>203</v>
      </c>
      <c r="AA48" s="26">
        <v>5000</v>
      </c>
      <c r="AB48" s="681"/>
      <c r="AC48" s="682"/>
    </row>
    <row r="49" spans="22:32">
      <c r="V49" s="688"/>
      <c r="W49" s="689"/>
      <c r="X49" s="689"/>
      <c r="Y49" s="690"/>
      <c r="Z49" s="691"/>
      <c r="AA49" s="692"/>
      <c r="AB49" s="681"/>
      <c r="AC49" s="682"/>
    </row>
    <row r="50" spans="22:32">
      <c r="V50" s="693" t="s">
        <v>204</v>
      </c>
      <c r="W50" s="694"/>
      <c r="X50" s="695" t="s">
        <v>205</v>
      </c>
      <c r="Y50" s="696"/>
      <c r="Z50" s="697"/>
      <c r="AA50" s="171"/>
      <c r="AB50" s="683"/>
      <c r="AC50" s="684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37841</v>
      </c>
      <c r="X52" s="173" t="s">
        <v>199</v>
      </c>
      <c r="Y52" s="173">
        <v>80</v>
      </c>
      <c r="Z52" s="173">
        <v>1</v>
      </c>
      <c r="AA52" s="348">
        <f>(W52-V52)*Z52</f>
        <v>37841</v>
      </c>
      <c r="AB52" s="348">
        <f>AA52*Y52</f>
        <v>3027280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49645</v>
      </c>
      <c r="X53" s="173" t="s">
        <v>213</v>
      </c>
      <c r="Y53" s="173">
        <v>112</v>
      </c>
      <c r="Z53" s="173">
        <v>1</v>
      </c>
      <c r="AA53" s="348">
        <f>(W53-V53)*Z53</f>
        <v>49645</v>
      </c>
      <c r="AB53" s="348">
        <f>SUM(AA53*Y53)</f>
        <v>5560240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17645</v>
      </c>
      <c r="X54" s="173" t="s">
        <v>197</v>
      </c>
      <c r="Y54" s="173">
        <v>320</v>
      </c>
      <c r="Z54" s="173">
        <v>1</v>
      </c>
      <c r="AA54" s="348">
        <f>(W54-V54)*Z54</f>
        <v>17645</v>
      </c>
      <c r="AB54" s="348">
        <f>SUM(AA54*Y54)</f>
        <v>5646400</v>
      </c>
      <c r="AC54" s="255">
        <f t="shared" si="19"/>
        <v>1000</v>
      </c>
      <c r="AD54" s="216">
        <f>SUM(G63)</f>
        <v>0</v>
      </c>
      <c r="AE54" s="40">
        <f>SUM(AB54*5%)</f>
        <v>282320</v>
      </c>
      <c r="AF54" s="83">
        <f>SUM(AE54/7)*31</f>
        <v>1250274.2857142857</v>
      </c>
    </row>
    <row r="55" spans="22:32">
      <c r="V55" s="217"/>
      <c r="W55" s="218"/>
      <c r="X55" s="218"/>
      <c r="Y55" s="219"/>
      <c r="Z55" s="3"/>
      <c r="AA55" s="348">
        <f>SUM(AA52:AA54)</f>
        <v>105131</v>
      </c>
      <c r="AB55" s="348"/>
      <c r="AC55" s="255"/>
    </row>
    <row r="56" spans="22:32">
      <c r="V56" s="220" t="s">
        <v>317</v>
      </c>
      <c r="W56" s="459">
        <f>'General information '!F36</f>
        <v>1.8992857142857145E-2</v>
      </c>
      <c r="X56" s="221"/>
      <c r="Y56" s="222" t="s">
        <v>333</v>
      </c>
      <c r="Z56" s="3"/>
      <c r="AA56" s="348"/>
      <c r="AB56" s="593">
        <f>SUM(AB52:AB55)</f>
        <v>14233920</v>
      </c>
      <c r="AC56" s="255">
        <f>SUM(AC52:AC55)/A39*A37</f>
        <v>6752044.1333333328</v>
      </c>
    </row>
    <row r="57" spans="22:32">
      <c r="V57" s="220" t="s">
        <v>318</v>
      </c>
      <c r="W57" s="221">
        <f>GEN!Z33</f>
        <v>153</v>
      </c>
      <c r="X57" s="226">
        <f>SUM(W57/A37)</f>
        <v>5.4642857142857144</v>
      </c>
      <c r="Y57" s="267">
        <f>SUM(X57/2)</f>
        <v>2.7321428571428572</v>
      </c>
      <c r="Z57" s="3"/>
      <c r="AA57" s="3"/>
      <c r="AB57" s="348">
        <f>SUM(AB56+AC57)</f>
        <v>20985964.133333333</v>
      </c>
      <c r="AC57" s="255">
        <f>SUM(AC56)</f>
        <v>6752044.1333333328</v>
      </c>
    </row>
    <row r="58" spans="22:32">
      <c r="V58" s="220" t="s">
        <v>319</v>
      </c>
      <c r="W58" s="221">
        <f>'Degree Days 2020'!V43</f>
        <v>-54.900000000000006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167.6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2308456.0546666668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23294420.188000001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13921.03756771697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4501.3627555555549</v>
      </c>
      <c r="Z65" s="40"/>
      <c r="AA65" s="370" t="s">
        <v>215</v>
      </c>
      <c r="AB65" s="303">
        <f>SUM(AB63)</f>
        <v>13921.03756771697</v>
      </c>
    </row>
    <row r="66" spans="22:28">
      <c r="V66" s="221"/>
      <c r="W66" s="83">
        <f>AB56/1500</f>
        <v>9489.2800000000007</v>
      </c>
      <c r="Z66" s="304">
        <f>SUM(AB65)</f>
        <v>13921.03756771697</v>
      </c>
      <c r="AA66" s="303"/>
      <c r="AB66" s="303"/>
    </row>
    <row r="67" spans="22:28">
      <c r="V67" s="17"/>
      <c r="W67" s="83">
        <f>SUM(W65:W66)</f>
        <v>13990.642755555557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9489.2800000000007</v>
      </c>
      <c r="Z68" s="284">
        <f>SUM(Z66:Z67)</f>
        <v>13921.03756771697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23479.922755555555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G14:G15"/>
    <mergeCell ref="I14:I15"/>
    <mergeCell ref="K14:K15"/>
    <mergeCell ref="C14:C15"/>
    <mergeCell ref="A14:A15"/>
    <mergeCell ref="D14:D15"/>
    <mergeCell ref="E14:E15"/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19" activePane="bottomLeft" state="frozen"/>
      <selection pane="bottomLeft" activeCell="I33" sqref="I3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8" t="s">
        <v>51</v>
      </c>
      <c r="B1" s="710" t="s">
        <v>321</v>
      </c>
      <c r="C1" s="711"/>
      <c r="D1" s="713"/>
      <c r="E1" s="710" t="s">
        <v>322</v>
      </c>
      <c r="F1" s="711"/>
      <c r="G1" s="712"/>
      <c r="H1" s="707" t="s">
        <v>327</v>
      </c>
      <c r="I1" s="704" t="s">
        <v>328</v>
      </c>
      <c r="J1" s="701" t="s">
        <v>43</v>
      </c>
    </row>
    <row r="2" spans="1:18" ht="38.25" thickBot="1">
      <c r="A2" s="699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8"/>
      <c r="I2" s="705"/>
      <c r="J2" s="702"/>
    </row>
    <row r="3" spans="1:18" ht="24" customHeight="1" thickBot="1">
      <c r="A3" s="700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9"/>
      <c r="I3" s="706"/>
      <c r="J3" s="703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79">
        <v>5.5</v>
      </c>
      <c r="C6" s="580">
        <v>7.84</v>
      </c>
      <c r="D6" s="581">
        <v>29</v>
      </c>
      <c r="E6" s="581">
        <v>4</v>
      </c>
      <c r="F6" s="581">
        <v>8</v>
      </c>
      <c r="G6" s="581">
        <v>35</v>
      </c>
      <c r="H6" s="581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8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7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7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8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7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7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7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89">
        <v>7.8</v>
      </c>
      <c r="D13" s="171">
        <v>28</v>
      </c>
      <c r="E13" s="171">
        <v>1.4</v>
      </c>
      <c r="F13" s="171">
        <v>8</v>
      </c>
      <c r="G13" s="171">
        <v>35</v>
      </c>
      <c r="H13" s="590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7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7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7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5">
        <v>7.8</v>
      </c>
      <c r="D17" s="528">
        <v>27</v>
      </c>
      <c r="E17" s="528">
        <v>1</v>
      </c>
      <c r="F17" s="528">
        <v>8</v>
      </c>
      <c r="G17" s="528">
        <v>37</v>
      </c>
      <c r="H17" s="577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7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6">
        <v>7.7</v>
      </c>
      <c r="D19" s="171">
        <v>29</v>
      </c>
      <c r="E19" s="171">
        <v>3</v>
      </c>
      <c r="F19" s="171">
        <v>8</v>
      </c>
      <c r="G19" s="171">
        <v>35</v>
      </c>
      <c r="H19" s="590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>
        <v>2.9</v>
      </c>
      <c r="C20" s="528">
        <v>7.8</v>
      </c>
      <c r="D20" s="528">
        <v>27</v>
      </c>
      <c r="E20" s="528">
        <v>1</v>
      </c>
      <c r="F20" s="528">
        <v>8</v>
      </c>
      <c r="G20" s="528">
        <v>35</v>
      </c>
      <c r="H20" s="577">
        <v>6280</v>
      </c>
      <c r="I20" s="528">
        <f t="shared" si="2"/>
        <v>2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99">
        <v>3.6</v>
      </c>
      <c r="C21" s="528">
        <v>7.8</v>
      </c>
      <c r="D21" s="528">
        <v>29</v>
      </c>
      <c r="E21" s="599">
        <v>4</v>
      </c>
      <c r="F21" s="598">
        <v>8.6999999999999993</v>
      </c>
      <c r="G21" s="528">
        <v>36</v>
      </c>
      <c r="H21" s="577">
        <v>6288</v>
      </c>
      <c r="I21" s="528">
        <f t="shared" si="2"/>
        <v>8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>
        <v>2.8</v>
      </c>
      <c r="C22" s="597">
        <v>7.8</v>
      </c>
      <c r="D22" s="171">
        <v>29</v>
      </c>
      <c r="E22" s="171">
        <v>3</v>
      </c>
      <c r="F22" s="171">
        <v>8.1</v>
      </c>
      <c r="G22" s="171">
        <v>38</v>
      </c>
      <c r="H22" s="590">
        <v>6292</v>
      </c>
      <c r="I22" s="528">
        <f t="shared" si="2"/>
        <v>4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>
        <v>3.2</v>
      </c>
      <c r="C23" s="171">
        <v>7.8</v>
      </c>
      <c r="D23" s="171">
        <v>29</v>
      </c>
      <c r="E23" s="171">
        <v>1.4</v>
      </c>
      <c r="F23" s="171">
        <v>8</v>
      </c>
      <c r="G23" s="171">
        <v>31</v>
      </c>
      <c r="H23" s="577">
        <v>6294</v>
      </c>
      <c r="I23" s="528">
        <f t="shared" si="2"/>
        <v>2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>
        <v>3</v>
      </c>
      <c r="C24" s="528">
        <v>7.8</v>
      </c>
      <c r="D24" s="528">
        <v>29</v>
      </c>
      <c r="E24" s="528">
        <v>1.5</v>
      </c>
      <c r="F24" s="528">
        <v>8</v>
      </c>
      <c r="G24" s="528">
        <v>34</v>
      </c>
      <c r="H24" s="577">
        <v>6297</v>
      </c>
      <c r="I24" s="528">
        <f t="shared" si="2"/>
        <v>3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>
        <v>3</v>
      </c>
      <c r="C25" s="528">
        <v>7.8</v>
      </c>
      <c r="D25" s="528">
        <v>29</v>
      </c>
      <c r="E25" s="528">
        <v>3.1</v>
      </c>
      <c r="F25" s="528">
        <v>7.9</v>
      </c>
      <c r="G25" s="528">
        <v>36</v>
      </c>
      <c r="H25" s="577">
        <v>6299</v>
      </c>
      <c r="I25" s="528">
        <f t="shared" si="2"/>
        <v>2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>
        <v>3</v>
      </c>
      <c r="C26" s="528">
        <v>7.8</v>
      </c>
      <c r="D26" s="528">
        <v>29</v>
      </c>
      <c r="E26" s="528">
        <v>2</v>
      </c>
      <c r="F26" s="528">
        <v>7.9</v>
      </c>
      <c r="G26" s="528">
        <v>35</v>
      </c>
      <c r="H26" s="577">
        <v>6303</v>
      </c>
      <c r="I26" s="528">
        <f t="shared" si="2"/>
        <v>4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>
        <v>3.5</v>
      </c>
      <c r="C27" s="528">
        <v>7.9</v>
      </c>
      <c r="D27" s="528">
        <v>27</v>
      </c>
      <c r="E27" s="528">
        <v>0.9</v>
      </c>
      <c r="F27" s="528">
        <v>8</v>
      </c>
      <c r="G27" s="528">
        <v>37</v>
      </c>
      <c r="H27" s="577">
        <v>6310</v>
      </c>
      <c r="I27" s="528">
        <f t="shared" si="2"/>
        <v>7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260">
        <v>3.7</v>
      </c>
      <c r="C28" s="601">
        <v>7.8</v>
      </c>
      <c r="D28" s="171">
        <v>27</v>
      </c>
      <c r="E28" s="171">
        <v>2</v>
      </c>
      <c r="F28" s="171">
        <v>8</v>
      </c>
      <c r="G28" s="171">
        <v>36</v>
      </c>
      <c r="H28" s="590">
        <v>6310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>
        <v>3</v>
      </c>
      <c r="C29" s="528">
        <v>7.8</v>
      </c>
      <c r="D29" s="528">
        <v>29</v>
      </c>
      <c r="E29" s="528">
        <v>1.5</v>
      </c>
      <c r="F29" s="528">
        <v>8</v>
      </c>
      <c r="G29" s="528">
        <v>36</v>
      </c>
      <c r="H29" s="577">
        <f t="shared" si="4"/>
        <v>6310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>
        <v>3</v>
      </c>
      <c r="C30" s="605">
        <v>7.8</v>
      </c>
      <c r="D30" s="171">
        <v>29</v>
      </c>
      <c r="E30" s="171">
        <v>3</v>
      </c>
      <c r="F30" s="171">
        <v>8</v>
      </c>
      <c r="G30" s="171">
        <v>36</v>
      </c>
      <c r="H30" s="590">
        <v>6319</v>
      </c>
      <c r="I30" s="528">
        <f t="shared" si="2"/>
        <v>9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>
        <v>1</v>
      </c>
      <c r="C31" s="565">
        <v>7.05</v>
      </c>
      <c r="D31" s="171">
        <v>28</v>
      </c>
      <c r="E31" s="171">
        <v>3.5</v>
      </c>
      <c r="F31" s="171">
        <v>8</v>
      </c>
      <c r="G31" s="171">
        <v>37</v>
      </c>
      <c r="H31" s="577">
        <v>6328</v>
      </c>
      <c r="I31" s="528">
        <f t="shared" si="2"/>
        <v>9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>
        <v>2.5</v>
      </c>
      <c r="C32" s="528">
        <v>7.8</v>
      </c>
      <c r="D32" s="528">
        <v>28</v>
      </c>
      <c r="E32" s="528">
        <v>1.5</v>
      </c>
      <c r="F32" s="528">
        <v>8</v>
      </c>
      <c r="G32" s="528">
        <v>36</v>
      </c>
      <c r="H32" s="577">
        <v>6337</v>
      </c>
      <c r="I32" s="528">
        <f t="shared" si="2"/>
        <v>9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>
        <v>2</v>
      </c>
      <c r="C33" s="528">
        <v>7.8</v>
      </c>
      <c r="D33" s="528">
        <v>28</v>
      </c>
      <c r="E33" s="528">
        <v>1.5</v>
      </c>
      <c r="F33" s="528">
        <v>8</v>
      </c>
      <c r="G33" s="528">
        <v>36</v>
      </c>
      <c r="H33" s="577">
        <v>6348</v>
      </c>
      <c r="I33" s="528">
        <f t="shared" si="2"/>
        <v>11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7">
        <f t="shared" si="4"/>
        <v>6348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7">
        <f t="shared" si="4"/>
        <v>6348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X33" sqref="X33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25" t="s">
        <v>161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</row>
    <row r="2" spans="1:28" ht="19.5">
      <c r="A2" s="726"/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</row>
    <row r="3" spans="1:28" ht="19.5">
      <c r="A3" s="726" t="s">
        <v>162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26" t="s">
        <v>412</v>
      </c>
      <c r="B5" s="726"/>
      <c r="C5" s="726"/>
      <c r="D5" s="726"/>
      <c r="E5" s="726"/>
      <c r="F5" s="726"/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</row>
    <row r="6" spans="1:28" ht="15.75" thickBot="1">
      <c r="A6" s="727"/>
      <c r="B6" s="727"/>
      <c r="C6" s="727"/>
      <c r="D6" s="727"/>
      <c r="E6" s="727"/>
      <c r="F6" s="727"/>
      <c r="G6" s="727"/>
      <c r="H6" s="727"/>
      <c r="I6" s="727"/>
      <c r="J6" s="727"/>
      <c r="K6" s="727"/>
      <c r="L6" s="727"/>
      <c r="M6" s="727"/>
      <c r="N6" s="727"/>
      <c r="O6" s="727"/>
      <c r="P6" s="727"/>
      <c r="Q6" s="727"/>
      <c r="R6" s="727"/>
      <c r="S6" s="727"/>
      <c r="T6" s="727"/>
      <c r="U6" s="727"/>
      <c r="V6" s="727"/>
      <c r="W6" s="727"/>
      <c r="X6" s="727"/>
    </row>
    <row r="7" spans="1:28" ht="15.75" thickBot="1">
      <c r="A7" s="715" t="s">
        <v>163</v>
      </c>
      <c r="B7" s="716"/>
      <c r="C7" s="717" t="s">
        <v>164</v>
      </c>
      <c r="D7" s="718"/>
      <c r="E7" s="718"/>
      <c r="F7" s="718"/>
      <c r="G7" s="718"/>
      <c r="H7" s="718"/>
      <c r="I7" s="718"/>
      <c r="J7" s="718"/>
      <c r="K7" s="719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C43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F43</f>
        <v>-153.49999999999997</v>
      </c>
      <c r="AB11" s="279">
        <f>G43</f>
        <v>0.69999999999999929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J43</f>
        <v>-61.799999999999983</v>
      </c>
      <c r="AB12" s="279">
        <f>K43</f>
        <v>11.499999999999996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O43</f>
        <v>25.29999999999999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S43</f>
        <v>131.50000000000003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-54.900000000000006</v>
      </c>
      <c r="AB15" s="279">
        <f>W43</f>
        <v>167.6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-447.4</v>
      </c>
      <c r="AB23" s="135">
        <f>SUM(AB10:AB22)</f>
        <v>357.6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26</v>
      </c>
      <c r="W24" s="279">
        <f>'General information '!C20</f>
        <v>20</v>
      </c>
      <c r="X24" s="279">
        <f t="shared" si="5"/>
        <v>4.6999999999999993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26</v>
      </c>
      <c r="W25" s="279">
        <f>'General information '!C21</f>
        <v>21</v>
      </c>
      <c r="X25" s="279">
        <f t="shared" si="5"/>
        <v>5.1999999999999993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27</v>
      </c>
      <c r="W26" s="279">
        <f>'General information '!C22</f>
        <v>22</v>
      </c>
      <c r="X26" s="279">
        <f t="shared" si="5"/>
        <v>6.1999999999999993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27</v>
      </c>
      <c r="W27" s="279">
        <f>'General information '!C23</f>
        <v>24</v>
      </c>
      <c r="X27" s="279">
        <f t="shared" si="5"/>
        <v>7.1999999999999993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27</v>
      </c>
      <c r="W28" s="279">
        <f>'General information '!C24</f>
        <v>24</v>
      </c>
      <c r="X28" s="279">
        <f t="shared" si="5"/>
        <v>7.1999999999999993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26</v>
      </c>
      <c r="W29" s="279">
        <f>'General information '!C25</f>
        <v>23</v>
      </c>
      <c r="X29" s="279">
        <f t="shared" si="5"/>
        <v>6.1999999999999993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29</v>
      </c>
      <c r="W30" s="279">
        <f>'General information '!C26</f>
        <v>21</v>
      </c>
      <c r="X30" s="279">
        <f t="shared" si="5"/>
        <v>6.6999999999999993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29</v>
      </c>
      <c r="W31" s="279">
        <f>'General information '!C27</f>
        <v>22</v>
      </c>
      <c r="X31" s="279">
        <f t="shared" si="5"/>
        <v>7.1999999999999993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27</v>
      </c>
      <c r="W32" s="279">
        <f>'General information '!C28</f>
        <v>23</v>
      </c>
      <c r="X32" s="279">
        <f t="shared" si="5"/>
        <v>6.6999999999999993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27</v>
      </c>
      <c r="W33" s="279">
        <f>'General information '!C29</f>
        <v>23</v>
      </c>
      <c r="X33" s="279">
        <f t="shared" si="5"/>
        <v>6.6999999999999993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33</v>
      </c>
      <c r="W34" s="279">
        <f>'General information '!C30</f>
        <v>27</v>
      </c>
      <c r="X34" s="279">
        <f t="shared" si="5"/>
        <v>11.7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28</v>
      </c>
      <c r="W35" s="279">
        <f>'General information '!C31</f>
        <v>24</v>
      </c>
      <c r="X35" s="279">
        <f t="shared" si="5"/>
        <v>7.6999999999999993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29</v>
      </c>
      <c r="W36" s="279">
        <f>'General information '!C32</f>
        <v>25</v>
      </c>
      <c r="X36" s="279">
        <f t="shared" si="5"/>
        <v>8.6999999999999993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30</v>
      </c>
      <c r="W37" s="279">
        <f>'General information '!C33</f>
        <v>26</v>
      </c>
      <c r="X37" s="279">
        <f t="shared" si="5"/>
        <v>9.6999999999999993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-54.900000000000006</v>
      </c>
      <c r="W43" s="120">
        <f>SUMIF(X10:X40,"&gt;0")</f>
        <v>167.6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26</v>
      </c>
      <c r="C62" s="279">
        <f>'General information '!C20</f>
        <v>20</v>
      </c>
      <c r="D62" s="120">
        <f t="shared" si="14"/>
        <v>4.6999999999999993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26</v>
      </c>
      <c r="C63" s="279">
        <f>'General information '!C21</f>
        <v>21</v>
      </c>
      <c r="D63" s="120">
        <f t="shared" si="14"/>
        <v>5.1999999999999993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27</v>
      </c>
      <c r="C64" s="279">
        <f>'General information '!C22</f>
        <v>22</v>
      </c>
      <c r="D64" s="120">
        <f t="shared" si="14"/>
        <v>6.1999999999999993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27</v>
      </c>
      <c r="C65" s="279">
        <f>'General information '!C23</f>
        <v>24</v>
      </c>
      <c r="D65" s="120">
        <f t="shared" si="14"/>
        <v>7.1999999999999993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27</v>
      </c>
      <c r="C66" s="279">
        <f>'General information '!C24</f>
        <v>24</v>
      </c>
      <c r="D66" s="120">
        <f t="shared" si="14"/>
        <v>7.1999999999999993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26</v>
      </c>
      <c r="C67" s="279">
        <f>'General information '!C25</f>
        <v>23</v>
      </c>
      <c r="D67" s="120">
        <f t="shared" si="14"/>
        <v>6.1999999999999993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29</v>
      </c>
      <c r="C68" s="279">
        <f>'General information '!C26</f>
        <v>21</v>
      </c>
      <c r="D68" s="120">
        <f t="shared" si="14"/>
        <v>6.6999999999999993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29</v>
      </c>
      <c r="C69" s="279">
        <f>'General information '!C27</f>
        <v>22</v>
      </c>
      <c r="D69" s="120">
        <f t="shared" si="14"/>
        <v>7.1999999999999993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27</v>
      </c>
      <c r="C70" s="279">
        <f>'General information '!C28</f>
        <v>23</v>
      </c>
      <c r="D70" s="120">
        <f t="shared" si="14"/>
        <v>6.6999999999999993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27</v>
      </c>
      <c r="C71" s="279">
        <f>'General information '!C29</f>
        <v>23</v>
      </c>
      <c r="D71" s="120">
        <f t="shared" si="14"/>
        <v>6.6999999999999993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33</v>
      </c>
      <c r="C72" s="279">
        <f>'General information '!C30</f>
        <v>27</v>
      </c>
      <c r="D72" s="120">
        <f t="shared" si="14"/>
        <v>11.7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28</v>
      </c>
      <c r="C73" s="279">
        <f>'General information '!C31</f>
        <v>24</v>
      </c>
      <c r="D73" s="120">
        <f t="shared" si="14"/>
        <v>7.6999999999999993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29</v>
      </c>
      <c r="C74" s="279">
        <f>'General information '!C32</f>
        <v>25</v>
      </c>
      <c r="D74" s="120">
        <f t="shared" si="14"/>
        <v>8.6999999999999993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30</v>
      </c>
      <c r="C75" s="279">
        <f>'General information '!C33</f>
        <v>26</v>
      </c>
      <c r="D75" s="120">
        <f t="shared" si="14"/>
        <v>9.6999999999999993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-54.900000000000006</v>
      </c>
      <c r="C81" s="120">
        <f>SUMIF(D48:D78,"&gt;0")</f>
        <v>167.6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20" t="s">
        <v>174</v>
      </c>
      <c r="O84" s="720" t="s">
        <v>175</v>
      </c>
      <c r="P84" s="135"/>
      <c r="T84" s="135"/>
      <c r="X84" s="135"/>
    </row>
    <row r="85" spans="1:24" ht="20.25" thickBot="1">
      <c r="D85" s="135"/>
      <c r="I85" s="722" t="s">
        <v>182</v>
      </c>
      <c r="J85" s="723"/>
      <c r="K85" s="723"/>
      <c r="L85" s="723"/>
      <c r="N85" s="721"/>
      <c r="O85" s="721"/>
      <c r="P85" s="135"/>
      <c r="R85" s="17"/>
      <c r="S85" s="17"/>
      <c r="T85" s="141"/>
      <c r="U85" s="142"/>
      <c r="X85" s="135"/>
    </row>
    <row r="86" spans="1:24" ht="18.75" thickBot="1">
      <c r="D86" s="135"/>
      <c r="I86" s="724" t="s">
        <v>183</v>
      </c>
      <c r="J86" s="724"/>
      <c r="K86" s="724"/>
      <c r="L86" s="724"/>
      <c r="N86" s="143">
        <f>B43+F43+J43+N43+R43+V43+B81+F81+J81+N81+R81+V81</f>
        <v>-3310.9</v>
      </c>
      <c r="O86" s="143">
        <f>C43+G43+K43+O43+S43+W43+C81+G81+K81+O81+S81+W81</f>
        <v>504.20000000000005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B22" sqref="B2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8" t="s">
        <v>216</v>
      </c>
      <c r="B2" s="728"/>
      <c r="C2" s="728"/>
      <c r="D2" s="728"/>
      <c r="E2" s="728"/>
      <c r="F2" s="728"/>
      <c r="G2" s="728"/>
      <c r="H2" s="728"/>
      <c r="I2" s="728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28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62</v>
      </c>
      <c r="C6" s="339">
        <v>1.45</v>
      </c>
      <c r="D6" s="188">
        <f>SUM(C6*B6)*D4</f>
        <v>135524.25</v>
      </c>
      <c r="E6" s="451">
        <f>SUM(D6/D4)/F4</f>
        <v>3.2107142857142859</v>
      </c>
      <c r="F6" s="189">
        <f>SUM(E6*F4)</f>
        <v>89.9</v>
      </c>
      <c r="G6" s="190">
        <f>SUM(B6*C6)</f>
        <v>89.899999999999991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1859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7000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37692.1</v>
      </c>
      <c r="C8" s="512">
        <f>SUM(tanks!AU36)</f>
        <v>0.32116</v>
      </c>
      <c r="D8" s="195">
        <f>SUM(B8*C8)*D4</f>
        <v>18248581.215269998</v>
      </c>
      <c r="E8" s="196">
        <f>SUM(D8/D4/F4)</f>
        <v>432.32838699999996</v>
      </c>
      <c r="F8" s="196">
        <f>SUM(E8*F4)</f>
        <v>12105.194835999999</v>
      </c>
      <c r="G8" s="529">
        <f>E8*$G$4</f>
        <v>12969.85161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4300</v>
      </c>
      <c r="C9" s="362">
        <v>0.7</v>
      </c>
      <c r="D9" s="192">
        <f>SUM(B9*C9)*D4</f>
        <v>4537575</v>
      </c>
      <c r="E9" s="193">
        <f>SUM(C9*B9)/F4</f>
        <v>107.5</v>
      </c>
      <c r="F9" s="193">
        <f>SUM(E9*F4)</f>
        <v>3010</v>
      </c>
      <c r="G9" s="529">
        <f>E9*$G$4</f>
        <v>3225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29512604.133333333</v>
      </c>
      <c r="E10" s="186">
        <f>SUM(D10/D4/F4)</f>
        <v>699.18512516781175</v>
      </c>
      <c r="F10" s="186">
        <f>SUM(E10*F4)</f>
        <v>19577.183504698729</v>
      </c>
      <c r="G10" s="529">
        <f>E10*$G$4</f>
        <v>20975.553755034351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1492.2242264535259</v>
      </c>
      <c r="F12" s="184">
        <f>SUM(F6:F10)</f>
        <v>41782.278340698729</v>
      </c>
      <c r="G12" s="183">
        <f>SUM(G6:G10)</f>
        <v>44760.30536503435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167.6</v>
      </c>
      <c r="C14" s="448">
        <f>'[8]Utility Cost '!C14</f>
        <v>151</v>
      </c>
      <c r="D14" s="171"/>
      <c r="E14" s="171">
        <f t="shared" ref="E14:E18" si="0">B14-C14</f>
        <v>16.599999999999994</v>
      </c>
      <c r="F14" s="528">
        <v>0</v>
      </c>
      <c r="G14" s="436"/>
      <c r="H14" s="437">
        <f>SUM(G12-H12)</f>
        <v>-16175.202484965645</v>
      </c>
      <c r="I14" s="437">
        <f>SUM(G12-I12)</f>
        <v>-35739.69463496565</v>
      </c>
    </row>
    <row r="15" spans="1:11">
      <c r="A15" s="465" t="s">
        <v>304</v>
      </c>
      <c r="B15" s="98">
        <f>'Degree Days 2020'!AA15</f>
        <v>-54.900000000000006</v>
      </c>
      <c r="C15" s="448">
        <f>'[8]Utility Cost '!C15</f>
        <v>-18.3</v>
      </c>
      <c r="D15" s="171"/>
      <c r="E15" s="171">
        <f t="shared" si="0"/>
        <v>-36.600000000000009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24.285714285714285</v>
      </c>
      <c r="C16" s="448">
        <f>'[8]Utility Cost '!C16</f>
        <v>26.483333333333334</v>
      </c>
      <c r="D16" s="448"/>
      <c r="E16" s="449">
        <f t="shared" si="0"/>
        <v>-2.1976190476190496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1.8992857142857145E-2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-0.76721714285714282</v>
      </c>
      <c r="F17" s="548">
        <f>B17-D17</f>
        <v>-0.57460714285714287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153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-72</v>
      </c>
      <c r="F18" s="549">
        <f>B18-D18</f>
        <v>-64</v>
      </c>
    </row>
    <row r="19" spans="1:10">
      <c r="A19" s="543" t="s">
        <v>414</v>
      </c>
      <c r="B19" s="541">
        <f>SUM(B18/$F$4)</f>
        <v>5.4642857142857144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2020-06-29T08:57:31Z</dcterms:modified>
</cp:coreProperties>
</file>