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50758673-6682-4309-A874-D332D0379A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  <sheet name="March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9" i="1" l="1"/>
  <c r="G29" i="1"/>
  <c r="I29" i="1"/>
  <c r="K29" i="1"/>
  <c r="L29" i="1"/>
  <c r="E30" i="1"/>
  <c r="G30" i="1"/>
  <c r="I30" i="1"/>
  <c r="K30" i="1"/>
  <c r="L30" i="1"/>
  <c r="E31" i="1"/>
  <c r="G31" i="1"/>
  <c r="I31" i="1"/>
  <c r="K31" i="1"/>
  <c r="L31" i="1"/>
  <c r="E32" i="1"/>
  <c r="G32" i="1"/>
  <c r="I32" i="1"/>
  <c r="K32" i="1"/>
  <c r="L32" i="1"/>
  <c r="B30" i="1"/>
  <c r="B31" i="1"/>
  <c r="B32" i="1" s="1"/>
  <c r="D36" i="8"/>
  <c r="C36" i="8"/>
  <c r="B36" i="8"/>
  <c r="L35" i="8"/>
  <c r="K35" i="8"/>
  <c r="H35" i="8"/>
  <c r="G35" i="8"/>
  <c r="F35" i="8"/>
  <c r="D35" i="8"/>
  <c r="D38" i="8" s="1"/>
  <c r="C35" i="8"/>
  <c r="C38" i="8" s="1"/>
  <c r="B35" i="8"/>
  <c r="B38" i="8" s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<sst xmlns="http://schemas.openxmlformats.org/spreadsheetml/2006/main" count="65" uniqueCount="33">
  <si>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</si>
  <si>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</si>
  <si>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</si>
  <si>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</si>
  <si>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</si>
  <si>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</si>
  <si>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</si>
  <si>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</si>
  <si>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</si>
  <si>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</si>
  <si>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</si>
  <si>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</si>
  <si>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</si>
  <si>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</si>
  <si>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</si>
  <si>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</si>
  <si>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</si>
  <si>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</si>
  <si>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</si>
  <si>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</si>
  <si>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</si>
  <si>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</si>
  <si>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</si>
  <si>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</si>
  <si>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</si>
  <si>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</si>
  <si>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</si>
  <si>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Room Night</t>
  </si>
  <si>
    <t>min. ČR</t>
  </si>
  <si>
    <t>max. ČR</t>
  </si>
  <si>
    <t>FSHP-max</t>
  </si>
  <si>
    <t>Temperature °C</t>
  </si>
  <si>
    <t>Four Seasons Hotel Prague - Utilities Daily Consumption -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</si>
</sst>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  <font>
      <sz val="8"/>
      <name val="Arial CE"/>
      <family val="2"/>
      <charset val="238"/>
    </font>
    <font>
      <sz val="8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2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4" fontId="1" fillId="3" borderId="15" xfId="0" applyNumberFormat="1" applyFont="1" applyFill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8" xfId="0" applyNumberFormat="1" applyFont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0" fontId="4" fillId="0" borderId="21" xfId="0" applyFont="1" applyBorder="1" applyAlignment="1">
      <alignment horizontal="right"/>
    </xf>
    <xf numFmtId="3" fontId="5" fillId="0" borderId="21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0" borderId="24" xfId="0" applyFont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2" borderId="26" xfId="0" applyFont="1" applyFill="1" applyBorder="1" applyAlignment="1" applyProtection="1">
      <alignment horizontal="center"/>
      <protection locked="0"/>
    </xf>
    <xf numFmtId="0" fontId="2" fillId="0" borderId="27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5" xfId="0" applyNumberFormat="1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3" fontId="12" fillId="2" borderId="5" xfId="0" applyNumberFormat="1" applyFont="1" applyFill="1" applyBorder="1" applyAlignment="1" applyProtection="1">
      <alignment horizontal="center"/>
    </xf>
    <xf numFmtId="3" fontId="12" fillId="2" borderId="6" xfId="0" applyNumberFormat="1" applyFont="1" applyFill="1" applyBorder="1" applyAlignment="1" applyProtection="1">
      <alignment horizontal="center"/>
    </xf>
    <xf numFmtId="3" fontId="2" fillId="0" borderId="13" xfId="0" applyNumberFormat="1" applyFont="1" applyBorder="1" applyAlignment="1">
      <alignment horizontal="center"/>
    </xf>
    <xf numFmtId="3" fontId="12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3" fontId="1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abSelected="1" workbookViewId="0">
      <selection activeCell="F8" sqref="F8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27"/>
    <col min="4" max="4" width="13.42578125" style="2" customWidth="1"/>
    <col min="5" max="5" width="12.5703125" style="1" customWidth="1"/>
    <col min="6" max="6" width="12.5703125" style="22" customWidth="1"/>
    <col min="7" max="7" width="11.5703125" style="1"/>
    <col min="8" max="8" width="11.5703125" style="22"/>
    <col min="9" max="9" width="11.5703125" style="1"/>
    <col min="10" max="10" width="11.5703125" style="23"/>
    <col min="11" max="11" width="11.5703125" style="30"/>
    <col min="12" max="24" width="11.5703125" style="1"/>
  </cols>
  <sheetData>
    <row r="1" spans="1:24" s="3" customFormat="1" ht="60" x14ac:dyDescent="0.25">
      <c r="A1" s="24" t="s">
        <v>0</v>
      </c>
      <c r="B1" s="24" t="s">
        <v>1</v>
      </c>
      <c r="C1" s="26" t="s">
        <v>2</v>
      </c>
      <c r="D1" s="24" t="s">
        <v>3</v>
      </c>
      <c r="E1" s="24" t="s">
        <v>4</v>
      </c>
      <c r="F1" s="25" t="s">
        <v>5</v>
      </c>
      <c r="G1" s="24" t="s">
        <v>6</v>
      </c>
      <c r="H1" s="25" t="s">
        <v>7</v>
      </c>
      <c r="I1" s="24" t="s">
        <v>8</v>
      </c>
      <c r="J1" s="26" t="s">
        <v>9</v>
      </c>
      <c r="K1" s="28" t="s">
        <v>10</v>
      </c>
      <c r="L1" s="24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7">
        <v>3</v>
      </c>
      <c r="D2" s="2">
        <v>2022</v>
      </c>
      <c r="E2" s="4">
        <f>March!B4</f>
        <v>10941</v>
      </c>
      <c r="F2" s="21">
        <v>9.9000000000000005E-2</v>
      </c>
      <c r="G2" s="4">
        <f>March!C4</f>
        <v>1527</v>
      </c>
      <c r="H2" s="22">
        <v>0.28000000000000003</v>
      </c>
      <c r="I2" s="4">
        <f>March!D4</f>
        <v>45</v>
      </c>
      <c r="J2" s="22">
        <v>3.2719999999999998</v>
      </c>
      <c r="K2" s="29">
        <f>March!J4</f>
        <v>54</v>
      </c>
      <c r="L2" s="29">
        <f>March!K4</f>
        <v>39</v>
      </c>
      <c r="M2" s="1" t="s">
        <v>13</v>
      </c>
    </row>
    <row r="3" spans="1:24" x14ac:dyDescent="0.25">
      <c r="A3" s="3" t="s">
        <v>12</v>
      </c>
      <c r="B3" s="2">
        <f>B2+1</f>
        <v>2</v>
      </c>
      <c r="C3" s="27">
        <v>3</v>
      </c>
      <c r="D3" s="2">
        <v>2022</v>
      </c>
      <c r="E3" s="4">
        <f>March!B5</f>
        <v>10766</v>
      </c>
      <c r="F3" s="21">
        <v>9.9000000000000005E-2</v>
      </c>
      <c r="G3" s="4">
        <f>March!C5</f>
        <v>1486</v>
      </c>
      <c r="H3" s="22">
        <v>0.28000000000000003</v>
      </c>
      <c r="I3" s="4">
        <f>March!D5</f>
        <v>46</v>
      </c>
      <c r="J3" s="22">
        <v>3.2719999999999998</v>
      </c>
      <c r="K3" s="29">
        <f>March!J5</f>
        <v>49</v>
      </c>
      <c r="L3" s="29">
        <f>March!K5</f>
        <v>34</v>
      </c>
    </row>
    <row r="4" spans="1:24" x14ac:dyDescent="0.25">
      <c r="A4" s="3" t="s">
        <v>12</v>
      </c>
      <c r="B4" s="2">
        <f t="shared" ref="B4:B32" si="0">B3+1</f>
        <v>3</v>
      </c>
      <c r="C4" s="27">
        <v>3</v>
      </c>
      <c r="D4" s="2">
        <v>2022</v>
      </c>
      <c r="E4" s="4">
        <f>March!B6</f>
        <v>11698</v>
      </c>
      <c r="F4" s="21">
        <v>9.9000000000000005E-2</v>
      </c>
      <c r="G4" s="4">
        <f>March!C6</f>
        <v>1657</v>
      </c>
      <c r="H4" s="22">
        <v>0.28000000000000003</v>
      </c>
      <c r="I4" s="4">
        <f>March!D6</f>
        <v>53</v>
      </c>
      <c r="J4" s="22">
        <v>3.2719999999999998</v>
      </c>
      <c r="K4" s="29">
        <f>March!J6</f>
        <v>116</v>
      </c>
      <c r="L4" s="29">
        <f>March!K6</f>
        <v>66</v>
      </c>
    </row>
    <row r="5" spans="1:24" x14ac:dyDescent="0.25">
      <c r="A5" s="3" t="s">
        <v>12</v>
      </c>
      <c r="B5" s="2">
        <f t="shared" si="0"/>
        <v>4</v>
      </c>
      <c r="C5" s="27">
        <v>3</v>
      </c>
      <c r="D5" s="2">
        <v>2022</v>
      </c>
      <c r="E5" s="4">
        <f>March!B7</f>
        <v>12175</v>
      </c>
      <c r="F5" s="21">
        <v>9.9000000000000005E-2</v>
      </c>
      <c r="G5" s="4">
        <f>March!C7</f>
        <v>1708</v>
      </c>
      <c r="H5" s="22">
        <v>0.28000000000000003</v>
      </c>
      <c r="I5" s="4">
        <f>March!D7</f>
        <v>65</v>
      </c>
      <c r="J5" s="22">
        <v>3.2719999999999998</v>
      </c>
      <c r="K5" s="29">
        <f>March!J7</f>
        <v>130</v>
      </c>
      <c r="L5" s="29">
        <f>March!K7</f>
        <v>76</v>
      </c>
    </row>
    <row r="6" spans="1:24" x14ac:dyDescent="0.25">
      <c r="A6" s="3" t="s">
        <v>12</v>
      </c>
      <c r="B6" s="2">
        <f t="shared" si="0"/>
        <v>5</v>
      </c>
      <c r="C6" s="27">
        <v>3</v>
      </c>
      <c r="D6" s="2">
        <v>2022</v>
      </c>
      <c r="E6" s="4">
        <f>March!B8</f>
        <v>11560</v>
      </c>
      <c r="F6" s="21">
        <v>9.9000000000000005E-2</v>
      </c>
      <c r="G6" s="4">
        <f>March!C8</f>
        <v>1587</v>
      </c>
      <c r="H6" s="22">
        <v>0.28000000000000003</v>
      </c>
      <c r="I6" s="4">
        <f>March!D8</f>
        <v>63</v>
      </c>
      <c r="J6" s="22">
        <v>3.2719999999999998</v>
      </c>
      <c r="K6" s="29">
        <f>March!J8</f>
        <v>137</v>
      </c>
      <c r="L6" s="29">
        <f>March!K8</f>
        <v>79</v>
      </c>
    </row>
    <row r="7" spans="1:24" x14ac:dyDescent="0.25">
      <c r="A7" s="3" t="s">
        <v>12</v>
      </c>
      <c r="B7" s="2">
        <f t="shared" si="0"/>
        <v>6</v>
      </c>
      <c r="C7" s="27">
        <v>3</v>
      </c>
      <c r="D7" s="2">
        <v>2022</v>
      </c>
      <c r="E7" s="4">
        <f>March!B9</f>
        <v>11331</v>
      </c>
      <c r="F7" s="21">
        <v>9.9000000000000005E-2</v>
      </c>
      <c r="G7" s="4">
        <f>March!C9</f>
        <v>1656</v>
      </c>
      <c r="H7" s="22">
        <v>0.28000000000000003</v>
      </c>
      <c r="I7" s="4">
        <f>March!D9</f>
        <v>61</v>
      </c>
      <c r="J7" s="22">
        <v>3.2719999999999998</v>
      </c>
      <c r="K7" s="29">
        <f>March!J9</f>
        <v>101</v>
      </c>
      <c r="L7" s="29">
        <f>March!K9</f>
        <v>66</v>
      </c>
    </row>
    <row r="8" spans="1:24" x14ac:dyDescent="0.25">
      <c r="A8" s="3" t="s">
        <v>12</v>
      </c>
      <c r="B8" s="2">
        <f t="shared" si="0"/>
        <v>7</v>
      </c>
      <c r="C8" s="27">
        <v>3</v>
      </c>
      <c r="D8" s="2">
        <v>2022</v>
      </c>
      <c r="E8" s="4">
        <f>March!B10</f>
        <v>11523</v>
      </c>
      <c r="F8" s="21">
        <v>9.9000000000000005E-2</v>
      </c>
      <c r="G8" s="4">
        <f>March!C10</f>
        <v>1677</v>
      </c>
      <c r="H8" s="22">
        <v>0.28000000000000003</v>
      </c>
      <c r="I8" s="4">
        <f>March!D10</f>
        <v>57</v>
      </c>
      <c r="J8" s="22">
        <v>3.2719999999999998</v>
      </c>
      <c r="K8" s="29">
        <f>March!J10</f>
        <v>57</v>
      </c>
      <c r="L8" s="29">
        <f>March!K10</f>
        <v>44</v>
      </c>
    </row>
    <row r="9" spans="1:24" x14ac:dyDescent="0.25">
      <c r="A9" s="3" t="s">
        <v>12</v>
      </c>
      <c r="B9" s="2">
        <f t="shared" si="0"/>
        <v>8</v>
      </c>
      <c r="C9" s="27">
        <v>3</v>
      </c>
      <c r="D9" s="2">
        <v>2022</v>
      </c>
      <c r="E9" s="4">
        <f>March!B11</f>
        <v>11431</v>
      </c>
      <c r="F9" s="21">
        <v>9.9000000000000005E-2</v>
      </c>
      <c r="G9" s="4">
        <f>March!C11</f>
        <v>1596</v>
      </c>
      <c r="H9" s="22">
        <v>0.28000000000000003</v>
      </c>
      <c r="I9" s="4">
        <f>March!D11</f>
        <v>60</v>
      </c>
      <c r="J9" s="22">
        <v>3.2719999999999998</v>
      </c>
      <c r="K9" s="29">
        <f>March!J11</f>
        <v>64</v>
      </c>
      <c r="L9" s="29">
        <f>March!K11</f>
        <v>46</v>
      </c>
    </row>
    <row r="10" spans="1:24" x14ac:dyDescent="0.25">
      <c r="A10" s="3" t="s">
        <v>12</v>
      </c>
      <c r="B10" s="2">
        <f t="shared" si="0"/>
        <v>9</v>
      </c>
      <c r="C10" s="27">
        <v>3</v>
      </c>
      <c r="D10" s="2">
        <v>2022</v>
      </c>
      <c r="E10" s="4">
        <f>March!B12</f>
        <v>11808</v>
      </c>
      <c r="F10" s="21">
        <v>9.9000000000000005E-2</v>
      </c>
      <c r="G10" s="4">
        <f>March!C12</f>
        <v>1528</v>
      </c>
      <c r="H10" s="22">
        <v>0.28000000000000003</v>
      </c>
      <c r="I10" s="4">
        <f>March!D12</f>
        <v>54</v>
      </c>
      <c r="J10" s="22">
        <v>3.2719999999999998</v>
      </c>
      <c r="K10" s="29">
        <f>March!J12</f>
        <v>54</v>
      </c>
      <c r="L10" s="29">
        <f>March!K12</f>
        <v>36</v>
      </c>
    </row>
    <row r="11" spans="1:24" x14ac:dyDescent="0.25">
      <c r="A11" s="3" t="s">
        <v>12</v>
      </c>
      <c r="B11" s="2">
        <f t="shared" si="0"/>
        <v>10</v>
      </c>
      <c r="C11" s="27">
        <v>3</v>
      </c>
      <c r="D11" s="2">
        <v>2022</v>
      </c>
      <c r="E11" s="4">
        <f>March!B13</f>
        <v>11482</v>
      </c>
      <c r="F11" s="21">
        <v>9.9000000000000005E-2</v>
      </c>
      <c r="G11" s="4">
        <f>March!C13</f>
        <v>1557</v>
      </c>
      <c r="H11" s="22">
        <v>0.28000000000000003</v>
      </c>
      <c r="I11" s="4">
        <f>March!D13</f>
        <v>51</v>
      </c>
      <c r="J11" s="22">
        <v>3.2719999999999998</v>
      </c>
      <c r="K11" s="29">
        <f>March!J13</f>
        <v>59</v>
      </c>
      <c r="L11" s="29">
        <f>March!K13</f>
        <v>34</v>
      </c>
    </row>
    <row r="12" spans="1:24" x14ac:dyDescent="0.25">
      <c r="A12" s="3" t="s">
        <v>12</v>
      </c>
      <c r="B12" s="2">
        <f t="shared" si="0"/>
        <v>11</v>
      </c>
      <c r="C12" s="27">
        <v>3</v>
      </c>
      <c r="D12" s="2">
        <v>2022</v>
      </c>
      <c r="E12" s="4">
        <f>March!B14</f>
        <v>11107</v>
      </c>
      <c r="F12" s="21">
        <v>9.9000000000000005E-2</v>
      </c>
      <c r="G12" s="4">
        <f>March!C14</f>
        <v>1548</v>
      </c>
      <c r="H12" s="22">
        <v>0.28000000000000003</v>
      </c>
      <c r="I12" s="4">
        <f>March!D14</f>
        <v>51</v>
      </c>
      <c r="J12" s="22">
        <v>3.2719999999999998</v>
      </c>
      <c r="K12" s="29">
        <f>March!J14</f>
        <v>85</v>
      </c>
      <c r="L12" s="29">
        <f>March!K14</f>
        <v>49</v>
      </c>
    </row>
    <row r="13" spans="1:24" x14ac:dyDescent="0.25">
      <c r="A13" s="3" t="s">
        <v>12</v>
      </c>
      <c r="B13" s="2">
        <f t="shared" si="0"/>
        <v>12</v>
      </c>
      <c r="C13" s="27">
        <v>3</v>
      </c>
      <c r="D13" s="2">
        <v>2022</v>
      </c>
      <c r="E13" s="4">
        <f>March!B15</f>
        <v>11464</v>
      </c>
      <c r="F13" s="21">
        <v>9.9000000000000005E-2</v>
      </c>
      <c r="G13" s="4">
        <f>March!C15</f>
        <v>1578</v>
      </c>
      <c r="H13" s="22">
        <v>0.28000000000000003</v>
      </c>
      <c r="I13" s="4">
        <f>March!D15</f>
        <v>48</v>
      </c>
      <c r="J13" s="22">
        <v>3.2719999999999998</v>
      </c>
      <c r="K13" s="29">
        <f>March!J15</f>
        <v>95</v>
      </c>
      <c r="L13" s="29">
        <f>March!K15</f>
        <v>57</v>
      </c>
    </row>
    <row r="14" spans="1:24" x14ac:dyDescent="0.25">
      <c r="A14" s="3" t="s">
        <v>12</v>
      </c>
      <c r="B14" s="2">
        <f t="shared" si="0"/>
        <v>13</v>
      </c>
      <c r="C14" s="27">
        <v>3</v>
      </c>
      <c r="D14" s="2">
        <v>2022</v>
      </c>
      <c r="E14" s="4">
        <f>March!B16</f>
        <v>12216</v>
      </c>
      <c r="F14" s="21">
        <v>9.9000000000000005E-2</v>
      </c>
      <c r="G14" s="4">
        <f>March!C16</f>
        <v>1585</v>
      </c>
      <c r="H14" s="22">
        <v>0.28000000000000003</v>
      </c>
      <c r="I14" s="4">
        <f>March!D16</f>
        <v>55</v>
      </c>
      <c r="J14" s="22">
        <v>3.2719999999999998</v>
      </c>
      <c r="K14" s="29">
        <f>March!J16</f>
        <v>936</v>
      </c>
      <c r="L14" s="29">
        <f>March!K16</f>
        <v>57</v>
      </c>
    </row>
    <row r="15" spans="1:24" x14ac:dyDescent="0.25">
      <c r="A15" s="3" t="s">
        <v>12</v>
      </c>
      <c r="B15" s="2">
        <f t="shared" si="0"/>
        <v>14</v>
      </c>
      <c r="C15" s="27">
        <v>3</v>
      </c>
      <c r="D15" s="2">
        <v>2022</v>
      </c>
      <c r="E15" s="4">
        <f>March!B17</f>
        <v>11172</v>
      </c>
      <c r="F15" s="21">
        <v>9.9000000000000005E-2</v>
      </c>
      <c r="G15" s="4">
        <f>March!C17</f>
        <v>1408</v>
      </c>
      <c r="H15" s="22">
        <v>0.28000000000000003</v>
      </c>
      <c r="I15" s="4">
        <f>March!D17</f>
        <v>53</v>
      </c>
      <c r="J15" s="22">
        <v>3.2719999999999998</v>
      </c>
      <c r="K15" s="29">
        <f>March!J17</f>
        <v>77</v>
      </c>
      <c r="L15" s="29">
        <f>March!K17</f>
        <v>47</v>
      </c>
    </row>
    <row r="16" spans="1:24" x14ac:dyDescent="0.25">
      <c r="A16" s="3" t="s">
        <v>12</v>
      </c>
      <c r="B16" s="2">
        <f t="shared" si="0"/>
        <v>15</v>
      </c>
      <c r="C16" s="27">
        <v>3</v>
      </c>
      <c r="D16" s="2">
        <v>2022</v>
      </c>
      <c r="E16" s="4">
        <f>March!B18</f>
        <v>11693</v>
      </c>
      <c r="F16" s="21">
        <v>9.9000000000000005E-2</v>
      </c>
      <c r="G16" s="4">
        <f>March!C18</f>
        <v>1329</v>
      </c>
      <c r="H16" s="22">
        <v>0.28000000000000003</v>
      </c>
      <c r="I16" s="4">
        <f>March!D18</f>
        <v>48</v>
      </c>
      <c r="J16" s="22">
        <v>3.2719999999999998</v>
      </c>
      <c r="K16" s="29">
        <f>March!J18</f>
        <v>79</v>
      </c>
      <c r="L16" s="29">
        <f>March!K18</f>
        <v>39</v>
      </c>
    </row>
    <row r="17" spans="1:12" x14ac:dyDescent="0.25">
      <c r="A17" s="3" t="s">
        <v>12</v>
      </c>
      <c r="B17" s="2">
        <f t="shared" si="0"/>
        <v>16</v>
      </c>
      <c r="C17" s="27">
        <v>3</v>
      </c>
      <c r="D17" s="2">
        <v>2022</v>
      </c>
      <c r="E17" s="4">
        <f>March!B19</f>
        <v>11222</v>
      </c>
      <c r="F17" s="21">
        <v>9.9000000000000005E-2</v>
      </c>
      <c r="G17" s="4">
        <f>March!C19</f>
        <v>1210</v>
      </c>
      <c r="H17" s="22">
        <v>0.28000000000000003</v>
      </c>
      <c r="I17" s="4">
        <f>March!D19</f>
        <v>52</v>
      </c>
      <c r="J17" s="22">
        <v>3.2719999999999998</v>
      </c>
      <c r="K17" s="29">
        <f>March!J19</f>
        <v>90</v>
      </c>
      <c r="L17" s="29">
        <f>March!K19</f>
        <v>49</v>
      </c>
    </row>
    <row r="18" spans="1:12" x14ac:dyDescent="0.25">
      <c r="A18" s="3" t="s">
        <v>12</v>
      </c>
      <c r="B18" s="2">
        <f t="shared" si="0"/>
        <v>17</v>
      </c>
      <c r="C18" s="27">
        <v>3</v>
      </c>
      <c r="D18" s="2">
        <v>2022</v>
      </c>
      <c r="E18" s="4">
        <f>March!B20</f>
        <v>11231</v>
      </c>
      <c r="F18" s="21">
        <v>9.9000000000000005E-2</v>
      </c>
      <c r="G18" s="4">
        <f>March!C20</f>
        <v>1180</v>
      </c>
      <c r="H18" s="22">
        <v>0.28000000000000003</v>
      </c>
      <c r="I18" s="4">
        <f>March!D20</f>
        <v>48</v>
      </c>
      <c r="J18" s="22">
        <v>3.2719999999999998</v>
      </c>
      <c r="K18" s="29">
        <f>March!J20</f>
        <v>90</v>
      </c>
      <c r="L18" s="29">
        <f>March!K20</f>
        <v>56</v>
      </c>
    </row>
    <row r="19" spans="1:12" x14ac:dyDescent="0.25">
      <c r="A19" s="3" t="s">
        <v>12</v>
      </c>
      <c r="B19" s="2">
        <f t="shared" si="0"/>
        <v>18</v>
      </c>
      <c r="C19" s="27">
        <v>3</v>
      </c>
      <c r="D19" s="2">
        <v>2022</v>
      </c>
      <c r="E19" s="4">
        <f>March!B21</f>
        <v>11564</v>
      </c>
      <c r="F19" s="21">
        <v>9.9000000000000005E-2</v>
      </c>
      <c r="G19" s="4">
        <f>March!C21</f>
        <v>1161</v>
      </c>
      <c r="H19" s="22">
        <v>0.28000000000000003</v>
      </c>
      <c r="I19" s="4">
        <f>March!D21</f>
        <v>63</v>
      </c>
      <c r="J19" s="22">
        <v>3.2719999999999998</v>
      </c>
      <c r="K19" s="29">
        <f>March!J21</f>
        <v>170</v>
      </c>
      <c r="L19" s="29">
        <f>March!K21</f>
        <v>66</v>
      </c>
    </row>
    <row r="20" spans="1:12" x14ac:dyDescent="0.25">
      <c r="A20" s="3" t="s">
        <v>12</v>
      </c>
      <c r="B20" s="2">
        <f t="shared" si="0"/>
        <v>19</v>
      </c>
      <c r="C20" s="27">
        <v>3</v>
      </c>
      <c r="D20" s="2">
        <v>2022</v>
      </c>
      <c r="E20" s="4">
        <f>March!B22</f>
        <v>11586</v>
      </c>
      <c r="F20" s="21">
        <v>9.9000000000000005E-2</v>
      </c>
      <c r="G20" s="4">
        <f>March!C22</f>
        <v>1314</v>
      </c>
      <c r="H20" s="22">
        <v>0.28000000000000003</v>
      </c>
      <c r="I20" s="4">
        <f>March!D22</f>
        <v>56</v>
      </c>
      <c r="J20" s="22">
        <v>3.2719999999999998</v>
      </c>
      <c r="K20" s="29">
        <f>March!J22</f>
        <v>130</v>
      </c>
      <c r="L20" s="29">
        <f>March!K22</f>
        <v>61</v>
      </c>
    </row>
    <row r="21" spans="1:12" x14ac:dyDescent="0.25">
      <c r="A21" s="3" t="s">
        <v>12</v>
      </c>
      <c r="B21" s="2">
        <f t="shared" si="0"/>
        <v>20</v>
      </c>
      <c r="C21" s="27">
        <v>3</v>
      </c>
      <c r="D21" s="2">
        <v>2022</v>
      </c>
      <c r="E21" s="4">
        <f>March!B23</f>
        <v>10815</v>
      </c>
      <c r="F21" s="21">
        <v>9.9000000000000005E-2</v>
      </c>
      <c r="G21" s="4">
        <f>March!C23</f>
        <v>1314</v>
      </c>
      <c r="H21" s="22">
        <v>0.28000000000000003</v>
      </c>
      <c r="I21" s="4">
        <f>March!D23</f>
        <v>53</v>
      </c>
      <c r="J21" s="22">
        <v>3.2719999999999998</v>
      </c>
      <c r="K21" s="29">
        <f>March!J23</f>
        <v>83</v>
      </c>
      <c r="L21" s="29">
        <f>March!K23</f>
        <v>52</v>
      </c>
    </row>
    <row r="22" spans="1:12" x14ac:dyDescent="0.25">
      <c r="A22" s="3" t="s">
        <v>12</v>
      </c>
      <c r="B22" s="2">
        <f t="shared" si="0"/>
        <v>21</v>
      </c>
      <c r="C22" s="27">
        <v>3</v>
      </c>
      <c r="D22" s="2">
        <v>2022</v>
      </c>
      <c r="E22" s="4">
        <f>March!B24</f>
        <v>10916</v>
      </c>
      <c r="F22" s="21">
        <v>9.9000000000000005E-2</v>
      </c>
      <c r="G22" s="4">
        <f>March!C24</f>
        <v>1143</v>
      </c>
      <c r="H22" s="22">
        <v>0.28000000000000003</v>
      </c>
      <c r="I22" s="4">
        <f>March!D24</f>
        <v>51</v>
      </c>
      <c r="J22" s="22">
        <v>3.2719999999999998</v>
      </c>
      <c r="K22" s="29">
        <f>March!J24</f>
        <v>93</v>
      </c>
      <c r="L22" s="29">
        <f>March!K24</f>
        <v>56</v>
      </c>
    </row>
    <row r="23" spans="1:12" x14ac:dyDescent="0.25">
      <c r="A23" s="3" t="s">
        <v>12</v>
      </c>
      <c r="B23" s="2">
        <f t="shared" si="0"/>
        <v>22</v>
      </c>
      <c r="C23" s="27">
        <v>3</v>
      </c>
      <c r="D23" s="2">
        <v>2022</v>
      </c>
      <c r="E23" s="4">
        <f>March!B25</f>
        <v>11420</v>
      </c>
      <c r="F23" s="21">
        <v>9.9000000000000005E-2</v>
      </c>
      <c r="G23" s="4">
        <f>March!C25</f>
        <v>1132</v>
      </c>
      <c r="H23" s="22">
        <v>0.28000000000000003</v>
      </c>
      <c r="I23" s="4">
        <f>March!D25</f>
        <v>51</v>
      </c>
      <c r="J23" s="22">
        <v>3.2719999999999998</v>
      </c>
      <c r="K23" s="29">
        <f>March!J25</f>
        <v>70</v>
      </c>
      <c r="L23" s="29">
        <f>March!K25</f>
        <v>44</v>
      </c>
    </row>
    <row r="24" spans="1:12" x14ac:dyDescent="0.25">
      <c r="A24" s="3" t="s">
        <v>12</v>
      </c>
      <c r="B24" s="2">
        <f t="shared" si="0"/>
        <v>23</v>
      </c>
      <c r="C24" s="27">
        <v>3</v>
      </c>
      <c r="D24" s="2">
        <v>2022</v>
      </c>
      <c r="E24" s="4">
        <f>March!B26</f>
        <v>12000</v>
      </c>
      <c r="F24" s="21">
        <v>9.9000000000000005E-2</v>
      </c>
      <c r="G24" s="4">
        <f>March!C26</f>
        <v>1120</v>
      </c>
      <c r="H24" s="22">
        <v>0.28000000000000003</v>
      </c>
      <c r="I24" s="4">
        <f>March!D26</f>
        <v>48</v>
      </c>
      <c r="J24" s="22">
        <v>3.2719999999999998</v>
      </c>
      <c r="K24" s="29">
        <f>March!J26</f>
        <v>84</v>
      </c>
      <c r="L24" s="29">
        <f>March!K26</f>
        <v>50</v>
      </c>
    </row>
    <row r="25" spans="1:12" x14ac:dyDescent="0.25">
      <c r="A25" s="3" t="s">
        <v>12</v>
      </c>
      <c r="B25" s="2">
        <f t="shared" si="0"/>
        <v>24</v>
      </c>
      <c r="C25" s="27">
        <v>3</v>
      </c>
      <c r="D25" s="2">
        <v>2022</v>
      </c>
      <c r="E25" s="4">
        <f>March!B27</f>
        <v>11072</v>
      </c>
      <c r="F25" s="21">
        <v>9.9000000000000005E-2</v>
      </c>
      <c r="G25" s="4">
        <f>March!C27</f>
        <v>1040</v>
      </c>
      <c r="H25" s="22">
        <v>0.28000000000000003</v>
      </c>
      <c r="I25" s="4">
        <f>March!D27</f>
        <v>52</v>
      </c>
      <c r="J25" s="22">
        <v>3.2719999999999998</v>
      </c>
      <c r="K25" s="29">
        <f>March!J27</f>
        <v>87</v>
      </c>
      <c r="L25" s="29">
        <f>March!K27</f>
        <v>52</v>
      </c>
    </row>
    <row r="26" spans="1:12" x14ac:dyDescent="0.25">
      <c r="A26" s="3" t="s">
        <v>12</v>
      </c>
      <c r="B26" s="2">
        <f>B25+1</f>
        <v>25</v>
      </c>
      <c r="C26" s="27">
        <v>3</v>
      </c>
      <c r="D26" s="2">
        <v>2022</v>
      </c>
      <c r="E26" s="4">
        <f>March!B28</f>
        <v>10775</v>
      </c>
      <c r="F26" s="21">
        <v>9.9000000000000005E-2</v>
      </c>
      <c r="G26" s="4">
        <f>March!C28</f>
        <v>1032</v>
      </c>
      <c r="H26" s="22">
        <v>0.28000000000000003</v>
      </c>
      <c r="I26" s="4">
        <f>March!D28</f>
        <v>87</v>
      </c>
      <c r="J26" s="22">
        <v>3.2719999999999998</v>
      </c>
      <c r="K26" s="29">
        <f>March!J28</f>
        <v>113</v>
      </c>
      <c r="L26" s="29">
        <f>March!K28</f>
        <v>67</v>
      </c>
    </row>
    <row r="27" spans="1:12" x14ac:dyDescent="0.25">
      <c r="A27" s="3" t="s">
        <v>12</v>
      </c>
      <c r="B27" s="2">
        <f t="shared" si="0"/>
        <v>26</v>
      </c>
      <c r="C27" s="27">
        <v>3</v>
      </c>
      <c r="D27" s="2">
        <v>2022</v>
      </c>
      <c r="E27" s="4">
        <f>March!B29</f>
        <v>10831</v>
      </c>
      <c r="F27" s="21">
        <v>9.9000000000000005E-2</v>
      </c>
      <c r="G27" s="4">
        <f>March!C29</f>
        <v>945</v>
      </c>
      <c r="H27" s="22">
        <v>0.28000000000000003</v>
      </c>
      <c r="I27" s="4">
        <f>March!D29</f>
        <v>141</v>
      </c>
      <c r="J27" s="22">
        <v>3.2719999999999998</v>
      </c>
      <c r="K27" s="29">
        <f>March!J29</f>
        <v>124</v>
      </c>
      <c r="L27" s="29">
        <f>March!K29</f>
        <v>70</v>
      </c>
    </row>
    <row r="28" spans="1:12" x14ac:dyDescent="0.25">
      <c r="A28" s="3" t="s">
        <v>12</v>
      </c>
      <c r="B28" s="2">
        <f t="shared" si="0"/>
        <v>27</v>
      </c>
      <c r="C28" s="27">
        <v>3</v>
      </c>
      <c r="D28" s="2">
        <v>2022</v>
      </c>
      <c r="E28" s="4">
        <f>March!B30</f>
        <v>10497</v>
      </c>
      <c r="F28" s="21">
        <v>9.9000000000000005E-2</v>
      </c>
      <c r="G28" s="4">
        <f>March!C30</f>
        <v>930</v>
      </c>
      <c r="H28" s="22">
        <v>0.28000000000000003</v>
      </c>
      <c r="I28" s="4">
        <f>March!D30</f>
        <v>128</v>
      </c>
      <c r="J28" s="22">
        <v>3.2719999999999998</v>
      </c>
      <c r="K28" s="29">
        <f>March!J30</f>
        <v>71</v>
      </c>
      <c r="L28" s="29">
        <f>March!K30</f>
        <v>42</v>
      </c>
    </row>
    <row r="29" spans="1:12" x14ac:dyDescent="0.25">
      <c r="A29" s="3" t="s">
        <v>12</v>
      </c>
      <c r="B29" s="2">
        <f t="shared" si="0"/>
        <v>28</v>
      </c>
      <c r="C29" s="27">
        <v>3</v>
      </c>
      <c r="D29" s="2">
        <v>2022</v>
      </c>
      <c r="E29" s="4">
        <f>March!B31</f>
        <v>11005</v>
      </c>
      <c r="F29" s="21">
        <v>9.9000000000000005E-2</v>
      </c>
      <c r="G29" s="4">
        <f>March!C31</f>
        <v>934</v>
      </c>
      <c r="H29" s="22">
        <v>0.28000000000000003</v>
      </c>
      <c r="I29" s="4">
        <f>March!D31</f>
        <v>135</v>
      </c>
      <c r="J29" s="22">
        <v>3.2719999999999998</v>
      </c>
      <c r="K29" s="29">
        <f>March!J31</f>
        <v>67</v>
      </c>
      <c r="L29" s="29">
        <f>March!K31</f>
        <v>49</v>
      </c>
    </row>
    <row r="30" spans="1:12" x14ac:dyDescent="0.25">
      <c r="A30" s="3" t="s">
        <v>12</v>
      </c>
      <c r="B30" s="2">
        <f t="shared" si="0"/>
        <v>29</v>
      </c>
      <c r="C30" s="27">
        <v>3</v>
      </c>
      <c r="D30" s="2">
        <v>2022</v>
      </c>
      <c r="E30" s="4">
        <f>March!B32</f>
        <v>11021</v>
      </c>
      <c r="F30" s="21">
        <v>9.9000000000000005E-2</v>
      </c>
      <c r="G30" s="4">
        <f>March!C32</f>
        <v>943</v>
      </c>
      <c r="H30" s="22">
        <v>0.28000000000000003</v>
      </c>
      <c r="I30" s="4">
        <f>March!D32</f>
        <v>76</v>
      </c>
      <c r="J30" s="22">
        <v>3.2719999999999998</v>
      </c>
      <c r="K30" s="29">
        <f>March!J32</f>
        <v>78</v>
      </c>
      <c r="L30" s="29">
        <f>March!K32</f>
        <v>48</v>
      </c>
    </row>
    <row r="31" spans="1:12" x14ac:dyDescent="0.25">
      <c r="A31" s="3" t="s">
        <v>12</v>
      </c>
      <c r="B31" s="2">
        <f t="shared" si="0"/>
        <v>30</v>
      </c>
      <c r="C31" s="27">
        <v>3</v>
      </c>
      <c r="D31" s="2">
        <v>2022</v>
      </c>
      <c r="E31" s="4">
        <f>March!B33</f>
        <v>10254</v>
      </c>
      <c r="F31" s="21">
        <v>9.9000000000000005E-2</v>
      </c>
      <c r="G31" s="4">
        <f>March!C33</f>
        <v>1133</v>
      </c>
      <c r="H31" s="22">
        <v>0.28000000000000003</v>
      </c>
      <c r="I31" s="4">
        <f>March!D33</f>
        <v>0</v>
      </c>
      <c r="J31" s="22">
        <v>3.2719999999999998</v>
      </c>
      <c r="K31" s="29">
        <f>March!J33</f>
        <v>101</v>
      </c>
      <c r="L31" s="29">
        <f>March!K33</f>
        <v>64</v>
      </c>
    </row>
    <row r="32" spans="1:12" x14ac:dyDescent="0.25">
      <c r="A32" s="3" t="s">
        <v>12</v>
      </c>
      <c r="B32" s="2">
        <f t="shared" si="0"/>
        <v>31</v>
      </c>
      <c r="C32" s="27">
        <v>3</v>
      </c>
      <c r="D32" s="2">
        <v>2022</v>
      </c>
      <c r="E32" s="4">
        <f>March!B34</f>
        <v>11283</v>
      </c>
      <c r="F32" s="21">
        <v>9.9000000000000005E-2</v>
      </c>
      <c r="G32" s="4">
        <f>March!C34</f>
        <v>1368</v>
      </c>
      <c r="H32" s="22">
        <v>0.28000000000000003</v>
      </c>
      <c r="I32" s="4">
        <f>March!D34</f>
        <v>106</v>
      </c>
      <c r="J32" s="22">
        <v>3.2719999999999998</v>
      </c>
      <c r="K32" s="29">
        <f>March!J34</f>
        <v>78</v>
      </c>
      <c r="L32" s="29">
        <f>March!K34</f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O39"/>
  <sheetViews>
    <sheetView topLeftCell="A14" workbookViewId="0">
      <selection activeCell="B34" sqref="B34"/>
    </sheetView>
  </sheetViews>
  <sheetFormatPr defaultRowHeight="15" x14ac:dyDescent="0.25"/>
  <cols>
    <col min="1" max="1" width="15.85546875" bestFit="1" customWidth="1"/>
    <col min="5" max="5" width="2.28515625" customWidth="1"/>
    <col min="6" max="6" width="6.85546875" customWidth="1"/>
    <col min="7" max="7" width="7.5703125" customWidth="1"/>
    <col min="8" max="8" width="8.28515625" customWidth="1"/>
    <col min="9" max="9" width="2" customWidth="1"/>
    <col min="10" max="10" width="7.42578125" customWidth="1"/>
    <col min="11" max="11" width="10.140625" customWidth="1"/>
    <col min="12" max="12" width="7.140625" customWidth="1"/>
  </cols>
  <sheetData>
    <row r="1" spans="1:12" ht="15.75" thickBot="1" x14ac:dyDescent="0.3">
      <c r="A1" s="74" t="s">
        <v>32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6"/>
    </row>
    <row r="2" spans="1:12" ht="15.75" thickBot="1" x14ac:dyDescent="0.3">
      <c r="A2" s="8" t="s">
        <v>14</v>
      </c>
      <c r="B2" s="7" t="s">
        <v>15</v>
      </c>
      <c r="C2" s="7" t="s">
        <v>16</v>
      </c>
      <c r="D2" s="7" t="s">
        <v>17</v>
      </c>
      <c r="E2" s="20"/>
      <c r="F2" s="77" t="s">
        <v>31</v>
      </c>
      <c r="G2" s="78"/>
      <c r="H2" s="79"/>
      <c r="I2" s="20"/>
      <c r="J2" s="8" t="s">
        <v>18</v>
      </c>
      <c r="K2" s="7" t="s">
        <v>27</v>
      </c>
      <c r="L2" s="7" t="s">
        <v>19</v>
      </c>
    </row>
    <row r="3" spans="1:12" ht="15.75" thickBot="1" x14ac:dyDescent="0.3">
      <c r="A3" s="32"/>
      <c r="B3" s="33" t="s">
        <v>20</v>
      </c>
      <c r="C3" s="33" t="s">
        <v>21</v>
      </c>
      <c r="D3" s="52" t="s">
        <v>21</v>
      </c>
      <c r="E3" s="34"/>
      <c r="F3" s="58" t="s">
        <v>28</v>
      </c>
      <c r="G3" s="58" t="s">
        <v>29</v>
      </c>
      <c r="H3" s="58" t="s">
        <v>30</v>
      </c>
      <c r="I3" s="34"/>
      <c r="J3" s="32" t="s">
        <v>22</v>
      </c>
      <c r="K3" s="33" t="s">
        <v>23</v>
      </c>
      <c r="L3" s="33" t="s">
        <v>23</v>
      </c>
    </row>
    <row r="4" spans="1:12" x14ac:dyDescent="0.25">
      <c r="A4" s="6">
        <v>1</v>
      </c>
      <c r="B4" s="35">
        <v>10941</v>
      </c>
      <c r="C4" s="36">
        <v>1527</v>
      </c>
      <c r="D4" s="10">
        <v>45</v>
      </c>
      <c r="E4" s="14"/>
      <c r="F4" s="10">
        <v>-7</v>
      </c>
      <c r="G4" s="59">
        <v>6</v>
      </c>
      <c r="H4" s="10">
        <v>6</v>
      </c>
      <c r="I4" s="14"/>
      <c r="J4" s="10">
        <v>54</v>
      </c>
      <c r="K4" s="10">
        <v>39</v>
      </c>
      <c r="L4" s="10">
        <v>2</v>
      </c>
    </row>
    <row r="5" spans="1:12" x14ac:dyDescent="0.25">
      <c r="A5" s="11">
        <v>2</v>
      </c>
      <c r="B5" s="65">
        <v>10766</v>
      </c>
      <c r="C5" s="66">
        <v>1486</v>
      </c>
      <c r="D5" s="12">
        <v>46</v>
      </c>
      <c r="E5" s="37"/>
      <c r="F5" s="12">
        <v>-7</v>
      </c>
      <c r="G5" s="60">
        <v>7</v>
      </c>
      <c r="H5" s="12">
        <v>7</v>
      </c>
      <c r="I5" s="37"/>
      <c r="J5" s="13">
        <v>49</v>
      </c>
      <c r="K5" s="13">
        <v>34</v>
      </c>
      <c r="L5" s="13">
        <v>1</v>
      </c>
    </row>
    <row r="6" spans="1:12" x14ac:dyDescent="0.25">
      <c r="A6" s="11">
        <v>3</v>
      </c>
      <c r="B6" s="65">
        <v>11698</v>
      </c>
      <c r="C6" s="66">
        <v>1657</v>
      </c>
      <c r="D6" s="12">
        <v>53</v>
      </c>
      <c r="E6" s="37"/>
      <c r="F6" s="12">
        <v>-6</v>
      </c>
      <c r="G6" s="55">
        <v>7</v>
      </c>
      <c r="H6" s="12">
        <v>7</v>
      </c>
      <c r="I6" s="37"/>
      <c r="J6" s="13">
        <v>116</v>
      </c>
      <c r="K6" s="13">
        <v>66</v>
      </c>
      <c r="L6" s="13">
        <v>4</v>
      </c>
    </row>
    <row r="7" spans="1:12" x14ac:dyDescent="0.25">
      <c r="A7" s="11">
        <v>4</v>
      </c>
      <c r="B7" s="65">
        <v>12175</v>
      </c>
      <c r="C7" s="66">
        <v>1708</v>
      </c>
      <c r="D7" s="12">
        <v>65</v>
      </c>
      <c r="E7" s="37"/>
      <c r="F7" s="61">
        <v>-5</v>
      </c>
      <c r="G7" s="55">
        <v>1</v>
      </c>
      <c r="H7" s="12">
        <v>2</v>
      </c>
      <c r="I7" s="37"/>
      <c r="J7" s="13">
        <v>130</v>
      </c>
      <c r="K7" s="13">
        <v>76</v>
      </c>
      <c r="L7" s="13">
        <v>3</v>
      </c>
    </row>
    <row r="8" spans="1:12" x14ac:dyDescent="0.25">
      <c r="A8" s="11">
        <v>5</v>
      </c>
      <c r="B8" s="65">
        <v>11560</v>
      </c>
      <c r="C8" s="66">
        <v>1587</v>
      </c>
      <c r="D8" s="12">
        <v>63</v>
      </c>
      <c r="E8" s="37"/>
      <c r="F8" s="12">
        <v>-2</v>
      </c>
      <c r="G8" s="55">
        <v>4</v>
      </c>
      <c r="H8" s="12">
        <v>4</v>
      </c>
      <c r="I8" s="37"/>
      <c r="J8" s="13">
        <v>137</v>
      </c>
      <c r="K8" s="13">
        <v>79</v>
      </c>
      <c r="L8" s="13">
        <v>2</v>
      </c>
    </row>
    <row r="9" spans="1:12" x14ac:dyDescent="0.25">
      <c r="A9" s="11">
        <v>6</v>
      </c>
      <c r="B9" s="65">
        <v>11331</v>
      </c>
      <c r="C9" s="66">
        <v>1656</v>
      </c>
      <c r="D9" s="12">
        <v>61</v>
      </c>
      <c r="E9" s="37"/>
      <c r="F9" s="12">
        <v>-5</v>
      </c>
      <c r="G9" s="55">
        <v>1</v>
      </c>
      <c r="H9" s="12">
        <v>3</v>
      </c>
      <c r="I9" s="37"/>
      <c r="J9" s="13">
        <v>101</v>
      </c>
      <c r="K9" s="13">
        <v>66</v>
      </c>
      <c r="L9" s="13">
        <v>2</v>
      </c>
    </row>
    <row r="10" spans="1:12" x14ac:dyDescent="0.25">
      <c r="A10" s="11">
        <v>7</v>
      </c>
      <c r="B10" s="65">
        <v>11523</v>
      </c>
      <c r="C10" s="66">
        <v>1677</v>
      </c>
      <c r="D10" s="12">
        <v>57</v>
      </c>
      <c r="E10" s="37"/>
      <c r="F10" s="12">
        <v>-3</v>
      </c>
      <c r="G10" s="55">
        <v>4</v>
      </c>
      <c r="H10" s="12">
        <v>4</v>
      </c>
      <c r="I10" s="37"/>
      <c r="J10" s="13">
        <v>57</v>
      </c>
      <c r="K10" s="13">
        <v>44</v>
      </c>
      <c r="L10" s="13">
        <v>1</v>
      </c>
    </row>
    <row r="11" spans="1:12" x14ac:dyDescent="0.25">
      <c r="A11" s="11">
        <v>8</v>
      </c>
      <c r="B11" s="65">
        <v>11431</v>
      </c>
      <c r="C11" s="66">
        <v>1596</v>
      </c>
      <c r="D11" s="12">
        <v>60</v>
      </c>
      <c r="E11" s="37"/>
      <c r="F11" s="12">
        <v>-5</v>
      </c>
      <c r="G11" s="55">
        <v>9</v>
      </c>
      <c r="H11" s="12">
        <v>9</v>
      </c>
      <c r="I11" s="37"/>
      <c r="J11" s="13">
        <v>64</v>
      </c>
      <c r="K11" s="13">
        <v>46</v>
      </c>
      <c r="L11" s="13">
        <v>1</v>
      </c>
    </row>
    <row r="12" spans="1:12" x14ac:dyDescent="0.25">
      <c r="A12" s="11">
        <v>9</v>
      </c>
      <c r="B12" s="65">
        <v>11808</v>
      </c>
      <c r="C12" s="66">
        <v>1528</v>
      </c>
      <c r="D12" s="12">
        <v>54</v>
      </c>
      <c r="E12" s="37"/>
      <c r="F12" s="12">
        <v>-4</v>
      </c>
      <c r="G12" s="55">
        <v>11</v>
      </c>
      <c r="H12" s="12">
        <v>10</v>
      </c>
      <c r="I12" s="37"/>
      <c r="J12" s="13">
        <v>54</v>
      </c>
      <c r="K12" s="13">
        <v>36</v>
      </c>
      <c r="L12" s="13">
        <v>1</v>
      </c>
    </row>
    <row r="13" spans="1:12" x14ac:dyDescent="0.25">
      <c r="A13" s="11">
        <v>10</v>
      </c>
      <c r="B13" s="65">
        <v>11482</v>
      </c>
      <c r="C13" s="66">
        <v>1557</v>
      </c>
      <c r="D13" s="12">
        <v>51</v>
      </c>
      <c r="E13" s="37"/>
      <c r="F13" s="12">
        <v>-5</v>
      </c>
      <c r="G13" s="55">
        <v>8</v>
      </c>
      <c r="H13" s="12">
        <v>8</v>
      </c>
      <c r="I13" s="37"/>
      <c r="J13" s="13">
        <v>59</v>
      </c>
      <c r="K13" s="13">
        <v>34</v>
      </c>
      <c r="L13" s="13">
        <v>1</v>
      </c>
    </row>
    <row r="14" spans="1:12" x14ac:dyDescent="0.25">
      <c r="A14" s="11">
        <v>11</v>
      </c>
      <c r="B14" s="65">
        <v>11107</v>
      </c>
      <c r="C14" s="66">
        <v>1548</v>
      </c>
      <c r="D14" s="12">
        <v>51</v>
      </c>
      <c r="E14" s="37"/>
      <c r="F14" s="12">
        <v>-5</v>
      </c>
      <c r="G14" s="55">
        <v>6</v>
      </c>
      <c r="H14" s="12">
        <v>8</v>
      </c>
      <c r="I14" s="37"/>
      <c r="J14" s="13">
        <v>85</v>
      </c>
      <c r="K14" s="13">
        <v>49</v>
      </c>
      <c r="L14" s="13">
        <v>0</v>
      </c>
    </row>
    <row r="15" spans="1:12" x14ac:dyDescent="0.25">
      <c r="A15" s="11">
        <v>12</v>
      </c>
      <c r="B15" s="65">
        <v>11464</v>
      </c>
      <c r="C15" s="66">
        <v>1578</v>
      </c>
      <c r="D15" s="12">
        <v>48</v>
      </c>
      <c r="E15" s="37"/>
      <c r="F15" s="12">
        <v>-4</v>
      </c>
      <c r="G15" s="55">
        <v>10</v>
      </c>
      <c r="H15" s="12">
        <v>10</v>
      </c>
      <c r="I15" s="37"/>
      <c r="J15" s="13">
        <v>95</v>
      </c>
      <c r="K15" s="13">
        <v>57</v>
      </c>
      <c r="L15" s="13">
        <v>2</v>
      </c>
    </row>
    <row r="16" spans="1:12" x14ac:dyDescent="0.25">
      <c r="A16" s="11">
        <v>13</v>
      </c>
      <c r="B16" s="65">
        <v>12216</v>
      </c>
      <c r="C16" s="66">
        <v>1585</v>
      </c>
      <c r="D16" s="12">
        <v>55</v>
      </c>
      <c r="E16" s="37"/>
      <c r="F16" s="12">
        <v>-3</v>
      </c>
      <c r="G16" s="55">
        <v>13</v>
      </c>
      <c r="H16" s="12">
        <v>13</v>
      </c>
      <c r="I16" s="37"/>
      <c r="J16" s="13">
        <v>936</v>
      </c>
      <c r="K16" s="13">
        <v>57</v>
      </c>
      <c r="L16" s="13">
        <v>0</v>
      </c>
    </row>
    <row r="17" spans="1:15" x14ac:dyDescent="0.25">
      <c r="A17" s="11">
        <v>14</v>
      </c>
      <c r="B17" s="65">
        <v>11172</v>
      </c>
      <c r="C17" s="65">
        <v>1408</v>
      </c>
      <c r="D17" s="12">
        <v>53</v>
      </c>
      <c r="E17" s="37"/>
      <c r="F17" s="12">
        <v>-3</v>
      </c>
      <c r="G17" s="55">
        <v>13</v>
      </c>
      <c r="H17" s="12">
        <v>13</v>
      </c>
      <c r="I17" s="37"/>
      <c r="J17" s="13">
        <v>77</v>
      </c>
      <c r="K17" s="13">
        <v>47</v>
      </c>
      <c r="L17" s="13">
        <v>0</v>
      </c>
    </row>
    <row r="18" spans="1:15" x14ac:dyDescent="0.25">
      <c r="A18" s="11">
        <v>15</v>
      </c>
      <c r="B18" s="65">
        <v>11693</v>
      </c>
      <c r="C18" s="65">
        <v>1329</v>
      </c>
      <c r="D18" s="12">
        <v>48</v>
      </c>
      <c r="E18" s="37"/>
      <c r="F18" s="12">
        <v>-1</v>
      </c>
      <c r="G18" s="55">
        <v>12</v>
      </c>
      <c r="H18" s="12">
        <v>11</v>
      </c>
      <c r="I18" s="37"/>
      <c r="J18" s="13">
        <v>79</v>
      </c>
      <c r="K18" s="13">
        <v>39</v>
      </c>
      <c r="L18" s="13">
        <v>1</v>
      </c>
    </row>
    <row r="19" spans="1:15" x14ac:dyDescent="0.25">
      <c r="A19" s="11">
        <v>16</v>
      </c>
      <c r="B19" s="65">
        <v>11222</v>
      </c>
      <c r="C19" s="66">
        <v>1210</v>
      </c>
      <c r="D19" s="12">
        <v>52</v>
      </c>
      <c r="E19" s="37"/>
      <c r="F19" s="12">
        <v>5</v>
      </c>
      <c r="G19" s="55">
        <v>13</v>
      </c>
      <c r="H19" s="12">
        <v>12</v>
      </c>
      <c r="I19" s="37"/>
      <c r="J19" s="13">
        <v>90</v>
      </c>
      <c r="K19" s="13">
        <v>49</v>
      </c>
      <c r="L19" s="13">
        <v>1</v>
      </c>
    </row>
    <row r="20" spans="1:15" x14ac:dyDescent="0.25">
      <c r="A20" s="11">
        <v>17</v>
      </c>
      <c r="B20" s="65">
        <v>11231</v>
      </c>
      <c r="C20" s="66">
        <v>1180</v>
      </c>
      <c r="D20" s="12">
        <v>48</v>
      </c>
      <c r="E20" s="37"/>
      <c r="F20" s="12">
        <v>2</v>
      </c>
      <c r="G20" s="55">
        <v>13</v>
      </c>
      <c r="H20" s="12">
        <v>13</v>
      </c>
      <c r="I20" s="37"/>
      <c r="J20" s="13">
        <v>90</v>
      </c>
      <c r="K20" s="13">
        <v>56</v>
      </c>
      <c r="L20" s="13">
        <v>0</v>
      </c>
    </row>
    <row r="21" spans="1:15" x14ac:dyDescent="0.25">
      <c r="A21" s="11">
        <v>18</v>
      </c>
      <c r="B21" s="65">
        <v>11564</v>
      </c>
      <c r="C21" s="66">
        <v>1161</v>
      </c>
      <c r="D21" s="12">
        <v>63</v>
      </c>
      <c r="E21" s="37"/>
      <c r="F21" s="12">
        <v>3</v>
      </c>
      <c r="G21" s="55">
        <v>12</v>
      </c>
      <c r="H21" s="12">
        <v>13</v>
      </c>
      <c r="I21" s="37"/>
      <c r="J21" s="13">
        <v>170</v>
      </c>
      <c r="K21" s="13">
        <v>66</v>
      </c>
      <c r="L21" s="13">
        <v>0</v>
      </c>
      <c r="O21" s="53"/>
    </row>
    <row r="22" spans="1:15" x14ac:dyDescent="0.25">
      <c r="A22" s="11">
        <v>19</v>
      </c>
      <c r="B22" s="65">
        <v>11586</v>
      </c>
      <c r="C22" s="66">
        <v>1314</v>
      </c>
      <c r="D22" s="12">
        <v>56</v>
      </c>
      <c r="E22" s="37"/>
      <c r="F22" s="12">
        <v>-2</v>
      </c>
      <c r="G22" s="55">
        <v>9</v>
      </c>
      <c r="H22" s="12">
        <v>10</v>
      </c>
      <c r="I22" s="37"/>
      <c r="J22" s="13">
        <v>130</v>
      </c>
      <c r="K22" s="13">
        <v>61</v>
      </c>
      <c r="L22" s="13">
        <v>0</v>
      </c>
    </row>
    <row r="23" spans="1:15" x14ac:dyDescent="0.25">
      <c r="A23" s="11">
        <v>20</v>
      </c>
      <c r="B23" s="65">
        <v>10815</v>
      </c>
      <c r="C23" s="66">
        <v>1314</v>
      </c>
      <c r="D23" s="12">
        <v>53</v>
      </c>
      <c r="E23" s="37"/>
      <c r="F23" s="12">
        <v>1</v>
      </c>
      <c r="G23" s="55">
        <v>11</v>
      </c>
      <c r="H23" s="12">
        <v>11</v>
      </c>
      <c r="I23" s="37"/>
      <c r="J23" s="13">
        <v>83</v>
      </c>
      <c r="K23" s="13">
        <v>52</v>
      </c>
      <c r="L23" s="13">
        <v>0</v>
      </c>
    </row>
    <row r="24" spans="1:15" x14ac:dyDescent="0.25">
      <c r="A24" s="11">
        <v>21</v>
      </c>
      <c r="B24" s="65">
        <v>10916</v>
      </c>
      <c r="C24" s="66">
        <v>1143</v>
      </c>
      <c r="D24" s="13">
        <v>51</v>
      </c>
      <c r="E24" s="14"/>
      <c r="F24" s="13">
        <v>-1</v>
      </c>
      <c r="G24" s="56">
        <v>13</v>
      </c>
      <c r="H24" s="13">
        <v>14</v>
      </c>
      <c r="I24" s="14"/>
      <c r="J24" s="13">
        <v>93</v>
      </c>
      <c r="K24" s="13">
        <v>56</v>
      </c>
      <c r="L24" s="13">
        <v>1</v>
      </c>
    </row>
    <row r="25" spans="1:15" x14ac:dyDescent="0.25">
      <c r="A25" s="11">
        <v>22</v>
      </c>
      <c r="B25" s="65">
        <v>11420</v>
      </c>
      <c r="C25" s="67">
        <v>1132</v>
      </c>
      <c r="D25" s="13">
        <v>51</v>
      </c>
      <c r="E25" s="14"/>
      <c r="F25" s="13">
        <v>-2</v>
      </c>
      <c r="G25" s="56">
        <v>18</v>
      </c>
      <c r="H25" s="13">
        <v>18</v>
      </c>
      <c r="I25" s="14"/>
      <c r="J25" s="13">
        <v>70</v>
      </c>
      <c r="K25" s="13">
        <v>44</v>
      </c>
      <c r="L25" s="13">
        <v>1</v>
      </c>
    </row>
    <row r="26" spans="1:15" x14ac:dyDescent="0.25">
      <c r="A26" s="11">
        <v>23</v>
      </c>
      <c r="B26" s="80">
        <v>12000</v>
      </c>
      <c r="C26" s="68">
        <v>1120</v>
      </c>
      <c r="D26" s="13">
        <v>48</v>
      </c>
      <c r="E26" s="14"/>
      <c r="F26" s="13">
        <v>-2</v>
      </c>
      <c r="G26" s="56">
        <v>20</v>
      </c>
      <c r="H26" s="13">
        <v>20</v>
      </c>
      <c r="I26" s="14"/>
      <c r="J26" s="13">
        <v>84</v>
      </c>
      <c r="K26" s="13">
        <v>50</v>
      </c>
      <c r="L26" s="13">
        <v>1</v>
      </c>
    </row>
    <row r="27" spans="1:15" x14ac:dyDescent="0.25">
      <c r="A27" s="11">
        <v>24</v>
      </c>
      <c r="B27" s="65">
        <v>11072</v>
      </c>
      <c r="C27" s="67">
        <v>1040</v>
      </c>
      <c r="D27" s="13">
        <v>52</v>
      </c>
      <c r="E27" s="14"/>
      <c r="F27" s="13">
        <v>1</v>
      </c>
      <c r="G27" s="56">
        <v>18</v>
      </c>
      <c r="H27" s="13">
        <v>17</v>
      </c>
      <c r="I27" s="14"/>
      <c r="J27" s="13">
        <v>87</v>
      </c>
      <c r="K27" s="13">
        <v>52</v>
      </c>
      <c r="L27" s="13">
        <v>0</v>
      </c>
    </row>
    <row r="28" spans="1:15" x14ac:dyDescent="0.25">
      <c r="A28" s="11">
        <v>25</v>
      </c>
      <c r="B28" s="65">
        <v>10775</v>
      </c>
      <c r="C28" s="67">
        <v>1032</v>
      </c>
      <c r="D28" s="15">
        <v>87</v>
      </c>
      <c r="E28" s="38"/>
      <c r="F28" s="15">
        <v>0</v>
      </c>
      <c r="G28" s="57">
        <v>16</v>
      </c>
      <c r="H28" s="15">
        <v>16</v>
      </c>
      <c r="I28" s="38"/>
      <c r="J28" s="13">
        <v>113</v>
      </c>
      <c r="K28" s="13">
        <v>67</v>
      </c>
      <c r="L28" s="13">
        <v>1</v>
      </c>
    </row>
    <row r="29" spans="1:15" x14ac:dyDescent="0.25">
      <c r="A29" s="11">
        <v>26</v>
      </c>
      <c r="B29" s="65">
        <v>10831</v>
      </c>
      <c r="C29" s="67">
        <v>945</v>
      </c>
      <c r="D29" s="13">
        <v>141</v>
      </c>
      <c r="E29" s="14"/>
      <c r="F29" s="13">
        <v>1</v>
      </c>
      <c r="G29" s="56">
        <v>18</v>
      </c>
      <c r="H29" s="13">
        <v>18</v>
      </c>
      <c r="I29" s="14"/>
      <c r="J29" s="13">
        <v>124</v>
      </c>
      <c r="K29" s="13">
        <v>70</v>
      </c>
      <c r="L29" s="13">
        <v>1</v>
      </c>
    </row>
    <row r="30" spans="1:15" x14ac:dyDescent="0.25">
      <c r="A30" s="9">
        <v>27</v>
      </c>
      <c r="B30" s="65">
        <v>10497</v>
      </c>
      <c r="C30" s="67">
        <v>930</v>
      </c>
      <c r="D30" s="13">
        <v>128</v>
      </c>
      <c r="E30" s="14"/>
      <c r="F30" s="13">
        <v>5</v>
      </c>
      <c r="G30" s="56">
        <v>17</v>
      </c>
      <c r="H30" s="13">
        <v>18</v>
      </c>
      <c r="I30" s="14"/>
      <c r="J30" s="13">
        <v>71</v>
      </c>
      <c r="K30" s="13">
        <v>42</v>
      </c>
      <c r="L30" s="13">
        <v>0</v>
      </c>
    </row>
    <row r="31" spans="1:15" x14ac:dyDescent="0.25">
      <c r="A31" s="39">
        <v>28</v>
      </c>
      <c r="B31" s="65">
        <v>11005</v>
      </c>
      <c r="C31" s="67">
        <v>934</v>
      </c>
      <c r="D31" s="13">
        <v>135</v>
      </c>
      <c r="E31" s="14"/>
      <c r="F31" s="13">
        <v>2</v>
      </c>
      <c r="G31" s="56">
        <v>21</v>
      </c>
      <c r="H31" s="13">
        <v>20</v>
      </c>
      <c r="I31" s="14"/>
      <c r="J31" s="13">
        <v>67</v>
      </c>
      <c r="K31" s="13">
        <v>49</v>
      </c>
      <c r="L31" s="13">
        <v>0</v>
      </c>
    </row>
    <row r="32" spans="1:15" x14ac:dyDescent="0.25">
      <c r="A32" s="9">
        <v>29</v>
      </c>
      <c r="B32" s="65">
        <v>11021</v>
      </c>
      <c r="C32" s="67">
        <v>943</v>
      </c>
      <c r="D32" s="13">
        <v>76</v>
      </c>
      <c r="E32" s="14"/>
      <c r="F32" s="13">
        <v>5</v>
      </c>
      <c r="G32" s="56">
        <v>14</v>
      </c>
      <c r="H32" s="13">
        <v>14</v>
      </c>
      <c r="I32" s="14"/>
      <c r="J32" s="13">
        <v>78</v>
      </c>
      <c r="K32" s="13">
        <v>48</v>
      </c>
      <c r="L32" s="13">
        <v>0</v>
      </c>
    </row>
    <row r="33" spans="1:12" x14ac:dyDescent="0.25">
      <c r="A33" s="39">
        <v>30</v>
      </c>
      <c r="B33" s="65">
        <v>10254</v>
      </c>
      <c r="C33" s="67">
        <v>1133</v>
      </c>
      <c r="D33" s="13">
        <v>0</v>
      </c>
      <c r="E33" s="14"/>
      <c r="F33" s="13">
        <v>4</v>
      </c>
      <c r="G33" s="56">
        <v>8</v>
      </c>
      <c r="H33" s="13">
        <v>11</v>
      </c>
      <c r="I33" s="14"/>
      <c r="J33" s="13">
        <v>101</v>
      </c>
      <c r="K33" s="13">
        <v>64</v>
      </c>
      <c r="L33" s="13">
        <v>2</v>
      </c>
    </row>
    <row r="34" spans="1:12" ht="15.75" thickBot="1" x14ac:dyDescent="0.3">
      <c r="A34" s="9">
        <v>31</v>
      </c>
      <c r="B34" s="69">
        <v>11283</v>
      </c>
      <c r="C34" s="70">
        <v>1368</v>
      </c>
      <c r="D34" s="71">
        <v>106</v>
      </c>
      <c r="E34" s="14"/>
      <c r="F34" s="71"/>
      <c r="G34" s="72"/>
      <c r="H34" s="73">
        <v>6</v>
      </c>
      <c r="I34" s="14"/>
      <c r="J34" s="71">
        <v>78</v>
      </c>
      <c r="K34" s="71">
        <v>44</v>
      </c>
      <c r="L34" s="71">
        <v>1</v>
      </c>
    </row>
    <row r="35" spans="1:12" ht="15.75" thickBot="1" x14ac:dyDescent="0.3">
      <c r="A35" s="31" t="s">
        <v>24</v>
      </c>
      <c r="B35" s="40">
        <f>SUM(B4:B34)</f>
        <v>349859</v>
      </c>
      <c r="C35" s="41">
        <f>SUM(C4:C34)</f>
        <v>41326</v>
      </c>
      <c r="D35" s="42">
        <f>SUM(D4:D34)</f>
        <v>1957</v>
      </c>
      <c r="E35" s="54"/>
      <c r="F35" s="62">
        <f>AVERAGE(F4:F34)</f>
        <v>-1.4333333333333333</v>
      </c>
      <c r="G35" s="63">
        <f>AVERAGE(G4:G34)</f>
        <v>11.1</v>
      </c>
      <c r="H35" s="64">
        <f>AVERAGE(H4:H34)</f>
        <v>11.161290322580646</v>
      </c>
      <c r="I35" s="43"/>
      <c r="J35" s="44">
        <v>63</v>
      </c>
      <c r="K35" s="44">
        <f>SUM(K4:K34)</f>
        <v>1639</v>
      </c>
      <c r="L35" s="45">
        <f>SUM(L4:L34)</f>
        <v>30</v>
      </c>
    </row>
    <row r="36" spans="1:12" ht="15.75" thickBot="1" x14ac:dyDescent="0.3">
      <c r="A36" s="16" t="s">
        <v>25</v>
      </c>
      <c r="B36" s="46">
        <f>AVERAGE(B4:B34)</f>
        <v>11285.774193548386</v>
      </c>
      <c r="C36" s="47">
        <f>AVERAGE(C4:C34)</f>
        <v>1333.0967741935483</v>
      </c>
      <c r="D36" s="48">
        <f>AVERAGE(D4:D34)</f>
        <v>63.12903225806452</v>
      </c>
      <c r="E36" s="49"/>
      <c r="F36" s="49"/>
      <c r="G36" s="49"/>
      <c r="H36" s="49"/>
      <c r="I36" s="49"/>
      <c r="J36" s="17"/>
      <c r="K36" s="5"/>
      <c r="L36" s="5"/>
    </row>
    <row r="37" spans="1:12" ht="15.75" thickBot="1" x14ac:dyDescent="0.3">
      <c r="A37" s="5"/>
      <c r="B37" s="18" t="s">
        <v>26</v>
      </c>
      <c r="C37" s="18"/>
      <c r="D37" s="18"/>
      <c r="E37" s="18"/>
      <c r="F37" s="18"/>
      <c r="G37" s="18"/>
      <c r="H37" s="18"/>
      <c r="I37" s="18"/>
      <c r="J37" s="18"/>
      <c r="K37" s="5"/>
      <c r="L37" s="5"/>
    </row>
    <row r="38" spans="1:12" ht="15.75" thickBot="1" x14ac:dyDescent="0.3">
      <c r="A38" s="19"/>
      <c r="B38" s="46">
        <f>B35/J35</f>
        <v>5553.3174603174602</v>
      </c>
      <c r="C38" s="47">
        <f>C35/J35</f>
        <v>655.96825396825398</v>
      </c>
      <c r="D38" s="48">
        <f>D35/J35</f>
        <v>31.063492063492063</v>
      </c>
      <c r="E38" s="49"/>
      <c r="F38" s="49"/>
      <c r="G38" s="49"/>
      <c r="H38" s="49"/>
      <c r="I38" s="49"/>
      <c r="J38" s="19"/>
      <c r="K38" s="5"/>
      <c r="L38" s="5"/>
    </row>
    <row r="39" spans="1:12" ht="15.75" x14ac:dyDescent="0.25">
      <c r="A39" s="50"/>
      <c r="B39" s="51"/>
      <c r="C39" s="5"/>
      <c r="D39" s="5"/>
      <c r="E39" s="5"/>
      <c r="F39" s="5"/>
      <c r="G39" s="5"/>
      <c r="H39" s="5"/>
      <c r="I39" s="5"/>
      <c r="J39" s="5"/>
      <c r="K39" s="5"/>
      <c r="L39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9B550C6B4253478BA7B5E4E15C0DFD" ma:contentTypeVersion="14" ma:contentTypeDescription="Create a new document." ma:contentTypeScope="" ma:versionID="ed93aa72320e3b83b78c8d5897a46767">
  <xsd:schema xmlns:xsd="http://www.w3.org/2001/XMLSchema" xmlns:xs="http://www.w3.org/2001/XMLSchema" xmlns:p="http://schemas.microsoft.com/office/2006/metadata/properties" xmlns:ns3="c88c89d1-f62c-4afb-9a97-b09dccb358e6" xmlns:ns4="3ffce027-4b8e-442e-8959-ffe70404d785" targetNamespace="http://schemas.microsoft.com/office/2006/metadata/properties" ma:root="true" ma:fieldsID="5ef64309304452f2064c6eadc6bab372" ns3:_="" ns4:_="">
    <xsd:import namespace="c88c89d1-f62c-4afb-9a97-b09dccb358e6"/>
    <xsd:import namespace="3ffce027-4b8e-442e-8959-ffe70404d78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c89d1-f62c-4afb-9a97-b09dccb358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ce027-4b8e-442e-8959-ffe70404d7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CD9534-BA6A-4D2F-89B8-1F9601DECE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80C28C-DD8E-47FA-97F5-F7DC6F4FE18E}">
  <ds:schemaRefs>
    <ds:schemaRef ds:uri="http://www.w3.org/XML/1998/namespace"/>
    <ds:schemaRef ds:uri="http://schemas.microsoft.com/office/2006/metadata/properties"/>
    <ds:schemaRef ds:uri="http://purl.org/dc/terms/"/>
    <ds:schemaRef ds:uri="3ffce027-4b8e-442e-8959-ffe70404d785"/>
    <ds:schemaRef ds:uri="http://purl.org/dc/dcmitype/"/>
    <ds:schemaRef ds:uri="http://purl.org/dc/elements/1.1/"/>
    <ds:schemaRef ds:uri="c88c89d1-f62c-4afb-9a97-b09dccb358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1CD55BC-F472-4561-8EF7-D683900709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c89d1-f62c-4afb-9a97-b09dccb358e6"/>
    <ds:schemaRef ds:uri="3ffce027-4b8e-442e-8959-ffe70404d7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J. El Khoury</cp:lastModifiedBy>
  <cp:revision/>
  <dcterms:created xsi:type="dcterms:W3CDTF">2017-05-03T09:23:30Z</dcterms:created>
  <dcterms:modified xsi:type="dcterms:W3CDTF">2022-04-13T09:20:42Z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0x0101009C9B550C6B4253478BA7B5E4E15C0DFD</vt:lpwstr>
  </property>
</Properties>
</file>