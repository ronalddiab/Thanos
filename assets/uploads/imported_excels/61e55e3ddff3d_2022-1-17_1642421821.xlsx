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2\Jan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29" i="9" l="1"/>
  <c r="P30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P24" i="9" s="1"/>
  <c r="AB30" i="7"/>
  <c r="P25" i="9" s="1"/>
  <c r="AB31" i="7"/>
  <c r="P26" i="9" s="1"/>
  <c r="AB32" i="7"/>
  <c r="P27" i="9" s="1"/>
  <c r="AB33" i="7"/>
  <c r="P28" i="9" s="1"/>
  <c r="AB36" i="7"/>
  <c r="P31" i="9" s="1"/>
  <c r="AB37" i="7"/>
  <c r="P32" i="9" s="1"/>
  <c r="AC31" i="7" l="1"/>
  <c r="Q26" i="9" s="1"/>
  <c r="AC32" i="7"/>
  <c r="Q27" i="9" s="1"/>
  <c r="AC33" i="7"/>
  <c r="Q28" i="9" s="1"/>
  <c r="AC34" i="7"/>
  <c r="Q29" i="9" s="1"/>
  <c r="AC35" i="7"/>
  <c r="Q30" i="9" s="1"/>
  <c r="AC36" i="7"/>
  <c r="Q31" i="9" s="1"/>
  <c r="AC37" i="7"/>
  <c r="Q32" i="9" s="1"/>
  <c r="I29" i="5" l="1"/>
  <c r="S29" i="9"/>
  <c r="Q35" i="7" l="1"/>
  <c r="E30" i="9" s="1"/>
  <c r="Q34" i="7"/>
  <c r="E29" i="9" s="1"/>
  <c r="Q31" i="7"/>
  <c r="E26" i="9" s="1"/>
  <c r="Q33" i="7"/>
  <c r="E28" i="9" s="1"/>
  <c r="Q32" i="7"/>
  <c r="E27" i="9" s="1"/>
  <c r="AF34" i="7" l="1"/>
  <c r="I32" i="5"/>
  <c r="B32" i="5"/>
  <c r="S32" i="9" l="1"/>
  <c r="B32" i="9"/>
  <c r="AV36" i="7" l="1"/>
  <c r="AV37" i="7"/>
  <c r="R32" i="9" s="1"/>
  <c r="Q37" i="7"/>
  <c r="R37" i="7"/>
  <c r="F32" i="9" s="1"/>
  <c r="S37" i="7"/>
  <c r="G32" i="9" s="1"/>
  <c r="T37" i="7"/>
  <c r="H32" i="9" s="1"/>
  <c r="U37" i="7"/>
  <c r="I32" i="9" s="1"/>
  <c r="V37" i="7"/>
  <c r="J32" i="9" s="1"/>
  <c r="W37" i="7"/>
  <c r="K32" i="9" s="1"/>
  <c r="X37" i="7"/>
  <c r="L32" i="9" s="1"/>
  <c r="Y37" i="7"/>
  <c r="Z37" i="7"/>
  <c r="AA37" i="7"/>
  <c r="O32" i="9" s="1"/>
  <c r="AN37" i="7" l="1"/>
  <c r="M32" i="9"/>
  <c r="AW36" i="7"/>
  <c r="R31" i="9"/>
  <c r="AD37" i="7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8" i="7"/>
  <c r="AW8" i="7" s="1"/>
  <c r="AV7" i="7"/>
  <c r="G3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V28" i="7"/>
  <c r="AV29" i="7"/>
  <c r="AV30" i="7"/>
  <c r="AV31" i="7"/>
  <c r="AV32" i="7"/>
  <c r="AV33" i="7"/>
  <c r="AV34" i="7"/>
  <c r="AV35" i="7"/>
  <c r="AV10" i="7"/>
  <c r="AV11" i="7"/>
  <c r="AV12" i="7"/>
  <c r="AV13" i="7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AV26" i="7"/>
  <c r="AV9" i="7"/>
  <c r="S31" i="9"/>
  <c r="S7" i="7"/>
  <c r="AQ36" i="7"/>
  <c r="AA36" i="7"/>
  <c r="O31" i="9" s="1"/>
  <c r="Z36" i="7"/>
  <c r="N31" i="9" s="1"/>
  <c r="Y36" i="7"/>
  <c r="X36" i="7"/>
  <c r="L31" i="9" s="1"/>
  <c r="W36" i="7"/>
  <c r="K31" i="9" s="1"/>
  <c r="V36" i="7"/>
  <c r="U36" i="7"/>
  <c r="I31" i="9" s="1"/>
  <c r="T36" i="7"/>
  <c r="H31" i="9" s="1"/>
  <c r="S36" i="7"/>
  <c r="R36" i="7"/>
  <c r="Q36" i="7"/>
  <c r="E31" i="9" s="1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R26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R27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R28" i="7"/>
  <c r="F23" i="9" s="1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R29" i="7"/>
  <c r="S29" i="7"/>
  <c r="G24" i="9" s="1"/>
  <c r="T29" i="7"/>
  <c r="U29" i="7"/>
  <c r="I24" i="9" s="1"/>
  <c r="V29" i="7"/>
  <c r="W29" i="7"/>
  <c r="X29" i="7"/>
  <c r="Y29" i="7"/>
  <c r="M24" i="9" s="1"/>
  <c r="Z29" i="7"/>
  <c r="N24" i="9" s="1"/>
  <c r="AA29" i="7"/>
  <c r="AC29" i="7"/>
  <c r="R30" i="7"/>
  <c r="S30" i="7"/>
  <c r="G25" i="9" s="1"/>
  <c r="T30" i="7"/>
  <c r="U30" i="7"/>
  <c r="I25" i="9" s="1"/>
  <c r="V30" i="7"/>
  <c r="W30" i="7"/>
  <c r="X30" i="7"/>
  <c r="L25" i="9" s="1"/>
  <c r="Y30" i="7"/>
  <c r="Z30" i="7"/>
  <c r="AA30" i="7"/>
  <c r="AQ30" i="7"/>
  <c r="AC30" i="7"/>
  <c r="Q25" i="9" s="1"/>
  <c r="R31" i="7"/>
  <c r="F26" i="9" s="1"/>
  <c r="S31" i="7"/>
  <c r="T31" i="7"/>
  <c r="H26" i="9" s="1"/>
  <c r="U31" i="7"/>
  <c r="I26" i="9" s="1"/>
  <c r="V31" i="7"/>
  <c r="W31" i="7"/>
  <c r="X31" i="7"/>
  <c r="L26" i="9" s="1"/>
  <c r="Y31" i="7"/>
  <c r="M26" i="9" s="1"/>
  <c r="Z31" i="7"/>
  <c r="N26" i="9" s="1"/>
  <c r="AA31" i="7"/>
  <c r="O26" i="9" s="1"/>
  <c r="AQ31" i="7"/>
  <c r="R32" i="7"/>
  <c r="F27" i="9" s="1"/>
  <c r="S32" i="7"/>
  <c r="G27" i="9" s="1"/>
  <c r="T32" i="7"/>
  <c r="U32" i="7"/>
  <c r="V32" i="7"/>
  <c r="J27" i="9" s="1"/>
  <c r="W32" i="7"/>
  <c r="K27" i="9" s="1"/>
  <c r="X32" i="7"/>
  <c r="L27" i="9" s="1"/>
  <c r="Y32" i="7"/>
  <c r="Z32" i="7"/>
  <c r="AA32" i="7"/>
  <c r="O27" i="9" s="1"/>
  <c r="AQ32" i="7"/>
  <c r="AR32" i="7"/>
  <c r="R33" i="7"/>
  <c r="S33" i="7"/>
  <c r="G28" i="9" s="1"/>
  <c r="T33" i="7"/>
  <c r="H28" i="9" s="1"/>
  <c r="U33" i="7"/>
  <c r="I28" i="9" s="1"/>
  <c r="V33" i="7"/>
  <c r="J28" i="9" s="1"/>
  <c r="W33" i="7"/>
  <c r="K28" i="9" s="1"/>
  <c r="X33" i="7"/>
  <c r="Y33" i="7"/>
  <c r="Z33" i="7"/>
  <c r="AA33" i="7"/>
  <c r="O28" i="9" s="1"/>
  <c r="AR33" i="7"/>
  <c r="R34" i="7"/>
  <c r="F29" i="9" s="1"/>
  <c r="S34" i="7"/>
  <c r="T34" i="7"/>
  <c r="H29" i="9" s="1"/>
  <c r="U34" i="7"/>
  <c r="V34" i="7"/>
  <c r="W34" i="7"/>
  <c r="X34" i="7"/>
  <c r="Y34" i="7"/>
  <c r="M29" i="9" s="1"/>
  <c r="Z34" i="7"/>
  <c r="AA34" i="7"/>
  <c r="O29" i="9" s="1"/>
  <c r="AR34" i="7"/>
  <c r="R35" i="7"/>
  <c r="S35" i="7"/>
  <c r="G30" i="9" s="1"/>
  <c r="T35" i="7"/>
  <c r="H30" i="9" s="1"/>
  <c r="U35" i="7"/>
  <c r="I30" i="9" s="1"/>
  <c r="V35" i="7"/>
  <c r="J30" i="9" s="1"/>
  <c r="W35" i="7"/>
  <c r="K30" i="9" s="1"/>
  <c r="X35" i="7"/>
  <c r="Y35" i="7"/>
  <c r="M30" i="9" s="1"/>
  <c r="Z35" i="7"/>
  <c r="N30" i="9" s="1"/>
  <c r="AA35" i="7"/>
  <c r="O30" i="9" s="1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Q29" i="7"/>
  <c r="Q30" i="7"/>
  <c r="E25" i="9" s="1"/>
  <c r="AF32" i="7"/>
  <c r="AF33" i="7"/>
  <c r="Q8" i="7"/>
  <c r="E3" i="9" s="1"/>
  <c r="Q7" i="7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N36" i="7" l="1"/>
  <c r="M31" i="9"/>
  <c r="AK36" i="7"/>
  <c r="J31" i="9"/>
  <c r="AH36" i="7"/>
  <c r="G31" i="9"/>
  <c r="AG36" i="7"/>
  <c r="F31" i="9"/>
  <c r="AW35" i="7"/>
  <c r="R30" i="9"/>
  <c r="AW34" i="7"/>
  <c r="R29" i="9"/>
  <c r="AM35" i="7"/>
  <c r="L30" i="9"/>
  <c r="AG35" i="7"/>
  <c r="F30" i="9"/>
  <c r="AO34" i="7"/>
  <c r="N29" i="9"/>
  <c r="AM34" i="7"/>
  <c r="L29" i="9"/>
  <c r="AL34" i="7"/>
  <c r="K29" i="9"/>
  <c r="AK34" i="7"/>
  <c r="J29" i="9"/>
  <c r="AJ34" i="7"/>
  <c r="I29" i="9"/>
  <c r="AH34" i="7"/>
  <c r="G29" i="9"/>
  <c r="AW33" i="7"/>
  <c r="R28" i="9"/>
  <c r="G28" i="5" s="1"/>
  <c r="AO33" i="7"/>
  <c r="N28" i="9"/>
  <c r="AN33" i="7"/>
  <c r="M28" i="9"/>
  <c r="AM33" i="7"/>
  <c r="L28" i="9"/>
  <c r="AG33" i="7"/>
  <c r="F28" i="9"/>
  <c r="AW32" i="7"/>
  <c r="R27" i="9"/>
  <c r="G27" i="5" s="1"/>
  <c r="AO32" i="7"/>
  <c r="N27" i="9"/>
  <c r="AN32" i="7"/>
  <c r="M27" i="9"/>
  <c r="AJ32" i="7"/>
  <c r="I27" i="9"/>
  <c r="AI32" i="7"/>
  <c r="H27" i="9"/>
  <c r="AW31" i="7"/>
  <c r="R26" i="9"/>
  <c r="G26" i="5" s="1"/>
  <c r="AL31" i="7"/>
  <c r="K26" i="9"/>
  <c r="AK31" i="7"/>
  <c r="J26" i="9"/>
  <c r="AH31" i="7"/>
  <c r="G26" i="9"/>
  <c r="R25" i="9"/>
  <c r="G25" i="5" s="1"/>
  <c r="AP30" i="7"/>
  <c r="O25" i="9"/>
  <c r="AO30" i="7"/>
  <c r="N25" i="9"/>
  <c r="AN30" i="7"/>
  <c r="M25" i="9"/>
  <c r="AL30" i="7"/>
  <c r="K25" i="9"/>
  <c r="AK30" i="7"/>
  <c r="J25" i="9"/>
  <c r="AI30" i="7"/>
  <c r="H25" i="9"/>
  <c r="AG30" i="7"/>
  <c r="F25" i="9"/>
  <c r="R24" i="9"/>
  <c r="G24" i="5" s="1"/>
  <c r="AR29" i="7"/>
  <c r="Q24" i="9"/>
  <c r="AP29" i="7"/>
  <c r="O24" i="9"/>
  <c r="AM29" i="7"/>
  <c r="L24" i="9"/>
  <c r="AL29" i="7"/>
  <c r="K24" i="9"/>
  <c r="AK29" i="7"/>
  <c r="J24" i="9"/>
  <c r="AI29" i="7"/>
  <c r="H24" i="9"/>
  <c r="AG29" i="7"/>
  <c r="F24" i="9"/>
  <c r="AF29" i="7"/>
  <c r="E24" i="9"/>
  <c r="AW28" i="7"/>
  <c r="R23" i="9"/>
  <c r="AR28" i="7"/>
  <c r="Q23" i="9"/>
  <c r="AO28" i="7"/>
  <c r="N23" i="9"/>
  <c r="AN28" i="7"/>
  <c r="M23" i="9"/>
  <c r="AL28" i="7"/>
  <c r="K23" i="9"/>
  <c r="AJ28" i="7"/>
  <c r="I23" i="9"/>
  <c r="AF28" i="7"/>
  <c r="E23" i="9"/>
  <c r="AW27" i="7"/>
  <c r="R22" i="9"/>
  <c r="G22" i="5" s="1"/>
  <c r="AO27" i="7"/>
  <c r="N22" i="9"/>
  <c r="AK27" i="7"/>
  <c r="J22" i="9"/>
  <c r="AI27" i="7"/>
  <c r="H22" i="9"/>
  <c r="AH27" i="7"/>
  <c r="G22" i="9"/>
  <c r="AG27" i="7"/>
  <c r="F22" i="9"/>
  <c r="AF27" i="7"/>
  <c r="E22" i="9"/>
  <c r="AW26" i="7"/>
  <c r="R21" i="9"/>
  <c r="G21" i="5" s="1"/>
  <c r="AR26" i="7"/>
  <c r="Q21" i="9"/>
  <c r="AO26" i="7"/>
  <c r="N21" i="9"/>
  <c r="AL26" i="7"/>
  <c r="K21" i="9"/>
  <c r="AK26" i="7"/>
  <c r="J21" i="9"/>
  <c r="AH26" i="7"/>
  <c r="G21" i="9"/>
  <c r="AG26" i="7"/>
  <c r="F21" i="9"/>
  <c r="R20" i="9"/>
  <c r="G20" i="5" s="1"/>
  <c r="AR25" i="7"/>
  <c r="Q20" i="9"/>
  <c r="AL25" i="7"/>
  <c r="K20" i="9"/>
  <c r="AJ25" i="7"/>
  <c r="I20" i="9"/>
  <c r="AG25" i="7"/>
  <c r="F20" i="9"/>
  <c r="S38" i="7"/>
  <c r="R2" i="9"/>
  <c r="G2" i="5" s="1"/>
  <c r="AW7" i="7"/>
  <c r="AO7" i="7"/>
  <c r="Z38" i="7"/>
  <c r="I2" i="9"/>
  <c r="U38" i="7"/>
  <c r="AP7" i="7"/>
  <c r="AA38" i="7"/>
  <c r="AL7" i="7"/>
  <c r="W38" i="7"/>
  <c r="AG7" i="7"/>
  <c r="R38" i="7"/>
  <c r="J2" i="9"/>
  <c r="V38" i="7"/>
  <c r="AR7" i="7"/>
  <c r="AC38" i="7"/>
  <c r="E2" i="9"/>
  <c r="Q38" i="7"/>
  <c r="M2" i="9"/>
  <c r="Y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AW10" i="7"/>
  <c r="R5" i="9"/>
  <c r="G5" i="5" s="1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AN20" i="7"/>
  <c r="AQ8" i="7"/>
  <c r="AR18" i="7"/>
  <c r="AJ12" i="7"/>
  <c r="AR31" i="7"/>
  <c r="AL16" i="7"/>
  <c r="AR12" i="7"/>
  <c r="G29" i="5"/>
  <c r="AL9" i="7"/>
  <c r="AP35" i="7"/>
  <c r="AW12" i="7"/>
  <c r="AJ24" i="7"/>
  <c r="AI19" i="7"/>
  <c r="AO12" i="7"/>
  <c r="AN12" i="7"/>
  <c r="AN11" i="7"/>
  <c r="AI10" i="7"/>
  <c r="AN9" i="7"/>
  <c r="AL10" i="7"/>
  <c r="AN8" i="7"/>
  <c r="AJ8" i="7"/>
  <c r="N2" i="9"/>
  <c r="AQ7" i="7"/>
  <c r="AI7" i="7"/>
  <c r="L2" i="9"/>
  <c r="Q2" i="9"/>
  <c r="G4" i="5"/>
  <c r="AW25" i="7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AQ33" i="7"/>
  <c r="AP32" i="7"/>
  <c r="AM32" i="7"/>
  <c r="AK33" i="7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G23" i="5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AV38" i="7"/>
  <c r="AD19" i="7"/>
  <c r="AO25" i="7"/>
  <c r="AH20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H38" i="7" l="1"/>
  <c r="AJ38" i="7"/>
  <c r="AQ38" i="7"/>
  <c r="AK38" i="7"/>
  <c r="AI38" i="7"/>
  <c r="AR38" i="7"/>
  <c r="AP38" i="7"/>
  <c r="AO38" i="7"/>
  <c r="AN38" i="7"/>
  <c r="AM38" i="7"/>
  <c r="AL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AW38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AV39" i="7"/>
  <c r="AV40" i="7" s="1"/>
  <c r="AV41" i="7"/>
  <c r="E7" i="5"/>
  <c r="E26" i="5"/>
  <c r="AS25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<sst xmlns="http://schemas.openxmlformats.org/spreadsheetml/2006/main" count="128" uniqueCount="49">
  <si>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</si>
  <si>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</si>
  <si>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</si>
  <si>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</si>
  <si>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</si>
  <si>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</si>
  <si>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</si>
  <si>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</si>
  <si>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</si>
  <si>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</si>
  <si>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</si>
  <si>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</si>
  <si>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</si>
  <si>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</si>
  <si>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</si>
  <si>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</si>
  <si>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</si>
  <si>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</si>
  <si>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</si>
  <si>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</si>
  <si>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</si>
  <si>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</si>
  <si>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</si>
  <si>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</si>
  <si>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</si>
  <si>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</si>
  <si>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</si>
  <si>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</si>
  <si>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</si>
  <si>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</si>
  <si>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</si>
  <si>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</si>
  <si>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</si>
  <si>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</si>
  <si>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</si>
  <si>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</si>
  <si>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</si>
  <si>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</si>
  <si>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</si>
  <si>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</si>
  <si>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</si>
  <si>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</si>
  <si>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</si>
  <si>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</si>
  <si>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</si>
  <si>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</si>
  <si>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</si>
  <si>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</si>
  <si>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January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</si>
</sst>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zoomScale="130" zoomScaleNormal="130" workbookViewId="0">
      <selection activeCell="K19" sqref="K18:K19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1</v>
      </c>
      <c r="D2" s="11">
        <v>2022</v>
      </c>
      <c r="E2" s="12">
        <f>Submetering!E2+Submetering!F2+Submetering!G2+Submetering!H2+Submetering!I2+Submetering!J2+Submetering!K2+Submetering!L2+Submetering!M2+Submetering!N2+Submetering!O2+Submetering!P2+Submetering!Q2</f>
        <v>65240</v>
      </c>
      <c r="F2" s="11">
        <v>5.0000000000000001E-3</v>
      </c>
      <c r="G2" s="12">
        <f>Submetering!R2</f>
        <v>756.70345899999995</v>
      </c>
      <c r="H2" s="11">
        <v>0.52800000000000002</v>
      </c>
      <c r="I2" s="12">
        <f>Hotel!B7</f>
        <v>162</v>
      </c>
    </row>
    <row r="3" spans="1:9" s="15" customFormat="1" x14ac:dyDescent="0.25">
      <c r="A3" s="21" t="s">
        <v>31</v>
      </c>
      <c r="B3" s="14">
        <f>B2+1</f>
        <v>2</v>
      </c>
      <c r="C3" s="3">
        <v>1</v>
      </c>
      <c r="D3" s="11">
        <v>2022</v>
      </c>
      <c r="E3" s="12">
        <f>Submetering!E3+Submetering!F3+Submetering!G3+Submetering!H3+Submetering!I3+Submetering!J3+Submetering!K3+Submetering!L3+Submetering!M3+Submetering!N3+Submetering!O3+Submetering!P3+Submetering!Q3</f>
        <v>50848</v>
      </c>
      <c r="F3" s="11">
        <v>5.0000000000000001E-3</v>
      </c>
      <c r="G3" s="12">
        <f>Submetering!R3</f>
        <v>623.83556799999997</v>
      </c>
      <c r="H3" s="11">
        <v>0.52800000000000002</v>
      </c>
      <c r="I3" s="12">
        <f>Hotel!B8</f>
        <v>72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1</v>
      </c>
      <c r="D4" s="11">
        <v>2022</v>
      </c>
      <c r="E4" s="12">
        <f>Submetering!E4+Submetering!F4+Submetering!G4+Submetering!H4+Submetering!I4+Submetering!J4+Submetering!K4+Submetering!L4+Submetering!M4+Submetering!N4+Submetering!O4+Submetering!P4+Submetering!Q4</f>
        <v>54052</v>
      </c>
      <c r="F4" s="11">
        <v>5.0000000000000001E-3</v>
      </c>
      <c r="G4" s="12">
        <f>Submetering!R4</f>
        <v>514.05867799999999</v>
      </c>
      <c r="H4" s="11">
        <v>0.52800000000000002</v>
      </c>
      <c r="I4" s="12">
        <f>Hotel!B9</f>
        <v>45</v>
      </c>
    </row>
    <row r="5" spans="1:9" s="15" customFormat="1" x14ac:dyDescent="0.25">
      <c r="A5" s="21" t="s">
        <v>31</v>
      </c>
      <c r="B5" s="14">
        <f t="shared" si="0"/>
        <v>4</v>
      </c>
      <c r="C5" s="3">
        <v>1</v>
      </c>
      <c r="D5" s="11">
        <v>2022</v>
      </c>
      <c r="E5" s="12">
        <f>Submetering!E5+Submetering!F5+Submetering!G5+Submetering!H5+Submetering!I5+Submetering!J5+Submetering!K5+Submetering!L5+Submetering!M5+Submetering!N5+Submetering!O5+Submetering!P5+Submetering!Q5</f>
        <v>55160</v>
      </c>
      <c r="F5" s="11">
        <v>5.0000000000000001E-3</v>
      </c>
      <c r="G5" s="12">
        <f>Submetering!R5</f>
        <v>575.76086099999998</v>
      </c>
      <c r="H5" s="11">
        <v>0.52800000000000002</v>
      </c>
      <c r="I5" s="12">
        <f>Hotel!B10</f>
        <v>60</v>
      </c>
    </row>
    <row r="6" spans="1:9" s="15" customFormat="1" x14ac:dyDescent="0.25">
      <c r="A6" s="21" t="s">
        <v>31</v>
      </c>
      <c r="B6" s="14">
        <f t="shared" si="0"/>
        <v>5</v>
      </c>
      <c r="C6" s="3">
        <v>1</v>
      </c>
      <c r="D6" s="11">
        <v>2022</v>
      </c>
      <c r="E6" s="12">
        <f>Submetering!E6+Submetering!F6+Submetering!G6+Submetering!H6+Submetering!I6+Submetering!J6+Submetering!K6+Submetering!L6+Submetering!M6+Submetering!N6+Submetering!O6+Submetering!P6+Submetering!Q6</f>
        <v>53910</v>
      </c>
      <c r="F6" s="11">
        <v>5.0000000000000001E-3</v>
      </c>
      <c r="G6" s="12">
        <f>Submetering!R6</f>
        <v>454.62774100000001</v>
      </c>
      <c r="H6" s="11">
        <v>0.52800000000000002</v>
      </c>
      <c r="I6" s="12">
        <f>Hotel!B11</f>
        <v>60</v>
      </c>
    </row>
    <row r="7" spans="1:9" s="15" customFormat="1" x14ac:dyDescent="0.25">
      <c r="A7" s="21" t="s">
        <v>31</v>
      </c>
      <c r="B7" s="14">
        <f t="shared" si="0"/>
        <v>6</v>
      </c>
      <c r="C7" s="3">
        <v>1</v>
      </c>
      <c r="D7" s="11">
        <v>2022</v>
      </c>
      <c r="E7" s="12">
        <f>Submetering!E7+Submetering!F7+Submetering!G7+Submetering!H7+Submetering!I7+Submetering!J7+Submetering!K7+Submetering!L7+Submetering!M7+Submetering!N7+Submetering!O7+Submetering!P7+Submetering!Q7</f>
        <v>62140</v>
      </c>
      <c r="F7" s="11">
        <v>5.0000000000000001E-3</v>
      </c>
      <c r="G7" s="12">
        <f>Submetering!R7</f>
        <v>498.15995600000002</v>
      </c>
      <c r="H7" s="11">
        <v>0.52800000000000002</v>
      </c>
      <c r="I7" s="12">
        <f>Hotel!B12</f>
        <v>99</v>
      </c>
    </row>
    <row r="8" spans="1:9" s="15" customFormat="1" x14ac:dyDescent="0.25">
      <c r="A8" s="21" t="s">
        <v>31</v>
      </c>
      <c r="B8" s="14">
        <f t="shared" si="0"/>
        <v>7</v>
      </c>
      <c r="C8" s="3">
        <v>1</v>
      </c>
      <c r="D8" s="11">
        <v>2022</v>
      </c>
      <c r="E8" s="12">
        <f>Submetering!E8+Submetering!F8+Submetering!G8+Submetering!H8+Submetering!I8+Submetering!J8+Submetering!K8+Submetering!L8+Submetering!M8+Submetering!N8+Submetering!O8+Submetering!P8+Submetering!Q8</f>
        <v>59165</v>
      </c>
      <c r="F8" s="11">
        <v>5.0000000000000001E-3</v>
      </c>
      <c r="G8" s="12">
        <f>Submetering!R8</f>
        <v>510.27326799999997</v>
      </c>
      <c r="H8" s="11">
        <v>0.52800000000000002</v>
      </c>
      <c r="I8" s="12">
        <f>Hotel!B13</f>
        <v>117</v>
      </c>
    </row>
    <row r="9" spans="1:9" s="15" customFormat="1" x14ac:dyDescent="0.25">
      <c r="A9" s="21" t="s">
        <v>31</v>
      </c>
      <c r="B9" s="14">
        <f t="shared" si="0"/>
        <v>8</v>
      </c>
      <c r="C9" s="3">
        <v>1</v>
      </c>
      <c r="D9" s="11">
        <v>2022</v>
      </c>
      <c r="E9" s="12">
        <f>Submetering!E9+Submetering!F9+Submetering!G9+Submetering!H9+Submetering!I9+Submetering!J9+Submetering!K9+Submetering!L9+Submetering!M9+Submetering!N9+Submetering!O9+Submetering!P9+Submetering!Q9</f>
        <v>57575</v>
      </c>
      <c r="F9" s="11">
        <v>5.0000000000000001E-3</v>
      </c>
      <c r="G9" s="12">
        <f>Submetering!R9</f>
        <v>710.52145700000005</v>
      </c>
      <c r="H9" s="11">
        <v>0.52800000000000002</v>
      </c>
      <c r="I9" s="12">
        <f>Hotel!B14</f>
        <v>79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1</v>
      </c>
      <c r="D10" s="11">
        <v>2022</v>
      </c>
      <c r="E10" s="12">
        <f>Submetering!E10+Submetering!F10+Submetering!G10+Submetering!H10+Submetering!I10+Submetering!J10+Submetering!K10+Submetering!L10+Submetering!M10+Submetering!N10+Submetering!O10+Submetering!P10+Submetering!Q10</f>
        <v>54880</v>
      </c>
      <c r="F10" s="11">
        <v>5.0000000000000001E-3</v>
      </c>
      <c r="G10" s="12">
        <f>Submetering!R10</f>
        <v>587.495632</v>
      </c>
      <c r="H10" s="11">
        <v>0.52800000000000002</v>
      </c>
      <c r="I10" s="12">
        <f>Hotel!B15</f>
        <v>65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1</v>
      </c>
      <c r="D11" s="11">
        <v>2022</v>
      </c>
      <c r="E11" s="12">
        <f>Submetering!E11+Submetering!F11+Submetering!G11+Submetering!H11+Submetering!I11+Submetering!J11+Submetering!K11+Submetering!L11+Submetering!M11+Submetering!N11+Submetering!O11+Submetering!P11+Submetering!Q11</f>
        <v>54730</v>
      </c>
      <c r="F11" s="11">
        <v>5.0000000000000001E-3</v>
      </c>
      <c r="G11" s="12">
        <f>Submetering!R11</f>
        <v>554.94110599999999</v>
      </c>
      <c r="H11" s="11">
        <v>0.52800000000000002</v>
      </c>
      <c r="I11" s="12">
        <f>Hotel!B16</f>
        <v>65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1</v>
      </c>
      <c r="D12" s="11">
        <v>2022</v>
      </c>
      <c r="E12" s="12">
        <f>Submetering!E12+Submetering!F12+Submetering!G12+Submetering!H12+Submetering!I12+Submetering!J12+Submetering!K12+Submetering!L12+Submetering!M12+Submetering!N12+Submetering!O12+Submetering!P12+Submetering!Q12</f>
        <v>57600</v>
      </c>
      <c r="F12" s="11">
        <v>5.0000000000000001E-3</v>
      </c>
      <c r="G12" s="12">
        <f>Submetering!R12</f>
        <v>548.50590899999997</v>
      </c>
      <c r="H12" s="11">
        <v>0.52800000000000002</v>
      </c>
      <c r="I12" s="12">
        <f>Hotel!B17</f>
        <v>61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1</v>
      </c>
      <c r="D13" s="11">
        <v>2022</v>
      </c>
      <c r="E13" s="12">
        <f>Submetering!E13+Submetering!F13+Submetering!G13+Submetering!H13+Submetering!I13+Submetering!J13+Submetering!K13+Submetering!L13+Submetering!M13+Submetering!N13+Submetering!O13+Submetering!P13+Submetering!Q13</f>
        <v>56280</v>
      </c>
      <c r="F13" s="11">
        <v>5.0000000000000001E-3</v>
      </c>
      <c r="G13" s="12">
        <f>Submetering!R13</f>
        <v>522.76512099999991</v>
      </c>
      <c r="H13" s="11">
        <v>0.52800000000000002</v>
      </c>
      <c r="I13" s="12">
        <f>Hotel!B18</f>
        <v>68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1</v>
      </c>
      <c r="D14" s="11">
        <v>2022</v>
      </c>
      <c r="E14" s="12">
        <f>Submetering!E14+Submetering!F14+Submetering!G14+Submetering!H14+Submetering!I14+Submetering!J14+Submetering!K14+Submetering!L14+Submetering!M14+Submetering!N14+Submetering!O14+Submetering!P14+Submetering!Q14</f>
        <v>59380</v>
      </c>
      <c r="F14" s="11">
        <v>5.0000000000000001E-3</v>
      </c>
      <c r="G14" s="12">
        <f>Submetering!R14</f>
        <v>623.45702700000004</v>
      </c>
      <c r="H14" s="11">
        <v>0.52800000000000002</v>
      </c>
      <c r="I14" s="12">
        <f>Hotel!B19</f>
        <v>87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1</v>
      </c>
      <c r="D15" s="11">
        <v>2022</v>
      </c>
      <c r="E15" s="12">
        <f>Submetering!E15+Submetering!F15+Submetering!G15+Submetering!H15+Submetering!I15+Submetering!J15+Submetering!K15+Submetering!L15+Submetering!M15+Submetering!N15+Submetering!O15+Submetering!P15+Submetering!Q15</f>
        <v>55640</v>
      </c>
      <c r="F15" s="11">
        <v>5.0000000000000001E-3</v>
      </c>
      <c r="G15" s="12">
        <f>Submetering!R15</f>
        <v>508.38056299999994</v>
      </c>
      <c r="H15" s="11">
        <v>0.52800000000000002</v>
      </c>
      <c r="I15" s="12">
        <f>Hotel!B20</f>
        <v>88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1</v>
      </c>
      <c r="D16" s="11">
        <v>2022</v>
      </c>
      <c r="E16" s="12">
        <f>Submetering!E16+Submetering!F16+Submetering!G16+Submetering!H16+Submetering!I16+Submetering!J16+Submetering!K16+Submetering!L16+Submetering!M16+Submetering!N16+Submetering!O16+Submetering!P16+Submetering!Q16</f>
        <v>55890</v>
      </c>
      <c r="F16" s="11">
        <v>5.0000000000000001E-3</v>
      </c>
      <c r="G16" s="12">
        <f>Submetering!R16</f>
        <v>1051.9654390000001</v>
      </c>
      <c r="H16" s="11">
        <v>0.52800000000000002</v>
      </c>
      <c r="I16" s="12">
        <f>Hotel!B21</f>
        <v>57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1</v>
      </c>
      <c r="D17" s="11">
        <v>2022</v>
      </c>
      <c r="E17" s="12">
        <f>Submetering!E17+Submetering!F17+Submetering!G17+Submetering!H17+Submetering!I17+Submetering!J17+Submetering!K17+Submetering!L17+Submetering!M17+Submetering!N17+Submetering!O17+Submetering!P17+Submetering!Q17</f>
        <v>57450</v>
      </c>
      <c r="F17" s="11">
        <v>5.0000000000000001E-3</v>
      </c>
      <c r="G17" s="12">
        <f>Submetering!R17</f>
        <v>599.60894399999995</v>
      </c>
      <c r="H17" s="11">
        <v>0.52800000000000002</v>
      </c>
      <c r="I17" s="12">
        <f>Hotel!B22</f>
        <v>43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1</v>
      </c>
      <c r="D18" s="11">
        <v>2022</v>
      </c>
      <c r="E18" s="12">
        <f>Submetering!E18+Submetering!F18+Submetering!G18+Submetering!H18+Submetering!I18+Submetering!J18+Submetering!K18+Submetering!L18+Submetering!M18+Submetering!N18+Submetering!O18+Submetering!P18+Submetering!Q18</f>
        <v>0</v>
      </c>
      <c r="F18" s="11">
        <v>5.0000000000000001E-3</v>
      </c>
      <c r="G18" s="12">
        <f>Submetering!R18</f>
        <v>0</v>
      </c>
      <c r="H18" s="11">
        <v>0.52800000000000002</v>
      </c>
      <c r="I18" s="12">
        <f>Hotel!B23</f>
        <v>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1</v>
      </c>
      <c r="D19" s="11">
        <v>2022</v>
      </c>
      <c r="E19" s="12">
        <f>Submetering!E19+Submetering!F19+Submetering!G19+Submetering!H19+Submetering!I19+Submetering!J19+Submetering!K19+Submetering!L19+Submetering!M19+Submetering!N19+Submetering!O19+Submetering!P19+Submetering!Q19</f>
        <v>0</v>
      </c>
      <c r="F19" s="11">
        <v>5.0000000000000001E-3</v>
      </c>
      <c r="G19" s="12">
        <f>Submetering!R19</f>
        <v>0</v>
      </c>
      <c r="H19" s="11">
        <v>0.52800000000000002</v>
      </c>
      <c r="I19" s="12">
        <f>Hotel!B24</f>
        <v>0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1</v>
      </c>
      <c r="D20" s="11">
        <v>2022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1</v>
      </c>
      <c r="D21" s="11">
        <v>2022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1</v>
      </c>
      <c r="D22" s="11">
        <v>2022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1</v>
      </c>
      <c r="D23" s="11">
        <v>2022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1</v>
      </c>
      <c r="D24" s="11">
        <v>2022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1</v>
      </c>
      <c r="D25" s="11">
        <v>2022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1</v>
      </c>
      <c r="D26" s="11">
        <v>2022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1</v>
      </c>
      <c r="D27" s="11">
        <v>2022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1</v>
      </c>
      <c r="D28" s="11">
        <v>2022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1</v>
      </c>
      <c r="D29" s="11">
        <v>2022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1</v>
      </c>
      <c r="D30" s="11">
        <v>2022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1</v>
      </c>
      <c r="D31" s="11">
        <v>2022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1</v>
      </c>
      <c r="D32" s="11">
        <v>2022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D3" sqref="D3:D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3">
        <v>1</v>
      </c>
      <c r="D2" s="11">
        <v>2022</v>
      </c>
      <c r="E2" s="4">
        <f>Hotel!Q7</f>
        <v>610</v>
      </c>
      <c r="F2" s="4">
        <f>Hotel!R7</f>
        <v>9190</v>
      </c>
      <c r="G2" s="4">
        <f>Hotel!S7</f>
        <v>0</v>
      </c>
      <c r="H2" s="4">
        <f>Hotel!T7</f>
        <v>1490</v>
      </c>
      <c r="I2" s="4">
        <f>Hotel!U7</f>
        <v>7450</v>
      </c>
      <c r="J2" s="4">
        <f>Hotel!V7</f>
        <v>4800</v>
      </c>
      <c r="K2" s="4">
        <f>Hotel!W7</f>
        <v>2570</v>
      </c>
      <c r="L2" s="4">
        <f>Hotel!X7</f>
        <v>5530</v>
      </c>
      <c r="M2" s="4">
        <f>Hotel!Y7</f>
        <v>5940</v>
      </c>
      <c r="N2" s="4">
        <f>Hotel!Z7</f>
        <v>3230</v>
      </c>
      <c r="O2" s="4">
        <f>Hotel!AA7</f>
        <v>3930</v>
      </c>
      <c r="P2" s="4">
        <f>Hotel!AB7</f>
        <v>8440</v>
      </c>
      <c r="Q2" s="4">
        <f>Hotel!AC7</f>
        <v>12060</v>
      </c>
      <c r="R2" s="4">
        <f>Hotel!AV7*0.00378541*100</f>
        <v>756.70345899999995</v>
      </c>
      <c r="S2" s="4">
        <f>Hotel!B7</f>
        <v>162</v>
      </c>
    </row>
    <row r="3" spans="1:19" x14ac:dyDescent="0.25">
      <c r="A3" s="21" t="s">
        <v>31</v>
      </c>
      <c r="B3" s="2">
        <f>B2+1</f>
        <v>2</v>
      </c>
      <c r="C3" s="3">
        <v>1</v>
      </c>
      <c r="D3" s="11">
        <v>2022</v>
      </c>
      <c r="E3" s="4">
        <f>Hotel!Q8</f>
        <v>520</v>
      </c>
      <c r="F3" s="4">
        <f>Hotel!R8</f>
        <v>7680</v>
      </c>
      <c r="G3" s="4">
        <f>Hotel!S8</f>
        <v>0</v>
      </c>
      <c r="H3" s="4">
        <f>Hotel!T8</f>
        <v>1250</v>
      </c>
      <c r="I3" s="4">
        <f>Hotel!U8</f>
        <v>5130</v>
      </c>
      <c r="J3" s="4">
        <f>Hotel!V8</f>
        <v>4000</v>
      </c>
      <c r="K3" s="4">
        <f>Hotel!W8</f>
        <v>2200</v>
      </c>
      <c r="L3" s="4">
        <f>Hotel!X8</f>
        <v>3730</v>
      </c>
      <c r="M3" s="4">
        <f>Hotel!Y8</f>
        <v>4450</v>
      </c>
      <c r="N3" s="4">
        <f>Hotel!Z8</f>
        <v>2420</v>
      </c>
      <c r="O3" s="4">
        <f>Hotel!AA8</f>
        <v>3370</v>
      </c>
      <c r="P3" s="4">
        <f>Hotel!AB8</f>
        <v>6818</v>
      </c>
      <c r="Q3" s="4">
        <f>Hotel!AC8</f>
        <v>9280</v>
      </c>
      <c r="R3" s="4">
        <f>Hotel!AV8*0.00378541*100</f>
        <v>623.83556799999997</v>
      </c>
      <c r="S3" s="4">
        <f>Hotel!B8</f>
        <v>72</v>
      </c>
    </row>
    <row r="4" spans="1:19" x14ac:dyDescent="0.25">
      <c r="A4" s="21" t="s">
        <v>31</v>
      </c>
      <c r="B4" s="2">
        <f t="shared" ref="B4:B29" si="0">B3+1</f>
        <v>3</v>
      </c>
      <c r="C4" s="3">
        <v>1</v>
      </c>
      <c r="D4" s="11">
        <v>2022</v>
      </c>
      <c r="E4" s="4">
        <f>Hotel!Q9</f>
        <v>550</v>
      </c>
      <c r="F4" s="4">
        <f>Hotel!R9</f>
        <v>7820</v>
      </c>
      <c r="G4" s="4">
        <f>Hotel!S9</f>
        <v>0</v>
      </c>
      <c r="H4" s="4">
        <f>Hotel!T9</f>
        <v>1340</v>
      </c>
      <c r="I4" s="4">
        <f>Hotel!U9</f>
        <v>5170</v>
      </c>
      <c r="J4" s="4">
        <f>Hotel!V9</f>
        <v>4290</v>
      </c>
      <c r="K4" s="4">
        <f>Hotel!W9</f>
        <v>2460</v>
      </c>
      <c r="L4" s="4">
        <f>Hotel!X9</f>
        <v>4400</v>
      </c>
      <c r="M4" s="4">
        <f>Hotel!Y9</f>
        <v>4710</v>
      </c>
      <c r="N4" s="4">
        <f>Hotel!Z9</f>
        <v>2450</v>
      </c>
      <c r="O4" s="4">
        <f>Hotel!AA9</f>
        <v>3300</v>
      </c>
      <c r="P4" s="4">
        <f>Hotel!AB9</f>
        <v>7142</v>
      </c>
      <c r="Q4" s="4">
        <f>Hotel!AC9</f>
        <v>10420</v>
      </c>
      <c r="R4" s="4">
        <f>Hotel!AV9*0.00378541*100</f>
        <v>514.05867799999999</v>
      </c>
      <c r="S4" s="4">
        <f>Hotel!B9</f>
        <v>45</v>
      </c>
    </row>
    <row r="5" spans="1:19" x14ac:dyDescent="0.25">
      <c r="A5" s="21" t="s">
        <v>31</v>
      </c>
      <c r="B5" s="2">
        <f t="shared" si="0"/>
        <v>4</v>
      </c>
      <c r="C5" s="3">
        <v>1</v>
      </c>
      <c r="D5" s="11">
        <v>2022</v>
      </c>
      <c r="E5" s="4">
        <f>Hotel!Q10</f>
        <v>570</v>
      </c>
      <c r="F5" s="4">
        <f>Hotel!R10</f>
        <v>7530</v>
      </c>
      <c r="G5" s="4">
        <f>Hotel!S10</f>
        <v>0</v>
      </c>
      <c r="H5" s="4">
        <f>Hotel!T10</f>
        <v>1370</v>
      </c>
      <c r="I5" s="4">
        <f>Hotel!U10</f>
        <v>5150</v>
      </c>
      <c r="J5" s="4">
        <f>Hotel!V10</f>
        <v>4440</v>
      </c>
      <c r="K5" s="4">
        <f>Hotel!W10</f>
        <v>2540</v>
      </c>
      <c r="L5" s="4">
        <f>Hotel!X10</f>
        <v>4570</v>
      </c>
      <c r="M5" s="4">
        <f>Hotel!Y10</f>
        <v>4730</v>
      </c>
      <c r="N5" s="4">
        <f>Hotel!Z10</f>
        <v>2520</v>
      </c>
      <c r="O5" s="4">
        <f>Hotel!AA10</f>
        <v>3160</v>
      </c>
      <c r="P5" s="4">
        <f>Hotel!AB10</f>
        <v>7150</v>
      </c>
      <c r="Q5" s="4">
        <f>Hotel!AC10</f>
        <v>11430</v>
      </c>
      <c r="R5" s="4">
        <f>Hotel!AV10*0.00378541*100</f>
        <v>575.76086099999998</v>
      </c>
      <c r="S5" s="4">
        <f>Hotel!B10</f>
        <v>60</v>
      </c>
    </row>
    <row r="6" spans="1:19" x14ac:dyDescent="0.25">
      <c r="A6" s="21" t="s">
        <v>31</v>
      </c>
      <c r="B6" s="2">
        <f t="shared" si="0"/>
        <v>5</v>
      </c>
      <c r="C6" s="3">
        <v>1</v>
      </c>
      <c r="D6" s="11">
        <v>2022</v>
      </c>
      <c r="E6" s="4">
        <f>Hotel!Q11</f>
        <v>560</v>
      </c>
      <c r="F6" s="4">
        <f>Hotel!R11</f>
        <v>7340</v>
      </c>
      <c r="G6" s="4">
        <f>Hotel!S11</f>
        <v>0</v>
      </c>
      <c r="H6" s="4">
        <f>Hotel!T11</f>
        <v>1330</v>
      </c>
      <c r="I6" s="4">
        <f>Hotel!U11</f>
        <v>5050</v>
      </c>
      <c r="J6" s="4">
        <f>Hotel!V11</f>
        <v>4350</v>
      </c>
      <c r="K6" s="4">
        <f>Hotel!W11</f>
        <v>2740</v>
      </c>
      <c r="L6" s="4">
        <f>Hotel!X11</f>
        <v>4830</v>
      </c>
      <c r="M6" s="4">
        <f>Hotel!Y11</f>
        <v>4900</v>
      </c>
      <c r="N6" s="4">
        <f>Hotel!Z11</f>
        <v>2570</v>
      </c>
      <c r="O6" s="4">
        <f>Hotel!AA11</f>
        <v>3180</v>
      </c>
      <c r="P6" s="4">
        <f>Hotel!AB11</f>
        <v>7180</v>
      </c>
      <c r="Q6" s="4">
        <f>Hotel!AC11</f>
        <v>9880</v>
      </c>
      <c r="R6" s="4">
        <f>Hotel!AV11*0.00378541*100</f>
        <v>454.62774100000001</v>
      </c>
      <c r="S6" s="4">
        <f>Hotel!B11</f>
        <v>60</v>
      </c>
    </row>
    <row r="7" spans="1:19" x14ac:dyDescent="0.25">
      <c r="A7" s="21" t="s">
        <v>31</v>
      </c>
      <c r="B7" s="2">
        <f t="shared" si="0"/>
        <v>6</v>
      </c>
      <c r="C7" s="3">
        <v>1</v>
      </c>
      <c r="D7" s="11">
        <v>2022</v>
      </c>
      <c r="E7" s="4">
        <f>Hotel!Q12</f>
        <v>620</v>
      </c>
      <c r="F7" s="4">
        <f>Hotel!R12</f>
        <v>8370</v>
      </c>
      <c r="G7" s="4">
        <f>Hotel!S12</f>
        <v>0</v>
      </c>
      <c r="H7" s="4">
        <f>Hotel!T12</f>
        <v>1490</v>
      </c>
      <c r="I7" s="4">
        <f>Hotel!U12</f>
        <v>5720</v>
      </c>
      <c r="J7" s="4">
        <f>Hotel!V12</f>
        <v>4960</v>
      </c>
      <c r="K7" s="4">
        <f>Hotel!W12</f>
        <v>3270</v>
      </c>
      <c r="L7" s="4">
        <f>Hotel!X12</f>
        <v>5400</v>
      </c>
      <c r="M7" s="4">
        <f>Hotel!Y12</f>
        <v>5560</v>
      </c>
      <c r="N7" s="4">
        <f>Hotel!Z12</f>
        <v>2870</v>
      </c>
      <c r="O7" s="4">
        <f>Hotel!AA12</f>
        <v>3580</v>
      </c>
      <c r="P7" s="4">
        <f>Hotel!AB12</f>
        <v>8150</v>
      </c>
      <c r="Q7" s="4">
        <f>Hotel!AC12</f>
        <v>12150</v>
      </c>
      <c r="R7" s="4">
        <f>Hotel!AV12*0.00378541*100</f>
        <v>498.15995600000002</v>
      </c>
      <c r="S7" s="4">
        <f>Hotel!B12</f>
        <v>99</v>
      </c>
    </row>
    <row r="8" spans="1:19" x14ac:dyDescent="0.25">
      <c r="A8" s="21" t="s">
        <v>31</v>
      </c>
      <c r="B8" s="2">
        <f t="shared" si="0"/>
        <v>7</v>
      </c>
      <c r="C8" s="3">
        <v>1</v>
      </c>
      <c r="D8" s="11">
        <v>2022</v>
      </c>
      <c r="E8" s="4">
        <f>Hotel!Q13</f>
        <v>560</v>
      </c>
      <c r="F8" s="4">
        <f>Hotel!R13</f>
        <v>8330</v>
      </c>
      <c r="G8" s="4">
        <f>Hotel!S13</f>
        <v>0</v>
      </c>
      <c r="H8" s="4">
        <f>Hotel!T13</f>
        <v>1340</v>
      </c>
      <c r="I8" s="4">
        <f>Hotel!U13</f>
        <v>5370</v>
      </c>
      <c r="J8" s="4">
        <f>Hotel!V13</f>
        <v>4585</v>
      </c>
      <c r="K8" s="4">
        <f>Hotel!W13</f>
        <v>2960</v>
      </c>
      <c r="L8" s="4">
        <f>Hotel!X13</f>
        <v>4850</v>
      </c>
      <c r="M8" s="4">
        <f>Hotel!Y13</f>
        <v>5410</v>
      </c>
      <c r="N8" s="4">
        <f>Hotel!Z13</f>
        <v>2720</v>
      </c>
      <c r="O8" s="4">
        <f>Hotel!AA13</f>
        <v>3220</v>
      </c>
      <c r="P8" s="4">
        <f>Hotel!AB13</f>
        <v>7410</v>
      </c>
      <c r="Q8" s="4">
        <f>Hotel!AC13</f>
        <v>12410</v>
      </c>
      <c r="R8" s="4">
        <f>Hotel!AV13*0.00378541*100</f>
        <v>510.27326799999997</v>
      </c>
      <c r="S8" s="4">
        <f>Hotel!B13</f>
        <v>117</v>
      </c>
    </row>
    <row r="9" spans="1:19" x14ac:dyDescent="0.25">
      <c r="A9" s="21" t="s">
        <v>31</v>
      </c>
      <c r="B9" s="2">
        <f t="shared" si="0"/>
        <v>8</v>
      </c>
      <c r="C9" s="3">
        <v>1</v>
      </c>
      <c r="D9" s="11">
        <v>2022</v>
      </c>
      <c r="E9" s="4">
        <f>Hotel!Q14</f>
        <v>550</v>
      </c>
      <c r="F9" s="4">
        <f>Hotel!R14</f>
        <v>8410</v>
      </c>
      <c r="G9" s="4">
        <f>Hotel!S14</f>
        <v>0</v>
      </c>
      <c r="H9" s="4">
        <f>Hotel!T14</f>
        <v>1350</v>
      </c>
      <c r="I9" s="4">
        <f>Hotel!U14</f>
        <v>5150</v>
      </c>
      <c r="J9" s="4">
        <f>Hotel!V14</f>
        <v>4515</v>
      </c>
      <c r="K9" s="4">
        <f>Hotel!W14</f>
        <v>2370</v>
      </c>
      <c r="L9" s="4">
        <f>Hotel!X14</f>
        <v>5050</v>
      </c>
      <c r="M9" s="4">
        <f>Hotel!Y14</f>
        <v>5210</v>
      </c>
      <c r="N9" s="4">
        <f>Hotel!Z14</f>
        <v>2650</v>
      </c>
      <c r="O9" s="4">
        <f>Hotel!AA14</f>
        <v>3220</v>
      </c>
      <c r="P9" s="4">
        <f>Hotel!AB14</f>
        <v>7190</v>
      </c>
      <c r="Q9" s="4">
        <f>Hotel!AC14</f>
        <v>11910</v>
      </c>
      <c r="R9" s="4">
        <f>Hotel!AV14*0.00378541*100</f>
        <v>710.52145700000005</v>
      </c>
      <c r="S9" s="4">
        <f>Hotel!B14</f>
        <v>79</v>
      </c>
    </row>
    <row r="10" spans="1:19" x14ac:dyDescent="0.25">
      <c r="A10" s="21" t="s">
        <v>31</v>
      </c>
      <c r="B10" s="2">
        <f t="shared" si="0"/>
        <v>9</v>
      </c>
      <c r="C10" s="3">
        <v>1</v>
      </c>
      <c r="D10" s="11">
        <v>2022</v>
      </c>
      <c r="E10" s="4">
        <f>Hotel!Q15</f>
        <v>550</v>
      </c>
      <c r="F10" s="4">
        <f>Hotel!R15</f>
        <v>8430</v>
      </c>
      <c r="G10" s="4">
        <f>Hotel!S15</f>
        <v>10</v>
      </c>
      <c r="H10" s="4">
        <f>Hotel!T15</f>
        <v>1350</v>
      </c>
      <c r="I10" s="4">
        <f>Hotel!U15</f>
        <v>4820</v>
      </c>
      <c r="J10" s="4">
        <f>Hotel!V15</f>
        <v>4130</v>
      </c>
      <c r="K10" s="4">
        <f>Hotel!W15</f>
        <v>2350</v>
      </c>
      <c r="L10" s="4">
        <f>Hotel!X15</f>
        <v>4190</v>
      </c>
      <c r="M10" s="4">
        <f>Hotel!Y15</f>
        <v>5250</v>
      </c>
      <c r="N10" s="4">
        <f>Hotel!Z15</f>
        <v>2530</v>
      </c>
      <c r="O10" s="4">
        <f>Hotel!AA15</f>
        <v>2910</v>
      </c>
      <c r="P10" s="4">
        <f>Hotel!AB15</f>
        <v>7220</v>
      </c>
      <c r="Q10" s="4">
        <f>Hotel!AC15</f>
        <v>11140</v>
      </c>
      <c r="R10" s="4">
        <f>Hotel!AV15*0.00378541*100</f>
        <v>587.495632</v>
      </c>
      <c r="S10" s="4">
        <f>Hotel!B15</f>
        <v>65</v>
      </c>
    </row>
    <row r="11" spans="1:19" x14ac:dyDescent="0.25">
      <c r="A11" s="21" t="s">
        <v>31</v>
      </c>
      <c r="B11" s="2">
        <f t="shared" si="0"/>
        <v>10</v>
      </c>
      <c r="C11" s="3">
        <v>1</v>
      </c>
      <c r="D11" s="11">
        <v>2022</v>
      </c>
      <c r="E11" s="4">
        <f>Hotel!Q16</f>
        <v>560</v>
      </c>
      <c r="F11" s="4">
        <f>Hotel!R16</f>
        <v>8580</v>
      </c>
      <c r="G11" s="4">
        <f>Hotel!S16</f>
        <v>0</v>
      </c>
      <c r="H11" s="4">
        <f>Hotel!T16</f>
        <v>1370</v>
      </c>
      <c r="I11" s="4">
        <f>Hotel!U16</f>
        <v>4730</v>
      </c>
      <c r="J11" s="4">
        <f>Hotel!V16</f>
        <v>4330</v>
      </c>
      <c r="K11" s="4">
        <f>Hotel!W16</f>
        <v>2330</v>
      </c>
      <c r="L11" s="4">
        <f>Hotel!X16</f>
        <v>4490</v>
      </c>
      <c r="M11" s="4">
        <f>Hotel!Y16</f>
        <v>5330</v>
      </c>
      <c r="N11" s="4">
        <f>Hotel!Z16</f>
        <v>2420</v>
      </c>
      <c r="O11" s="4">
        <f>Hotel!AA16</f>
        <v>2950</v>
      </c>
      <c r="P11" s="4">
        <f>Hotel!AB16</f>
        <v>6990</v>
      </c>
      <c r="Q11" s="4">
        <f>Hotel!AC16</f>
        <v>10650</v>
      </c>
      <c r="R11" s="4">
        <f>Hotel!AV16*0.00378541*100</f>
        <v>554.94110599999999</v>
      </c>
      <c r="S11" s="4">
        <f>Hotel!B16</f>
        <v>65</v>
      </c>
    </row>
    <row r="12" spans="1:19" x14ac:dyDescent="0.25">
      <c r="A12" s="21" t="s">
        <v>31</v>
      </c>
      <c r="B12" s="2">
        <f t="shared" si="0"/>
        <v>11</v>
      </c>
      <c r="C12" s="3">
        <v>1</v>
      </c>
      <c r="D12" s="11">
        <v>2022</v>
      </c>
      <c r="E12" s="4">
        <f>Hotel!Q17</f>
        <v>570</v>
      </c>
      <c r="F12" s="4">
        <f>Hotel!R17</f>
        <v>9280</v>
      </c>
      <c r="G12" s="4" t="str">
        <f>Hotel!S17</f>
        <v>0</v>
      </c>
      <c r="H12" s="4">
        <f>Hotel!T17</f>
        <v>1390</v>
      </c>
      <c r="I12" s="4">
        <f>Hotel!U17</f>
        <v>5030</v>
      </c>
      <c r="J12" s="4">
        <f>Hotel!V17</f>
        <v>4290</v>
      </c>
      <c r="K12" s="4">
        <f>Hotel!W17</f>
        <v>2510</v>
      </c>
      <c r="L12" s="4">
        <f>Hotel!X17</f>
        <v>4910</v>
      </c>
      <c r="M12" s="4">
        <f>Hotel!Y17</f>
        <v>5440</v>
      </c>
      <c r="N12" s="4">
        <f>Hotel!Z17</f>
        <v>2580</v>
      </c>
      <c r="O12" s="4">
        <f>Hotel!AA17</f>
        <v>3000</v>
      </c>
      <c r="P12" s="4">
        <f>Hotel!AB17</f>
        <v>7220</v>
      </c>
      <c r="Q12" s="4">
        <f>Hotel!AC17</f>
        <v>11380</v>
      </c>
      <c r="R12" s="4">
        <f>Hotel!AV17*0.00378541*100</f>
        <v>548.50590899999997</v>
      </c>
      <c r="S12" s="4">
        <f>Hotel!B17</f>
        <v>61</v>
      </c>
    </row>
    <row r="13" spans="1:19" x14ac:dyDescent="0.25">
      <c r="A13" s="21" t="s">
        <v>31</v>
      </c>
      <c r="B13" s="2">
        <f t="shared" si="0"/>
        <v>12</v>
      </c>
      <c r="C13" s="3">
        <v>1</v>
      </c>
      <c r="D13" s="11">
        <v>2022</v>
      </c>
      <c r="E13" s="4">
        <f>Hotel!Q18</f>
        <v>570</v>
      </c>
      <c r="F13" s="4">
        <f>Hotel!R18</f>
        <v>9920</v>
      </c>
      <c r="G13" s="4">
        <f>Hotel!S18</f>
        <v>0</v>
      </c>
      <c r="H13" s="4">
        <f>Hotel!T18</f>
        <v>1400</v>
      </c>
      <c r="I13" s="4">
        <f>Hotel!U18</f>
        <v>4930</v>
      </c>
      <c r="J13" s="4">
        <f>Hotel!V18</f>
        <v>4240</v>
      </c>
      <c r="K13" s="4">
        <f>Hotel!W18</f>
        <v>2440</v>
      </c>
      <c r="L13" s="4">
        <f>Hotel!X18</f>
        <v>4900</v>
      </c>
      <c r="M13" s="4">
        <f>Hotel!Y18</f>
        <v>5550</v>
      </c>
      <c r="N13" s="4">
        <f>Hotel!Z18</f>
        <v>2570</v>
      </c>
      <c r="O13" s="4">
        <f>Hotel!AA18</f>
        <v>2850</v>
      </c>
      <c r="P13" s="4">
        <f>Hotel!AB18</f>
        <v>7320</v>
      </c>
      <c r="Q13" s="4">
        <f>Hotel!AC18</f>
        <v>9590</v>
      </c>
      <c r="R13" s="4">
        <f>Hotel!AV18*0.00378541*100</f>
        <v>522.76512099999991</v>
      </c>
      <c r="S13" s="4">
        <f>Hotel!B18</f>
        <v>68</v>
      </c>
    </row>
    <row r="14" spans="1:19" x14ac:dyDescent="0.25">
      <c r="A14" s="21" t="s">
        <v>31</v>
      </c>
      <c r="B14" s="2">
        <f t="shared" si="0"/>
        <v>13</v>
      </c>
      <c r="C14" s="3">
        <v>1</v>
      </c>
      <c r="D14" s="11">
        <v>2022</v>
      </c>
      <c r="E14" s="4">
        <f>Hotel!Q19</f>
        <v>570</v>
      </c>
      <c r="F14" s="4">
        <f>Hotel!R19</f>
        <v>10270</v>
      </c>
      <c r="G14" s="4">
        <f>Hotel!S19</f>
        <v>0</v>
      </c>
      <c r="H14" s="4">
        <f>Hotel!T19</f>
        <v>1430</v>
      </c>
      <c r="I14" s="4">
        <f>Hotel!U19</f>
        <v>5230</v>
      </c>
      <c r="J14" s="4">
        <f>Hotel!V19</f>
        <v>4450</v>
      </c>
      <c r="K14" s="4">
        <f>Hotel!W19</f>
        <v>2520</v>
      </c>
      <c r="L14" s="4">
        <f>Hotel!X19</f>
        <v>4920</v>
      </c>
      <c r="M14" s="4">
        <f>Hotel!Y19</f>
        <v>5960</v>
      </c>
      <c r="N14" s="4">
        <f>Hotel!Z19</f>
        <v>2590</v>
      </c>
      <c r="O14" s="4">
        <f>Hotel!AA19</f>
        <v>3140</v>
      </c>
      <c r="P14" s="4">
        <f>Hotel!AB19</f>
        <v>7450</v>
      </c>
      <c r="Q14" s="4">
        <f>Hotel!AC19</f>
        <v>10850</v>
      </c>
      <c r="R14" s="4">
        <f>Hotel!AV19*0.00378541*100</f>
        <v>623.45702700000004</v>
      </c>
      <c r="S14" s="4">
        <f>Hotel!B19</f>
        <v>87</v>
      </c>
    </row>
    <row r="15" spans="1:19" x14ac:dyDescent="0.25">
      <c r="A15" s="21" t="s">
        <v>31</v>
      </c>
      <c r="B15" s="2">
        <f t="shared" si="0"/>
        <v>14</v>
      </c>
      <c r="C15" s="3">
        <v>1</v>
      </c>
      <c r="D15" s="11">
        <v>2022</v>
      </c>
      <c r="E15" s="4">
        <f>Hotel!Q20</f>
        <v>530</v>
      </c>
      <c r="F15" s="4">
        <f>Hotel!R20</f>
        <v>9020</v>
      </c>
      <c r="G15" s="4">
        <f>Hotel!S20</f>
        <v>0</v>
      </c>
      <c r="H15" s="4">
        <f>Hotel!T20</f>
        <v>1320</v>
      </c>
      <c r="I15" s="4">
        <f>Hotel!U20</f>
        <v>4740</v>
      </c>
      <c r="J15" s="4">
        <f>Hotel!V20</f>
        <v>4250</v>
      </c>
      <c r="K15" s="4">
        <f>Hotel!W20</f>
        <v>2300</v>
      </c>
      <c r="L15" s="4">
        <f>Hotel!X20</f>
        <v>4520</v>
      </c>
      <c r="M15" s="4">
        <f>Hotel!Y20</f>
        <v>5060</v>
      </c>
      <c r="N15" s="4">
        <f>Hotel!Z20</f>
        <v>2460</v>
      </c>
      <c r="O15" s="4">
        <f>Hotel!AA20</f>
        <v>3110</v>
      </c>
      <c r="P15" s="4">
        <f>Hotel!AB20</f>
        <v>6850</v>
      </c>
      <c r="Q15" s="4">
        <f>Hotel!AC20</f>
        <v>11480</v>
      </c>
      <c r="R15" s="4">
        <f>Hotel!AV20*0.00378541*100</f>
        <v>508.38056299999994</v>
      </c>
      <c r="S15" s="4">
        <f>Hotel!B20</f>
        <v>88</v>
      </c>
    </row>
    <row r="16" spans="1:19" x14ac:dyDescent="0.25">
      <c r="A16" s="21" t="s">
        <v>31</v>
      </c>
      <c r="B16" s="2">
        <f t="shared" si="0"/>
        <v>15</v>
      </c>
      <c r="C16" s="3">
        <v>1</v>
      </c>
      <c r="D16" s="11">
        <v>2022</v>
      </c>
      <c r="E16" s="4">
        <f>Hotel!Q21</f>
        <v>550</v>
      </c>
      <c r="F16" s="4">
        <f>Hotel!R21</f>
        <v>8950</v>
      </c>
      <c r="G16" s="4">
        <f>Hotel!S21</f>
        <v>0</v>
      </c>
      <c r="H16" s="4">
        <f>Hotel!T21</f>
        <v>1350</v>
      </c>
      <c r="I16" s="4">
        <f>Hotel!U21</f>
        <v>5170</v>
      </c>
      <c r="J16" s="4">
        <f>Hotel!V21</f>
        <v>4400</v>
      </c>
      <c r="K16" s="4">
        <f>Hotel!W21</f>
        <v>2410</v>
      </c>
      <c r="L16" s="4">
        <f>Hotel!X21</f>
        <v>4490</v>
      </c>
      <c r="M16" s="4">
        <f>Hotel!Y21</f>
        <v>4760</v>
      </c>
      <c r="N16" s="4">
        <f>Hotel!Z21</f>
        <v>2450</v>
      </c>
      <c r="O16" s="4">
        <f>Hotel!AA21</f>
        <v>3060</v>
      </c>
      <c r="P16" s="4">
        <f>Hotel!AB21</f>
        <v>6810</v>
      </c>
      <c r="Q16" s="4">
        <f>Hotel!AC21</f>
        <v>11490</v>
      </c>
      <c r="R16" s="4">
        <f>Hotel!AV21*0.00378541*100</f>
        <v>1051.9654390000001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3">
        <v>1</v>
      </c>
      <c r="D17" s="11">
        <v>2022</v>
      </c>
      <c r="E17" s="4">
        <f>Hotel!Q22</f>
        <v>570</v>
      </c>
      <c r="F17" s="4">
        <f>Hotel!R22</f>
        <v>9260</v>
      </c>
      <c r="G17" s="4">
        <f>Hotel!S22</f>
        <v>0</v>
      </c>
      <c r="H17" s="4">
        <f>Hotel!T22</f>
        <v>1430</v>
      </c>
      <c r="I17" s="4">
        <f>Hotel!U22</f>
        <v>4970</v>
      </c>
      <c r="J17" s="4">
        <f>Hotel!V22</f>
        <v>4390</v>
      </c>
      <c r="K17" s="4">
        <f>Hotel!W22</f>
        <v>2520</v>
      </c>
      <c r="L17" s="4">
        <f>Hotel!X22</f>
        <v>4710</v>
      </c>
      <c r="M17" s="4">
        <f>Hotel!Y22</f>
        <v>4950</v>
      </c>
      <c r="N17" s="4">
        <f>Hotel!Z22</f>
        <v>2440</v>
      </c>
      <c r="O17" s="4">
        <f>Hotel!AA22</f>
        <v>3020</v>
      </c>
      <c r="P17" s="4">
        <f>Hotel!AB22</f>
        <v>7280</v>
      </c>
      <c r="Q17" s="4">
        <f>Hotel!AC22</f>
        <v>11910</v>
      </c>
      <c r="R17" s="4">
        <f>Hotel!AV22*0.00378541*100</f>
        <v>599.60894399999995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3">
        <v>1</v>
      </c>
      <c r="D18" s="11">
        <v>2022</v>
      </c>
      <c r="E18" s="4" t="str">
        <f>Hotel!Q23</f>
        <v>0</v>
      </c>
      <c r="F18" s="4" t="str">
        <f>Hotel!R23</f>
        <v>0</v>
      </c>
      <c r="G18" s="4" t="str">
        <f>Hotel!S23</f>
        <v>0</v>
      </c>
      <c r="H18" s="4" t="str">
        <f>Hotel!T23</f>
        <v>0</v>
      </c>
      <c r="I18" s="4" t="str">
        <f>Hotel!U23</f>
        <v>0</v>
      </c>
      <c r="J18" s="4" t="str">
        <f>Hotel!V23</f>
        <v>0</v>
      </c>
      <c r="K18" s="4" t="str">
        <f>Hotel!W23</f>
        <v>0</v>
      </c>
      <c r="L18" s="4" t="str">
        <f>Hotel!X23</f>
        <v>0</v>
      </c>
      <c r="M18" s="4" t="str">
        <f>Hotel!Y23</f>
        <v>0</v>
      </c>
      <c r="N18" s="4" t="str">
        <f>Hotel!Z23</f>
        <v>0</v>
      </c>
      <c r="O18" s="4" t="str">
        <f>Hotel!AA23</f>
        <v>0</v>
      </c>
      <c r="P18" s="4" t="str">
        <f>Hotel!AB23</f>
        <v>0</v>
      </c>
      <c r="Q18" s="4" t="str">
        <f>Hotel!AC23</f>
        <v>0</v>
      </c>
      <c r="R18" s="4">
        <f>Hotel!AV23*0.00378541*100</f>
        <v>0</v>
      </c>
      <c r="S18" s="4">
        <f>Hotel!B23</f>
        <v>0</v>
      </c>
    </row>
    <row r="19" spans="1:19" x14ac:dyDescent="0.25">
      <c r="A19" s="21" t="s">
        <v>31</v>
      </c>
      <c r="B19" s="2">
        <f t="shared" si="0"/>
        <v>18</v>
      </c>
      <c r="C19" s="3">
        <v>1</v>
      </c>
      <c r="D19" s="11">
        <v>2022</v>
      </c>
      <c r="E19" s="4">
        <f>Hotel!Q24</f>
        <v>0</v>
      </c>
      <c r="F19" s="4">
        <f>Hotel!R24</f>
        <v>0</v>
      </c>
      <c r="G19" s="4">
        <f>Hotel!S24</f>
        <v>0</v>
      </c>
      <c r="H19" s="4">
        <f>Hotel!T24</f>
        <v>0</v>
      </c>
      <c r="I19" s="4">
        <f>Hotel!U24</f>
        <v>0</v>
      </c>
      <c r="J19" s="4">
        <f>Hotel!V24</f>
        <v>0</v>
      </c>
      <c r="K19" s="4">
        <f>Hotel!W24</f>
        <v>0</v>
      </c>
      <c r="L19" s="4">
        <f>Hotel!X24</f>
        <v>0</v>
      </c>
      <c r="M19" s="4">
        <f>Hotel!Y24</f>
        <v>0</v>
      </c>
      <c r="N19" s="4">
        <f>Hotel!Z24</f>
        <v>0</v>
      </c>
      <c r="O19" s="4">
        <f>Hotel!AA24</f>
        <v>0</v>
      </c>
      <c r="P19" s="4">
        <f>Hotel!AB24</f>
        <v>0</v>
      </c>
      <c r="Q19" s="4">
        <f>Hotel!AC24</f>
        <v>0</v>
      </c>
      <c r="R19" s="4">
        <f>Hotel!AV24*0.00378541*100</f>
        <v>0</v>
      </c>
      <c r="S19" s="4">
        <f>Hotel!B24</f>
        <v>0</v>
      </c>
    </row>
    <row r="20" spans="1:19" x14ac:dyDescent="0.25">
      <c r="A20" s="21" t="s">
        <v>31</v>
      </c>
      <c r="B20" s="2">
        <f t="shared" si="0"/>
        <v>19</v>
      </c>
      <c r="C20" s="3">
        <v>1</v>
      </c>
      <c r="D20" s="11">
        <v>2022</v>
      </c>
      <c r="E20" s="4">
        <f>Hotel!Q25</f>
        <v>0</v>
      </c>
      <c r="F20" s="4">
        <f>Hotel!R25</f>
        <v>0</v>
      </c>
      <c r="G20" s="4">
        <f>Hotel!S25</f>
        <v>0</v>
      </c>
      <c r="H20" s="4">
        <f>Hotel!T25</f>
        <v>0</v>
      </c>
      <c r="I20" s="4">
        <f>Hotel!U25</f>
        <v>0</v>
      </c>
      <c r="J20" s="4">
        <f>Hotel!V25</f>
        <v>0</v>
      </c>
      <c r="K20" s="4">
        <f>Hotel!W25</f>
        <v>0</v>
      </c>
      <c r="L20" s="4">
        <f>Hotel!X25</f>
        <v>0</v>
      </c>
      <c r="M20" s="4">
        <f>Hotel!Y25</f>
        <v>0</v>
      </c>
      <c r="N20" s="4">
        <f>Hotel!Z25</f>
        <v>0</v>
      </c>
      <c r="O20" s="4">
        <f>Hotel!AA25</f>
        <v>0</v>
      </c>
      <c r="P20" s="4">
        <f>Hotel!AB25</f>
        <v>0</v>
      </c>
      <c r="Q20" s="4">
        <f>Hotel!AC25</f>
        <v>0</v>
      </c>
      <c r="R20" s="4">
        <f>Hotel!AV25*0.00378541*100</f>
        <v>0</v>
      </c>
      <c r="S20" s="4">
        <f>Hotel!B25</f>
        <v>0</v>
      </c>
    </row>
    <row r="21" spans="1:19" x14ac:dyDescent="0.25">
      <c r="A21" s="21" t="s">
        <v>31</v>
      </c>
      <c r="B21" s="2">
        <f t="shared" si="0"/>
        <v>20</v>
      </c>
      <c r="C21" s="3">
        <v>1</v>
      </c>
      <c r="D21" s="11">
        <v>2022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3">
        <v>1</v>
      </c>
      <c r="D22" s="11">
        <v>2022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3">
        <v>1</v>
      </c>
      <c r="D23" s="11">
        <v>2022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3">
        <v>1</v>
      </c>
      <c r="D24" s="11">
        <v>2022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3">
        <v>1</v>
      </c>
      <c r="D25" s="11">
        <v>2022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3">
        <v>1</v>
      </c>
      <c r="D26" s="11">
        <v>2022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3">
        <v>1</v>
      </c>
      <c r="D27" s="11">
        <v>2022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3">
        <v>1</v>
      </c>
      <c r="D28" s="11">
        <v>2022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3">
        <v>1</v>
      </c>
      <c r="D29" s="11">
        <v>2022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3">
        <v>1</v>
      </c>
      <c r="D30" s="11">
        <v>2022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3">
        <v>1</v>
      </c>
      <c r="D31" s="11">
        <v>2022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3">
        <v>1</v>
      </c>
      <c r="D32" s="11">
        <v>2022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AG1" zoomScale="93" zoomScaleNormal="93" workbookViewId="0">
      <selection activeCell="AU22" sqref="AU22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44561</v>
      </c>
      <c r="B2" s="40">
        <v>225</v>
      </c>
      <c r="C2" s="24">
        <v>7465040</v>
      </c>
      <c r="D2" s="24">
        <v>17766030</v>
      </c>
      <c r="E2" s="24">
        <v>3198950</v>
      </c>
      <c r="F2" s="24">
        <v>3832620</v>
      </c>
      <c r="G2" s="24">
        <v>11291260</v>
      </c>
      <c r="H2" s="24">
        <v>6279620</v>
      </c>
      <c r="I2" s="24">
        <v>5573310</v>
      </c>
      <c r="J2" s="24">
        <v>6819870</v>
      </c>
      <c r="K2" s="24">
        <v>10307570</v>
      </c>
      <c r="L2" s="24">
        <v>4367120</v>
      </c>
      <c r="M2" s="24">
        <v>8542810</v>
      </c>
      <c r="N2" s="24">
        <v>13505240</v>
      </c>
      <c r="O2" s="24">
        <v>18730910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463647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7" t="s">
        <v>23</v>
      </c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Q4" s="59" t="s">
        <v>24</v>
      </c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1"/>
      <c r="AD4" s="28" t="s">
        <v>25</v>
      </c>
      <c r="AF4" s="62" t="s">
        <v>26</v>
      </c>
      <c r="AG4" s="62"/>
      <c r="AH4" s="62"/>
      <c r="AI4" s="62"/>
      <c r="AJ4" s="62"/>
      <c r="AK4" s="62"/>
      <c r="AL4" s="62"/>
      <c r="AM4" s="62"/>
      <c r="AN4" s="62"/>
      <c r="AO4" s="62"/>
      <c r="AP4" s="62"/>
      <c r="AQ4" s="62"/>
      <c r="AR4" s="62"/>
      <c r="AS4" s="29" t="s">
        <v>27</v>
      </c>
      <c r="AU4" s="54" t="s">
        <v>28</v>
      </c>
      <c r="AV4" s="55" t="s">
        <v>29</v>
      </c>
      <c r="AW4" s="56" t="s">
        <v>30</v>
      </c>
    </row>
    <row r="5" spans="1:49" ht="15.75" x14ac:dyDescent="0.25">
      <c r="A5" s="30">
        <v>2022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4"/>
      <c r="AV5" s="55"/>
      <c r="AW5" s="56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463647</v>
      </c>
    </row>
    <row r="7" spans="1:49" x14ac:dyDescent="0.25">
      <c r="A7" s="23">
        <v>44562</v>
      </c>
      <c r="B7" s="40">
        <v>162</v>
      </c>
      <c r="C7" s="24">
        <v>7465650</v>
      </c>
      <c r="D7" s="24">
        <v>17775220</v>
      </c>
      <c r="E7" s="24">
        <v>3198950</v>
      </c>
      <c r="F7" s="24">
        <v>3834110</v>
      </c>
      <c r="G7" s="24">
        <v>11298710</v>
      </c>
      <c r="H7" s="24">
        <v>6284420</v>
      </c>
      <c r="I7" s="24">
        <v>5575880</v>
      </c>
      <c r="J7" s="24">
        <v>6825400</v>
      </c>
      <c r="K7" s="24">
        <v>10313510</v>
      </c>
      <c r="L7" s="24">
        <v>4370350</v>
      </c>
      <c r="M7" s="24">
        <v>8546740</v>
      </c>
      <c r="N7" s="24">
        <v>13513680</v>
      </c>
      <c r="O7" s="24">
        <v>18742970</v>
      </c>
      <c r="Q7" s="37">
        <f>IF((C7-C2&lt;0), "0",C7-C2)</f>
        <v>610</v>
      </c>
      <c r="R7" s="37">
        <f t="shared" ref="R7:AC7" si="0">IF((D7-D2&lt;0), "0",D7-D2)</f>
        <v>9190</v>
      </c>
      <c r="S7" s="37">
        <f>IF((E7-E2&lt;0), "0",E7-E2)</f>
        <v>0</v>
      </c>
      <c r="T7" s="37">
        <f t="shared" si="0"/>
        <v>1490</v>
      </c>
      <c r="U7" s="37">
        <f t="shared" si="0"/>
        <v>7450</v>
      </c>
      <c r="V7" s="37">
        <f t="shared" si="0"/>
        <v>4800</v>
      </c>
      <c r="W7" s="37">
        <f t="shared" si="0"/>
        <v>2570</v>
      </c>
      <c r="X7" s="37">
        <f t="shared" si="0"/>
        <v>5530</v>
      </c>
      <c r="Y7" s="37">
        <f t="shared" si="0"/>
        <v>5940</v>
      </c>
      <c r="Z7" s="37">
        <f t="shared" si="0"/>
        <v>3230</v>
      </c>
      <c r="AA7" s="37">
        <f t="shared" si="0"/>
        <v>3930</v>
      </c>
      <c r="AB7" s="37">
        <f t="shared" si="0"/>
        <v>8440</v>
      </c>
      <c r="AC7" s="37">
        <f t="shared" si="0"/>
        <v>12060</v>
      </c>
      <c r="AD7" s="34">
        <f>SUM(Q7:AC7)</f>
        <v>65240</v>
      </c>
      <c r="AF7" s="20">
        <f t="shared" ref="AF7:AF36" si="1">Q7*$D$39</f>
        <v>3.0500000000000003</v>
      </c>
      <c r="AG7" s="20">
        <f t="shared" ref="AG7:AG36" si="2">R7*$D$39</f>
        <v>45.95</v>
      </c>
      <c r="AH7" s="20">
        <f t="shared" ref="AH7:AH36" si="3">S7*$D$39</f>
        <v>0</v>
      </c>
      <c r="AI7" s="20">
        <f t="shared" ref="AI7:AI36" si="4">T7*$D$39</f>
        <v>7.45</v>
      </c>
      <c r="AJ7" s="20">
        <f t="shared" ref="AJ7:AJ36" si="5">U7*$D$39</f>
        <v>37.25</v>
      </c>
      <c r="AK7" s="20">
        <f t="shared" ref="AK7:AK36" si="6">V7*$D$39</f>
        <v>24</v>
      </c>
      <c r="AL7" s="20">
        <f t="shared" ref="AL7:AL36" si="7">W7*$D$39</f>
        <v>12.85</v>
      </c>
      <c r="AM7" s="20">
        <f t="shared" ref="AM7:AM36" si="8">X7*$D$39</f>
        <v>27.650000000000002</v>
      </c>
      <c r="AN7" s="20">
        <f t="shared" ref="AN7:AN36" si="9">Y7*$D$39</f>
        <v>29.7</v>
      </c>
      <c r="AO7" s="20">
        <f t="shared" ref="AO7:AO36" si="10">Z7*$D$39</f>
        <v>16.149999999999999</v>
      </c>
      <c r="AP7" s="20">
        <f t="shared" ref="AP7:AP36" si="11">AA7*$D$39</f>
        <v>19.650000000000002</v>
      </c>
      <c r="AQ7" s="20">
        <f t="shared" ref="AQ7:AQ36" si="12">AB7*$D$39</f>
        <v>42.2</v>
      </c>
      <c r="AR7" s="20">
        <f t="shared" ref="AR7:AR36" si="13">AC7*$D$39</f>
        <v>60.300000000000004</v>
      </c>
      <c r="AS7" s="35">
        <f>SUM(AF7:AR7)</f>
        <v>326.20000000000005</v>
      </c>
      <c r="AU7" s="47">
        <v>465646</v>
      </c>
      <c r="AV7" s="37">
        <f>IF((AU7-AU6&lt;0),"0",AU7-AU6)</f>
        <v>1999</v>
      </c>
      <c r="AW7" s="35">
        <f t="shared" ref="AW7:AW35" si="14">AV7*$D$40</f>
        <v>3.9980000000000002</v>
      </c>
    </row>
    <row r="8" spans="1:49" x14ac:dyDescent="0.25">
      <c r="A8" s="23">
        <v>44563</v>
      </c>
      <c r="B8" s="40">
        <v>72</v>
      </c>
      <c r="C8" s="24">
        <v>7466170</v>
      </c>
      <c r="D8" s="24">
        <v>17782900</v>
      </c>
      <c r="E8" s="24">
        <v>3198950</v>
      </c>
      <c r="F8" s="24">
        <v>3835360</v>
      </c>
      <c r="G8" s="24">
        <v>11303840</v>
      </c>
      <c r="H8" s="24">
        <v>6288420</v>
      </c>
      <c r="I8" s="24">
        <v>5578080</v>
      </c>
      <c r="J8" s="24">
        <v>6829130</v>
      </c>
      <c r="K8" s="24">
        <v>10317960</v>
      </c>
      <c r="L8" s="24">
        <v>4372770</v>
      </c>
      <c r="M8" s="24">
        <v>8550110</v>
      </c>
      <c r="N8" s="24">
        <v>13520498</v>
      </c>
      <c r="O8" s="24">
        <v>18752250</v>
      </c>
      <c r="Q8" s="37">
        <f>IF((C8-C7&lt;0), "0",C8-C7)</f>
        <v>520</v>
      </c>
      <c r="R8" s="37">
        <f t="shared" ref="R8:AC8" si="15">IF((D8-D7&lt;0), "0",D8-D7)</f>
        <v>7680</v>
      </c>
      <c r="S8" s="37">
        <f t="shared" ref="S8:S35" si="16">IF((E8-E7&lt;0), "0",E8-E7)</f>
        <v>0</v>
      </c>
      <c r="T8" s="37">
        <f t="shared" si="15"/>
        <v>1250</v>
      </c>
      <c r="U8" s="37">
        <f t="shared" si="15"/>
        <v>5130</v>
      </c>
      <c r="V8" s="37">
        <f t="shared" si="15"/>
        <v>4000</v>
      </c>
      <c r="W8" s="37">
        <f t="shared" si="15"/>
        <v>2200</v>
      </c>
      <c r="X8" s="37">
        <f t="shared" si="15"/>
        <v>3730</v>
      </c>
      <c r="Y8" s="37">
        <f t="shared" si="15"/>
        <v>4450</v>
      </c>
      <c r="Z8" s="37">
        <f t="shared" si="15"/>
        <v>2420</v>
      </c>
      <c r="AA8" s="37">
        <f t="shared" si="15"/>
        <v>3370</v>
      </c>
      <c r="AB8" s="37">
        <f t="shared" si="15"/>
        <v>6818</v>
      </c>
      <c r="AC8" s="37">
        <f t="shared" si="15"/>
        <v>9280</v>
      </c>
      <c r="AD8" s="35">
        <f>SUM(Q8:AC8)</f>
        <v>50848</v>
      </c>
      <c r="AF8" s="20">
        <f t="shared" si="1"/>
        <v>2.6</v>
      </c>
      <c r="AG8" s="20">
        <f t="shared" si="2"/>
        <v>38.4</v>
      </c>
      <c r="AH8" s="20">
        <f t="shared" si="3"/>
        <v>0</v>
      </c>
      <c r="AI8" s="20">
        <f t="shared" si="4"/>
        <v>6.25</v>
      </c>
      <c r="AJ8" s="20">
        <f t="shared" si="5"/>
        <v>25.650000000000002</v>
      </c>
      <c r="AK8" s="20">
        <f t="shared" si="6"/>
        <v>20</v>
      </c>
      <c r="AL8" s="20">
        <f t="shared" si="7"/>
        <v>11</v>
      </c>
      <c r="AM8" s="20">
        <f t="shared" si="8"/>
        <v>18.650000000000002</v>
      </c>
      <c r="AN8" s="20">
        <f t="shared" si="9"/>
        <v>22.25</v>
      </c>
      <c r="AO8" s="20">
        <f t="shared" si="10"/>
        <v>12.1</v>
      </c>
      <c r="AP8" s="20">
        <f t="shared" si="11"/>
        <v>16.850000000000001</v>
      </c>
      <c r="AQ8" s="20">
        <f t="shared" si="12"/>
        <v>34.090000000000003</v>
      </c>
      <c r="AR8" s="20">
        <f t="shared" si="13"/>
        <v>46.4</v>
      </c>
      <c r="AS8" s="35">
        <f>SUM(AF8:AR8)</f>
        <v>254.24</v>
      </c>
      <c r="AU8" s="47">
        <v>467294</v>
      </c>
      <c r="AV8" s="37">
        <f>IF((AU8-AU7&lt;0),"0",AU8-AU7)</f>
        <v>1648</v>
      </c>
      <c r="AW8" s="35">
        <f t="shared" si="14"/>
        <v>3.2960000000000003</v>
      </c>
    </row>
    <row r="9" spans="1:49" x14ac:dyDescent="0.25">
      <c r="A9" s="23">
        <v>44564</v>
      </c>
      <c r="B9" s="40">
        <v>45</v>
      </c>
      <c r="C9" s="24">
        <v>7466720</v>
      </c>
      <c r="D9" s="24">
        <v>17790720</v>
      </c>
      <c r="E9" s="24">
        <v>3198950</v>
      </c>
      <c r="F9" s="24">
        <v>3836700</v>
      </c>
      <c r="G9" s="24">
        <v>11309010</v>
      </c>
      <c r="H9" s="24">
        <v>6292710</v>
      </c>
      <c r="I9" s="24">
        <v>5580540</v>
      </c>
      <c r="J9" s="24">
        <v>6833530</v>
      </c>
      <c r="K9" s="24">
        <v>10322670</v>
      </c>
      <c r="L9" s="24">
        <v>4375220</v>
      </c>
      <c r="M9" s="24">
        <v>8553410</v>
      </c>
      <c r="N9" s="24">
        <v>13527640</v>
      </c>
      <c r="O9" s="24">
        <v>18762670</v>
      </c>
      <c r="Q9" s="37">
        <f t="shared" ref="Q9:Q30" si="17">IF((C9-C8&lt;0), "0",C9-C8)</f>
        <v>550</v>
      </c>
      <c r="R9" s="37">
        <f t="shared" ref="R9:R35" si="18">IF((D9-D8&lt;0), "0",D9-D8)</f>
        <v>7820</v>
      </c>
      <c r="S9" s="37">
        <f t="shared" si="16"/>
        <v>0</v>
      </c>
      <c r="T9" s="37">
        <f t="shared" ref="T9:T35" si="19">IF((F9-F8&lt;0), "0",F9-F8)</f>
        <v>1340</v>
      </c>
      <c r="U9" s="37">
        <f t="shared" ref="U9:U35" si="20">IF((G9-G8&lt;0), "0",G9-G8)</f>
        <v>5170</v>
      </c>
      <c r="V9" s="37">
        <f t="shared" ref="V9:V35" si="21">IF((H9-H8&lt;0), "0",H9-H8)</f>
        <v>4290</v>
      </c>
      <c r="W9" s="37">
        <f t="shared" ref="W9:W35" si="22">IF((I9-I8&lt;0), "0",I9-I8)</f>
        <v>2460</v>
      </c>
      <c r="X9" s="37">
        <f t="shared" ref="X9:X35" si="23">IF((J9-J8&lt;0), "0",J9-J8)</f>
        <v>4400</v>
      </c>
      <c r="Y9" s="37">
        <f t="shared" ref="Y9:Y35" si="24">IF((K9-K8&lt;0), "0",K9-K8)</f>
        <v>4710</v>
      </c>
      <c r="Z9" s="37">
        <f t="shared" ref="Z9:Z35" si="25">IF((L9-L8&lt;0), "0",L9-L8)</f>
        <v>2450</v>
      </c>
      <c r="AA9" s="37">
        <f t="shared" ref="AA9:AA35" si="26">IF((M9-M8&lt;0), "0",M9-M8)</f>
        <v>3300</v>
      </c>
      <c r="AB9" s="37">
        <f t="shared" ref="AB9:AB37" si="27">IF((N9-N8&lt;0), "0",N9-N8)</f>
        <v>7142</v>
      </c>
      <c r="AC9" s="37">
        <f t="shared" ref="AC9:AC37" si="28">IF((O9-O8&lt;0), "0",O9-O8)</f>
        <v>10420</v>
      </c>
      <c r="AD9" s="35">
        <f t="shared" ref="AD9:AD37" si="29">SUM(Q9:AC9)</f>
        <v>54052</v>
      </c>
      <c r="AF9" s="20">
        <f t="shared" si="1"/>
        <v>2.75</v>
      </c>
      <c r="AG9" s="20">
        <f t="shared" si="2"/>
        <v>39.1</v>
      </c>
      <c r="AH9" s="20">
        <f t="shared" si="3"/>
        <v>0</v>
      </c>
      <c r="AI9" s="20">
        <f t="shared" si="4"/>
        <v>6.7</v>
      </c>
      <c r="AJ9" s="20">
        <f t="shared" si="5"/>
        <v>25.85</v>
      </c>
      <c r="AK9" s="20">
        <f t="shared" si="6"/>
        <v>21.45</v>
      </c>
      <c r="AL9" s="20">
        <f t="shared" si="7"/>
        <v>12.3</v>
      </c>
      <c r="AM9" s="20">
        <f t="shared" si="8"/>
        <v>22</v>
      </c>
      <c r="AN9" s="20">
        <f t="shared" si="9"/>
        <v>23.55</v>
      </c>
      <c r="AO9" s="20">
        <f t="shared" si="10"/>
        <v>12.25</v>
      </c>
      <c r="AP9" s="20">
        <f t="shared" si="11"/>
        <v>16.5</v>
      </c>
      <c r="AQ9" s="20">
        <f t="shared" si="12"/>
        <v>35.71</v>
      </c>
      <c r="AR9" s="20">
        <f t="shared" si="13"/>
        <v>52.1</v>
      </c>
      <c r="AS9" s="35">
        <f t="shared" ref="AS9:AS33" si="30">SUM(AF9:AR9)</f>
        <v>270.26000000000005</v>
      </c>
      <c r="AU9" s="47">
        <v>468652</v>
      </c>
      <c r="AV9" s="37">
        <f>IF((AU9-AU8&lt;0),"0",AU9-AU8)</f>
        <v>1358</v>
      </c>
      <c r="AW9" s="35">
        <f t="shared" si="14"/>
        <v>2.7160000000000002</v>
      </c>
    </row>
    <row r="10" spans="1:49" x14ac:dyDescent="0.25">
      <c r="A10" s="23">
        <v>44565</v>
      </c>
      <c r="B10" s="40">
        <v>60</v>
      </c>
      <c r="C10" s="24">
        <v>7467290</v>
      </c>
      <c r="D10" s="24">
        <v>17798250</v>
      </c>
      <c r="E10" s="24">
        <v>3198950</v>
      </c>
      <c r="F10" s="24">
        <v>3838070</v>
      </c>
      <c r="G10" s="24">
        <v>11314160</v>
      </c>
      <c r="H10" s="24">
        <v>6297150</v>
      </c>
      <c r="I10" s="24">
        <v>5583080</v>
      </c>
      <c r="J10" s="24">
        <v>6838100</v>
      </c>
      <c r="K10" s="24">
        <v>10327400</v>
      </c>
      <c r="L10" s="24">
        <v>4377740</v>
      </c>
      <c r="M10" s="24">
        <v>8556570</v>
      </c>
      <c r="N10" s="24">
        <v>13534790</v>
      </c>
      <c r="O10" s="24">
        <v>18774100</v>
      </c>
      <c r="Q10" s="37">
        <f t="shared" si="17"/>
        <v>570</v>
      </c>
      <c r="R10" s="37">
        <f t="shared" si="18"/>
        <v>7530</v>
      </c>
      <c r="S10" s="37">
        <f t="shared" si="16"/>
        <v>0</v>
      </c>
      <c r="T10" s="37">
        <f t="shared" si="19"/>
        <v>1370</v>
      </c>
      <c r="U10" s="37">
        <f t="shared" si="20"/>
        <v>5150</v>
      </c>
      <c r="V10" s="37">
        <f t="shared" si="21"/>
        <v>4440</v>
      </c>
      <c r="W10" s="37">
        <f t="shared" si="22"/>
        <v>2540</v>
      </c>
      <c r="X10" s="37">
        <f t="shared" si="23"/>
        <v>4570</v>
      </c>
      <c r="Y10" s="37">
        <f t="shared" si="24"/>
        <v>4730</v>
      </c>
      <c r="Z10" s="37">
        <f t="shared" si="25"/>
        <v>2520</v>
      </c>
      <c r="AA10" s="37">
        <f t="shared" si="26"/>
        <v>3160</v>
      </c>
      <c r="AB10" s="37">
        <f t="shared" si="27"/>
        <v>7150</v>
      </c>
      <c r="AC10" s="37">
        <f t="shared" si="28"/>
        <v>11430</v>
      </c>
      <c r="AD10" s="35">
        <f t="shared" si="29"/>
        <v>55160</v>
      </c>
      <c r="AF10" s="20">
        <f t="shared" si="1"/>
        <v>2.85</v>
      </c>
      <c r="AG10" s="20">
        <f t="shared" si="2"/>
        <v>37.65</v>
      </c>
      <c r="AH10" s="20">
        <f t="shared" si="3"/>
        <v>0</v>
      </c>
      <c r="AI10" s="20">
        <f t="shared" si="4"/>
        <v>6.8500000000000005</v>
      </c>
      <c r="AJ10" s="20">
        <f t="shared" si="5"/>
        <v>25.75</v>
      </c>
      <c r="AK10" s="20">
        <f t="shared" si="6"/>
        <v>22.2</v>
      </c>
      <c r="AL10" s="20">
        <f t="shared" si="7"/>
        <v>12.700000000000001</v>
      </c>
      <c r="AM10" s="20">
        <f t="shared" si="8"/>
        <v>22.85</v>
      </c>
      <c r="AN10" s="20">
        <f t="shared" si="9"/>
        <v>23.650000000000002</v>
      </c>
      <c r="AO10" s="20">
        <f t="shared" si="10"/>
        <v>12.6</v>
      </c>
      <c r="AP10" s="20">
        <f t="shared" si="11"/>
        <v>15.8</v>
      </c>
      <c r="AQ10" s="20">
        <f t="shared" si="12"/>
        <v>35.75</v>
      </c>
      <c r="AR10" s="20">
        <f t="shared" si="13"/>
        <v>57.15</v>
      </c>
      <c r="AS10" s="35">
        <f t="shared" si="30"/>
        <v>275.8</v>
      </c>
      <c r="AU10" s="47">
        <v>470173</v>
      </c>
      <c r="AV10" s="37">
        <f t="shared" ref="AV10:AV26" si="31">IF((AU10-AU9&lt;0),"0",AU10-AU9)</f>
        <v>1521</v>
      </c>
      <c r="AW10" s="35">
        <f t="shared" si="14"/>
        <v>3.0420000000000003</v>
      </c>
    </row>
    <row r="11" spans="1:49" x14ac:dyDescent="0.25">
      <c r="A11" s="23">
        <v>44566</v>
      </c>
      <c r="B11" s="40">
        <v>60</v>
      </c>
      <c r="C11" s="24">
        <v>7467850</v>
      </c>
      <c r="D11" s="24">
        <v>17805590</v>
      </c>
      <c r="E11" s="24">
        <v>3198950</v>
      </c>
      <c r="F11" s="24">
        <v>3839400</v>
      </c>
      <c r="G11" s="24">
        <v>11319210</v>
      </c>
      <c r="H11" s="24">
        <v>6301500</v>
      </c>
      <c r="I11" s="24">
        <v>5585820</v>
      </c>
      <c r="J11" s="24">
        <v>6842930</v>
      </c>
      <c r="K11" s="24">
        <v>10332300</v>
      </c>
      <c r="L11" s="24">
        <v>4380310</v>
      </c>
      <c r="M11" s="24">
        <v>8559750</v>
      </c>
      <c r="N11" s="24">
        <v>13541970</v>
      </c>
      <c r="O11" s="24">
        <v>18783980</v>
      </c>
      <c r="Q11" s="37">
        <f t="shared" si="17"/>
        <v>560</v>
      </c>
      <c r="R11" s="37">
        <f t="shared" si="18"/>
        <v>7340</v>
      </c>
      <c r="S11" s="37">
        <f t="shared" si="16"/>
        <v>0</v>
      </c>
      <c r="T11" s="37">
        <f t="shared" si="19"/>
        <v>1330</v>
      </c>
      <c r="U11" s="37">
        <f t="shared" si="20"/>
        <v>5050</v>
      </c>
      <c r="V11" s="37">
        <f t="shared" si="21"/>
        <v>4350</v>
      </c>
      <c r="W11" s="37">
        <f t="shared" si="22"/>
        <v>2740</v>
      </c>
      <c r="X11" s="37">
        <f t="shared" si="23"/>
        <v>4830</v>
      </c>
      <c r="Y11" s="37">
        <f t="shared" si="24"/>
        <v>4900</v>
      </c>
      <c r="Z11" s="37">
        <f t="shared" si="25"/>
        <v>2570</v>
      </c>
      <c r="AA11" s="37">
        <f t="shared" si="26"/>
        <v>3180</v>
      </c>
      <c r="AB11" s="37">
        <f t="shared" si="27"/>
        <v>7180</v>
      </c>
      <c r="AC11" s="37">
        <f t="shared" si="28"/>
        <v>9880</v>
      </c>
      <c r="AD11" s="35">
        <f t="shared" si="29"/>
        <v>53910</v>
      </c>
      <c r="AF11" s="20">
        <f t="shared" si="1"/>
        <v>2.8000000000000003</v>
      </c>
      <c r="AG11" s="20">
        <f t="shared" si="2"/>
        <v>36.700000000000003</v>
      </c>
      <c r="AH11" s="20">
        <f t="shared" si="3"/>
        <v>0</v>
      </c>
      <c r="AI11" s="20">
        <f t="shared" si="4"/>
        <v>6.65</v>
      </c>
      <c r="AJ11" s="20">
        <f t="shared" si="5"/>
        <v>25.25</v>
      </c>
      <c r="AK11" s="20">
        <f t="shared" si="6"/>
        <v>21.75</v>
      </c>
      <c r="AL11" s="20">
        <f t="shared" si="7"/>
        <v>13.700000000000001</v>
      </c>
      <c r="AM11" s="20">
        <f t="shared" si="8"/>
        <v>24.150000000000002</v>
      </c>
      <c r="AN11" s="20">
        <f t="shared" si="9"/>
        <v>24.5</v>
      </c>
      <c r="AO11" s="20">
        <f t="shared" si="10"/>
        <v>12.85</v>
      </c>
      <c r="AP11" s="20">
        <f t="shared" si="11"/>
        <v>15.9</v>
      </c>
      <c r="AQ11" s="20">
        <f t="shared" si="12"/>
        <v>35.9</v>
      </c>
      <c r="AR11" s="20">
        <f t="shared" si="13"/>
        <v>49.4</v>
      </c>
      <c r="AS11" s="35">
        <f t="shared" si="30"/>
        <v>269.55</v>
      </c>
      <c r="AU11" s="47">
        <v>471374</v>
      </c>
      <c r="AV11" s="37">
        <f t="shared" si="31"/>
        <v>1201</v>
      </c>
      <c r="AW11" s="35">
        <f t="shared" si="14"/>
        <v>2.4020000000000001</v>
      </c>
    </row>
    <row r="12" spans="1:49" x14ac:dyDescent="0.25">
      <c r="A12" s="23">
        <v>44567</v>
      </c>
      <c r="B12" s="40">
        <v>99</v>
      </c>
      <c r="C12" s="49">
        <v>7468470</v>
      </c>
      <c r="D12" s="24">
        <v>17813960</v>
      </c>
      <c r="E12" s="24">
        <v>3198950</v>
      </c>
      <c r="F12" s="24">
        <v>3840890</v>
      </c>
      <c r="G12" s="24">
        <v>11324930</v>
      </c>
      <c r="H12" s="24">
        <v>6306460</v>
      </c>
      <c r="I12" s="24">
        <v>5589090</v>
      </c>
      <c r="J12" s="24">
        <v>6848330</v>
      </c>
      <c r="K12" s="24">
        <v>10337860</v>
      </c>
      <c r="L12" s="24">
        <v>4383180</v>
      </c>
      <c r="M12" s="24">
        <v>8563330</v>
      </c>
      <c r="N12" s="24">
        <v>13550120</v>
      </c>
      <c r="O12" s="24">
        <v>18796130</v>
      </c>
      <c r="Q12" s="37">
        <f t="shared" si="17"/>
        <v>620</v>
      </c>
      <c r="R12" s="37">
        <f t="shared" si="18"/>
        <v>8370</v>
      </c>
      <c r="S12" s="37">
        <f t="shared" si="16"/>
        <v>0</v>
      </c>
      <c r="T12" s="37">
        <f t="shared" ref="T12:W14" si="32">IF((F12-F11&lt;0), "0",F12-F11)</f>
        <v>1490</v>
      </c>
      <c r="U12" s="37">
        <f t="shared" si="32"/>
        <v>5720</v>
      </c>
      <c r="V12" s="37">
        <f t="shared" si="32"/>
        <v>4960</v>
      </c>
      <c r="W12" s="37">
        <f t="shared" si="32"/>
        <v>3270</v>
      </c>
      <c r="X12" s="37">
        <f t="shared" si="23"/>
        <v>5400</v>
      </c>
      <c r="Y12" s="37">
        <f t="shared" si="24"/>
        <v>5560</v>
      </c>
      <c r="Z12" s="37">
        <f>IF((L12-L11&lt;0), "0",L12-L11)</f>
        <v>2870</v>
      </c>
      <c r="AA12" s="37">
        <f t="shared" si="26"/>
        <v>3580</v>
      </c>
      <c r="AB12" s="37">
        <f t="shared" si="27"/>
        <v>8150</v>
      </c>
      <c r="AC12" s="37">
        <f t="shared" si="28"/>
        <v>12150</v>
      </c>
      <c r="AD12" s="35">
        <f t="shared" si="29"/>
        <v>62140</v>
      </c>
      <c r="AF12" s="20">
        <f t="shared" si="1"/>
        <v>3.1</v>
      </c>
      <c r="AG12" s="20">
        <f t="shared" si="2"/>
        <v>41.85</v>
      </c>
      <c r="AH12" s="20">
        <f t="shared" si="3"/>
        <v>0</v>
      </c>
      <c r="AI12" s="20">
        <f t="shared" si="4"/>
        <v>7.45</v>
      </c>
      <c r="AJ12" s="20">
        <f t="shared" si="5"/>
        <v>28.6</v>
      </c>
      <c r="AK12" s="20">
        <f t="shared" si="6"/>
        <v>24.8</v>
      </c>
      <c r="AL12" s="20">
        <f t="shared" si="7"/>
        <v>16.350000000000001</v>
      </c>
      <c r="AM12" s="20">
        <f t="shared" si="8"/>
        <v>27</v>
      </c>
      <c r="AN12" s="20">
        <f t="shared" si="9"/>
        <v>27.8</v>
      </c>
      <c r="AO12" s="20">
        <f t="shared" si="10"/>
        <v>14.35</v>
      </c>
      <c r="AP12" s="20">
        <f t="shared" si="11"/>
        <v>17.900000000000002</v>
      </c>
      <c r="AQ12" s="20">
        <f t="shared" si="12"/>
        <v>40.75</v>
      </c>
      <c r="AR12" s="20">
        <f t="shared" si="13"/>
        <v>60.75</v>
      </c>
      <c r="AS12" s="35">
        <f t="shared" si="30"/>
        <v>310.70000000000005</v>
      </c>
      <c r="AU12" s="47">
        <v>472690</v>
      </c>
      <c r="AV12" s="37">
        <f t="shared" si="31"/>
        <v>1316</v>
      </c>
      <c r="AW12" s="35">
        <f t="shared" si="14"/>
        <v>2.6320000000000001</v>
      </c>
    </row>
    <row r="13" spans="1:49" x14ac:dyDescent="0.25">
      <c r="A13" s="23">
        <v>44568</v>
      </c>
      <c r="B13" s="40">
        <v>117</v>
      </c>
      <c r="C13" s="24">
        <v>7469030</v>
      </c>
      <c r="D13" s="24">
        <v>17822290</v>
      </c>
      <c r="E13" s="24">
        <v>3198950</v>
      </c>
      <c r="F13" s="24">
        <v>3842230</v>
      </c>
      <c r="G13" s="24">
        <v>11330300</v>
      </c>
      <c r="H13" s="24">
        <v>6311045</v>
      </c>
      <c r="I13" s="24">
        <v>5592050</v>
      </c>
      <c r="J13" s="24">
        <v>6853180</v>
      </c>
      <c r="K13" s="24">
        <v>10343270</v>
      </c>
      <c r="L13" s="24">
        <v>4385900</v>
      </c>
      <c r="M13" s="24">
        <v>8566550</v>
      </c>
      <c r="N13" s="24">
        <v>13557530</v>
      </c>
      <c r="O13" s="24">
        <v>18808540</v>
      </c>
      <c r="Q13" s="37">
        <f t="shared" si="17"/>
        <v>560</v>
      </c>
      <c r="R13" s="37">
        <f t="shared" si="18"/>
        <v>8330</v>
      </c>
      <c r="S13" s="37">
        <f t="shared" si="16"/>
        <v>0</v>
      </c>
      <c r="T13" s="37">
        <f t="shared" si="32"/>
        <v>1340</v>
      </c>
      <c r="U13" s="37">
        <f t="shared" si="32"/>
        <v>5370</v>
      </c>
      <c r="V13" s="37">
        <f t="shared" si="32"/>
        <v>4585</v>
      </c>
      <c r="W13" s="37">
        <f t="shared" si="32"/>
        <v>2960</v>
      </c>
      <c r="X13" s="37">
        <f t="shared" si="23"/>
        <v>4850</v>
      </c>
      <c r="Y13" s="37">
        <f t="shared" si="24"/>
        <v>5410</v>
      </c>
      <c r="Z13" s="37">
        <f>IF((L13-L12&lt;0), "0",L13-L12)</f>
        <v>2720</v>
      </c>
      <c r="AA13" s="37">
        <f t="shared" si="26"/>
        <v>3220</v>
      </c>
      <c r="AB13" s="37">
        <f t="shared" si="27"/>
        <v>7410</v>
      </c>
      <c r="AC13" s="37">
        <f t="shared" si="28"/>
        <v>12410</v>
      </c>
      <c r="AD13" s="35">
        <f t="shared" si="29"/>
        <v>59165</v>
      </c>
      <c r="AF13" s="20">
        <f t="shared" si="1"/>
        <v>2.8000000000000003</v>
      </c>
      <c r="AG13" s="20">
        <f t="shared" si="2"/>
        <v>41.65</v>
      </c>
      <c r="AH13" s="20">
        <f t="shared" si="3"/>
        <v>0</v>
      </c>
      <c r="AI13" s="20">
        <f t="shared" si="4"/>
        <v>6.7</v>
      </c>
      <c r="AJ13" s="20">
        <f t="shared" si="5"/>
        <v>26.85</v>
      </c>
      <c r="AK13" s="20">
        <f t="shared" si="6"/>
        <v>22.925000000000001</v>
      </c>
      <c r="AL13" s="20">
        <f t="shared" si="7"/>
        <v>14.8</v>
      </c>
      <c r="AM13" s="20">
        <f t="shared" si="8"/>
        <v>24.25</v>
      </c>
      <c r="AN13" s="20">
        <f t="shared" si="9"/>
        <v>27.05</v>
      </c>
      <c r="AO13" s="20">
        <f t="shared" si="10"/>
        <v>13.6</v>
      </c>
      <c r="AP13" s="20">
        <f t="shared" si="11"/>
        <v>16.100000000000001</v>
      </c>
      <c r="AQ13" s="20">
        <f t="shared" si="12"/>
        <v>37.050000000000004</v>
      </c>
      <c r="AR13" s="20">
        <f t="shared" si="13"/>
        <v>62.050000000000004</v>
      </c>
      <c r="AS13" s="35">
        <f t="shared" si="30"/>
        <v>295.82499999999999</v>
      </c>
      <c r="AU13" s="47">
        <v>474038</v>
      </c>
      <c r="AV13" s="37">
        <f t="shared" si="31"/>
        <v>1348</v>
      </c>
      <c r="AW13" s="35">
        <f t="shared" si="14"/>
        <v>2.6960000000000002</v>
      </c>
    </row>
    <row r="14" spans="1:49" x14ac:dyDescent="0.25">
      <c r="A14" s="23">
        <v>44569</v>
      </c>
      <c r="B14" s="40">
        <v>79</v>
      </c>
      <c r="C14" s="24">
        <v>7469580</v>
      </c>
      <c r="D14" s="24">
        <v>17830700</v>
      </c>
      <c r="E14" s="24">
        <v>3198950</v>
      </c>
      <c r="F14" s="24">
        <v>3843580</v>
      </c>
      <c r="G14" s="24">
        <v>11335450</v>
      </c>
      <c r="H14" s="24">
        <v>6315560</v>
      </c>
      <c r="I14" s="24">
        <v>5594420</v>
      </c>
      <c r="J14" s="24">
        <v>6858230</v>
      </c>
      <c r="K14" s="24">
        <v>10348480</v>
      </c>
      <c r="L14" s="24">
        <v>4388550</v>
      </c>
      <c r="M14" s="24">
        <v>8569770</v>
      </c>
      <c r="N14" s="24">
        <v>13564720</v>
      </c>
      <c r="O14" s="24">
        <v>18820450</v>
      </c>
      <c r="P14" s="53"/>
      <c r="Q14" s="37">
        <f t="shared" si="17"/>
        <v>550</v>
      </c>
      <c r="R14" s="37">
        <f t="shared" si="18"/>
        <v>8410</v>
      </c>
      <c r="S14" s="37">
        <f t="shared" si="16"/>
        <v>0</v>
      </c>
      <c r="T14" s="37">
        <f t="shared" si="32"/>
        <v>1350</v>
      </c>
      <c r="U14" s="37">
        <f t="shared" si="32"/>
        <v>5150</v>
      </c>
      <c r="V14" s="37">
        <f t="shared" si="32"/>
        <v>4515</v>
      </c>
      <c r="W14" s="37">
        <f t="shared" si="32"/>
        <v>2370</v>
      </c>
      <c r="X14" s="37">
        <f t="shared" si="23"/>
        <v>5050</v>
      </c>
      <c r="Y14" s="37">
        <f t="shared" si="24"/>
        <v>5210</v>
      </c>
      <c r="Z14" s="37">
        <f>IF((L14-L13&lt;0), "0",L14-L13)</f>
        <v>2650</v>
      </c>
      <c r="AA14" s="37">
        <f t="shared" si="26"/>
        <v>3220</v>
      </c>
      <c r="AB14" s="37">
        <f t="shared" si="27"/>
        <v>7190</v>
      </c>
      <c r="AC14" s="37">
        <f t="shared" si="28"/>
        <v>11910</v>
      </c>
      <c r="AD14" s="35">
        <f t="shared" si="29"/>
        <v>57575</v>
      </c>
      <c r="AF14" s="20">
        <f t="shared" si="1"/>
        <v>2.75</v>
      </c>
      <c r="AG14" s="20">
        <f t="shared" si="2"/>
        <v>42.050000000000004</v>
      </c>
      <c r="AH14" s="20">
        <f t="shared" si="3"/>
        <v>0</v>
      </c>
      <c r="AI14" s="20">
        <f t="shared" si="4"/>
        <v>6.75</v>
      </c>
      <c r="AJ14" s="20">
        <f t="shared" si="5"/>
        <v>25.75</v>
      </c>
      <c r="AK14" s="20">
        <f t="shared" si="6"/>
        <v>22.574999999999999</v>
      </c>
      <c r="AL14" s="20">
        <f t="shared" si="7"/>
        <v>11.85</v>
      </c>
      <c r="AM14" s="20">
        <f t="shared" si="8"/>
        <v>25.25</v>
      </c>
      <c r="AN14" s="20">
        <f t="shared" si="9"/>
        <v>26.05</v>
      </c>
      <c r="AO14" s="20">
        <f t="shared" si="10"/>
        <v>13.25</v>
      </c>
      <c r="AP14" s="20">
        <f t="shared" si="11"/>
        <v>16.100000000000001</v>
      </c>
      <c r="AQ14" s="20">
        <f t="shared" si="12"/>
        <v>35.950000000000003</v>
      </c>
      <c r="AR14" s="20">
        <f t="shared" si="13"/>
        <v>59.550000000000004</v>
      </c>
      <c r="AS14" s="35">
        <f t="shared" si="30"/>
        <v>287.87500000000006</v>
      </c>
      <c r="AU14" s="47">
        <v>475915</v>
      </c>
      <c r="AV14" s="37">
        <f t="shared" si="31"/>
        <v>1877</v>
      </c>
      <c r="AW14" s="35">
        <f t="shared" si="14"/>
        <v>3.754</v>
      </c>
    </row>
    <row r="15" spans="1:49" x14ac:dyDescent="0.25">
      <c r="A15" s="23">
        <v>44570</v>
      </c>
      <c r="B15" s="40">
        <v>65</v>
      </c>
      <c r="C15" s="24">
        <v>7470130</v>
      </c>
      <c r="D15" s="24">
        <v>17839130</v>
      </c>
      <c r="E15" s="24">
        <v>3198960</v>
      </c>
      <c r="F15" s="24">
        <v>3844930</v>
      </c>
      <c r="G15" s="24">
        <v>11340270</v>
      </c>
      <c r="H15" s="24">
        <v>6319690</v>
      </c>
      <c r="I15" s="24">
        <v>5596770</v>
      </c>
      <c r="J15" s="24">
        <v>6862420</v>
      </c>
      <c r="K15" s="24">
        <v>10353730</v>
      </c>
      <c r="L15" s="24">
        <v>4391080</v>
      </c>
      <c r="M15" s="24">
        <v>8572680</v>
      </c>
      <c r="N15" s="24">
        <v>13571940</v>
      </c>
      <c r="O15" s="24">
        <v>18831590</v>
      </c>
      <c r="Q15" s="37">
        <f t="shared" si="17"/>
        <v>550</v>
      </c>
      <c r="R15" s="37">
        <f t="shared" si="18"/>
        <v>8430</v>
      </c>
      <c r="S15" s="37">
        <f t="shared" si="16"/>
        <v>10</v>
      </c>
      <c r="T15" s="37">
        <f t="shared" si="19"/>
        <v>1350</v>
      </c>
      <c r="U15" s="37">
        <f t="shared" si="20"/>
        <v>4820</v>
      </c>
      <c r="V15" s="37">
        <f t="shared" si="21"/>
        <v>4130</v>
      </c>
      <c r="W15" s="37">
        <f t="shared" si="22"/>
        <v>2350</v>
      </c>
      <c r="X15" s="37">
        <f t="shared" si="23"/>
        <v>4190</v>
      </c>
      <c r="Y15" s="37">
        <f t="shared" si="24"/>
        <v>5250</v>
      </c>
      <c r="Z15" s="37">
        <f t="shared" si="25"/>
        <v>2530</v>
      </c>
      <c r="AA15" s="37">
        <f t="shared" si="26"/>
        <v>2910</v>
      </c>
      <c r="AB15" s="37">
        <f t="shared" si="27"/>
        <v>7220</v>
      </c>
      <c r="AC15" s="37">
        <f t="shared" si="28"/>
        <v>11140</v>
      </c>
      <c r="AD15" s="35">
        <f t="shared" si="29"/>
        <v>54880</v>
      </c>
      <c r="AF15" s="20">
        <f t="shared" si="1"/>
        <v>2.75</v>
      </c>
      <c r="AG15" s="20">
        <f t="shared" si="2"/>
        <v>42.15</v>
      </c>
      <c r="AH15" s="20">
        <f t="shared" si="3"/>
        <v>0.05</v>
      </c>
      <c r="AI15" s="20">
        <f t="shared" si="4"/>
        <v>6.75</v>
      </c>
      <c r="AJ15" s="20">
        <f t="shared" si="5"/>
        <v>24.1</v>
      </c>
      <c r="AK15" s="20">
        <f t="shared" si="6"/>
        <v>20.650000000000002</v>
      </c>
      <c r="AL15" s="20">
        <f t="shared" si="7"/>
        <v>11.75</v>
      </c>
      <c r="AM15" s="20">
        <f t="shared" si="8"/>
        <v>20.95</v>
      </c>
      <c r="AN15" s="20">
        <f t="shared" si="9"/>
        <v>26.25</v>
      </c>
      <c r="AO15" s="20">
        <f t="shared" si="10"/>
        <v>12.65</v>
      </c>
      <c r="AP15" s="20">
        <f t="shared" si="11"/>
        <v>14.55</v>
      </c>
      <c r="AQ15" s="20">
        <f t="shared" si="12"/>
        <v>36.1</v>
      </c>
      <c r="AR15" s="20">
        <f t="shared" si="13"/>
        <v>55.7</v>
      </c>
      <c r="AS15" s="35">
        <f t="shared" si="30"/>
        <v>274.40000000000003</v>
      </c>
      <c r="AU15" s="47">
        <v>477467</v>
      </c>
      <c r="AV15" s="37">
        <f t="shared" si="31"/>
        <v>1552</v>
      </c>
      <c r="AW15" s="35">
        <f t="shared" si="14"/>
        <v>3.1040000000000001</v>
      </c>
    </row>
    <row r="16" spans="1:49" x14ac:dyDescent="0.25">
      <c r="A16" s="23">
        <v>44571</v>
      </c>
      <c r="B16" s="40">
        <v>65</v>
      </c>
      <c r="C16" s="24">
        <v>7470690</v>
      </c>
      <c r="D16" s="24">
        <v>17847710</v>
      </c>
      <c r="E16" s="24">
        <v>3198960</v>
      </c>
      <c r="F16" s="24">
        <v>3846300</v>
      </c>
      <c r="G16" s="24">
        <v>11345000</v>
      </c>
      <c r="H16" s="24">
        <v>6324020</v>
      </c>
      <c r="I16" s="24">
        <v>5599100</v>
      </c>
      <c r="J16" s="24">
        <v>6866910</v>
      </c>
      <c r="K16" s="24">
        <v>10359060</v>
      </c>
      <c r="L16" s="24">
        <v>4393500</v>
      </c>
      <c r="M16" s="24">
        <v>8575630</v>
      </c>
      <c r="N16" s="24">
        <v>13578930</v>
      </c>
      <c r="O16" s="24">
        <v>18842240</v>
      </c>
      <c r="Q16" s="37">
        <f t="shared" si="17"/>
        <v>560</v>
      </c>
      <c r="R16" s="37">
        <f t="shared" si="18"/>
        <v>8580</v>
      </c>
      <c r="S16" s="37">
        <f t="shared" si="16"/>
        <v>0</v>
      </c>
      <c r="T16" s="37">
        <f t="shared" si="19"/>
        <v>1370</v>
      </c>
      <c r="U16" s="37">
        <f t="shared" si="20"/>
        <v>4730</v>
      </c>
      <c r="V16" s="37">
        <f t="shared" si="21"/>
        <v>4330</v>
      </c>
      <c r="W16" s="37">
        <f t="shared" si="22"/>
        <v>2330</v>
      </c>
      <c r="X16" s="37">
        <f t="shared" si="23"/>
        <v>4490</v>
      </c>
      <c r="Y16" s="37">
        <f t="shared" si="24"/>
        <v>5330</v>
      </c>
      <c r="Z16" s="37">
        <f t="shared" si="25"/>
        <v>2420</v>
      </c>
      <c r="AA16" s="37">
        <f t="shared" si="26"/>
        <v>2950</v>
      </c>
      <c r="AB16" s="37">
        <f t="shared" si="27"/>
        <v>6990</v>
      </c>
      <c r="AC16" s="37">
        <f t="shared" si="28"/>
        <v>10650</v>
      </c>
      <c r="AD16" s="35">
        <f t="shared" si="29"/>
        <v>54730</v>
      </c>
      <c r="AF16" s="20">
        <f t="shared" si="1"/>
        <v>2.8000000000000003</v>
      </c>
      <c r="AG16" s="20">
        <f t="shared" si="2"/>
        <v>42.9</v>
      </c>
      <c r="AH16" s="20">
        <f t="shared" si="3"/>
        <v>0</v>
      </c>
      <c r="AI16" s="20">
        <f t="shared" si="4"/>
        <v>6.8500000000000005</v>
      </c>
      <c r="AJ16" s="20">
        <f t="shared" si="5"/>
        <v>23.650000000000002</v>
      </c>
      <c r="AK16" s="20">
        <f t="shared" si="6"/>
        <v>21.650000000000002</v>
      </c>
      <c r="AL16" s="20">
        <f t="shared" si="7"/>
        <v>11.65</v>
      </c>
      <c r="AM16" s="20">
        <f t="shared" si="8"/>
        <v>22.45</v>
      </c>
      <c r="AN16" s="20">
        <f t="shared" si="9"/>
        <v>26.650000000000002</v>
      </c>
      <c r="AO16" s="20">
        <f t="shared" si="10"/>
        <v>12.1</v>
      </c>
      <c r="AP16" s="20">
        <f t="shared" si="11"/>
        <v>14.75</v>
      </c>
      <c r="AQ16" s="20">
        <f t="shared" si="12"/>
        <v>34.950000000000003</v>
      </c>
      <c r="AR16" s="20">
        <f t="shared" si="13"/>
        <v>53.25</v>
      </c>
      <c r="AS16" s="35">
        <f t="shared" si="30"/>
        <v>273.65000000000003</v>
      </c>
      <c r="AU16" s="47">
        <v>478933</v>
      </c>
      <c r="AV16" s="37">
        <f t="shared" si="31"/>
        <v>1466</v>
      </c>
      <c r="AW16" s="35">
        <f t="shared" si="14"/>
        <v>2.9319999999999999</v>
      </c>
    </row>
    <row r="17" spans="1:49" x14ac:dyDescent="0.25">
      <c r="A17" s="23">
        <v>44572</v>
      </c>
      <c r="B17" s="40">
        <v>61</v>
      </c>
      <c r="C17" s="24">
        <v>7471260</v>
      </c>
      <c r="D17" s="24">
        <v>17856990</v>
      </c>
      <c r="E17" s="24">
        <v>3198950</v>
      </c>
      <c r="F17" s="24">
        <v>3847690</v>
      </c>
      <c r="G17" s="24">
        <v>11350030</v>
      </c>
      <c r="H17" s="24">
        <v>6328310</v>
      </c>
      <c r="I17" s="24">
        <v>5601610</v>
      </c>
      <c r="J17" s="24">
        <v>6871820</v>
      </c>
      <c r="K17" s="24">
        <v>10364500</v>
      </c>
      <c r="L17" s="24">
        <v>4396080</v>
      </c>
      <c r="M17" s="24">
        <v>8578630</v>
      </c>
      <c r="N17" s="24">
        <v>13586150</v>
      </c>
      <c r="O17" s="24">
        <v>18853620</v>
      </c>
      <c r="Q17" s="37">
        <f t="shared" si="17"/>
        <v>570</v>
      </c>
      <c r="R17" s="37">
        <f t="shared" si="18"/>
        <v>9280</v>
      </c>
      <c r="S17" s="37" t="str">
        <f t="shared" si="16"/>
        <v>0</v>
      </c>
      <c r="T17" s="37">
        <f t="shared" si="19"/>
        <v>1390</v>
      </c>
      <c r="U17" s="37">
        <f t="shared" si="20"/>
        <v>5030</v>
      </c>
      <c r="V17" s="37">
        <f t="shared" si="21"/>
        <v>4290</v>
      </c>
      <c r="W17" s="37">
        <f t="shared" si="22"/>
        <v>2510</v>
      </c>
      <c r="X17" s="37">
        <f t="shared" si="23"/>
        <v>4910</v>
      </c>
      <c r="Y17" s="37">
        <f t="shared" si="24"/>
        <v>5440</v>
      </c>
      <c r="Z17" s="37">
        <f t="shared" si="25"/>
        <v>2580</v>
      </c>
      <c r="AA17" s="37">
        <f t="shared" si="26"/>
        <v>3000</v>
      </c>
      <c r="AB17" s="37">
        <f t="shared" si="27"/>
        <v>7220</v>
      </c>
      <c r="AC17" s="37">
        <f t="shared" si="28"/>
        <v>11380</v>
      </c>
      <c r="AD17" s="35">
        <f t="shared" si="29"/>
        <v>57600</v>
      </c>
      <c r="AF17" s="20">
        <f t="shared" si="1"/>
        <v>2.85</v>
      </c>
      <c r="AG17" s="20">
        <f t="shared" si="2"/>
        <v>46.4</v>
      </c>
      <c r="AH17" s="20">
        <f t="shared" si="3"/>
        <v>0</v>
      </c>
      <c r="AI17" s="20">
        <f t="shared" si="4"/>
        <v>6.95</v>
      </c>
      <c r="AJ17" s="20">
        <f t="shared" si="5"/>
        <v>25.150000000000002</v>
      </c>
      <c r="AK17" s="20">
        <f t="shared" si="6"/>
        <v>21.45</v>
      </c>
      <c r="AL17" s="20">
        <f t="shared" si="7"/>
        <v>12.55</v>
      </c>
      <c r="AM17" s="20">
        <f t="shared" si="8"/>
        <v>24.55</v>
      </c>
      <c r="AN17" s="20">
        <f t="shared" si="9"/>
        <v>27.2</v>
      </c>
      <c r="AO17" s="20">
        <f t="shared" si="10"/>
        <v>12.9</v>
      </c>
      <c r="AP17" s="20">
        <f t="shared" si="11"/>
        <v>15</v>
      </c>
      <c r="AQ17" s="20">
        <f t="shared" si="12"/>
        <v>36.1</v>
      </c>
      <c r="AR17" s="20">
        <f t="shared" si="13"/>
        <v>56.9</v>
      </c>
      <c r="AS17" s="35">
        <f t="shared" si="30"/>
        <v>288</v>
      </c>
      <c r="AU17" s="47">
        <v>480382</v>
      </c>
      <c r="AV17" s="37">
        <f t="shared" si="31"/>
        <v>1449</v>
      </c>
      <c r="AW17" s="35">
        <f t="shared" si="14"/>
        <v>2.8980000000000001</v>
      </c>
    </row>
    <row r="18" spans="1:49" x14ac:dyDescent="0.25">
      <c r="A18" s="23">
        <v>44573</v>
      </c>
      <c r="B18" s="40">
        <v>68</v>
      </c>
      <c r="C18" s="24">
        <v>7471830</v>
      </c>
      <c r="D18" s="24">
        <v>17866910</v>
      </c>
      <c r="E18" s="24">
        <v>3198950</v>
      </c>
      <c r="F18" s="24">
        <v>3849090</v>
      </c>
      <c r="G18" s="24">
        <v>11354960</v>
      </c>
      <c r="H18" s="24">
        <v>6332550</v>
      </c>
      <c r="I18" s="24">
        <v>5604050</v>
      </c>
      <c r="J18" s="24">
        <v>6876720</v>
      </c>
      <c r="K18" s="24">
        <v>10370050</v>
      </c>
      <c r="L18" s="24">
        <v>4398650</v>
      </c>
      <c r="M18" s="24">
        <v>8581480</v>
      </c>
      <c r="N18" s="24">
        <v>13593470</v>
      </c>
      <c r="O18" s="24">
        <v>18863210</v>
      </c>
      <c r="Q18" s="37">
        <f t="shared" si="17"/>
        <v>570</v>
      </c>
      <c r="R18" s="37">
        <f t="shared" si="18"/>
        <v>9920</v>
      </c>
      <c r="S18" s="37">
        <f t="shared" si="16"/>
        <v>0</v>
      </c>
      <c r="T18" s="37">
        <f t="shared" si="19"/>
        <v>1400</v>
      </c>
      <c r="U18" s="37">
        <f t="shared" si="20"/>
        <v>4930</v>
      </c>
      <c r="V18" s="37">
        <f t="shared" si="21"/>
        <v>4240</v>
      </c>
      <c r="W18" s="37">
        <f t="shared" si="22"/>
        <v>2440</v>
      </c>
      <c r="X18" s="37">
        <f t="shared" si="23"/>
        <v>4900</v>
      </c>
      <c r="Y18" s="37">
        <f t="shared" si="24"/>
        <v>5550</v>
      </c>
      <c r="Z18" s="37">
        <f t="shared" si="25"/>
        <v>2570</v>
      </c>
      <c r="AA18" s="37">
        <f t="shared" si="26"/>
        <v>2850</v>
      </c>
      <c r="AB18" s="37">
        <f t="shared" si="27"/>
        <v>7320</v>
      </c>
      <c r="AC18" s="37">
        <f t="shared" si="28"/>
        <v>9590</v>
      </c>
      <c r="AD18" s="35">
        <f t="shared" si="29"/>
        <v>56280</v>
      </c>
      <c r="AF18" s="20">
        <f t="shared" si="1"/>
        <v>2.85</v>
      </c>
      <c r="AG18" s="20">
        <f t="shared" si="2"/>
        <v>49.6</v>
      </c>
      <c r="AH18" s="20">
        <f t="shared" si="3"/>
        <v>0</v>
      </c>
      <c r="AI18" s="20">
        <f t="shared" si="4"/>
        <v>7</v>
      </c>
      <c r="AJ18" s="20">
        <f t="shared" si="5"/>
        <v>24.650000000000002</v>
      </c>
      <c r="AK18" s="20">
        <f t="shared" si="6"/>
        <v>21.2</v>
      </c>
      <c r="AL18" s="20">
        <f t="shared" si="7"/>
        <v>12.200000000000001</v>
      </c>
      <c r="AM18" s="20">
        <f t="shared" si="8"/>
        <v>24.5</v>
      </c>
      <c r="AN18" s="20">
        <f t="shared" si="9"/>
        <v>27.75</v>
      </c>
      <c r="AO18" s="20">
        <f t="shared" si="10"/>
        <v>12.85</v>
      </c>
      <c r="AP18" s="20">
        <f t="shared" si="11"/>
        <v>14.25</v>
      </c>
      <c r="AQ18" s="20">
        <f t="shared" si="12"/>
        <v>36.6</v>
      </c>
      <c r="AR18" s="20">
        <f t="shared" si="13"/>
        <v>47.95</v>
      </c>
      <c r="AS18" s="35">
        <f t="shared" si="30"/>
        <v>281.39999999999998</v>
      </c>
      <c r="AU18" s="47">
        <v>481763</v>
      </c>
      <c r="AV18" s="37">
        <f t="shared" si="31"/>
        <v>1381</v>
      </c>
      <c r="AW18" s="35">
        <f t="shared" si="14"/>
        <v>2.762</v>
      </c>
    </row>
    <row r="19" spans="1:49" x14ac:dyDescent="0.25">
      <c r="A19" s="23">
        <v>44574</v>
      </c>
      <c r="B19" s="40">
        <v>87</v>
      </c>
      <c r="C19" s="24">
        <v>7472400</v>
      </c>
      <c r="D19" s="24">
        <v>17877180</v>
      </c>
      <c r="E19" s="24">
        <v>3198950</v>
      </c>
      <c r="F19" s="24">
        <v>3850520</v>
      </c>
      <c r="G19" s="24">
        <v>11360190</v>
      </c>
      <c r="H19" s="24">
        <v>6337000</v>
      </c>
      <c r="I19" s="24">
        <v>5606570</v>
      </c>
      <c r="J19" s="24">
        <v>6881640</v>
      </c>
      <c r="K19" s="24">
        <v>10376010</v>
      </c>
      <c r="L19" s="24">
        <v>4401240</v>
      </c>
      <c r="M19" s="24">
        <v>8584620</v>
      </c>
      <c r="N19" s="24">
        <v>13600920</v>
      </c>
      <c r="O19" s="24">
        <v>18874060</v>
      </c>
      <c r="Q19" s="37">
        <f t="shared" si="17"/>
        <v>570</v>
      </c>
      <c r="R19" s="37">
        <f t="shared" si="18"/>
        <v>10270</v>
      </c>
      <c r="S19" s="37">
        <f t="shared" si="16"/>
        <v>0</v>
      </c>
      <c r="T19" s="37">
        <f t="shared" si="19"/>
        <v>1430</v>
      </c>
      <c r="U19" s="37">
        <f t="shared" si="20"/>
        <v>5230</v>
      </c>
      <c r="V19" s="37">
        <f t="shared" si="21"/>
        <v>4450</v>
      </c>
      <c r="W19" s="37">
        <f t="shared" si="22"/>
        <v>2520</v>
      </c>
      <c r="X19" s="37">
        <f t="shared" si="23"/>
        <v>4920</v>
      </c>
      <c r="Y19" s="37">
        <f t="shared" si="24"/>
        <v>5960</v>
      </c>
      <c r="Z19" s="37">
        <f t="shared" si="25"/>
        <v>2590</v>
      </c>
      <c r="AA19" s="37">
        <f t="shared" si="26"/>
        <v>3140</v>
      </c>
      <c r="AB19" s="37">
        <f t="shared" si="27"/>
        <v>7450</v>
      </c>
      <c r="AC19" s="37">
        <f t="shared" si="28"/>
        <v>10850</v>
      </c>
      <c r="AD19" s="35">
        <f t="shared" si="29"/>
        <v>59380</v>
      </c>
      <c r="AF19" s="20">
        <f t="shared" si="1"/>
        <v>2.85</v>
      </c>
      <c r="AG19" s="20">
        <f t="shared" si="2"/>
        <v>51.35</v>
      </c>
      <c r="AH19" s="20">
        <f t="shared" si="3"/>
        <v>0</v>
      </c>
      <c r="AI19" s="20">
        <f t="shared" si="4"/>
        <v>7.15</v>
      </c>
      <c r="AJ19" s="20">
        <f t="shared" si="5"/>
        <v>26.150000000000002</v>
      </c>
      <c r="AK19" s="20">
        <f t="shared" si="6"/>
        <v>22.25</v>
      </c>
      <c r="AL19" s="20">
        <f t="shared" si="7"/>
        <v>12.6</v>
      </c>
      <c r="AM19" s="20">
        <f t="shared" si="8"/>
        <v>24.6</v>
      </c>
      <c r="AN19" s="20">
        <f t="shared" si="9"/>
        <v>29.8</v>
      </c>
      <c r="AO19" s="20">
        <f t="shared" si="10"/>
        <v>12.950000000000001</v>
      </c>
      <c r="AP19" s="20">
        <f t="shared" si="11"/>
        <v>15.700000000000001</v>
      </c>
      <c r="AQ19" s="20">
        <f t="shared" si="12"/>
        <v>37.25</v>
      </c>
      <c r="AR19" s="20">
        <f t="shared" si="13"/>
        <v>54.25</v>
      </c>
      <c r="AS19" s="35">
        <f t="shared" si="30"/>
        <v>296.89999999999998</v>
      </c>
      <c r="AU19" s="47">
        <v>483410</v>
      </c>
      <c r="AV19" s="37">
        <f t="shared" si="31"/>
        <v>1647</v>
      </c>
      <c r="AW19" s="35">
        <f t="shared" si="14"/>
        <v>3.294</v>
      </c>
    </row>
    <row r="20" spans="1:49" x14ac:dyDescent="0.25">
      <c r="A20" s="23">
        <v>44575</v>
      </c>
      <c r="B20" s="40">
        <v>88</v>
      </c>
      <c r="C20" s="24">
        <v>7472930</v>
      </c>
      <c r="D20" s="24">
        <v>17886200</v>
      </c>
      <c r="E20" s="24">
        <v>3198950</v>
      </c>
      <c r="F20" s="24">
        <v>3851840</v>
      </c>
      <c r="G20" s="24">
        <v>11364930</v>
      </c>
      <c r="H20" s="24">
        <v>6341250</v>
      </c>
      <c r="I20" s="24">
        <v>5608870</v>
      </c>
      <c r="J20" s="24">
        <v>6886160</v>
      </c>
      <c r="K20" s="24">
        <v>10381070</v>
      </c>
      <c r="L20" s="24">
        <v>4403700</v>
      </c>
      <c r="M20" s="24">
        <v>8587730</v>
      </c>
      <c r="N20" s="24">
        <v>13607770</v>
      </c>
      <c r="O20" s="24">
        <v>18885540</v>
      </c>
      <c r="Q20" s="37">
        <f t="shared" si="17"/>
        <v>530</v>
      </c>
      <c r="R20" s="37">
        <f t="shared" si="18"/>
        <v>9020</v>
      </c>
      <c r="S20" s="37">
        <f t="shared" si="16"/>
        <v>0</v>
      </c>
      <c r="T20" s="37">
        <f t="shared" si="19"/>
        <v>1320</v>
      </c>
      <c r="U20" s="37">
        <f t="shared" si="20"/>
        <v>4740</v>
      </c>
      <c r="V20" s="37">
        <f t="shared" si="21"/>
        <v>4250</v>
      </c>
      <c r="W20" s="37">
        <f t="shared" si="22"/>
        <v>2300</v>
      </c>
      <c r="X20" s="37">
        <f t="shared" si="23"/>
        <v>4520</v>
      </c>
      <c r="Y20" s="37">
        <f t="shared" si="24"/>
        <v>5060</v>
      </c>
      <c r="Z20" s="37">
        <f t="shared" si="25"/>
        <v>2460</v>
      </c>
      <c r="AA20" s="37">
        <f t="shared" si="26"/>
        <v>3110</v>
      </c>
      <c r="AB20" s="37">
        <f t="shared" si="27"/>
        <v>6850</v>
      </c>
      <c r="AC20" s="37">
        <f t="shared" si="28"/>
        <v>11480</v>
      </c>
      <c r="AD20" s="35">
        <f t="shared" si="29"/>
        <v>55640</v>
      </c>
      <c r="AF20" s="20">
        <f t="shared" si="1"/>
        <v>2.65</v>
      </c>
      <c r="AG20" s="20">
        <f t="shared" si="2"/>
        <v>45.1</v>
      </c>
      <c r="AH20" s="20">
        <f t="shared" si="3"/>
        <v>0</v>
      </c>
      <c r="AI20" s="20">
        <f t="shared" si="4"/>
        <v>6.6000000000000005</v>
      </c>
      <c r="AJ20" s="20">
        <f t="shared" si="5"/>
        <v>23.7</v>
      </c>
      <c r="AK20" s="20">
        <f t="shared" si="6"/>
        <v>21.25</v>
      </c>
      <c r="AL20" s="20">
        <f t="shared" si="7"/>
        <v>11.5</v>
      </c>
      <c r="AM20" s="20">
        <f t="shared" si="8"/>
        <v>22.6</v>
      </c>
      <c r="AN20" s="20">
        <f t="shared" si="9"/>
        <v>25.3</v>
      </c>
      <c r="AO20" s="20">
        <f t="shared" si="10"/>
        <v>12.3</v>
      </c>
      <c r="AP20" s="20">
        <f t="shared" si="11"/>
        <v>15.55</v>
      </c>
      <c r="AQ20" s="20">
        <f t="shared" si="12"/>
        <v>34.25</v>
      </c>
      <c r="AR20" s="20">
        <f t="shared" si="13"/>
        <v>57.4</v>
      </c>
      <c r="AS20" s="35">
        <f t="shared" si="30"/>
        <v>278.20000000000005</v>
      </c>
      <c r="AU20" s="47">
        <v>484753</v>
      </c>
      <c r="AV20" s="37">
        <f t="shared" si="31"/>
        <v>1343</v>
      </c>
      <c r="AW20" s="35">
        <f t="shared" si="14"/>
        <v>2.6859999999999999</v>
      </c>
    </row>
    <row r="21" spans="1:49" x14ac:dyDescent="0.25">
      <c r="A21" s="23">
        <v>44576</v>
      </c>
      <c r="B21" s="40">
        <v>57</v>
      </c>
      <c r="C21" s="24">
        <v>7473480</v>
      </c>
      <c r="D21" s="24">
        <v>17895150</v>
      </c>
      <c r="E21" s="24">
        <v>3198950</v>
      </c>
      <c r="F21" s="24">
        <v>3853190</v>
      </c>
      <c r="G21" s="24">
        <v>11370100</v>
      </c>
      <c r="H21" s="24">
        <v>6345650</v>
      </c>
      <c r="I21" s="24">
        <v>5611280</v>
      </c>
      <c r="J21" s="24">
        <v>6890650</v>
      </c>
      <c r="K21" s="24">
        <v>10385830</v>
      </c>
      <c r="L21" s="24">
        <v>4406150</v>
      </c>
      <c r="M21" s="24">
        <v>8590790</v>
      </c>
      <c r="N21" s="24">
        <v>13614580</v>
      </c>
      <c r="O21" s="24">
        <v>18897030</v>
      </c>
      <c r="Q21" s="37">
        <f t="shared" si="17"/>
        <v>550</v>
      </c>
      <c r="R21" s="37">
        <f t="shared" si="18"/>
        <v>8950</v>
      </c>
      <c r="S21" s="37">
        <f t="shared" si="16"/>
        <v>0</v>
      </c>
      <c r="T21" s="37">
        <f t="shared" si="19"/>
        <v>1350</v>
      </c>
      <c r="U21" s="37">
        <f t="shared" si="20"/>
        <v>5170</v>
      </c>
      <c r="V21" s="37">
        <f t="shared" si="21"/>
        <v>4400</v>
      </c>
      <c r="W21" s="37">
        <f t="shared" si="22"/>
        <v>2410</v>
      </c>
      <c r="X21" s="37">
        <f t="shared" si="23"/>
        <v>4490</v>
      </c>
      <c r="Y21" s="37">
        <f t="shared" si="24"/>
        <v>4760</v>
      </c>
      <c r="Z21" s="37">
        <f t="shared" si="25"/>
        <v>2450</v>
      </c>
      <c r="AA21" s="37">
        <f t="shared" si="26"/>
        <v>3060</v>
      </c>
      <c r="AB21" s="37">
        <f t="shared" si="27"/>
        <v>6810</v>
      </c>
      <c r="AC21" s="37">
        <f t="shared" si="28"/>
        <v>11490</v>
      </c>
      <c r="AD21" s="35">
        <f t="shared" si="29"/>
        <v>55890</v>
      </c>
      <c r="AF21" s="20">
        <f t="shared" si="1"/>
        <v>2.75</v>
      </c>
      <c r="AG21" s="20">
        <f t="shared" si="2"/>
        <v>44.75</v>
      </c>
      <c r="AH21" s="20">
        <f t="shared" si="3"/>
        <v>0</v>
      </c>
      <c r="AI21" s="20">
        <f t="shared" si="4"/>
        <v>6.75</v>
      </c>
      <c r="AJ21" s="20">
        <f t="shared" si="5"/>
        <v>25.85</v>
      </c>
      <c r="AK21" s="20">
        <f t="shared" si="6"/>
        <v>22</v>
      </c>
      <c r="AL21" s="20">
        <f t="shared" si="7"/>
        <v>12.05</v>
      </c>
      <c r="AM21" s="20">
        <f t="shared" si="8"/>
        <v>22.45</v>
      </c>
      <c r="AN21" s="20">
        <f t="shared" si="9"/>
        <v>23.8</v>
      </c>
      <c r="AO21" s="20">
        <f t="shared" si="10"/>
        <v>12.25</v>
      </c>
      <c r="AP21" s="20">
        <f t="shared" si="11"/>
        <v>15.3</v>
      </c>
      <c r="AQ21" s="20">
        <f t="shared" si="12"/>
        <v>34.049999999999997</v>
      </c>
      <c r="AR21" s="20">
        <f t="shared" si="13"/>
        <v>57.45</v>
      </c>
      <c r="AS21" s="35">
        <f t="shared" si="30"/>
        <v>279.45</v>
      </c>
      <c r="AU21" s="47">
        <v>487532</v>
      </c>
      <c r="AV21" s="37">
        <f t="shared" si="31"/>
        <v>2779</v>
      </c>
      <c r="AW21" s="35">
        <f t="shared" si="14"/>
        <v>5.5579999999999998</v>
      </c>
    </row>
    <row r="22" spans="1:49" x14ac:dyDescent="0.25">
      <c r="A22" s="23">
        <v>44577</v>
      </c>
      <c r="B22" s="40">
        <v>43</v>
      </c>
      <c r="C22" s="24">
        <v>7474050</v>
      </c>
      <c r="D22" s="24">
        <v>17904410</v>
      </c>
      <c r="E22" s="24">
        <v>3198950</v>
      </c>
      <c r="F22" s="24">
        <v>3854620</v>
      </c>
      <c r="G22" s="24">
        <v>11375070</v>
      </c>
      <c r="H22" s="24">
        <v>6350040</v>
      </c>
      <c r="I22" s="24">
        <v>5613800</v>
      </c>
      <c r="J22" s="44">
        <v>6895360</v>
      </c>
      <c r="K22" s="24">
        <v>10390780</v>
      </c>
      <c r="L22" s="24">
        <v>4408590</v>
      </c>
      <c r="M22" s="24">
        <v>8593810</v>
      </c>
      <c r="N22" s="24">
        <v>13621860</v>
      </c>
      <c r="O22" s="44">
        <v>18908940</v>
      </c>
      <c r="Q22" s="37">
        <f t="shared" si="17"/>
        <v>570</v>
      </c>
      <c r="R22" s="37">
        <f t="shared" si="18"/>
        <v>9260</v>
      </c>
      <c r="S22" s="37">
        <f t="shared" si="16"/>
        <v>0</v>
      </c>
      <c r="T22" s="37">
        <f t="shared" si="19"/>
        <v>1430</v>
      </c>
      <c r="U22" s="37">
        <f t="shared" si="20"/>
        <v>4970</v>
      </c>
      <c r="V22" s="37">
        <f t="shared" si="21"/>
        <v>4390</v>
      </c>
      <c r="W22" s="37">
        <f t="shared" si="22"/>
        <v>2520</v>
      </c>
      <c r="X22" s="37">
        <f t="shared" si="23"/>
        <v>4710</v>
      </c>
      <c r="Y22" s="37">
        <f t="shared" si="24"/>
        <v>4950</v>
      </c>
      <c r="Z22" s="37">
        <f t="shared" si="25"/>
        <v>2440</v>
      </c>
      <c r="AA22" s="37">
        <f t="shared" si="26"/>
        <v>3020</v>
      </c>
      <c r="AB22" s="37">
        <f t="shared" si="27"/>
        <v>7280</v>
      </c>
      <c r="AC22" s="37">
        <f t="shared" si="28"/>
        <v>11910</v>
      </c>
      <c r="AD22" s="35">
        <f t="shared" si="29"/>
        <v>57450</v>
      </c>
      <c r="AF22" s="20">
        <f t="shared" si="1"/>
        <v>2.85</v>
      </c>
      <c r="AG22" s="20">
        <f t="shared" si="2"/>
        <v>46.300000000000004</v>
      </c>
      <c r="AH22" s="20">
        <f t="shared" si="3"/>
        <v>0</v>
      </c>
      <c r="AI22" s="20">
        <f t="shared" si="4"/>
        <v>7.15</v>
      </c>
      <c r="AJ22" s="20">
        <f t="shared" si="5"/>
        <v>24.85</v>
      </c>
      <c r="AK22" s="20">
        <f t="shared" si="6"/>
        <v>21.95</v>
      </c>
      <c r="AL22" s="20">
        <f t="shared" si="7"/>
        <v>12.6</v>
      </c>
      <c r="AM22" s="20">
        <f t="shared" si="8"/>
        <v>23.55</v>
      </c>
      <c r="AN22" s="20">
        <f t="shared" si="9"/>
        <v>24.75</v>
      </c>
      <c r="AO22" s="20">
        <f t="shared" si="10"/>
        <v>12.200000000000001</v>
      </c>
      <c r="AP22" s="20">
        <f t="shared" si="11"/>
        <v>15.1</v>
      </c>
      <c r="AQ22" s="20">
        <f t="shared" si="12"/>
        <v>36.4</v>
      </c>
      <c r="AR22" s="20">
        <f t="shared" si="13"/>
        <v>59.550000000000004</v>
      </c>
      <c r="AS22" s="35">
        <f t="shared" si="30"/>
        <v>287.25</v>
      </c>
      <c r="AU22" s="47">
        <v>489116</v>
      </c>
      <c r="AV22" s="37">
        <f t="shared" si="31"/>
        <v>1584</v>
      </c>
      <c r="AW22" s="35">
        <f t="shared" si="14"/>
        <v>3.1680000000000001</v>
      </c>
    </row>
    <row r="23" spans="1:49" x14ac:dyDescent="0.25">
      <c r="A23" s="23">
        <v>44578</v>
      </c>
      <c r="B23" s="40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Q23" s="37" t="str">
        <f t="shared" si="17"/>
        <v>0</v>
      </c>
      <c r="R23" s="37" t="str">
        <f t="shared" si="18"/>
        <v>0</v>
      </c>
      <c r="S23" s="37" t="str">
        <f t="shared" si="16"/>
        <v>0</v>
      </c>
      <c r="T23" s="37" t="str">
        <f t="shared" si="19"/>
        <v>0</v>
      </c>
      <c r="U23" s="37" t="str">
        <f t="shared" si="20"/>
        <v>0</v>
      </c>
      <c r="V23" s="37" t="str">
        <f t="shared" si="21"/>
        <v>0</v>
      </c>
      <c r="W23" s="37" t="str">
        <f t="shared" si="22"/>
        <v>0</v>
      </c>
      <c r="X23" s="37" t="str">
        <f t="shared" si="23"/>
        <v>0</v>
      </c>
      <c r="Y23" s="37" t="str">
        <f t="shared" si="24"/>
        <v>0</v>
      </c>
      <c r="Z23" s="37" t="str">
        <f t="shared" si="25"/>
        <v>0</v>
      </c>
      <c r="AA23" s="37" t="str">
        <f t="shared" si="26"/>
        <v>0</v>
      </c>
      <c r="AB23" s="37" t="str">
        <f t="shared" si="27"/>
        <v>0</v>
      </c>
      <c r="AC23" s="37" t="str">
        <f t="shared" si="28"/>
        <v>0</v>
      </c>
      <c r="AD23" s="35">
        <f t="shared" si="29"/>
        <v>0</v>
      </c>
      <c r="AF23" s="20">
        <f t="shared" si="1"/>
        <v>0</v>
      </c>
      <c r="AG23" s="20">
        <f t="shared" si="2"/>
        <v>0</v>
      </c>
      <c r="AH23" s="20">
        <f t="shared" si="3"/>
        <v>0</v>
      </c>
      <c r="AI23" s="20">
        <f t="shared" si="4"/>
        <v>0</v>
      </c>
      <c r="AJ23" s="20">
        <f t="shared" si="5"/>
        <v>0</v>
      </c>
      <c r="AK23" s="20">
        <f t="shared" si="6"/>
        <v>0</v>
      </c>
      <c r="AL23" s="20">
        <f t="shared" si="7"/>
        <v>0</v>
      </c>
      <c r="AM23" s="20">
        <f t="shared" si="8"/>
        <v>0</v>
      </c>
      <c r="AN23" s="20">
        <f t="shared" si="9"/>
        <v>0</v>
      </c>
      <c r="AO23" s="20">
        <f t="shared" si="10"/>
        <v>0</v>
      </c>
      <c r="AP23" s="20">
        <f t="shared" si="11"/>
        <v>0</v>
      </c>
      <c r="AQ23" s="20">
        <f t="shared" si="12"/>
        <v>0</v>
      </c>
      <c r="AR23" s="20">
        <f t="shared" si="13"/>
        <v>0</v>
      </c>
      <c r="AS23" s="35">
        <f t="shared" si="30"/>
        <v>0</v>
      </c>
      <c r="AU23" s="47"/>
      <c r="AV23" s="37" t="str">
        <f t="shared" si="31"/>
        <v>0</v>
      </c>
      <c r="AW23" s="35">
        <f t="shared" si="14"/>
        <v>0</v>
      </c>
    </row>
    <row r="24" spans="1:49" x14ac:dyDescent="0.25">
      <c r="A24" s="23">
        <v>44579</v>
      </c>
      <c r="B24" s="40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Q24" s="37">
        <f t="shared" si="17"/>
        <v>0</v>
      </c>
      <c r="R24" s="37">
        <f t="shared" si="18"/>
        <v>0</v>
      </c>
      <c r="S24" s="37">
        <f t="shared" si="16"/>
        <v>0</v>
      </c>
      <c r="T24" s="37">
        <f t="shared" si="19"/>
        <v>0</v>
      </c>
      <c r="U24" s="37">
        <f t="shared" si="20"/>
        <v>0</v>
      </c>
      <c r="V24" s="37">
        <f t="shared" si="21"/>
        <v>0</v>
      </c>
      <c r="W24" s="37">
        <f t="shared" si="22"/>
        <v>0</v>
      </c>
      <c r="X24" s="37">
        <f t="shared" si="23"/>
        <v>0</v>
      </c>
      <c r="Y24" s="37">
        <f t="shared" si="24"/>
        <v>0</v>
      </c>
      <c r="Z24" s="37">
        <f t="shared" si="25"/>
        <v>0</v>
      </c>
      <c r="AA24" s="37">
        <f t="shared" si="26"/>
        <v>0</v>
      </c>
      <c r="AB24" s="37">
        <f t="shared" si="27"/>
        <v>0</v>
      </c>
      <c r="AC24" s="37">
        <f t="shared" si="28"/>
        <v>0</v>
      </c>
      <c r="AD24" s="35">
        <f t="shared" si="29"/>
        <v>0</v>
      </c>
      <c r="AF24" s="20">
        <f t="shared" si="1"/>
        <v>0</v>
      </c>
      <c r="AG24" s="20">
        <f t="shared" si="2"/>
        <v>0</v>
      </c>
      <c r="AH24" s="20">
        <f t="shared" si="3"/>
        <v>0</v>
      </c>
      <c r="AI24" s="20">
        <f t="shared" si="4"/>
        <v>0</v>
      </c>
      <c r="AJ24" s="20">
        <f t="shared" si="5"/>
        <v>0</v>
      </c>
      <c r="AK24" s="20">
        <f t="shared" si="6"/>
        <v>0</v>
      </c>
      <c r="AL24" s="20">
        <f t="shared" si="7"/>
        <v>0</v>
      </c>
      <c r="AM24" s="20">
        <f t="shared" si="8"/>
        <v>0</v>
      </c>
      <c r="AN24" s="20">
        <f t="shared" si="9"/>
        <v>0</v>
      </c>
      <c r="AO24" s="20">
        <f t="shared" si="10"/>
        <v>0</v>
      </c>
      <c r="AP24" s="20">
        <f t="shared" si="11"/>
        <v>0</v>
      </c>
      <c r="AQ24" s="20">
        <f t="shared" si="12"/>
        <v>0</v>
      </c>
      <c r="AR24" s="20">
        <f t="shared" si="13"/>
        <v>0</v>
      </c>
      <c r="AS24" s="35">
        <f t="shared" si="30"/>
        <v>0</v>
      </c>
      <c r="AU24" s="47"/>
      <c r="AV24" s="37">
        <f t="shared" si="31"/>
        <v>0</v>
      </c>
      <c r="AW24" s="35">
        <f t="shared" si="14"/>
        <v>0</v>
      </c>
    </row>
    <row r="25" spans="1:49" x14ac:dyDescent="0.25">
      <c r="A25" s="23">
        <v>44580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>
        <f t="shared" ref="Q25:AC27" si="33">IF((C25-C24&lt;0), "0",C25-C24)</f>
        <v>0</v>
      </c>
      <c r="R25" s="37">
        <f t="shared" si="33"/>
        <v>0</v>
      </c>
      <c r="S25" s="37">
        <f t="shared" si="33"/>
        <v>0</v>
      </c>
      <c r="T25" s="37">
        <f t="shared" si="33"/>
        <v>0</v>
      </c>
      <c r="U25" s="37">
        <f t="shared" si="33"/>
        <v>0</v>
      </c>
      <c r="V25" s="37">
        <f t="shared" si="33"/>
        <v>0</v>
      </c>
      <c r="W25" s="37">
        <f t="shared" si="33"/>
        <v>0</v>
      </c>
      <c r="X25" s="37">
        <f t="shared" si="33"/>
        <v>0</v>
      </c>
      <c r="Y25" s="37">
        <f t="shared" si="33"/>
        <v>0</v>
      </c>
      <c r="Z25" s="37">
        <f t="shared" si="33"/>
        <v>0</v>
      </c>
      <c r="AA25" s="37">
        <f t="shared" si="33"/>
        <v>0</v>
      </c>
      <c r="AB25" s="37">
        <f t="shared" si="33"/>
        <v>0</v>
      </c>
      <c r="AC25" s="37">
        <f t="shared" si="33"/>
        <v>0</v>
      </c>
      <c r="AD25" s="35">
        <f t="shared" si="29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30"/>
        <v>0</v>
      </c>
      <c r="AU25" s="47"/>
      <c r="AV25" s="37">
        <f t="shared" si="31"/>
        <v>0</v>
      </c>
      <c r="AW25" s="35">
        <f t="shared" si="14"/>
        <v>0</v>
      </c>
    </row>
    <row r="26" spans="1:49" x14ac:dyDescent="0.25">
      <c r="A26" s="23">
        <v>44581</v>
      </c>
      <c r="B26" s="40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Q26" s="37">
        <f t="shared" si="33"/>
        <v>0</v>
      </c>
      <c r="R26" s="37">
        <f t="shared" si="33"/>
        <v>0</v>
      </c>
      <c r="S26" s="37">
        <f t="shared" si="33"/>
        <v>0</v>
      </c>
      <c r="T26" s="37">
        <f t="shared" si="33"/>
        <v>0</v>
      </c>
      <c r="U26" s="37">
        <f t="shared" si="33"/>
        <v>0</v>
      </c>
      <c r="V26" s="37">
        <f t="shared" si="33"/>
        <v>0</v>
      </c>
      <c r="W26" s="37">
        <f t="shared" si="33"/>
        <v>0</v>
      </c>
      <c r="X26" s="37">
        <f t="shared" si="33"/>
        <v>0</v>
      </c>
      <c r="Y26" s="37">
        <f t="shared" si="33"/>
        <v>0</v>
      </c>
      <c r="Z26" s="37">
        <f t="shared" si="33"/>
        <v>0</v>
      </c>
      <c r="AA26" s="37">
        <f t="shared" si="33"/>
        <v>0</v>
      </c>
      <c r="AB26" s="37">
        <f t="shared" si="33"/>
        <v>0</v>
      </c>
      <c r="AC26" s="37">
        <f t="shared" si="33"/>
        <v>0</v>
      </c>
      <c r="AD26" s="35">
        <f t="shared" si="29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30"/>
        <v>0</v>
      </c>
      <c r="AU26" s="47"/>
      <c r="AV26" s="37">
        <f t="shared" si="31"/>
        <v>0</v>
      </c>
      <c r="AW26" s="35">
        <f t="shared" si="14"/>
        <v>0</v>
      </c>
    </row>
    <row r="27" spans="1:49" x14ac:dyDescent="0.25">
      <c r="A27" s="23">
        <v>44582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3"/>
        <v>0</v>
      </c>
      <c r="R27" s="37">
        <f t="shared" si="33"/>
        <v>0</v>
      </c>
      <c r="S27" s="37">
        <f t="shared" si="33"/>
        <v>0</v>
      </c>
      <c r="T27" s="37">
        <f t="shared" si="33"/>
        <v>0</v>
      </c>
      <c r="U27" s="37">
        <f t="shared" si="33"/>
        <v>0</v>
      </c>
      <c r="V27" s="37">
        <f t="shared" si="33"/>
        <v>0</v>
      </c>
      <c r="W27" s="37">
        <f t="shared" si="33"/>
        <v>0</v>
      </c>
      <c r="X27" s="37">
        <f t="shared" si="33"/>
        <v>0</v>
      </c>
      <c r="Y27" s="37">
        <f t="shared" si="33"/>
        <v>0</v>
      </c>
      <c r="Z27" s="37">
        <f t="shared" si="33"/>
        <v>0</v>
      </c>
      <c r="AA27" s="37">
        <f t="shared" si="33"/>
        <v>0</v>
      </c>
      <c r="AB27" s="37">
        <f t="shared" si="33"/>
        <v>0</v>
      </c>
      <c r="AC27" s="37">
        <f t="shared" si="33"/>
        <v>0</v>
      </c>
      <c r="AD27" s="35">
        <f t="shared" si="29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30"/>
        <v>0</v>
      </c>
      <c r="AU27" s="47"/>
      <c r="AV27" s="37">
        <f>IF((AU27-AU26&lt;0),"0",AU27-AU26)</f>
        <v>0</v>
      </c>
      <c r="AW27" s="35">
        <f t="shared" si="14"/>
        <v>0</v>
      </c>
    </row>
    <row r="28" spans="1:49" x14ac:dyDescent="0.25">
      <c r="A28" s="23">
        <v>44583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7"/>
        <v>0</v>
      </c>
      <c r="R28" s="37">
        <f t="shared" si="18"/>
        <v>0</v>
      </c>
      <c r="S28" s="37">
        <f t="shared" si="16"/>
        <v>0</v>
      </c>
      <c r="T28" s="37">
        <f t="shared" si="19"/>
        <v>0</v>
      </c>
      <c r="U28" s="37">
        <f t="shared" si="20"/>
        <v>0</v>
      </c>
      <c r="V28" s="37">
        <f t="shared" si="21"/>
        <v>0</v>
      </c>
      <c r="W28" s="37">
        <f t="shared" si="22"/>
        <v>0</v>
      </c>
      <c r="X28" s="37">
        <f t="shared" si="23"/>
        <v>0</v>
      </c>
      <c r="Y28" s="37">
        <f t="shared" si="24"/>
        <v>0</v>
      </c>
      <c r="Z28" s="37">
        <f t="shared" si="25"/>
        <v>0</v>
      </c>
      <c r="AA28" s="37">
        <f t="shared" si="26"/>
        <v>0</v>
      </c>
      <c r="AB28" s="37">
        <f t="shared" si="27"/>
        <v>0</v>
      </c>
      <c r="AC28" s="37">
        <f t="shared" si="28"/>
        <v>0</v>
      </c>
      <c r="AD28" s="35">
        <f t="shared" si="29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30"/>
        <v>0</v>
      </c>
      <c r="AU28" s="47"/>
      <c r="AV28" s="37">
        <f>IF((AU28-AU27&lt;0),"0",AU28-AU27)</f>
        <v>0</v>
      </c>
      <c r="AW28" s="35">
        <f t="shared" si="14"/>
        <v>0</v>
      </c>
    </row>
    <row r="29" spans="1:49" x14ac:dyDescent="0.25">
      <c r="A29" s="23">
        <v>44584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7"/>
        <v>0</v>
      </c>
      <c r="R29" s="37">
        <f t="shared" si="18"/>
        <v>0</v>
      </c>
      <c r="S29" s="37">
        <f t="shared" si="16"/>
        <v>0</v>
      </c>
      <c r="T29" s="37">
        <f t="shared" si="19"/>
        <v>0</v>
      </c>
      <c r="U29" s="37">
        <f t="shared" si="20"/>
        <v>0</v>
      </c>
      <c r="V29" s="37">
        <f t="shared" si="21"/>
        <v>0</v>
      </c>
      <c r="W29" s="37">
        <f t="shared" si="22"/>
        <v>0</v>
      </c>
      <c r="X29" s="37">
        <f t="shared" si="23"/>
        <v>0</v>
      </c>
      <c r="Y29" s="37">
        <f t="shared" si="24"/>
        <v>0</v>
      </c>
      <c r="Z29" s="37">
        <f t="shared" si="25"/>
        <v>0</v>
      </c>
      <c r="AA29" s="37">
        <f t="shared" si="26"/>
        <v>0</v>
      </c>
      <c r="AB29" s="37">
        <f t="shared" si="27"/>
        <v>0</v>
      </c>
      <c r="AC29" s="37">
        <f t="shared" si="28"/>
        <v>0</v>
      </c>
      <c r="AD29" s="35">
        <f t="shared" si="29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30"/>
        <v>0</v>
      </c>
      <c r="AU29" s="47"/>
      <c r="AV29" s="37">
        <f t="shared" ref="AV29:AV35" si="34">IF((AU29-AU28&lt;0),"0",AU29-AU28)</f>
        <v>0</v>
      </c>
      <c r="AW29" s="35">
        <f t="shared" si="14"/>
        <v>0</v>
      </c>
    </row>
    <row r="30" spans="1:49" x14ac:dyDescent="0.25">
      <c r="A30" s="23">
        <v>44585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7"/>
        <v>0</v>
      </c>
      <c r="R30" s="37">
        <f t="shared" si="18"/>
        <v>0</v>
      </c>
      <c r="S30" s="37">
        <f t="shared" si="16"/>
        <v>0</v>
      </c>
      <c r="T30" s="37">
        <f t="shared" si="19"/>
        <v>0</v>
      </c>
      <c r="U30" s="37">
        <f t="shared" si="20"/>
        <v>0</v>
      </c>
      <c r="V30" s="37">
        <f t="shared" si="21"/>
        <v>0</v>
      </c>
      <c r="W30" s="37">
        <f t="shared" si="22"/>
        <v>0</v>
      </c>
      <c r="X30" s="37">
        <f t="shared" si="23"/>
        <v>0</v>
      </c>
      <c r="Y30" s="37">
        <f t="shared" si="24"/>
        <v>0</v>
      </c>
      <c r="Z30" s="37">
        <f t="shared" si="25"/>
        <v>0</v>
      </c>
      <c r="AA30" s="37">
        <f t="shared" si="26"/>
        <v>0</v>
      </c>
      <c r="AB30" s="37">
        <f t="shared" si="27"/>
        <v>0</v>
      </c>
      <c r="AC30" s="37">
        <f t="shared" si="28"/>
        <v>0</v>
      </c>
      <c r="AD30" s="35">
        <f t="shared" si="29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30"/>
        <v>0</v>
      </c>
      <c r="AU30" s="47"/>
      <c r="AV30" s="37">
        <f t="shared" si="34"/>
        <v>0</v>
      </c>
      <c r="AW30" s="35">
        <f t="shared" si="14"/>
        <v>0</v>
      </c>
    </row>
    <row r="31" spans="1:49" x14ac:dyDescent="0.25">
      <c r="A31" s="23">
        <v>44586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>IF((C31-C30&lt;0), "0",C31-C30)</f>
        <v>0</v>
      </c>
      <c r="R31" s="37">
        <f t="shared" si="18"/>
        <v>0</v>
      </c>
      <c r="S31" s="37">
        <f t="shared" si="16"/>
        <v>0</v>
      </c>
      <c r="T31" s="37">
        <f t="shared" si="19"/>
        <v>0</v>
      </c>
      <c r="U31" s="37">
        <f t="shared" si="20"/>
        <v>0</v>
      </c>
      <c r="V31" s="37">
        <f t="shared" si="21"/>
        <v>0</v>
      </c>
      <c r="W31" s="37">
        <f t="shared" si="22"/>
        <v>0</v>
      </c>
      <c r="X31" s="37">
        <f t="shared" si="23"/>
        <v>0</v>
      </c>
      <c r="Y31" s="37">
        <f t="shared" si="24"/>
        <v>0</v>
      </c>
      <c r="Z31" s="37">
        <f t="shared" si="25"/>
        <v>0</v>
      </c>
      <c r="AA31" s="37">
        <f t="shared" si="26"/>
        <v>0</v>
      </c>
      <c r="AB31" s="37">
        <f t="shared" si="27"/>
        <v>0</v>
      </c>
      <c r="AC31" s="37">
        <f t="shared" si="28"/>
        <v>0</v>
      </c>
      <c r="AD31" s="35">
        <f t="shared" si="29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30"/>
        <v>0</v>
      </c>
      <c r="AU31" s="47"/>
      <c r="AV31" s="37">
        <f t="shared" si="34"/>
        <v>0</v>
      </c>
      <c r="AW31" s="35">
        <f t="shared" si="14"/>
        <v>0</v>
      </c>
    </row>
    <row r="32" spans="1:49" x14ac:dyDescent="0.25">
      <c r="A32" s="23">
        <v>44587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>IF((C32-C31&lt;0), "0",C32-C31)</f>
        <v>0</v>
      </c>
      <c r="R32" s="37">
        <f t="shared" si="18"/>
        <v>0</v>
      </c>
      <c r="S32" s="37">
        <f t="shared" si="16"/>
        <v>0</v>
      </c>
      <c r="T32" s="37">
        <f t="shared" si="19"/>
        <v>0</v>
      </c>
      <c r="U32" s="37">
        <f t="shared" si="20"/>
        <v>0</v>
      </c>
      <c r="V32" s="37">
        <f t="shared" si="21"/>
        <v>0</v>
      </c>
      <c r="W32" s="37">
        <f t="shared" si="22"/>
        <v>0</v>
      </c>
      <c r="X32" s="37">
        <f t="shared" si="23"/>
        <v>0</v>
      </c>
      <c r="Y32" s="37">
        <f t="shared" si="24"/>
        <v>0</v>
      </c>
      <c r="Z32" s="37">
        <f t="shared" si="25"/>
        <v>0</v>
      </c>
      <c r="AA32" s="37">
        <f t="shared" si="26"/>
        <v>0</v>
      </c>
      <c r="AB32" s="37">
        <f t="shared" si="27"/>
        <v>0</v>
      </c>
      <c r="AC32" s="37">
        <f t="shared" si="28"/>
        <v>0</v>
      </c>
      <c r="AD32" s="35">
        <f t="shared" si="29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30"/>
        <v>0</v>
      </c>
      <c r="AU32" s="47"/>
      <c r="AV32" s="37">
        <f t="shared" si="34"/>
        <v>0</v>
      </c>
      <c r="AW32" s="35">
        <f t="shared" si="14"/>
        <v>0</v>
      </c>
    </row>
    <row r="33" spans="1:49" x14ac:dyDescent="0.25">
      <c r="A33" s="23">
        <v>44588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8"/>
        <v>0</v>
      </c>
      <c r="S33" s="37">
        <f t="shared" si="16"/>
        <v>0</v>
      </c>
      <c r="T33" s="37">
        <f t="shared" si="19"/>
        <v>0</v>
      </c>
      <c r="U33" s="37">
        <f t="shared" si="20"/>
        <v>0</v>
      </c>
      <c r="V33" s="37">
        <f t="shared" si="21"/>
        <v>0</v>
      </c>
      <c r="W33" s="37">
        <f t="shared" si="22"/>
        <v>0</v>
      </c>
      <c r="X33" s="37">
        <f t="shared" si="23"/>
        <v>0</v>
      </c>
      <c r="Y33" s="37">
        <f t="shared" si="24"/>
        <v>0</v>
      </c>
      <c r="Z33" s="37">
        <f t="shared" si="25"/>
        <v>0</v>
      </c>
      <c r="AA33" s="37">
        <f t="shared" si="26"/>
        <v>0</v>
      </c>
      <c r="AB33" s="37">
        <f t="shared" si="27"/>
        <v>0</v>
      </c>
      <c r="AC33" s="37">
        <f t="shared" si="28"/>
        <v>0</v>
      </c>
      <c r="AD33" s="35">
        <f t="shared" si="29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30"/>
        <v>0</v>
      </c>
      <c r="AU33" s="47"/>
      <c r="AV33" s="37">
        <f t="shared" si="34"/>
        <v>0</v>
      </c>
      <c r="AW33" s="35">
        <f t="shared" si="14"/>
        <v>0</v>
      </c>
    </row>
    <row r="34" spans="1:49" x14ac:dyDescent="0.25">
      <c r="A34" s="23">
        <v>44589</v>
      </c>
      <c r="B34" s="51"/>
      <c r="C34" s="50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8"/>
        <v>0</v>
      </c>
      <c r="S34" s="37">
        <f t="shared" si="16"/>
        <v>0</v>
      </c>
      <c r="T34" s="37">
        <f t="shared" si="19"/>
        <v>0</v>
      </c>
      <c r="U34" s="37">
        <f t="shared" si="20"/>
        <v>0</v>
      </c>
      <c r="V34" s="37">
        <f t="shared" si="21"/>
        <v>0</v>
      </c>
      <c r="W34" s="37">
        <f t="shared" si="22"/>
        <v>0</v>
      </c>
      <c r="X34" s="37">
        <f t="shared" si="23"/>
        <v>0</v>
      </c>
      <c r="Y34" s="37">
        <f t="shared" si="24"/>
        <v>0</v>
      </c>
      <c r="Z34" s="37">
        <f t="shared" si="25"/>
        <v>0</v>
      </c>
      <c r="AA34" s="37">
        <f t="shared" si="26"/>
        <v>0</v>
      </c>
      <c r="AB34" s="37">
        <v>0</v>
      </c>
      <c r="AC34" s="37">
        <f t="shared" si="28"/>
        <v>0</v>
      </c>
      <c r="AD34" s="35">
        <f t="shared" si="29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 t="shared" si="34"/>
        <v>0</v>
      </c>
      <c r="AW34" s="35">
        <f t="shared" si="14"/>
        <v>0</v>
      </c>
    </row>
    <row r="35" spans="1:49" x14ac:dyDescent="0.25">
      <c r="A35" s="23">
        <v>44590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8"/>
        <v>0</v>
      </c>
      <c r="S35" s="37">
        <f t="shared" si="16"/>
        <v>0</v>
      </c>
      <c r="T35" s="37">
        <f t="shared" si="19"/>
        <v>0</v>
      </c>
      <c r="U35" s="37">
        <f t="shared" si="20"/>
        <v>0</v>
      </c>
      <c r="V35" s="37">
        <f t="shared" si="21"/>
        <v>0</v>
      </c>
      <c r="W35" s="37">
        <f t="shared" si="22"/>
        <v>0</v>
      </c>
      <c r="X35" s="37">
        <f t="shared" si="23"/>
        <v>0</v>
      </c>
      <c r="Y35" s="37">
        <f t="shared" si="24"/>
        <v>0</v>
      </c>
      <c r="Z35" s="37">
        <f t="shared" si="25"/>
        <v>0</v>
      </c>
      <c r="AA35" s="37">
        <f t="shared" si="26"/>
        <v>0</v>
      </c>
      <c r="AB35" s="37">
        <v>0</v>
      </c>
      <c r="AC35" s="37">
        <f t="shared" si="28"/>
        <v>0</v>
      </c>
      <c r="AD35" s="35">
        <f t="shared" si="29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14"/>
        <v>0</v>
      </c>
    </row>
    <row r="36" spans="1:49" x14ac:dyDescent="0.25">
      <c r="A36" s="23">
        <v>44591</v>
      </c>
      <c r="B36" s="40"/>
      <c r="C36" s="24"/>
      <c r="D36" s="24"/>
      <c r="E36" s="24"/>
      <c r="F36" s="24"/>
      <c r="G36" s="24"/>
      <c r="H36" s="24"/>
      <c r="I36" s="24"/>
      <c r="J36" s="52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35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7"/>
        <v>0</v>
      </c>
      <c r="AC36" s="37">
        <f t="shared" si="28"/>
        <v>0</v>
      </c>
      <c r="AD36" s="35">
        <f t="shared" si="29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>
        <v>44592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ref="R37" si="39">IF((D37-D36&lt;0), "0",D37-D36)</f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ref="X37" si="45">IF((J37-J36&lt;0), "0",J37-J36)</f>
        <v>0</v>
      </c>
      <c r="Y37" s="37">
        <f t="shared" ref="Y37" si="46">IF((K37-K36&lt;0), "0",K37-K36)</f>
        <v>0</v>
      </c>
      <c r="Z37" s="37">
        <f t="shared" ref="Z37" si="47">IF((L37-L36&lt;0), "0",L37-L36)</f>
        <v>0</v>
      </c>
      <c r="AA37" s="37">
        <f t="shared" ref="AA37" si="48">IF((M37-M36&lt;0), "0",M37-M36)</f>
        <v>0</v>
      </c>
      <c r="AB37" s="37">
        <f t="shared" si="27"/>
        <v>0</v>
      </c>
      <c r="AC37" s="37">
        <f t="shared" si="28"/>
        <v>0</v>
      </c>
      <c r="AD37" s="35">
        <f t="shared" si="29"/>
        <v>0</v>
      </c>
      <c r="AF37" s="20">
        <f t="shared" ref="AF37" si="49">Q37*$D$39</f>
        <v>0</v>
      </c>
      <c r="AG37" s="20">
        <f t="shared" ref="AG37" si="50">R37*$D$39</f>
        <v>0</v>
      </c>
      <c r="AH37" s="20">
        <f t="shared" ref="AH37" si="51">S37*$D$39</f>
        <v>0</v>
      </c>
      <c r="AI37" s="20">
        <f t="shared" ref="AI37" si="52">T37*$D$39</f>
        <v>0</v>
      </c>
      <c r="AJ37" s="20">
        <f t="shared" ref="AJ37" si="53">U37*$D$39</f>
        <v>0</v>
      </c>
      <c r="AK37" s="20">
        <f t="shared" ref="AK37" si="54">V37*$D$39</f>
        <v>0</v>
      </c>
      <c r="AL37" s="20">
        <f t="shared" ref="AL37" si="55">W37*$D$39</f>
        <v>0</v>
      </c>
      <c r="AM37" s="20">
        <f t="shared" ref="AM37" si="56">X37*$D$39</f>
        <v>0</v>
      </c>
      <c r="AN37" s="20">
        <f t="shared" ref="AN37" si="57">Y37*$D$39</f>
        <v>0</v>
      </c>
      <c r="AO37" s="20">
        <f t="shared" ref="AO37" si="58">Z37*$D$39</f>
        <v>0</v>
      </c>
      <c r="AP37" s="20">
        <f t="shared" ref="AP37" si="59">AA37*$D$39</f>
        <v>0</v>
      </c>
      <c r="AQ37" s="20">
        <f t="shared" ref="AQ37" si="60">AB37*$D$39</f>
        <v>0</v>
      </c>
      <c r="AR37" s="20">
        <f t="shared" ref="AR37" si="61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9010</v>
      </c>
      <c r="R38" s="38">
        <f t="shared" ref="R38:AD38" si="62">SUM(R7:R37)</f>
        <v>138380</v>
      </c>
      <c r="S38" s="38">
        <f t="shared" si="62"/>
        <v>10</v>
      </c>
      <c r="T38" s="38">
        <f t="shared" si="62"/>
        <v>22000</v>
      </c>
      <c r="U38" s="38">
        <f t="shared" si="62"/>
        <v>83810</v>
      </c>
      <c r="V38" s="38">
        <f t="shared" si="62"/>
        <v>70420</v>
      </c>
      <c r="W38" s="38">
        <f t="shared" si="62"/>
        <v>40490</v>
      </c>
      <c r="X38" s="38">
        <f t="shared" si="62"/>
        <v>75490</v>
      </c>
      <c r="Y38" s="38">
        <f t="shared" si="62"/>
        <v>83210</v>
      </c>
      <c r="Z38" s="38">
        <f t="shared" si="62"/>
        <v>41470</v>
      </c>
      <c r="AA38" s="38">
        <f t="shared" si="62"/>
        <v>51000</v>
      </c>
      <c r="AB38" s="38">
        <f t="shared" si="62"/>
        <v>116620</v>
      </c>
      <c r="AC38" s="38">
        <f t="shared" si="62"/>
        <v>178030</v>
      </c>
      <c r="AD38" s="38">
        <f t="shared" si="62"/>
        <v>909940</v>
      </c>
      <c r="AF38" s="35">
        <f>SUM(AF7:AF37)</f>
        <v>45.050000000000004</v>
      </c>
      <c r="AG38" s="35">
        <f t="shared" ref="AG38:AS38" si="63">SUM(AG7:AG37)</f>
        <v>691.9</v>
      </c>
      <c r="AH38" s="35">
        <f t="shared" si="63"/>
        <v>0.05</v>
      </c>
      <c r="AI38" s="35">
        <f t="shared" si="63"/>
        <v>110.00000000000001</v>
      </c>
      <c r="AJ38" s="35">
        <f t="shared" si="63"/>
        <v>419.04999999999995</v>
      </c>
      <c r="AK38" s="35">
        <f t="shared" si="63"/>
        <v>352.1</v>
      </c>
      <c r="AL38" s="35">
        <f t="shared" si="63"/>
        <v>202.45</v>
      </c>
      <c r="AM38" s="35">
        <f t="shared" si="63"/>
        <v>377.45000000000005</v>
      </c>
      <c r="AN38" s="35">
        <f t="shared" si="63"/>
        <v>416.05000000000007</v>
      </c>
      <c r="AO38" s="35">
        <f t="shared" si="63"/>
        <v>207.35</v>
      </c>
      <c r="AP38" s="35">
        <f t="shared" si="63"/>
        <v>255.00000000000003</v>
      </c>
      <c r="AQ38" s="35">
        <f t="shared" si="63"/>
        <v>583.1</v>
      </c>
      <c r="AR38" s="35">
        <f t="shared" si="63"/>
        <v>890.15000000000009</v>
      </c>
      <c r="AS38" s="35">
        <f t="shared" si="63"/>
        <v>4549.7000000000007</v>
      </c>
      <c r="AU38" s="48"/>
      <c r="AV38" s="35">
        <f>SUM(AV7:AV34)</f>
        <v>25469</v>
      </c>
      <c r="AW38" s="35">
        <f>SUM(AW7:AW34)</f>
        <v>50.938000000000002</v>
      </c>
    </row>
    <row r="39" spans="1:49" x14ac:dyDescent="0.25">
      <c r="D39">
        <v>5.0000000000000001E-3</v>
      </c>
      <c r="AV39" s="36">
        <f>AV38*0.00378541*1000</f>
        <v>96410.60729</v>
      </c>
    </row>
    <row r="40" spans="1:49" x14ac:dyDescent="0.25">
      <c r="D40">
        <v>2E-3</v>
      </c>
      <c r="AV40">
        <f>AV39/31</f>
        <v>3110.0195899999999</v>
      </c>
    </row>
    <row r="41" spans="1:49" x14ac:dyDescent="0.25">
      <c r="AV41">
        <f>AV38*0.00378541</f>
        <v>96.410607290000002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2022-01-17T12:16:04Z</dcterms:modified>
</cp:coreProperties>
</file>