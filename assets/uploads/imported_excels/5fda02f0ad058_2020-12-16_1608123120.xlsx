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" i="24"/>
  <c r="I5"/>
  <c r="I6"/>
  <c r="I7"/>
  <c r="I8"/>
  <c r="I9"/>
  <c r="I10"/>
  <c r="I11"/>
  <c r="I12"/>
  <c r="I13"/>
  <c r="I14"/>
  <c r="I15"/>
  <c r="I18"/>
  <c r="I19"/>
  <c r="I20"/>
  <c r="I21"/>
  <c r="I22"/>
  <c r="I23"/>
  <c r="I24"/>
  <c r="I25"/>
  <c r="I26"/>
  <c r="I27"/>
  <c r="I28"/>
  <c r="I29"/>
  <c r="I30"/>
  <c r="I31"/>
  <c r="I32"/>
  <c r="I33"/>
  <c r="I3"/>
  <c r="F4"/>
  <c r="F5"/>
  <c r="F6"/>
  <c r="F7"/>
  <c r="F8"/>
  <c r="F9"/>
  <c r="F10"/>
  <c r="F11"/>
  <c r="F12"/>
  <c r="F13"/>
  <c r="F14"/>
  <c r="F18"/>
  <c r="F19"/>
  <c r="F20"/>
  <c r="F21"/>
  <c r="F22"/>
  <c r="F23"/>
  <c r="F24"/>
  <c r="F25"/>
  <c r="F26"/>
  <c r="F27"/>
  <c r="F28"/>
  <c r="F29"/>
  <c r="F30"/>
  <c r="F31"/>
  <c r="F32"/>
  <c r="F33"/>
  <c r="F34"/>
  <c r="F3"/>
  <c r="E4"/>
  <c r="E5"/>
  <c r="E6"/>
  <c r="E8"/>
  <c r="E9"/>
  <c r="E10"/>
  <c r="E11"/>
  <c r="E12"/>
  <c r="E13"/>
  <c r="E14"/>
  <c r="E34"/>
  <c r="E3"/>
  <c r="D56" i="3"/>
  <c r="H14" i="15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G15"/>
  <c r="G12"/>
  <c r="G10"/>
  <c r="G11"/>
  <c r="G13"/>
  <c r="G14"/>
  <c r="G16"/>
  <c r="G17"/>
  <c r="G18"/>
  <c r="G19"/>
  <c r="G20"/>
  <c r="G21"/>
  <c r="G22"/>
  <c r="G23"/>
  <c r="G24"/>
  <c r="G25"/>
  <c r="G26"/>
  <c r="C9" i="1" l="1"/>
  <c r="C11" s="1"/>
  <c r="T10"/>
  <c r="T11"/>
  <c r="T12"/>
  <c r="T13"/>
  <c r="T14"/>
  <c r="T15"/>
  <c r="T16"/>
  <c r="T17"/>
  <c r="T18"/>
  <c r="T19"/>
  <c r="T20"/>
  <c r="T21"/>
  <c r="T22"/>
  <c r="T23"/>
  <c r="F15" i="24" s="1"/>
  <c r="T24" i="1"/>
  <c r="F16" i="24" s="1"/>
  <c r="T25" i="1"/>
  <c r="F17" i="24" s="1"/>
  <c r="T26" i="1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H42" i="15" s="1"/>
  <c r="AJ42" i="1"/>
  <c r="S42"/>
  <c r="AJ4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C28" i="23" s="1"/>
  <c r="S34" i="1"/>
  <c r="E26" i="24" s="1"/>
  <c r="AJ33" i="1"/>
  <c r="C27" i="23" s="1"/>
  <c r="S33" i="1"/>
  <c r="E25" i="24" s="1"/>
  <c r="AJ32" i="1"/>
  <c r="C26" i="23" s="1"/>
  <c r="S32" i="1"/>
  <c r="AJ31"/>
  <c r="C25" i="23" s="1"/>
  <c r="S31" i="1"/>
  <c r="AJ30"/>
  <c r="C24" i="23" s="1"/>
  <c r="S30" i="1"/>
  <c r="E22" i="24" s="1"/>
  <c r="AJ29" i="1"/>
  <c r="C23" i="23" s="1"/>
  <c r="S29" i="1"/>
  <c r="E21" i="24" s="1"/>
  <c r="AJ28" i="1"/>
  <c r="C22" i="23" s="1"/>
  <c r="S28" i="1"/>
  <c r="AJ27"/>
  <c r="C21" i="23" s="1"/>
  <c r="S27" i="1"/>
  <c r="AJ26"/>
  <c r="C20" i="23" s="1"/>
  <c r="S26" i="1"/>
  <c r="E18" i="24" s="1"/>
  <c r="AJ25" i="1"/>
  <c r="S25"/>
  <c r="AJ24"/>
  <c r="S24"/>
  <c r="AJ23"/>
  <c r="C17" i="23" s="1"/>
  <c r="S23" i="1"/>
  <c r="E15" i="24" s="1"/>
  <c r="AJ22" i="1"/>
  <c r="C16" i="23" s="1"/>
  <c r="S22" i="1"/>
  <c r="D16" i="23" s="1"/>
  <c r="AJ21" i="1"/>
  <c r="C15" i="23" s="1"/>
  <c r="S21" i="1"/>
  <c r="D15" i="23" s="1"/>
  <c r="AJ20" i="1"/>
  <c r="C14" i="23" s="1"/>
  <c r="S20" i="1"/>
  <c r="D14" i="23" s="1"/>
  <c r="AJ19" i="1"/>
  <c r="C13" i="23" s="1"/>
  <c r="S19" i="1"/>
  <c r="D13" i="23" s="1"/>
  <c r="AJ18" i="1"/>
  <c r="C12" i="23" s="1"/>
  <c r="S18" i="1"/>
  <c r="D12" i="23" s="1"/>
  <c r="AJ17" i="1"/>
  <c r="C11" i="23" s="1"/>
  <c r="S17" i="1"/>
  <c r="D11" i="23" s="1"/>
  <c r="AJ16" i="1"/>
  <c r="C10" i="23" s="1"/>
  <c r="S16" i="1"/>
  <c r="D10" i="23" s="1"/>
  <c r="AJ15" i="1"/>
  <c r="C9" i="23" s="1"/>
  <c r="S15" i="1"/>
  <c r="AJ14"/>
  <c r="C8" i="23" s="1"/>
  <c r="S14" i="1"/>
  <c r="D8" i="23" s="1"/>
  <c r="AJ13" i="1"/>
  <c r="C7" i="23" s="1"/>
  <c r="S13" i="1"/>
  <c r="AJ12"/>
  <c r="C6" i="23" s="1"/>
  <c r="S12" i="1"/>
  <c r="D6" i="23" s="1"/>
  <c r="AJ11" i="1"/>
  <c r="C5" i="23" s="1"/>
  <c r="S11" i="1"/>
  <c r="D5" i="23" s="1"/>
  <c r="AJ10" i="1"/>
  <c r="S10"/>
  <c r="T9"/>
  <c r="S9"/>
  <c r="AR9" s="1"/>
  <c r="D9" i="23" l="1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22" i="23"/>
  <c r="H22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G32" i="26"/>
  <c r="D46" i="3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O4" i="18"/>
  <c r="Q5" s="1"/>
  <c r="O5"/>
  <c r="Q6" s="1"/>
  <c r="O6"/>
  <c r="Q7" s="1"/>
  <c r="O7"/>
  <c r="Q8" s="1"/>
  <c r="O8"/>
  <c r="Q9" s="1"/>
  <c r="O9"/>
  <c r="Q10" s="1"/>
  <c r="O10"/>
  <c r="Q11" s="1"/>
  <c r="O11"/>
  <c r="Q12" s="1"/>
  <c r="O12"/>
  <c r="O13"/>
  <c r="O14"/>
  <c r="Q15" s="1"/>
  <c r="O15"/>
  <c r="Q16" s="1"/>
  <c r="O16"/>
  <c r="Q17" s="1"/>
  <c r="O17"/>
  <c r="Q18" s="1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2"/>
  <c r="K23"/>
  <c r="K24"/>
  <c r="K25"/>
  <c r="K26"/>
  <c r="K27"/>
  <c r="K28"/>
  <c r="K29"/>
  <c r="K30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G34" i="15"/>
  <c r="G35"/>
  <c r="F30" i="10"/>
  <c r="F29"/>
  <c r="F30" i="3"/>
  <c r="G32" i="15"/>
  <c r="F29" i="3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H11" i="15"/>
  <c r="I11" s="1"/>
  <c r="J11" s="1"/>
  <c r="H12"/>
  <c r="I12" s="1"/>
  <c r="J12" s="1"/>
  <c r="H13"/>
  <c r="I13" s="1"/>
  <c r="J13" s="1"/>
  <c r="I14"/>
  <c r="J14" s="1"/>
  <c r="I15"/>
  <c r="I16"/>
  <c r="I17"/>
  <c r="I18"/>
  <c r="I19"/>
  <c r="I20"/>
  <c r="I21"/>
  <c r="I22"/>
  <c r="I23"/>
  <c r="I24"/>
  <c r="I25"/>
  <c r="I26"/>
  <c r="I27"/>
  <c r="I28"/>
  <c r="H10"/>
  <c r="AT32" i="1" l="1"/>
  <c r="C33"/>
  <c r="I29" i="15"/>
  <c r="I30"/>
  <c r="I31"/>
  <c r="I32"/>
  <c r="I33"/>
  <c r="I34"/>
  <c r="I35"/>
  <c r="I36"/>
  <c r="I37"/>
  <c r="I38"/>
  <c r="I39"/>
  <c r="I40"/>
  <c r="I41"/>
  <c r="G27"/>
  <c r="G28"/>
  <c r="J28" s="1"/>
  <c r="G29"/>
  <c r="G30"/>
  <c r="G31"/>
  <c r="G33"/>
  <c r="G36"/>
  <c r="G37"/>
  <c r="G38"/>
  <c r="G39"/>
  <c r="G40"/>
  <c r="AT33" i="1" l="1"/>
  <c r="C34"/>
  <c r="J27" i="15"/>
  <c r="L22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AT37" i="1" l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V22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B6" i="23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<sst xmlns="http://schemas.openxmlformats.org/spreadsheetml/2006/main" count="547" uniqueCount="332">
  <si>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</si>
  <si>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</si>
  <si>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</si>
  <si>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</si>
  <si>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</si>
  <si>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</si>
  <si>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</si>
  <si>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</si>
  <si>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</si>
  <si>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</si>
  <si>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</si>
  <si>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</si>
  <si>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</si>
  <si>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</si>
  <si>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</si>
  <si>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</si>
  <si>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</si>
  <si>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</si>
  <si>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</si>
  <si>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</si>
  <si>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</si>
  <si>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</si>
  <si>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</si>
  <si>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</si>
  <si>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</si>
  <si>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</si>
  <si>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</si>
  <si>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</si>
  <si>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</si>
  <si>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</si>
  <si>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</si>
  <si>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</si>
  <si>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</si>
  <si>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</si>
  <si>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</si>
  <si>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</si>
  <si>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</si>
  <si>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</si>
  <si>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</si>
  <si>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</si>
  <si>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</si>
  <si>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</si>
  <si>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</si>
  <si>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</si>
  <si>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</si>
  <si>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</si>
  <si>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</si>
  <si>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</si>
  <si>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</si>
  <si>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</si>
  <si>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</si>
  <si>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</si>
  <si>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</si>
  <si>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</si>
  <si>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</si>
  <si>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</si>
  <si>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</si>
  <si>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</si>
  <si>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</si>
  <si>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</si>
  <si>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</si>
  <si>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</si>
  <si>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</si>
  <si>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</si>
  <si>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</si>
  <si>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</si>
  <si>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</si>
  <si>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</si>
  <si>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</si>
  <si>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</si>
  <si>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</si>
  <si>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</si>
  <si>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</si>
  <si>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</si>
  <si>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</si>
  <si>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</si>
  <si>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</si>
  <si>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</si>
  <si>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</si>
  <si>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</si>
  <si>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</si>
  <si>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</si>
  <si>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</si>
  <si>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</si>
  <si>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</si>
  <si>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</si>
  <si>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</si>
  <si>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</si>
  <si>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</si>
  <si>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</si>
  <si>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</si>
  <si>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</si>
  <si>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</si>
  <si>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</si>
  <si>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</si>
  <si>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</si>
  <si>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</si>
  <si>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</si>
  <si>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</si>
  <si>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</si>
  <si>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</si>
  <si>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</si>
  <si>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</si>
  <si>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</si>
  <si>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</si>
  <si>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</si>
  <si>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</si>
  <si>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</si>
  <si>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</si>
  <si>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</si>
  <si>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</si>
  <si>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</si>
  <si>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</si>
  <si>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</si>
  <si>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</si>
  <si>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</si>
  <si>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</si>
  <si>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</si>
  <si>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</si>
  <si>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</si>
  <si>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</si>
  <si>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</si>
  <si>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</si>
  <si>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</si>
  <si>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</si>
  <si>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</si>
  <si>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</si>
  <si>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</si>
  <si>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</si>
  <si>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</si>
  <si>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</si>
  <si>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</si>
  <si>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</si>
  <si>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</si>
  <si>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</si>
  <si>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</si>
  <si>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</si>
  <si>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</si>
  <si>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</si>
  <si>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</si>
  <si>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</si>
  <si>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</si>
  <si>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</si>
  <si>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</si>
  <si>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</si>
  <si>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</si>
  <si>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</si>
  <si>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</si>
  <si>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</si>
  <si>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</si>
  <si>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</si>
  <si>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</si>
  <si>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</si>
  <si>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</si>
  <si>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</si>
  <si>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</si>
  <si>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</si>
  <si>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</si>
  <si>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</si>
  <si>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</si>
  <si>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</si>
  <si>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</si>
  <si>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</si>
  <si>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</si>
  <si>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</si>
  <si>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</si>
  <si>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</si>
  <si>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</si>
  <si>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</si>
  <si>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</si>
  <si>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</si>
  <si>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</si>
  <si>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</si>
  <si>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</si>
  <si>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</si>
  <si>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</si>
  <si>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</si>
  <si>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</si>
  <si>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</si>
  <si>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</si>
  <si>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</si>
  <si>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</si>
  <si>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</si>
  <si>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</si>
  <si>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</si>
  <si>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</si>
  <si>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</si>
  <si>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</si>
  <si>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</si>
  <si>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</si>
  <si>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</si>
  <si>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</si>
  <si>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</si>
  <si>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</si>
  <si>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</si>
  <si>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</si>
  <si>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</si>
  <si>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</si>
  <si>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</si>
  <si>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</si>
  <si>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</si>
  <si>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</si>
  <si>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</si>
  <si>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</si>
  <si>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</si>
  <si>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</si>
  <si>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</si>
  <si>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</si>
  <si>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</si>
  <si>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</si>
  <si>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</si>
  <si>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</si>
  <si>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</si>
  <si>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</si>
  <si>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</si>
  <si>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</si>
  <si>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</si>
  <si>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</si>
  <si>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</si>
  <si>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</si>
  <si>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</si>
  <si>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</si>
  <si>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</si>
  <si>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</si>
  <si>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</si>
  <si>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</si>
  <si>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</si>
  <si>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</si>
  <si>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</si>
  <si>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</si>
  <si>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</si>
  <si>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</si>
  <si>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</si>
  <si>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</si>
  <si>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</si>
  <si>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</si>
  <si>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</si>
  <si>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</si>
  <si>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</si>
  <si>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</si>
  <si>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</si>
  <si>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</si>
  <si>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</si>
  <si>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</si>
  <si>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</si>
  <si>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</si>
  <si>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</si>
  <si>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</si>
  <si>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</si>
  <si>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</si>
  <si>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</si>
  <si>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</si>
  <si>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</si>
  <si>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</si>
  <si>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</si>
  <si>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</si>
  <si>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</si>
  <si>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</si>
  <si>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</si>
  <si>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</si>
  <si>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</si>
  <si>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</si>
  <si>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</si>
  <si>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</si>
  <si>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</si>
  <si>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</si>
  <si>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</si>
  <si>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</si>
  <si>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</si>
  <si>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</si>
  <si>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</si>
  <si>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</si>
  <si>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</si>
  <si>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</si>
  <si>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</si>
  <si>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</si>
  <si>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</si>
  <si>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</si>
  <si>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</si>
  <si>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</si>
  <si>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</si>
  <si>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</si>
  <si>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</si>
  <si>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</si>
  <si>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</si>
  <si>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</si>
  <si>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</si>
  <si>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</si>
  <si>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</si>
  <si>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</si>
  <si>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</si>
  <si>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</si>
  <si>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</si>
  <si>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</si>
  <si>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</si>
  <si>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</si>
  <si>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</si>
  <si>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</si>
  <si>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</si>
  <si>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</si>
  <si>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</si>
  <si>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</si>
  <si>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</si>
  <si>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</si>
  <si>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</si>
  <si>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</si>
  <si>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</si>
  <si>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</si>
  <si>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</si>
  <si>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</si>
  <si>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</si>
  <si>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</si>
  <si>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</si>
  <si>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</si>
  <si>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</si>
  <si>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</si>
  <si>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</si>
  <si>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</si>
  <si>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Puma</t>
  </si>
  <si>
    <t>Raha</t>
  </si>
  <si>
    <t>Elihuruma</t>
  </si>
  <si>
    <t>HLP REPORT DECEMBER 2020</t>
  </si>
  <si>
    <t>Generator and Diseal Summry Report  December 2020</t>
  </si>
  <si>
    <t>DAILY UTILITY REPORT DECEMBER 2020</t>
  </si>
  <si>
    <t>T880DKQ</t>
  </si>
  <si>
    <t>Kessi</t>
  </si>
  <si>
    <t>T132CWQ</t>
  </si>
  <si>
    <t>Moses</t>
  </si>
  <si>
    <t>T675ANT</t>
  </si>
  <si>
    <t>Godlisen</t>
  </si>
  <si>
    <t>T882DKQ</t>
  </si>
  <si>
    <t>Stivin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</si>
</sst>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2299</c:v>
                </c:pt>
                <c:pt idx="1">
                  <c:v>2378</c:v>
                </c:pt>
                <c:pt idx="2">
                  <c:v>2173</c:v>
                </c:pt>
                <c:pt idx="3">
                  <c:v>2292</c:v>
                </c:pt>
                <c:pt idx="4">
                  <c:v>2375</c:v>
                </c:pt>
                <c:pt idx="5">
                  <c:v>2317</c:v>
                </c:pt>
                <c:pt idx="6">
                  <c:v>2410</c:v>
                </c:pt>
                <c:pt idx="7">
                  <c:v>2451</c:v>
                </c:pt>
                <c:pt idx="8">
                  <c:v>2929</c:v>
                </c:pt>
                <c:pt idx="9">
                  <c:v>3090</c:v>
                </c:pt>
                <c:pt idx="10">
                  <c:v>3028</c:v>
                </c:pt>
                <c:pt idx="11">
                  <c:v>2694</c:v>
                </c:pt>
                <c:pt idx="12">
                  <c:v>2790</c:v>
                </c:pt>
                <c:pt idx="13">
                  <c:v>2707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8940672"/>
        <c:axId val="15913817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9.09</c:v>
                </c:pt>
                <c:pt idx="1">
                  <c:v>1.3</c:v>
                </c:pt>
                <c:pt idx="2">
                  <c:v>1.3</c:v>
                </c:pt>
                <c:pt idx="3">
                  <c:v>0</c:v>
                </c:pt>
                <c:pt idx="4">
                  <c:v>1.3</c:v>
                </c:pt>
                <c:pt idx="5">
                  <c:v>1.3</c:v>
                </c:pt>
                <c:pt idx="6">
                  <c:v>1.3</c:v>
                </c:pt>
                <c:pt idx="7">
                  <c:v>1.3</c:v>
                </c:pt>
                <c:pt idx="8">
                  <c:v>2.6</c:v>
                </c:pt>
                <c:pt idx="9">
                  <c:v>22.08</c:v>
                </c:pt>
                <c:pt idx="10">
                  <c:v>23.38</c:v>
                </c:pt>
                <c:pt idx="11">
                  <c:v>20.78</c:v>
                </c:pt>
                <c:pt idx="12">
                  <c:v>2.6</c:v>
                </c:pt>
                <c:pt idx="13">
                  <c:v>6.49</c:v>
                </c:pt>
                <c:pt idx="14">
                  <c:v>7.49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3325312"/>
        <c:axId val="83326848"/>
      </c:lineChart>
      <c:catAx>
        <c:axId val="12894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38176"/>
        <c:crosses val="autoZero"/>
        <c:auto val="1"/>
        <c:lblAlgn val="ctr"/>
        <c:lblOffset val="100"/>
      </c:catAx>
      <c:valAx>
        <c:axId val="15913817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40672"/>
        <c:crosses val="autoZero"/>
        <c:crossBetween val="between"/>
        <c:majorUnit val="200"/>
      </c:valAx>
      <c:catAx>
        <c:axId val="83325312"/>
        <c:scaling>
          <c:orientation val="minMax"/>
        </c:scaling>
        <c:delete val="1"/>
        <c:axPos val="b"/>
        <c:tickLblPos val="none"/>
        <c:crossAx val="83326848"/>
        <c:crosses val="autoZero"/>
        <c:auto val="1"/>
        <c:lblAlgn val="ctr"/>
        <c:lblOffset val="100"/>
      </c:catAx>
      <c:valAx>
        <c:axId val="833268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253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3352576"/>
        <c:axId val="833584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3360000"/>
        <c:axId val="83496960"/>
      </c:lineChart>
      <c:catAx>
        <c:axId val="8335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58464"/>
        <c:crosses val="autoZero"/>
        <c:auto val="1"/>
        <c:lblAlgn val="ctr"/>
        <c:lblOffset val="100"/>
      </c:catAx>
      <c:valAx>
        <c:axId val="83358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52576"/>
        <c:crosses val="autoZero"/>
        <c:crossBetween val="between"/>
        <c:majorUnit val="200"/>
      </c:valAx>
      <c:catAx>
        <c:axId val="83360000"/>
        <c:scaling>
          <c:orientation val="minMax"/>
        </c:scaling>
        <c:delete val="1"/>
        <c:axPos val="b"/>
        <c:tickLblPos val="none"/>
        <c:crossAx val="83496960"/>
        <c:crosses val="autoZero"/>
        <c:auto val="1"/>
        <c:lblAlgn val="ctr"/>
        <c:lblOffset val="100"/>
      </c:catAx>
      <c:valAx>
        <c:axId val="834969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600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4037632"/>
        <c:axId val="84039168"/>
      </c:lineChart>
      <c:catAx>
        <c:axId val="8403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39168"/>
        <c:crosses val="autoZero"/>
        <c:auto val="1"/>
        <c:lblAlgn val="ctr"/>
        <c:lblOffset val="200"/>
        <c:tickLblSkip val="1"/>
      </c:catAx>
      <c:valAx>
        <c:axId val="840391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3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7.6999999999999999E-2</c:v>
                </c:pt>
                <c:pt idx="1">
                  <c:v>9.0999999999999998E-2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4059648"/>
        <c:axId val="84061184"/>
      </c:lineChart>
      <c:catAx>
        <c:axId val="8405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61184"/>
        <c:crosses val="autoZero"/>
        <c:auto val="1"/>
        <c:lblAlgn val="ctr"/>
        <c:lblOffset val="100"/>
      </c:catAx>
      <c:valAx>
        <c:axId val="840611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5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0.41247028862478774</c:v>
                </c:pt>
                <c:pt idx="1">
                  <c:v>0.42259678120922139</c:v>
                </c:pt>
                <c:pt idx="2">
                  <c:v>0.41857022708158115</c:v>
                </c:pt>
                <c:pt idx="3">
                  <c:v>0.41642429820524618</c:v>
                </c:pt>
                <c:pt idx="4">
                  <c:v>0.40490401396160558</c:v>
                </c:pt>
                <c:pt idx="5">
                  <c:v>0.42626947368421053</c:v>
                </c:pt>
                <c:pt idx="6">
                  <c:v>0.41271040138109627</c:v>
                </c:pt>
                <c:pt idx="7">
                  <c:v>0.42044398340248962</c:v>
                </c:pt>
                <c:pt idx="8">
                  <c:v>0.41245206038351689</c:v>
                </c:pt>
                <c:pt idx="9">
                  <c:v>0.43839877091157392</c:v>
                </c:pt>
                <c:pt idx="10">
                  <c:v>0.3939967637540453</c:v>
                </c:pt>
                <c:pt idx="11">
                  <c:v>0.39340488771466314</c:v>
                </c:pt>
                <c:pt idx="12">
                  <c:v>0.41456570155902001</c:v>
                </c:pt>
                <c:pt idx="13">
                  <c:v>0.40323655913978496</c:v>
                </c:pt>
                <c:pt idx="14">
                  <c:v>0.40346878463243446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4564992"/>
        <c:axId val="84567168"/>
      </c:lineChart>
      <c:catAx>
        <c:axId val="84564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67168"/>
        <c:crosses val="autoZero"/>
        <c:auto val="1"/>
        <c:lblAlgn val="ctr"/>
        <c:lblOffset val="100"/>
      </c:catAx>
      <c:valAx>
        <c:axId val="845671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649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55</c:v>
                </c:pt>
                <c:pt idx="1">
                  <c:v>75</c:v>
                </c:pt>
                <c:pt idx="2">
                  <c:v>59</c:v>
                </c:pt>
                <c:pt idx="3">
                  <c:v>49</c:v>
                </c:pt>
                <c:pt idx="4">
                  <c:v>60</c:v>
                </c:pt>
                <c:pt idx="5">
                  <c:v>51</c:v>
                </c:pt>
                <c:pt idx="6">
                  <c:v>43</c:v>
                </c:pt>
                <c:pt idx="7">
                  <c:v>44</c:v>
                </c:pt>
                <c:pt idx="8">
                  <c:v>63</c:v>
                </c:pt>
                <c:pt idx="9">
                  <c:v>61</c:v>
                </c:pt>
                <c:pt idx="10">
                  <c:v>62</c:v>
                </c:pt>
                <c:pt idx="11">
                  <c:v>54</c:v>
                </c:pt>
                <c:pt idx="12">
                  <c:v>56</c:v>
                </c:pt>
                <c:pt idx="13">
                  <c:v>60</c:v>
                </c:pt>
                <c:pt idx="14">
                  <c:v>74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4588032"/>
        <c:axId val="84589952"/>
      </c:lineChart>
      <c:catAx>
        <c:axId val="84588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89952"/>
        <c:crosses val="autoZero"/>
        <c:auto val="1"/>
        <c:lblAlgn val="ctr"/>
        <c:lblOffset val="100"/>
      </c:catAx>
      <c:valAx>
        <c:axId val="845899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880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323055.43600000005</c:v>
                </c:pt>
                <c:pt idx="1">
                  <c:v>77.395999999984639</c:v>
                </c:pt>
                <c:pt idx="2">
                  <c:v>70.9720000000205</c:v>
                </c:pt>
                <c:pt idx="3">
                  <c:v>79.904000000015373</c:v>
                </c:pt>
                <c:pt idx="4">
                  <c:v>90.859999999974391</c:v>
                </c:pt>
                <c:pt idx="5">
                  <c:v>97.063999999989761</c:v>
                </c:pt>
                <c:pt idx="6">
                  <c:v>52.888000000017932</c:v>
                </c:pt>
                <c:pt idx="7">
                  <c:v>51.875999999971832</c:v>
                </c:pt>
                <c:pt idx="8">
                  <c:v>52.404000000015373</c:v>
                </c:pt>
                <c:pt idx="9">
                  <c:v>69.124000000028175</c:v>
                </c:pt>
                <c:pt idx="10">
                  <c:v>87.955999999959033</c:v>
                </c:pt>
                <c:pt idx="11">
                  <c:v>92.004000000015381</c:v>
                </c:pt>
                <c:pt idx="12">
                  <c:v>83.731999999994883</c:v>
                </c:pt>
                <c:pt idx="13">
                  <c:v>62.215999999997443</c:v>
                </c:pt>
                <c:pt idx="14">
                  <c:v>60.147999999992322</c:v>
                </c:pt>
                <c:pt idx="15">
                  <c:v>69.563999999989761</c:v>
                </c:pt>
                <c:pt idx="16">
                  <c:v>-324153.54399999999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4672512"/>
        <c:axId val="84674048"/>
      </c:lineChart>
      <c:catAx>
        <c:axId val="8467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74048"/>
        <c:crosses val="autoZero"/>
        <c:auto val="1"/>
        <c:lblAlgn val="ctr"/>
        <c:lblOffset val="100"/>
      </c:catAx>
      <c:valAx>
        <c:axId val="846740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7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4711680"/>
        <c:axId val="86179840"/>
      </c:lineChart>
      <c:catAx>
        <c:axId val="8471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79840"/>
        <c:crosses val="autoZero"/>
        <c:auto val="1"/>
        <c:lblAlgn val="ctr"/>
        <c:lblOffset val="100"/>
      </c:catAx>
      <c:valAx>
        <c:axId val="86179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1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6187392"/>
        <c:axId val="86209664"/>
      </c:lineChart>
      <c:catAx>
        <c:axId val="8618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09664"/>
        <c:crosses val="autoZero"/>
        <c:auto val="1"/>
        <c:lblAlgn val="ctr"/>
        <c:lblOffset val="100"/>
      </c:catAx>
      <c:valAx>
        <c:axId val="86209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8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06"/>
          <c:y val="7.471324705111588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6230144"/>
        <c:axId val="86231680"/>
      </c:lineChart>
      <c:catAx>
        <c:axId val="8623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1680"/>
        <c:crosses val="autoZero"/>
        <c:auto val="1"/>
        <c:lblAlgn val="ctr"/>
        <c:lblOffset val="200"/>
        <c:tickLblSkip val="1"/>
      </c:catAx>
      <c:valAx>
        <c:axId val="862316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6645760"/>
        <c:axId val="86659840"/>
      </c:lineChart>
      <c:catAx>
        <c:axId val="86645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59840"/>
        <c:crosses val="autoZero"/>
        <c:auto val="1"/>
        <c:lblAlgn val="ctr"/>
        <c:lblOffset val="100"/>
      </c:catAx>
      <c:valAx>
        <c:axId val="86659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4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6688512"/>
        <c:axId val="86690432"/>
      </c:lineChart>
      <c:catAx>
        <c:axId val="86688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90432"/>
        <c:crosses val="autoZero"/>
        <c:auto val="1"/>
        <c:lblAlgn val="ctr"/>
        <c:lblOffset val="100"/>
      </c:catAx>
      <c:valAx>
        <c:axId val="866904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88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7063552"/>
        <c:axId val="87078016"/>
      </c:lineChart>
      <c:catAx>
        <c:axId val="87063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78016"/>
        <c:crosses val="autoZero"/>
        <c:auto val="1"/>
        <c:lblAlgn val="ctr"/>
        <c:lblOffset val="100"/>
      </c:catAx>
      <c:valAx>
        <c:axId val="870780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635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7090688"/>
        <c:axId val="87092224"/>
      </c:lineChart>
      <c:catAx>
        <c:axId val="8709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92224"/>
        <c:crosses val="autoZero"/>
        <c:auto val="1"/>
        <c:lblAlgn val="ctr"/>
        <c:lblOffset val="100"/>
      </c:catAx>
      <c:valAx>
        <c:axId val="87092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9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7261184"/>
        <c:axId val="87262720"/>
      </c:lineChart>
      <c:catAx>
        <c:axId val="87261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62720"/>
        <c:crosses val="autoZero"/>
        <c:auto val="1"/>
        <c:lblAlgn val="ctr"/>
        <c:lblOffset val="100"/>
      </c:catAx>
      <c:valAx>
        <c:axId val="87262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6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7299200"/>
        <c:axId val="87300736"/>
      </c:lineChart>
      <c:catAx>
        <c:axId val="8729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00736"/>
        <c:crosses val="autoZero"/>
        <c:auto val="1"/>
        <c:lblAlgn val="ctr"/>
        <c:lblOffset val="100"/>
      </c:catAx>
      <c:valAx>
        <c:axId val="8730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9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271"/>
          <c:y val="7.471324705111628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8784256"/>
        <c:axId val="8880243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8803968"/>
        <c:axId val="88818048"/>
      </c:lineChart>
      <c:catAx>
        <c:axId val="887842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02432"/>
        <c:crosses val="autoZero"/>
        <c:lblAlgn val="ctr"/>
        <c:lblOffset val="100"/>
        <c:tickMarkSkip val="1"/>
      </c:catAx>
      <c:valAx>
        <c:axId val="888024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84256"/>
        <c:crosses val="autoZero"/>
        <c:crossBetween val="between"/>
      </c:valAx>
      <c:catAx>
        <c:axId val="88803968"/>
        <c:scaling>
          <c:orientation val="minMax"/>
        </c:scaling>
        <c:delete val="1"/>
        <c:axPos val="b"/>
        <c:numFmt formatCode="[$-409]d\-mmm\-yy;@" sourceLinked="1"/>
        <c:tickLblPos val="none"/>
        <c:crossAx val="88818048"/>
        <c:crosses val="autoZero"/>
        <c:lblAlgn val="ctr"/>
        <c:lblOffset val="100"/>
      </c:catAx>
      <c:valAx>
        <c:axId val="8881804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03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8838528"/>
        <c:axId val="88840064"/>
      </c:lineChart>
      <c:catAx>
        <c:axId val="8883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40064"/>
        <c:crosses val="autoZero"/>
        <c:auto val="1"/>
        <c:lblAlgn val="ctr"/>
        <c:lblOffset val="100"/>
      </c:catAx>
      <c:valAx>
        <c:axId val="888400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3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9925504"/>
        <c:axId val="89927040"/>
      </c:lineChart>
      <c:catAx>
        <c:axId val="8992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27040"/>
        <c:crosses val="autoZero"/>
        <c:auto val="1"/>
        <c:lblAlgn val="ctr"/>
        <c:lblOffset val="100"/>
      </c:catAx>
      <c:valAx>
        <c:axId val="899270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2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9970560"/>
        <c:axId val="899720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9977984"/>
        <c:axId val="89979520"/>
      </c:lineChart>
      <c:catAx>
        <c:axId val="899705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72096"/>
        <c:crosses val="autoZero"/>
        <c:lblAlgn val="ctr"/>
        <c:lblOffset val="100"/>
        <c:tickMarkSkip val="1"/>
      </c:catAx>
      <c:valAx>
        <c:axId val="89972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70560"/>
        <c:crosses val="autoZero"/>
        <c:crossBetween val="between"/>
      </c:valAx>
      <c:catAx>
        <c:axId val="89977984"/>
        <c:scaling>
          <c:orientation val="minMax"/>
        </c:scaling>
        <c:delete val="1"/>
        <c:axPos val="b"/>
        <c:numFmt formatCode="General" sourceLinked="1"/>
        <c:tickLblPos val="none"/>
        <c:crossAx val="89979520"/>
        <c:crosses val="autoZero"/>
        <c:lblAlgn val="ctr"/>
        <c:lblOffset val="100"/>
      </c:catAx>
      <c:valAx>
        <c:axId val="899795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779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01071104"/>
        <c:axId val="101560320"/>
      </c:lineChart>
      <c:catAx>
        <c:axId val="10107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60320"/>
        <c:crosses val="autoZero"/>
        <c:auto val="1"/>
        <c:lblAlgn val="ctr"/>
        <c:lblOffset val="100"/>
      </c:catAx>
      <c:valAx>
        <c:axId val="101560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7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09993984"/>
        <c:axId val="109995520"/>
      </c:lineChart>
      <c:catAx>
        <c:axId val="10999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95520"/>
        <c:crosses val="autoZero"/>
        <c:auto val="1"/>
        <c:lblAlgn val="ctr"/>
        <c:lblOffset val="100"/>
      </c:catAx>
      <c:valAx>
        <c:axId val="109995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9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3862400"/>
        <c:axId val="12400345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4004992"/>
        <c:axId val="124006784"/>
      </c:lineChart>
      <c:catAx>
        <c:axId val="1238624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03456"/>
        <c:crosses val="autoZero"/>
        <c:lblAlgn val="ctr"/>
        <c:lblOffset val="100"/>
        <c:tickMarkSkip val="1"/>
      </c:catAx>
      <c:valAx>
        <c:axId val="1240034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62400"/>
        <c:crosses val="autoZero"/>
        <c:crossBetween val="between"/>
      </c:valAx>
      <c:catAx>
        <c:axId val="124004992"/>
        <c:scaling>
          <c:orientation val="minMax"/>
        </c:scaling>
        <c:delete val="1"/>
        <c:axPos val="b"/>
        <c:numFmt formatCode="[$-409]d\-mmm\-yy;@" sourceLinked="1"/>
        <c:tickLblPos val="none"/>
        <c:crossAx val="124006784"/>
        <c:crosses val="autoZero"/>
        <c:lblAlgn val="ctr"/>
        <c:lblOffset val="100"/>
      </c:catAx>
      <c:valAx>
        <c:axId val="12400678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049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4032896"/>
        <c:axId val="1240344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4044416"/>
        <c:axId val="124045952"/>
      </c:lineChart>
      <c:catAx>
        <c:axId val="1240328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34432"/>
        <c:crosses val="autoZero"/>
        <c:lblAlgn val="ctr"/>
        <c:lblOffset val="100"/>
        <c:tickMarkSkip val="1"/>
      </c:catAx>
      <c:valAx>
        <c:axId val="124034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32896"/>
        <c:crosses val="autoZero"/>
        <c:crossBetween val="between"/>
      </c:valAx>
      <c:catAx>
        <c:axId val="124044416"/>
        <c:scaling>
          <c:orientation val="minMax"/>
        </c:scaling>
        <c:delete val="1"/>
        <c:axPos val="b"/>
        <c:numFmt formatCode="General" sourceLinked="1"/>
        <c:tickLblPos val="none"/>
        <c:crossAx val="124045952"/>
        <c:crosses val="autoZero"/>
        <c:lblAlgn val="ctr"/>
        <c:lblOffset val="100"/>
      </c:catAx>
      <c:valAx>
        <c:axId val="1240459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44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4331136"/>
        <c:axId val="12433267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4354944"/>
        <c:axId val="124356480"/>
      </c:lineChart>
      <c:catAx>
        <c:axId val="12433113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32672"/>
        <c:crosses val="autoZero"/>
        <c:lblAlgn val="ctr"/>
        <c:lblOffset val="100"/>
        <c:tickMarkSkip val="1"/>
      </c:catAx>
      <c:valAx>
        <c:axId val="1243326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31136"/>
        <c:crosses val="autoZero"/>
        <c:crossBetween val="between"/>
      </c:valAx>
      <c:catAx>
        <c:axId val="124354944"/>
        <c:scaling>
          <c:orientation val="minMax"/>
        </c:scaling>
        <c:delete val="1"/>
        <c:axPos val="b"/>
        <c:numFmt formatCode="[$-409]d\-mmm\-yy;@" sourceLinked="1"/>
        <c:tickLblPos val="none"/>
        <c:crossAx val="124356480"/>
        <c:crosses val="autoZero"/>
        <c:lblAlgn val="ctr"/>
        <c:lblOffset val="100"/>
      </c:catAx>
      <c:valAx>
        <c:axId val="12435648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549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4374400"/>
        <c:axId val="1243966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4398208"/>
        <c:axId val="124408192"/>
      </c:lineChart>
      <c:catAx>
        <c:axId val="1243744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96672"/>
        <c:crosses val="autoZero"/>
        <c:lblAlgn val="ctr"/>
        <c:lblOffset val="100"/>
        <c:tickMarkSkip val="1"/>
      </c:catAx>
      <c:valAx>
        <c:axId val="124396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74400"/>
        <c:crosses val="autoZero"/>
        <c:crossBetween val="between"/>
      </c:valAx>
      <c:catAx>
        <c:axId val="124398208"/>
        <c:scaling>
          <c:orientation val="minMax"/>
        </c:scaling>
        <c:delete val="1"/>
        <c:axPos val="b"/>
        <c:numFmt formatCode="General" sourceLinked="1"/>
        <c:tickLblPos val="none"/>
        <c:crossAx val="124408192"/>
        <c:crosses val="autoZero"/>
        <c:lblAlgn val="ctr"/>
        <c:lblOffset val="100"/>
      </c:catAx>
      <c:valAx>
        <c:axId val="1244081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98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0.41247028862478774</c:v>
                </c:pt>
                <c:pt idx="1">
                  <c:v>0.42259678120922139</c:v>
                </c:pt>
                <c:pt idx="2">
                  <c:v>0.41857022708158115</c:v>
                </c:pt>
                <c:pt idx="3">
                  <c:v>0.41642429820524618</c:v>
                </c:pt>
                <c:pt idx="4">
                  <c:v>0.40490401396160558</c:v>
                </c:pt>
                <c:pt idx="5">
                  <c:v>0.42626947368421053</c:v>
                </c:pt>
                <c:pt idx="6">
                  <c:v>0.41271040138109627</c:v>
                </c:pt>
                <c:pt idx="7">
                  <c:v>0.42044398340248962</c:v>
                </c:pt>
                <c:pt idx="8">
                  <c:v>0.41245206038351689</c:v>
                </c:pt>
                <c:pt idx="9">
                  <c:v>0.43839877091157392</c:v>
                </c:pt>
                <c:pt idx="10">
                  <c:v>0.3939967637540453</c:v>
                </c:pt>
                <c:pt idx="11">
                  <c:v>0.39340488771466314</c:v>
                </c:pt>
                <c:pt idx="12">
                  <c:v>0.41456570155902001</c:v>
                </c:pt>
                <c:pt idx="13">
                  <c:v>0.40323655913978496</c:v>
                </c:pt>
                <c:pt idx="14">
                  <c:v>0.40346878463243446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25010688"/>
        <c:axId val="125012608"/>
      </c:lineChart>
      <c:catAx>
        <c:axId val="125010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12608"/>
        <c:crosses val="autoZero"/>
        <c:auto val="1"/>
        <c:lblAlgn val="ctr"/>
        <c:lblOffset val="100"/>
      </c:catAx>
      <c:valAx>
        <c:axId val="1250126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106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55</c:v>
                </c:pt>
                <c:pt idx="1">
                  <c:v>75</c:v>
                </c:pt>
                <c:pt idx="2">
                  <c:v>59</c:v>
                </c:pt>
                <c:pt idx="3">
                  <c:v>49</c:v>
                </c:pt>
                <c:pt idx="4">
                  <c:v>60</c:v>
                </c:pt>
                <c:pt idx="5">
                  <c:v>51</c:v>
                </c:pt>
                <c:pt idx="6">
                  <c:v>43</c:v>
                </c:pt>
                <c:pt idx="7">
                  <c:v>44</c:v>
                </c:pt>
                <c:pt idx="8">
                  <c:v>63</c:v>
                </c:pt>
                <c:pt idx="9">
                  <c:v>61</c:v>
                </c:pt>
                <c:pt idx="10">
                  <c:v>62</c:v>
                </c:pt>
                <c:pt idx="11">
                  <c:v>54</c:v>
                </c:pt>
                <c:pt idx="12">
                  <c:v>56</c:v>
                </c:pt>
                <c:pt idx="13">
                  <c:v>60</c:v>
                </c:pt>
                <c:pt idx="14">
                  <c:v>74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25004800"/>
        <c:axId val="125654144"/>
      </c:lineChart>
      <c:catAx>
        <c:axId val="125004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54144"/>
        <c:crosses val="autoZero"/>
        <c:auto val="1"/>
        <c:lblAlgn val="ctr"/>
        <c:lblOffset val="100"/>
      </c:catAx>
      <c:valAx>
        <c:axId val="1256541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048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25679104"/>
        <c:axId val="125680640"/>
      </c:lineChart>
      <c:catAx>
        <c:axId val="12567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80640"/>
        <c:crosses val="autoZero"/>
        <c:auto val="1"/>
        <c:lblAlgn val="ctr"/>
        <c:lblOffset val="200"/>
        <c:tickLblSkip val="1"/>
      </c:catAx>
      <c:valAx>
        <c:axId val="1256806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7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7.6999999999999999E-2</c:v>
                </c:pt>
                <c:pt idx="1">
                  <c:v>9.0999999999999998E-2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28924672"/>
        <c:axId val="128934656"/>
      </c:lineChart>
      <c:catAx>
        <c:axId val="12892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34656"/>
        <c:crosses val="autoZero"/>
        <c:auto val="1"/>
        <c:lblAlgn val="ctr"/>
        <c:lblOffset val="100"/>
      </c:catAx>
      <c:valAx>
        <c:axId val="1289346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2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34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323055.43600000005</c:v>
                </c:pt>
                <c:pt idx="1">
                  <c:v>77.395999999984639</c:v>
                </c:pt>
                <c:pt idx="2">
                  <c:v>70.9720000000205</c:v>
                </c:pt>
                <c:pt idx="3">
                  <c:v>79.904000000015373</c:v>
                </c:pt>
                <c:pt idx="4">
                  <c:v>90.859999999974391</c:v>
                </c:pt>
                <c:pt idx="5">
                  <c:v>97.063999999989761</c:v>
                </c:pt>
                <c:pt idx="6">
                  <c:v>52.888000000017932</c:v>
                </c:pt>
                <c:pt idx="7">
                  <c:v>51.875999999971832</c:v>
                </c:pt>
                <c:pt idx="8">
                  <c:v>52.404000000015373</c:v>
                </c:pt>
                <c:pt idx="9">
                  <c:v>69.124000000028175</c:v>
                </c:pt>
                <c:pt idx="10">
                  <c:v>87.955999999959033</c:v>
                </c:pt>
                <c:pt idx="11">
                  <c:v>92.004000000015381</c:v>
                </c:pt>
                <c:pt idx="12">
                  <c:v>83.731999999994883</c:v>
                </c:pt>
                <c:pt idx="13">
                  <c:v>62.215999999997443</c:v>
                </c:pt>
                <c:pt idx="14">
                  <c:v>60.147999999992322</c:v>
                </c:pt>
                <c:pt idx="15">
                  <c:v>69.563999999989761</c:v>
                </c:pt>
                <c:pt idx="16">
                  <c:v>-324153.54399999999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28963328"/>
        <c:axId val="128964864"/>
      </c:lineChart>
      <c:catAx>
        <c:axId val="128963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64864"/>
        <c:crosses val="autoZero"/>
        <c:auto val="1"/>
        <c:lblAlgn val="ctr"/>
        <c:lblOffset val="100"/>
      </c:catAx>
      <c:valAx>
        <c:axId val="128964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63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0.41247028862478774</c:v>
                </c:pt>
                <c:pt idx="1">
                  <c:v>0.42259678120922139</c:v>
                </c:pt>
                <c:pt idx="2">
                  <c:v>0.41857022708158115</c:v>
                </c:pt>
                <c:pt idx="3">
                  <c:v>0.41642429820524618</c:v>
                </c:pt>
                <c:pt idx="4">
                  <c:v>0.40490401396160558</c:v>
                </c:pt>
                <c:pt idx="5">
                  <c:v>0.42626947368421053</c:v>
                </c:pt>
                <c:pt idx="6">
                  <c:v>0.41271040138109627</c:v>
                </c:pt>
                <c:pt idx="7">
                  <c:v>0.42044398340248962</c:v>
                </c:pt>
                <c:pt idx="8">
                  <c:v>0.41245206038351689</c:v>
                </c:pt>
                <c:pt idx="9">
                  <c:v>0.43839877091157392</c:v>
                </c:pt>
                <c:pt idx="10">
                  <c:v>0.3939967637540453</c:v>
                </c:pt>
                <c:pt idx="11">
                  <c:v>0.39340488771466314</c:v>
                </c:pt>
                <c:pt idx="12">
                  <c:v>0.41456570155902001</c:v>
                </c:pt>
                <c:pt idx="13">
                  <c:v>0.40323655913978496</c:v>
                </c:pt>
                <c:pt idx="14">
                  <c:v>0.40346878463243446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29050880"/>
        <c:axId val="129114496"/>
      </c:lineChart>
      <c:catAx>
        <c:axId val="129050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14496"/>
        <c:crosses val="autoZero"/>
        <c:auto val="1"/>
        <c:lblAlgn val="ctr"/>
        <c:lblOffset val="100"/>
      </c:catAx>
      <c:valAx>
        <c:axId val="1291144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508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55</c:v>
                </c:pt>
                <c:pt idx="1">
                  <c:v>75</c:v>
                </c:pt>
                <c:pt idx="2">
                  <c:v>59</c:v>
                </c:pt>
                <c:pt idx="3">
                  <c:v>49</c:v>
                </c:pt>
                <c:pt idx="4">
                  <c:v>60</c:v>
                </c:pt>
                <c:pt idx="5">
                  <c:v>51</c:v>
                </c:pt>
                <c:pt idx="6">
                  <c:v>43</c:v>
                </c:pt>
                <c:pt idx="7">
                  <c:v>44</c:v>
                </c:pt>
                <c:pt idx="8">
                  <c:v>63</c:v>
                </c:pt>
                <c:pt idx="9">
                  <c:v>61</c:v>
                </c:pt>
                <c:pt idx="10">
                  <c:v>62</c:v>
                </c:pt>
                <c:pt idx="11">
                  <c:v>54</c:v>
                </c:pt>
                <c:pt idx="12">
                  <c:v>56</c:v>
                </c:pt>
                <c:pt idx="13">
                  <c:v>60</c:v>
                </c:pt>
                <c:pt idx="14">
                  <c:v>74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29168128"/>
        <c:axId val="129170048"/>
      </c:lineChart>
      <c:catAx>
        <c:axId val="129168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70048"/>
        <c:crosses val="autoZero"/>
        <c:auto val="1"/>
        <c:lblAlgn val="ctr"/>
        <c:lblOffset val="100"/>
      </c:catAx>
      <c:valAx>
        <c:axId val="1291700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681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29321984"/>
        <c:axId val="129327872"/>
      </c:lineChart>
      <c:catAx>
        <c:axId val="12932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27872"/>
        <c:crosses val="autoZero"/>
        <c:auto val="1"/>
        <c:lblAlgn val="ctr"/>
        <c:lblOffset val="200"/>
        <c:tickLblSkip val="1"/>
      </c:catAx>
      <c:valAx>
        <c:axId val="1293278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2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7.6999999999999999E-2</c:v>
                </c:pt>
                <c:pt idx="1">
                  <c:v>9.0999999999999998E-2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29139456"/>
        <c:axId val="129140992"/>
      </c:lineChart>
      <c:catAx>
        <c:axId val="12913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40992"/>
        <c:crosses val="autoZero"/>
        <c:auto val="1"/>
        <c:lblAlgn val="ctr"/>
        <c:lblOffset val="100"/>
      </c:catAx>
      <c:valAx>
        <c:axId val="12914099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3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34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323055.43600000005</c:v>
                </c:pt>
                <c:pt idx="1">
                  <c:v>77.395999999984639</c:v>
                </c:pt>
                <c:pt idx="2">
                  <c:v>70.9720000000205</c:v>
                </c:pt>
                <c:pt idx="3">
                  <c:v>79.904000000015373</c:v>
                </c:pt>
                <c:pt idx="4">
                  <c:v>90.859999999974391</c:v>
                </c:pt>
                <c:pt idx="5">
                  <c:v>97.063999999989761</c:v>
                </c:pt>
                <c:pt idx="6">
                  <c:v>52.888000000017932</c:v>
                </c:pt>
                <c:pt idx="7">
                  <c:v>51.875999999971832</c:v>
                </c:pt>
                <c:pt idx="8">
                  <c:v>52.404000000015373</c:v>
                </c:pt>
                <c:pt idx="9">
                  <c:v>69.124000000028175</c:v>
                </c:pt>
                <c:pt idx="10">
                  <c:v>87.955999999959033</c:v>
                </c:pt>
                <c:pt idx="11">
                  <c:v>92.004000000015381</c:v>
                </c:pt>
                <c:pt idx="12">
                  <c:v>83.731999999994883</c:v>
                </c:pt>
                <c:pt idx="13">
                  <c:v>62.215999999997443</c:v>
                </c:pt>
                <c:pt idx="14">
                  <c:v>60.147999999992322</c:v>
                </c:pt>
                <c:pt idx="15">
                  <c:v>69.563999999989761</c:v>
                </c:pt>
                <c:pt idx="16">
                  <c:v>-324153.54399999999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29411328"/>
        <c:axId val="129429504"/>
      </c:lineChart>
      <c:catAx>
        <c:axId val="12941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29504"/>
        <c:crosses val="autoZero"/>
        <c:auto val="1"/>
        <c:lblAlgn val="ctr"/>
        <c:lblOffset val="100"/>
      </c:catAx>
      <c:valAx>
        <c:axId val="129429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1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3812992"/>
        <c:axId val="153814912"/>
      </c:lineChart>
      <c:catAx>
        <c:axId val="153812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14912"/>
        <c:crosses val="autoZero"/>
        <c:auto val="1"/>
        <c:lblAlgn val="ctr"/>
        <c:lblOffset val="100"/>
      </c:catAx>
      <c:valAx>
        <c:axId val="1538149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129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3839872"/>
        <c:axId val="153866624"/>
      </c:lineChart>
      <c:catAx>
        <c:axId val="153839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66624"/>
        <c:crosses val="autoZero"/>
        <c:auto val="1"/>
        <c:lblAlgn val="ctr"/>
        <c:lblOffset val="100"/>
      </c:catAx>
      <c:valAx>
        <c:axId val="1538666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398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5079424"/>
        <c:axId val="155080960"/>
      </c:lineChart>
      <c:catAx>
        <c:axId val="15507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80960"/>
        <c:crosses val="autoZero"/>
        <c:auto val="1"/>
        <c:lblAlgn val="ctr"/>
        <c:lblOffset val="200"/>
        <c:tickLblSkip val="1"/>
      </c:catAx>
      <c:valAx>
        <c:axId val="1550809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7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5101440"/>
        <c:axId val="155521024"/>
      </c:lineChart>
      <c:catAx>
        <c:axId val="15510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21024"/>
        <c:crosses val="autoZero"/>
        <c:auto val="1"/>
        <c:lblAlgn val="ctr"/>
        <c:lblOffset val="100"/>
      </c:catAx>
      <c:valAx>
        <c:axId val="155521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0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55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5541504"/>
        <c:axId val="155543040"/>
      </c:lineChart>
      <c:catAx>
        <c:axId val="15554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43040"/>
        <c:crosses val="autoZero"/>
        <c:auto val="1"/>
        <c:lblAlgn val="ctr"/>
        <c:lblOffset val="100"/>
      </c:catAx>
      <c:valAx>
        <c:axId val="155543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4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6653056"/>
        <c:axId val="156654976"/>
      </c:lineChart>
      <c:catAx>
        <c:axId val="156653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54976"/>
        <c:crosses val="autoZero"/>
        <c:auto val="1"/>
        <c:lblAlgn val="ctr"/>
        <c:lblOffset val="100"/>
      </c:catAx>
      <c:valAx>
        <c:axId val="1566549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530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7102080"/>
        <c:axId val="157104000"/>
      </c:lineChart>
      <c:catAx>
        <c:axId val="157102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04000"/>
        <c:crosses val="autoZero"/>
        <c:auto val="1"/>
        <c:lblAlgn val="ctr"/>
        <c:lblOffset val="100"/>
      </c:catAx>
      <c:valAx>
        <c:axId val="1571040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020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7141248"/>
        <c:axId val="157941760"/>
      </c:lineChart>
      <c:catAx>
        <c:axId val="15714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41760"/>
        <c:crosses val="autoZero"/>
        <c:auto val="1"/>
        <c:lblAlgn val="ctr"/>
        <c:lblOffset val="200"/>
        <c:tickLblSkip val="1"/>
      </c:catAx>
      <c:valAx>
        <c:axId val="1579417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4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7995008"/>
        <c:axId val="157996544"/>
      </c:lineChart>
      <c:catAx>
        <c:axId val="15799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96544"/>
        <c:crosses val="autoZero"/>
        <c:auto val="1"/>
        <c:lblAlgn val="ctr"/>
        <c:lblOffset val="100"/>
      </c:catAx>
      <c:valAx>
        <c:axId val="157996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9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55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8160384"/>
        <c:axId val="158161920"/>
      </c:lineChart>
      <c:catAx>
        <c:axId val="15816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61920"/>
        <c:crosses val="autoZero"/>
        <c:auto val="1"/>
        <c:lblAlgn val="ctr"/>
        <c:lblOffset val="100"/>
      </c:catAx>
      <c:valAx>
        <c:axId val="158161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6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1%20NOV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33526.22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N34" sqref="N34"/>
    </sheetView>
  </sheetViews>
  <sheetFormatPr defaultColWidth="11.5703125" defaultRowHeight="12.75"/>
  <cols>
    <col min="1" max="1" width="12.42578125" style="11" customWidth="1"/>
    <col min="2" max="3" width="11.5703125" style="416"/>
    <col min="4" max="4" width="13.42578125" style="417" customWidth="1"/>
    <col min="5" max="5" width="12.5703125" style="418" customWidth="1"/>
    <col min="6" max="6" width="12.5703125" style="11" customWidth="1"/>
    <col min="7" max="7" width="11.5703125" style="11"/>
    <col min="8" max="8" width="11.5703125" style="425"/>
    <col min="9" max="9" width="11.5703125" style="11"/>
    <col min="10" max="10" width="11.5703125" style="425"/>
    <col min="11" max="11" width="11.5703125" style="418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4" customFormat="1" ht="60.75" thickBot="1">
      <c r="A1" s="408" t="s">
        <v>271</v>
      </c>
      <c r="B1" s="409" t="s">
        <v>272</v>
      </c>
      <c r="C1" s="409" t="s">
        <v>273</v>
      </c>
      <c r="D1" s="410" t="s">
        <v>274</v>
      </c>
      <c r="E1" s="411" t="s">
        <v>275</v>
      </c>
      <c r="F1" s="412" t="s">
        <v>276</v>
      </c>
      <c r="G1" s="412" t="s">
        <v>277</v>
      </c>
      <c r="H1" s="423" t="s">
        <v>278</v>
      </c>
      <c r="I1" s="412" t="s">
        <v>279</v>
      </c>
      <c r="J1" s="423" t="s">
        <v>280</v>
      </c>
      <c r="K1" s="411" t="s">
        <v>281</v>
      </c>
      <c r="L1" s="413" t="s">
        <v>282</v>
      </c>
    </row>
    <row r="2" spans="1:12">
      <c r="A2" s="415" t="s">
        <v>283</v>
      </c>
      <c r="B2" s="416">
        <v>1</v>
      </c>
      <c r="C2" s="416">
        <v>12</v>
      </c>
      <c r="D2" s="417">
        <v>2020</v>
      </c>
      <c r="E2" s="418">
        <f>'UTILITY REPORT 1'!F3</f>
        <v>2356</v>
      </c>
      <c r="F2" s="419">
        <f>('UTILITY REPORT 1'!E3*'UTILITY REPORT 1'!D3)/'UTILITY REPORT 1'!F3</f>
        <v>0.41247028862478774</v>
      </c>
      <c r="G2" s="419">
        <f>IF('Utility summery'!M6&lt;0,"0",'Utility summery'!M6)</f>
        <v>323055.43600000005</v>
      </c>
      <c r="H2" s="424">
        <v>0</v>
      </c>
      <c r="I2" s="419">
        <f>IF('UTILITY REPORT 1'!G3&lt;0,"0",'UTILITY REPORT 1'!G3)</f>
        <v>55</v>
      </c>
      <c r="J2" s="424">
        <v>0</v>
      </c>
      <c r="K2" s="418">
        <f>'UTILITY REPORT 1'!C3</f>
        <v>7.79</v>
      </c>
      <c r="L2" s="420" t="e">
        <f>E2*F2+G2*H2+#REF!*#REF!+I2*J2</f>
        <v>#REF!</v>
      </c>
    </row>
    <row r="3" spans="1:12">
      <c r="A3" s="415" t="s">
        <v>283</v>
      </c>
      <c r="B3" s="416">
        <f>B2+1</f>
        <v>2</v>
      </c>
      <c r="C3" s="416">
        <v>12</v>
      </c>
      <c r="D3" s="417">
        <v>2020</v>
      </c>
      <c r="E3" s="418">
        <f>'UTILITY REPORT 1'!F4</f>
        <v>2299</v>
      </c>
      <c r="F3" s="419">
        <f>('UTILITY REPORT 1'!E4*'UTILITY REPORT 1'!D4)/'UTILITY REPORT 1'!F4</f>
        <v>0.42259678120922139</v>
      </c>
      <c r="G3" s="419">
        <f>IF('Utility summery'!M7&lt;0,"0",'Utility summery'!M7)</f>
        <v>77.395999999984639</v>
      </c>
      <c r="H3" s="424">
        <v>0</v>
      </c>
      <c r="I3" s="419">
        <f>IF('UTILITY REPORT 1'!G4&lt;0,"0",'UTILITY REPORT 1'!G4)</f>
        <v>75</v>
      </c>
      <c r="J3" s="424">
        <v>0</v>
      </c>
      <c r="K3" s="418">
        <f>'UTILITY REPORT 1'!C4</f>
        <v>9.09</v>
      </c>
      <c r="L3" s="420" t="e">
        <f>E3*F3+G3*H3+#REF!*#REF!+I3*J3</f>
        <v>#REF!</v>
      </c>
    </row>
    <row r="4" spans="1:12">
      <c r="A4" s="415" t="s">
        <v>283</v>
      </c>
      <c r="B4" s="416">
        <f t="shared" ref="B4:B30" si="0">B3+1</f>
        <v>3</v>
      </c>
      <c r="C4" s="416">
        <v>12</v>
      </c>
      <c r="D4" s="417">
        <v>2020</v>
      </c>
      <c r="E4" s="418">
        <f>'UTILITY REPORT 1'!F5</f>
        <v>2378</v>
      </c>
      <c r="F4" s="419">
        <f>('UTILITY REPORT 1'!E5*'UTILITY REPORT 1'!D5)/'UTILITY REPORT 1'!F5</f>
        <v>0.41857022708158115</v>
      </c>
      <c r="G4" s="419">
        <f>IF('Utility summery'!M8&lt;0,"0",'Utility summery'!M8)</f>
        <v>70.9720000000205</v>
      </c>
      <c r="H4" s="424">
        <v>0</v>
      </c>
      <c r="I4" s="419">
        <f>IF('UTILITY REPORT 1'!G5&lt;0,"0",'UTILITY REPORT 1'!G5)</f>
        <v>59</v>
      </c>
      <c r="J4" s="424">
        <v>0</v>
      </c>
      <c r="K4" s="418">
        <f>'UTILITY REPORT 1'!C5</f>
        <v>1.3</v>
      </c>
      <c r="L4" s="420" t="e">
        <f>E4*F4+G4*H4+#REF!*#REF!+I4*J4</f>
        <v>#REF!</v>
      </c>
    </row>
    <row r="5" spans="1:12">
      <c r="A5" s="415" t="s">
        <v>283</v>
      </c>
      <c r="B5" s="416">
        <f t="shared" si="0"/>
        <v>4</v>
      </c>
      <c r="C5" s="416">
        <v>12</v>
      </c>
      <c r="D5" s="417">
        <v>2020</v>
      </c>
      <c r="E5" s="418">
        <f>'UTILITY REPORT 1'!F6</f>
        <v>2173</v>
      </c>
      <c r="F5" s="419">
        <f>('UTILITY REPORT 1'!E6*'UTILITY REPORT 1'!D6)/'UTILITY REPORT 1'!F6</f>
        <v>0.41642429820524618</v>
      </c>
      <c r="G5" s="419">
        <f>IF('Utility summery'!M9&lt;0,"0",'Utility summery'!M9)</f>
        <v>79.904000000015373</v>
      </c>
      <c r="H5" s="424">
        <v>0</v>
      </c>
      <c r="I5" s="419">
        <f>IF('UTILITY REPORT 1'!G6&lt;0,"0",'UTILITY REPORT 1'!G6)</f>
        <v>49</v>
      </c>
      <c r="J5" s="424">
        <v>0</v>
      </c>
      <c r="K5" s="418">
        <f>'UTILITY REPORT 1'!C6</f>
        <v>1.3</v>
      </c>
      <c r="L5" s="420" t="e">
        <f>E5*F5+G5*H5+#REF!*#REF!+I5*J5</f>
        <v>#REF!</v>
      </c>
    </row>
    <row r="6" spans="1:12">
      <c r="A6" s="415" t="s">
        <v>283</v>
      </c>
      <c r="B6" s="416">
        <f t="shared" si="0"/>
        <v>5</v>
      </c>
      <c r="C6" s="416">
        <v>12</v>
      </c>
      <c r="D6" s="417">
        <v>2020</v>
      </c>
      <c r="E6" s="418">
        <f>'UTILITY REPORT 1'!F7</f>
        <v>2292</v>
      </c>
      <c r="F6" s="419">
        <f>('UTILITY REPORT 1'!E7*'UTILITY REPORT 1'!D7)/'UTILITY REPORT 1'!F7</f>
        <v>0.40490401396160558</v>
      </c>
      <c r="G6" s="419">
        <f>IF('Utility summery'!M10&lt;0,"0",'Utility summery'!M10)</f>
        <v>90.859999999974391</v>
      </c>
      <c r="H6" s="424">
        <v>0</v>
      </c>
      <c r="I6" s="419">
        <f>IF('UTILITY REPORT 1'!G7&lt;0,"0",'UTILITY REPORT 1'!G7)</f>
        <v>60</v>
      </c>
      <c r="J6" s="424">
        <v>0</v>
      </c>
      <c r="K6" s="418">
        <f>'UTILITY REPORT 1'!C7</f>
        <v>0</v>
      </c>
      <c r="L6" s="420" t="e">
        <f>E6*F6+G6*H6+#REF!*#REF!+I6*J6</f>
        <v>#REF!</v>
      </c>
    </row>
    <row r="7" spans="1:12">
      <c r="A7" s="415" t="s">
        <v>283</v>
      </c>
      <c r="B7" s="416">
        <f t="shared" si="0"/>
        <v>6</v>
      </c>
      <c r="C7" s="416">
        <v>12</v>
      </c>
      <c r="D7" s="417">
        <v>2020</v>
      </c>
      <c r="E7" s="418">
        <f>'UTILITY REPORT 1'!F8</f>
        <v>2375</v>
      </c>
      <c r="F7" s="419">
        <f>('UTILITY REPORT 1'!E8*'UTILITY REPORT 1'!D8)/'UTILITY REPORT 1'!F8</f>
        <v>0.42626947368421053</v>
      </c>
      <c r="G7" s="419">
        <f>IF('Utility summery'!M11&lt;0,"0",'Utility summery'!M11)</f>
        <v>97.063999999989761</v>
      </c>
      <c r="H7" s="424">
        <v>0</v>
      </c>
      <c r="I7" s="419">
        <f>IF('UTILITY REPORT 1'!G8&lt;0,"0",'UTILITY REPORT 1'!G8)</f>
        <v>51</v>
      </c>
      <c r="J7" s="424">
        <v>0</v>
      </c>
      <c r="K7" s="418">
        <f>'UTILITY REPORT 1'!C8</f>
        <v>1.3</v>
      </c>
      <c r="L7" s="420" t="e">
        <f>E7*F7+G7*H7+#REF!*#REF!+I7*J7</f>
        <v>#REF!</v>
      </c>
    </row>
    <row r="8" spans="1:12">
      <c r="A8" s="415" t="s">
        <v>283</v>
      </c>
      <c r="B8" s="416">
        <f t="shared" si="0"/>
        <v>7</v>
      </c>
      <c r="C8" s="416">
        <v>12</v>
      </c>
      <c r="D8" s="417">
        <v>2020</v>
      </c>
      <c r="E8" s="418">
        <f>'UTILITY REPORT 1'!F9</f>
        <v>2317</v>
      </c>
      <c r="F8" s="419">
        <f>('UTILITY REPORT 1'!E9*'UTILITY REPORT 1'!D9)/'UTILITY REPORT 1'!F9</f>
        <v>0.41271040138109627</v>
      </c>
      <c r="G8" s="419">
        <f>IF('Utility summery'!M12&lt;0,"0",'Utility summery'!M12)</f>
        <v>52.888000000017932</v>
      </c>
      <c r="H8" s="424">
        <v>0</v>
      </c>
      <c r="I8" s="419">
        <f>IF('UTILITY REPORT 1'!G9&lt;0,"0",'UTILITY REPORT 1'!G9)</f>
        <v>43</v>
      </c>
      <c r="J8" s="424">
        <v>0</v>
      </c>
      <c r="K8" s="418">
        <f>'UTILITY REPORT 1'!C9</f>
        <v>1.3</v>
      </c>
      <c r="L8" s="420" t="e">
        <f>E8*F8+G8*H8+#REF!*#REF!+I8*J8</f>
        <v>#REF!</v>
      </c>
    </row>
    <row r="9" spans="1:12">
      <c r="A9" s="415" t="s">
        <v>283</v>
      </c>
      <c r="B9" s="416">
        <f t="shared" si="0"/>
        <v>8</v>
      </c>
      <c r="C9" s="416">
        <v>12</v>
      </c>
      <c r="D9" s="417">
        <v>2020</v>
      </c>
      <c r="E9" s="418">
        <f>'UTILITY REPORT 1'!F10</f>
        <v>2410</v>
      </c>
      <c r="F9" s="419">
        <f>('UTILITY REPORT 1'!E10*'UTILITY REPORT 1'!D10)/'UTILITY REPORT 1'!F10</f>
        <v>0.42044398340248962</v>
      </c>
      <c r="G9" s="419">
        <f>IF('Utility summery'!M13&lt;0,"0",'Utility summery'!M13)</f>
        <v>51.875999999971832</v>
      </c>
      <c r="H9" s="424">
        <v>0</v>
      </c>
      <c r="I9" s="419">
        <f>IF('UTILITY REPORT 1'!G10&lt;0,"0",'UTILITY REPORT 1'!G10)</f>
        <v>44</v>
      </c>
      <c r="J9" s="424">
        <v>0</v>
      </c>
      <c r="K9" s="418">
        <f>'UTILITY REPORT 1'!C10</f>
        <v>1.3</v>
      </c>
      <c r="L9" s="420" t="e">
        <f>E9*F9+G9*H9+#REF!*#REF!+I9*J9</f>
        <v>#REF!</v>
      </c>
    </row>
    <row r="10" spans="1:12">
      <c r="A10" s="415" t="s">
        <v>283</v>
      </c>
      <c r="B10" s="416">
        <f t="shared" si="0"/>
        <v>9</v>
      </c>
      <c r="C10" s="416">
        <v>12</v>
      </c>
      <c r="D10" s="417">
        <v>2020</v>
      </c>
      <c r="E10" s="418">
        <f>'UTILITY REPORT 1'!F11</f>
        <v>2451</v>
      </c>
      <c r="F10" s="419">
        <f>('UTILITY REPORT 1'!E11*'UTILITY REPORT 1'!D11)/'UTILITY REPORT 1'!F11</f>
        <v>0.41245206038351689</v>
      </c>
      <c r="G10" s="419">
        <f>IF('Utility summery'!M14&lt;0,"0",'Utility summery'!M14)</f>
        <v>52.404000000015373</v>
      </c>
      <c r="H10" s="424">
        <v>0</v>
      </c>
      <c r="I10" s="419">
        <f>IF('UTILITY REPORT 1'!G11&lt;0,"0",'UTILITY REPORT 1'!G11)</f>
        <v>63</v>
      </c>
      <c r="J10" s="424">
        <v>0</v>
      </c>
      <c r="K10" s="418">
        <f>'UTILITY REPORT 1'!C11</f>
        <v>1.3</v>
      </c>
      <c r="L10" s="420" t="e">
        <f>E10*F10+G10*H10+#REF!*#REF!+I10*J10</f>
        <v>#REF!</v>
      </c>
    </row>
    <row r="11" spans="1:12">
      <c r="A11" s="415" t="s">
        <v>283</v>
      </c>
      <c r="B11" s="416">
        <f t="shared" si="0"/>
        <v>10</v>
      </c>
      <c r="C11" s="416">
        <v>12</v>
      </c>
      <c r="D11" s="417">
        <v>2020</v>
      </c>
      <c r="E11" s="418">
        <f>'UTILITY REPORT 1'!F12</f>
        <v>2929</v>
      </c>
      <c r="F11" s="419">
        <f>('UTILITY REPORT 1'!E12*'UTILITY REPORT 1'!D12)/'UTILITY REPORT 1'!F12</f>
        <v>0.43839877091157392</v>
      </c>
      <c r="G11" s="419">
        <f>IF('Utility summery'!M15&lt;0,"0",'Utility summery'!M15)</f>
        <v>69.124000000028175</v>
      </c>
      <c r="H11" s="424">
        <v>0</v>
      </c>
      <c r="I11" s="419">
        <f>IF('UTILITY REPORT 1'!G12&lt;0,"0",'UTILITY REPORT 1'!G12)</f>
        <v>61</v>
      </c>
      <c r="J11" s="424">
        <v>0</v>
      </c>
      <c r="K11" s="418">
        <f>'UTILITY REPORT 1'!C12</f>
        <v>2.6</v>
      </c>
      <c r="L11" s="420" t="e">
        <f>E11*F11+G11*H11+#REF!*#REF!+I11*J11</f>
        <v>#REF!</v>
      </c>
    </row>
    <row r="12" spans="1:12">
      <c r="A12" s="415" t="s">
        <v>283</v>
      </c>
      <c r="B12" s="416">
        <f t="shared" si="0"/>
        <v>11</v>
      </c>
      <c r="C12" s="416">
        <v>12</v>
      </c>
      <c r="D12" s="417">
        <v>2020</v>
      </c>
      <c r="E12" s="418">
        <f>'UTILITY REPORT 1'!F13</f>
        <v>3090</v>
      </c>
      <c r="F12" s="419">
        <f>('UTILITY REPORT 1'!E13*'UTILITY REPORT 1'!D13)/'UTILITY REPORT 1'!F13</f>
        <v>0.3939967637540453</v>
      </c>
      <c r="G12" s="419">
        <f>IF('Utility summery'!M16&lt;0,"0",'Utility summery'!M16)</f>
        <v>87.955999999959033</v>
      </c>
      <c r="H12" s="424">
        <v>0</v>
      </c>
      <c r="I12" s="419">
        <f>IF('UTILITY REPORT 1'!G13&lt;0,"0",'UTILITY REPORT 1'!G13)</f>
        <v>62</v>
      </c>
      <c r="J12" s="424">
        <v>0</v>
      </c>
      <c r="K12" s="418">
        <f>'UTILITY REPORT 1'!C13</f>
        <v>22.08</v>
      </c>
      <c r="L12" s="420" t="e">
        <f>E12*F12+G12*H12+#REF!*#REF!+I12*J12</f>
        <v>#REF!</v>
      </c>
    </row>
    <row r="13" spans="1:12">
      <c r="A13" s="415" t="s">
        <v>283</v>
      </c>
      <c r="B13" s="416">
        <f t="shared" si="0"/>
        <v>12</v>
      </c>
      <c r="C13" s="416">
        <v>12</v>
      </c>
      <c r="D13" s="417">
        <v>2020</v>
      </c>
      <c r="E13" s="418">
        <f>'UTILITY REPORT 1'!F14</f>
        <v>3028</v>
      </c>
      <c r="F13" s="419">
        <f>('UTILITY REPORT 1'!E14*'UTILITY REPORT 1'!D14)/'UTILITY REPORT 1'!F14</f>
        <v>0.39340488771466314</v>
      </c>
      <c r="G13" s="419">
        <f>IF('Utility summery'!M17&lt;0,"0",'Utility summery'!M17)</f>
        <v>92.004000000015381</v>
      </c>
      <c r="H13" s="424">
        <v>0</v>
      </c>
      <c r="I13" s="419">
        <f>IF('UTILITY REPORT 1'!G14&lt;0,"0",'UTILITY REPORT 1'!G14)</f>
        <v>54</v>
      </c>
      <c r="J13" s="424">
        <v>0</v>
      </c>
      <c r="K13" s="418">
        <f>'UTILITY REPORT 1'!C14</f>
        <v>23.38</v>
      </c>
      <c r="L13" s="420" t="e">
        <f>E13*F13+G13*H13+#REF!*#REF!+I13*J13</f>
        <v>#REF!</v>
      </c>
    </row>
    <row r="14" spans="1:12">
      <c r="A14" s="415" t="s">
        <v>283</v>
      </c>
      <c r="B14" s="416">
        <f t="shared" si="0"/>
        <v>13</v>
      </c>
      <c r="C14" s="416">
        <v>12</v>
      </c>
      <c r="D14" s="417">
        <v>2020</v>
      </c>
      <c r="E14" s="418">
        <f>'UTILITY REPORT 1'!F15</f>
        <v>2694</v>
      </c>
      <c r="F14" s="419">
        <f>('UTILITY REPORT 1'!E15*'UTILITY REPORT 1'!D15)/'UTILITY REPORT 1'!F15</f>
        <v>0.41456570155902001</v>
      </c>
      <c r="G14" s="419">
        <f>IF('Utility summery'!M18&lt;0,"0",'Utility summery'!M18)</f>
        <v>83.731999999994883</v>
      </c>
      <c r="H14" s="424">
        <v>0</v>
      </c>
      <c r="I14" s="419">
        <f>IF('UTILITY REPORT 1'!G15&lt;0,"0",'UTILITY REPORT 1'!G15)</f>
        <v>56</v>
      </c>
      <c r="J14" s="424">
        <v>0</v>
      </c>
      <c r="K14" s="418">
        <f>'UTILITY REPORT 1'!C15</f>
        <v>20.78</v>
      </c>
      <c r="L14" s="420" t="e">
        <f>E14*F14+G14*H14+#REF!*#REF!+I14*J14</f>
        <v>#REF!</v>
      </c>
    </row>
    <row r="15" spans="1:12">
      <c r="A15" s="415" t="s">
        <v>283</v>
      </c>
      <c r="B15" s="416">
        <f t="shared" si="0"/>
        <v>14</v>
      </c>
      <c r="C15" s="416">
        <v>12</v>
      </c>
      <c r="D15" s="417">
        <v>2020</v>
      </c>
      <c r="E15" s="418">
        <f>'UTILITY REPORT 1'!F16</f>
        <v>2790</v>
      </c>
      <c r="F15" s="419">
        <f>('UTILITY REPORT 1'!E16*'UTILITY REPORT 1'!D16)/'UTILITY REPORT 1'!F16</f>
        <v>0.40323655913978496</v>
      </c>
      <c r="G15" s="419">
        <f>IF('Utility summery'!M19&lt;0,"0",'Utility summery'!M19)</f>
        <v>62.215999999997443</v>
      </c>
      <c r="H15" s="424">
        <v>0</v>
      </c>
      <c r="I15" s="419">
        <f>IF('UTILITY REPORT 1'!G16&lt;0,"0",'UTILITY REPORT 1'!G16)</f>
        <v>60</v>
      </c>
      <c r="J15" s="424">
        <v>0</v>
      </c>
      <c r="K15" s="418">
        <f>'UTILITY REPORT 1'!C16</f>
        <v>2.6</v>
      </c>
      <c r="L15" s="420" t="e">
        <f>E15*F15+G15*H15+#REF!*#REF!+I15*J15</f>
        <v>#REF!</v>
      </c>
    </row>
    <row r="16" spans="1:12">
      <c r="A16" s="415" t="s">
        <v>283</v>
      </c>
      <c r="B16" s="416">
        <f t="shared" si="0"/>
        <v>15</v>
      </c>
      <c r="C16" s="416">
        <v>12</v>
      </c>
      <c r="D16" s="417">
        <v>2020</v>
      </c>
      <c r="E16" s="418">
        <f>'UTILITY REPORT 1'!F17</f>
        <v>2707</v>
      </c>
      <c r="F16" s="419">
        <f>('UTILITY REPORT 1'!E17*'UTILITY REPORT 1'!D17)/'UTILITY REPORT 1'!F17</f>
        <v>0.40346878463243446</v>
      </c>
      <c r="G16" s="419">
        <f>IF('Utility summery'!M20&lt;0,"0",'Utility summery'!M20)</f>
        <v>60.147999999992322</v>
      </c>
      <c r="H16" s="424">
        <v>0</v>
      </c>
      <c r="I16" s="419">
        <f>IF('UTILITY REPORT 1'!G17&lt;0,"0",'UTILITY REPORT 1'!G17)</f>
        <v>74</v>
      </c>
      <c r="J16" s="424">
        <v>0</v>
      </c>
      <c r="K16" s="418">
        <f>'UTILITY REPORT 1'!C17</f>
        <v>6.49</v>
      </c>
      <c r="L16" s="420" t="e">
        <f>E16*F16+G16*H16+#REF!*#REF!+I16*J16</f>
        <v>#REF!</v>
      </c>
    </row>
    <row r="17" spans="1:12">
      <c r="A17" s="415" t="s">
        <v>283</v>
      </c>
      <c r="B17" s="416">
        <f t="shared" si="0"/>
        <v>16</v>
      </c>
      <c r="C17" s="416">
        <v>12</v>
      </c>
      <c r="D17" s="417">
        <v>2020</v>
      </c>
      <c r="E17" s="418">
        <f>'UTILITY REPORT 1'!F18</f>
        <v>0</v>
      </c>
      <c r="F17" s="419" t="e">
        <f>('UTILITY REPORT 1'!E18*'UTILITY REPORT 1'!D18)/'UTILITY REPORT 1'!F18</f>
        <v>#DIV/0!</v>
      </c>
      <c r="G17" s="419">
        <f>IF('Utility summery'!M21&lt;0,"0",'Utility summery'!M21)</f>
        <v>69.563999999989761</v>
      </c>
      <c r="H17" s="424">
        <v>0</v>
      </c>
      <c r="I17" s="419" t="str">
        <f>IF('UTILITY REPORT 1'!G18&lt;0,"0",'UTILITY REPORT 1'!G18)</f>
        <v>0</v>
      </c>
      <c r="J17" s="424">
        <v>0</v>
      </c>
      <c r="K17" s="418">
        <f>'UTILITY REPORT 1'!C18</f>
        <v>7.49</v>
      </c>
      <c r="L17" s="420" t="e">
        <f>E17*F17+G17*H17+#REF!*#REF!+I17*J17</f>
        <v>#DIV/0!</v>
      </c>
    </row>
    <row r="18" spans="1:12">
      <c r="A18" s="415" t="s">
        <v>283</v>
      </c>
      <c r="B18" s="416">
        <f t="shared" si="0"/>
        <v>17</v>
      </c>
      <c r="C18" s="416">
        <v>12</v>
      </c>
      <c r="D18" s="417">
        <v>2020</v>
      </c>
      <c r="E18" s="418">
        <f>'UTILITY REPORT 1'!F19</f>
        <v>0</v>
      </c>
      <c r="F18" s="419" t="e">
        <f>('UTILITY REPORT 1'!E19*'UTILITY REPORT 1'!D19)/'UTILITY REPORT 1'!F19</f>
        <v>#DIV/0!</v>
      </c>
      <c r="G18" s="419" t="str">
        <f>IF('Utility summery'!M22&lt;0,"0",'Utility summery'!M22)</f>
        <v>0</v>
      </c>
      <c r="H18" s="424">
        <v>0</v>
      </c>
      <c r="I18" s="419">
        <f>IF('UTILITY REPORT 1'!G19&lt;0,"0",'UTILITY REPORT 1'!G19)</f>
        <v>0</v>
      </c>
      <c r="J18" s="424">
        <v>0</v>
      </c>
      <c r="K18" s="418">
        <f>'UTILITY REPORT 1'!C19</f>
        <v>0</v>
      </c>
      <c r="L18" s="420" t="e">
        <f>E18*F18+G18*H18+#REF!*#REF!+I18*J18</f>
        <v>#DIV/0!</v>
      </c>
    </row>
    <row r="19" spans="1:12">
      <c r="A19" s="415" t="s">
        <v>283</v>
      </c>
      <c r="B19" s="416">
        <f t="shared" si="0"/>
        <v>18</v>
      </c>
      <c r="C19" s="416">
        <v>12</v>
      </c>
      <c r="D19" s="417">
        <v>2020</v>
      </c>
      <c r="E19" s="418">
        <f>'UTILITY REPORT 1'!F20</f>
        <v>0</v>
      </c>
      <c r="F19" s="419" t="e">
        <f>('UTILITY REPORT 1'!E20*'UTILITY REPORT 1'!D20)/'UTILITY REPORT 1'!F20</f>
        <v>#DIV/0!</v>
      </c>
      <c r="G19" s="419">
        <f>IF('Utility summery'!M23&lt;0,"0",'Utility summery'!M23)</f>
        <v>0</v>
      </c>
      <c r="H19" s="424">
        <v>0</v>
      </c>
      <c r="I19" s="419">
        <f>IF('UTILITY REPORT 1'!G20&lt;0,"0",'UTILITY REPORT 1'!G20)</f>
        <v>0</v>
      </c>
      <c r="J19" s="424">
        <v>0</v>
      </c>
      <c r="K19" s="418">
        <f>'UTILITY REPORT 1'!C20</f>
        <v>0</v>
      </c>
      <c r="L19" s="420" t="e">
        <f>E19*F19+G19*H19+#REF!*#REF!+I19*J19</f>
        <v>#DIV/0!</v>
      </c>
    </row>
    <row r="20" spans="1:12">
      <c r="A20" s="415" t="s">
        <v>283</v>
      </c>
      <c r="B20" s="416">
        <f t="shared" si="0"/>
        <v>19</v>
      </c>
      <c r="C20" s="416">
        <v>12</v>
      </c>
      <c r="D20" s="417">
        <v>2020</v>
      </c>
      <c r="E20" s="418">
        <f>'UTILITY REPORT 1'!F21</f>
        <v>0</v>
      </c>
      <c r="F20" s="419" t="e">
        <f>('UTILITY REPORT 1'!E21*'UTILITY REPORT 1'!D21)/'UTILITY REPORT 1'!F21</f>
        <v>#DIV/0!</v>
      </c>
      <c r="G20" s="419">
        <f>IF('Utility summery'!M24&lt;0,"0",'Utility summery'!M24)</f>
        <v>0</v>
      </c>
      <c r="H20" s="424">
        <v>0</v>
      </c>
      <c r="I20" s="419">
        <f>IF('UTILITY REPORT 1'!G21&lt;0,"0",'UTILITY REPORT 1'!G21)</f>
        <v>0</v>
      </c>
      <c r="J20" s="424">
        <v>0</v>
      </c>
      <c r="K20" s="418">
        <f>'UTILITY REPORT 1'!C21</f>
        <v>0</v>
      </c>
      <c r="L20" s="420" t="e">
        <f>E20*F20+G20*H20+#REF!*#REF!+I20*J20</f>
        <v>#DIV/0!</v>
      </c>
    </row>
    <row r="21" spans="1:12">
      <c r="A21" s="415" t="s">
        <v>283</v>
      </c>
      <c r="B21" s="416">
        <f t="shared" si="0"/>
        <v>20</v>
      </c>
      <c r="C21" s="416">
        <v>12</v>
      </c>
      <c r="D21" s="417">
        <v>2020</v>
      </c>
      <c r="E21" s="418">
        <f>'UTILITY REPORT 1'!F22</f>
        <v>0</v>
      </c>
      <c r="F21" s="419" t="e">
        <f>('UTILITY REPORT 1'!E22*'UTILITY REPORT 1'!D22)/'UTILITY REPORT 1'!F22</f>
        <v>#DIV/0!</v>
      </c>
      <c r="G21" s="419">
        <f>IF('Utility summery'!M25&lt;0,"0",'Utility summery'!M25)</f>
        <v>0</v>
      </c>
      <c r="H21" s="424">
        <v>0</v>
      </c>
      <c r="I21" s="419">
        <f>IF('UTILITY REPORT 1'!G22&lt;0,"0",'UTILITY REPORT 1'!G22)</f>
        <v>0</v>
      </c>
      <c r="J21" s="424">
        <v>0</v>
      </c>
      <c r="K21" s="418">
        <f>'UTILITY REPORT 1'!C22</f>
        <v>0</v>
      </c>
      <c r="L21" s="420" t="e">
        <f>E21*F21+G21*H21+#REF!*#REF!+I21*J21</f>
        <v>#DIV/0!</v>
      </c>
    </row>
    <row r="22" spans="1:12">
      <c r="A22" s="415" t="s">
        <v>283</v>
      </c>
      <c r="B22" s="416">
        <f t="shared" si="0"/>
        <v>21</v>
      </c>
      <c r="C22" s="416">
        <v>12</v>
      </c>
      <c r="D22" s="417">
        <v>2020</v>
      </c>
      <c r="E22" s="418">
        <f>'UTILITY REPORT 1'!F23</f>
        <v>0</v>
      </c>
      <c r="F22" s="419" t="e">
        <f>('UTILITY REPORT 1'!E23*'UTILITY REPORT 1'!D23)/'UTILITY REPORT 1'!F23</f>
        <v>#DIV/0!</v>
      </c>
      <c r="G22" s="419">
        <f>IF('Utility summery'!M26&lt;0,"0",'Utility summery'!M26)</f>
        <v>0</v>
      </c>
      <c r="H22" s="424">
        <v>0</v>
      </c>
      <c r="I22" s="419">
        <f>IF('UTILITY REPORT 1'!G23&lt;0,"0",'UTILITY REPORT 1'!G23)</f>
        <v>0</v>
      </c>
      <c r="J22" s="424">
        <v>0</v>
      </c>
      <c r="K22" s="418">
        <f>'UTILITY REPORT 1'!C23</f>
        <v>0</v>
      </c>
      <c r="L22" s="420" t="e">
        <f>E22*F22+G22*H22+#REF!*#REF!+I22*J22</f>
        <v>#DIV/0!</v>
      </c>
    </row>
    <row r="23" spans="1:12">
      <c r="A23" s="415" t="s">
        <v>283</v>
      </c>
      <c r="B23" s="416">
        <f t="shared" si="0"/>
        <v>22</v>
      </c>
      <c r="C23" s="416">
        <v>12</v>
      </c>
      <c r="D23" s="417">
        <v>2020</v>
      </c>
      <c r="E23" s="418">
        <f>'UTILITY REPORT 1'!F24</f>
        <v>0</v>
      </c>
      <c r="F23" s="419" t="e">
        <f>('UTILITY REPORT 1'!E24*'UTILITY REPORT 1'!D24)/'UTILITY REPORT 1'!F24</f>
        <v>#DIV/0!</v>
      </c>
      <c r="G23" s="419">
        <f>IF('Utility summery'!M27&lt;0,"0",'Utility summery'!M27)</f>
        <v>0</v>
      </c>
      <c r="H23" s="424">
        <v>0</v>
      </c>
      <c r="I23" s="419">
        <f>IF('UTILITY REPORT 1'!G24&lt;0,"0",'UTILITY REPORT 1'!G24)</f>
        <v>0</v>
      </c>
      <c r="J23" s="424">
        <v>0</v>
      </c>
      <c r="K23" s="418">
        <f>'UTILITY REPORT 1'!C24</f>
        <v>0</v>
      </c>
      <c r="L23" s="420" t="e">
        <f>E23*F23+G23*H23+#REF!*#REF!+I23*J23</f>
        <v>#DIV/0!</v>
      </c>
    </row>
    <row r="24" spans="1:12">
      <c r="A24" s="415" t="s">
        <v>283</v>
      </c>
      <c r="B24" s="416">
        <f t="shared" si="0"/>
        <v>23</v>
      </c>
      <c r="C24" s="416">
        <v>12</v>
      </c>
      <c r="D24" s="417">
        <v>2020</v>
      </c>
      <c r="E24" s="418">
        <f>'UTILITY REPORT 1'!F25</f>
        <v>0</v>
      </c>
      <c r="F24" s="419" t="e">
        <f>('UTILITY REPORT 1'!E25*'UTILITY REPORT 1'!D25)/'UTILITY REPORT 1'!F25</f>
        <v>#DIV/0!</v>
      </c>
      <c r="G24" s="419">
        <f>IF('Utility summery'!M28&lt;0,"0",'Utility summery'!M28)</f>
        <v>0</v>
      </c>
      <c r="H24" s="424">
        <v>0</v>
      </c>
      <c r="I24" s="419">
        <f>IF('UTILITY REPORT 1'!G25&lt;0,"0",'UTILITY REPORT 1'!G25)</f>
        <v>0</v>
      </c>
      <c r="J24" s="424">
        <v>0</v>
      </c>
      <c r="K24" s="418">
        <f>'UTILITY REPORT 1'!C25</f>
        <v>0</v>
      </c>
      <c r="L24" s="420" t="e">
        <f>E24*F24+G24*H24+#REF!*#REF!+I24*J24</f>
        <v>#DIV/0!</v>
      </c>
    </row>
    <row r="25" spans="1:12">
      <c r="A25" s="415" t="s">
        <v>283</v>
      </c>
      <c r="B25" s="416">
        <f t="shared" si="0"/>
        <v>24</v>
      </c>
      <c r="C25" s="416">
        <v>12</v>
      </c>
      <c r="D25" s="417">
        <v>2020</v>
      </c>
      <c r="E25" s="418">
        <f>'UTILITY REPORT 1'!F26</f>
        <v>0</v>
      </c>
      <c r="F25" s="419" t="e">
        <f>('UTILITY REPORT 1'!E26*'UTILITY REPORT 1'!D26)/'UTILITY REPORT 1'!F26</f>
        <v>#DIV/0!</v>
      </c>
      <c r="G25" s="419">
        <f>IF('Utility summery'!M29&lt;0,"0",'Utility summery'!M29)</f>
        <v>0</v>
      </c>
      <c r="H25" s="424">
        <v>0</v>
      </c>
      <c r="I25" s="419">
        <f>IF('UTILITY REPORT 1'!G26&lt;0,"0",'UTILITY REPORT 1'!G26)</f>
        <v>0</v>
      </c>
      <c r="J25" s="424">
        <v>0</v>
      </c>
      <c r="K25" s="418">
        <f>'UTILITY REPORT 1'!C26</f>
        <v>0</v>
      </c>
      <c r="L25" s="420" t="e">
        <f>E25*F25+G25*H25+#REF!*#REF!+I25*J25</f>
        <v>#DIV/0!</v>
      </c>
    </row>
    <row r="26" spans="1:12">
      <c r="A26" s="415" t="s">
        <v>283</v>
      </c>
      <c r="B26" s="416">
        <f>B25+1</f>
        <v>25</v>
      </c>
      <c r="C26" s="416">
        <v>12</v>
      </c>
      <c r="D26" s="417">
        <v>2020</v>
      </c>
      <c r="E26" s="418">
        <f>'UTILITY REPORT 1'!F27</f>
        <v>0</v>
      </c>
      <c r="F26" s="419" t="e">
        <f>('UTILITY REPORT 1'!E27*'UTILITY REPORT 1'!D27)/'UTILITY REPORT 1'!F27</f>
        <v>#DIV/0!</v>
      </c>
      <c r="G26" s="419">
        <f>IF('Utility summery'!M30&lt;0,"0",'Utility summery'!M30)</f>
        <v>0</v>
      </c>
      <c r="H26" s="424">
        <v>0</v>
      </c>
      <c r="I26" s="419">
        <f>IF('UTILITY REPORT 1'!G27&lt;0,"0",'UTILITY REPORT 1'!G27)</f>
        <v>0</v>
      </c>
      <c r="J26" s="424">
        <v>0</v>
      </c>
      <c r="K26" s="418">
        <f>'UTILITY REPORT 1'!C27</f>
        <v>0</v>
      </c>
      <c r="L26" s="420" t="e">
        <f>E26*F26+G26*H26+#REF!*#REF!+I26*J26</f>
        <v>#DIV/0!</v>
      </c>
    </row>
    <row r="27" spans="1:12">
      <c r="A27" s="415" t="s">
        <v>283</v>
      </c>
      <c r="B27" s="416">
        <f t="shared" si="0"/>
        <v>26</v>
      </c>
      <c r="C27" s="416">
        <v>12</v>
      </c>
      <c r="D27" s="417">
        <v>2020</v>
      </c>
      <c r="E27" s="418">
        <f>'UTILITY REPORT 1'!F28</f>
        <v>0</v>
      </c>
      <c r="F27" s="419" t="e">
        <f>('UTILITY REPORT 1'!E28*'UTILITY REPORT 1'!D28)/'UTILITY REPORT 1'!F28</f>
        <v>#DIV/0!</v>
      </c>
      <c r="G27" s="419">
        <f>IF('Utility summery'!M31&lt;0,"0",'Utility summery'!M31)</f>
        <v>0</v>
      </c>
      <c r="H27" s="424">
        <v>0</v>
      </c>
      <c r="I27" s="419">
        <f>IF('UTILITY REPORT 1'!G28&lt;0,"0",'UTILITY REPORT 1'!G28)</f>
        <v>0</v>
      </c>
      <c r="J27" s="424">
        <v>0</v>
      </c>
      <c r="K27" s="418">
        <f>'UTILITY REPORT 1'!C28</f>
        <v>0</v>
      </c>
      <c r="L27" s="420" t="e">
        <f>E27*F27+G27*H27+#REF!*#REF!+I27*J27</f>
        <v>#DIV/0!</v>
      </c>
    </row>
    <row r="28" spans="1:12">
      <c r="A28" s="415" t="s">
        <v>283</v>
      </c>
      <c r="B28" s="416">
        <f t="shared" si="0"/>
        <v>27</v>
      </c>
      <c r="C28" s="416">
        <v>12</v>
      </c>
      <c r="D28" s="417">
        <v>2020</v>
      </c>
      <c r="E28" s="418">
        <f>'UTILITY REPORT 1'!F29</f>
        <v>0</v>
      </c>
      <c r="F28" s="419" t="e">
        <f>('UTILITY REPORT 1'!E29*'UTILITY REPORT 1'!D29)/'UTILITY REPORT 1'!F29</f>
        <v>#DIV/0!</v>
      </c>
      <c r="G28" s="419">
        <f>IF('Utility summery'!M32&lt;0,"0",'Utility summery'!M32)</f>
        <v>0</v>
      </c>
      <c r="H28" s="424">
        <v>0</v>
      </c>
      <c r="I28" s="419">
        <f>IF('UTILITY REPORT 1'!G29&lt;0,"0",'UTILITY REPORT 1'!G29)</f>
        <v>0</v>
      </c>
      <c r="J28" s="424">
        <v>0</v>
      </c>
      <c r="K28" s="418">
        <f>'UTILITY REPORT 1'!C29</f>
        <v>0</v>
      </c>
      <c r="L28" s="420" t="e">
        <f>E28*F28+G28*H28+#REF!*#REF!+I28*J28</f>
        <v>#DIV/0!</v>
      </c>
    </row>
    <row r="29" spans="1:12">
      <c r="A29" s="415" t="s">
        <v>283</v>
      </c>
      <c r="B29" s="416">
        <f t="shared" si="0"/>
        <v>28</v>
      </c>
      <c r="C29" s="416">
        <v>12</v>
      </c>
      <c r="D29" s="417">
        <v>2020</v>
      </c>
      <c r="E29" s="418">
        <f>'UTILITY REPORT 1'!F30</f>
        <v>0</v>
      </c>
      <c r="F29" s="419" t="e">
        <f>('UTILITY REPORT 1'!E30*'UTILITY REPORT 1'!D30)/'UTILITY REPORT 1'!F30</f>
        <v>#DIV/0!</v>
      </c>
      <c r="G29" s="419">
        <f>IF('Utility summery'!M33&lt;0,"0",'Utility summery'!M33)</f>
        <v>0</v>
      </c>
      <c r="H29" s="424">
        <v>0</v>
      </c>
      <c r="I29" s="419">
        <f>IF('UTILITY REPORT 1'!G30&lt;0,"0",'UTILITY REPORT 1'!G30)</f>
        <v>0</v>
      </c>
      <c r="J29" s="424">
        <v>0</v>
      </c>
      <c r="K29" s="418">
        <f>'UTILITY REPORT 1'!C30</f>
        <v>0</v>
      </c>
      <c r="L29" s="420" t="e">
        <f>E29*F29+G29*H29+#REF!*#REF!+I29*J29</f>
        <v>#DIV/0!</v>
      </c>
    </row>
    <row r="30" spans="1:12">
      <c r="A30" s="415" t="s">
        <v>283</v>
      </c>
      <c r="B30" s="416">
        <f t="shared" si="0"/>
        <v>29</v>
      </c>
      <c r="C30" s="416">
        <v>12</v>
      </c>
      <c r="D30" s="417">
        <v>2020</v>
      </c>
      <c r="E30" s="418">
        <f>'UTILITY REPORT 1'!F31</f>
        <v>0</v>
      </c>
      <c r="F30" s="419" t="e">
        <f>('UTILITY REPORT 1'!E31*'UTILITY REPORT 1'!D31)/'UTILITY REPORT 1'!F31</f>
        <v>#DIV/0!</v>
      </c>
      <c r="G30" s="419">
        <f>IF('Utility summery'!M34&lt;0,"0",'Utility summery'!M34)</f>
        <v>0</v>
      </c>
      <c r="H30" s="424">
        <v>0</v>
      </c>
      <c r="I30" s="419">
        <f>IF('UTILITY REPORT 1'!G31&lt;0,"0",'UTILITY REPORT 1'!G31)</f>
        <v>0</v>
      </c>
      <c r="J30" s="424">
        <v>0</v>
      </c>
      <c r="K30" s="418">
        <f>'UTILITY REPORT 1'!C31</f>
        <v>0</v>
      </c>
      <c r="L30" s="420" t="e">
        <f>E30*F30+G30*H30+#REF!*#REF!+I30*J30</f>
        <v>#DIV/0!</v>
      </c>
    </row>
    <row r="31" spans="1:12">
      <c r="A31" s="415" t="s">
        <v>283</v>
      </c>
      <c r="B31" s="416">
        <v>30</v>
      </c>
      <c r="C31" s="416">
        <v>12</v>
      </c>
      <c r="D31" s="417">
        <v>2020</v>
      </c>
      <c r="E31" s="418">
        <f>'UTILITY REPORT 1'!F32</f>
        <v>0</v>
      </c>
      <c r="F31" s="419" t="e">
        <f>('UTILITY REPORT 1'!E32*'UTILITY REPORT 1'!D32)/'UTILITY REPORT 1'!F32</f>
        <v>#DIV/0!</v>
      </c>
      <c r="G31" s="419">
        <f>IF('Utility summery'!M35&lt;0,"0",'Utility summery'!M35)</f>
        <v>0</v>
      </c>
      <c r="H31" s="424">
        <v>0</v>
      </c>
      <c r="I31" s="419">
        <f>IF('UTILITY REPORT 1'!G32&lt;0,"0",'UTILITY REPORT 1'!G32)</f>
        <v>0</v>
      </c>
      <c r="J31" s="424">
        <v>0</v>
      </c>
      <c r="K31" s="418">
        <f>'UTILITY REPORT 1'!C32</f>
        <v>0</v>
      </c>
      <c r="L31" s="420" t="e">
        <f>E31*F31+G31*H31+#REF!*#REF!+I31*J31</f>
        <v>#DIV/0!</v>
      </c>
    </row>
    <row r="32" spans="1:12">
      <c r="A32" s="415" t="s">
        <v>283</v>
      </c>
      <c r="B32" s="416">
        <v>31</v>
      </c>
      <c r="C32" s="416">
        <v>12</v>
      </c>
      <c r="D32" s="417">
        <v>2020</v>
      </c>
      <c r="E32" s="418">
        <f>'UTILITY REPORT 1'!F33</f>
        <v>0</v>
      </c>
      <c r="F32" s="419" t="e">
        <f>('UTILITY REPORT 1'!E33*'UTILITY REPORT 1'!D33)/'UTILITY REPORT 1'!F33</f>
        <v>#DIV/0!</v>
      </c>
      <c r="G32" s="419">
        <f>IF('Utility summery'!M36&lt;0,"0",'Utility summery'!M36)</f>
        <v>0</v>
      </c>
      <c r="H32" s="424">
        <v>0</v>
      </c>
      <c r="I32" s="419">
        <f>IF('UTILITY REPORT 1'!G33&lt;0,"0",'UTILITY REPORT 1'!G33)</f>
        <v>0</v>
      </c>
      <c r="J32" s="424">
        <v>0</v>
      </c>
      <c r="K32" s="418">
        <f>'UTILITY REPORT 1'!C33</f>
        <v>0</v>
      </c>
    </row>
    <row r="33" spans="6:10">
      <c r="F33" s="419"/>
      <c r="G33" s="419"/>
      <c r="H33" s="424"/>
      <c r="I33" s="419" t="s">
        <v>253</v>
      </c>
      <c r="J33" s="424"/>
    </row>
    <row r="34" spans="6:10">
      <c r="F34" s="419"/>
      <c r="G34" s="419"/>
      <c r="H34" s="424"/>
      <c r="I34" s="419"/>
      <c r="J34" s="424"/>
    </row>
    <row r="35" spans="6:10">
      <c r="F35" s="419"/>
      <c r="G35" s="419"/>
      <c r="H35" s="424"/>
      <c r="I35" s="419"/>
      <c r="J35" s="424"/>
    </row>
    <row r="36" spans="6:10">
      <c r="F36" s="419"/>
      <c r="G36" s="419"/>
      <c r="H36" s="424"/>
      <c r="I36" s="419"/>
      <c r="J36" s="424"/>
    </row>
    <row r="37" spans="6:10">
      <c r="F37" s="419"/>
      <c r="G37" s="419"/>
      <c r="H37" s="424"/>
      <c r="I37" s="419"/>
      <c r="J37" s="424"/>
    </row>
    <row r="38" spans="6:10">
      <c r="F38" s="419"/>
      <c r="G38" s="419"/>
      <c r="H38" s="424"/>
      <c r="I38" s="419"/>
      <c r="J38" s="424"/>
    </row>
    <row r="39" spans="6:10">
      <c r="F39" s="419"/>
      <c r="G39" s="419"/>
      <c r="H39" s="424"/>
      <c r="I39" s="419"/>
      <c r="J39" s="42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F20" sqref="F20"/>
    </sheetView>
  </sheetViews>
  <sheetFormatPr defaultColWidth="11.5703125" defaultRowHeight="12.75"/>
  <cols>
    <col min="1" max="1" width="12.42578125" style="11" customWidth="1"/>
    <col min="2" max="3" width="11.5703125" style="416"/>
    <col min="4" max="4" width="13.42578125" style="417" customWidth="1"/>
    <col min="5" max="6" width="12.5703125" style="11" customWidth="1"/>
    <col min="7" max="7" width="12.5703125" style="418" customWidth="1"/>
    <col min="8" max="10" width="11.5703125" style="11"/>
    <col min="11" max="11" width="12.5703125" style="418" customWidth="1"/>
    <col min="12" max="12" width="11.5703125" style="11"/>
    <col min="13" max="14" width="11.5703125" style="418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4" customFormat="1" ht="60.75" thickBot="1">
      <c r="A1" s="466" t="s">
        <v>271</v>
      </c>
      <c r="B1" s="467" t="s">
        <v>272</v>
      </c>
      <c r="C1" s="467" t="s">
        <v>273</v>
      </c>
      <c r="D1" s="468" t="s">
        <v>274</v>
      </c>
      <c r="E1" s="469" t="s">
        <v>287</v>
      </c>
      <c r="F1" s="469" t="s">
        <v>286</v>
      </c>
      <c r="G1" s="470" t="s">
        <v>275</v>
      </c>
      <c r="H1" s="469" t="s">
        <v>284</v>
      </c>
      <c r="I1" s="469" t="s">
        <v>285</v>
      </c>
      <c r="J1" s="469" t="s">
        <v>288</v>
      </c>
      <c r="K1" s="470" t="s">
        <v>266</v>
      </c>
      <c r="L1" s="469" t="s">
        <v>289</v>
      </c>
      <c r="M1" s="470" t="s">
        <v>290</v>
      </c>
      <c r="N1" s="470" t="s">
        <v>291</v>
      </c>
      <c r="O1" s="470" t="s">
        <v>291</v>
      </c>
      <c r="P1" s="470" t="s">
        <v>304</v>
      </c>
      <c r="Q1" s="470" t="s">
        <v>292</v>
      </c>
      <c r="R1" s="470" t="s">
        <v>293</v>
      </c>
      <c r="S1" s="470" t="s">
        <v>294</v>
      </c>
      <c r="T1" s="470" t="s">
        <v>295</v>
      </c>
      <c r="U1" s="470" t="s">
        <v>296</v>
      </c>
      <c r="V1" s="470" t="s">
        <v>297</v>
      </c>
      <c r="W1" s="473" t="s">
        <v>305</v>
      </c>
      <c r="X1" s="474" t="s">
        <v>281</v>
      </c>
    </row>
    <row r="2" spans="1:24">
      <c r="A2" s="461" t="s">
        <v>283</v>
      </c>
      <c r="B2" s="462">
        <v>1</v>
      </c>
      <c r="C2" s="462">
        <v>12</v>
      </c>
      <c r="D2" s="463">
        <v>2020</v>
      </c>
      <c r="E2" s="464">
        <f>'UTILITY REPORT 1'!I3</f>
        <v>40.94</v>
      </c>
      <c r="F2" s="464">
        <f>'UTILITY REPORT 1'!E3</f>
        <v>971.78</v>
      </c>
      <c r="G2" s="465">
        <f>'UTILITY REPORT 1'!F3</f>
        <v>2356</v>
      </c>
      <c r="H2" s="464">
        <f>IF('Kit report'!F4&lt;0,"0",'Kit report'!F4)</f>
        <v>227.99999999995634</v>
      </c>
      <c r="I2" s="464">
        <f>IF('Kit report'!X4&lt;0,"0",'Kit report'!X4)</f>
        <v>60.00000000003638</v>
      </c>
      <c r="J2" s="464">
        <f>IF('Utility summery'!H6&lt;0,"0",'Utility summery'!H6)</f>
        <v>36</v>
      </c>
      <c r="K2" s="465">
        <f>IF('UTILITY REPORT 1'!H3&lt;0,"0",'UTILITY REPORT 1'!H3)</f>
        <v>40</v>
      </c>
      <c r="L2" s="464">
        <f>'Water-Meter'!K6</f>
        <v>2</v>
      </c>
      <c r="M2" s="465">
        <f>'Water-Meter'!H6</f>
        <v>0</v>
      </c>
      <c r="N2" s="465">
        <f>'Water-Meter'!Q6</f>
        <v>4</v>
      </c>
      <c r="O2" s="464" t="e">
        <f>K2*E2+H2*I2+#REF!*#REF!+J2*L2</f>
        <v>#REF!</v>
      </c>
      <c r="P2" s="464">
        <f>'Water-Meter'!E6</f>
        <v>55</v>
      </c>
      <c r="Q2" s="406">
        <f>IF('Water-Meter'!U6&lt;0,"0",'Water-Meter'!U6)</f>
        <v>0</v>
      </c>
      <c r="R2" s="406">
        <f>IF('Water-Meter'!X6&lt;0,"0",'Water-Meter'!X6)</f>
        <v>0</v>
      </c>
      <c r="S2" s="406">
        <f>IF('Water-Meter'!AA6&lt;0,"0",'Water-Meter'!AA6)</f>
        <v>54</v>
      </c>
      <c r="T2" s="406">
        <f>IF('Water-Meter'!AD6&lt;0,"0",'Water-Meter'!AD6)</f>
        <v>19</v>
      </c>
      <c r="U2" s="406">
        <f>IF('Water-Meter'!AG6&lt;0,"0",'Water-Meter'!AG6)</f>
        <v>0</v>
      </c>
      <c r="V2" s="406">
        <f>IF('Water-Meter'!AJ6&lt;0,"0",'Water-Meter'!AJ6)</f>
        <v>23</v>
      </c>
      <c r="W2" s="30">
        <f>'Water-Meter'!AN6</f>
        <v>96</v>
      </c>
      <c r="X2" s="475">
        <f>Total!K2</f>
        <v>7.79</v>
      </c>
    </row>
    <row r="3" spans="1:24">
      <c r="A3" s="460" t="s">
        <v>283</v>
      </c>
      <c r="B3" s="457">
        <f>B2+1</f>
        <v>2</v>
      </c>
      <c r="C3" s="462">
        <v>12</v>
      </c>
      <c r="D3" s="463">
        <v>2020</v>
      </c>
      <c r="E3" s="458">
        <f>'UTILITY REPORT 1'!I4</f>
        <v>99.67</v>
      </c>
      <c r="F3" s="458">
        <f>'UTILITY REPORT 1'!E4</f>
        <v>971.55</v>
      </c>
      <c r="G3" s="459">
        <f>'UTILITY REPORT 1'!F4</f>
        <v>2299</v>
      </c>
      <c r="H3" s="458">
        <f>IF('Kit report'!F5&lt;0,"0",'Kit report'!F5)</f>
        <v>216.00000000013097</v>
      </c>
      <c r="I3" s="458">
        <f>IF('Kit report'!X5&lt;0,"0",'Kit report'!X5)</f>
        <v>79.99999999992724</v>
      </c>
      <c r="J3" s="458">
        <f>IF('Utility summery'!H7&lt;0,"0",'Utility summery'!H7)</f>
        <v>44</v>
      </c>
      <c r="K3" s="459">
        <f>IF('UTILITY REPORT 1'!H4&lt;0,"0",'UTILITY REPORT 1'!H4)</f>
        <v>39</v>
      </c>
      <c r="L3" s="458">
        <f>'Water-Meter'!K7</f>
        <v>2</v>
      </c>
      <c r="M3" s="459">
        <f>'Water-Meter'!H7</f>
        <v>0</v>
      </c>
      <c r="N3" s="459">
        <f>'Water-Meter'!Q7</f>
        <v>3</v>
      </c>
      <c r="O3" s="458" t="e">
        <f>K3*E3+H3*I3+#REF!*#REF!+J3*L3</f>
        <v>#REF!</v>
      </c>
      <c r="P3" s="464">
        <f>'Water-Meter'!E7</f>
        <v>75</v>
      </c>
      <c r="Q3" s="242">
        <f>IF('Water-Meter'!U7&lt;0,"0",'Water-Meter'!U7)</f>
        <v>0</v>
      </c>
      <c r="R3" s="242">
        <f>IF('Water-Meter'!X7&lt;0,"0",'Water-Meter'!X7)</f>
        <v>0</v>
      </c>
      <c r="S3" s="242">
        <f>IF('Water-Meter'!AA7&lt;0,"0",'Water-Meter'!AA7)</f>
        <v>54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24</v>
      </c>
      <c r="W3" s="30">
        <f>'Water-Meter'!AN7</f>
        <v>95</v>
      </c>
      <c r="X3" s="475">
        <f>Total!K3</f>
        <v>9.09</v>
      </c>
    </row>
    <row r="4" spans="1:24">
      <c r="A4" s="460" t="s">
        <v>283</v>
      </c>
      <c r="B4" s="457">
        <f t="shared" ref="B4:B30" si="0">B3+1</f>
        <v>3</v>
      </c>
      <c r="C4" s="462">
        <v>12</v>
      </c>
      <c r="D4" s="463">
        <v>2020</v>
      </c>
      <c r="E4" s="458">
        <f>'UTILITY REPORT 1'!I5</f>
        <v>0</v>
      </c>
      <c r="F4" s="458">
        <f>'UTILITY REPORT 1'!E5</f>
        <v>995.36</v>
      </c>
      <c r="G4" s="459">
        <f>'UTILITY REPORT 1'!F5</f>
        <v>2378</v>
      </c>
      <c r="H4" s="458">
        <f>IF('Kit report'!F6&lt;0,"0",'Kit report'!F6)</f>
        <v>251.99999999982538</v>
      </c>
      <c r="I4" s="458">
        <f>IF('Kit report'!X6&lt;0,"0",'Kit report'!X6)</f>
        <v>160.00000000003638</v>
      </c>
      <c r="J4" s="458">
        <f>IF('Utility summery'!H8&lt;0,"0",'Utility summery'!H8)</f>
        <v>28</v>
      </c>
      <c r="K4" s="459">
        <f>IF('UTILITY REPORT 1'!H5&lt;0,"0",'UTILITY REPORT 1'!H5)</f>
        <v>38</v>
      </c>
      <c r="L4" s="458">
        <f>'Water-Meter'!K8</f>
        <v>1</v>
      </c>
      <c r="M4" s="459">
        <f>'Water-Meter'!H8</f>
        <v>0</v>
      </c>
      <c r="N4" s="459">
        <f>'Water-Meter'!Q8</f>
        <v>1</v>
      </c>
      <c r="O4" s="458" t="e">
        <f>K4*E4+H4*I4+#REF!*#REF!+J4*L4</f>
        <v>#REF!</v>
      </c>
      <c r="P4" s="464">
        <f>'Water-Meter'!E8</f>
        <v>59</v>
      </c>
      <c r="Q4" s="242">
        <f>IF('Water-Meter'!U8&lt;0,"0",'Water-Meter'!U8)</f>
        <v>18</v>
      </c>
      <c r="R4" s="242">
        <f>IF('Water-Meter'!X8&lt;0,"0",'Water-Meter'!X8)</f>
        <v>0</v>
      </c>
      <c r="S4" s="242">
        <f>IF('Water-Meter'!AA8&lt;0,"0",'Water-Meter'!AA8)</f>
        <v>57</v>
      </c>
      <c r="T4" s="242">
        <f>IF('Water-Meter'!AD8&lt;0,"0",'Water-Meter'!AD8)</f>
        <v>20</v>
      </c>
      <c r="U4" s="242">
        <f>IF('Water-Meter'!AG8&lt;0,"0",'Water-Meter'!AG8)</f>
        <v>0</v>
      </c>
      <c r="V4" s="242">
        <f>IF('Water-Meter'!AJ8&lt;0,"0",'Water-Meter'!AJ8)</f>
        <v>21</v>
      </c>
      <c r="W4" s="30">
        <f>'Water-Meter'!AN8</f>
        <v>116</v>
      </c>
      <c r="X4" s="475">
        <f>Total!K4</f>
        <v>1.3</v>
      </c>
    </row>
    <row r="5" spans="1:24">
      <c r="A5" s="460" t="s">
        <v>283</v>
      </c>
      <c r="B5" s="457">
        <f t="shared" si="0"/>
        <v>4</v>
      </c>
      <c r="C5" s="462">
        <v>12</v>
      </c>
      <c r="D5" s="463">
        <v>2020</v>
      </c>
      <c r="E5" s="458">
        <f>'UTILITY REPORT 1'!I6</f>
        <v>0</v>
      </c>
      <c r="F5" s="458">
        <f>'UTILITY REPORT 1'!E6</f>
        <v>904.89</v>
      </c>
      <c r="G5" s="459">
        <f>'UTILITY REPORT 1'!F6</f>
        <v>2173</v>
      </c>
      <c r="H5" s="458">
        <f>IF('Kit report'!F7&lt;0,"0",'Kit report'!F7)</f>
        <v>228.00000000017462</v>
      </c>
      <c r="I5" s="458">
        <f>IF('Kit report'!X7&lt;0,"0",'Kit report'!X7)</f>
        <v>100</v>
      </c>
      <c r="J5" s="458">
        <f>IF('Utility summery'!H9&lt;0,"0",'Utility summery'!H9)</f>
        <v>29</v>
      </c>
      <c r="K5" s="459">
        <f>IF('UTILITY REPORT 1'!H6&lt;0,"0",'UTILITY REPORT 1'!H6)</f>
        <v>37</v>
      </c>
      <c r="L5" s="458">
        <f>'Water-Meter'!K9</f>
        <v>1</v>
      </c>
      <c r="M5" s="459">
        <f>'Water-Meter'!H9</f>
        <v>0</v>
      </c>
      <c r="N5" s="459">
        <f>'Water-Meter'!Q9</f>
        <v>3</v>
      </c>
      <c r="O5" s="458" t="e">
        <f>K5*E5+H5*I5+#REF!*#REF!+J5*L5</f>
        <v>#REF!</v>
      </c>
      <c r="P5" s="464">
        <f>'Water-Meter'!E9</f>
        <v>49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54</v>
      </c>
      <c r="T5" s="242">
        <f>IF('Water-Meter'!AD9&lt;0,"0",'Water-Meter'!AD9)</f>
        <v>19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97</v>
      </c>
      <c r="X5" s="475">
        <f>Total!K5</f>
        <v>1.3</v>
      </c>
    </row>
    <row r="6" spans="1:24">
      <c r="A6" s="460" t="s">
        <v>283</v>
      </c>
      <c r="B6" s="457">
        <f t="shared" si="0"/>
        <v>5</v>
      </c>
      <c r="C6" s="462">
        <v>12</v>
      </c>
      <c r="D6" s="463">
        <v>2020</v>
      </c>
      <c r="E6" s="458">
        <f>'UTILITY REPORT 1'!I7</f>
        <v>0</v>
      </c>
      <c r="F6" s="458">
        <f>'UTILITY REPORT 1'!E7</f>
        <v>928.04</v>
      </c>
      <c r="G6" s="459">
        <f>'UTILITY REPORT 1'!F7</f>
        <v>2292</v>
      </c>
      <c r="H6" s="458">
        <f>IF('Kit report'!F8&lt;0,"0",'Kit report'!F8)</f>
        <v>191.99999999982538</v>
      </c>
      <c r="I6" s="458">
        <f>IF('Kit report'!X8&lt;0,"0",'Kit report'!X8)</f>
        <v>119.99999999989086</v>
      </c>
      <c r="J6" s="458">
        <f>IF('Utility summery'!H10&lt;0,"0",'Utility summery'!H10)</f>
        <v>35</v>
      </c>
      <c r="K6" s="459">
        <f>IF('UTILITY REPORT 1'!H7&lt;0,"0",'UTILITY REPORT 1'!H7)</f>
        <v>36</v>
      </c>
      <c r="L6" s="458">
        <f>'Water-Meter'!K10</f>
        <v>1</v>
      </c>
      <c r="M6" s="459">
        <f>'Water-Meter'!H10</f>
        <v>0</v>
      </c>
      <c r="N6" s="459">
        <f>'Water-Meter'!Q10</f>
        <v>3</v>
      </c>
      <c r="O6" s="458" t="e">
        <f>K6*E6+H6*I6+#REF!*#REF!+J6*L6</f>
        <v>#REF!</v>
      </c>
      <c r="P6" s="464">
        <f>'Water-Meter'!E10</f>
        <v>60</v>
      </c>
      <c r="Q6" s="242">
        <f>IF('Water-Meter'!U10&lt;0,"0",'Water-Meter'!U10)</f>
        <v>62</v>
      </c>
      <c r="R6" s="242">
        <f>IF('Water-Meter'!X10&lt;0,"0",'Water-Meter'!X10)</f>
        <v>0</v>
      </c>
      <c r="S6" s="242">
        <f>IF('Water-Meter'!AA10&lt;0,"0",'Water-Meter'!AA10)</f>
        <v>55</v>
      </c>
      <c r="T6" s="242">
        <f>IF('Water-Meter'!AD10&lt;0,"0",'Water-Meter'!AD10)</f>
        <v>18</v>
      </c>
      <c r="U6" s="242">
        <f>IF('Water-Meter'!AG10&lt;0,"0",'Water-Meter'!AG10)</f>
        <v>0</v>
      </c>
      <c r="V6" s="242">
        <f>IF('Water-Meter'!AJ10&lt;0,"0",'Water-Meter'!AJ10)</f>
        <v>23</v>
      </c>
      <c r="W6" s="30">
        <f>'Water-Meter'!AN10</f>
        <v>158</v>
      </c>
      <c r="X6" s="475">
        <f>Total!K6</f>
        <v>0</v>
      </c>
    </row>
    <row r="7" spans="1:24">
      <c r="A7" s="460" t="s">
        <v>283</v>
      </c>
      <c r="B7" s="457">
        <f t="shared" si="0"/>
        <v>6</v>
      </c>
      <c r="C7" s="462">
        <v>12</v>
      </c>
      <c r="D7" s="463">
        <v>2020</v>
      </c>
      <c r="E7" s="458">
        <f>'UTILITY REPORT 1'!I8</f>
        <v>47</v>
      </c>
      <c r="F7" s="458">
        <f>'UTILITY REPORT 1'!E8</f>
        <v>1012.39</v>
      </c>
      <c r="G7" s="459">
        <f>'UTILITY REPORT 1'!F8</f>
        <v>2375</v>
      </c>
      <c r="H7" s="458">
        <f>IF('Kit report'!F9&lt;0,"0",'Kit report'!F9)</f>
        <v>204.00000000008731</v>
      </c>
      <c r="I7" s="458">
        <f>IF('Kit report'!X9&lt;0,"0",'Kit report'!X9)</f>
        <v>180.00000000010914</v>
      </c>
      <c r="J7" s="458">
        <f>IF('Utility summery'!H11&lt;0,"0",'Utility summery'!H11)</f>
        <v>30</v>
      </c>
      <c r="K7" s="459">
        <f>IF('UTILITY REPORT 1'!H8&lt;0,"0",'UTILITY REPORT 1'!H8)</f>
        <v>35</v>
      </c>
      <c r="L7" s="458">
        <f>'Water-Meter'!K11</f>
        <v>1</v>
      </c>
      <c r="M7" s="459">
        <f>'Water-Meter'!H11</f>
        <v>0</v>
      </c>
      <c r="N7" s="459">
        <f>'Water-Meter'!Q11</f>
        <v>5</v>
      </c>
      <c r="O7" s="458" t="e">
        <f>K7*E7+H7*I7+#REF!*#REF!+J7*L7</f>
        <v>#REF!</v>
      </c>
      <c r="P7" s="464">
        <f>'Water-Meter'!E11</f>
        <v>51</v>
      </c>
      <c r="Q7" s="242">
        <f>IF('Water-Meter'!U11&lt;0,"0",'Water-Meter'!U11)</f>
        <v>21</v>
      </c>
      <c r="R7" s="242">
        <f>IF('Water-Meter'!X11&lt;0,"0",'Water-Meter'!X11)</f>
        <v>0</v>
      </c>
      <c r="S7" s="242">
        <f>IF('Water-Meter'!AA11&lt;0,"0",'Water-Meter'!AA11)</f>
        <v>55</v>
      </c>
      <c r="T7" s="242">
        <f>IF('Water-Meter'!AD11&lt;0,"0",'Water-Meter'!AD11)</f>
        <v>19</v>
      </c>
      <c r="U7" s="242">
        <f>IF('Water-Meter'!AG11&lt;0,"0",'Water-Meter'!AG11)</f>
        <v>0</v>
      </c>
      <c r="V7" s="242">
        <f>IF('Water-Meter'!AJ11&lt;0,"0",'Water-Meter'!AJ11)</f>
        <v>23</v>
      </c>
      <c r="W7" s="30">
        <f>'Water-Meter'!AN11</f>
        <v>118</v>
      </c>
      <c r="X7" s="475">
        <f>Total!K7</f>
        <v>1.3</v>
      </c>
    </row>
    <row r="8" spans="1:24">
      <c r="A8" s="460" t="s">
        <v>283</v>
      </c>
      <c r="B8" s="457">
        <f t="shared" si="0"/>
        <v>7</v>
      </c>
      <c r="C8" s="462">
        <v>12</v>
      </c>
      <c r="D8" s="463">
        <v>2020</v>
      </c>
      <c r="E8" s="458">
        <f>'UTILITY REPORT 1'!I9</f>
        <v>54</v>
      </c>
      <c r="F8" s="458">
        <f>'UTILITY REPORT 1'!E9</f>
        <v>956.25</v>
      </c>
      <c r="G8" s="459">
        <f>'UTILITY REPORT 1'!F9</f>
        <v>2317</v>
      </c>
      <c r="H8" s="458">
        <f>IF('Kit report'!F10&lt;0,"0",'Kit report'!F10)</f>
        <v>204.00000000008731</v>
      </c>
      <c r="I8" s="458">
        <f>IF('Kit report'!X10&lt;0,"0",'Kit report'!X10)</f>
        <v>179.99999999992724</v>
      </c>
      <c r="J8" s="458">
        <f>IF('Utility summery'!H12&lt;0,"0",'Utility summery'!H12)</f>
        <v>38</v>
      </c>
      <c r="K8" s="459">
        <f>IF('UTILITY REPORT 1'!H9&lt;0,"0",'UTILITY REPORT 1'!H9)</f>
        <v>34</v>
      </c>
      <c r="L8" s="458">
        <f>'Water-Meter'!K12</f>
        <v>1</v>
      </c>
      <c r="M8" s="459">
        <f>'Water-Meter'!H12</f>
        <v>0</v>
      </c>
      <c r="N8" s="459">
        <f>'Water-Meter'!Q12</f>
        <v>2</v>
      </c>
      <c r="O8" s="458" t="e">
        <f>K8*E8+H8*I8+#REF!*#REF!+J8*L8</f>
        <v>#REF!</v>
      </c>
      <c r="P8" s="464">
        <f>'Water-Meter'!E12</f>
        <v>43</v>
      </c>
      <c r="Q8" s="242">
        <f>IF('Water-Meter'!U12&lt;0,"0",'Water-Meter'!U12)</f>
        <v>11</v>
      </c>
      <c r="R8" s="242">
        <f>IF('Water-Meter'!X12&lt;0,"0",'Water-Meter'!X12)</f>
        <v>0</v>
      </c>
      <c r="S8" s="242">
        <f>IF('Water-Meter'!AA12&lt;0,"0",'Water-Meter'!AA12)</f>
        <v>53</v>
      </c>
      <c r="T8" s="242">
        <f>IF('Water-Meter'!AD12&lt;0,"0",'Water-Meter'!AD12)</f>
        <v>18</v>
      </c>
      <c r="U8" s="242">
        <f>IF('Water-Meter'!AG12&lt;0,"0",'Water-Meter'!AG12)</f>
        <v>0</v>
      </c>
      <c r="V8" s="242">
        <f>IF('Water-Meter'!AJ12&lt;0,"0",'Water-Meter'!AJ12)</f>
        <v>22</v>
      </c>
      <c r="W8" s="30">
        <f>'Water-Meter'!AN12</f>
        <v>104</v>
      </c>
      <c r="X8" s="475">
        <f>Total!K8</f>
        <v>1.3</v>
      </c>
    </row>
    <row r="9" spans="1:24">
      <c r="A9" s="460" t="s">
        <v>283</v>
      </c>
      <c r="B9" s="457">
        <f t="shared" si="0"/>
        <v>8</v>
      </c>
      <c r="C9" s="462">
        <v>12</v>
      </c>
      <c r="D9" s="463">
        <v>2020</v>
      </c>
      <c r="E9" s="458">
        <f>'UTILITY REPORT 1'!I10</f>
        <v>82</v>
      </c>
      <c r="F9" s="458">
        <f>'UTILITY REPORT 1'!E10</f>
        <v>1013.27</v>
      </c>
      <c r="G9" s="459">
        <f>'UTILITY REPORT 1'!F10</f>
        <v>2410</v>
      </c>
      <c r="H9" s="458">
        <f>IF('Kit report'!F11&lt;0,"0",'Kit report'!F11)</f>
        <v>203.99999999986903</v>
      </c>
      <c r="I9" s="458">
        <f>IF('Kit report'!X11&lt;0,"0",'Kit report'!X11)</f>
        <v>160.00000000003638</v>
      </c>
      <c r="J9" s="458">
        <f>IF('Utility summery'!H13&lt;0,"0",'Utility summery'!H13)</f>
        <v>33</v>
      </c>
      <c r="K9" s="459">
        <f>IF('UTILITY REPORT 1'!H10&lt;0,"0",'UTILITY REPORT 1'!H10)</f>
        <v>35</v>
      </c>
      <c r="L9" s="458">
        <f>'Water-Meter'!K13</f>
        <v>1</v>
      </c>
      <c r="M9" s="459">
        <f>'Water-Meter'!H13</f>
        <v>0</v>
      </c>
      <c r="N9" s="459">
        <f>'Water-Meter'!Q13</f>
        <v>4</v>
      </c>
      <c r="O9" s="458" t="e">
        <f>K9*E9+H9*I9+#REF!*#REF!+J9*L9</f>
        <v>#REF!</v>
      </c>
      <c r="P9" s="464">
        <f>'Water-Meter'!E13</f>
        <v>44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54</v>
      </c>
      <c r="T9" s="242">
        <f>IF('Water-Meter'!AD13&lt;0,"0",'Water-Meter'!AD13)</f>
        <v>17</v>
      </c>
      <c r="U9" s="242">
        <f>IF('Water-Meter'!AG13&lt;0,"0",'Water-Meter'!AG13)</f>
        <v>0</v>
      </c>
      <c r="V9" s="242">
        <f>IF('Water-Meter'!AJ13&lt;0,"0",'Water-Meter'!AJ13)</f>
        <v>23</v>
      </c>
      <c r="W9" s="30">
        <f>'Water-Meter'!AN13</f>
        <v>94</v>
      </c>
      <c r="X9" s="475">
        <f>Total!K9</f>
        <v>1.3</v>
      </c>
    </row>
    <row r="10" spans="1:24">
      <c r="A10" s="460" t="s">
        <v>283</v>
      </c>
      <c r="B10" s="457">
        <f t="shared" si="0"/>
        <v>9</v>
      </c>
      <c r="C10" s="462">
        <v>12</v>
      </c>
      <c r="D10" s="463">
        <v>2020</v>
      </c>
      <c r="E10" s="458">
        <f>'UTILITY REPORT 1'!I11</f>
        <v>56</v>
      </c>
      <c r="F10" s="458">
        <f>'UTILITY REPORT 1'!E11</f>
        <v>1010.92</v>
      </c>
      <c r="G10" s="459">
        <f>'UTILITY REPORT 1'!F11</f>
        <v>2451</v>
      </c>
      <c r="H10" s="458">
        <f>IF('Kit report'!F12&lt;0,"0",'Kit report'!F12)</f>
        <v>227.99999999995634</v>
      </c>
      <c r="I10" s="458">
        <f>IF('Kit report'!X12&lt;0,"0",'Kit report'!X12)</f>
        <v>239.99999999996362</v>
      </c>
      <c r="J10" s="458">
        <f>IF('Utility summery'!H14&lt;0,"0",'Utility summery'!H14)</f>
        <v>35</v>
      </c>
      <c r="K10" s="459">
        <f>IF('UTILITY REPORT 1'!H11&lt;0,"0",'UTILITY REPORT 1'!H11)</f>
        <v>31</v>
      </c>
      <c r="L10" s="458">
        <f>'Water-Meter'!K14</f>
        <v>2</v>
      </c>
      <c r="M10" s="459">
        <f>'Water-Meter'!H14</f>
        <v>0</v>
      </c>
      <c r="N10" s="459">
        <f>'Water-Meter'!Q14</f>
        <v>3</v>
      </c>
      <c r="O10" s="458" t="e">
        <f>K10*E10+H10*I10+#REF!*#REF!+J10*L10</f>
        <v>#REF!</v>
      </c>
      <c r="P10" s="464">
        <f>'Water-Meter'!E14</f>
        <v>63</v>
      </c>
      <c r="Q10" s="242">
        <f>IF('Water-Meter'!U14&lt;0,"0",'Water-Meter'!U14)</f>
        <v>66</v>
      </c>
      <c r="R10" s="242">
        <f>IF('Water-Meter'!X14&lt;0,"0",'Water-Meter'!X14)</f>
        <v>0</v>
      </c>
      <c r="S10" s="242">
        <f>IF('Water-Meter'!AA14&lt;0,"0",'Water-Meter'!AA14)</f>
        <v>55</v>
      </c>
      <c r="T10" s="242">
        <f>IF('Water-Meter'!AD14&lt;0,"0",'Water-Meter'!AD14)</f>
        <v>17</v>
      </c>
      <c r="U10" s="242">
        <f>IF('Water-Meter'!AG14&lt;0,"0",'Water-Meter'!AG14)</f>
        <v>0</v>
      </c>
      <c r="V10" s="242">
        <f>IF('Water-Meter'!AJ14&lt;0,"0",'Water-Meter'!AJ14)</f>
        <v>23</v>
      </c>
      <c r="W10" s="30">
        <f>'Water-Meter'!AN14</f>
        <v>161</v>
      </c>
      <c r="X10" s="475">
        <f>Total!K10</f>
        <v>1.3</v>
      </c>
    </row>
    <row r="11" spans="1:24">
      <c r="A11" s="460" t="s">
        <v>283</v>
      </c>
      <c r="B11" s="457">
        <f t="shared" si="0"/>
        <v>10</v>
      </c>
      <c r="C11" s="462">
        <v>12</v>
      </c>
      <c r="D11" s="463">
        <v>2020</v>
      </c>
      <c r="E11" s="458">
        <f>'UTILITY REPORT 1'!I12</f>
        <v>62.2</v>
      </c>
      <c r="F11" s="458">
        <f>'UTILITY REPORT 1'!E12</f>
        <v>1284.07</v>
      </c>
      <c r="G11" s="459">
        <f>'UTILITY REPORT 1'!F12</f>
        <v>2929</v>
      </c>
      <c r="H11" s="458">
        <f>IF('Kit report'!F13&lt;0,"0",'Kit report'!F13)</f>
        <v>252.00000000004366</v>
      </c>
      <c r="I11" s="458">
        <f>IF('Kit report'!X13&lt;0,"0",'Kit report'!X13)</f>
        <v>220.00000000007276</v>
      </c>
      <c r="J11" s="458">
        <f>IF('Utility summery'!H15&lt;0,"0",'Utility summery'!H15)</f>
        <v>39</v>
      </c>
      <c r="K11" s="459">
        <f>IF('UTILITY REPORT 1'!H12&lt;0,"0",'UTILITY REPORT 1'!H12)</f>
        <v>29</v>
      </c>
      <c r="L11" s="458">
        <f>'Water-Meter'!K15</f>
        <v>1</v>
      </c>
      <c r="M11" s="459">
        <f>'Water-Meter'!H15</f>
        <v>0</v>
      </c>
      <c r="N11" s="459">
        <f>'Water-Meter'!Q15</f>
        <v>4</v>
      </c>
      <c r="O11" s="458" t="e">
        <f>K11*E11+H11*I11+#REF!*#REF!+J11*L11</f>
        <v>#REF!</v>
      </c>
      <c r="P11" s="464">
        <f>'Water-Meter'!E15</f>
        <v>61</v>
      </c>
      <c r="Q11" s="242">
        <f>IF('Water-Meter'!U15&lt;0,"0",'Water-Meter'!U15)</f>
        <v>82</v>
      </c>
      <c r="R11" s="242">
        <f>IF('Water-Meter'!X15&lt;0,"0",'Water-Meter'!X15)</f>
        <v>0</v>
      </c>
      <c r="S11" s="242">
        <f>IF('Water-Meter'!AA15&lt;0,"0",'Water-Meter'!AA15)</f>
        <v>61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14</v>
      </c>
      <c r="W11" s="30">
        <f>'Water-Meter'!AN15</f>
        <v>174</v>
      </c>
      <c r="X11" s="475">
        <f>Total!K11</f>
        <v>2.6</v>
      </c>
    </row>
    <row r="12" spans="1:24">
      <c r="A12" s="460" t="s">
        <v>283</v>
      </c>
      <c r="B12" s="457">
        <f t="shared" si="0"/>
        <v>11</v>
      </c>
      <c r="C12" s="462">
        <v>12</v>
      </c>
      <c r="D12" s="463">
        <v>2020</v>
      </c>
      <c r="E12" s="458">
        <f>'UTILITY REPORT 1'!I13</f>
        <v>108.67</v>
      </c>
      <c r="F12" s="458">
        <f>'UTILITY REPORT 1'!E13</f>
        <v>1217.45</v>
      </c>
      <c r="G12" s="459">
        <f>'UTILITY REPORT 1'!F13</f>
        <v>3090</v>
      </c>
      <c r="H12" s="458">
        <f>IF('Kit report'!F14&lt;0,"0",'Kit report'!F14)</f>
        <v>227.99999999995634</v>
      </c>
      <c r="I12" s="458">
        <f>IF('Kit report'!X14&lt;0,"0",'Kit report'!X14)</f>
        <v>379.99999999992724</v>
      </c>
      <c r="J12" s="458">
        <f>IF('Utility summery'!H16&lt;0,"0",'Utility summery'!H16)</f>
        <v>53</v>
      </c>
      <c r="K12" s="459">
        <f>IF('UTILITY REPORT 1'!H13&lt;0,"0",'UTILITY REPORT 1'!H13)</f>
        <v>28</v>
      </c>
      <c r="L12" s="458">
        <f>'Water-Meter'!K16</f>
        <v>1</v>
      </c>
      <c r="M12" s="459">
        <f>'Water-Meter'!H16</f>
        <v>0</v>
      </c>
      <c r="N12" s="459">
        <f>'Water-Meter'!Q16</f>
        <v>7</v>
      </c>
      <c r="O12" s="458" t="e">
        <f>K12*E12+H12*I12+#REF!*#REF!+J12*L12</f>
        <v>#REF!</v>
      </c>
      <c r="P12" s="464">
        <f>'Water-Meter'!E16</f>
        <v>62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48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15</v>
      </c>
      <c r="W12" s="30">
        <f>'Water-Meter'!AN16</f>
        <v>163</v>
      </c>
      <c r="X12" s="475">
        <f>Total!K12</f>
        <v>22.08</v>
      </c>
    </row>
    <row r="13" spans="1:24">
      <c r="A13" s="460" t="s">
        <v>283</v>
      </c>
      <c r="B13" s="457">
        <f t="shared" si="0"/>
        <v>12</v>
      </c>
      <c r="C13" s="462">
        <v>12</v>
      </c>
      <c r="D13" s="463">
        <v>2020</v>
      </c>
      <c r="E13" s="458">
        <f>'UTILITY REPORT 1'!I14</f>
        <v>0</v>
      </c>
      <c r="F13" s="458">
        <f>'UTILITY REPORT 1'!E14</f>
        <v>1191.23</v>
      </c>
      <c r="G13" s="459">
        <f>'UTILITY REPORT 1'!F14</f>
        <v>3028</v>
      </c>
      <c r="H13" s="458">
        <f>IF('Kit report'!F15&lt;0,"0",'Kit report'!F15)</f>
        <v>252.00000000004366</v>
      </c>
      <c r="I13" s="458">
        <f>IF('Kit report'!X15&lt;0,"0",'Kit report'!X15)</f>
        <v>400</v>
      </c>
      <c r="J13" s="458">
        <f>IF('Utility summery'!H17&lt;0,"0",'Utility summery'!H17)</f>
        <v>49</v>
      </c>
      <c r="K13" s="459">
        <f>IF('UTILITY REPORT 1'!H14&lt;0,"0",'UTILITY REPORT 1'!H14)</f>
        <v>27</v>
      </c>
      <c r="L13" s="458">
        <f>'Water-Meter'!K17</f>
        <v>1</v>
      </c>
      <c r="M13" s="459">
        <f>'Water-Meter'!H17</f>
        <v>0</v>
      </c>
      <c r="N13" s="459">
        <f>'Water-Meter'!Q17</f>
        <v>7</v>
      </c>
      <c r="O13" s="458" t="e">
        <f>K13*E13+H13*I13+#REF!*#REF!+J13*L13</f>
        <v>#REF!</v>
      </c>
      <c r="P13" s="464">
        <f>'Water-Meter'!E17</f>
        <v>54</v>
      </c>
      <c r="Q13" s="242">
        <f>IF('Water-Meter'!U17&lt;0,"0",'Water-Meter'!U17)</f>
        <v>39</v>
      </c>
      <c r="R13" s="242">
        <f>IF('Water-Meter'!X17&lt;0,"0",'Water-Meter'!X17)</f>
        <v>0</v>
      </c>
      <c r="S13" s="242">
        <f>IF('Water-Meter'!AA17&lt;0,"0",'Water-Meter'!AA17)</f>
        <v>55</v>
      </c>
      <c r="T13" s="242">
        <f>IF('Water-Meter'!AD17&lt;0,"0",'Water-Meter'!AD17)</f>
        <v>17</v>
      </c>
      <c r="U13" s="242">
        <f>IF('Water-Meter'!AG17&lt;0,"0",'Water-Meter'!AG17)</f>
        <v>0</v>
      </c>
      <c r="V13" s="242">
        <f>IF('Water-Meter'!AJ17&lt;0,"0",'Water-Meter'!AJ17)</f>
        <v>40</v>
      </c>
      <c r="W13" s="30">
        <f>'Water-Meter'!AN17</f>
        <v>151</v>
      </c>
      <c r="X13" s="475">
        <f>Total!K13</f>
        <v>23.38</v>
      </c>
    </row>
    <row r="14" spans="1:24">
      <c r="A14" s="460" t="s">
        <v>283</v>
      </c>
      <c r="B14" s="457">
        <f t="shared" si="0"/>
        <v>13</v>
      </c>
      <c r="C14" s="462">
        <v>12</v>
      </c>
      <c r="D14" s="463">
        <v>2020</v>
      </c>
      <c r="E14" s="458">
        <f>'UTILITY REPORT 1'!I15</f>
        <v>0</v>
      </c>
      <c r="F14" s="458">
        <f>'UTILITY REPORT 1'!E15</f>
        <v>1116.8399999999999</v>
      </c>
      <c r="G14" s="459">
        <f>'UTILITY REPORT 1'!F15</f>
        <v>2694</v>
      </c>
      <c r="H14" s="458">
        <f>IF('Kit report'!F16&lt;0,"0",'Kit report'!F16)</f>
        <v>264.00000000008731</v>
      </c>
      <c r="I14" s="458">
        <f>IF('Kit report'!X16&lt;0,"0",'Kit report'!X16)</f>
        <v>339.99999999996362</v>
      </c>
      <c r="J14" s="458">
        <f>IF('Utility summery'!H18&lt;0,"0",'Utility summery'!H18)</f>
        <v>41</v>
      </c>
      <c r="K14" s="459">
        <f>IF('UTILITY REPORT 1'!H15&lt;0,"0",'UTILITY REPORT 1'!H15)</f>
        <v>40</v>
      </c>
      <c r="L14" s="458">
        <f>'Water-Meter'!K18</f>
        <v>2</v>
      </c>
      <c r="M14" s="459">
        <f>'Water-Meter'!H18</f>
        <v>0</v>
      </c>
      <c r="N14" s="459">
        <f>'Water-Meter'!Q18</f>
        <v>10</v>
      </c>
      <c r="O14" s="458" t="e">
        <f>K14*E14+H14*I14+#REF!*#REF!+J14*L14</f>
        <v>#REF!</v>
      </c>
      <c r="P14" s="464">
        <f>'Water-Meter'!E18</f>
        <v>56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54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23</v>
      </c>
      <c r="W14" s="30">
        <f>'Water-Meter'!AN18</f>
        <v>94</v>
      </c>
      <c r="X14" s="475">
        <f>Total!K14</f>
        <v>20.78</v>
      </c>
    </row>
    <row r="15" spans="1:24">
      <c r="A15" s="460" t="s">
        <v>283</v>
      </c>
      <c r="B15" s="457">
        <f t="shared" si="0"/>
        <v>14</v>
      </c>
      <c r="C15" s="462">
        <v>12</v>
      </c>
      <c r="D15" s="463">
        <v>2020</v>
      </c>
      <c r="E15" s="458">
        <f>'UTILITY REPORT 1'!I16</f>
        <v>66.59</v>
      </c>
      <c r="F15" s="458">
        <f>'UTILITY REPORT 1'!E16</f>
        <v>1125.03</v>
      </c>
      <c r="G15" s="459">
        <f>'UTILITY REPORT 1'!F16</f>
        <v>2790</v>
      </c>
      <c r="H15" s="458">
        <f>IF('Kit report'!F17&lt;0,"0",'Kit report'!F17)</f>
        <v>240</v>
      </c>
      <c r="I15" s="458">
        <f>IF('Kit report'!X17&lt;0,"0",'Kit report'!X17)</f>
        <v>240.00000000014552</v>
      </c>
      <c r="J15" s="458">
        <f>IF('Utility summery'!H19&lt;0,"0",'Utility summery'!H19)</f>
        <v>41</v>
      </c>
      <c r="K15" s="459">
        <f>IF('UTILITY REPORT 1'!H16&lt;0,"0",'UTILITY REPORT 1'!H16)</f>
        <v>28</v>
      </c>
      <c r="L15" s="458">
        <f>'Water-Meter'!K19</f>
        <v>7</v>
      </c>
      <c r="M15" s="459">
        <f>'Water-Meter'!H19</f>
        <v>0</v>
      </c>
      <c r="N15" s="459">
        <f>'Water-Meter'!Q19</f>
        <v>10</v>
      </c>
      <c r="O15" s="458" t="e">
        <f>K15*E15+H15*I15+#REF!*#REF!+J15*L15</f>
        <v>#REF!</v>
      </c>
      <c r="P15" s="464">
        <f>'Water-Meter'!E19</f>
        <v>60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54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13</v>
      </c>
      <c r="W15" s="30">
        <f>'Water-Meter'!AN19</f>
        <v>84</v>
      </c>
      <c r="X15" s="475">
        <f>Total!K15</f>
        <v>2.6</v>
      </c>
    </row>
    <row r="16" spans="1:24">
      <c r="A16" s="460" t="s">
        <v>283</v>
      </c>
      <c r="B16" s="457">
        <f t="shared" si="0"/>
        <v>15</v>
      </c>
      <c r="C16" s="462">
        <v>12</v>
      </c>
      <c r="D16" s="463">
        <v>2020</v>
      </c>
      <c r="E16" s="458">
        <f>'UTILITY REPORT 1'!I17</f>
        <v>125.45</v>
      </c>
      <c r="F16" s="458">
        <f>'UTILITY REPORT 1'!E17</f>
        <v>1092.19</v>
      </c>
      <c r="G16" s="459">
        <f>'UTILITY REPORT 1'!F17</f>
        <v>2707</v>
      </c>
      <c r="H16" s="458">
        <f>IF('Kit report'!F18&lt;0,"0",'Kit report'!F18)</f>
        <v>240</v>
      </c>
      <c r="I16" s="458">
        <f>IF('Kit report'!X18&lt;0,"0",'Kit report'!X18)</f>
        <v>219.99999999989086</v>
      </c>
      <c r="J16" s="458">
        <f>IF('Utility summery'!H20&lt;0,"0",'Utility summery'!H20)</f>
        <v>42</v>
      </c>
      <c r="K16" s="459">
        <f>IF('UTILITY REPORT 1'!H17&lt;0,"0",'UTILITY REPORT 1'!H17)</f>
        <v>13</v>
      </c>
      <c r="L16" s="458" t="str">
        <f>'Water-Meter'!K20</f>
        <v>0</v>
      </c>
      <c r="M16" s="459">
        <f>'Water-Meter'!H20</f>
        <v>0</v>
      </c>
      <c r="N16" s="459">
        <f>'Water-Meter'!Q20</f>
        <v>4</v>
      </c>
      <c r="O16" s="458" t="e">
        <f>K16*E16+H16*I16+#REF!*#REF!+J16*L16</f>
        <v>#REF!</v>
      </c>
      <c r="P16" s="464">
        <f>'Water-Meter'!E20</f>
        <v>74</v>
      </c>
      <c r="Q16" s="242">
        <f>IF('Water-Meter'!U20&lt;0,"0",'Water-Meter'!U20)</f>
        <v>50</v>
      </c>
      <c r="R16" s="242">
        <f>IF('Water-Meter'!X20&lt;0,"0",'Water-Meter'!X20)</f>
        <v>0</v>
      </c>
      <c r="S16" s="242">
        <f>IF('Water-Meter'!AA20&lt;0,"0",'Water-Meter'!AA20)</f>
        <v>55</v>
      </c>
      <c r="T16" s="242">
        <f>IF('Water-Meter'!AD20&lt;0,"0",'Water-Meter'!AD20)</f>
        <v>10</v>
      </c>
      <c r="U16" s="242">
        <f>IF('Water-Meter'!AG20&lt;0,"0",'Water-Meter'!AG20)</f>
        <v>0</v>
      </c>
      <c r="V16" s="242">
        <f>IF('Water-Meter'!AJ20&lt;0,"0",'Water-Meter'!AJ20)</f>
        <v>34</v>
      </c>
      <c r="W16" s="30">
        <f>'Water-Meter'!AN20</f>
        <v>149</v>
      </c>
      <c r="X16" s="475">
        <f>Total!K16</f>
        <v>6.49</v>
      </c>
    </row>
    <row r="17" spans="1:24">
      <c r="A17" s="460" t="s">
        <v>283</v>
      </c>
      <c r="B17" s="457">
        <f t="shared" si="0"/>
        <v>16</v>
      </c>
      <c r="C17" s="462">
        <v>12</v>
      </c>
      <c r="D17" s="463">
        <v>2020</v>
      </c>
      <c r="E17" s="458">
        <f>'UTILITY REPORT 1'!I18</f>
        <v>0</v>
      </c>
      <c r="F17" s="458">
        <f>'UTILITY REPORT 1'!E18</f>
        <v>0</v>
      </c>
      <c r="G17" s="459">
        <f>'UTILITY REPORT 1'!F18</f>
        <v>0</v>
      </c>
      <c r="H17" s="458" t="str">
        <f>IF('Kit report'!F19&lt;0,"0",'Kit report'!F19)</f>
        <v>0</v>
      </c>
      <c r="I17" s="458" t="str">
        <f>IF('Kit report'!X19&lt;0,"0",'Kit report'!X19)</f>
        <v>0</v>
      </c>
      <c r="J17" s="458" t="str">
        <f>IF('Utility summery'!H21&lt;0,"0",'Utility summery'!H21)</f>
        <v>0</v>
      </c>
      <c r="K17" s="459" t="str">
        <f>IF('UTILITY REPORT 1'!H18&lt;0,"0",'UTILITY REPORT 1'!H18)</f>
        <v>0</v>
      </c>
      <c r="L17" s="458">
        <f>'Water-Meter'!K21</f>
        <v>0</v>
      </c>
      <c r="M17" s="459">
        <f>'Water-Meter'!H21</f>
        <v>0</v>
      </c>
      <c r="N17" s="459" t="str">
        <f>'Water-Meter'!Q21</f>
        <v>0</v>
      </c>
      <c r="O17" s="458" t="e">
        <f>K17*E17+H17*I17+#REF!*#REF!+J17*L17</f>
        <v>#REF!</v>
      </c>
      <c r="P17" s="464" t="str">
        <f>'Water-Meter'!E21</f>
        <v>0</v>
      </c>
      <c r="Q17" s="242" t="str">
        <f>IF('Water-Meter'!U21&lt;0,"0",'Water-Meter'!U21)</f>
        <v>0</v>
      </c>
      <c r="R17" s="242" t="str">
        <f>IF('Water-Meter'!X21&lt;0,"0",'Water-Meter'!X21)</f>
        <v>0</v>
      </c>
      <c r="S17" s="242" t="str">
        <f>IF('Water-Meter'!AA21&lt;0,"0",'Water-Meter'!AA21)</f>
        <v>0</v>
      </c>
      <c r="T17" s="242" t="str">
        <f>IF('Water-Meter'!AD21&lt;0,"0",'Water-Meter'!AD21)</f>
        <v>0</v>
      </c>
      <c r="U17" s="242" t="str">
        <f>IF('Water-Meter'!AG21&lt;0,"0",'Water-Meter'!AG21)</f>
        <v>0</v>
      </c>
      <c r="V17" s="242" t="str">
        <f>IF('Water-Meter'!AJ21&lt;0,"0",'Water-Meter'!AJ21)</f>
        <v>0</v>
      </c>
      <c r="W17" s="30">
        <f>'Water-Meter'!AN21</f>
        <v>0</v>
      </c>
      <c r="X17" s="475">
        <f>Total!K17</f>
        <v>7.49</v>
      </c>
    </row>
    <row r="18" spans="1:24">
      <c r="A18" s="460" t="s">
        <v>283</v>
      </c>
      <c r="B18" s="457">
        <f t="shared" si="0"/>
        <v>17</v>
      </c>
      <c r="C18" s="462">
        <v>12</v>
      </c>
      <c r="D18" s="463">
        <v>2020</v>
      </c>
      <c r="E18" s="458">
        <f>'UTILITY REPORT 1'!I19</f>
        <v>0</v>
      </c>
      <c r="F18" s="458">
        <f>'UTILITY REPORT 1'!E19</f>
        <v>0</v>
      </c>
      <c r="G18" s="459">
        <f>'UTILITY REPORT 1'!F19</f>
        <v>0</v>
      </c>
      <c r="H18" s="458">
        <f>IF('Kit report'!F20&lt;0,"0",'Kit report'!F20)</f>
        <v>0</v>
      </c>
      <c r="I18" s="458">
        <f>IF('Kit report'!X20&lt;0,"0",'Kit report'!X20)</f>
        <v>0</v>
      </c>
      <c r="J18" s="458">
        <f>IF('Utility summery'!H22&lt;0,"0",'Utility summery'!H22)</f>
        <v>0</v>
      </c>
      <c r="K18" s="459">
        <f>IF('UTILITY REPORT 1'!H19&lt;0,"0",'UTILITY REPORT 1'!H19)</f>
        <v>0</v>
      </c>
      <c r="L18" s="458">
        <f>'Water-Meter'!K22</f>
        <v>0</v>
      </c>
      <c r="M18" s="459">
        <f>'Water-Meter'!H22</f>
        <v>0</v>
      </c>
      <c r="N18" s="459">
        <f>'Water-Meter'!Q22</f>
        <v>0</v>
      </c>
      <c r="O18" s="458" t="e">
        <f>K18*E18+H18*I18+#REF!*#REF!+J18*L18</f>
        <v>#REF!</v>
      </c>
      <c r="P18" s="464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5">
        <f>Total!K18</f>
        <v>0</v>
      </c>
    </row>
    <row r="19" spans="1:24">
      <c r="A19" s="460" t="s">
        <v>283</v>
      </c>
      <c r="B19" s="457">
        <f t="shared" si="0"/>
        <v>18</v>
      </c>
      <c r="C19" s="462">
        <v>12</v>
      </c>
      <c r="D19" s="463">
        <v>2020</v>
      </c>
      <c r="E19" s="458">
        <f>'UTILITY REPORT 1'!I20</f>
        <v>0</v>
      </c>
      <c r="F19" s="458">
        <f>'UTILITY REPORT 1'!E20</f>
        <v>0</v>
      </c>
      <c r="G19" s="459">
        <f>'UTILITY REPORT 1'!F20</f>
        <v>0</v>
      </c>
      <c r="H19" s="458">
        <f>IF('Kit report'!F21&lt;0,"0",'Kit report'!F21)</f>
        <v>0</v>
      </c>
      <c r="I19" s="458">
        <f>IF('Kit report'!X21&lt;0,"0",'Kit report'!X21)</f>
        <v>0</v>
      </c>
      <c r="J19" s="458">
        <f>IF('Utility summery'!H23&lt;0,"0",'Utility summery'!H23)</f>
        <v>0</v>
      </c>
      <c r="K19" s="459">
        <f>IF('UTILITY REPORT 1'!H20&lt;0,"0",'UTILITY REPORT 1'!H20)</f>
        <v>0</v>
      </c>
      <c r="L19" s="458">
        <f>'Water-Meter'!K23</f>
        <v>0</v>
      </c>
      <c r="M19" s="459">
        <f>'Water-Meter'!H23</f>
        <v>0</v>
      </c>
      <c r="N19" s="459">
        <f>'Water-Meter'!Q23</f>
        <v>0</v>
      </c>
      <c r="O19" s="458" t="e">
        <f>K19*E19+H19*I19+#REF!*#REF!+J19*L19</f>
        <v>#REF!</v>
      </c>
      <c r="P19" s="464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5">
        <f>Total!K19</f>
        <v>0</v>
      </c>
    </row>
    <row r="20" spans="1:24">
      <c r="A20" s="460" t="s">
        <v>283</v>
      </c>
      <c r="B20" s="457">
        <f t="shared" si="0"/>
        <v>19</v>
      </c>
      <c r="C20" s="462">
        <v>12</v>
      </c>
      <c r="D20" s="463">
        <v>2020</v>
      </c>
      <c r="E20" s="458">
        <f>'UTILITY REPORT 1'!I21</f>
        <v>0</v>
      </c>
      <c r="F20" s="458">
        <f>'UTILITY REPORT 1'!E21</f>
        <v>0</v>
      </c>
      <c r="G20" s="459">
        <f>'UTILITY REPORT 1'!F21</f>
        <v>0</v>
      </c>
      <c r="H20" s="458">
        <f>IF('Kit report'!F22&lt;0,"0",'Kit report'!F22)</f>
        <v>0</v>
      </c>
      <c r="I20" s="458">
        <f>IF('Kit report'!X22&lt;0,"0",'Kit report'!X22)</f>
        <v>0</v>
      </c>
      <c r="J20" s="458">
        <f>IF('Utility summery'!H24&lt;0,"0",'Utility summery'!H24)</f>
        <v>0</v>
      </c>
      <c r="K20" s="459">
        <f>IF('UTILITY REPORT 1'!H21&lt;0,"0",'UTILITY REPORT 1'!H21)</f>
        <v>0</v>
      </c>
      <c r="L20" s="458">
        <f>'Water-Meter'!K24</f>
        <v>0</v>
      </c>
      <c r="M20" s="459">
        <f>'Water-Meter'!H24</f>
        <v>0</v>
      </c>
      <c r="N20" s="459">
        <f>'Water-Meter'!Q24</f>
        <v>0</v>
      </c>
      <c r="O20" s="458" t="e">
        <f>K20*E20+H20*I20+#REF!*#REF!+J20*L20</f>
        <v>#REF!</v>
      </c>
      <c r="P20" s="464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5">
        <f>Total!K20</f>
        <v>0</v>
      </c>
    </row>
    <row r="21" spans="1:24">
      <c r="A21" s="460" t="s">
        <v>283</v>
      </c>
      <c r="B21" s="457">
        <f t="shared" si="0"/>
        <v>20</v>
      </c>
      <c r="C21" s="462">
        <v>12</v>
      </c>
      <c r="D21" s="463">
        <v>2020</v>
      </c>
      <c r="E21" s="458">
        <f>'UTILITY REPORT 1'!I22</f>
        <v>0</v>
      </c>
      <c r="F21" s="458">
        <f>'UTILITY REPORT 1'!E22</f>
        <v>0</v>
      </c>
      <c r="G21" s="459">
        <f>'UTILITY REPORT 1'!F22</f>
        <v>0</v>
      </c>
      <c r="H21" s="458">
        <f>IF('Kit report'!F23&lt;0,"0",'Kit report'!F23)</f>
        <v>0</v>
      </c>
      <c r="I21" s="458">
        <f>IF('Kit report'!X23&lt;0,"0",'Kit report'!X23)</f>
        <v>0</v>
      </c>
      <c r="J21" s="458">
        <f>IF('Utility summery'!H25&lt;0,"0",'Utility summery'!H25)</f>
        <v>0</v>
      </c>
      <c r="K21" s="459">
        <f>IF('UTILITY REPORT 1'!H22&lt;0,"0",'UTILITY REPORT 1'!H22)</f>
        <v>0</v>
      </c>
      <c r="L21" s="458">
        <f>'Water-Meter'!K25</f>
        <v>0</v>
      </c>
      <c r="M21" s="459">
        <f>'Water-Meter'!H25</f>
        <v>0</v>
      </c>
      <c r="N21" s="459">
        <f>'Water-Meter'!Q25</f>
        <v>0</v>
      </c>
      <c r="O21" s="458" t="e">
        <f>K21*E21+H21*I21+#REF!*#REF!+J21*L21</f>
        <v>#REF!</v>
      </c>
      <c r="P21" s="464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5">
        <f>Total!K21</f>
        <v>0</v>
      </c>
    </row>
    <row r="22" spans="1:24">
      <c r="A22" s="460" t="s">
        <v>283</v>
      </c>
      <c r="B22" s="457">
        <f t="shared" si="0"/>
        <v>21</v>
      </c>
      <c r="C22" s="462">
        <v>12</v>
      </c>
      <c r="D22" s="463">
        <v>2020</v>
      </c>
      <c r="E22" s="458">
        <f>'UTILITY REPORT 1'!I23</f>
        <v>0</v>
      </c>
      <c r="F22" s="458">
        <f>'UTILITY REPORT 1'!E23</f>
        <v>0</v>
      </c>
      <c r="G22" s="459">
        <f>'UTILITY REPORT 1'!F23</f>
        <v>0</v>
      </c>
      <c r="H22" s="458">
        <f>IF('Kit report'!F24&lt;0,"0",'Kit report'!F24)</f>
        <v>0</v>
      </c>
      <c r="I22" s="458">
        <f>IF('Kit report'!X24&lt;0,"0",'Kit report'!X24)</f>
        <v>0</v>
      </c>
      <c r="J22" s="458">
        <f>IF('Utility summery'!H26&lt;0,"0",'Utility summery'!H26)</f>
        <v>0</v>
      </c>
      <c r="K22" s="459">
        <f>IF('UTILITY REPORT 1'!H23&lt;0,"0",'UTILITY REPORT 1'!H23)</f>
        <v>0</v>
      </c>
      <c r="L22" s="458">
        <f>'Water-Meter'!K26</f>
        <v>0</v>
      </c>
      <c r="M22" s="459">
        <f>'Water-Meter'!H26</f>
        <v>0</v>
      </c>
      <c r="N22" s="459">
        <f>'Water-Meter'!Q26</f>
        <v>0</v>
      </c>
      <c r="O22" s="458" t="e">
        <f>K22*E22+H22*I22+#REF!*#REF!+J22*L22</f>
        <v>#REF!</v>
      </c>
      <c r="P22" s="464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5">
        <f>Total!K22</f>
        <v>0</v>
      </c>
    </row>
    <row r="23" spans="1:24">
      <c r="A23" s="460" t="s">
        <v>283</v>
      </c>
      <c r="B23" s="457">
        <f t="shared" si="0"/>
        <v>22</v>
      </c>
      <c r="C23" s="462">
        <v>12</v>
      </c>
      <c r="D23" s="463">
        <v>2020</v>
      </c>
      <c r="E23" s="458">
        <f>'UTILITY REPORT 1'!I24</f>
        <v>0</v>
      </c>
      <c r="F23" s="458">
        <f>'UTILITY REPORT 1'!E24</f>
        <v>0</v>
      </c>
      <c r="G23" s="459">
        <f>'UTILITY REPORT 1'!F24</f>
        <v>0</v>
      </c>
      <c r="H23" s="458">
        <f>IF('Kit report'!F25&lt;0,"0",'Kit report'!F25)</f>
        <v>0</v>
      </c>
      <c r="I23" s="458">
        <f>IF('Kit report'!X25&lt;0,"0",'Kit report'!X25)</f>
        <v>0</v>
      </c>
      <c r="J23" s="458">
        <f>IF('Utility summery'!H27&lt;0,"0",'Utility summery'!H27)</f>
        <v>0</v>
      </c>
      <c r="K23" s="459">
        <f>IF('UTILITY REPORT 1'!H24&lt;0,"0",'UTILITY REPORT 1'!H24)</f>
        <v>0</v>
      </c>
      <c r="L23" s="458">
        <f>'Water-Meter'!K27</f>
        <v>0</v>
      </c>
      <c r="M23" s="459">
        <f>'Water-Meter'!H27</f>
        <v>0</v>
      </c>
      <c r="N23" s="459">
        <f>'Water-Meter'!Q27</f>
        <v>0</v>
      </c>
      <c r="O23" s="458" t="e">
        <f>K23*E23+H23*I23+#REF!*#REF!+J23*L23</f>
        <v>#REF!</v>
      </c>
      <c r="P23" s="464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5">
        <f>Total!K23</f>
        <v>0</v>
      </c>
    </row>
    <row r="24" spans="1:24">
      <c r="A24" s="460" t="s">
        <v>283</v>
      </c>
      <c r="B24" s="457">
        <f t="shared" si="0"/>
        <v>23</v>
      </c>
      <c r="C24" s="462">
        <v>12</v>
      </c>
      <c r="D24" s="463">
        <v>2020</v>
      </c>
      <c r="E24" s="458">
        <f>'UTILITY REPORT 1'!I25</f>
        <v>0</v>
      </c>
      <c r="F24" s="458">
        <f>'UTILITY REPORT 1'!E25</f>
        <v>0</v>
      </c>
      <c r="G24" s="459">
        <f>'UTILITY REPORT 1'!F25</f>
        <v>0</v>
      </c>
      <c r="H24" s="458">
        <f>IF('Kit report'!F26&lt;0,"0",'Kit report'!F26)</f>
        <v>0</v>
      </c>
      <c r="I24" s="458">
        <f>IF('Kit report'!X26&lt;0,"0",'Kit report'!X26)</f>
        <v>0</v>
      </c>
      <c r="J24" s="458">
        <f>IF('Utility summery'!H28&lt;0,"0",'Utility summery'!H28)</f>
        <v>0</v>
      </c>
      <c r="K24" s="459">
        <f>IF('UTILITY REPORT 1'!H25&lt;0,"0",'UTILITY REPORT 1'!H25)</f>
        <v>0</v>
      </c>
      <c r="L24" s="458">
        <f>'Water-Meter'!K28</f>
        <v>0</v>
      </c>
      <c r="M24" s="459">
        <f>'Water-Meter'!H28</f>
        <v>0</v>
      </c>
      <c r="N24" s="459">
        <f>'Water-Meter'!Q28</f>
        <v>0</v>
      </c>
      <c r="O24" s="458" t="e">
        <f>K24*E24+H24*I24+#REF!*#REF!+J24*L24</f>
        <v>#REF!</v>
      </c>
      <c r="P24" s="464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5">
        <f>Total!K24</f>
        <v>0</v>
      </c>
    </row>
    <row r="25" spans="1:24">
      <c r="A25" s="460" t="s">
        <v>283</v>
      </c>
      <c r="B25" s="457">
        <f t="shared" si="0"/>
        <v>24</v>
      </c>
      <c r="C25" s="462">
        <v>12</v>
      </c>
      <c r="D25" s="463">
        <v>2020</v>
      </c>
      <c r="E25" s="458">
        <f>'UTILITY REPORT 1'!I26</f>
        <v>0</v>
      </c>
      <c r="F25" s="458">
        <f>'UTILITY REPORT 1'!E26</f>
        <v>0</v>
      </c>
      <c r="G25" s="459">
        <f>'UTILITY REPORT 1'!F26</f>
        <v>0</v>
      </c>
      <c r="H25" s="458">
        <f>IF('Kit report'!F27&lt;0,"0",'Kit report'!F27)</f>
        <v>0</v>
      </c>
      <c r="I25" s="458">
        <f>IF('Kit report'!X27&lt;0,"0",'Kit report'!X27)</f>
        <v>0</v>
      </c>
      <c r="J25" s="458">
        <f>IF('Utility summery'!H29&lt;0,"0",'Utility summery'!H29)</f>
        <v>0</v>
      </c>
      <c r="K25" s="459">
        <f>IF('UTILITY REPORT 1'!H26&lt;0,"0",'UTILITY REPORT 1'!H26)</f>
        <v>0</v>
      </c>
      <c r="L25" s="458">
        <f>'Water-Meter'!K29</f>
        <v>0</v>
      </c>
      <c r="M25" s="459">
        <f>'Water-Meter'!H29</f>
        <v>0</v>
      </c>
      <c r="N25" s="459">
        <f>'Water-Meter'!Q29</f>
        <v>0</v>
      </c>
      <c r="O25" s="458" t="e">
        <f>K25*E25+H25*I25+#REF!*#REF!+J25*L25</f>
        <v>#REF!</v>
      </c>
      <c r="P25" s="464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5">
        <f>Total!K25</f>
        <v>0</v>
      </c>
    </row>
    <row r="26" spans="1:24">
      <c r="A26" s="460" t="s">
        <v>283</v>
      </c>
      <c r="B26" s="457">
        <f>B25+1</f>
        <v>25</v>
      </c>
      <c r="C26" s="462">
        <v>12</v>
      </c>
      <c r="D26" s="463">
        <v>2020</v>
      </c>
      <c r="E26" s="458">
        <f>'UTILITY REPORT 1'!I27</f>
        <v>0</v>
      </c>
      <c r="F26" s="458">
        <f>'UTILITY REPORT 1'!E27</f>
        <v>0</v>
      </c>
      <c r="G26" s="459">
        <f>'UTILITY REPORT 1'!F27</f>
        <v>0</v>
      </c>
      <c r="H26" s="458">
        <f>IF('Kit report'!F28&lt;0,"0",'Kit report'!F28)</f>
        <v>0</v>
      </c>
      <c r="I26" s="458">
        <f>IF('Kit report'!X28&lt;0,"0",'Kit report'!X28)</f>
        <v>0</v>
      </c>
      <c r="J26" s="458">
        <f>IF('Utility summery'!H30&lt;0,"0",'Utility summery'!H30)</f>
        <v>0</v>
      </c>
      <c r="K26" s="459">
        <f>IF('UTILITY REPORT 1'!H27&lt;0,"0",'UTILITY REPORT 1'!H27)</f>
        <v>0</v>
      </c>
      <c r="L26" s="458">
        <f>'Water-Meter'!K30</f>
        <v>0</v>
      </c>
      <c r="M26" s="459">
        <f>'Water-Meter'!H30</f>
        <v>0</v>
      </c>
      <c r="N26" s="459">
        <f>'Water-Meter'!Q30</f>
        <v>0</v>
      </c>
      <c r="O26" s="458" t="e">
        <f>K26*E26+H26*I26+#REF!*#REF!+J26*L26</f>
        <v>#REF!</v>
      </c>
      <c r="P26" s="464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5">
        <f>Total!K26</f>
        <v>0</v>
      </c>
    </row>
    <row r="27" spans="1:24">
      <c r="A27" s="460" t="s">
        <v>283</v>
      </c>
      <c r="B27" s="457">
        <f t="shared" si="0"/>
        <v>26</v>
      </c>
      <c r="C27" s="462">
        <v>12</v>
      </c>
      <c r="D27" s="463">
        <v>2020</v>
      </c>
      <c r="E27" s="458">
        <f>'UTILITY REPORT 1'!I28</f>
        <v>0</v>
      </c>
      <c r="F27" s="458">
        <f>'UTILITY REPORT 1'!E28</f>
        <v>0</v>
      </c>
      <c r="G27" s="459">
        <f>'UTILITY REPORT 1'!F28</f>
        <v>0</v>
      </c>
      <c r="H27" s="458">
        <f>IF('Kit report'!F29&lt;0,"0",'Kit report'!F29)</f>
        <v>0</v>
      </c>
      <c r="I27" s="458">
        <f>IF('Kit report'!X29&lt;0,"0",'Kit report'!X29)</f>
        <v>0</v>
      </c>
      <c r="J27" s="458">
        <f>IF('Utility summery'!H31&lt;0,"0",'Utility summery'!H31)</f>
        <v>0</v>
      </c>
      <c r="K27" s="459">
        <f>IF('UTILITY REPORT 1'!H28&lt;0,"0",'UTILITY REPORT 1'!H28)</f>
        <v>0</v>
      </c>
      <c r="L27" s="458">
        <f>'Water-Meter'!K31</f>
        <v>0</v>
      </c>
      <c r="M27" s="459">
        <f>'Water-Meter'!H31</f>
        <v>0</v>
      </c>
      <c r="N27" s="459">
        <f>'Water-Meter'!Q31</f>
        <v>0</v>
      </c>
      <c r="O27" s="458" t="e">
        <f>K27*E27+H27*I27+#REF!*#REF!+J27*L27</f>
        <v>#REF!</v>
      </c>
      <c r="P27" s="464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5">
        <f>Total!K27</f>
        <v>0</v>
      </c>
    </row>
    <row r="28" spans="1:24">
      <c r="A28" s="460" t="s">
        <v>283</v>
      </c>
      <c r="B28" s="457">
        <f t="shared" si="0"/>
        <v>27</v>
      </c>
      <c r="C28" s="462">
        <v>12</v>
      </c>
      <c r="D28" s="463">
        <v>2020</v>
      </c>
      <c r="E28" s="458">
        <f>'UTILITY REPORT 1'!I29</f>
        <v>0</v>
      </c>
      <c r="F28" s="458">
        <f>'UTILITY REPORT 1'!E29</f>
        <v>0</v>
      </c>
      <c r="G28" s="459">
        <f>'UTILITY REPORT 1'!F29</f>
        <v>0</v>
      </c>
      <c r="H28" s="458">
        <f>IF('Kit report'!F30&lt;0,"0",'Kit report'!F30)</f>
        <v>0</v>
      </c>
      <c r="I28" s="458">
        <f>IF('Kit report'!X30&lt;0,"0",'Kit report'!X30)</f>
        <v>0</v>
      </c>
      <c r="J28" s="458">
        <f>IF('Utility summery'!H32&lt;0,"0",'Utility summery'!H32)</f>
        <v>0</v>
      </c>
      <c r="K28" s="459">
        <f>IF('UTILITY REPORT 1'!H29&lt;0,"0",'UTILITY REPORT 1'!H29)</f>
        <v>0</v>
      </c>
      <c r="L28" s="458">
        <f>'Water-Meter'!K32</f>
        <v>0</v>
      </c>
      <c r="M28" s="459">
        <f>'Water-Meter'!H32</f>
        <v>0</v>
      </c>
      <c r="N28" s="459">
        <f>'Water-Meter'!Q32</f>
        <v>0</v>
      </c>
      <c r="O28" s="458" t="e">
        <f>K28*E28+H28*I28+#REF!*#REF!+J28*L28</f>
        <v>#REF!</v>
      </c>
      <c r="P28" s="464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5">
        <f>Total!K28</f>
        <v>0</v>
      </c>
    </row>
    <row r="29" spans="1:24">
      <c r="A29" s="460" t="s">
        <v>283</v>
      </c>
      <c r="B29" s="457">
        <f t="shared" si="0"/>
        <v>28</v>
      </c>
      <c r="C29" s="462">
        <v>12</v>
      </c>
      <c r="D29" s="463">
        <v>2020</v>
      </c>
      <c r="E29" s="458">
        <f>'UTILITY REPORT 1'!I30</f>
        <v>0</v>
      </c>
      <c r="F29" s="458">
        <f>'UTILITY REPORT 1'!E30</f>
        <v>0</v>
      </c>
      <c r="G29" s="459">
        <f>'UTILITY REPORT 1'!F30</f>
        <v>0</v>
      </c>
      <c r="H29" s="458">
        <f>IF('Kit report'!F31&lt;0,"0",'Kit report'!F31)</f>
        <v>0</v>
      </c>
      <c r="I29" s="458">
        <f>IF('Kit report'!X31&lt;0,"0",'Kit report'!X31)</f>
        <v>0</v>
      </c>
      <c r="J29" s="458">
        <f>IF('Utility summery'!H33&lt;0,"0",'Utility summery'!H33)</f>
        <v>0</v>
      </c>
      <c r="K29" s="459">
        <f>IF('UTILITY REPORT 1'!H30&lt;0,"0",'UTILITY REPORT 1'!H30)</f>
        <v>0</v>
      </c>
      <c r="L29" s="458">
        <f>'Water-Meter'!K33</f>
        <v>0</v>
      </c>
      <c r="M29" s="459">
        <f>'Water-Meter'!H33</f>
        <v>0</v>
      </c>
      <c r="N29" s="459">
        <f>'Water-Meter'!Q33</f>
        <v>0</v>
      </c>
      <c r="O29" s="458" t="e">
        <f>K29*E29+H29*I29+#REF!*#REF!+J29*L29</f>
        <v>#REF!</v>
      </c>
      <c r="P29" s="464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5">
        <f>Total!K29</f>
        <v>0</v>
      </c>
    </row>
    <row r="30" spans="1:24">
      <c r="A30" s="460" t="s">
        <v>283</v>
      </c>
      <c r="B30" s="457">
        <f t="shared" si="0"/>
        <v>29</v>
      </c>
      <c r="C30" s="462">
        <v>12</v>
      </c>
      <c r="D30" s="463">
        <v>2020</v>
      </c>
      <c r="E30" s="458">
        <f>'UTILITY REPORT 1'!I31</f>
        <v>0</v>
      </c>
      <c r="F30" s="458">
        <f>'UTILITY REPORT 1'!E31</f>
        <v>0</v>
      </c>
      <c r="G30" s="459">
        <f>'UTILITY REPORT 1'!F31</f>
        <v>0</v>
      </c>
      <c r="H30" s="458">
        <f>IF('Kit report'!F32&lt;0,"0",'Kit report'!F32)</f>
        <v>0</v>
      </c>
      <c r="I30" s="458">
        <f>IF('Kit report'!X32&lt;0,"0",'Kit report'!X32)</f>
        <v>0</v>
      </c>
      <c r="J30" s="458">
        <f>IF('Utility summery'!H34&lt;0,"0",'Utility summery'!H34)</f>
        <v>0</v>
      </c>
      <c r="K30" s="459">
        <f>IF('UTILITY REPORT 1'!H31&lt;0,"0",'UTILITY REPORT 1'!H31)</f>
        <v>0</v>
      </c>
      <c r="L30" s="458">
        <f>'Water-Meter'!K34</f>
        <v>0</v>
      </c>
      <c r="M30" s="459">
        <f>'Water-Meter'!H34</f>
        <v>0</v>
      </c>
      <c r="N30" s="459">
        <f>'Water-Meter'!Q34</f>
        <v>0</v>
      </c>
      <c r="O30" s="458" t="e">
        <f>K30*E30+H30*I30+#REF!*#REF!+J30*L30</f>
        <v>#REF!</v>
      </c>
      <c r="P30" s="464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5">
        <f>Total!K30</f>
        <v>0</v>
      </c>
    </row>
    <row r="31" spans="1:24">
      <c r="A31" s="460" t="s">
        <v>283</v>
      </c>
      <c r="B31" s="457">
        <v>30</v>
      </c>
      <c r="C31" s="462">
        <v>12</v>
      </c>
      <c r="D31" s="463">
        <v>2020</v>
      </c>
      <c r="E31" s="458">
        <f>'UTILITY REPORT 1'!I32</f>
        <v>0</v>
      </c>
      <c r="F31" s="458">
        <f>'UTILITY REPORT 1'!E32</f>
        <v>0</v>
      </c>
      <c r="G31" s="459">
        <f>'UTILITY REPORT 1'!F32</f>
        <v>0</v>
      </c>
      <c r="H31" s="458">
        <f>IF('Kit report'!F33&lt;0,"0",'Kit report'!F33)</f>
        <v>0</v>
      </c>
      <c r="I31" s="458">
        <f>IF('Kit report'!X33&lt;0,"0",'Kit report'!X33)</f>
        <v>0</v>
      </c>
      <c r="J31" s="458">
        <f>IF('Utility summery'!H35&lt;0,"0",'Utility summery'!H35)</f>
        <v>0</v>
      </c>
      <c r="K31" s="459">
        <f>IF('UTILITY REPORT 1'!H32&lt;0,"0",'UTILITY REPORT 1'!H32)</f>
        <v>0</v>
      </c>
      <c r="L31" s="458">
        <f>'Water-Meter'!K35</f>
        <v>0</v>
      </c>
      <c r="M31" s="459">
        <f>'Water-Meter'!H35</f>
        <v>0</v>
      </c>
      <c r="N31" s="459">
        <f>'Water-Meter'!Q35</f>
        <v>0</v>
      </c>
      <c r="O31" s="458" t="e">
        <f>K31*E31+H31*I31+#REF!*#REF!+J31*L31</f>
        <v>#REF!</v>
      </c>
      <c r="P31" s="464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5">
        <f>Total!K31</f>
        <v>0</v>
      </c>
    </row>
    <row r="32" spans="1:24">
      <c r="A32" s="460" t="s">
        <v>283</v>
      </c>
      <c r="B32" s="457">
        <v>31</v>
      </c>
      <c r="C32" s="462">
        <v>12</v>
      </c>
      <c r="D32" s="463">
        <v>2020</v>
      </c>
      <c r="E32" s="458">
        <f>'UTILITY REPORT 1'!I33</f>
        <v>0</v>
      </c>
      <c r="F32" s="458">
        <f>'UTILITY REPORT 1'!E33</f>
        <v>0</v>
      </c>
      <c r="G32" s="459">
        <f>'UTILITY REPORT 1'!F33</f>
        <v>0</v>
      </c>
      <c r="H32" s="458">
        <f>IF('Kit report'!F34&lt;0,"0",'Kit report'!F34)</f>
        <v>0</v>
      </c>
      <c r="I32" s="458">
        <f>IF('Kit report'!X34&lt;0,"0",'Kit report'!X34)</f>
        <v>0</v>
      </c>
      <c r="J32" s="458">
        <f>IF('Utility summery'!H36&lt;0,"0",'Utility summery'!H36)</f>
        <v>0</v>
      </c>
      <c r="K32" s="459">
        <f>IF('UTILITY REPORT 1'!H33&lt;0,"0",'UTILITY REPORT 1'!H33)</f>
        <v>0</v>
      </c>
      <c r="L32" s="458">
        <f>'Water-Meter'!K36</f>
        <v>0</v>
      </c>
      <c r="M32" s="459">
        <f>'Water-Meter'!H36</f>
        <v>0</v>
      </c>
      <c r="N32" s="459">
        <f>'Water-Meter'!Q36</f>
        <v>0</v>
      </c>
      <c r="O32" s="242"/>
      <c r="P32" s="464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5">
        <f>Total!K32</f>
        <v>0</v>
      </c>
    </row>
    <row r="33" spans="5:12">
      <c r="E33" s="419"/>
      <c r="F33" s="419"/>
      <c r="H33" s="419"/>
      <c r="I33" s="419"/>
      <c r="J33" s="419"/>
      <c r="L33" s="419"/>
    </row>
    <row r="34" spans="5:12">
      <c r="E34" s="419"/>
      <c r="F34" s="419"/>
      <c r="H34" s="419"/>
      <c r="I34" s="419"/>
      <c r="J34" s="419"/>
      <c r="L34" s="419"/>
    </row>
    <row r="35" spans="5:12">
      <c r="E35" s="419"/>
      <c r="F35" s="419"/>
      <c r="H35" s="419"/>
      <c r="I35" s="419"/>
      <c r="J35" s="419"/>
      <c r="L35" s="419"/>
    </row>
    <row r="36" spans="5:12">
      <c r="E36" s="419"/>
      <c r="F36" s="419"/>
      <c r="H36" s="419"/>
      <c r="I36" s="419"/>
      <c r="J36" s="419"/>
      <c r="L36" s="419"/>
    </row>
    <row r="37" spans="5:12">
      <c r="E37" s="419"/>
      <c r="F37" s="419"/>
      <c r="H37" s="419"/>
      <c r="I37" s="419"/>
      <c r="J37" s="419"/>
      <c r="L37" s="419"/>
    </row>
    <row r="38" spans="5:12">
      <c r="E38" s="419"/>
      <c r="F38" s="419"/>
      <c r="H38" s="419"/>
      <c r="I38" s="419"/>
      <c r="J38" s="419"/>
      <c r="L38" s="4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8" t="s">
        <v>314</v>
      </c>
      <c r="B1" s="838"/>
      <c r="C1" s="838"/>
      <c r="D1" s="838"/>
      <c r="E1" s="838"/>
      <c r="F1" s="838"/>
      <c r="G1" s="838"/>
      <c r="H1" s="838"/>
    </row>
    <row r="2" spans="1:9" ht="48" customHeight="1" thickBot="1">
      <c r="A2" s="241" t="s">
        <v>0</v>
      </c>
      <c r="B2" s="131" t="s">
        <v>1</v>
      </c>
      <c r="C2" s="404" t="s">
        <v>268</v>
      </c>
      <c r="D2" s="285" t="s">
        <v>269</v>
      </c>
      <c r="E2" s="402" t="s">
        <v>267</v>
      </c>
      <c r="F2" s="285" t="s">
        <v>264</v>
      </c>
      <c r="G2" s="285" t="s">
        <v>265</v>
      </c>
      <c r="H2" s="404" t="s">
        <v>266</v>
      </c>
      <c r="I2" s="285" t="s">
        <v>270</v>
      </c>
    </row>
    <row r="3" spans="1:9" ht="13.5">
      <c r="A3" s="403">
        <f>Gen!A11</f>
        <v>44166</v>
      </c>
      <c r="B3" s="405">
        <f>Gen!B11</f>
        <v>7.6999999999999999E-2</v>
      </c>
      <c r="C3" s="406">
        <f>'Summery Report'!E5</f>
        <v>7.79</v>
      </c>
      <c r="D3" s="407">
        <v>1</v>
      </c>
      <c r="E3" s="406">
        <f>Gen!S11</f>
        <v>971.78</v>
      </c>
      <c r="F3" s="406">
        <f>Gen!T11</f>
        <v>2356</v>
      </c>
      <c r="G3" s="406">
        <f>'Water-Meter'!E6</f>
        <v>55</v>
      </c>
      <c r="H3" s="406">
        <f>'Utility report '!AC6</f>
        <v>40</v>
      </c>
      <c r="I3" s="406">
        <f>Gen!AJ11</f>
        <v>40.94</v>
      </c>
    </row>
    <row r="4" spans="1:9" ht="13.5">
      <c r="A4" s="403">
        <f>Gen!A12</f>
        <v>44167</v>
      </c>
      <c r="B4" s="405">
        <f>Gen!B12</f>
        <v>9.0999999999999998E-2</v>
      </c>
      <c r="C4" s="406">
        <f>'Summery Report'!E6</f>
        <v>9.09</v>
      </c>
      <c r="D4" s="407">
        <v>1</v>
      </c>
      <c r="E4" s="406">
        <f>Gen!S12</f>
        <v>971.55</v>
      </c>
      <c r="F4" s="406">
        <f>Gen!T12</f>
        <v>2299</v>
      </c>
      <c r="G4" s="406">
        <f>'Water-Meter'!E7</f>
        <v>75</v>
      </c>
      <c r="H4" s="406">
        <f>'Utility report '!AC7</f>
        <v>39</v>
      </c>
      <c r="I4" s="406">
        <f>Gen!AJ12</f>
        <v>99.67</v>
      </c>
    </row>
    <row r="5" spans="1:9" ht="13.5">
      <c r="A5" s="403">
        <f>Gen!A13</f>
        <v>44168</v>
      </c>
      <c r="B5" s="405">
        <f>Gen!B13</f>
        <v>1.2999999999999999E-2</v>
      </c>
      <c r="C5" s="406">
        <f>'Summery Report'!E7</f>
        <v>1.3</v>
      </c>
      <c r="D5" s="407">
        <v>1</v>
      </c>
      <c r="E5" s="406">
        <f>Gen!S13</f>
        <v>995.36</v>
      </c>
      <c r="F5" s="406">
        <f>Gen!T13</f>
        <v>2378</v>
      </c>
      <c r="G5" s="406">
        <f>'Water-Meter'!E8</f>
        <v>59</v>
      </c>
      <c r="H5" s="406">
        <f>'Utility report '!AC8</f>
        <v>38</v>
      </c>
      <c r="I5" s="406">
        <f>Gen!AJ13</f>
        <v>0</v>
      </c>
    </row>
    <row r="6" spans="1:9" ht="13.5">
      <c r="A6" s="403">
        <f>Gen!A14</f>
        <v>44169</v>
      </c>
      <c r="B6" s="405">
        <f>Gen!B14</f>
        <v>1.2999999999999999E-2</v>
      </c>
      <c r="C6" s="406">
        <f>'Summery Report'!E8</f>
        <v>1.3</v>
      </c>
      <c r="D6" s="407">
        <v>1</v>
      </c>
      <c r="E6" s="406">
        <f>Gen!S14</f>
        <v>904.89</v>
      </c>
      <c r="F6" s="406">
        <f>Gen!T14</f>
        <v>2173</v>
      </c>
      <c r="G6" s="406">
        <f>'Water-Meter'!E9</f>
        <v>49</v>
      </c>
      <c r="H6" s="406">
        <f>'Utility report '!AC9</f>
        <v>37</v>
      </c>
      <c r="I6" s="406">
        <f>Gen!AJ14</f>
        <v>0</v>
      </c>
    </row>
    <row r="7" spans="1:9" ht="13.5">
      <c r="A7" s="403">
        <f>Gen!A15</f>
        <v>44170</v>
      </c>
      <c r="B7" s="405">
        <f>Gen!B15</f>
        <v>0</v>
      </c>
      <c r="C7" s="406">
        <f>'Summery Report'!E9</f>
        <v>0</v>
      </c>
      <c r="D7" s="407">
        <v>1</v>
      </c>
      <c r="E7" s="406">
        <f>Gen!S15</f>
        <v>928.04</v>
      </c>
      <c r="F7" s="406">
        <f>Gen!T15</f>
        <v>2292</v>
      </c>
      <c r="G7" s="406">
        <f>'Water-Meter'!E10</f>
        <v>60</v>
      </c>
      <c r="H7" s="406">
        <f>'Utility report '!AC10</f>
        <v>36</v>
      </c>
      <c r="I7" s="406">
        <f>Gen!AJ15</f>
        <v>0</v>
      </c>
    </row>
    <row r="8" spans="1:9" ht="13.5">
      <c r="A8" s="403">
        <f>Gen!A16</f>
        <v>44171</v>
      </c>
      <c r="B8" s="405">
        <f>Gen!B16</f>
        <v>0</v>
      </c>
      <c r="C8" s="406">
        <f>'Summery Report'!E10</f>
        <v>1.3</v>
      </c>
      <c r="D8" s="407">
        <v>1</v>
      </c>
      <c r="E8" s="406">
        <f>Gen!S16</f>
        <v>1012.39</v>
      </c>
      <c r="F8" s="406">
        <f>Gen!T16</f>
        <v>2375</v>
      </c>
      <c r="G8" s="406">
        <f>'Water-Meter'!E11</f>
        <v>51</v>
      </c>
      <c r="H8" s="406">
        <f>'Utility report '!AC11</f>
        <v>35</v>
      </c>
      <c r="I8" s="406">
        <f>Gen!AJ16</f>
        <v>47</v>
      </c>
    </row>
    <row r="9" spans="1:9" ht="13.5">
      <c r="A9" s="403">
        <f>Gen!A17</f>
        <v>44172</v>
      </c>
      <c r="B9" s="405">
        <f>Gen!B17</f>
        <v>0</v>
      </c>
      <c r="C9" s="406">
        <f>'Summery Report'!E11</f>
        <v>1.3</v>
      </c>
      <c r="D9" s="407">
        <v>1</v>
      </c>
      <c r="E9" s="406">
        <f>Gen!S17</f>
        <v>956.25</v>
      </c>
      <c r="F9" s="406">
        <f>Gen!T17</f>
        <v>2317</v>
      </c>
      <c r="G9" s="406">
        <f>'Water-Meter'!E12</f>
        <v>43</v>
      </c>
      <c r="H9" s="406">
        <f>'Utility report '!AC12</f>
        <v>34</v>
      </c>
      <c r="I9" s="406">
        <f>Gen!AJ17</f>
        <v>54</v>
      </c>
    </row>
    <row r="10" spans="1:9" ht="13.5">
      <c r="A10" s="403">
        <f>Gen!A18</f>
        <v>44173</v>
      </c>
      <c r="B10" s="405">
        <f>Gen!B18</f>
        <v>0</v>
      </c>
      <c r="C10" s="406">
        <f>'Summery Report'!E12</f>
        <v>1.3</v>
      </c>
      <c r="D10" s="407">
        <v>1</v>
      </c>
      <c r="E10" s="406">
        <f>Gen!S18</f>
        <v>1013.27</v>
      </c>
      <c r="F10" s="406">
        <f>Gen!T18</f>
        <v>2410</v>
      </c>
      <c r="G10" s="406">
        <f>'Water-Meter'!E13</f>
        <v>44</v>
      </c>
      <c r="H10" s="406">
        <f>'Utility report '!AC13</f>
        <v>35</v>
      </c>
      <c r="I10" s="406">
        <f>Gen!AJ18</f>
        <v>82</v>
      </c>
    </row>
    <row r="11" spans="1:9" ht="13.5">
      <c r="A11" s="403">
        <f>Gen!A19</f>
        <v>44174</v>
      </c>
      <c r="B11" s="405">
        <f>Gen!B19</f>
        <v>0</v>
      </c>
      <c r="C11" s="406">
        <f>'Summery Report'!E13</f>
        <v>1.3</v>
      </c>
      <c r="D11" s="407">
        <v>1</v>
      </c>
      <c r="E11" s="406">
        <f>Gen!S19</f>
        <v>1010.92</v>
      </c>
      <c r="F11" s="406">
        <f>Gen!T19</f>
        <v>2451</v>
      </c>
      <c r="G11" s="406">
        <f>'Water-Meter'!E14</f>
        <v>63</v>
      </c>
      <c r="H11" s="406">
        <f>'Utility report '!AC14</f>
        <v>31</v>
      </c>
      <c r="I11" s="406">
        <f>Gen!AJ19</f>
        <v>56</v>
      </c>
    </row>
    <row r="12" spans="1:9" ht="13.5">
      <c r="A12" s="403">
        <f>Gen!A20</f>
        <v>44175</v>
      </c>
      <c r="B12" s="405">
        <f>Gen!B20</f>
        <v>0</v>
      </c>
      <c r="C12" s="406">
        <f>'Summery Report'!E14</f>
        <v>2.6</v>
      </c>
      <c r="D12" s="407">
        <v>1</v>
      </c>
      <c r="E12" s="406">
        <f>Gen!S20</f>
        <v>1284.07</v>
      </c>
      <c r="F12" s="406">
        <f>Gen!T20</f>
        <v>2929</v>
      </c>
      <c r="G12" s="406">
        <f>'Water-Meter'!E15</f>
        <v>61</v>
      </c>
      <c r="H12" s="406">
        <f>'Utility report '!AC15</f>
        <v>29</v>
      </c>
      <c r="I12" s="406">
        <f>Gen!AJ20</f>
        <v>62.2</v>
      </c>
    </row>
    <row r="13" spans="1:9" ht="13.5">
      <c r="A13" s="403">
        <f>Gen!A21</f>
        <v>44176</v>
      </c>
      <c r="B13" s="405">
        <f>Gen!B21</f>
        <v>0</v>
      </c>
      <c r="C13" s="406">
        <f>'Summery Report'!E15</f>
        <v>22.08</v>
      </c>
      <c r="D13" s="407">
        <v>1</v>
      </c>
      <c r="E13" s="406">
        <f>Gen!S21</f>
        <v>1217.45</v>
      </c>
      <c r="F13" s="406">
        <f>Gen!T21</f>
        <v>3090</v>
      </c>
      <c r="G13" s="406">
        <f>'Water-Meter'!E16</f>
        <v>62</v>
      </c>
      <c r="H13" s="406">
        <f>'Utility report '!AC16</f>
        <v>28</v>
      </c>
      <c r="I13" s="406">
        <f>Gen!AJ21</f>
        <v>108.67</v>
      </c>
    </row>
    <row r="14" spans="1:9" ht="13.5">
      <c r="A14" s="403">
        <f>Gen!A22</f>
        <v>44177</v>
      </c>
      <c r="B14" s="405">
        <f>Gen!B22</f>
        <v>0</v>
      </c>
      <c r="C14" s="406">
        <f>'Summery Report'!E16</f>
        <v>23.38</v>
      </c>
      <c r="D14" s="407">
        <v>1</v>
      </c>
      <c r="E14" s="406">
        <f>Gen!S22</f>
        <v>1191.23</v>
      </c>
      <c r="F14" s="406">
        <f>Gen!T22</f>
        <v>3028</v>
      </c>
      <c r="G14" s="406">
        <f>'Water-Meter'!E17</f>
        <v>54</v>
      </c>
      <c r="H14" s="406">
        <f>'Utility report '!AC17</f>
        <v>27</v>
      </c>
      <c r="I14" s="406">
        <f>Gen!AJ22</f>
        <v>0</v>
      </c>
    </row>
    <row r="15" spans="1:9" ht="13.5">
      <c r="A15" s="403">
        <f>Gen!A23</f>
        <v>44178</v>
      </c>
      <c r="B15" s="405">
        <f>Gen!B23</f>
        <v>0</v>
      </c>
      <c r="C15" s="406">
        <f>'Summery Report'!E17</f>
        <v>20.78</v>
      </c>
      <c r="D15" s="407">
        <v>1</v>
      </c>
      <c r="E15" s="406">
        <f>Gen!S23</f>
        <v>1116.8399999999999</v>
      </c>
      <c r="F15" s="406">
        <f>Gen!T23</f>
        <v>2694</v>
      </c>
      <c r="G15" s="406">
        <f>'Water-Meter'!E18</f>
        <v>56</v>
      </c>
      <c r="H15" s="406">
        <f>'Utility report '!AC18</f>
        <v>40</v>
      </c>
      <c r="I15" s="406">
        <f>Gen!AJ23</f>
        <v>0</v>
      </c>
    </row>
    <row r="16" spans="1:9" ht="13.5">
      <c r="A16" s="403">
        <f>Gen!A24</f>
        <v>44179</v>
      </c>
      <c r="B16" s="405">
        <f>Gen!B24</f>
        <v>0</v>
      </c>
      <c r="C16" s="406">
        <f>'Summery Report'!E18</f>
        <v>2.6</v>
      </c>
      <c r="D16" s="407">
        <v>1</v>
      </c>
      <c r="E16" s="406">
        <f>Gen!S24</f>
        <v>1125.03</v>
      </c>
      <c r="F16" s="406">
        <f>Gen!T24</f>
        <v>2790</v>
      </c>
      <c r="G16" s="406">
        <f>'Water-Meter'!E19</f>
        <v>60</v>
      </c>
      <c r="H16" s="406">
        <f>'Utility report '!AC19</f>
        <v>28</v>
      </c>
      <c r="I16" s="406">
        <f>Gen!AJ24</f>
        <v>66.59</v>
      </c>
    </row>
    <row r="17" spans="1:9" ht="13.5">
      <c r="A17" s="403">
        <f>Gen!A25</f>
        <v>44180</v>
      </c>
      <c r="B17" s="405">
        <f>Gen!B25</f>
        <v>0</v>
      </c>
      <c r="C17" s="406">
        <f>'Summery Report'!E19</f>
        <v>6.49</v>
      </c>
      <c r="D17" s="407">
        <v>1</v>
      </c>
      <c r="E17" s="406">
        <f>Gen!S25</f>
        <v>1092.19</v>
      </c>
      <c r="F17" s="406">
        <f>Gen!T25</f>
        <v>2707</v>
      </c>
      <c r="G17" s="406">
        <f>'Water-Meter'!E20</f>
        <v>74</v>
      </c>
      <c r="H17" s="406">
        <f>'Utility report '!AC20</f>
        <v>13</v>
      </c>
      <c r="I17" s="406">
        <f>Gen!AJ25</f>
        <v>125.45</v>
      </c>
    </row>
    <row r="18" spans="1:9" ht="13.5">
      <c r="A18" s="403">
        <f>Gen!A26</f>
        <v>44181</v>
      </c>
      <c r="B18" s="405">
        <f>Gen!B26</f>
        <v>0</v>
      </c>
      <c r="C18" s="406">
        <f>'Summery Report'!E20</f>
        <v>7.49</v>
      </c>
      <c r="D18" s="407">
        <v>1</v>
      </c>
      <c r="E18" s="406">
        <f>Gen!S26</f>
        <v>0</v>
      </c>
      <c r="F18" s="406">
        <f>Gen!T26</f>
        <v>0</v>
      </c>
      <c r="G18" s="406" t="str">
        <f>'Water-Meter'!E21</f>
        <v>0</v>
      </c>
      <c r="H18" s="406">
        <f>'Utility report '!AC21</f>
        <v>-42422</v>
      </c>
      <c r="I18" s="406">
        <f>Gen!AJ26</f>
        <v>0</v>
      </c>
    </row>
    <row r="19" spans="1:9" ht="13.5">
      <c r="A19" s="403">
        <f>Gen!A27</f>
        <v>44182</v>
      </c>
      <c r="B19" s="405">
        <f>Gen!B27</f>
        <v>0</v>
      </c>
      <c r="C19" s="406">
        <f>'Summery Report'!E21</f>
        <v>0</v>
      </c>
      <c r="D19" s="407">
        <v>1</v>
      </c>
      <c r="E19" s="406">
        <f>Gen!S27</f>
        <v>0</v>
      </c>
      <c r="F19" s="406">
        <f>Gen!T27</f>
        <v>0</v>
      </c>
      <c r="G19" s="406">
        <f>'Water-Meter'!E22</f>
        <v>0</v>
      </c>
      <c r="H19" s="406">
        <f>'Utility report '!AC22</f>
        <v>0</v>
      </c>
      <c r="I19" s="406">
        <f>Gen!AJ27</f>
        <v>0</v>
      </c>
    </row>
    <row r="20" spans="1:9" ht="13.5">
      <c r="A20" s="403">
        <f>Gen!A28</f>
        <v>44183</v>
      </c>
      <c r="B20" s="405">
        <f>Gen!B28</f>
        <v>0</v>
      </c>
      <c r="C20" s="406">
        <f>'Summery Report'!E22</f>
        <v>0</v>
      </c>
      <c r="D20" s="407">
        <v>1</v>
      </c>
      <c r="E20" s="406">
        <f>Gen!S28</f>
        <v>0</v>
      </c>
      <c r="F20" s="406">
        <f>Gen!T28</f>
        <v>0</v>
      </c>
      <c r="G20" s="406">
        <f>'Water-Meter'!E23</f>
        <v>0</v>
      </c>
      <c r="H20" s="406">
        <f>'Utility report '!AC23</f>
        <v>0</v>
      </c>
      <c r="I20" s="406">
        <f>Gen!AJ28</f>
        <v>0</v>
      </c>
    </row>
    <row r="21" spans="1:9" ht="13.5">
      <c r="A21" s="403">
        <f>Gen!A29</f>
        <v>44184</v>
      </c>
      <c r="B21" s="405">
        <f>Gen!B29</f>
        <v>0</v>
      </c>
      <c r="C21" s="406">
        <f>'Summery Report'!E23</f>
        <v>0</v>
      </c>
      <c r="D21" s="407">
        <v>1</v>
      </c>
      <c r="E21" s="406">
        <f>Gen!S29</f>
        <v>0</v>
      </c>
      <c r="F21" s="406">
        <f>Gen!T29</f>
        <v>0</v>
      </c>
      <c r="G21" s="406">
        <f>'Water-Meter'!E24</f>
        <v>0</v>
      </c>
      <c r="H21" s="406">
        <f>'Utility report '!AC24</f>
        <v>0</v>
      </c>
      <c r="I21" s="406">
        <f>Gen!AJ29</f>
        <v>0</v>
      </c>
    </row>
    <row r="22" spans="1:9" ht="13.5">
      <c r="A22" s="403">
        <f>Gen!A30</f>
        <v>44185</v>
      </c>
      <c r="B22" s="405">
        <f>Gen!B30</f>
        <v>0</v>
      </c>
      <c r="C22" s="406">
        <f>'Summery Report'!E24</f>
        <v>0</v>
      </c>
      <c r="D22" s="407">
        <v>1</v>
      </c>
      <c r="E22" s="406">
        <f>Gen!S30</f>
        <v>0</v>
      </c>
      <c r="F22" s="406">
        <f>Gen!T30</f>
        <v>0</v>
      </c>
      <c r="G22" s="406">
        <f>'Water-Meter'!E25</f>
        <v>0</v>
      </c>
      <c r="H22" s="406">
        <f>'Utility report '!AC25</f>
        <v>0</v>
      </c>
      <c r="I22" s="406">
        <f>Gen!AJ30</f>
        <v>0</v>
      </c>
    </row>
    <row r="23" spans="1:9" ht="13.5">
      <c r="A23" s="403">
        <f>Gen!A31</f>
        <v>44186</v>
      </c>
      <c r="B23" s="405">
        <f>Gen!B31</f>
        <v>0</v>
      </c>
      <c r="C23" s="406">
        <f>'Summery Report'!E25</f>
        <v>0</v>
      </c>
      <c r="D23" s="407">
        <v>1</v>
      </c>
      <c r="E23" s="406">
        <f>Gen!S31</f>
        <v>0</v>
      </c>
      <c r="F23" s="406">
        <f>Gen!T31</f>
        <v>0</v>
      </c>
      <c r="G23" s="406">
        <f>'Water-Meter'!E26</f>
        <v>0</v>
      </c>
      <c r="H23" s="406">
        <f>'Utility report '!AC26</f>
        <v>0</v>
      </c>
      <c r="I23" s="406">
        <f>Gen!AJ31</f>
        <v>0</v>
      </c>
    </row>
    <row r="24" spans="1:9" ht="13.5">
      <c r="A24" s="403">
        <f>Gen!A32</f>
        <v>44187</v>
      </c>
      <c r="B24" s="405">
        <f>Gen!B32</f>
        <v>0</v>
      </c>
      <c r="C24" s="406">
        <f>'Summery Report'!E26</f>
        <v>0</v>
      </c>
      <c r="D24" s="407">
        <v>1</v>
      </c>
      <c r="E24" s="406">
        <f>Gen!S32</f>
        <v>0</v>
      </c>
      <c r="F24" s="406">
        <f>Gen!T32</f>
        <v>0</v>
      </c>
      <c r="G24" s="406">
        <f>'Water-Meter'!E27</f>
        <v>0</v>
      </c>
      <c r="H24" s="406">
        <f>'Utility report '!AC27</f>
        <v>0</v>
      </c>
      <c r="I24" s="406">
        <f>Gen!AJ32</f>
        <v>0</v>
      </c>
    </row>
    <row r="25" spans="1:9" ht="13.5">
      <c r="A25" s="403">
        <f>Gen!A33</f>
        <v>44188</v>
      </c>
      <c r="B25" s="405">
        <f>Gen!B33</f>
        <v>0</v>
      </c>
      <c r="C25" s="406">
        <f>'Summery Report'!E27</f>
        <v>0</v>
      </c>
      <c r="D25" s="407">
        <v>1</v>
      </c>
      <c r="E25" s="406">
        <f>Gen!S33</f>
        <v>0</v>
      </c>
      <c r="F25" s="406">
        <f>Gen!T33</f>
        <v>0</v>
      </c>
      <c r="G25" s="406">
        <f>'Water-Meter'!E28</f>
        <v>0</v>
      </c>
      <c r="H25" s="406">
        <f>'Utility report '!AC28</f>
        <v>0</v>
      </c>
      <c r="I25" s="406">
        <f>Gen!AJ33</f>
        <v>0</v>
      </c>
    </row>
    <row r="26" spans="1:9" ht="13.5">
      <c r="A26" s="403">
        <f>Gen!A34</f>
        <v>44189</v>
      </c>
      <c r="B26" s="405">
        <f>Gen!B34</f>
        <v>0</v>
      </c>
      <c r="C26" s="406">
        <f>'Summery Report'!E28</f>
        <v>0</v>
      </c>
      <c r="D26" s="407">
        <v>1</v>
      </c>
      <c r="E26" s="406">
        <f>Gen!S34</f>
        <v>0</v>
      </c>
      <c r="F26" s="406">
        <f>Gen!T34</f>
        <v>0</v>
      </c>
      <c r="G26" s="406">
        <f>'Water-Meter'!E29</f>
        <v>0</v>
      </c>
      <c r="H26" s="406">
        <f>'Utility report '!AC29</f>
        <v>0</v>
      </c>
      <c r="I26" s="406">
        <f>Gen!AJ34</f>
        <v>0</v>
      </c>
    </row>
    <row r="27" spans="1:9" ht="13.5">
      <c r="A27" s="403">
        <f>Gen!A35</f>
        <v>44190</v>
      </c>
      <c r="B27" s="405">
        <f>Gen!B35</f>
        <v>0</v>
      </c>
      <c r="C27" s="406">
        <f>'Summery Report'!E29</f>
        <v>0</v>
      </c>
      <c r="D27" s="407">
        <v>1</v>
      </c>
      <c r="E27" s="406">
        <f>Gen!S35</f>
        <v>0</v>
      </c>
      <c r="F27" s="406">
        <f>Gen!T35</f>
        <v>0</v>
      </c>
      <c r="G27" s="406">
        <f>'Water-Meter'!E30</f>
        <v>0</v>
      </c>
      <c r="H27" s="406">
        <f>'Utility report '!AC30</f>
        <v>0</v>
      </c>
      <c r="I27" s="406">
        <f>Gen!AJ35</f>
        <v>0</v>
      </c>
    </row>
    <row r="28" spans="1:9" ht="13.5">
      <c r="A28" s="403">
        <f>Gen!A36</f>
        <v>44191</v>
      </c>
      <c r="B28" s="405">
        <f>Gen!B36</f>
        <v>0</v>
      </c>
      <c r="C28" s="406">
        <f>'Summery Report'!E30</f>
        <v>0</v>
      </c>
      <c r="D28" s="407">
        <v>1</v>
      </c>
      <c r="E28" s="406">
        <f>Gen!S36</f>
        <v>0</v>
      </c>
      <c r="F28" s="406">
        <f>Gen!T36</f>
        <v>0</v>
      </c>
      <c r="G28" s="406">
        <f>'Water-Meter'!E31</f>
        <v>0</v>
      </c>
      <c r="H28" s="406">
        <f>'Utility report '!AC31</f>
        <v>0</v>
      </c>
      <c r="I28" s="406">
        <f>Gen!AJ36</f>
        <v>0</v>
      </c>
    </row>
    <row r="29" spans="1:9" ht="13.5">
      <c r="A29" s="403">
        <f>Gen!A37</f>
        <v>44192</v>
      </c>
      <c r="B29" s="405">
        <f>Gen!B37</f>
        <v>0</v>
      </c>
      <c r="C29" s="406">
        <f>'Summery Report'!E31</f>
        <v>0</v>
      </c>
      <c r="D29" s="407">
        <v>1</v>
      </c>
      <c r="E29" s="406">
        <f>Gen!S37</f>
        <v>0</v>
      </c>
      <c r="F29" s="406">
        <f>Gen!T37</f>
        <v>0</v>
      </c>
      <c r="G29" s="406">
        <f>'Water-Meter'!E32</f>
        <v>0</v>
      </c>
      <c r="H29" s="406">
        <f>'Utility report '!AC32</f>
        <v>0</v>
      </c>
      <c r="I29" s="406">
        <f>Gen!AJ37</f>
        <v>0</v>
      </c>
    </row>
    <row r="30" spans="1:9" ht="13.5">
      <c r="A30" s="403">
        <f>Gen!A38</f>
        <v>44193</v>
      </c>
      <c r="B30" s="405">
        <f>Gen!B38</f>
        <v>0</v>
      </c>
      <c r="C30" s="406">
        <f>'Summery Report'!E32</f>
        <v>0</v>
      </c>
      <c r="D30" s="407">
        <v>1</v>
      </c>
      <c r="E30" s="406">
        <f>Gen!S38</f>
        <v>0</v>
      </c>
      <c r="F30" s="406">
        <f>Gen!T38</f>
        <v>0</v>
      </c>
      <c r="G30" s="406">
        <f>'Water-Meter'!E33</f>
        <v>0</v>
      </c>
      <c r="H30" s="406">
        <f>'Utility report '!AC33</f>
        <v>0</v>
      </c>
      <c r="I30" s="406">
        <f>Gen!AJ38</f>
        <v>0</v>
      </c>
    </row>
    <row r="31" spans="1:9" ht="13.5">
      <c r="A31" s="403">
        <f>Gen!A39</f>
        <v>44194</v>
      </c>
      <c r="B31" s="405">
        <f>Gen!B39</f>
        <v>0</v>
      </c>
      <c r="C31" s="406">
        <f>'Summery Report'!E33</f>
        <v>0</v>
      </c>
      <c r="D31" s="407">
        <v>1</v>
      </c>
      <c r="E31" s="406">
        <f>Gen!S39</f>
        <v>0</v>
      </c>
      <c r="F31" s="406">
        <f>Gen!T39</f>
        <v>0</v>
      </c>
      <c r="G31" s="406">
        <f>'Water-Meter'!E34</f>
        <v>0</v>
      </c>
      <c r="H31" s="406">
        <f>'Utility report '!AC34</f>
        <v>0</v>
      </c>
      <c r="I31" s="406">
        <f>Gen!AJ39</f>
        <v>0</v>
      </c>
    </row>
    <row r="32" spans="1:9" ht="13.5">
      <c r="A32" s="403">
        <f>Gen!A40</f>
        <v>44195</v>
      </c>
      <c r="B32" s="405">
        <f>Gen!B40</f>
        <v>0</v>
      </c>
      <c r="C32" s="406">
        <f>'Summery Report'!E34</f>
        <v>0</v>
      </c>
      <c r="D32" s="407">
        <v>1</v>
      </c>
      <c r="E32" s="406">
        <f>Gen!S40</f>
        <v>0</v>
      </c>
      <c r="F32" s="406">
        <f>Gen!T40</f>
        <v>0</v>
      </c>
      <c r="G32" s="406">
        <f>'Water-Meter'!E35</f>
        <v>0</v>
      </c>
      <c r="H32" s="406">
        <f>'Utility report '!AC35</f>
        <v>0</v>
      </c>
      <c r="I32" s="406">
        <f>Gen!AJ40</f>
        <v>0</v>
      </c>
    </row>
    <row r="33" spans="1:9" ht="13.5">
      <c r="A33" s="403">
        <f>Gen!A41</f>
        <v>44196</v>
      </c>
      <c r="B33" s="405">
        <f>Gen!B41</f>
        <v>0</v>
      </c>
      <c r="C33" s="406">
        <f>'Summery Report'!E35</f>
        <v>0</v>
      </c>
      <c r="D33" s="407">
        <v>1</v>
      </c>
      <c r="E33" s="406">
        <f>Gen!S41</f>
        <v>0</v>
      </c>
      <c r="F33" s="406">
        <f>Gen!T41</f>
        <v>0</v>
      </c>
      <c r="G33" s="406">
        <f>'Water-Meter'!E36</f>
        <v>0</v>
      </c>
      <c r="H33" s="406">
        <f>'Utility report '!AC36</f>
        <v>0</v>
      </c>
      <c r="I33" s="406">
        <f>Gen!AJ41</f>
        <v>0</v>
      </c>
    </row>
    <row r="34" spans="1:9" ht="13.5">
      <c r="A34" s="403"/>
      <c r="B34" s="405">
        <f>Gen!B42</f>
        <v>0</v>
      </c>
      <c r="C34" s="406">
        <f>'Summery Report'!E36</f>
        <v>0</v>
      </c>
      <c r="D34" s="407">
        <v>2</v>
      </c>
      <c r="E34" s="406">
        <f>Gen!S42</f>
        <v>0</v>
      </c>
      <c r="F34" s="406">
        <f>Gen!T42</f>
        <v>0</v>
      </c>
      <c r="G34" s="406">
        <f>'Water-Meter'!E37</f>
        <v>0</v>
      </c>
      <c r="H34" s="406">
        <f>'Utility report '!AC37</f>
        <v>0</v>
      </c>
      <c r="I34" s="406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81" t="s">
        <v>0</v>
      </c>
      <c r="B4" s="782" t="s">
        <v>141</v>
      </c>
      <c r="C4" s="783" t="s">
        <v>248</v>
      </c>
      <c r="D4" s="839" t="s">
        <v>135</v>
      </c>
      <c r="E4" s="839"/>
      <c r="F4" s="839"/>
      <c r="G4" s="840" t="s">
        <v>20</v>
      </c>
      <c r="H4" s="840"/>
      <c r="I4" s="840"/>
      <c r="J4" s="841" t="s">
        <v>54</v>
      </c>
      <c r="K4" s="841"/>
      <c r="L4" s="841"/>
      <c r="M4" s="841"/>
      <c r="N4" s="842" t="s">
        <v>143</v>
      </c>
      <c r="O4" s="842"/>
      <c r="P4" s="842"/>
      <c r="Q4" s="784"/>
      <c r="R4" s="784"/>
      <c r="S4" s="785"/>
    </row>
    <row r="5" spans="1:19" ht="25.5">
      <c r="A5" s="786"/>
      <c r="B5" s="787"/>
      <c r="C5" s="788"/>
      <c r="D5" s="789" t="s">
        <v>136</v>
      </c>
      <c r="E5" s="789" t="s">
        <v>137</v>
      </c>
      <c r="F5" s="789" t="s">
        <v>121</v>
      </c>
      <c r="G5" s="790" t="s">
        <v>138</v>
      </c>
      <c r="H5" s="790" t="s">
        <v>19</v>
      </c>
      <c r="I5" s="791" t="s">
        <v>139</v>
      </c>
      <c r="J5" s="792" t="s">
        <v>142</v>
      </c>
      <c r="K5" s="792" t="s">
        <v>140</v>
      </c>
      <c r="L5" s="792" t="s">
        <v>140</v>
      </c>
      <c r="M5" s="793" t="s">
        <v>18</v>
      </c>
      <c r="N5" s="794" t="s">
        <v>144</v>
      </c>
      <c r="O5" s="794" t="s">
        <v>146</v>
      </c>
      <c r="P5" s="795" t="s">
        <v>145</v>
      </c>
      <c r="Q5" s="796" t="s">
        <v>148</v>
      </c>
      <c r="R5" s="796" t="s">
        <v>147</v>
      </c>
      <c r="S5" s="797" t="s">
        <v>149</v>
      </c>
    </row>
    <row r="6" spans="1:19" ht="14.25">
      <c r="A6" s="452">
        <f>Gen!A11</f>
        <v>44166</v>
      </c>
      <c r="B6" s="6">
        <f>'Summery Report'!E5</f>
        <v>7.79</v>
      </c>
      <c r="C6" s="6">
        <f>Gen!U11</f>
        <v>0.41247028862478774</v>
      </c>
      <c r="D6" s="152">
        <f>Gen!T11</f>
        <v>2356</v>
      </c>
      <c r="E6" s="152">
        <f>Gen!AK11</f>
        <v>0</v>
      </c>
      <c r="F6" s="152">
        <f>Gen!AS11</f>
        <v>0</v>
      </c>
      <c r="G6" s="153">
        <f>'Utility report '!AC6</f>
        <v>40</v>
      </c>
      <c r="H6" s="153">
        <f>'Utility report '!AE6</f>
        <v>36</v>
      </c>
      <c r="I6" s="296">
        <f>'Water-Meter'!E6</f>
        <v>55</v>
      </c>
      <c r="J6" s="154">
        <f>'Lpg (2)'!B10</f>
        <v>85</v>
      </c>
      <c r="K6" s="154">
        <f>'Lpg (2)'!C10</f>
        <v>0</v>
      </c>
      <c r="L6" s="154">
        <f>'Lpg (2)'!D10</f>
        <v>84</v>
      </c>
      <c r="M6" s="451">
        <f>'Lpg (2)'!G10</f>
        <v>323055.43600000005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3" t="e">
        <f t="shared" ref="S6:S37" si="1">Q6/B6</f>
        <v>#REF!</v>
      </c>
    </row>
    <row r="7" spans="1:19" ht="14.25">
      <c r="A7" s="452">
        <f>Gen!A12</f>
        <v>44167</v>
      </c>
      <c r="B7" s="6">
        <f>'Summery Report'!E6</f>
        <v>9.09</v>
      </c>
      <c r="C7" s="6">
        <f>Gen!U12</f>
        <v>0.42259678120922139</v>
      </c>
      <c r="D7" s="152">
        <f>Gen!T12</f>
        <v>2299</v>
      </c>
      <c r="E7" s="152">
        <f>Gen!AK12</f>
        <v>0</v>
      </c>
      <c r="F7" s="152">
        <f>Gen!AS12</f>
        <v>0</v>
      </c>
      <c r="G7" s="153">
        <f>'Utility report '!AC7</f>
        <v>39</v>
      </c>
      <c r="H7" s="153">
        <f>'Utility report '!AE7</f>
        <v>44</v>
      </c>
      <c r="I7" s="296">
        <f>'Water-Meter'!E7</f>
        <v>75</v>
      </c>
      <c r="J7" s="154">
        <f>'Lpg (2)'!B11</f>
        <v>85</v>
      </c>
      <c r="K7" s="154">
        <f>'Lpg (2)'!C11</f>
        <v>0</v>
      </c>
      <c r="L7" s="154">
        <f>'Lpg (2)'!D11</f>
        <v>82</v>
      </c>
      <c r="M7" s="451">
        <f>'Lpg (2)'!G11</f>
        <v>77.395999999984639</v>
      </c>
      <c r="N7" s="151">
        <f>D7*1.4</f>
        <v>3218.6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354.08140814081406</v>
      </c>
      <c r="S7" s="453" t="e">
        <f t="shared" si="1"/>
        <v>#REF!</v>
      </c>
    </row>
    <row r="8" spans="1:19" ht="14.25">
      <c r="A8" s="452">
        <f>Gen!A13</f>
        <v>44168</v>
      </c>
      <c r="B8" s="6">
        <f>'Summery Report'!E7</f>
        <v>1.3</v>
      </c>
      <c r="C8" s="6">
        <f>Gen!U13</f>
        <v>0.41857022708158115</v>
      </c>
      <c r="D8" s="152">
        <f>Gen!T13</f>
        <v>2378</v>
      </c>
      <c r="E8" s="152">
        <f>Gen!AK13</f>
        <v>0</v>
      </c>
      <c r="F8" s="152">
        <f>Gen!AS13</f>
        <v>0</v>
      </c>
      <c r="G8" s="153">
        <f>'Utility report '!AC8</f>
        <v>38</v>
      </c>
      <c r="H8" s="153">
        <f>'Utility report '!AE8</f>
        <v>28</v>
      </c>
      <c r="I8" s="296">
        <f>'Water-Meter'!E8</f>
        <v>59</v>
      </c>
      <c r="J8" s="154">
        <f>'Lpg (2)'!B12</f>
        <v>85</v>
      </c>
      <c r="K8" s="154">
        <f>'Lpg (2)'!C12</f>
        <v>0</v>
      </c>
      <c r="L8" s="154">
        <f>'Lpg (2)'!D12</f>
        <v>80</v>
      </c>
      <c r="M8" s="451">
        <f>'Lpg (2)'!G12</f>
        <v>70.9720000000205</v>
      </c>
      <c r="N8" s="151">
        <f t="shared" ref="N8:O36" si="2">D8*1.4</f>
        <v>3329.2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2560.9230769230767</v>
      </c>
      <c r="S8" s="453" t="e">
        <f t="shared" si="1"/>
        <v>#REF!</v>
      </c>
    </row>
    <row r="9" spans="1:19" ht="14.25">
      <c r="A9" s="452">
        <f>Gen!A14</f>
        <v>44169</v>
      </c>
      <c r="B9" s="6">
        <f>'Summery Report'!E8</f>
        <v>1.3</v>
      </c>
      <c r="C9" s="6">
        <f>Gen!U14</f>
        <v>0.41642429820524618</v>
      </c>
      <c r="D9" s="152">
        <f>Gen!T14</f>
        <v>2173</v>
      </c>
      <c r="E9" s="152">
        <f>Gen!AK14</f>
        <v>0</v>
      </c>
      <c r="F9" s="152">
        <f>Gen!AS14</f>
        <v>0</v>
      </c>
      <c r="G9" s="153">
        <f>'Utility report '!AC9</f>
        <v>37</v>
      </c>
      <c r="H9" s="153">
        <f>'Utility report '!AE9</f>
        <v>29</v>
      </c>
      <c r="I9" s="296">
        <f>'Water-Meter'!E9</f>
        <v>49</v>
      </c>
      <c r="J9" s="154">
        <f>'Lpg (2)'!B13</f>
        <v>85</v>
      </c>
      <c r="K9" s="154">
        <f>'Lpg (2)'!C13</f>
        <v>0</v>
      </c>
      <c r="L9" s="154">
        <f>'Lpg (2)'!D13</f>
        <v>78</v>
      </c>
      <c r="M9" s="451">
        <f>'Lpg (2)'!G13</f>
        <v>79.904000000015373</v>
      </c>
      <c r="N9" s="151">
        <f t="shared" si="2"/>
        <v>3042.2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2340.1538461538457</v>
      </c>
      <c r="S9" s="453" t="e">
        <f t="shared" si="1"/>
        <v>#REF!</v>
      </c>
    </row>
    <row r="10" spans="1:19" ht="14.25">
      <c r="A10" s="452">
        <f>Gen!A15</f>
        <v>44170</v>
      </c>
      <c r="B10" s="6">
        <f>'Summery Report'!E9</f>
        <v>0</v>
      </c>
      <c r="C10" s="6">
        <f>Gen!U15</f>
        <v>0.40490401396160558</v>
      </c>
      <c r="D10" s="152">
        <f>Gen!T15</f>
        <v>2292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35</v>
      </c>
      <c r="I10" s="296">
        <f>'Water-Meter'!E10</f>
        <v>60</v>
      </c>
      <c r="J10" s="154">
        <f>'Lpg (2)'!B14</f>
        <v>85</v>
      </c>
      <c r="K10" s="154">
        <f>'Lpg (2)'!C14</f>
        <v>0</v>
      </c>
      <c r="L10" s="154">
        <f>'Lpg (2)'!D14</f>
        <v>77</v>
      </c>
      <c r="M10" s="451">
        <f>'Lpg (2)'!G14</f>
        <v>90.859999999974391</v>
      </c>
      <c r="N10" s="151">
        <f t="shared" si="2"/>
        <v>3208.7999999999997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3" t="e">
        <f t="shared" si="1"/>
        <v>#REF!</v>
      </c>
    </row>
    <row r="11" spans="1:19" ht="14.25">
      <c r="A11" s="452">
        <f>Gen!A16</f>
        <v>44171</v>
      </c>
      <c r="B11" s="6">
        <f>'Summery Report'!E10</f>
        <v>1.3</v>
      </c>
      <c r="C11" s="6">
        <f>Gen!U16</f>
        <v>0.42626947368421053</v>
      </c>
      <c r="D11" s="152">
        <f>Gen!T16</f>
        <v>2375</v>
      </c>
      <c r="E11" s="152">
        <f>Gen!AK16</f>
        <v>0</v>
      </c>
      <c r="F11" s="152">
        <f>Gen!AS16</f>
        <v>0</v>
      </c>
      <c r="G11" s="153">
        <f>'Utility report '!AC11</f>
        <v>35</v>
      </c>
      <c r="H11" s="153">
        <f>'Utility report '!AE11</f>
        <v>30</v>
      </c>
      <c r="I11" s="296">
        <f>'Water-Meter'!E11</f>
        <v>51</v>
      </c>
      <c r="J11" s="154">
        <f>'Lpg (2)'!B15</f>
        <v>85</v>
      </c>
      <c r="K11" s="154">
        <f>'Lpg (2)'!C15</f>
        <v>0</v>
      </c>
      <c r="L11" s="154">
        <f>'Lpg (2)'!D15</f>
        <v>73</v>
      </c>
      <c r="M11" s="451">
        <f>'Lpg (2)'!G15</f>
        <v>97.063999999989761</v>
      </c>
      <c r="N11" s="151">
        <f t="shared" si="2"/>
        <v>3325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2557.6923076923076</v>
      </c>
      <c r="S11" s="453" t="e">
        <f t="shared" si="1"/>
        <v>#REF!</v>
      </c>
    </row>
    <row r="12" spans="1:19" ht="14.25">
      <c r="A12" s="452">
        <f>Gen!A17</f>
        <v>44172</v>
      </c>
      <c r="B12" s="6">
        <f>'Summery Report'!E11</f>
        <v>1.3</v>
      </c>
      <c r="C12" s="6">
        <f>Gen!U17</f>
        <v>0.41271040138109627</v>
      </c>
      <c r="D12" s="152">
        <f>Gen!T17</f>
        <v>2317</v>
      </c>
      <c r="E12" s="152">
        <f>Gen!AK17</f>
        <v>0</v>
      </c>
      <c r="F12" s="152">
        <f>Gen!AS17</f>
        <v>0</v>
      </c>
      <c r="G12" s="153">
        <f>'Utility report '!AC12</f>
        <v>34</v>
      </c>
      <c r="H12" s="153">
        <f>'Utility report '!AE12</f>
        <v>38</v>
      </c>
      <c r="I12" s="296">
        <f>'Water-Meter'!E12</f>
        <v>43</v>
      </c>
      <c r="J12" s="154">
        <f>'Lpg (2)'!B16</f>
        <v>85</v>
      </c>
      <c r="K12" s="154">
        <f>'Lpg (2)'!C16</f>
        <v>0</v>
      </c>
      <c r="L12" s="154">
        <f>'Lpg (2)'!D16</f>
        <v>69</v>
      </c>
      <c r="M12" s="451">
        <f>'Lpg (2)'!G16</f>
        <v>52.888000000017932</v>
      </c>
      <c r="N12" s="151">
        <f t="shared" si="2"/>
        <v>3243.7999999999997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2495.2307692307691</v>
      </c>
      <c r="S12" s="453" t="e">
        <f t="shared" si="1"/>
        <v>#REF!</v>
      </c>
    </row>
    <row r="13" spans="1:19" ht="14.25">
      <c r="A13" s="452">
        <f>Gen!A18</f>
        <v>44173</v>
      </c>
      <c r="B13" s="6">
        <f>'Summery Report'!E12</f>
        <v>1.3</v>
      </c>
      <c r="C13" s="6">
        <f>Gen!U18</f>
        <v>0.42044398340248962</v>
      </c>
      <c r="D13" s="152">
        <f>Gen!T18</f>
        <v>2410</v>
      </c>
      <c r="E13" s="152">
        <f>Gen!AK18</f>
        <v>0</v>
      </c>
      <c r="F13" s="152">
        <f>Gen!AS18</f>
        <v>0</v>
      </c>
      <c r="G13" s="153">
        <f>'Utility report '!AC13</f>
        <v>35</v>
      </c>
      <c r="H13" s="153">
        <f>'Utility report '!AE13</f>
        <v>33</v>
      </c>
      <c r="I13" s="296">
        <f>'Water-Meter'!E13</f>
        <v>44</v>
      </c>
      <c r="J13" s="154">
        <f>'Lpg (2)'!B17</f>
        <v>85</v>
      </c>
      <c r="K13" s="154">
        <f>'Lpg (2)'!C17</f>
        <v>0</v>
      </c>
      <c r="L13" s="154">
        <f>'Lpg (2)'!D17</f>
        <v>67</v>
      </c>
      <c r="M13" s="451">
        <f>'Lpg (2)'!G17</f>
        <v>51.875999999971832</v>
      </c>
      <c r="N13" s="151">
        <f t="shared" si="2"/>
        <v>3374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2595.3846153846152</v>
      </c>
      <c r="S13" s="453" t="e">
        <f t="shared" si="1"/>
        <v>#REF!</v>
      </c>
    </row>
    <row r="14" spans="1:19" ht="14.25">
      <c r="A14" s="452">
        <f>Gen!A19</f>
        <v>44174</v>
      </c>
      <c r="B14" s="6">
        <f>'Summery Report'!E13</f>
        <v>1.3</v>
      </c>
      <c r="C14" s="6">
        <f>Gen!U19</f>
        <v>0.41245206038351689</v>
      </c>
      <c r="D14" s="152">
        <f>Gen!T19</f>
        <v>2451</v>
      </c>
      <c r="E14" s="152">
        <f>Gen!AK19</f>
        <v>0</v>
      </c>
      <c r="F14" s="152">
        <f>Gen!AS19</f>
        <v>0</v>
      </c>
      <c r="G14" s="153">
        <f>'Utility report '!AC14</f>
        <v>31</v>
      </c>
      <c r="H14" s="153">
        <f>'Utility report '!AE14</f>
        <v>35</v>
      </c>
      <c r="I14" s="296">
        <f>'Water-Meter'!E14</f>
        <v>63</v>
      </c>
      <c r="J14" s="154">
        <f>'Lpg (2)'!B18</f>
        <v>85</v>
      </c>
      <c r="K14" s="154">
        <f>'Lpg (2)'!C18</f>
        <v>0</v>
      </c>
      <c r="L14" s="154">
        <f>'Lpg (2)'!D18</f>
        <v>41</v>
      </c>
      <c r="M14" s="451">
        <f>'Lpg (2)'!G18</f>
        <v>52.404000000015373</v>
      </c>
      <c r="N14" s="151">
        <f t="shared" si="2"/>
        <v>3431.3999999999996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2639.538461538461</v>
      </c>
      <c r="S14" s="453" t="e">
        <f t="shared" si="1"/>
        <v>#REF!</v>
      </c>
    </row>
    <row r="15" spans="1:19" ht="14.25">
      <c r="A15" s="452">
        <f>Gen!A20</f>
        <v>44175</v>
      </c>
      <c r="B15" s="6">
        <f>'Summery Report'!E14</f>
        <v>2.6</v>
      </c>
      <c r="C15" s="6">
        <f>Gen!U20</f>
        <v>0.43839877091157392</v>
      </c>
      <c r="D15" s="152">
        <f>Gen!T20</f>
        <v>2929</v>
      </c>
      <c r="E15" s="152">
        <f>Gen!AK20</f>
        <v>0</v>
      </c>
      <c r="F15" s="152">
        <f>Gen!AS20</f>
        <v>0</v>
      </c>
      <c r="G15" s="153">
        <f>'Utility report '!AC15</f>
        <v>29</v>
      </c>
      <c r="H15" s="153">
        <f>'Utility report '!AE15</f>
        <v>39</v>
      </c>
      <c r="I15" s="296">
        <f>'Water-Meter'!E15</f>
        <v>61</v>
      </c>
      <c r="J15" s="154">
        <f>'Lpg (2)'!B19</f>
        <v>85</v>
      </c>
      <c r="K15" s="154">
        <f>'Lpg (2)'!C19</f>
        <v>0</v>
      </c>
      <c r="L15" s="154">
        <f>'Lpg (2)'!D19</f>
        <v>35</v>
      </c>
      <c r="M15" s="451">
        <f>'Lpg (2)'!G19</f>
        <v>69.124000000028175</v>
      </c>
      <c r="N15" s="151">
        <f t="shared" si="2"/>
        <v>4100.5999999999995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1577.153846153846</v>
      </c>
      <c r="S15" s="453" t="e">
        <f t="shared" si="1"/>
        <v>#REF!</v>
      </c>
    </row>
    <row r="16" spans="1:19" ht="14.25">
      <c r="A16" s="452">
        <f>Gen!A21</f>
        <v>44176</v>
      </c>
      <c r="B16" s="6">
        <f>'Summery Report'!E15</f>
        <v>22.08</v>
      </c>
      <c r="C16" s="6">
        <f>Gen!U21</f>
        <v>0.3939967637540453</v>
      </c>
      <c r="D16" s="152">
        <f>Gen!T21</f>
        <v>3090</v>
      </c>
      <c r="E16" s="152">
        <f>Gen!AK21</f>
        <v>0</v>
      </c>
      <c r="F16" s="152">
        <f>Gen!AS21</f>
        <v>0</v>
      </c>
      <c r="G16" s="153">
        <f>'Utility report '!AC16</f>
        <v>28</v>
      </c>
      <c r="H16" s="153">
        <f>'Utility report '!AE16</f>
        <v>53</v>
      </c>
      <c r="I16" s="296">
        <f>'Water-Meter'!E16</f>
        <v>62</v>
      </c>
      <c r="J16" s="154">
        <f>'Lpg (2)'!B20</f>
        <v>85</v>
      </c>
      <c r="K16" s="154">
        <f>'Lpg (2)'!C20</f>
        <v>0</v>
      </c>
      <c r="L16" s="154">
        <f>'Lpg (2)'!D20</f>
        <v>30</v>
      </c>
      <c r="M16" s="451">
        <f>'Lpg (2)'!G20</f>
        <v>87.955999999959033</v>
      </c>
      <c r="N16" s="151">
        <f t="shared" si="2"/>
        <v>4326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195.92391304347828</v>
      </c>
      <c r="S16" s="453" t="e">
        <f t="shared" si="1"/>
        <v>#REF!</v>
      </c>
    </row>
    <row r="17" spans="1:19" ht="14.25">
      <c r="A17" s="452">
        <f>Gen!A22</f>
        <v>44177</v>
      </c>
      <c r="B17" s="6">
        <f>'Summery Report'!E16</f>
        <v>23.38</v>
      </c>
      <c r="C17" s="6">
        <f>Gen!U22</f>
        <v>0.39340488771466314</v>
      </c>
      <c r="D17" s="152">
        <f>Gen!T22</f>
        <v>3028</v>
      </c>
      <c r="E17" s="152">
        <f>Gen!AK22</f>
        <v>0</v>
      </c>
      <c r="F17" s="152">
        <f>Gen!AS22</f>
        <v>0</v>
      </c>
      <c r="G17" s="153">
        <f>'Utility report '!AC17</f>
        <v>27</v>
      </c>
      <c r="H17" s="153">
        <f>'Utility report '!AE17</f>
        <v>49</v>
      </c>
      <c r="I17" s="296">
        <f>'Water-Meter'!E17</f>
        <v>54</v>
      </c>
      <c r="J17" s="154">
        <f>'Lpg (2)'!B21</f>
        <v>85</v>
      </c>
      <c r="K17" s="154">
        <f>'Lpg (2)'!C22</f>
        <v>0</v>
      </c>
      <c r="L17" s="154">
        <f>'Lpg (2)'!D21</f>
        <v>25</v>
      </c>
      <c r="M17" s="451">
        <f>'Lpg (2)'!G21</f>
        <v>92.004000000015381</v>
      </c>
      <c r="N17" s="151">
        <f t="shared" si="2"/>
        <v>4239.2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181.31736526946108</v>
      </c>
      <c r="S17" s="453" t="e">
        <f t="shared" si="1"/>
        <v>#REF!</v>
      </c>
    </row>
    <row r="18" spans="1:19" ht="14.25">
      <c r="A18" s="452">
        <f>Gen!A23</f>
        <v>44178</v>
      </c>
      <c r="B18" s="6">
        <f>'Summery Report'!E17</f>
        <v>20.78</v>
      </c>
      <c r="C18" s="6">
        <f>Gen!U23</f>
        <v>0.41456570155902001</v>
      </c>
      <c r="D18" s="152">
        <f>Gen!T23</f>
        <v>2694</v>
      </c>
      <c r="E18" s="152">
        <f>Gen!AK23</f>
        <v>0</v>
      </c>
      <c r="F18" s="152">
        <f>Gen!AS23</f>
        <v>0</v>
      </c>
      <c r="G18" s="153">
        <f>'Utility report '!AC18</f>
        <v>40</v>
      </c>
      <c r="H18" s="153">
        <f>'Utility report '!AE18</f>
        <v>41</v>
      </c>
      <c r="I18" s="296">
        <f>'Water-Meter'!E18</f>
        <v>56</v>
      </c>
      <c r="J18" s="154">
        <f>'Lpg (2)'!B22</f>
        <v>85</v>
      </c>
      <c r="K18" s="154">
        <f>'Lpg (2)'!C23</f>
        <v>0</v>
      </c>
      <c r="L18" s="154">
        <f>'Lpg (2)'!D22</f>
        <v>20</v>
      </c>
      <c r="M18" s="451">
        <f>'Lpg (2)'!G22</f>
        <v>83.731999999994883</v>
      </c>
      <c r="N18" s="151">
        <f t="shared" si="2"/>
        <v>3771.6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181.50144369586138</v>
      </c>
      <c r="S18" s="453" t="e">
        <f t="shared" si="1"/>
        <v>#REF!</v>
      </c>
    </row>
    <row r="19" spans="1:19" ht="14.25">
      <c r="A19" s="452">
        <f>Gen!A24</f>
        <v>44179</v>
      </c>
      <c r="B19" s="6">
        <f>'Summery Report'!E18</f>
        <v>2.6</v>
      </c>
      <c r="C19" s="6">
        <f>Gen!U24</f>
        <v>0.40323655913978496</v>
      </c>
      <c r="D19" s="152">
        <f>Gen!T24</f>
        <v>2790</v>
      </c>
      <c r="E19" s="152">
        <f>Gen!AK24</f>
        <v>0</v>
      </c>
      <c r="F19" s="152">
        <f>Gen!AS24</f>
        <v>0</v>
      </c>
      <c r="G19" s="153">
        <f>'Utility report '!AC19</f>
        <v>28</v>
      </c>
      <c r="H19" s="153">
        <f>'Utility report '!AE19</f>
        <v>41</v>
      </c>
      <c r="I19" s="296">
        <f>'Water-Meter'!E19</f>
        <v>60</v>
      </c>
      <c r="J19" s="154">
        <f>'Lpg (2)'!B23</f>
        <v>85</v>
      </c>
      <c r="K19" s="154">
        <f>'Lpg (2)'!C24</f>
        <v>0</v>
      </c>
      <c r="L19" s="154">
        <f>'Lpg (2)'!D23</f>
        <v>15</v>
      </c>
      <c r="M19" s="451">
        <f>'Lpg (2)'!G23</f>
        <v>62.215999999997443</v>
      </c>
      <c r="N19" s="151">
        <f t="shared" si="2"/>
        <v>3905.9999999999995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1502.3076923076922</v>
      </c>
      <c r="S19" s="453" t="e">
        <f t="shared" si="1"/>
        <v>#REF!</v>
      </c>
    </row>
    <row r="20" spans="1:19" ht="14.25">
      <c r="A20" s="452">
        <f>Gen!A25</f>
        <v>44180</v>
      </c>
      <c r="B20" s="6">
        <f>'Summery Report'!E19</f>
        <v>6.49</v>
      </c>
      <c r="C20" s="6">
        <f>Gen!U25</f>
        <v>0.40346878463243446</v>
      </c>
      <c r="D20" s="152">
        <f>Gen!T25</f>
        <v>2707</v>
      </c>
      <c r="E20" s="152">
        <f>Gen!AK25</f>
        <v>0</v>
      </c>
      <c r="F20" s="152">
        <f>Gen!AS25</f>
        <v>0</v>
      </c>
      <c r="G20" s="153">
        <f>'Utility report '!AC20</f>
        <v>13</v>
      </c>
      <c r="H20" s="153">
        <f>'Utility report '!AE20</f>
        <v>42</v>
      </c>
      <c r="I20" s="296">
        <f>'Water-Meter'!E20</f>
        <v>74</v>
      </c>
      <c r="J20" s="154">
        <f>'Lpg (2)'!B24</f>
        <v>85</v>
      </c>
      <c r="K20" s="154">
        <f>'Lpg (2)'!C25</f>
        <v>0</v>
      </c>
      <c r="L20" s="154">
        <f>'Lpg (2)'!D24</f>
        <v>13</v>
      </c>
      <c r="M20" s="451">
        <f>'Lpg (2)'!G24</f>
        <v>60.147999999992322</v>
      </c>
      <c r="N20" s="151">
        <f t="shared" si="2"/>
        <v>3789.7999999999997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583.94453004622494</v>
      </c>
      <c r="S20" s="453" t="e">
        <f t="shared" si="1"/>
        <v>#REF!</v>
      </c>
    </row>
    <row r="21" spans="1:19" ht="14.25">
      <c r="A21" s="452">
        <f>Gen!A26</f>
        <v>44181</v>
      </c>
      <c r="B21" s="6">
        <f>'Summery Report'!E20</f>
        <v>7.49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-42422</v>
      </c>
      <c r="H21" s="153">
        <f>'Utility report '!AE21</f>
        <v>-208396</v>
      </c>
      <c r="I21" s="296" t="str">
        <f>'Water-Meter'!E21</f>
        <v>0</v>
      </c>
      <c r="J21" s="154">
        <f>'Lpg (2)'!B25</f>
        <v>85</v>
      </c>
      <c r="K21" s="154">
        <f>'Lpg (2)'!C25</f>
        <v>0</v>
      </c>
      <c r="L21" s="154">
        <f>'Lpg (2)'!D25</f>
        <v>9</v>
      </c>
      <c r="M21" s="451">
        <f>'Lpg (2)'!G25</f>
        <v>69.563999999989761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0</v>
      </c>
      <c r="S21" s="453" t="e">
        <f t="shared" si="1"/>
        <v>#REF!</v>
      </c>
    </row>
    <row r="22" spans="1:19" ht="14.25">
      <c r="A22" s="452">
        <f>Gen!A27</f>
        <v>44182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51">
        <f>'Lpg (2)'!G26</f>
        <v>-324153.54399999999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3" t="e">
        <f t="shared" si="1"/>
        <v>#REF!</v>
      </c>
    </row>
    <row r="23" spans="1:19" ht="14.25">
      <c r="A23" s="452">
        <f>Gen!A28</f>
        <v>44183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51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3" t="e">
        <f t="shared" si="1"/>
        <v>#REF!</v>
      </c>
    </row>
    <row r="24" spans="1:19" ht="14.25">
      <c r="A24" s="452">
        <f>Gen!A29</f>
        <v>44184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51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3" t="e">
        <f t="shared" si="1"/>
        <v>#REF!</v>
      </c>
    </row>
    <row r="25" spans="1:19" ht="14.25">
      <c r="A25" s="452">
        <f>Gen!A30</f>
        <v>44185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51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3" t="e">
        <f t="shared" si="1"/>
        <v>#REF!</v>
      </c>
    </row>
    <row r="26" spans="1:19" ht="14.25">
      <c r="A26" s="452">
        <f>Gen!A31</f>
        <v>44186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51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3" t="e">
        <f t="shared" si="1"/>
        <v>#REF!</v>
      </c>
    </row>
    <row r="27" spans="1:19" ht="14.25">
      <c r="A27" s="452">
        <f>Gen!A32</f>
        <v>44187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51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3" t="e">
        <f t="shared" si="1"/>
        <v>#REF!</v>
      </c>
    </row>
    <row r="28" spans="1:19" ht="14.25">
      <c r="A28" s="452">
        <f>Gen!A33</f>
        <v>44188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51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3" t="e">
        <f t="shared" si="1"/>
        <v>#REF!</v>
      </c>
    </row>
    <row r="29" spans="1:19" ht="14.25">
      <c r="A29" s="452">
        <f>Gen!A34</f>
        <v>44189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51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3" t="e">
        <f t="shared" si="1"/>
        <v>#REF!</v>
      </c>
    </row>
    <row r="30" spans="1:19" ht="14.25">
      <c r="A30" s="452">
        <f>Gen!A35</f>
        <v>44190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51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3" t="e">
        <f t="shared" si="1"/>
        <v>#REF!</v>
      </c>
    </row>
    <row r="31" spans="1:19" ht="14.25">
      <c r="A31" s="452">
        <f>Gen!A36</f>
        <v>44191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51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3" t="e">
        <f t="shared" si="1"/>
        <v>#REF!</v>
      </c>
    </row>
    <row r="32" spans="1:19" ht="14.25">
      <c r="A32" s="452">
        <f>Gen!A37</f>
        <v>44192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51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3" t="e">
        <f t="shared" si="1"/>
        <v>#REF!</v>
      </c>
    </row>
    <row r="33" spans="1:19" ht="14.25">
      <c r="A33" s="452">
        <f>Gen!A38</f>
        <v>44193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51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3" t="e">
        <f t="shared" si="1"/>
        <v>#REF!</v>
      </c>
    </row>
    <row r="34" spans="1:19" ht="14.25">
      <c r="A34" s="452">
        <f>Gen!A39</f>
        <v>44194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51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3" t="e">
        <f t="shared" si="1"/>
        <v>#REF!</v>
      </c>
    </row>
    <row r="35" spans="1:19" ht="14.25">
      <c r="A35" s="452">
        <f>Gen!A40</f>
        <v>44195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51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3" t="e">
        <f t="shared" si="1"/>
        <v>#REF!</v>
      </c>
    </row>
    <row r="36" spans="1:19" ht="14.25">
      <c r="A36" s="452">
        <f>Gen!A41</f>
        <v>44196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51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3" t="e">
        <f t="shared" si="1"/>
        <v>#REF!</v>
      </c>
    </row>
    <row r="37" spans="1:19" ht="14.25">
      <c r="A37" s="452">
        <f>Gen!A42</f>
        <v>44197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51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3" t="e">
        <f t="shared" si="1"/>
        <v>#REF!</v>
      </c>
    </row>
    <row r="38" spans="1:19" ht="14.25">
      <c r="A38" s="45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4"/>
    </row>
    <row r="39" spans="1:19" ht="13.5" thickBot="1">
      <c r="A39" s="54" t="s">
        <v>13</v>
      </c>
      <c r="B39" s="455">
        <f>SUM(B7:B37)</f>
        <v>102.30999999999999</v>
      </c>
      <c r="C39" s="455" t="e">
        <f>SUM(C7:C35)</f>
        <v>#DIV/0!</v>
      </c>
      <c r="D39" s="455">
        <f>SUM(D7:D35)</f>
        <v>35933</v>
      </c>
      <c r="E39" s="455">
        <f t="shared" ref="E39:S39" si="3">SUM(E7:E35)</f>
        <v>0</v>
      </c>
      <c r="F39" s="455">
        <f t="shared" si="3"/>
        <v>0</v>
      </c>
      <c r="G39" s="455">
        <f t="shared" si="3"/>
        <v>-41972</v>
      </c>
      <c r="H39" s="455">
        <f t="shared" si="3"/>
        <v>-207859</v>
      </c>
      <c r="I39" s="455">
        <f t="shared" si="3"/>
        <v>811</v>
      </c>
      <c r="J39" s="455">
        <f t="shared" si="3"/>
        <v>1275</v>
      </c>
      <c r="K39" s="455">
        <f t="shared" si="3"/>
        <v>0</v>
      </c>
      <c r="L39" s="455">
        <f t="shared" si="3"/>
        <v>714</v>
      </c>
      <c r="M39" s="455">
        <f t="shared" si="3"/>
        <v>-323055.43600000005</v>
      </c>
      <c r="N39" s="455">
        <f t="shared" si="3"/>
        <v>50306.2</v>
      </c>
      <c r="O39" s="455">
        <f t="shared" si="3"/>
        <v>0</v>
      </c>
      <c r="P39" s="455" t="e">
        <f t="shared" si="3"/>
        <v>#REF!</v>
      </c>
      <c r="Q39" s="455" t="e">
        <f t="shared" si="3"/>
        <v>#REF!</v>
      </c>
      <c r="R39" s="455" t="e">
        <f t="shared" si="3"/>
        <v>#DIV/0!</v>
      </c>
      <c r="S39" s="456" t="e">
        <f t="shared" si="3"/>
        <v>#REF!</v>
      </c>
    </row>
    <row r="42" spans="1:19">
      <c r="I42" s="523"/>
    </row>
    <row r="43" spans="1:19">
      <c r="I43" s="523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3" zoomScalePageLayoutView="85" workbookViewId="0">
      <pane xSplit="1" topLeftCell="M1" activePane="topRight" state="frozen"/>
      <selection pane="topRight" activeCell="AD33" sqref="AD3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0" t="s">
        <v>323</v>
      </c>
      <c r="B1" s="851"/>
      <c r="C1" s="851"/>
      <c r="D1" s="851"/>
      <c r="E1" s="851"/>
      <c r="F1" s="851"/>
      <c r="G1" s="851"/>
      <c r="H1" s="851"/>
      <c r="I1" s="851"/>
      <c r="J1" s="852"/>
      <c r="K1" s="852"/>
      <c r="L1" s="852"/>
      <c r="M1" s="852"/>
      <c r="N1" s="852"/>
      <c r="O1" s="851"/>
      <c r="P1" s="851"/>
      <c r="Q1" s="851"/>
      <c r="R1" s="851"/>
      <c r="S1" s="851"/>
      <c r="T1" s="851"/>
      <c r="U1" s="851"/>
      <c r="V1" s="851"/>
      <c r="W1" s="851"/>
      <c r="X1" s="851"/>
      <c r="Y1" s="851"/>
      <c r="Z1" s="851"/>
      <c r="AA1" s="851"/>
      <c r="AB1" s="851"/>
      <c r="AC1" s="851"/>
      <c r="AD1" s="851"/>
      <c r="AE1" s="851"/>
      <c r="AF1" s="851"/>
      <c r="AG1" s="851"/>
      <c r="AH1" s="851"/>
      <c r="AI1" s="851"/>
      <c r="AJ1" s="851"/>
      <c r="AK1" s="853"/>
    </row>
    <row r="2" spans="1:37" ht="61.5" customHeight="1" thickBot="1">
      <c r="A2" s="137" t="s">
        <v>98</v>
      </c>
      <c r="B2" s="854" t="s">
        <v>99</v>
      </c>
      <c r="C2" s="855"/>
      <c r="D2" s="856"/>
      <c r="E2" s="138"/>
      <c r="F2" s="138"/>
      <c r="G2" s="138"/>
      <c r="H2" s="135" t="s">
        <v>124</v>
      </c>
      <c r="I2" s="752" t="s">
        <v>100</v>
      </c>
      <c r="J2" s="754" t="s">
        <v>122</v>
      </c>
      <c r="K2" s="755"/>
      <c r="L2" s="756" t="s">
        <v>123</v>
      </c>
      <c r="M2" s="623" t="s">
        <v>101</v>
      </c>
      <c r="N2" s="284" t="s">
        <v>102</v>
      </c>
      <c r="O2" s="843" t="s">
        <v>103</v>
      </c>
      <c r="P2" s="843"/>
      <c r="Q2" s="843"/>
      <c r="R2" s="843"/>
      <c r="S2" s="843"/>
      <c r="T2" s="843"/>
      <c r="U2" s="843"/>
      <c r="V2" s="843"/>
      <c r="W2" s="843"/>
      <c r="X2" s="843"/>
      <c r="Y2" s="843"/>
      <c r="Z2" s="843"/>
      <c r="AA2" s="284" t="s">
        <v>104</v>
      </c>
      <c r="AB2" s="854" t="s">
        <v>164</v>
      </c>
      <c r="AC2" s="856"/>
      <c r="AD2" s="134">
        <v>0</v>
      </c>
      <c r="AE2" s="401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7">
        <f>SUM(D3/B3)</f>
        <v>1.3262195121951219</v>
      </c>
      <c r="G3" s="858"/>
      <c r="H3" s="127">
        <f>Gen!C11</f>
        <v>33526.22</v>
      </c>
      <c r="I3" s="624"/>
      <c r="J3" s="757"/>
      <c r="K3" s="758" t="s">
        <v>165</v>
      </c>
      <c r="L3" s="757"/>
      <c r="M3" s="626" t="s">
        <v>111</v>
      </c>
      <c r="N3" s="757"/>
      <c r="O3" s="843" t="s">
        <v>112</v>
      </c>
      <c r="P3" s="843"/>
      <c r="Q3" s="843"/>
      <c r="R3" s="843"/>
      <c r="S3" s="844" t="s">
        <v>113</v>
      </c>
      <c r="T3" s="845"/>
      <c r="U3" s="845"/>
      <c r="V3" s="846"/>
      <c r="W3" s="847" t="s">
        <v>114</v>
      </c>
      <c r="X3" s="848"/>
      <c r="Y3" s="848"/>
      <c r="Z3" s="849"/>
      <c r="AA3" s="286" t="s">
        <v>115</v>
      </c>
      <c r="AB3" s="126" t="s">
        <v>111</v>
      </c>
      <c r="AD3" s="126">
        <v>0</v>
      </c>
      <c r="AE3" s="126" t="s">
        <v>116</v>
      </c>
      <c r="AF3" s="746" t="s">
        <v>117</v>
      </c>
      <c r="AG3" s="747" t="s">
        <v>117</v>
      </c>
      <c r="AH3" s="401" t="s">
        <v>117</v>
      </c>
      <c r="AI3" s="134" t="s">
        <v>118</v>
      </c>
      <c r="AJ3" s="748" t="s">
        <v>115</v>
      </c>
      <c r="AK3" s="74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53"/>
      <c r="J4" s="767"/>
      <c r="K4" s="289"/>
      <c r="L4" s="756"/>
      <c r="M4" s="759"/>
      <c r="N4" s="284"/>
      <c r="O4" s="76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50">
        <v>2000</v>
      </c>
      <c r="AG4" s="751">
        <v>1000</v>
      </c>
      <c r="AH4" s="623">
        <v>1000</v>
      </c>
      <c r="AI4" s="126">
        <f>SUM([2]Sheet1!$AA$36)</f>
        <v>950</v>
      </c>
      <c r="AJ4" s="625" t="s">
        <v>10</v>
      </c>
      <c r="AK4" s="126" t="s">
        <v>119</v>
      </c>
    </row>
    <row r="5" spans="1:37" ht="18.75">
      <c r="A5" s="762"/>
      <c r="B5" s="770"/>
      <c r="C5" s="771"/>
      <c r="D5" s="772"/>
      <c r="E5" s="772"/>
      <c r="F5" s="772"/>
      <c r="G5" s="772"/>
      <c r="H5" s="773"/>
      <c r="I5" s="773"/>
      <c r="J5" s="705"/>
      <c r="K5" s="724"/>
      <c r="L5" s="128"/>
      <c r="M5" s="472"/>
      <c r="N5" s="761"/>
      <c r="O5" s="704"/>
      <c r="P5" s="723">
        <v>19032</v>
      </c>
      <c r="Q5" s="734"/>
      <c r="R5" s="724"/>
      <c r="S5" s="704"/>
      <c r="T5" s="711">
        <v>17126</v>
      </c>
      <c r="U5" s="704"/>
      <c r="V5" s="724"/>
      <c r="W5" s="704"/>
      <c r="X5" s="716">
        <v>26187</v>
      </c>
      <c r="Y5" s="704"/>
      <c r="Z5" s="709"/>
      <c r="AA5" s="720"/>
      <c r="AB5" s="719">
        <v>41932</v>
      </c>
      <c r="AC5" s="704"/>
      <c r="AD5" s="701">
        <v>207823</v>
      </c>
      <c r="AE5" s="706"/>
      <c r="AF5" s="727">
        <v>0.85</v>
      </c>
      <c r="AG5" s="728">
        <v>0.85</v>
      </c>
      <c r="AH5" s="741">
        <v>0.85</v>
      </c>
      <c r="AI5" s="731"/>
      <c r="AJ5" s="720"/>
      <c r="AK5" s="720"/>
    </row>
    <row r="6" spans="1:37" ht="18.75">
      <c r="A6" s="763">
        <f>Gen!A11</f>
        <v>44166</v>
      </c>
      <c r="B6" s="426">
        <f>'Summery Report'!E5</f>
        <v>7.79</v>
      </c>
      <c r="C6" s="768">
        <f>Gen!B11</f>
        <v>7.6999999999999999E-2</v>
      </c>
      <c r="D6" s="730">
        <f>'Summery Report'!E5</f>
        <v>7.79</v>
      </c>
      <c r="E6" s="730">
        <f>SUM(F3)</f>
        <v>1.3262195121951219</v>
      </c>
      <c r="F6" s="439">
        <f>SUM(J6*E6)/D6</f>
        <v>401.10053539559783</v>
      </c>
      <c r="G6" s="439">
        <f t="shared" ref="G6:G36" si="0">SUM(L6*E6)/D6</f>
        <v>401.10053539559783</v>
      </c>
      <c r="H6" s="730">
        <f>Gen!C11</f>
        <v>33526.22</v>
      </c>
      <c r="I6" s="730">
        <f>Gen!E11</f>
        <v>0</v>
      </c>
      <c r="J6" s="769">
        <f>Gen!T11</f>
        <v>2356</v>
      </c>
      <c r="K6" s="774">
        <f>Gen!AK11</f>
        <v>0</v>
      </c>
      <c r="L6" s="765">
        <f t="shared" ref="L6:L13" si="1">SUM(J6:K6)</f>
        <v>2356</v>
      </c>
      <c r="M6" s="450">
        <f>'Water-Meter'!K46</f>
        <v>554.41706682950235</v>
      </c>
      <c r="N6" s="725">
        <f>'Water-Meter'!E6</f>
        <v>55</v>
      </c>
      <c r="O6" s="715"/>
      <c r="P6" s="723">
        <v>19032</v>
      </c>
      <c r="Q6" s="735">
        <f t="shared" ref="Q6:Q36" si="2">SUM(P6-P5)</f>
        <v>0</v>
      </c>
      <c r="R6" s="427">
        <f>SUM(Q6*O6)</f>
        <v>0</v>
      </c>
      <c r="S6" s="710"/>
      <c r="T6" s="711">
        <v>17126</v>
      </c>
      <c r="U6" s="735">
        <f>T6-T5</f>
        <v>0</v>
      </c>
      <c r="V6" s="428" t="s">
        <v>246</v>
      </c>
      <c r="W6" s="715">
        <v>1.7</v>
      </c>
      <c r="X6" s="716">
        <v>26211</v>
      </c>
      <c r="Y6" s="735">
        <f>X6-X5</f>
        <v>24</v>
      </c>
      <c r="Z6" s="718">
        <f t="shared" ref="Z6:AA6" si="3">Y6-Y5</f>
        <v>24</v>
      </c>
      <c r="AA6" s="721">
        <f t="shared" si="3"/>
        <v>24</v>
      </c>
      <c r="AB6" s="719">
        <v>41972</v>
      </c>
      <c r="AC6" s="699">
        <f>AB6-AB5</f>
        <v>40</v>
      </c>
      <c r="AD6" s="701">
        <v>207859</v>
      </c>
      <c r="AE6" s="178">
        <f>AD6-AD5</f>
        <v>36</v>
      </c>
      <c r="AF6" s="729">
        <f>'Lpg (2)'!B10*2000/85</f>
        <v>2000</v>
      </c>
      <c r="AG6" s="266">
        <f>'Lpg (2)'!C10*1000/85</f>
        <v>0</v>
      </c>
      <c r="AH6" s="742">
        <f>'Lpg (2)'!D10*1000/85</f>
        <v>988.23529411764707</v>
      </c>
      <c r="AI6" s="732">
        <f>SUM(AF6*2000)+(AG6*1000)+(AH6*1000)</f>
        <v>4988235.2941176472</v>
      </c>
      <c r="AJ6" s="429">
        <f t="shared" ref="AJ6:AJ36" si="4">SUM(AI5-AI6)</f>
        <v>-4988235.2941176472</v>
      </c>
      <c r="AK6" s="132"/>
    </row>
    <row r="7" spans="1:37" ht="18.75">
      <c r="A7" s="763">
        <f>Gen!A12</f>
        <v>44167</v>
      </c>
      <c r="B7" s="426">
        <f>'Summery Report'!E6</f>
        <v>9.09</v>
      </c>
      <c r="C7" s="768">
        <f>Gen!B12</f>
        <v>9.0999999999999998E-2</v>
      </c>
      <c r="D7" s="730">
        <f>'Summery Report'!E6</f>
        <v>9.09</v>
      </c>
      <c r="E7" s="730">
        <f>SUM(E6)</f>
        <v>1.3262195121951219</v>
      </c>
      <c r="F7" s="439">
        <f>SUM(J7*E7)/D7</f>
        <v>335.42119455848018</v>
      </c>
      <c r="G7" s="439">
        <f t="shared" si="0"/>
        <v>335.42119455848018</v>
      </c>
      <c r="H7" s="730">
        <f>Gen!C12</f>
        <v>32513.5</v>
      </c>
      <c r="I7" s="730">
        <f>Gen!E12</f>
        <v>0</v>
      </c>
      <c r="J7" s="769">
        <f>Gen!T12</f>
        <v>2299</v>
      </c>
      <c r="K7" s="774">
        <f>Gen!AK12</f>
        <v>0</v>
      </c>
      <c r="L7" s="765">
        <f t="shared" si="1"/>
        <v>2299</v>
      </c>
      <c r="M7" s="450">
        <f>'Water-Meter'!K47</f>
        <v>504.14123039297158</v>
      </c>
      <c r="N7" s="725">
        <f>'Water-Meter'!E7</f>
        <v>75</v>
      </c>
      <c r="O7" s="715"/>
      <c r="P7" s="723">
        <v>19032</v>
      </c>
      <c r="Q7" s="735">
        <f t="shared" si="2"/>
        <v>0</v>
      </c>
      <c r="R7" s="427">
        <f t="shared" ref="R7:R36" si="5">SUM(Q7*O7)</f>
        <v>0</v>
      </c>
      <c r="S7" s="710"/>
      <c r="T7" s="711">
        <v>17126</v>
      </c>
      <c r="U7" s="735">
        <f t="shared" ref="U7:U36" si="6">T7-T6</f>
        <v>0</v>
      </c>
      <c r="V7" s="428">
        <f t="shared" ref="V7:V9" si="7">SUM(U7*S7)</f>
        <v>0</v>
      </c>
      <c r="W7" s="715">
        <v>1.7</v>
      </c>
      <c r="X7" s="716">
        <v>26235</v>
      </c>
      <c r="Y7" s="735">
        <f t="shared" ref="Y7:Y36" si="8">X7-X6</f>
        <v>24</v>
      </c>
      <c r="Z7" s="714">
        <f t="shared" ref="Z7:Z36" si="9">SUM(Y7*W7)</f>
        <v>40.799999999999997</v>
      </c>
      <c r="AA7" s="722">
        <f t="shared" ref="AA7:AA36" si="10">SUM(Z7*X9)</f>
        <v>1072346.3999999999</v>
      </c>
      <c r="AB7" s="719">
        <v>42011</v>
      </c>
      <c r="AC7" s="699">
        <f t="shared" ref="AC7:AC27" si="11">AB7-AB6</f>
        <v>39</v>
      </c>
      <c r="AD7" s="701">
        <v>207903</v>
      </c>
      <c r="AE7" s="178">
        <f>AD7-AD6</f>
        <v>44</v>
      </c>
      <c r="AF7" s="729">
        <f>'Lpg (2)'!B11*2000/85</f>
        <v>2000</v>
      </c>
      <c r="AG7" s="266">
        <f>'Lpg (2)'!C11*1000/85</f>
        <v>0</v>
      </c>
      <c r="AH7" s="742">
        <f>'Lpg (2)'!D11*1000/85</f>
        <v>964.70588235294122</v>
      </c>
      <c r="AI7" s="732">
        <f t="shared" ref="AI7:AI14" si="12">SUM(AF6*2000)+(AG7*1000)+(AH7*1000)</f>
        <v>4964705.8823529407</v>
      </c>
      <c r="AJ7" s="429">
        <f t="shared" si="4"/>
        <v>23529.411764706485</v>
      </c>
      <c r="AK7" s="132"/>
    </row>
    <row r="8" spans="1:37" ht="18.75">
      <c r="A8" s="763">
        <f>Gen!A13</f>
        <v>44168</v>
      </c>
      <c r="B8" s="426">
        <f>'Summery Report'!E7</f>
        <v>1.3</v>
      </c>
      <c r="C8" s="768">
        <f>Gen!B13</f>
        <v>1.2999999999999999E-2</v>
      </c>
      <c r="D8" s="730">
        <f>'Summery Report'!E7</f>
        <v>1.3</v>
      </c>
      <c r="E8" s="730">
        <f t="shared" ref="E8:E36" si="13">SUM(E7)</f>
        <v>1.3262195121951219</v>
      </c>
      <c r="F8" s="439">
        <f t="shared" ref="F8:F36" si="14">SUM(J8*E8)/D8</f>
        <v>2425.9615384615386</v>
      </c>
      <c r="G8" s="439">
        <f t="shared" si="0"/>
        <v>2425.9615384615386</v>
      </c>
      <c r="H8" s="730">
        <f>Gen!C13</f>
        <v>31442.28</v>
      </c>
      <c r="I8" s="730">
        <f>Gen!E13</f>
        <v>0</v>
      </c>
      <c r="J8" s="769">
        <f>Gen!T13</f>
        <v>2378</v>
      </c>
      <c r="K8" s="774">
        <f>Gen!AK13</f>
        <v>0</v>
      </c>
      <c r="L8" s="765">
        <f t="shared" si="1"/>
        <v>2378</v>
      </c>
      <c r="M8" s="450">
        <f>'Water-Meter'!K48</f>
        <v>460.66767534709584</v>
      </c>
      <c r="N8" s="725">
        <f>'Water-Meter'!E8</f>
        <v>59</v>
      </c>
      <c r="O8" s="715"/>
      <c r="P8" s="723">
        <v>19032</v>
      </c>
      <c r="Q8" s="735">
        <f t="shared" si="2"/>
        <v>0</v>
      </c>
      <c r="R8" s="427">
        <f t="shared" si="5"/>
        <v>0</v>
      </c>
      <c r="S8" s="710"/>
      <c r="T8" s="711">
        <v>17126</v>
      </c>
      <c r="U8" s="735">
        <f t="shared" si="6"/>
        <v>0</v>
      </c>
      <c r="V8" s="428">
        <f t="shared" si="7"/>
        <v>0</v>
      </c>
      <c r="W8" s="715">
        <v>1.7</v>
      </c>
      <c r="X8" s="716">
        <v>26259</v>
      </c>
      <c r="Y8" s="735">
        <f t="shared" si="8"/>
        <v>24</v>
      </c>
      <c r="Z8" s="714">
        <f t="shared" si="9"/>
        <v>40.799999999999997</v>
      </c>
      <c r="AA8" s="722">
        <f t="shared" si="10"/>
        <v>1073325.5999999999</v>
      </c>
      <c r="AB8" s="719">
        <v>42049</v>
      </c>
      <c r="AC8" s="699">
        <f t="shared" si="11"/>
        <v>38</v>
      </c>
      <c r="AD8" s="701">
        <v>207931</v>
      </c>
      <c r="AE8" s="178">
        <f t="shared" ref="AE8:AE37" si="15">AD8-AD7</f>
        <v>28</v>
      </c>
      <c r="AF8" s="729">
        <f>'Lpg (2)'!B12*2000/85</f>
        <v>2000</v>
      </c>
      <c r="AG8" s="266">
        <f>'Lpg (2)'!C12*1000/85</f>
        <v>0</v>
      </c>
      <c r="AH8" s="742">
        <f>'Lpg (2)'!D12*1000/85</f>
        <v>941.17647058823525</v>
      </c>
      <c r="AI8" s="732">
        <f t="shared" si="12"/>
        <v>4941176.4705882352</v>
      </c>
      <c r="AJ8" s="429">
        <f t="shared" si="4"/>
        <v>23529.411764705554</v>
      </c>
      <c r="AK8" s="132"/>
    </row>
    <row r="9" spans="1:37" ht="18.75">
      <c r="A9" s="763">
        <f>Gen!A14</f>
        <v>44169</v>
      </c>
      <c r="B9" s="426">
        <f>'Summery Report'!E8</f>
        <v>1.3</v>
      </c>
      <c r="C9" s="768">
        <f>Gen!B14</f>
        <v>1.2999999999999999E-2</v>
      </c>
      <c r="D9" s="730">
        <f>'Summery Report'!E8</f>
        <v>1.3</v>
      </c>
      <c r="E9" s="730">
        <f t="shared" si="13"/>
        <v>1.3262195121951219</v>
      </c>
      <c r="F9" s="439">
        <f t="shared" si="14"/>
        <v>2216.8269230769229</v>
      </c>
      <c r="G9" s="439">
        <f t="shared" si="0"/>
        <v>2216.8269230769229</v>
      </c>
      <c r="H9" s="730">
        <f>Gen!C14</f>
        <v>30446.92</v>
      </c>
      <c r="I9" s="730">
        <f>Gen!E14</f>
        <v>0</v>
      </c>
      <c r="J9" s="769">
        <f>Gen!T14</f>
        <v>2173</v>
      </c>
      <c r="K9" s="774">
        <f>Gen!AK14</f>
        <v>0</v>
      </c>
      <c r="L9" s="765">
        <f t="shared" si="1"/>
        <v>2173</v>
      </c>
      <c r="M9" s="450">
        <f>'Water-Meter'!K49</f>
        <v>440.5330072655305</v>
      </c>
      <c r="N9" s="725">
        <f>'Water-Meter'!E9</f>
        <v>49</v>
      </c>
      <c r="O9" s="715"/>
      <c r="P9" s="723">
        <v>19032</v>
      </c>
      <c r="Q9" s="735">
        <f t="shared" si="2"/>
        <v>0</v>
      </c>
      <c r="R9" s="427">
        <f t="shared" si="5"/>
        <v>0</v>
      </c>
      <c r="S9" s="710"/>
      <c r="T9" s="711">
        <v>17126</v>
      </c>
      <c r="U9" s="735">
        <f t="shared" si="6"/>
        <v>0</v>
      </c>
      <c r="V9" s="428">
        <f t="shared" si="7"/>
        <v>0</v>
      </c>
      <c r="W9" s="715">
        <v>1.7</v>
      </c>
      <c r="X9" s="716">
        <v>26283</v>
      </c>
      <c r="Y9" s="735">
        <f t="shared" si="8"/>
        <v>24</v>
      </c>
      <c r="Z9" s="714">
        <f t="shared" si="9"/>
        <v>40.799999999999997</v>
      </c>
      <c r="AA9" s="722">
        <f t="shared" si="10"/>
        <v>1074304.7999999998</v>
      </c>
      <c r="AB9" s="719">
        <v>42086</v>
      </c>
      <c r="AC9" s="699">
        <f t="shared" si="11"/>
        <v>37</v>
      </c>
      <c r="AD9" s="701">
        <v>207960</v>
      </c>
      <c r="AE9" s="178">
        <f t="shared" si="15"/>
        <v>29</v>
      </c>
      <c r="AF9" s="729">
        <f>'Lpg (2)'!B13*2000/85</f>
        <v>2000</v>
      </c>
      <c r="AG9" s="266">
        <f>'Lpg (2)'!C13*1000/85</f>
        <v>0</v>
      </c>
      <c r="AH9" s="742">
        <f>'Lpg (2)'!D13*1000/85</f>
        <v>917.64705882352939</v>
      </c>
      <c r="AI9" s="732">
        <f t="shared" si="12"/>
        <v>4917647.0588235296</v>
      </c>
      <c r="AJ9" s="429">
        <f t="shared" si="4"/>
        <v>23529.411764705554</v>
      </c>
      <c r="AK9" s="132"/>
    </row>
    <row r="10" spans="1:37" ht="18.75">
      <c r="A10" s="763">
        <f>Gen!A15</f>
        <v>44170</v>
      </c>
      <c r="B10" s="426">
        <f>'Summery Report'!E9</f>
        <v>0</v>
      </c>
      <c r="C10" s="768">
        <f>Gen!B15</f>
        <v>0</v>
      </c>
      <c r="D10" s="730">
        <f>'Summery Report'!E9</f>
        <v>0</v>
      </c>
      <c r="E10" s="730">
        <f t="shared" si="13"/>
        <v>1.3262195121951219</v>
      </c>
      <c r="F10" s="439" t="e">
        <f t="shared" si="14"/>
        <v>#DIV/0!</v>
      </c>
      <c r="G10" s="439" t="e">
        <f t="shared" si="0"/>
        <v>#DIV/0!</v>
      </c>
      <c r="H10" s="730">
        <f>Gen!C15</f>
        <v>47542.03</v>
      </c>
      <c r="I10" s="730">
        <f>Gen!E15</f>
        <v>18000</v>
      </c>
      <c r="J10" s="769">
        <f>Gen!T15</f>
        <v>2292</v>
      </c>
      <c r="K10" s="774">
        <f>Gen!AK15</f>
        <v>0</v>
      </c>
      <c r="L10" s="765">
        <f t="shared" si="1"/>
        <v>2292</v>
      </c>
      <c r="M10" s="450">
        <f>'Water-Meter'!K50</f>
        <v>450.96116436189754</v>
      </c>
      <c r="N10" s="725">
        <f>'Water-Meter'!E10</f>
        <v>60</v>
      </c>
      <c r="O10" s="715"/>
      <c r="P10" s="723">
        <v>19032</v>
      </c>
      <c r="Q10" s="735">
        <f t="shared" si="2"/>
        <v>0</v>
      </c>
      <c r="R10" s="427">
        <f t="shared" si="5"/>
        <v>0</v>
      </c>
      <c r="S10" s="710"/>
      <c r="T10" s="711">
        <v>17126</v>
      </c>
      <c r="U10" s="735">
        <f t="shared" si="6"/>
        <v>0</v>
      </c>
      <c r="V10" s="428">
        <f t="shared" ref="V10:V16" si="16">SUM(U10*S10)</f>
        <v>0</v>
      </c>
      <c r="W10" s="715">
        <v>1.7</v>
      </c>
      <c r="X10" s="716">
        <v>26307</v>
      </c>
      <c r="Y10" s="735">
        <f t="shared" si="8"/>
        <v>24</v>
      </c>
      <c r="Z10" s="714">
        <f t="shared" si="9"/>
        <v>40.799999999999997</v>
      </c>
      <c r="AA10" s="722">
        <f t="shared" si="10"/>
        <v>1075284</v>
      </c>
      <c r="AB10" s="719">
        <v>42122</v>
      </c>
      <c r="AC10" s="699">
        <f t="shared" si="11"/>
        <v>36</v>
      </c>
      <c r="AD10" s="701">
        <v>207995</v>
      </c>
      <c r="AE10" s="178">
        <f t="shared" si="15"/>
        <v>35</v>
      </c>
      <c r="AF10" s="729">
        <f>'Lpg (2)'!B14*2000/85</f>
        <v>2000</v>
      </c>
      <c r="AG10" s="266">
        <f>'Lpg (2)'!C14*1000/85</f>
        <v>0</v>
      </c>
      <c r="AH10" s="742">
        <f>'Lpg (2)'!D14*1000/85</f>
        <v>905.88235294117646</v>
      </c>
      <c r="AI10" s="732">
        <f t="shared" si="12"/>
        <v>4905882.3529411769</v>
      </c>
      <c r="AJ10" s="429">
        <f t="shared" si="4"/>
        <v>11764.705882352777</v>
      </c>
      <c r="AK10" s="132"/>
    </row>
    <row r="11" spans="1:37" ht="18.75">
      <c r="A11" s="763">
        <f>Gen!A16</f>
        <v>44171</v>
      </c>
      <c r="B11" s="426">
        <f>'Summery Report'!E10</f>
        <v>1.3</v>
      </c>
      <c r="C11" s="768">
        <f>Gen!B16</f>
        <v>0</v>
      </c>
      <c r="D11" s="730">
        <f>'Summery Report'!E10</f>
        <v>1.3</v>
      </c>
      <c r="E11" s="730">
        <f t="shared" si="13"/>
        <v>1.3262195121951219</v>
      </c>
      <c r="F11" s="439">
        <f t="shared" si="14"/>
        <v>2422.901031894934</v>
      </c>
      <c r="G11" s="439">
        <f t="shared" si="0"/>
        <v>2422.901031894934</v>
      </c>
      <c r="H11" s="730">
        <f>Gen!C16</f>
        <v>46613.99</v>
      </c>
      <c r="I11" s="730">
        <f>Gen!E16</f>
        <v>0</v>
      </c>
      <c r="J11" s="769">
        <f>Gen!T16</f>
        <v>2375</v>
      </c>
      <c r="K11" s="774">
        <f>Gen!AK16</f>
        <v>0</v>
      </c>
      <c r="L11" s="765">
        <f t="shared" si="1"/>
        <v>2375</v>
      </c>
      <c r="M11" s="450">
        <f>'Water-Meter'!K51</f>
        <v>436.48529178949286</v>
      </c>
      <c r="N11" s="725">
        <f>'Water-Meter'!E11</f>
        <v>51</v>
      </c>
      <c r="O11" s="715"/>
      <c r="P11" s="723">
        <v>19032</v>
      </c>
      <c r="Q11" s="735">
        <f t="shared" si="2"/>
        <v>0</v>
      </c>
      <c r="R11" s="427">
        <f t="shared" si="5"/>
        <v>0</v>
      </c>
      <c r="S11" s="710"/>
      <c r="T11" s="711">
        <v>17126</v>
      </c>
      <c r="U11" s="735">
        <f t="shared" si="6"/>
        <v>0</v>
      </c>
      <c r="V11" s="428">
        <f t="shared" si="16"/>
        <v>0</v>
      </c>
      <c r="W11" s="715">
        <v>1.7</v>
      </c>
      <c r="X11" s="716">
        <v>26331</v>
      </c>
      <c r="Y11" s="735">
        <f t="shared" si="8"/>
        <v>24</v>
      </c>
      <c r="Z11" s="714">
        <f t="shared" si="9"/>
        <v>40.799999999999997</v>
      </c>
      <c r="AA11" s="722">
        <f t="shared" si="10"/>
        <v>1076304</v>
      </c>
      <c r="AB11" s="719">
        <v>42157</v>
      </c>
      <c r="AC11" s="699">
        <f t="shared" si="11"/>
        <v>35</v>
      </c>
      <c r="AD11" s="701">
        <v>208025</v>
      </c>
      <c r="AE11" s="178">
        <f t="shared" si="15"/>
        <v>30</v>
      </c>
      <c r="AF11" s="729">
        <f>'Lpg (2)'!B15*2000/85</f>
        <v>2000</v>
      </c>
      <c r="AG11" s="266">
        <f>'Lpg (2)'!C15*1000/85</f>
        <v>0</v>
      </c>
      <c r="AH11" s="742">
        <f>'Lpg (2)'!D15*1000/85</f>
        <v>858.82352941176475</v>
      </c>
      <c r="AI11" s="732">
        <f t="shared" si="12"/>
        <v>4858823.5294117648</v>
      </c>
      <c r="AJ11" s="429">
        <f t="shared" si="4"/>
        <v>47058.823529412039</v>
      </c>
      <c r="AK11" s="132"/>
    </row>
    <row r="12" spans="1:37" ht="18.75">
      <c r="A12" s="763">
        <f>Gen!A17</f>
        <v>44172</v>
      </c>
      <c r="B12" s="426">
        <f>'Summery Report'!E11</f>
        <v>1.3</v>
      </c>
      <c r="C12" s="768">
        <f>Gen!B17</f>
        <v>0</v>
      </c>
      <c r="D12" s="730">
        <f>'Summery Report'!E11</f>
        <v>1.3</v>
      </c>
      <c r="E12" s="730">
        <f t="shared" si="13"/>
        <v>1.3262195121951219</v>
      </c>
      <c r="F12" s="439">
        <f t="shared" si="14"/>
        <v>2363.731238273921</v>
      </c>
      <c r="G12" s="439">
        <f t="shared" si="0"/>
        <v>2363.731238273921</v>
      </c>
      <c r="H12" s="730">
        <f>Gen!C17</f>
        <v>45554.6</v>
      </c>
      <c r="I12" s="730">
        <f>Gen!E17</f>
        <v>0</v>
      </c>
      <c r="J12" s="769">
        <f>Gen!T17</f>
        <v>2317</v>
      </c>
      <c r="K12" s="774">
        <f>Gen!AK17</f>
        <v>0</v>
      </c>
      <c r="L12" s="765">
        <f t="shared" si="1"/>
        <v>2317</v>
      </c>
      <c r="M12" s="450">
        <f>'Water-Meter'!K52</f>
        <v>424.47691218011681</v>
      </c>
      <c r="N12" s="725">
        <f>'Water-Meter'!E12</f>
        <v>43</v>
      </c>
      <c r="O12" s="715"/>
      <c r="P12" s="723">
        <v>19032</v>
      </c>
      <c r="Q12" s="735">
        <f t="shared" si="2"/>
        <v>0</v>
      </c>
      <c r="R12" s="427">
        <f t="shared" si="5"/>
        <v>0</v>
      </c>
      <c r="S12" s="710"/>
      <c r="T12" s="711">
        <v>17126</v>
      </c>
      <c r="U12" s="735">
        <f t="shared" si="6"/>
        <v>0</v>
      </c>
      <c r="V12" s="428">
        <f t="shared" si="16"/>
        <v>0</v>
      </c>
      <c r="W12" s="710">
        <v>1.5</v>
      </c>
      <c r="X12" s="716">
        <v>26355</v>
      </c>
      <c r="Y12" s="735">
        <f t="shared" si="8"/>
        <v>24</v>
      </c>
      <c r="Z12" s="714">
        <f t="shared" si="9"/>
        <v>36</v>
      </c>
      <c r="AA12" s="722">
        <f t="shared" si="10"/>
        <v>950436</v>
      </c>
      <c r="AB12" s="719">
        <v>42191</v>
      </c>
      <c r="AC12" s="699">
        <f t="shared" si="11"/>
        <v>34</v>
      </c>
      <c r="AD12" s="701">
        <v>208063</v>
      </c>
      <c r="AE12" s="178">
        <f t="shared" si="15"/>
        <v>38</v>
      </c>
      <c r="AF12" s="729">
        <f>'Lpg (2)'!B16*2000/85</f>
        <v>2000</v>
      </c>
      <c r="AG12" s="266">
        <f>'Lpg (2)'!C16*1000/85</f>
        <v>0</v>
      </c>
      <c r="AH12" s="742">
        <f>'Lpg (2)'!D16*1000/85</f>
        <v>811.76470588235293</v>
      </c>
      <c r="AI12" s="732">
        <f t="shared" si="12"/>
        <v>4811764.7058823528</v>
      </c>
      <c r="AJ12" s="429">
        <f t="shared" si="4"/>
        <v>47058.823529412039</v>
      </c>
      <c r="AK12" s="132"/>
    </row>
    <row r="13" spans="1:37" ht="18.75">
      <c r="A13" s="763">
        <f>Gen!A18</f>
        <v>44173</v>
      </c>
      <c r="B13" s="426">
        <f>'Summery Report'!E12</f>
        <v>1.3</v>
      </c>
      <c r="C13" s="768">
        <f>Gen!B18</f>
        <v>0</v>
      </c>
      <c r="D13" s="730">
        <f>'Summery Report'!E12</f>
        <v>1.3</v>
      </c>
      <c r="E13" s="730">
        <f t="shared" si="13"/>
        <v>1.3262195121951219</v>
      </c>
      <c r="F13" s="439">
        <f t="shared" si="14"/>
        <v>2458.6069418386492</v>
      </c>
      <c r="G13" s="439">
        <f t="shared" si="0"/>
        <v>2458.6069418386492</v>
      </c>
      <c r="H13" s="730">
        <f>Gen!C18</f>
        <v>44544.35</v>
      </c>
      <c r="I13" s="730">
        <f>Gen!E18</f>
        <v>0</v>
      </c>
      <c r="J13" s="769">
        <f>Gen!T18</f>
        <v>2410</v>
      </c>
      <c r="K13" s="774">
        <f>Gen!AK18</f>
        <v>0</v>
      </c>
      <c r="L13" s="765">
        <f t="shared" si="1"/>
        <v>2410</v>
      </c>
      <c r="M13" s="450">
        <f>'Water-Meter'!K53</f>
        <v>401.88706468936618</v>
      </c>
      <c r="N13" s="725">
        <f>'Water-Meter'!E13</f>
        <v>44</v>
      </c>
      <c r="O13" s="715"/>
      <c r="P13" s="723">
        <v>19032</v>
      </c>
      <c r="Q13" s="735">
        <f t="shared" si="2"/>
        <v>0</v>
      </c>
      <c r="R13" s="427">
        <f t="shared" si="5"/>
        <v>0</v>
      </c>
      <c r="S13" s="710"/>
      <c r="T13" s="711">
        <v>17126</v>
      </c>
      <c r="U13" s="735">
        <f t="shared" si="6"/>
        <v>0</v>
      </c>
      <c r="V13" s="428">
        <f t="shared" si="16"/>
        <v>0</v>
      </c>
      <c r="W13" s="710">
        <v>1.3</v>
      </c>
      <c r="X13" s="716">
        <v>26380</v>
      </c>
      <c r="Y13" s="735">
        <f t="shared" si="8"/>
        <v>25</v>
      </c>
      <c r="Z13" s="714">
        <f t="shared" si="9"/>
        <v>32.5</v>
      </c>
      <c r="AA13" s="722">
        <f t="shared" si="10"/>
        <v>858715</v>
      </c>
      <c r="AB13" s="719">
        <v>42226</v>
      </c>
      <c r="AC13" s="699">
        <f t="shared" si="11"/>
        <v>35</v>
      </c>
      <c r="AD13" s="701">
        <v>208096</v>
      </c>
      <c r="AE13" s="178">
        <f t="shared" si="15"/>
        <v>33</v>
      </c>
      <c r="AF13" s="729">
        <f>'Lpg (2)'!B17*2000/85</f>
        <v>2000</v>
      </c>
      <c r="AG13" s="266">
        <f>'Lpg (2)'!C17*1000/85</f>
        <v>0</v>
      </c>
      <c r="AH13" s="742">
        <f>'Lpg (2)'!D17*1000/85</f>
        <v>788.23529411764707</v>
      </c>
      <c r="AI13" s="732">
        <f t="shared" si="12"/>
        <v>4788235.2941176472</v>
      </c>
      <c r="AJ13" s="429">
        <f t="shared" si="4"/>
        <v>23529.411764705554</v>
      </c>
      <c r="AK13" s="132"/>
    </row>
    <row r="14" spans="1:37" ht="18.75">
      <c r="A14" s="763">
        <f>Gen!A19</f>
        <v>44174</v>
      </c>
      <c r="B14" s="426">
        <f>'Summery Report'!E13</f>
        <v>1.3</v>
      </c>
      <c r="C14" s="768">
        <f>Gen!B19</f>
        <v>0</v>
      </c>
      <c r="D14" s="730">
        <f>'Summery Report'!E13</f>
        <v>1.3</v>
      </c>
      <c r="E14" s="730">
        <f t="shared" si="13"/>
        <v>1.3262195121951219</v>
      </c>
      <c r="F14" s="439">
        <f t="shared" si="14"/>
        <v>2500.433864915572</v>
      </c>
      <c r="G14" s="439">
        <f t="shared" si="0"/>
        <v>2500.433864915572</v>
      </c>
      <c r="H14" s="730">
        <f>Gen!C19</f>
        <v>43449.08</v>
      </c>
      <c r="I14" s="730">
        <f>Gen!E19</f>
        <v>0</v>
      </c>
      <c r="J14" s="769">
        <f>Gen!T19</f>
        <v>2451</v>
      </c>
      <c r="K14" s="774">
        <f>Gen!AK19</f>
        <v>0</v>
      </c>
      <c r="L14" s="765">
        <f t="shared" ref="L14:L37" si="17">SUM(J14:K14)</f>
        <v>2451</v>
      </c>
      <c r="M14" s="450">
        <f>'Water-Meter'!K54</f>
        <v>375.24259568492971</v>
      </c>
      <c r="N14" s="725">
        <f>'Water-Meter'!E14</f>
        <v>63</v>
      </c>
      <c r="O14" s="715"/>
      <c r="P14" s="723">
        <v>19032</v>
      </c>
      <c r="Q14" s="735">
        <f t="shared" si="2"/>
        <v>0</v>
      </c>
      <c r="R14" s="427">
        <f t="shared" si="5"/>
        <v>0</v>
      </c>
      <c r="S14" s="710"/>
      <c r="T14" s="711">
        <v>17126</v>
      </c>
      <c r="U14" s="735">
        <f t="shared" si="6"/>
        <v>0</v>
      </c>
      <c r="V14" s="428">
        <f t="shared" si="16"/>
        <v>0</v>
      </c>
      <c r="W14" s="710">
        <v>1.4</v>
      </c>
      <c r="X14" s="716">
        <v>26401</v>
      </c>
      <c r="Y14" s="735">
        <f t="shared" si="8"/>
        <v>21</v>
      </c>
      <c r="Z14" s="714">
        <f t="shared" si="9"/>
        <v>29.4</v>
      </c>
      <c r="AA14" s="722">
        <f t="shared" si="10"/>
        <v>777512.39999999991</v>
      </c>
      <c r="AB14" s="719">
        <v>42257</v>
      </c>
      <c r="AC14" s="699">
        <f t="shared" si="11"/>
        <v>31</v>
      </c>
      <c r="AD14" s="701">
        <v>208131</v>
      </c>
      <c r="AE14" s="178">
        <f t="shared" si="15"/>
        <v>35</v>
      </c>
      <c r="AF14" s="729">
        <f>'Lpg (2)'!B18*2000/85</f>
        <v>2000</v>
      </c>
      <c r="AG14" s="266">
        <f>'Lpg (2)'!C18*1000/85</f>
        <v>0</v>
      </c>
      <c r="AH14" s="742">
        <f>'Lpg (2)'!D18*1000/85</f>
        <v>482.35294117647061</v>
      </c>
      <c r="AI14" s="732">
        <f t="shared" si="12"/>
        <v>4482352.9411764704</v>
      </c>
      <c r="AJ14" s="429">
        <f t="shared" si="4"/>
        <v>305882.35294117685</v>
      </c>
      <c r="AK14" s="132"/>
    </row>
    <row r="15" spans="1:37" ht="18.75">
      <c r="A15" s="763">
        <f>Gen!A20</f>
        <v>44175</v>
      </c>
      <c r="B15" s="426">
        <f>'Summery Report'!E14</f>
        <v>2.6</v>
      </c>
      <c r="C15" s="768">
        <f>Gen!B20</f>
        <v>0</v>
      </c>
      <c r="D15" s="730">
        <f>'Summery Report'!E14</f>
        <v>2.6</v>
      </c>
      <c r="E15" s="730">
        <f t="shared" si="13"/>
        <v>1.3262195121951219</v>
      </c>
      <c r="F15" s="439">
        <f t="shared" si="14"/>
        <v>1494.0372889305816</v>
      </c>
      <c r="G15" s="439">
        <f t="shared" si="0"/>
        <v>1494.0372889305816</v>
      </c>
      <c r="H15" s="730">
        <f>Gen!C20</f>
        <v>42382.16</v>
      </c>
      <c r="I15" s="730">
        <f>Gen!E20</f>
        <v>0</v>
      </c>
      <c r="J15" s="769">
        <f>Gen!T20</f>
        <v>2929</v>
      </c>
      <c r="K15" s="774">
        <f>Gen!AK20</f>
        <v>0</v>
      </c>
      <c r="L15" s="765">
        <f t="shared" si="17"/>
        <v>2929</v>
      </c>
      <c r="M15" s="450">
        <f>'Water-Meter'!K55</f>
        <v>421.35128746326791</v>
      </c>
      <c r="N15" s="725">
        <f>'Water-Meter'!E15</f>
        <v>61</v>
      </c>
      <c r="O15" s="715"/>
      <c r="P15" s="723">
        <v>19032</v>
      </c>
      <c r="Q15" s="735">
        <f t="shared" si="2"/>
        <v>0</v>
      </c>
      <c r="R15" s="427">
        <f t="shared" si="5"/>
        <v>0</v>
      </c>
      <c r="S15" s="710"/>
      <c r="T15" s="711">
        <v>17126</v>
      </c>
      <c r="U15" s="735">
        <f t="shared" si="6"/>
        <v>0</v>
      </c>
      <c r="V15" s="428">
        <f t="shared" si="16"/>
        <v>0</v>
      </c>
      <c r="W15" s="710">
        <v>1.3</v>
      </c>
      <c r="X15" s="716">
        <v>26422</v>
      </c>
      <c r="Y15" s="735">
        <f t="shared" si="8"/>
        <v>21</v>
      </c>
      <c r="Z15" s="714">
        <f t="shared" si="9"/>
        <v>27.3</v>
      </c>
      <c r="AA15" s="722">
        <f t="shared" si="10"/>
        <v>722603.70000000007</v>
      </c>
      <c r="AB15" s="719">
        <v>42286</v>
      </c>
      <c r="AC15" s="699">
        <f t="shared" si="11"/>
        <v>29</v>
      </c>
      <c r="AD15" s="701">
        <v>208170</v>
      </c>
      <c r="AE15" s="178">
        <f>AD15-AD14</f>
        <v>39</v>
      </c>
      <c r="AF15" s="729">
        <f>'Lpg (2)'!B19*2000/85</f>
        <v>2000</v>
      </c>
      <c r="AG15" s="266">
        <f>'Lpg (2)'!C19*1000/85</f>
        <v>0</v>
      </c>
      <c r="AH15" s="742">
        <f>'Lpg (2)'!D19*1000/85</f>
        <v>411.76470588235293</v>
      </c>
      <c r="AI15" s="732">
        <f t="shared" ref="AI15:AI35" si="18">SUM(AF15*2000)+(AG15*1000)+(AH15*1000)</f>
        <v>4411764.7058823528</v>
      </c>
      <c r="AJ15" s="429">
        <f t="shared" si="4"/>
        <v>70588.235294117592</v>
      </c>
      <c r="AK15" s="132"/>
    </row>
    <row r="16" spans="1:37" ht="18.75">
      <c r="A16" s="763">
        <f>Gen!A21</f>
        <v>44176</v>
      </c>
      <c r="B16" s="426">
        <f>'Summery Report'!E15</f>
        <v>22.08</v>
      </c>
      <c r="C16" s="768">
        <f>Gen!B21</f>
        <v>0</v>
      </c>
      <c r="D16" s="730">
        <f>'Summery Report'!E15</f>
        <v>22.08</v>
      </c>
      <c r="E16" s="730">
        <f t="shared" si="13"/>
        <v>1.3262195121951219</v>
      </c>
      <c r="F16" s="439">
        <f t="shared" si="14"/>
        <v>185.59865455991516</v>
      </c>
      <c r="G16" s="439">
        <f t="shared" si="0"/>
        <v>185.59865455991516</v>
      </c>
      <c r="H16" s="730">
        <f>Gen!C21</f>
        <v>41035.890000000007</v>
      </c>
      <c r="I16" s="730">
        <f>Gen!E21</f>
        <v>0</v>
      </c>
      <c r="J16" s="769">
        <f>Gen!T21</f>
        <v>3090</v>
      </c>
      <c r="K16" s="774">
        <f>Gen!AK21</f>
        <v>0</v>
      </c>
      <c r="L16" s="765">
        <f t="shared" si="17"/>
        <v>3090</v>
      </c>
      <c r="M16" s="450">
        <f>'Water-Meter'!K56</f>
        <v>446.55134607149756</v>
      </c>
      <c r="N16" s="725">
        <f>'Water-Meter'!E16</f>
        <v>62</v>
      </c>
      <c r="O16" s="715"/>
      <c r="P16" s="723">
        <v>19032</v>
      </c>
      <c r="Q16" s="735">
        <f t="shared" si="2"/>
        <v>0</v>
      </c>
      <c r="R16" s="427">
        <f t="shared" si="5"/>
        <v>0</v>
      </c>
      <c r="S16" s="710"/>
      <c r="T16" s="711">
        <v>17126</v>
      </c>
      <c r="U16" s="735">
        <f t="shared" si="6"/>
        <v>0</v>
      </c>
      <c r="V16" s="428">
        <f t="shared" si="16"/>
        <v>0</v>
      </c>
      <c r="W16" s="710">
        <v>1.3</v>
      </c>
      <c r="X16" s="716">
        <v>26446</v>
      </c>
      <c r="Y16" s="735">
        <f t="shared" si="8"/>
        <v>24</v>
      </c>
      <c r="Z16" s="714">
        <f t="shared" si="9"/>
        <v>31.200000000000003</v>
      </c>
      <c r="AA16" s="722">
        <f t="shared" si="10"/>
        <v>826363.20000000007</v>
      </c>
      <c r="AB16" s="719">
        <v>42314</v>
      </c>
      <c r="AC16" s="699">
        <f t="shared" si="11"/>
        <v>28</v>
      </c>
      <c r="AD16" s="701">
        <v>208223</v>
      </c>
      <c r="AE16" s="178">
        <f t="shared" si="15"/>
        <v>53</v>
      </c>
      <c r="AF16" s="729">
        <f>'Lpg (2)'!B20*2000/85</f>
        <v>2000</v>
      </c>
      <c r="AG16" s="266">
        <f>'Lpg (2)'!C20*1000/85</f>
        <v>0</v>
      </c>
      <c r="AH16" s="742">
        <f>'Lpg (2)'!D20*1000/85</f>
        <v>352.94117647058823</v>
      </c>
      <c r="AI16" s="732">
        <f t="shared" si="18"/>
        <v>4352941.176470588</v>
      </c>
      <c r="AJ16" s="429">
        <f t="shared" si="4"/>
        <v>58823.529411764815</v>
      </c>
      <c r="AK16" s="132"/>
    </row>
    <row r="17" spans="1:37" ht="18.75">
      <c r="A17" s="763">
        <f>Gen!A22</f>
        <v>44177</v>
      </c>
      <c r="B17" s="426">
        <f>'Summery Report'!E16</f>
        <v>23.38</v>
      </c>
      <c r="C17" s="768">
        <f>Gen!B22</f>
        <v>0</v>
      </c>
      <c r="D17" s="730">
        <f>'Summery Report'!E16</f>
        <v>23.38</v>
      </c>
      <c r="E17" s="730">
        <f t="shared" si="13"/>
        <v>1.3262195121951219</v>
      </c>
      <c r="F17" s="439">
        <f t="shared" si="14"/>
        <v>171.76187694297815</v>
      </c>
      <c r="G17" s="439">
        <f t="shared" si="0"/>
        <v>171.76187694297815</v>
      </c>
      <c r="H17" s="730">
        <f>Gen!C22</f>
        <v>39709.770000000004</v>
      </c>
      <c r="I17" s="730">
        <f>Gen!E22</f>
        <v>0</v>
      </c>
      <c r="J17" s="769">
        <f>Gen!T22</f>
        <v>3028</v>
      </c>
      <c r="K17" s="774">
        <f>Gen!AK22</f>
        <v>0</v>
      </c>
      <c r="L17" s="765">
        <f t="shared" si="17"/>
        <v>3028</v>
      </c>
      <c r="M17" s="450">
        <f>'Water-Meter'!K57</f>
        <v>494.56680073553974</v>
      </c>
      <c r="N17" s="725">
        <f>'Water-Meter'!E17</f>
        <v>54</v>
      </c>
      <c r="O17" s="715"/>
      <c r="P17" s="723">
        <v>19032</v>
      </c>
      <c r="Q17" s="735">
        <f>SUM(P18-P16)</f>
        <v>0</v>
      </c>
      <c r="R17" s="427">
        <f t="shared" si="5"/>
        <v>0</v>
      </c>
      <c r="S17" s="710">
        <v>6.5</v>
      </c>
      <c r="T17" s="711">
        <v>17129</v>
      </c>
      <c r="U17" s="735">
        <f t="shared" si="6"/>
        <v>3</v>
      </c>
      <c r="V17" s="428">
        <f t="shared" ref="V17:V36" si="19">SUM(U17*S17)</f>
        <v>19.5</v>
      </c>
      <c r="W17" s="710">
        <v>1.3</v>
      </c>
      <c r="X17" s="716">
        <v>26469</v>
      </c>
      <c r="Y17" s="735">
        <f t="shared" si="8"/>
        <v>23</v>
      </c>
      <c r="Z17" s="714">
        <f t="shared" si="9"/>
        <v>29.900000000000002</v>
      </c>
      <c r="AA17" s="722">
        <f t="shared" si="10"/>
        <v>792619.10000000009</v>
      </c>
      <c r="AB17" s="719">
        <v>42341</v>
      </c>
      <c r="AC17" s="699">
        <f t="shared" si="11"/>
        <v>27</v>
      </c>
      <c r="AD17" s="701">
        <v>208272</v>
      </c>
      <c r="AE17" s="178">
        <f t="shared" si="15"/>
        <v>49</v>
      </c>
      <c r="AF17" s="729">
        <f>'Lpg (2)'!B21*2000/85</f>
        <v>2000</v>
      </c>
      <c r="AG17" s="266">
        <f>'Lpg (2)'!C21*1000/85</f>
        <v>0</v>
      </c>
      <c r="AH17" s="742">
        <f>'Lpg (2)'!D21*1000/85</f>
        <v>294.11764705882354</v>
      </c>
      <c r="AI17" s="732">
        <f t="shared" si="18"/>
        <v>4294117.6470588231</v>
      </c>
      <c r="AJ17" s="429">
        <f t="shared" si="4"/>
        <v>58823.529411764815</v>
      </c>
      <c r="AK17" s="132"/>
    </row>
    <row r="18" spans="1:37" ht="18.75">
      <c r="A18" s="763">
        <f>Gen!A23</f>
        <v>44178</v>
      </c>
      <c r="B18" s="426">
        <f>'Summery Report'!E17</f>
        <v>20.78</v>
      </c>
      <c r="C18" s="768">
        <f>Gen!B23</f>
        <v>0</v>
      </c>
      <c r="D18" s="730">
        <f>'Summery Report'!E17</f>
        <v>20.78</v>
      </c>
      <c r="E18" s="730">
        <f t="shared" si="13"/>
        <v>1.3262195121951219</v>
      </c>
      <c r="F18" s="439">
        <f t="shared" si="14"/>
        <v>171.93625437216835</v>
      </c>
      <c r="G18" s="439">
        <f t="shared" si="0"/>
        <v>171.93625437216835</v>
      </c>
      <c r="H18" s="730">
        <f>Gen!C23</f>
        <v>38518.54</v>
      </c>
      <c r="I18" s="730">
        <f>Gen!E23</f>
        <v>0</v>
      </c>
      <c r="J18" s="769">
        <f>Gen!T23</f>
        <v>2694</v>
      </c>
      <c r="K18" s="774">
        <f>Gen!AK23</f>
        <v>0</v>
      </c>
      <c r="L18" s="765">
        <f t="shared" si="17"/>
        <v>2694</v>
      </c>
      <c r="M18" s="450">
        <f>'Water-Meter'!K58</f>
        <v>458.21794579174195</v>
      </c>
      <c r="N18" s="725">
        <f>'Water-Meter'!E18</f>
        <v>56</v>
      </c>
      <c r="O18" s="715"/>
      <c r="P18" s="723">
        <v>19032</v>
      </c>
      <c r="Q18" s="735"/>
      <c r="R18" s="427">
        <f t="shared" si="5"/>
        <v>0</v>
      </c>
      <c r="S18" s="710"/>
      <c r="T18" s="711">
        <v>17129</v>
      </c>
      <c r="U18" s="735">
        <f t="shared" si="6"/>
        <v>0</v>
      </c>
      <c r="V18" s="428">
        <f t="shared" si="19"/>
        <v>0</v>
      </c>
      <c r="W18" s="710">
        <v>1.3</v>
      </c>
      <c r="X18" s="716">
        <v>26486</v>
      </c>
      <c r="Y18" s="735">
        <f t="shared" si="8"/>
        <v>17</v>
      </c>
      <c r="Z18" s="714">
        <f t="shared" si="9"/>
        <v>22.1</v>
      </c>
      <c r="AA18" s="722">
        <f t="shared" si="10"/>
        <v>586114.10000000009</v>
      </c>
      <c r="AB18" s="719">
        <v>42381</v>
      </c>
      <c r="AC18" s="699">
        <f t="shared" si="11"/>
        <v>40</v>
      </c>
      <c r="AD18" s="701">
        <v>208313</v>
      </c>
      <c r="AE18" s="178">
        <f t="shared" si="15"/>
        <v>41</v>
      </c>
      <c r="AF18" s="729">
        <f>'Lpg (2)'!B22*2000/85</f>
        <v>2000</v>
      </c>
      <c r="AG18" s="266">
        <f>'Lpg (2)'!C22*1000/85</f>
        <v>0</v>
      </c>
      <c r="AH18" s="742">
        <f>'Lpg (2)'!D22*1000/85</f>
        <v>235.29411764705881</v>
      </c>
      <c r="AI18" s="732">
        <f t="shared" si="18"/>
        <v>4235294.1176470593</v>
      </c>
      <c r="AJ18" s="429">
        <f t="shared" si="4"/>
        <v>58823.529411763884</v>
      </c>
      <c r="AK18" s="132"/>
    </row>
    <row r="19" spans="1:37" ht="18.75">
      <c r="A19" s="763">
        <f>Gen!A24</f>
        <v>44179</v>
      </c>
      <c r="B19" s="426">
        <f>'Summery Report'!E18</f>
        <v>2.6</v>
      </c>
      <c r="C19" s="768">
        <f>Gen!B24</f>
        <v>0</v>
      </c>
      <c r="D19" s="730">
        <f>'Summery Report'!E18</f>
        <v>2.6</v>
      </c>
      <c r="E19" s="730">
        <f t="shared" si="13"/>
        <v>1.3262195121951219</v>
      </c>
      <c r="F19" s="439">
        <f t="shared" si="14"/>
        <v>1423.1355534709194</v>
      </c>
      <c r="G19" s="439">
        <f t="shared" si="0"/>
        <v>1423.1355534709194</v>
      </c>
      <c r="H19" s="730">
        <f>Gen!C24</f>
        <v>37401.700000000004</v>
      </c>
      <c r="I19" s="730">
        <f>Gen!E24</f>
        <v>0</v>
      </c>
      <c r="J19" s="769">
        <f>Gen!T24</f>
        <v>2790</v>
      </c>
      <c r="K19" s="774">
        <f>Gen!AK24</f>
        <v>0</v>
      </c>
      <c r="L19" s="765">
        <f t="shared" si="17"/>
        <v>2790</v>
      </c>
      <c r="M19" s="450">
        <f>'Water-Meter'!K59</f>
        <v>430.24746957161881</v>
      </c>
      <c r="N19" s="725">
        <f>'Water-Meter'!E19</f>
        <v>60</v>
      </c>
      <c r="O19" s="715"/>
      <c r="P19" s="723"/>
      <c r="Q19" s="735"/>
      <c r="R19" s="427">
        <f t="shared" si="5"/>
        <v>0</v>
      </c>
      <c r="S19" s="710"/>
      <c r="T19" s="711">
        <v>17129</v>
      </c>
      <c r="U19" s="735">
        <f t="shared" si="6"/>
        <v>0</v>
      </c>
      <c r="V19" s="428">
        <f t="shared" si="19"/>
        <v>0</v>
      </c>
      <c r="W19" s="710"/>
      <c r="X19" s="716">
        <v>26509</v>
      </c>
      <c r="Y19" s="735">
        <f t="shared" si="8"/>
        <v>23</v>
      </c>
      <c r="Z19" s="714">
        <f t="shared" si="9"/>
        <v>0</v>
      </c>
      <c r="AA19" s="722">
        <f t="shared" si="10"/>
        <v>0</v>
      </c>
      <c r="AB19" s="719">
        <v>42409</v>
      </c>
      <c r="AC19" s="699">
        <f t="shared" si="11"/>
        <v>28</v>
      </c>
      <c r="AD19" s="701">
        <v>208354</v>
      </c>
      <c r="AE19" s="178">
        <f t="shared" si="15"/>
        <v>41</v>
      </c>
      <c r="AF19" s="729">
        <f>'Lpg (2)'!B23*2000/85</f>
        <v>2000</v>
      </c>
      <c r="AG19" s="266">
        <f>'Lpg (2)'!C23*1000/85</f>
        <v>0</v>
      </c>
      <c r="AH19" s="742">
        <f>'Lpg (2)'!D23*1000/85</f>
        <v>176.47058823529412</v>
      </c>
      <c r="AI19" s="732">
        <f t="shared" si="18"/>
        <v>4176470.588235294</v>
      </c>
      <c r="AJ19" s="429">
        <f t="shared" si="4"/>
        <v>58823.529411765281</v>
      </c>
      <c r="AK19" s="132"/>
    </row>
    <row r="20" spans="1:37" ht="18.75">
      <c r="A20" s="763">
        <f>Gen!A25</f>
        <v>44180</v>
      </c>
      <c r="B20" s="426">
        <f>'Summery Report'!E19</f>
        <v>6.49</v>
      </c>
      <c r="C20" s="768">
        <f>Gen!B25</f>
        <v>0</v>
      </c>
      <c r="D20" s="730">
        <f>'Summery Report'!E19</f>
        <v>6.49</v>
      </c>
      <c r="E20" s="730">
        <f t="shared" si="13"/>
        <v>1.3262195121951219</v>
      </c>
      <c r="F20" s="439">
        <f t="shared" si="14"/>
        <v>553.17044984779579</v>
      </c>
      <c r="G20" s="439">
        <f t="shared" si="0"/>
        <v>553.17044984779579</v>
      </c>
      <c r="H20" s="730">
        <f>Gen!C25</f>
        <v>36210.080000000002</v>
      </c>
      <c r="I20" s="730">
        <f>Gen!E25</f>
        <v>0</v>
      </c>
      <c r="J20" s="769">
        <f>Gen!T25</f>
        <v>2707</v>
      </c>
      <c r="K20" s="774">
        <f>Gen!AK25</f>
        <v>0</v>
      </c>
      <c r="L20" s="765">
        <f t="shared" si="17"/>
        <v>2707</v>
      </c>
      <c r="M20" s="450">
        <f>'Water-Meter'!K60</f>
        <v>384.09145216666082</v>
      </c>
      <c r="N20" s="725">
        <f>'Water-Meter'!E20</f>
        <v>74</v>
      </c>
      <c r="O20" s="715"/>
      <c r="P20" s="723"/>
      <c r="Q20" s="735">
        <f t="shared" si="2"/>
        <v>0</v>
      </c>
      <c r="R20" s="427">
        <f t="shared" si="5"/>
        <v>0</v>
      </c>
      <c r="S20" s="710"/>
      <c r="T20" s="711">
        <v>17129</v>
      </c>
      <c r="U20" s="735">
        <f t="shared" si="6"/>
        <v>0</v>
      </c>
      <c r="V20" s="428">
        <f t="shared" si="19"/>
        <v>0</v>
      </c>
      <c r="W20" s="710">
        <v>1.4</v>
      </c>
      <c r="X20" s="716">
        <v>26521</v>
      </c>
      <c r="Y20" s="735">
        <f t="shared" si="8"/>
        <v>12</v>
      </c>
      <c r="Z20" s="714">
        <f t="shared" si="9"/>
        <v>16.799999999999997</v>
      </c>
      <c r="AA20" s="722">
        <f t="shared" si="10"/>
        <v>0</v>
      </c>
      <c r="AB20" s="719">
        <v>42422</v>
      </c>
      <c r="AC20" s="699">
        <f t="shared" si="11"/>
        <v>13</v>
      </c>
      <c r="AD20" s="701">
        <v>208396</v>
      </c>
      <c r="AE20" s="178">
        <f t="shared" si="15"/>
        <v>42</v>
      </c>
      <c r="AF20" s="729">
        <f>'Lpg (2)'!B24*2000/85</f>
        <v>2000</v>
      </c>
      <c r="AG20" s="266">
        <f>'Lpg (2)'!C24*1000/85</f>
        <v>0</v>
      </c>
      <c r="AH20" s="742">
        <f>'Lpg (2)'!D24*1000/85</f>
        <v>152.94117647058823</v>
      </c>
      <c r="AI20" s="732">
        <f t="shared" si="18"/>
        <v>4152941.1764705884</v>
      </c>
      <c r="AJ20" s="429">
        <f t="shared" si="4"/>
        <v>23529.411764705554</v>
      </c>
      <c r="AK20" s="132"/>
    </row>
    <row r="21" spans="1:37" ht="18.75">
      <c r="A21" s="763">
        <f>Gen!A26</f>
        <v>44181</v>
      </c>
      <c r="B21" s="426">
        <f>'Summery Report'!E20</f>
        <v>7.49</v>
      </c>
      <c r="C21" s="768">
        <f>Gen!B26</f>
        <v>0</v>
      </c>
      <c r="D21" s="730">
        <f>'Summery Report'!E20</f>
        <v>7.49</v>
      </c>
      <c r="E21" s="730">
        <f t="shared" si="13"/>
        <v>1.3262195121951219</v>
      </c>
      <c r="F21" s="439">
        <f t="shared" si="14"/>
        <v>0</v>
      </c>
      <c r="G21" s="439">
        <f t="shared" si="0"/>
        <v>0</v>
      </c>
      <c r="H21" s="730">
        <f>Gen!C26</f>
        <v>34992.44</v>
      </c>
      <c r="I21" s="730">
        <f>Gen!E26</f>
        <v>0</v>
      </c>
      <c r="J21" s="769">
        <f>Gen!T26</f>
        <v>0</v>
      </c>
      <c r="K21" s="774">
        <f>Gen!AK26</f>
        <v>0</v>
      </c>
      <c r="L21" s="765">
        <f t="shared" si="17"/>
        <v>0</v>
      </c>
      <c r="M21" s="450">
        <f>'Water-Meter'!K61</f>
        <v>371.52789218086912</v>
      </c>
      <c r="N21" s="725" t="str">
        <f>'Water-Meter'!E21</f>
        <v>0</v>
      </c>
      <c r="O21" s="715"/>
      <c r="P21" s="723"/>
      <c r="Q21" s="735">
        <f t="shared" si="2"/>
        <v>0</v>
      </c>
      <c r="R21" s="427">
        <f t="shared" si="5"/>
        <v>0</v>
      </c>
      <c r="S21" s="710"/>
      <c r="T21" s="711"/>
      <c r="U21" s="735">
        <f>T22-T20</f>
        <v>-17129</v>
      </c>
      <c r="V21" s="428">
        <f t="shared" si="19"/>
        <v>0</v>
      </c>
      <c r="W21" s="710"/>
      <c r="X21" s="716"/>
      <c r="Y21" s="735">
        <f t="shared" si="8"/>
        <v>-26521</v>
      </c>
      <c r="Z21" s="714">
        <f t="shared" si="9"/>
        <v>0</v>
      </c>
      <c r="AA21" s="722">
        <f t="shared" si="10"/>
        <v>0</v>
      </c>
      <c r="AB21" s="719"/>
      <c r="AC21" s="699">
        <f t="shared" si="11"/>
        <v>-42422</v>
      </c>
      <c r="AD21" s="701"/>
      <c r="AE21" s="178">
        <f t="shared" si="15"/>
        <v>-208396</v>
      </c>
      <c r="AF21" s="729">
        <f>'Lpg (2)'!B25*2000/85</f>
        <v>2000</v>
      </c>
      <c r="AG21" s="266">
        <f>'Lpg (2)'!C25*1000/85</f>
        <v>0</v>
      </c>
      <c r="AH21" s="742">
        <f>'Lpg (2)'!D25*1000/85</f>
        <v>105.88235294117646</v>
      </c>
      <c r="AI21" s="732">
        <f t="shared" si="18"/>
        <v>4105882.3529411764</v>
      </c>
      <c r="AJ21" s="429">
        <f t="shared" si="4"/>
        <v>47058.823529412039</v>
      </c>
      <c r="AK21" s="132"/>
    </row>
    <row r="22" spans="1:37" ht="18.75">
      <c r="A22" s="763">
        <f>Gen!A27</f>
        <v>44182</v>
      </c>
      <c r="B22" s="426">
        <f>'Summery Report'!E21</f>
        <v>0</v>
      </c>
      <c r="C22" s="768">
        <f>Gen!B27</f>
        <v>0</v>
      </c>
      <c r="D22" s="730">
        <f>'Summery Report'!E21</f>
        <v>0</v>
      </c>
      <c r="E22" s="730">
        <f t="shared" si="13"/>
        <v>1.3262195121951219</v>
      </c>
      <c r="F22" s="439" t="e">
        <f t="shared" si="14"/>
        <v>#DIV/0!</v>
      </c>
      <c r="G22" s="439" t="e">
        <f t="shared" si="0"/>
        <v>#DIV/0!</v>
      </c>
      <c r="H22" s="730">
        <f>Gen!C27</f>
        <v>34992.44</v>
      </c>
      <c r="I22" s="730">
        <f>Gen!E27</f>
        <v>0</v>
      </c>
      <c r="J22" s="769">
        <f>Gen!T27</f>
        <v>0</v>
      </c>
      <c r="K22" s="774">
        <f>Gen!AK27</f>
        <v>0</v>
      </c>
      <c r="L22" s="765">
        <f t="shared" si="17"/>
        <v>0</v>
      </c>
      <c r="M22" s="450">
        <f>'Water-Meter'!K62</f>
        <v>0</v>
      </c>
      <c r="N22" s="725">
        <f>'Water-Meter'!E22</f>
        <v>0</v>
      </c>
      <c r="O22" s="715"/>
      <c r="P22" s="723"/>
      <c r="Q22" s="735">
        <f t="shared" si="2"/>
        <v>0</v>
      </c>
      <c r="R22" s="427">
        <f t="shared" si="5"/>
        <v>0</v>
      </c>
      <c r="S22" s="710"/>
      <c r="T22" s="711"/>
      <c r="U22" s="735">
        <f t="shared" ref="U22:U23" si="20">T23-T21</f>
        <v>0</v>
      </c>
      <c r="V22" s="428">
        <f t="shared" si="19"/>
        <v>0</v>
      </c>
      <c r="W22" s="710"/>
      <c r="X22" s="716"/>
      <c r="Y22" s="735">
        <f t="shared" si="8"/>
        <v>0</v>
      </c>
      <c r="Z22" s="714">
        <f t="shared" si="9"/>
        <v>0</v>
      </c>
      <c r="AA22" s="722">
        <f t="shared" si="10"/>
        <v>0</v>
      </c>
      <c r="AB22" s="719"/>
      <c r="AC22" s="699">
        <f t="shared" si="11"/>
        <v>0</v>
      </c>
      <c r="AD22" s="701"/>
      <c r="AE22" s="178">
        <f t="shared" si="15"/>
        <v>0</v>
      </c>
      <c r="AF22" s="729">
        <f>'Lpg (2)'!B26*2000/85</f>
        <v>0</v>
      </c>
      <c r="AG22" s="266">
        <f>'Lpg (2)'!C26*1000/85</f>
        <v>0</v>
      </c>
      <c r="AH22" s="742">
        <f>'Lpg (2)'!D26*1000/85</f>
        <v>0</v>
      </c>
      <c r="AI22" s="732">
        <f t="shared" si="18"/>
        <v>0</v>
      </c>
      <c r="AJ22" s="429">
        <f t="shared" si="4"/>
        <v>4105882.3529411764</v>
      </c>
      <c r="AK22" s="132"/>
    </row>
    <row r="23" spans="1:37" ht="18.75">
      <c r="A23" s="763">
        <f>Gen!A28</f>
        <v>44183</v>
      </c>
      <c r="B23" s="426">
        <f>'Summery Report'!E22</f>
        <v>0</v>
      </c>
      <c r="C23" s="768">
        <f>Gen!B28</f>
        <v>0</v>
      </c>
      <c r="D23" s="730">
        <f>'Summery Report'!E22</f>
        <v>0</v>
      </c>
      <c r="E23" s="730">
        <f t="shared" si="13"/>
        <v>1.3262195121951219</v>
      </c>
      <c r="F23" s="439" t="e">
        <f t="shared" si="14"/>
        <v>#DIV/0!</v>
      </c>
      <c r="G23" s="439" t="e">
        <f t="shared" si="0"/>
        <v>#DIV/0!</v>
      </c>
      <c r="H23" s="730">
        <f>Gen!C28</f>
        <v>34992.44</v>
      </c>
      <c r="I23" s="730">
        <f>Gen!E28</f>
        <v>0</v>
      </c>
      <c r="J23" s="769">
        <f>Gen!T28</f>
        <v>0</v>
      </c>
      <c r="K23" s="774">
        <f>Gen!AK28</f>
        <v>0</v>
      </c>
      <c r="L23" s="765">
        <f t="shared" si="17"/>
        <v>0</v>
      </c>
      <c r="M23" s="450">
        <f>'Water-Meter'!K63</f>
        <v>0</v>
      </c>
      <c r="N23" s="725">
        <f>'Water-Meter'!E23</f>
        <v>0</v>
      </c>
      <c r="O23" s="715"/>
      <c r="P23" s="723"/>
      <c r="Q23" s="735">
        <f t="shared" si="2"/>
        <v>0</v>
      </c>
      <c r="R23" s="427">
        <f t="shared" si="5"/>
        <v>0</v>
      </c>
      <c r="S23" s="710"/>
      <c r="T23" s="711"/>
      <c r="U23" s="735">
        <f t="shared" si="20"/>
        <v>0</v>
      </c>
      <c r="V23" s="428">
        <f t="shared" si="19"/>
        <v>0</v>
      </c>
      <c r="W23" s="710"/>
      <c r="X23" s="716"/>
      <c r="Y23" s="735">
        <f t="shared" si="8"/>
        <v>0</v>
      </c>
      <c r="Z23" s="714">
        <f t="shared" si="9"/>
        <v>0</v>
      </c>
      <c r="AA23" s="722">
        <f t="shared" si="10"/>
        <v>0</v>
      </c>
      <c r="AB23" s="719"/>
      <c r="AC23" s="699">
        <f t="shared" si="11"/>
        <v>0</v>
      </c>
      <c r="AD23" s="702"/>
      <c r="AE23" s="178">
        <f t="shared" si="15"/>
        <v>0</v>
      </c>
      <c r="AF23" s="729">
        <f>'Lpg (2)'!B27*2000/85</f>
        <v>0</v>
      </c>
      <c r="AG23" s="266">
        <f>'Lpg (2)'!C27*1000/85</f>
        <v>0</v>
      </c>
      <c r="AH23" s="742">
        <f>'Lpg (2)'!D27*1000/85</f>
        <v>0</v>
      </c>
      <c r="AI23" s="732">
        <f t="shared" si="18"/>
        <v>0</v>
      </c>
      <c r="AJ23" s="429">
        <f t="shared" si="4"/>
        <v>0</v>
      </c>
      <c r="AK23" s="132"/>
    </row>
    <row r="24" spans="1:37" ht="18.75">
      <c r="A24" s="763">
        <f>Gen!A29</f>
        <v>44184</v>
      </c>
      <c r="B24" s="426">
        <f>'Summery Report'!E23</f>
        <v>0</v>
      </c>
      <c r="C24" s="768">
        <f>Gen!B29</f>
        <v>0</v>
      </c>
      <c r="D24" s="730">
        <f>'Summery Report'!E23</f>
        <v>0</v>
      </c>
      <c r="E24" s="730">
        <f t="shared" si="13"/>
        <v>1.3262195121951219</v>
      </c>
      <c r="F24" s="439" t="e">
        <f t="shared" si="14"/>
        <v>#DIV/0!</v>
      </c>
      <c r="G24" s="439" t="e">
        <f t="shared" si="0"/>
        <v>#DIV/0!</v>
      </c>
      <c r="H24" s="730">
        <f>Gen!C29</f>
        <v>34992.44</v>
      </c>
      <c r="I24" s="730">
        <f>Gen!E29</f>
        <v>15000</v>
      </c>
      <c r="J24" s="769">
        <f>Gen!T29</f>
        <v>0</v>
      </c>
      <c r="K24" s="774">
        <f>Gen!AK29</f>
        <v>0</v>
      </c>
      <c r="L24" s="765">
        <f t="shared" si="17"/>
        <v>0</v>
      </c>
      <c r="M24" s="450">
        <f>'Water-Meter'!K64</f>
        <v>0</v>
      </c>
      <c r="N24" s="725">
        <f>'Water-Meter'!E24</f>
        <v>0</v>
      </c>
      <c r="O24" s="715"/>
      <c r="P24" s="723"/>
      <c r="Q24" s="735">
        <f t="shared" si="2"/>
        <v>0</v>
      </c>
      <c r="R24" s="427">
        <f t="shared" si="5"/>
        <v>0</v>
      </c>
      <c r="S24" s="710"/>
      <c r="T24" s="711"/>
      <c r="U24" s="735">
        <f t="shared" si="6"/>
        <v>0</v>
      </c>
      <c r="V24" s="428">
        <f t="shared" si="19"/>
        <v>0</v>
      </c>
      <c r="W24" s="710"/>
      <c r="X24" s="716"/>
      <c r="Y24" s="735">
        <f t="shared" si="8"/>
        <v>0</v>
      </c>
      <c r="Z24" s="714">
        <f t="shared" si="9"/>
        <v>0</v>
      </c>
      <c r="AA24" s="722">
        <f t="shared" si="10"/>
        <v>0</v>
      </c>
      <c r="AB24" s="719"/>
      <c r="AC24" s="699">
        <f t="shared" si="11"/>
        <v>0</v>
      </c>
      <c r="AD24" s="702"/>
      <c r="AE24" s="178">
        <f t="shared" si="15"/>
        <v>0</v>
      </c>
      <c r="AF24" s="729">
        <f>'Lpg (2)'!B28*2000/85</f>
        <v>0</v>
      </c>
      <c r="AG24" s="266">
        <f>'Lpg (2)'!C28*1000/85</f>
        <v>0</v>
      </c>
      <c r="AH24" s="742">
        <f>'Lpg (2)'!D28*1000/85</f>
        <v>0</v>
      </c>
      <c r="AI24" s="732">
        <f t="shared" si="18"/>
        <v>0</v>
      </c>
      <c r="AJ24" s="429">
        <f t="shared" si="4"/>
        <v>0</v>
      </c>
      <c r="AK24" s="132"/>
    </row>
    <row r="25" spans="1:37" ht="18.75">
      <c r="A25" s="763">
        <f>Gen!A30</f>
        <v>44185</v>
      </c>
      <c r="B25" s="426">
        <f>'Summery Report'!E24</f>
        <v>0</v>
      </c>
      <c r="C25" s="768">
        <f>Gen!B30</f>
        <v>0</v>
      </c>
      <c r="D25" s="730">
        <f>'Summery Report'!E24</f>
        <v>0</v>
      </c>
      <c r="E25" s="730">
        <f t="shared" si="13"/>
        <v>1.3262195121951219</v>
      </c>
      <c r="F25" s="439" t="e">
        <f t="shared" si="14"/>
        <v>#DIV/0!</v>
      </c>
      <c r="G25" s="439" t="e">
        <f t="shared" si="0"/>
        <v>#DIV/0!</v>
      </c>
      <c r="H25" s="730">
        <f>Gen!C30</f>
        <v>34992.44</v>
      </c>
      <c r="I25" s="730">
        <f>Gen!E30</f>
        <v>0</v>
      </c>
      <c r="J25" s="769">
        <f>Gen!T30</f>
        <v>0</v>
      </c>
      <c r="K25" s="774">
        <f>Gen!AK30</f>
        <v>0</v>
      </c>
      <c r="L25" s="765">
        <f t="shared" si="17"/>
        <v>0</v>
      </c>
      <c r="M25" s="450">
        <f>'Water-Meter'!K65</f>
        <v>0</v>
      </c>
      <c r="N25" s="725">
        <f>'Water-Meter'!E25</f>
        <v>0</v>
      </c>
      <c r="O25" s="715"/>
      <c r="P25" s="723"/>
      <c r="Q25" s="735">
        <f t="shared" si="2"/>
        <v>0</v>
      </c>
      <c r="R25" s="427">
        <f t="shared" si="5"/>
        <v>0</v>
      </c>
      <c r="S25" s="710"/>
      <c r="T25" s="711"/>
      <c r="U25" s="735">
        <f t="shared" si="6"/>
        <v>0</v>
      </c>
      <c r="V25" s="428">
        <f t="shared" si="19"/>
        <v>0</v>
      </c>
      <c r="W25" s="710"/>
      <c r="X25" s="716"/>
      <c r="Y25" s="735">
        <f t="shared" si="8"/>
        <v>0</v>
      </c>
      <c r="Z25" s="714">
        <f t="shared" si="9"/>
        <v>0</v>
      </c>
      <c r="AA25" s="722">
        <f t="shared" si="10"/>
        <v>0</v>
      </c>
      <c r="AB25" s="719"/>
      <c r="AC25" s="699">
        <f t="shared" si="11"/>
        <v>0</v>
      </c>
      <c r="AD25" s="702"/>
      <c r="AE25" s="178">
        <f t="shared" si="15"/>
        <v>0</v>
      </c>
      <c r="AF25" s="729">
        <f>'Lpg (2)'!B29*2000/85</f>
        <v>0</v>
      </c>
      <c r="AG25" s="266">
        <f>'Lpg (2)'!C29*1000/85</f>
        <v>0</v>
      </c>
      <c r="AH25" s="742">
        <f>'Lpg (2)'!D29*1000/85</f>
        <v>0</v>
      </c>
      <c r="AI25" s="732">
        <f t="shared" si="18"/>
        <v>0</v>
      </c>
      <c r="AJ25" s="429">
        <f t="shared" si="4"/>
        <v>0</v>
      </c>
      <c r="AK25" s="132"/>
    </row>
    <row r="26" spans="1:37" ht="18.75">
      <c r="A26" s="763">
        <f>Gen!A31</f>
        <v>44186</v>
      </c>
      <c r="B26" s="426">
        <f>'Summery Report'!E25</f>
        <v>0</v>
      </c>
      <c r="C26" s="768">
        <f>Gen!B31</f>
        <v>0</v>
      </c>
      <c r="D26" s="730">
        <f>'Summery Report'!E25</f>
        <v>0</v>
      </c>
      <c r="E26" s="730">
        <f t="shared" si="13"/>
        <v>1.3262195121951219</v>
      </c>
      <c r="F26" s="439" t="e">
        <f>SUM(J26*E26)/D26</f>
        <v>#DIV/0!</v>
      </c>
      <c r="G26" s="439" t="e">
        <f t="shared" si="0"/>
        <v>#DIV/0!</v>
      </c>
      <c r="H26" s="730">
        <f>Gen!C31</f>
        <v>34992.44</v>
      </c>
      <c r="I26" s="730">
        <f>Gen!E31</f>
        <v>0</v>
      </c>
      <c r="J26" s="769">
        <f>Gen!T31</f>
        <v>0</v>
      </c>
      <c r="K26" s="774">
        <f>Gen!AK31</f>
        <v>0</v>
      </c>
      <c r="L26" s="765">
        <f t="shared" si="17"/>
        <v>0</v>
      </c>
      <c r="M26" s="450">
        <f>'Water-Meter'!K66</f>
        <v>0</v>
      </c>
      <c r="N26" s="725">
        <f>'Water-Meter'!E26</f>
        <v>0</v>
      </c>
      <c r="O26" s="715"/>
      <c r="P26" s="723"/>
      <c r="Q26" s="735">
        <f t="shared" si="2"/>
        <v>0</v>
      </c>
      <c r="R26" s="427">
        <f t="shared" si="5"/>
        <v>0</v>
      </c>
      <c r="S26" s="710"/>
      <c r="T26" s="711"/>
      <c r="U26" s="735">
        <f t="shared" si="6"/>
        <v>0</v>
      </c>
      <c r="V26" s="428">
        <f t="shared" si="19"/>
        <v>0</v>
      </c>
      <c r="W26" s="710"/>
      <c r="X26" s="716"/>
      <c r="Y26" s="735">
        <f t="shared" si="8"/>
        <v>0</v>
      </c>
      <c r="Z26" s="714">
        <f t="shared" si="9"/>
        <v>0</v>
      </c>
      <c r="AA26" s="722">
        <f t="shared" si="10"/>
        <v>0</v>
      </c>
      <c r="AB26" s="719"/>
      <c r="AC26" s="699">
        <f t="shared" si="11"/>
        <v>0</v>
      </c>
      <c r="AD26" s="702"/>
      <c r="AE26" s="178">
        <f t="shared" si="15"/>
        <v>0</v>
      </c>
      <c r="AF26" s="729">
        <f>'Lpg (2)'!B30*2000/85</f>
        <v>0</v>
      </c>
      <c r="AG26" s="266">
        <f>'Lpg (2)'!C30*1000/85</f>
        <v>0</v>
      </c>
      <c r="AH26" s="742">
        <f>'Lpg (2)'!D30*1000/85</f>
        <v>0</v>
      </c>
      <c r="AI26" s="732">
        <f t="shared" si="18"/>
        <v>0</v>
      </c>
      <c r="AJ26" s="429">
        <f t="shared" si="4"/>
        <v>0</v>
      </c>
      <c r="AK26" s="132"/>
    </row>
    <row r="27" spans="1:37" ht="18.75">
      <c r="A27" s="763">
        <f>Gen!A32</f>
        <v>44187</v>
      </c>
      <c r="B27" s="426">
        <f>'Summery Report'!E26</f>
        <v>0</v>
      </c>
      <c r="C27" s="768">
        <f>Gen!B32</f>
        <v>0</v>
      </c>
      <c r="D27" s="730">
        <f>'Summery Report'!E26</f>
        <v>0</v>
      </c>
      <c r="E27" s="730">
        <f t="shared" si="13"/>
        <v>1.3262195121951219</v>
      </c>
      <c r="F27" s="439" t="e">
        <f t="shared" si="14"/>
        <v>#DIV/0!</v>
      </c>
      <c r="G27" s="439" t="e">
        <f t="shared" si="0"/>
        <v>#DIV/0!</v>
      </c>
      <c r="H27" s="730">
        <f>Gen!C32</f>
        <v>34992.44</v>
      </c>
      <c r="I27" s="730">
        <f>Gen!E32</f>
        <v>0</v>
      </c>
      <c r="J27" s="769">
        <f>Gen!T32</f>
        <v>0</v>
      </c>
      <c r="K27" s="774">
        <f>Gen!AK32</f>
        <v>0</v>
      </c>
      <c r="L27" s="765">
        <f t="shared" si="17"/>
        <v>0</v>
      </c>
      <c r="M27" s="450">
        <f>'Water-Meter'!K67</f>
        <v>0</v>
      </c>
      <c r="N27" s="725">
        <f>'Water-Meter'!E27</f>
        <v>0</v>
      </c>
      <c r="O27" s="715"/>
      <c r="P27" s="723"/>
      <c r="Q27" s="735">
        <f t="shared" si="2"/>
        <v>0</v>
      </c>
      <c r="R27" s="427">
        <f t="shared" si="5"/>
        <v>0</v>
      </c>
      <c r="S27" s="710"/>
      <c r="T27" s="711"/>
      <c r="U27" s="735">
        <f t="shared" si="6"/>
        <v>0</v>
      </c>
      <c r="V27" s="428">
        <f t="shared" si="19"/>
        <v>0</v>
      </c>
      <c r="W27" s="710"/>
      <c r="X27" s="716"/>
      <c r="Y27" s="735">
        <f t="shared" si="8"/>
        <v>0</v>
      </c>
      <c r="Z27" s="714">
        <f t="shared" si="9"/>
        <v>0</v>
      </c>
      <c r="AA27" s="722">
        <f t="shared" si="10"/>
        <v>0</v>
      </c>
      <c r="AB27" s="719"/>
      <c r="AC27" s="699">
        <f t="shared" si="11"/>
        <v>0</v>
      </c>
      <c r="AD27" s="702"/>
      <c r="AE27" s="178">
        <f t="shared" si="15"/>
        <v>0</v>
      </c>
      <c r="AF27" s="729">
        <f>'Lpg (2)'!B31*2000/85</f>
        <v>0</v>
      </c>
      <c r="AG27" s="266">
        <f>'Lpg (2)'!C31*1000/85</f>
        <v>0</v>
      </c>
      <c r="AH27" s="742">
        <f>'Lpg (2)'!D31*1000/85</f>
        <v>0</v>
      </c>
      <c r="AI27" s="732">
        <f t="shared" si="18"/>
        <v>0</v>
      </c>
      <c r="AJ27" s="429">
        <f t="shared" si="4"/>
        <v>0</v>
      </c>
      <c r="AK27" s="132"/>
    </row>
    <row r="28" spans="1:37" ht="18.75">
      <c r="A28" s="763">
        <f>Gen!A33</f>
        <v>44188</v>
      </c>
      <c r="B28" s="426">
        <f>'Summery Report'!E27</f>
        <v>0</v>
      </c>
      <c r="C28" s="768">
        <f>Gen!B33</f>
        <v>0</v>
      </c>
      <c r="D28" s="730">
        <f>'Summery Report'!E27</f>
        <v>0</v>
      </c>
      <c r="E28" s="730">
        <f t="shared" si="13"/>
        <v>1.3262195121951219</v>
      </c>
      <c r="F28" s="439" t="e">
        <f t="shared" si="14"/>
        <v>#DIV/0!</v>
      </c>
      <c r="G28" s="439" t="e">
        <f t="shared" si="0"/>
        <v>#DIV/0!</v>
      </c>
      <c r="H28" s="730">
        <f>Gen!C33</f>
        <v>34992.44</v>
      </c>
      <c r="I28" s="730">
        <f>Gen!E33</f>
        <v>0</v>
      </c>
      <c r="J28" s="769">
        <f>Gen!T33</f>
        <v>0</v>
      </c>
      <c r="K28" s="774">
        <f>Gen!AK33</f>
        <v>0</v>
      </c>
      <c r="L28" s="765">
        <f t="shared" si="17"/>
        <v>0</v>
      </c>
      <c r="M28" s="450">
        <f>'Water-Meter'!K68</f>
        <v>0</v>
      </c>
      <c r="N28" s="725">
        <f>'Water-Meter'!E28</f>
        <v>0</v>
      </c>
      <c r="O28" s="715"/>
      <c r="P28" s="723"/>
      <c r="Q28" s="735">
        <f t="shared" si="2"/>
        <v>0</v>
      </c>
      <c r="R28" s="427">
        <f t="shared" si="5"/>
        <v>0</v>
      </c>
      <c r="S28" s="710"/>
      <c r="T28" s="711"/>
      <c r="U28" s="735">
        <f t="shared" si="6"/>
        <v>0</v>
      </c>
      <c r="V28" s="428">
        <f t="shared" si="19"/>
        <v>0</v>
      </c>
      <c r="W28" s="710"/>
      <c r="X28" s="716"/>
      <c r="Y28" s="735">
        <f t="shared" si="8"/>
        <v>0</v>
      </c>
      <c r="Z28" s="714">
        <f t="shared" si="9"/>
        <v>0</v>
      </c>
      <c r="AA28" s="722">
        <f t="shared" si="10"/>
        <v>0</v>
      </c>
      <c r="AB28" s="719"/>
      <c r="AC28" s="699">
        <f t="shared" ref="AC28:AC37" si="21">SUM(AB28-AB27)</f>
        <v>0</v>
      </c>
      <c r="AD28" s="702"/>
      <c r="AE28" s="178">
        <f t="shared" si="15"/>
        <v>0</v>
      </c>
      <c r="AF28" s="729">
        <f>'Lpg (2)'!B32*2000/85</f>
        <v>0</v>
      </c>
      <c r="AG28" s="266">
        <f>'Lpg (2)'!C32*1000/85</f>
        <v>0</v>
      </c>
      <c r="AH28" s="742">
        <f>'Lpg (2)'!D32*1000/85</f>
        <v>0</v>
      </c>
      <c r="AI28" s="732">
        <f t="shared" si="18"/>
        <v>0</v>
      </c>
      <c r="AJ28" s="429">
        <f t="shared" si="4"/>
        <v>0</v>
      </c>
      <c r="AK28" s="132"/>
    </row>
    <row r="29" spans="1:37" ht="18.75">
      <c r="A29" s="763">
        <f>Gen!A34</f>
        <v>44189</v>
      </c>
      <c r="B29" s="426">
        <f>'Summery Report'!E28</f>
        <v>0</v>
      </c>
      <c r="C29" s="768">
        <f>Gen!B34</f>
        <v>0</v>
      </c>
      <c r="D29" s="730">
        <f>'Summery Report'!E28</f>
        <v>0</v>
      </c>
      <c r="E29" s="730">
        <f t="shared" si="13"/>
        <v>1.3262195121951219</v>
      </c>
      <c r="F29" s="439" t="e">
        <f t="shared" si="14"/>
        <v>#DIV/0!</v>
      </c>
      <c r="G29" s="439" t="e">
        <f t="shared" si="0"/>
        <v>#DIV/0!</v>
      </c>
      <c r="H29" s="730">
        <f>Gen!C34</f>
        <v>34992.44</v>
      </c>
      <c r="I29" s="730">
        <f>Gen!E34</f>
        <v>0</v>
      </c>
      <c r="J29" s="769">
        <f>Gen!T34</f>
        <v>0</v>
      </c>
      <c r="K29" s="774">
        <f>Gen!AK34</f>
        <v>0</v>
      </c>
      <c r="L29" s="765">
        <f t="shared" si="17"/>
        <v>0</v>
      </c>
      <c r="M29" s="450">
        <f>'Water-Meter'!K69</f>
        <v>0</v>
      </c>
      <c r="N29" s="725">
        <f>'Water-Meter'!E29</f>
        <v>0</v>
      </c>
      <c r="O29" s="715"/>
      <c r="P29" s="723"/>
      <c r="Q29" s="735">
        <f t="shared" si="2"/>
        <v>0</v>
      </c>
      <c r="R29" s="427">
        <f t="shared" si="5"/>
        <v>0</v>
      </c>
      <c r="S29" s="710"/>
      <c r="T29" s="711"/>
      <c r="U29" s="735">
        <f t="shared" si="6"/>
        <v>0</v>
      </c>
      <c r="V29" s="428">
        <f t="shared" si="19"/>
        <v>0</v>
      </c>
      <c r="W29" s="710"/>
      <c r="X29" s="716"/>
      <c r="Y29" s="735">
        <f t="shared" si="8"/>
        <v>0</v>
      </c>
      <c r="Z29" s="714">
        <f t="shared" si="9"/>
        <v>0</v>
      </c>
      <c r="AA29" s="722">
        <f t="shared" si="10"/>
        <v>0</v>
      </c>
      <c r="AB29" s="719"/>
      <c r="AC29" s="699">
        <f t="shared" si="21"/>
        <v>0</v>
      </c>
      <c r="AD29" s="702"/>
      <c r="AE29" s="178">
        <f t="shared" si="15"/>
        <v>0</v>
      </c>
      <c r="AF29" s="729">
        <f>'Lpg (2)'!B33*2000/85</f>
        <v>0</v>
      </c>
      <c r="AG29" s="266">
        <f>'Lpg (2)'!C33*1000/85</f>
        <v>0</v>
      </c>
      <c r="AH29" s="742">
        <f>'Lpg (2)'!D33*1000/85</f>
        <v>0</v>
      </c>
      <c r="AI29" s="732">
        <f t="shared" si="18"/>
        <v>0</v>
      </c>
      <c r="AJ29" s="429">
        <f t="shared" si="4"/>
        <v>0</v>
      </c>
      <c r="AK29" s="132"/>
    </row>
    <row r="30" spans="1:37" ht="18.75">
      <c r="A30" s="763">
        <f>Gen!A35</f>
        <v>44190</v>
      </c>
      <c r="B30" s="426">
        <f>'Summery Report'!E29</f>
        <v>0</v>
      </c>
      <c r="C30" s="768">
        <f>Gen!B35</f>
        <v>0</v>
      </c>
      <c r="D30" s="730">
        <f>'Summery Report'!E29</f>
        <v>0</v>
      </c>
      <c r="E30" s="730">
        <f t="shared" si="13"/>
        <v>1.3262195121951219</v>
      </c>
      <c r="F30" s="439" t="e">
        <f t="shared" si="14"/>
        <v>#DIV/0!</v>
      </c>
      <c r="G30" s="439" t="e">
        <f t="shared" si="0"/>
        <v>#DIV/0!</v>
      </c>
      <c r="H30" s="730">
        <f>Gen!C35</f>
        <v>34992.44</v>
      </c>
      <c r="I30" s="730">
        <f>Gen!E35</f>
        <v>0</v>
      </c>
      <c r="J30" s="769">
        <f>Gen!T35</f>
        <v>0</v>
      </c>
      <c r="K30" s="774">
        <f>Gen!AK35</f>
        <v>0</v>
      </c>
      <c r="L30" s="765">
        <f t="shared" si="17"/>
        <v>0</v>
      </c>
      <c r="M30" s="450">
        <f>'Water-Meter'!K70</f>
        <v>0</v>
      </c>
      <c r="N30" s="725">
        <f>'Water-Meter'!E30</f>
        <v>0</v>
      </c>
      <c r="O30" s="715"/>
      <c r="P30" s="723"/>
      <c r="Q30" s="735">
        <f t="shared" si="2"/>
        <v>0</v>
      </c>
      <c r="R30" s="427">
        <f t="shared" si="5"/>
        <v>0</v>
      </c>
      <c r="S30" s="710"/>
      <c r="T30" s="711"/>
      <c r="U30" s="735">
        <f t="shared" si="6"/>
        <v>0</v>
      </c>
      <c r="V30" s="428">
        <f t="shared" si="19"/>
        <v>0</v>
      </c>
      <c r="W30" s="710"/>
      <c r="X30" s="716"/>
      <c r="Y30" s="735">
        <f t="shared" si="8"/>
        <v>0</v>
      </c>
      <c r="Z30" s="714">
        <f t="shared" si="9"/>
        <v>0</v>
      </c>
      <c r="AA30" s="722">
        <f t="shared" si="10"/>
        <v>0</v>
      </c>
      <c r="AB30" s="719"/>
      <c r="AC30" s="699">
        <f t="shared" si="21"/>
        <v>0</v>
      </c>
      <c r="AD30" s="702"/>
      <c r="AE30" s="178">
        <f t="shared" si="15"/>
        <v>0</v>
      </c>
      <c r="AF30" s="729">
        <f>'Lpg (2)'!B34*2000/85</f>
        <v>0</v>
      </c>
      <c r="AG30" s="266">
        <f>'Lpg (2)'!C34*1000/85</f>
        <v>0</v>
      </c>
      <c r="AH30" s="742">
        <f>'Lpg (2)'!D34*1000/85</f>
        <v>0</v>
      </c>
      <c r="AI30" s="732">
        <f t="shared" si="18"/>
        <v>0</v>
      </c>
      <c r="AJ30" s="429">
        <f t="shared" si="4"/>
        <v>0</v>
      </c>
      <c r="AK30" s="132"/>
    </row>
    <row r="31" spans="1:37" ht="18.75">
      <c r="A31" s="763">
        <f>Gen!A36</f>
        <v>44191</v>
      </c>
      <c r="B31" s="426">
        <f>'Summery Report'!E30</f>
        <v>0</v>
      </c>
      <c r="C31" s="768">
        <f>Gen!B36</f>
        <v>0</v>
      </c>
      <c r="D31" s="730">
        <f>'Summery Report'!E30</f>
        <v>0</v>
      </c>
      <c r="E31" s="730">
        <f t="shared" si="13"/>
        <v>1.3262195121951219</v>
      </c>
      <c r="F31" s="439" t="e">
        <f t="shared" si="14"/>
        <v>#DIV/0!</v>
      </c>
      <c r="G31" s="439" t="e">
        <f t="shared" si="0"/>
        <v>#DIV/0!</v>
      </c>
      <c r="H31" s="730">
        <f>Gen!C36</f>
        <v>34992.44</v>
      </c>
      <c r="I31" s="730">
        <f>Gen!E36</f>
        <v>10000</v>
      </c>
      <c r="J31" s="769">
        <f>Gen!T36</f>
        <v>0</v>
      </c>
      <c r="K31" s="774">
        <f>Gen!AK36</f>
        <v>0</v>
      </c>
      <c r="L31" s="765">
        <f t="shared" si="17"/>
        <v>0</v>
      </c>
      <c r="M31" s="450">
        <f>'Water-Meter'!K71</f>
        <v>0</v>
      </c>
      <c r="N31" s="725">
        <f>'Water-Meter'!E31</f>
        <v>0</v>
      </c>
      <c r="O31" s="715"/>
      <c r="P31" s="723"/>
      <c r="Q31" s="735">
        <f t="shared" si="2"/>
        <v>0</v>
      </c>
      <c r="R31" s="427">
        <f t="shared" si="5"/>
        <v>0</v>
      </c>
      <c r="S31" s="710"/>
      <c r="T31" s="711"/>
      <c r="U31" s="735">
        <f t="shared" si="6"/>
        <v>0</v>
      </c>
      <c r="V31" s="428">
        <f t="shared" si="19"/>
        <v>0</v>
      </c>
      <c r="W31" s="710"/>
      <c r="X31" s="717"/>
      <c r="Y31" s="735">
        <f t="shared" si="8"/>
        <v>0</v>
      </c>
      <c r="Z31" s="714">
        <f t="shared" si="9"/>
        <v>0</v>
      </c>
      <c r="AA31" s="722">
        <f t="shared" si="10"/>
        <v>0</v>
      </c>
      <c r="AB31" s="719"/>
      <c r="AC31" s="699">
        <f t="shared" si="21"/>
        <v>0</v>
      </c>
      <c r="AD31" s="702"/>
      <c r="AE31" s="178">
        <f t="shared" si="15"/>
        <v>0</v>
      </c>
      <c r="AF31" s="729">
        <f>'Lpg (2)'!B35*2000/85</f>
        <v>0</v>
      </c>
      <c r="AG31" s="266">
        <f>'Lpg (2)'!C35*1000/85</f>
        <v>0</v>
      </c>
      <c r="AH31" s="742">
        <f>'Lpg (2)'!D35*1000/85</f>
        <v>0</v>
      </c>
      <c r="AI31" s="732">
        <f t="shared" si="18"/>
        <v>0</v>
      </c>
      <c r="AJ31" s="429">
        <f t="shared" si="4"/>
        <v>0</v>
      </c>
      <c r="AK31" s="132"/>
    </row>
    <row r="32" spans="1:37" ht="18.75">
      <c r="A32" s="763">
        <f>Gen!A37</f>
        <v>44192</v>
      </c>
      <c r="B32" s="426">
        <f>'Summery Report'!E31</f>
        <v>0</v>
      </c>
      <c r="C32" s="768">
        <f>Gen!B37</f>
        <v>0</v>
      </c>
      <c r="D32" s="730">
        <f>'Summery Report'!E31</f>
        <v>0</v>
      </c>
      <c r="E32" s="730">
        <f t="shared" si="13"/>
        <v>1.3262195121951219</v>
      </c>
      <c r="F32" s="439" t="e">
        <f t="shared" si="14"/>
        <v>#DIV/0!</v>
      </c>
      <c r="G32" s="439" t="e">
        <f t="shared" si="0"/>
        <v>#DIV/0!</v>
      </c>
      <c r="H32" s="730">
        <f>Gen!C37</f>
        <v>34992.44</v>
      </c>
      <c r="I32" s="730">
        <f>Gen!E37</f>
        <v>0</v>
      </c>
      <c r="J32" s="769">
        <f>Gen!T37</f>
        <v>0</v>
      </c>
      <c r="K32" s="774">
        <f>Gen!AK37</f>
        <v>0</v>
      </c>
      <c r="L32" s="765">
        <f t="shared" si="17"/>
        <v>0</v>
      </c>
      <c r="M32" s="450">
        <f>'Water-Meter'!K72</f>
        <v>0</v>
      </c>
      <c r="N32" s="725">
        <f>'Water-Meter'!E32</f>
        <v>0</v>
      </c>
      <c r="O32" s="715"/>
      <c r="P32" s="723"/>
      <c r="Q32" s="735">
        <f t="shared" si="2"/>
        <v>0</v>
      </c>
      <c r="R32" s="427">
        <f t="shared" si="5"/>
        <v>0</v>
      </c>
      <c r="S32" s="710"/>
      <c r="T32" s="711"/>
      <c r="U32" s="735">
        <f t="shared" si="6"/>
        <v>0</v>
      </c>
      <c r="V32" s="428">
        <f t="shared" si="19"/>
        <v>0</v>
      </c>
      <c r="W32" s="710"/>
      <c r="X32" s="716"/>
      <c r="Y32" s="735">
        <f t="shared" si="8"/>
        <v>0</v>
      </c>
      <c r="Z32" s="714">
        <f t="shared" si="9"/>
        <v>0</v>
      </c>
      <c r="AA32" s="722">
        <f t="shared" si="10"/>
        <v>0</v>
      </c>
      <c r="AB32" s="719"/>
      <c r="AC32" s="699">
        <f t="shared" si="21"/>
        <v>0</v>
      </c>
      <c r="AD32" s="702"/>
      <c r="AE32" s="178">
        <f t="shared" si="15"/>
        <v>0</v>
      </c>
      <c r="AF32" s="729">
        <f>'Lpg (2)'!B36*2000/85</f>
        <v>0</v>
      </c>
      <c r="AG32" s="266">
        <f>'Lpg (2)'!C36*1000/85</f>
        <v>0</v>
      </c>
      <c r="AH32" s="742">
        <f>'Lpg (2)'!D36*1000/85</f>
        <v>0</v>
      </c>
      <c r="AI32" s="732">
        <f t="shared" si="18"/>
        <v>0</v>
      </c>
      <c r="AJ32" s="429">
        <f t="shared" si="4"/>
        <v>0</v>
      </c>
      <c r="AK32" s="132"/>
    </row>
    <row r="33" spans="1:37" ht="18.75">
      <c r="A33" s="763">
        <f>Gen!A38</f>
        <v>44193</v>
      </c>
      <c r="B33" s="426">
        <f>'Summery Report'!E32</f>
        <v>0</v>
      </c>
      <c r="C33" s="768">
        <f>Gen!B38</f>
        <v>0</v>
      </c>
      <c r="D33" s="730">
        <f>'Summery Report'!E32</f>
        <v>0</v>
      </c>
      <c r="E33" s="730">
        <f t="shared" si="13"/>
        <v>1.3262195121951219</v>
      </c>
      <c r="F33" s="439" t="e">
        <f t="shared" si="14"/>
        <v>#DIV/0!</v>
      </c>
      <c r="G33" s="439" t="e">
        <f t="shared" si="0"/>
        <v>#DIV/0!</v>
      </c>
      <c r="H33" s="730">
        <f>Gen!C38</f>
        <v>34992.44</v>
      </c>
      <c r="I33" s="730">
        <f>Gen!E38</f>
        <v>0</v>
      </c>
      <c r="J33" s="769">
        <f>Gen!T38</f>
        <v>0</v>
      </c>
      <c r="K33" s="774">
        <f>Gen!AK38</f>
        <v>0</v>
      </c>
      <c r="L33" s="765">
        <f t="shared" si="17"/>
        <v>0</v>
      </c>
      <c r="M33" s="450">
        <f>'Water-Meter'!K73</f>
        <v>0</v>
      </c>
      <c r="N33" s="725">
        <f>'Water-Meter'!E33</f>
        <v>0</v>
      </c>
      <c r="O33" s="715"/>
      <c r="P33" s="723"/>
      <c r="Q33" s="735">
        <f t="shared" si="2"/>
        <v>0</v>
      </c>
      <c r="R33" s="427">
        <f t="shared" si="5"/>
        <v>0</v>
      </c>
      <c r="S33" s="710"/>
      <c r="T33" s="711"/>
      <c r="U33" s="735">
        <f t="shared" si="6"/>
        <v>0</v>
      </c>
      <c r="V33" s="428">
        <f t="shared" si="19"/>
        <v>0</v>
      </c>
      <c r="W33" s="710"/>
      <c r="X33" s="716"/>
      <c r="Y33" s="735">
        <f t="shared" si="8"/>
        <v>0</v>
      </c>
      <c r="Z33" s="714">
        <f t="shared" si="9"/>
        <v>0</v>
      </c>
      <c r="AA33" s="722">
        <f t="shared" si="10"/>
        <v>0</v>
      </c>
      <c r="AB33" s="719"/>
      <c r="AC33" s="699">
        <f t="shared" si="21"/>
        <v>0</v>
      </c>
      <c r="AD33" s="702"/>
      <c r="AE33" s="178">
        <f t="shared" si="15"/>
        <v>0</v>
      </c>
      <c r="AF33" s="729">
        <f>'Lpg (2)'!B37*2000/85</f>
        <v>0</v>
      </c>
      <c r="AG33" s="266">
        <f>'Lpg (2)'!C37*1000/85</f>
        <v>0</v>
      </c>
      <c r="AH33" s="742">
        <f>'Lpg (2)'!D37*1000/85</f>
        <v>0</v>
      </c>
      <c r="AI33" s="732">
        <f t="shared" si="18"/>
        <v>0</v>
      </c>
      <c r="AJ33" s="429">
        <f t="shared" si="4"/>
        <v>0</v>
      </c>
      <c r="AK33" s="132"/>
    </row>
    <row r="34" spans="1:37" ht="18.75">
      <c r="A34" s="763">
        <f>Gen!A39</f>
        <v>44194</v>
      </c>
      <c r="B34" s="426">
        <f>'Summery Report'!E33</f>
        <v>0</v>
      </c>
      <c r="C34" s="768">
        <f>Gen!B39</f>
        <v>0</v>
      </c>
      <c r="D34" s="730">
        <f>'Summery Report'!E33</f>
        <v>0</v>
      </c>
      <c r="E34" s="730">
        <f t="shared" si="13"/>
        <v>1.3262195121951219</v>
      </c>
      <c r="F34" s="439" t="e">
        <f t="shared" si="14"/>
        <v>#DIV/0!</v>
      </c>
      <c r="G34" s="439" t="e">
        <f t="shared" si="0"/>
        <v>#DIV/0!</v>
      </c>
      <c r="H34" s="730">
        <f>Gen!C39</f>
        <v>34992.44</v>
      </c>
      <c r="I34" s="730">
        <f>Gen!E39</f>
        <v>0</v>
      </c>
      <c r="J34" s="769">
        <f>Gen!T39</f>
        <v>0</v>
      </c>
      <c r="K34" s="774">
        <f>Gen!AK39</f>
        <v>0</v>
      </c>
      <c r="L34" s="765">
        <f t="shared" si="17"/>
        <v>0</v>
      </c>
      <c r="M34" s="450">
        <f>'Water-Meter'!K74</f>
        <v>0</v>
      </c>
      <c r="N34" s="725">
        <f>'Water-Meter'!E34</f>
        <v>0</v>
      </c>
      <c r="O34" s="715"/>
      <c r="P34" s="723"/>
      <c r="Q34" s="735">
        <f t="shared" si="2"/>
        <v>0</v>
      </c>
      <c r="R34" s="427">
        <f t="shared" si="5"/>
        <v>0</v>
      </c>
      <c r="S34" s="710"/>
      <c r="T34" s="711"/>
      <c r="U34" s="735">
        <f t="shared" si="6"/>
        <v>0</v>
      </c>
      <c r="V34" s="428">
        <f t="shared" si="19"/>
        <v>0</v>
      </c>
      <c r="W34" s="710"/>
      <c r="X34" s="716"/>
      <c r="Y34" s="735">
        <f t="shared" si="8"/>
        <v>0</v>
      </c>
      <c r="Z34" s="714">
        <f t="shared" si="9"/>
        <v>0</v>
      </c>
      <c r="AA34" s="722">
        <f t="shared" si="10"/>
        <v>0</v>
      </c>
      <c r="AB34" s="719"/>
      <c r="AC34" s="699">
        <f t="shared" si="21"/>
        <v>0</v>
      </c>
      <c r="AD34" s="702"/>
      <c r="AE34" s="178">
        <f t="shared" si="15"/>
        <v>0</v>
      </c>
      <c r="AF34" s="729">
        <f>'Lpg (2)'!B38*2000/85</f>
        <v>0</v>
      </c>
      <c r="AG34" s="266">
        <f>'Lpg (2)'!C38*1000/85</f>
        <v>0</v>
      </c>
      <c r="AH34" s="742">
        <f>'Lpg (2)'!D38*1000/85</f>
        <v>0</v>
      </c>
      <c r="AI34" s="732">
        <f t="shared" si="18"/>
        <v>0</v>
      </c>
      <c r="AJ34" s="429">
        <f t="shared" si="4"/>
        <v>0</v>
      </c>
      <c r="AK34" s="132"/>
    </row>
    <row r="35" spans="1:37" ht="18.75">
      <c r="A35" s="763">
        <f>Gen!A40</f>
        <v>44195</v>
      </c>
      <c r="B35" s="426">
        <f>'Summery Report'!E34</f>
        <v>0</v>
      </c>
      <c r="C35" s="768">
        <f>Gen!B40</f>
        <v>0</v>
      </c>
      <c r="D35" s="730">
        <f>'Summery Report'!E34</f>
        <v>0</v>
      </c>
      <c r="E35" s="730">
        <f t="shared" si="13"/>
        <v>1.3262195121951219</v>
      </c>
      <c r="F35" s="439" t="e">
        <f t="shared" si="14"/>
        <v>#DIV/0!</v>
      </c>
      <c r="G35" s="439" t="e">
        <f t="shared" si="0"/>
        <v>#DIV/0!</v>
      </c>
      <c r="H35" s="730">
        <f>Gen!C40</f>
        <v>34992.44</v>
      </c>
      <c r="I35" s="730">
        <f>Gen!E40</f>
        <v>0</v>
      </c>
      <c r="J35" s="769">
        <f>Gen!T40</f>
        <v>0</v>
      </c>
      <c r="K35" s="774">
        <f>Gen!AK40</f>
        <v>0</v>
      </c>
      <c r="L35" s="765">
        <f t="shared" si="17"/>
        <v>0</v>
      </c>
      <c r="M35" s="450">
        <f>'Water-Meter'!K75</f>
        <v>0</v>
      </c>
      <c r="N35" s="725">
        <f>'Water-Meter'!E35</f>
        <v>0</v>
      </c>
      <c r="O35" s="715"/>
      <c r="P35" s="723"/>
      <c r="Q35" s="735">
        <f t="shared" si="2"/>
        <v>0</v>
      </c>
      <c r="R35" s="427">
        <f t="shared" si="5"/>
        <v>0</v>
      </c>
      <c r="S35" s="710"/>
      <c r="T35" s="711"/>
      <c r="U35" s="735">
        <f t="shared" si="6"/>
        <v>0</v>
      </c>
      <c r="V35" s="428">
        <f t="shared" si="19"/>
        <v>0</v>
      </c>
      <c r="W35" s="710"/>
      <c r="X35" s="716"/>
      <c r="Y35" s="735">
        <f t="shared" si="8"/>
        <v>0</v>
      </c>
      <c r="Z35" s="714">
        <f t="shared" si="9"/>
        <v>0</v>
      </c>
      <c r="AA35" s="722">
        <f t="shared" si="10"/>
        <v>0</v>
      </c>
      <c r="AB35" s="719"/>
      <c r="AC35" s="699">
        <f t="shared" si="21"/>
        <v>0</v>
      </c>
      <c r="AD35" s="702"/>
      <c r="AE35" s="178">
        <f t="shared" si="15"/>
        <v>0</v>
      </c>
      <c r="AF35" s="729">
        <f>'Lpg (2)'!B39*2000/85</f>
        <v>0</v>
      </c>
      <c r="AG35" s="266">
        <f>'Lpg (2)'!C39*1000/85</f>
        <v>0</v>
      </c>
      <c r="AH35" s="742">
        <f>'Lpg (2)'!D39*1000/85</f>
        <v>0</v>
      </c>
      <c r="AI35" s="732">
        <f t="shared" si="18"/>
        <v>0</v>
      </c>
      <c r="AJ35" s="429">
        <f t="shared" si="4"/>
        <v>0</v>
      </c>
      <c r="AK35" s="132"/>
    </row>
    <row r="36" spans="1:37" ht="18.75">
      <c r="A36" s="763">
        <f>Gen!A41</f>
        <v>44196</v>
      </c>
      <c r="B36" s="426">
        <f>'Summery Report'!E35</f>
        <v>0</v>
      </c>
      <c r="C36" s="768">
        <f>Gen!B41</f>
        <v>0</v>
      </c>
      <c r="D36" s="730">
        <f>'Summery Report'!E35</f>
        <v>0</v>
      </c>
      <c r="E36" s="730">
        <f t="shared" si="13"/>
        <v>1.3262195121951219</v>
      </c>
      <c r="F36" s="439" t="e">
        <f t="shared" si="14"/>
        <v>#DIV/0!</v>
      </c>
      <c r="G36" s="439" t="e">
        <f t="shared" si="0"/>
        <v>#DIV/0!</v>
      </c>
      <c r="H36" s="730">
        <f>Gen!C41</f>
        <v>34992.44</v>
      </c>
      <c r="I36" s="730">
        <f>Gen!E41</f>
        <v>0</v>
      </c>
      <c r="J36" s="769">
        <f>Gen!T41</f>
        <v>0</v>
      </c>
      <c r="K36" s="774">
        <f>Gen!AK41</f>
        <v>0</v>
      </c>
      <c r="L36" s="765">
        <f t="shared" si="17"/>
        <v>0</v>
      </c>
      <c r="M36" s="450">
        <f>'Water-Meter'!K76</f>
        <v>0</v>
      </c>
      <c r="N36" s="725">
        <f>'Water-Meter'!E36</f>
        <v>0</v>
      </c>
      <c r="O36" s="715"/>
      <c r="P36" s="723"/>
      <c r="Q36" s="735">
        <f t="shared" si="2"/>
        <v>0</v>
      </c>
      <c r="R36" s="427">
        <f t="shared" si="5"/>
        <v>0</v>
      </c>
      <c r="S36" s="710"/>
      <c r="T36" s="711"/>
      <c r="U36" s="735">
        <f t="shared" si="6"/>
        <v>0</v>
      </c>
      <c r="V36" s="428">
        <f t="shared" si="19"/>
        <v>0</v>
      </c>
      <c r="W36" s="710"/>
      <c r="X36" s="716"/>
      <c r="Y36" s="735">
        <f t="shared" si="8"/>
        <v>0</v>
      </c>
      <c r="Z36" s="714">
        <f t="shared" si="9"/>
        <v>0</v>
      </c>
      <c r="AA36" s="722">
        <f t="shared" si="10"/>
        <v>0</v>
      </c>
      <c r="AB36" s="719"/>
      <c r="AC36" s="699">
        <f t="shared" si="21"/>
        <v>0</v>
      </c>
      <c r="AD36" s="702"/>
      <c r="AE36" s="178">
        <f t="shared" si="15"/>
        <v>0</v>
      </c>
      <c r="AF36" s="729">
        <f>'Lpg (2)'!B40*2000/85</f>
        <v>0</v>
      </c>
      <c r="AG36" s="266">
        <f>'Lpg (2)'!C40*1000/85</f>
        <v>0</v>
      </c>
      <c r="AH36" s="742">
        <f>'Lpg (2)'!D40*1000/85</f>
        <v>0</v>
      </c>
      <c r="AI36" s="732">
        <f>SUM(AF36*1000)+(AG36*1000)+(AH36*2000)</f>
        <v>0</v>
      </c>
      <c r="AJ36" s="429">
        <f t="shared" si="4"/>
        <v>0</v>
      </c>
      <c r="AK36" s="132"/>
    </row>
    <row r="37" spans="1:37" s="8" customFormat="1" ht="18" thickBot="1">
      <c r="A37" s="764">
        <f>Gen!A42</f>
        <v>44197</v>
      </c>
      <c r="B37" s="775">
        <v>0</v>
      </c>
      <c r="C37" s="776"/>
      <c r="D37" s="776"/>
      <c r="E37" s="776"/>
      <c r="F37" s="776"/>
      <c r="G37" s="776"/>
      <c r="H37" s="777"/>
      <c r="I37" s="778"/>
      <c r="J37" s="779">
        <f>SUM(J6:J36)</f>
        <v>38289</v>
      </c>
      <c r="K37" s="780"/>
      <c r="L37" s="766">
        <f t="shared" si="17"/>
        <v>38289</v>
      </c>
      <c r="M37" s="450">
        <f>'Water-Meter'!K77</f>
        <v>0</v>
      </c>
      <c r="N37" s="726">
        <f>'Water-Meter'!E37</f>
        <v>0</v>
      </c>
      <c r="O37" s="712"/>
      <c r="P37" s="713"/>
      <c r="Q37" s="736">
        <f t="shared" ref="Q37" si="22">SUM(P37-P36)</f>
        <v>0</v>
      </c>
      <c r="R37" s="737">
        <f t="shared" ref="R37" si="23">SUM(Q37*O37)</f>
        <v>0</v>
      </c>
      <c r="S37" s="712"/>
      <c r="T37" s="713"/>
      <c r="U37" s="736">
        <f t="shared" ref="U37" si="24">T37-T36</f>
        <v>0</v>
      </c>
      <c r="V37" s="738">
        <f t="shared" ref="V37" si="25">SUM(U37*S37)</f>
        <v>0</v>
      </c>
      <c r="W37" s="712"/>
      <c r="X37" s="713"/>
      <c r="Y37" s="736">
        <f t="shared" ref="Y37" si="26">X37-X36</f>
        <v>0</v>
      </c>
      <c r="Z37" s="739">
        <f t="shared" ref="Z37" si="27">SUM(Y37*W37)</f>
        <v>0</v>
      </c>
      <c r="AA37" s="740">
        <f t="shared" ref="AA37" si="28">SUM(Z37*X39)</f>
        <v>0</v>
      </c>
      <c r="AB37" s="707"/>
      <c r="AC37" s="700">
        <f t="shared" si="21"/>
        <v>0</v>
      </c>
      <c r="AD37" s="703"/>
      <c r="AE37" s="708">
        <f t="shared" si="15"/>
        <v>0</v>
      </c>
      <c r="AF37" s="743">
        <f>'Lpg (2)'!B41*2000/85</f>
        <v>0</v>
      </c>
      <c r="AG37" s="744">
        <f>'Lpg (2)'!C41*1000/85</f>
        <v>0</v>
      </c>
      <c r="AH37" s="745">
        <f>'Lpg (2)'!D41*1000/85</f>
        <v>0</v>
      </c>
      <c r="AI37" s="733"/>
      <c r="AJ37" s="430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1"/>
    </row>
    <row r="44" spans="1:37" ht="15">
      <c r="C44" s="130"/>
      <c r="J44" s="130"/>
      <c r="X44" s="432"/>
    </row>
    <row r="45" spans="1:37" ht="15">
      <c r="C45" s="130"/>
      <c r="J45" s="130"/>
      <c r="X45" s="431"/>
    </row>
    <row r="46" spans="1:37" ht="15">
      <c r="C46" s="130"/>
      <c r="J46" s="130"/>
      <c r="X46" s="432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3"/>
    </row>
    <row r="67" spans="3:24" ht="15">
      <c r="C67" s="130"/>
      <c r="J67" s="130"/>
      <c r="X67" s="434"/>
    </row>
    <row r="68" spans="3:24" ht="15">
      <c r="C68" s="130"/>
      <c r="J68" s="130"/>
      <c r="X68" s="434"/>
    </row>
    <row r="69" spans="3:24" ht="15">
      <c r="C69" s="130"/>
      <c r="J69" s="130"/>
      <c r="X69" s="434"/>
    </row>
    <row r="70" spans="3:24" ht="15">
      <c r="C70" s="130"/>
      <c r="J70" s="130"/>
      <c r="X70" s="434"/>
    </row>
    <row r="71" spans="3:24" ht="15">
      <c r="C71" s="130"/>
      <c r="J71" s="130"/>
      <c r="X71" s="434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3" sqref="W23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9" t="s">
        <v>150</v>
      </c>
      <c r="C1" s="860"/>
      <c r="D1" s="860"/>
      <c r="E1" s="860"/>
      <c r="F1" s="861"/>
      <c r="G1" s="157"/>
      <c r="H1" s="859" t="s">
        <v>151</v>
      </c>
      <c r="I1" s="860"/>
      <c r="J1" s="860"/>
      <c r="K1" s="860"/>
      <c r="L1" s="861"/>
      <c r="M1" s="859" t="s">
        <v>170</v>
      </c>
      <c r="N1" s="860"/>
      <c r="O1" s="860"/>
      <c r="P1" s="860"/>
      <c r="Q1" s="861"/>
      <c r="R1" s="157"/>
      <c r="T1" s="859" t="s">
        <v>166</v>
      </c>
      <c r="U1" s="860"/>
      <c r="V1" s="860"/>
      <c r="W1" s="860"/>
      <c r="X1" s="861"/>
      <c r="Y1" s="859" t="s">
        <v>169</v>
      </c>
      <c r="Z1" s="860"/>
      <c r="AA1" s="860"/>
      <c r="AB1" s="860"/>
      <c r="AC1" s="861"/>
    </row>
    <row r="2" spans="1:29" ht="45.75" thickBot="1">
      <c r="A2" s="586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3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7">
        <f>Gen!A11</f>
        <v>44166</v>
      </c>
      <c r="B3" s="862" t="s">
        <v>156</v>
      </c>
      <c r="C3" s="863"/>
      <c r="D3" s="166"/>
      <c r="E3" s="581">
        <v>8955.5</v>
      </c>
      <c r="F3" s="588" t="s">
        <v>157</v>
      </c>
      <c r="G3" s="589"/>
      <c r="H3" s="862" t="s">
        <v>156</v>
      </c>
      <c r="I3" s="863"/>
      <c r="J3" s="615">
        <f>'Water-Meter'!G5</f>
        <v>0</v>
      </c>
      <c r="K3" s="590">
        <f>'Water-Meter'!G5</f>
        <v>0</v>
      </c>
      <c r="L3" s="241"/>
      <c r="M3" s="862" t="s">
        <v>156</v>
      </c>
      <c r="N3" s="863"/>
      <c r="O3" s="166">
        <f>'Water-Meter'!J5</f>
        <v>8116</v>
      </c>
      <c r="P3" s="591">
        <f>'Water-Meter'!J5</f>
        <v>8116</v>
      </c>
      <c r="Q3" s="165"/>
      <c r="R3" s="241"/>
      <c r="S3" s="644"/>
      <c r="T3" s="862" t="s">
        <v>156</v>
      </c>
      <c r="U3" s="863"/>
      <c r="V3" s="166"/>
      <c r="W3" s="582">
        <v>7865.3</v>
      </c>
      <c r="X3" s="592">
        <f t="shared" ref="X3:X35" si="0">(W3-V3)*200</f>
        <v>1573060</v>
      </c>
      <c r="Y3" s="862" t="s">
        <v>156</v>
      </c>
      <c r="Z3" s="863"/>
      <c r="AA3" s="166"/>
      <c r="AB3" s="169"/>
      <c r="AC3" s="170"/>
    </row>
    <row r="4" spans="1:29" ht="18.75">
      <c r="A4" s="645">
        <f>Gen!B11</f>
        <v>7.6999999999999999E-2</v>
      </c>
      <c r="B4" s="593">
        <f>Gen!A11</f>
        <v>44166</v>
      </c>
      <c r="C4" s="594"/>
      <c r="D4" s="595">
        <f t="shared" ref="D4:D23" si="1">E3</f>
        <v>8955.5</v>
      </c>
      <c r="E4" s="581">
        <v>8957.4</v>
      </c>
      <c r="F4" s="595">
        <f t="shared" ref="F4:F15" si="2">SUM(E4-D4)*120</f>
        <v>227.99999999995634</v>
      </c>
      <c r="G4" s="594"/>
      <c r="H4" s="632">
        <f>B4</f>
        <v>44166</v>
      </c>
      <c r="I4" s="594"/>
      <c r="J4" s="633">
        <f>'Water-Meter'!G6</f>
        <v>0</v>
      </c>
      <c r="K4" s="634">
        <f>'Water-Meter'!G6</f>
        <v>0</v>
      </c>
      <c r="L4" s="594">
        <f t="shared" ref="L4:L34" si="3">SUM(K4-J4)</f>
        <v>0</v>
      </c>
      <c r="M4" s="632">
        <f>H4</f>
        <v>44166</v>
      </c>
      <c r="N4" s="594"/>
      <c r="O4" s="60">
        <f>'Water-Meter'!J6</f>
        <v>8118</v>
      </c>
      <c r="P4" s="601">
        <f>'Water-Meter'!J6</f>
        <v>8118</v>
      </c>
      <c r="Q4" s="594">
        <f>N4-O3</f>
        <v>-8116</v>
      </c>
      <c r="R4" s="635">
        <f t="shared" ref="R4:R20" si="4">SUM(Q4/1615)</f>
        <v>-5.0253869969040244</v>
      </c>
      <c r="S4" s="636">
        <f>Gen!T11</f>
        <v>2356</v>
      </c>
      <c r="T4" s="632">
        <f>M4</f>
        <v>44166</v>
      </c>
      <c r="U4" s="594"/>
      <c r="V4" s="595">
        <f t="shared" ref="V4:V33" si="5">W3</f>
        <v>7865.3</v>
      </c>
      <c r="W4" s="582">
        <v>7865.6</v>
      </c>
      <c r="X4" s="595">
        <f t="shared" si="0"/>
        <v>60.00000000003638</v>
      </c>
      <c r="Y4" s="632">
        <f>T4</f>
        <v>44166</v>
      </c>
      <c r="Z4" s="594"/>
      <c r="AA4" s="594"/>
      <c r="AB4" s="601">
        <f>'Water-Meter'!P6</f>
        <v>20562</v>
      </c>
      <c r="AC4" s="602">
        <f>AA4-AB3</f>
        <v>0</v>
      </c>
    </row>
    <row r="5" spans="1:29" ht="18.75">
      <c r="A5" s="646">
        <f>Gen!B12</f>
        <v>9.0999999999999998E-2</v>
      </c>
      <c r="B5" s="596">
        <f>Gen!A12</f>
        <v>44167</v>
      </c>
      <c r="C5" s="580"/>
      <c r="D5" s="585">
        <f t="shared" si="1"/>
        <v>8957.4</v>
      </c>
      <c r="E5" s="581">
        <v>8959.2000000000007</v>
      </c>
      <c r="F5" s="585">
        <f t="shared" si="2"/>
        <v>216.00000000013097</v>
      </c>
      <c r="G5" s="580"/>
      <c r="H5" s="627">
        <f t="shared" ref="H5:H35" si="6">B5</f>
        <v>44167</v>
      </c>
      <c r="I5" s="580"/>
      <c r="J5" s="628">
        <f>'Water-Meter'!G7</f>
        <v>0</v>
      </c>
      <c r="K5" s="629">
        <f>'Water-Meter'!G7</f>
        <v>0</v>
      </c>
      <c r="L5" s="580">
        <f t="shared" si="3"/>
        <v>0</v>
      </c>
      <c r="M5" s="627">
        <f t="shared" ref="M5:M35" si="7">H5</f>
        <v>44167</v>
      </c>
      <c r="N5" s="580"/>
      <c r="O5" s="6">
        <f>'Water-Meter'!J7</f>
        <v>8120</v>
      </c>
      <c r="P5" s="584">
        <f>'Water-Meter'!J7</f>
        <v>8120</v>
      </c>
      <c r="Q5" s="580">
        <f t="shared" ref="Q5:Q20" si="8">N5-O4</f>
        <v>-8118</v>
      </c>
      <c r="R5" s="630">
        <f t="shared" si="4"/>
        <v>-5.026625386996904</v>
      </c>
      <c r="S5" s="631">
        <f>Gen!T12</f>
        <v>2299</v>
      </c>
      <c r="T5" s="627">
        <f t="shared" ref="T5:T30" si="9">M5</f>
        <v>44167</v>
      </c>
      <c r="U5" s="580"/>
      <c r="V5" s="585">
        <f t="shared" si="5"/>
        <v>7865.6</v>
      </c>
      <c r="W5" s="582">
        <v>7866</v>
      </c>
      <c r="X5" s="585">
        <f t="shared" si="0"/>
        <v>79.99999999992724</v>
      </c>
      <c r="Y5" s="627">
        <f t="shared" ref="Y5:Y30" si="10">T5</f>
        <v>44167</v>
      </c>
      <c r="Z5" s="580"/>
      <c r="AA5" s="580"/>
      <c r="AB5" s="584">
        <f>'Water-Meter'!P7</f>
        <v>20565</v>
      </c>
      <c r="AC5" s="637">
        <f t="shared" ref="AC5:AC35" si="11">AA5-AB4</f>
        <v>-20562</v>
      </c>
    </row>
    <row r="6" spans="1:29" ht="18.75">
      <c r="A6" s="646">
        <f>Gen!B13</f>
        <v>1.2999999999999999E-2</v>
      </c>
      <c r="B6" s="596">
        <f>Gen!A13</f>
        <v>44168</v>
      </c>
      <c r="C6" s="580"/>
      <c r="D6" s="585">
        <f t="shared" si="1"/>
        <v>8959.2000000000007</v>
      </c>
      <c r="E6" s="581">
        <v>8961.2999999999993</v>
      </c>
      <c r="F6" s="585">
        <f t="shared" si="2"/>
        <v>251.99999999982538</v>
      </c>
      <c r="G6" s="580"/>
      <c r="H6" s="627">
        <f t="shared" si="6"/>
        <v>44168</v>
      </c>
      <c r="I6" s="580"/>
      <c r="J6" s="628">
        <f>'Water-Meter'!G8</f>
        <v>0</v>
      </c>
      <c r="K6" s="629">
        <f>'Water-Meter'!G8</f>
        <v>0</v>
      </c>
      <c r="L6" s="580">
        <f t="shared" si="3"/>
        <v>0</v>
      </c>
      <c r="M6" s="627">
        <f t="shared" si="7"/>
        <v>44168</v>
      </c>
      <c r="N6" s="580"/>
      <c r="O6" s="6">
        <f>'Water-Meter'!J8</f>
        <v>8121</v>
      </c>
      <c r="P6" s="584">
        <f>'Water-Meter'!J8</f>
        <v>8121</v>
      </c>
      <c r="Q6" s="580">
        <f t="shared" si="8"/>
        <v>-8120</v>
      </c>
      <c r="R6" s="630">
        <f t="shared" si="4"/>
        <v>-5.0278637770897836</v>
      </c>
      <c r="S6" s="631">
        <f>Gen!T13</f>
        <v>2378</v>
      </c>
      <c r="T6" s="627">
        <f t="shared" si="9"/>
        <v>44168</v>
      </c>
      <c r="U6" s="580"/>
      <c r="V6" s="585">
        <f t="shared" si="5"/>
        <v>7866</v>
      </c>
      <c r="W6" s="582">
        <v>7866.8</v>
      </c>
      <c r="X6" s="585">
        <f t="shared" si="0"/>
        <v>160.00000000003638</v>
      </c>
      <c r="Y6" s="627">
        <f t="shared" si="10"/>
        <v>44168</v>
      </c>
      <c r="Z6" s="580"/>
      <c r="AA6" s="580"/>
      <c r="AB6" s="584">
        <f>'Water-Meter'!P8</f>
        <v>20566</v>
      </c>
      <c r="AC6" s="637">
        <f t="shared" si="11"/>
        <v>-20565</v>
      </c>
    </row>
    <row r="7" spans="1:29" ht="18.75">
      <c r="A7" s="646">
        <f>Gen!B14</f>
        <v>1.2999999999999999E-2</v>
      </c>
      <c r="B7" s="596">
        <f>Gen!A14</f>
        <v>44169</v>
      </c>
      <c r="C7" s="580"/>
      <c r="D7" s="585">
        <f t="shared" si="1"/>
        <v>8961.2999999999993</v>
      </c>
      <c r="E7" s="581">
        <v>8963.2000000000007</v>
      </c>
      <c r="F7" s="585">
        <f t="shared" si="2"/>
        <v>228.00000000017462</v>
      </c>
      <c r="G7" s="580"/>
      <c r="H7" s="627">
        <f t="shared" si="6"/>
        <v>44169</v>
      </c>
      <c r="I7" s="580"/>
      <c r="J7" s="628">
        <f>'Water-Meter'!G9</f>
        <v>0</v>
      </c>
      <c r="K7" s="629">
        <f>'Water-Meter'!G9</f>
        <v>0</v>
      </c>
      <c r="L7" s="580">
        <f t="shared" si="3"/>
        <v>0</v>
      </c>
      <c r="M7" s="627">
        <f t="shared" si="7"/>
        <v>44169</v>
      </c>
      <c r="N7" s="580"/>
      <c r="O7" s="6">
        <f>'Water-Meter'!J9</f>
        <v>8122</v>
      </c>
      <c r="P7" s="584">
        <f>'Water-Meter'!J9</f>
        <v>8122</v>
      </c>
      <c r="Q7" s="580">
        <f t="shared" si="8"/>
        <v>-8121</v>
      </c>
      <c r="R7" s="630">
        <f t="shared" si="4"/>
        <v>-5.0284829721362225</v>
      </c>
      <c r="S7" s="631">
        <f>Gen!T14</f>
        <v>2173</v>
      </c>
      <c r="T7" s="627">
        <f t="shared" si="9"/>
        <v>44169</v>
      </c>
      <c r="U7" s="580"/>
      <c r="V7" s="585">
        <f t="shared" si="5"/>
        <v>7866.8</v>
      </c>
      <c r="W7" s="582">
        <v>7867.3</v>
      </c>
      <c r="X7" s="585">
        <f t="shared" si="0"/>
        <v>100</v>
      </c>
      <c r="Y7" s="627">
        <f t="shared" si="10"/>
        <v>44169</v>
      </c>
      <c r="Z7" s="580"/>
      <c r="AA7" s="580"/>
      <c r="AB7" s="584">
        <f>'Water-Meter'!P9</f>
        <v>20569</v>
      </c>
      <c r="AC7" s="637">
        <f t="shared" si="11"/>
        <v>-20566</v>
      </c>
    </row>
    <row r="8" spans="1:29" ht="18.75">
      <c r="A8" s="646">
        <f>Gen!B15</f>
        <v>0</v>
      </c>
      <c r="B8" s="596">
        <f>Gen!A15</f>
        <v>44170</v>
      </c>
      <c r="C8" s="580"/>
      <c r="D8" s="585">
        <f t="shared" si="1"/>
        <v>8963.2000000000007</v>
      </c>
      <c r="E8" s="581">
        <v>8964.7999999999993</v>
      </c>
      <c r="F8" s="585">
        <f t="shared" si="2"/>
        <v>191.99999999982538</v>
      </c>
      <c r="G8" s="580"/>
      <c r="H8" s="627">
        <f t="shared" si="6"/>
        <v>44170</v>
      </c>
      <c r="I8" s="580"/>
      <c r="J8" s="628">
        <f>'Water-Meter'!G10</f>
        <v>0</v>
      </c>
      <c r="K8" s="629">
        <f>'Water-Meter'!G10</f>
        <v>0</v>
      </c>
      <c r="L8" s="580">
        <f t="shared" si="3"/>
        <v>0</v>
      </c>
      <c r="M8" s="627">
        <f t="shared" si="7"/>
        <v>44170</v>
      </c>
      <c r="N8" s="580"/>
      <c r="O8" s="6">
        <f>'Water-Meter'!J10</f>
        <v>8123</v>
      </c>
      <c r="P8" s="584">
        <f>'Water-Meter'!J10</f>
        <v>8123</v>
      </c>
      <c r="Q8" s="580">
        <f t="shared" si="8"/>
        <v>-8122</v>
      </c>
      <c r="R8" s="630">
        <f t="shared" si="4"/>
        <v>-5.0291021671826623</v>
      </c>
      <c r="S8" s="631">
        <f>Gen!T15</f>
        <v>2292</v>
      </c>
      <c r="T8" s="627">
        <f t="shared" si="9"/>
        <v>44170</v>
      </c>
      <c r="U8" s="580"/>
      <c r="V8" s="585">
        <f t="shared" si="5"/>
        <v>7867.3</v>
      </c>
      <c r="W8" s="582">
        <v>7867.9</v>
      </c>
      <c r="X8" s="585">
        <f t="shared" si="0"/>
        <v>119.99999999989086</v>
      </c>
      <c r="Y8" s="627">
        <f t="shared" si="10"/>
        <v>44170</v>
      </c>
      <c r="Z8" s="580"/>
      <c r="AA8" s="580"/>
      <c r="AB8" s="584">
        <f>'Water-Meter'!P10</f>
        <v>20572</v>
      </c>
      <c r="AC8" s="637">
        <f t="shared" si="11"/>
        <v>-20569</v>
      </c>
    </row>
    <row r="9" spans="1:29" ht="18.75">
      <c r="A9" s="646">
        <f>Gen!B16</f>
        <v>0</v>
      </c>
      <c r="B9" s="596">
        <f>Gen!A16</f>
        <v>44171</v>
      </c>
      <c r="C9" s="580"/>
      <c r="D9" s="585">
        <f t="shared" si="1"/>
        <v>8964.7999999999993</v>
      </c>
      <c r="E9" s="581">
        <v>8966.5</v>
      </c>
      <c r="F9" s="585">
        <f t="shared" si="2"/>
        <v>204.00000000008731</v>
      </c>
      <c r="G9" s="580"/>
      <c r="H9" s="627">
        <f t="shared" si="6"/>
        <v>44171</v>
      </c>
      <c r="I9" s="580"/>
      <c r="J9" s="628">
        <f>'Water-Meter'!G11</f>
        <v>0</v>
      </c>
      <c r="K9" s="629">
        <f>'Water-Meter'!G11</f>
        <v>0</v>
      </c>
      <c r="L9" s="580">
        <f t="shared" si="3"/>
        <v>0</v>
      </c>
      <c r="M9" s="627">
        <f t="shared" si="7"/>
        <v>44171</v>
      </c>
      <c r="N9" s="580"/>
      <c r="O9" s="6">
        <f>'Water-Meter'!J11</f>
        <v>8124</v>
      </c>
      <c r="P9" s="584">
        <f>'Water-Meter'!J11</f>
        <v>8124</v>
      </c>
      <c r="Q9" s="580">
        <f t="shared" si="8"/>
        <v>-8123</v>
      </c>
      <c r="R9" s="630">
        <f t="shared" si="4"/>
        <v>-5.0297213622291022</v>
      </c>
      <c r="S9" s="631">
        <f>Gen!T16</f>
        <v>2375</v>
      </c>
      <c r="T9" s="627">
        <f t="shared" si="9"/>
        <v>44171</v>
      </c>
      <c r="U9" s="580"/>
      <c r="V9" s="585">
        <f t="shared" si="5"/>
        <v>7867.9</v>
      </c>
      <c r="W9" s="582">
        <v>7868.8</v>
      </c>
      <c r="X9" s="585">
        <f t="shared" si="0"/>
        <v>180.00000000010914</v>
      </c>
      <c r="Y9" s="627">
        <f t="shared" si="10"/>
        <v>44171</v>
      </c>
      <c r="Z9" s="580"/>
      <c r="AA9" s="580"/>
      <c r="AB9" s="584">
        <f>'Water-Meter'!P11</f>
        <v>20577</v>
      </c>
      <c r="AC9" s="637">
        <f t="shared" si="11"/>
        <v>-20572</v>
      </c>
    </row>
    <row r="10" spans="1:29" ht="18.75">
      <c r="A10" s="646">
        <f>Gen!B17</f>
        <v>0</v>
      </c>
      <c r="B10" s="596">
        <f>Gen!A17</f>
        <v>44172</v>
      </c>
      <c r="C10" s="580"/>
      <c r="D10" s="585">
        <f t="shared" si="1"/>
        <v>8966.5</v>
      </c>
      <c r="E10" s="581">
        <v>8968.2000000000007</v>
      </c>
      <c r="F10" s="585">
        <f t="shared" si="2"/>
        <v>204.00000000008731</v>
      </c>
      <c r="G10" s="580"/>
      <c r="H10" s="627">
        <f t="shared" si="6"/>
        <v>44172</v>
      </c>
      <c r="I10" s="580"/>
      <c r="J10" s="628">
        <f>'Water-Meter'!G12</f>
        <v>0</v>
      </c>
      <c r="K10" s="629">
        <f>'Water-Meter'!G12</f>
        <v>0</v>
      </c>
      <c r="L10" s="580">
        <f t="shared" si="3"/>
        <v>0</v>
      </c>
      <c r="M10" s="627">
        <f t="shared" si="7"/>
        <v>44172</v>
      </c>
      <c r="N10" s="580"/>
      <c r="O10" s="6">
        <f>'Water-Meter'!J12</f>
        <v>8125</v>
      </c>
      <c r="P10" s="584">
        <f>'Water-Meter'!J12</f>
        <v>8125</v>
      </c>
      <c r="Q10" s="580">
        <f t="shared" si="8"/>
        <v>-8124</v>
      </c>
      <c r="R10" s="630">
        <f t="shared" si="4"/>
        <v>-5.030340557275542</v>
      </c>
      <c r="S10" s="631">
        <f>Gen!T17</f>
        <v>2317</v>
      </c>
      <c r="T10" s="627">
        <f t="shared" si="9"/>
        <v>44172</v>
      </c>
      <c r="U10" s="580"/>
      <c r="V10" s="585">
        <f t="shared" si="5"/>
        <v>7868.8</v>
      </c>
      <c r="W10" s="582">
        <v>7869.7</v>
      </c>
      <c r="X10" s="585">
        <f t="shared" si="0"/>
        <v>179.99999999992724</v>
      </c>
      <c r="Y10" s="627">
        <f t="shared" si="10"/>
        <v>44172</v>
      </c>
      <c r="Z10" s="580"/>
      <c r="AA10" s="580"/>
      <c r="AB10" s="584">
        <f>'Water-Meter'!P12</f>
        <v>20579</v>
      </c>
      <c r="AC10" s="637">
        <f t="shared" si="11"/>
        <v>-20577</v>
      </c>
    </row>
    <row r="11" spans="1:29" ht="18.75">
      <c r="A11" s="646">
        <f>Gen!B18</f>
        <v>0</v>
      </c>
      <c r="B11" s="596">
        <f>Gen!A18</f>
        <v>44173</v>
      </c>
      <c r="C11" s="580"/>
      <c r="D11" s="585">
        <f t="shared" si="1"/>
        <v>8968.2000000000007</v>
      </c>
      <c r="E11" s="581">
        <v>8969.9</v>
      </c>
      <c r="F11" s="585">
        <f t="shared" si="2"/>
        <v>203.99999999986903</v>
      </c>
      <c r="G11" s="580"/>
      <c r="H11" s="627">
        <f t="shared" si="6"/>
        <v>44173</v>
      </c>
      <c r="I11" s="580"/>
      <c r="J11" s="628">
        <f>'Water-Meter'!G13</f>
        <v>0</v>
      </c>
      <c r="K11" s="629">
        <f>'Water-Meter'!G13</f>
        <v>0</v>
      </c>
      <c r="L11" s="580">
        <f t="shared" si="3"/>
        <v>0</v>
      </c>
      <c r="M11" s="627">
        <f t="shared" si="7"/>
        <v>44173</v>
      </c>
      <c r="N11" s="580"/>
      <c r="O11" s="6">
        <f>'Water-Meter'!J13</f>
        <v>8126</v>
      </c>
      <c r="P11" s="584">
        <f>'Water-Meter'!J13</f>
        <v>8126</v>
      </c>
      <c r="Q11" s="580">
        <f t="shared" si="8"/>
        <v>-8125</v>
      </c>
      <c r="R11" s="630">
        <f t="shared" si="4"/>
        <v>-5.0309597523219818</v>
      </c>
      <c r="S11" s="631">
        <f>Gen!T18</f>
        <v>2410</v>
      </c>
      <c r="T11" s="627">
        <f t="shared" si="9"/>
        <v>44173</v>
      </c>
      <c r="U11" s="580"/>
      <c r="V11" s="585">
        <f t="shared" si="5"/>
        <v>7869.7</v>
      </c>
      <c r="W11" s="582">
        <v>7870.5</v>
      </c>
      <c r="X11" s="585">
        <f t="shared" si="0"/>
        <v>160.00000000003638</v>
      </c>
      <c r="Y11" s="627">
        <f t="shared" si="10"/>
        <v>44173</v>
      </c>
      <c r="Z11" s="580"/>
      <c r="AA11" s="580"/>
      <c r="AB11" s="584">
        <f>'Water-Meter'!P13</f>
        <v>20583</v>
      </c>
      <c r="AC11" s="637">
        <f t="shared" si="11"/>
        <v>-20579</v>
      </c>
    </row>
    <row r="12" spans="1:29" ht="18.75">
      <c r="A12" s="646">
        <f>Gen!B19</f>
        <v>0</v>
      </c>
      <c r="B12" s="596">
        <f>Gen!A19</f>
        <v>44174</v>
      </c>
      <c r="C12" s="580"/>
      <c r="D12" s="585">
        <f t="shared" si="1"/>
        <v>8969.9</v>
      </c>
      <c r="E12" s="581">
        <v>8971.7999999999993</v>
      </c>
      <c r="F12" s="585">
        <f t="shared" si="2"/>
        <v>227.99999999995634</v>
      </c>
      <c r="G12" s="580"/>
      <c r="H12" s="627">
        <f t="shared" si="6"/>
        <v>44174</v>
      </c>
      <c r="I12" s="580"/>
      <c r="J12" s="628">
        <f>'Water-Meter'!G14</f>
        <v>0</v>
      </c>
      <c r="K12" s="629">
        <f>'Water-Meter'!G14</f>
        <v>0</v>
      </c>
      <c r="L12" s="580">
        <f t="shared" si="3"/>
        <v>0</v>
      </c>
      <c r="M12" s="627">
        <f t="shared" si="7"/>
        <v>44174</v>
      </c>
      <c r="N12" s="580"/>
      <c r="O12" s="6">
        <f>'Water-Meter'!J14</f>
        <v>8128</v>
      </c>
      <c r="P12" s="584">
        <f>'Water-Meter'!J14</f>
        <v>8128</v>
      </c>
      <c r="Q12" s="580">
        <f t="shared" si="8"/>
        <v>-8126</v>
      </c>
      <c r="R12" s="630">
        <f t="shared" si="4"/>
        <v>-5.0315789473684207</v>
      </c>
      <c r="S12" s="631">
        <f>Gen!T19</f>
        <v>2451</v>
      </c>
      <c r="T12" s="627">
        <f t="shared" si="9"/>
        <v>44174</v>
      </c>
      <c r="U12" s="580"/>
      <c r="V12" s="585">
        <f t="shared" si="5"/>
        <v>7870.5</v>
      </c>
      <c r="W12" s="582">
        <v>7871.7</v>
      </c>
      <c r="X12" s="585">
        <f t="shared" si="0"/>
        <v>239.99999999996362</v>
      </c>
      <c r="Y12" s="627">
        <f t="shared" si="10"/>
        <v>44174</v>
      </c>
      <c r="Z12" s="580"/>
      <c r="AA12" s="580"/>
      <c r="AB12" s="584">
        <f>'Water-Meter'!P14</f>
        <v>20586</v>
      </c>
      <c r="AC12" s="637">
        <f t="shared" si="11"/>
        <v>-20583</v>
      </c>
    </row>
    <row r="13" spans="1:29" ht="18.75">
      <c r="A13" s="646">
        <f>Gen!B20</f>
        <v>0</v>
      </c>
      <c r="B13" s="596">
        <f>Gen!A20</f>
        <v>44175</v>
      </c>
      <c r="C13" s="580"/>
      <c r="D13" s="585">
        <f t="shared" si="1"/>
        <v>8971.7999999999993</v>
      </c>
      <c r="E13" s="581">
        <v>8973.9</v>
      </c>
      <c r="F13" s="585">
        <f t="shared" si="2"/>
        <v>252.00000000004366</v>
      </c>
      <c r="G13" s="580"/>
      <c r="H13" s="627">
        <f t="shared" si="6"/>
        <v>44175</v>
      </c>
      <c r="I13" s="580"/>
      <c r="J13" s="628">
        <f>'Water-Meter'!G15</f>
        <v>0</v>
      </c>
      <c r="K13" s="629">
        <f>'Water-Meter'!G15</f>
        <v>0</v>
      </c>
      <c r="L13" s="580">
        <f t="shared" si="3"/>
        <v>0</v>
      </c>
      <c r="M13" s="627">
        <f t="shared" si="7"/>
        <v>44175</v>
      </c>
      <c r="N13" s="580"/>
      <c r="O13" s="6">
        <f>'Water-Meter'!J15</f>
        <v>8129</v>
      </c>
      <c r="P13" s="584">
        <f>'Water-Meter'!J15</f>
        <v>8129</v>
      </c>
      <c r="Q13" s="580">
        <f t="shared" si="8"/>
        <v>-8128</v>
      </c>
      <c r="R13" s="630">
        <f t="shared" si="4"/>
        <v>-5.0328173374613003</v>
      </c>
      <c r="S13" s="631">
        <f>Gen!T20</f>
        <v>2929</v>
      </c>
      <c r="T13" s="627">
        <f t="shared" si="9"/>
        <v>44175</v>
      </c>
      <c r="U13" s="580"/>
      <c r="V13" s="585">
        <f t="shared" si="5"/>
        <v>7871.7</v>
      </c>
      <c r="W13" s="582">
        <v>7872.8</v>
      </c>
      <c r="X13" s="585">
        <f t="shared" si="0"/>
        <v>220.00000000007276</v>
      </c>
      <c r="Y13" s="627">
        <f t="shared" si="10"/>
        <v>44175</v>
      </c>
      <c r="Z13" s="580"/>
      <c r="AA13" s="580"/>
      <c r="AB13" s="584">
        <f>'Water-Meter'!P15</f>
        <v>20590</v>
      </c>
      <c r="AC13" s="637">
        <f t="shared" si="11"/>
        <v>-20586</v>
      </c>
    </row>
    <row r="14" spans="1:29" ht="18.75">
      <c r="A14" s="646">
        <f>Gen!B21</f>
        <v>0</v>
      </c>
      <c r="B14" s="596">
        <f>Gen!A21</f>
        <v>44176</v>
      </c>
      <c r="C14" s="580"/>
      <c r="D14" s="585">
        <f t="shared" si="1"/>
        <v>8973.9</v>
      </c>
      <c r="E14" s="581">
        <v>8975.7999999999993</v>
      </c>
      <c r="F14" s="585">
        <f t="shared" si="2"/>
        <v>227.99999999995634</v>
      </c>
      <c r="G14" s="580"/>
      <c r="H14" s="627">
        <f t="shared" si="6"/>
        <v>44176</v>
      </c>
      <c r="I14" s="580"/>
      <c r="J14" s="628">
        <f>'Water-Meter'!G16</f>
        <v>0</v>
      </c>
      <c r="K14" s="629">
        <f>'Water-Meter'!G16</f>
        <v>0</v>
      </c>
      <c r="L14" s="580">
        <f t="shared" si="3"/>
        <v>0</v>
      </c>
      <c r="M14" s="627">
        <f t="shared" si="7"/>
        <v>44176</v>
      </c>
      <c r="N14" s="580"/>
      <c r="O14" s="6">
        <f>'Water-Meter'!J16</f>
        <v>8130</v>
      </c>
      <c r="P14" s="584">
        <f>'Water-Meter'!J16</f>
        <v>8130</v>
      </c>
      <c r="Q14" s="580">
        <v>8095</v>
      </c>
      <c r="R14" s="630">
        <f t="shared" si="4"/>
        <v>5.0123839009287927</v>
      </c>
      <c r="S14" s="631">
        <f>Gen!T21</f>
        <v>3090</v>
      </c>
      <c r="T14" s="627">
        <f t="shared" si="9"/>
        <v>44176</v>
      </c>
      <c r="U14" s="580"/>
      <c r="V14" s="585">
        <f t="shared" si="5"/>
        <v>7872.8</v>
      </c>
      <c r="W14" s="582">
        <v>7874.7</v>
      </c>
      <c r="X14" s="585">
        <f t="shared" si="0"/>
        <v>379.99999999992724</v>
      </c>
      <c r="Y14" s="627">
        <f t="shared" si="10"/>
        <v>44176</v>
      </c>
      <c r="Z14" s="580"/>
      <c r="AA14" s="580"/>
      <c r="AB14" s="584">
        <f>'Water-Meter'!P16</f>
        <v>20597</v>
      </c>
      <c r="AC14" s="637">
        <v>20490</v>
      </c>
    </row>
    <row r="15" spans="1:29" ht="18.75">
      <c r="A15" s="646">
        <f>Gen!B22</f>
        <v>0</v>
      </c>
      <c r="B15" s="596">
        <f>Gen!A22</f>
        <v>44177</v>
      </c>
      <c r="C15" s="580"/>
      <c r="D15" s="585">
        <f t="shared" si="1"/>
        <v>8975.7999999999993</v>
      </c>
      <c r="E15" s="581">
        <v>8977.9</v>
      </c>
      <c r="F15" s="585">
        <f t="shared" si="2"/>
        <v>252.00000000004366</v>
      </c>
      <c r="G15" s="580"/>
      <c r="H15" s="627">
        <f t="shared" si="6"/>
        <v>44177</v>
      </c>
      <c r="I15" s="580"/>
      <c r="J15" s="628">
        <f>'Water-Meter'!G17</f>
        <v>0</v>
      </c>
      <c r="K15" s="629">
        <f>'Water-Meter'!G17</f>
        <v>0</v>
      </c>
      <c r="L15" s="580">
        <f t="shared" si="3"/>
        <v>0</v>
      </c>
      <c r="M15" s="627">
        <f t="shared" si="7"/>
        <v>44177</v>
      </c>
      <c r="N15" s="580"/>
      <c r="O15" s="6">
        <f>'Water-Meter'!J17</f>
        <v>8131</v>
      </c>
      <c r="P15" s="584">
        <f>'Water-Meter'!J17</f>
        <v>8131</v>
      </c>
      <c r="Q15" s="580">
        <f t="shared" si="8"/>
        <v>-8130</v>
      </c>
      <c r="R15" s="630">
        <f t="shared" si="4"/>
        <v>-5.03405572755418</v>
      </c>
      <c r="S15" s="631">
        <f>Gen!T22</f>
        <v>3028</v>
      </c>
      <c r="T15" s="627">
        <f t="shared" si="9"/>
        <v>44177</v>
      </c>
      <c r="U15" s="580"/>
      <c r="V15" s="585">
        <f t="shared" si="5"/>
        <v>7874.7</v>
      </c>
      <c r="W15" s="582">
        <v>7876.7</v>
      </c>
      <c r="X15" s="585">
        <f t="shared" si="0"/>
        <v>400</v>
      </c>
      <c r="Y15" s="627">
        <f t="shared" si="10"/>
        <v>44177</v>
      </c>
      <c r="Z15" s="580"/>
      <c r="AA15" s="580"/>
      <c r="AB15" s="584">
        <f>'Water-Meter'!P17</f>
        <v>20604</v>
      </c>
      <c r="AC15" s="637">
        <f t="shared" si="11"/>
        <v>-20597</v>
      </c>
    </row>
    <row r="16" spans="1:29" ht="18.75">
      <c r="A16" s="646">
        <f>Gen!B23</f>
        <v>0</v>
      </c>
      <c r="B16" s="596">
        <f>Gen!A23</f>
        <v>44178</v>
      </c>
      <c r="C16" s="580"/>
      <c r="D16" s="585">
        <f t="shared" si="1"/>
        <v>8977.9</v>
      </c>
      <c r="E16" s="581">
        <v>8980.1</v>
      </c>
      <c r="F16" s="585">
        <f>SUM(E16-D16)*120</f>
        <v>264.00000000008731</v>
      </c>
      <c r="G16" s="580"/>
      <c r="H16" s="627">
        <f t="shared" si="6"/>
        <v>44178</v>
      </c>
      <c r="I16" s="580"/>
      <c r="J16" s="628">
        <f>'Water-Meter'!G18</f>
        <v>0</v>
      </c>
      <c r="K16" s="629">
        <f>'Water-Meter'!G18</f>
        <v>0</v>
      </c>
      <c r="L16" s="580">
        <f t="shared" si="3"/>
        <v>0</v>
      </c>
      <c r="M16" s="627">
        <f t="shared" si="7"/>
        <v>44178</v>
      </c>
      <c r="N16" s="580"/>
      <c r="O16" s="6">
        <f>'Water-Meter'!J18</f>
        <v>8133</v>
      </c>
      <c r="P16" s="584">
        <f>'Water-Meter'!J18</f>
        <v>8133</v>
      </c>
      <c r="Q16" s="580">
        <f t="shared" si="8"/>
        <v>-8131</v>
      </c>
      <c r="R16" s="630">
        <f t="shared" si="4"/>
        <v>-5.0346749226006189</v>
      </c>
      <c r="S16" s="631">
        <f>Gen!T23</f>
        <v>2694</v>
      </c>
      <c r="T16" s="627">
        <f t="shared" si="9"/>
        <v>44178</v>
      </c>
      <c r="U16" s="580"/>
      <c r="V16" s="585">
        <f t="shared" si="5"/>
        <v>7876.7</v>
      </c>
      <c r="W16" s="582">
        <v>7878.4</v>
      </c>
      <c r="X16" s="585">
        <f t="shared" si="0"/>
        <v>339.99999999996362</v>
      </c>
      <c r="Y16" s="627">
        <f t="shared" si="10"/>
        <v>44178</v>
      </c>
      <c r="Z16" s="580"/>
      <c r="AA16" s="580"/>
      <c r="AB16" s="584">
        <f>'Water-Meter'!P18</f>
        <v>20614</v>
      </c>
      <c r="AC16" s="637">
        <f t="shared" si="11"/>
        <v>-20604</v>
      </c>
    </row>
    <row r="17" spans="1:29" ht="18.75">
      <c r="A17" s="646">
        <f>Gen!B24</f>
        <v>0</v>
      </c>
      <c r="B17" s="596">
        <f>Gen!A24</f>
        <v>44179</v>
      </c>
      <c r="C17" s="580"/>
      <c r="D17" s="585">
        <f t="shared" si="1"/>
        <v>8980.1</v>
      </c>
      <c r="E17" s="581">
        <v>8982.1</v>
      </c>
      <c r="F17" s="585">
        <f>SUM(E17-D17)*120</f>
        <v>240</v>
      </c>
      <c r="G17" s="580"/>
      <c r="H17" s="627">
        <f t="shared" si="6"/>
        <v>44179</v>
      </c>
      <c r="I17" s="580"/>
      <c r="J17" s="628">
        <f>'Water-Meter'!G19</f>
        <v>0</v>
      </c>
      <c r="K17" s="629">
        <f>'Water-Meter'!G19</f>
        <v>0</v>
      </c>
      <c r="L17" s="580">
        <f t="shared" si="3"/>
        <v>0</v>
      </c>
      <c r="M17" s="627">
        <f t="shared" si="7"/>
        <v>44179</v>
      </c>
      <c r="N17" s="580"/>
      <c r="O17" s="6">
        <f>'Water-Meter'!J19</f>
        <v>8140</v>
      </c>
      <c r="P17" s="584">
        <f>'Water-Meter'!J19</f>
        <v>8140</v>
      </c>
      <c r="Q17" s="580">
        <f t="shared" si="8"/>
        <v>-8133</v>
      </c>
      <c r="R17" s="630">
        <f t="shared" si="4"/>
        <v>-5.0359133126934985</v>
      </c>
      <c r="S17" s="631">
        <f>Gen!T24</f>
        <v>2790</v>
      </c>
      <c r="T17" s="627">
        <f t="shared" si="9"/>
        <v>44179</v>
      </c>
      <c r="U17" s="580"/>
      <c r="V17" s="585">
        <f t="shared" si="5"/>
        <v>7878.4</v>
      </c>
      <c r="W17" s="582">
        <v>7879.6</v>
      </c>
      <c r="X17" s="585">
        <f t="shared" si="0"/>
        <v>240.00000000014552</v>
      </c>
      <c r="Y17" s="627">
        <f t="shared" si="10"/>
        <v>44179</v>
      </c>
      <c r="Z17" s="580"/>
      <c r="AA17" s="580"/>
      <c r="AB17" s="584">
        <f>'Water-Meter'!P19</f>
        <v>20624</v>
      </c>
      <c r="AC17" s="637">
        <f t="shared" si="11"/>
        <v>-20614</v>
      </c>
    </row>
    <row r="18" spans="1:29" ht="18.75">
      <c r="A18" s="646">
        <f>Gen!B25</f>
        <v>0</v>
      </c>
      <c r="B18" s="596">
        <f>Gen!A25</f>
        <v>44180</v>
      </c>
      <c r="C18" s="580"/>
      <c r="D18" s="585">
        <f t="shared" si="1"/>
        <v>8982.1</v>
      </c>
      <c r="E18" s="581">
        <v>8984.1</v>
      </c>
      <c r="F18" s="585">
        <f t="shared" ref="F18:F22" si="12">SUM(E18-D18)*120</f>
        <v>240</v>
      </c>
      <c r="G18" s="580"/>
      <c r="H18" s="627">
        <f t="shared" si="6"/>
        <v>44180</v>
      </c>
      <c r="I18" s="580"/>
      <c r="J18" s="628">
        <f>'Water-Meter'!G20</f>
        <v>0</v>
      </c>
      <c r="K18" s="629">
        <f>'Water-Meter'!G20</f>
        <v>0</v>
      </c>
      <c r="L18" s="580">
        <f t="shared" si="3"/>
        <v>0</v>
      </c>
      <c r="M18" s="627">
        <f t="shared" si="7"/>
        <v>44180</v>
      </c>
      <c r="N18" s="580"/>
      <c r="O18" s="6">
        <f>'Water-Meter'!J20</f>
        <v>0</v>
      </c>
      <c r="P18" s="584">
        <f>'Water-Meter'!J20</f>
        <v>0</v>
      </c>
      <c r="Q18" s="580">
        <f t="shared" si="8"/>
        <v>-8140</v>
      </c>
      <c r="R18" s="630">
        <f t="shared" si="4"/>
        <v>-5.0402476780185754</v>
      </c>
      <c r="S18" s="631">
        <f>Gen!T25</f>
        <v>2707</v>
      </c>
      <c r="T18" s="627">
        <f t="shared" si="9"/>
        <v>44180</v>
      </c>
      <c r="U18" s="580"/>
      <c r="V18" s="585">
        <f t="shared" si="5"/>
        <v>7879.6</v>
      </c>
      <c r="W18" s="582">
        <v>7880.7</v>
      </c>
      <c r="X18" s="585">
        <f t="shared" si="0"/>
        <v>219.99999999989086</v>
      </c>
      <c r="Y18" s="627">
        <f t="shared" si="10"/>
        <v>44180</v>
      </c>
      <c r="Z18" s="580"/>
      <c r="AA18" s="580"/>
      <c r="AB18" s="584">
        <f>'Water-Meter'!P20</f>
        <v>20628</v>
      </c>
      <c r="AC18" s="637">
        <f t="shared" si="11"/>
        <v>-20624</v>
      </c>
    </row>
    <row r="19" spans="1:29" ht="18.75">
      <c r="A19" s="646">
        <f>Gen!B26</f>
        <v>0</v>
      </c>
      <c r="B19" s="596">
        <f>Gen!A26</f>
        <v>44181</v>
      </c>
      <c r="C19" s="583"/>
      <c r="D19" s="585">
        <f t="shared" si="1"/>
        <v>8984.1</v>
      </c>
      <c r="E19" s="581"/>
      <c r="F19" s="585">
        <f t="shared" si="12"/>
        <v>-1078092</v>
      </c>
      <c r="G19" s="580"/>
      <c r="H19" s="627">
        <f t="shared" si="6"/>
        <v>44181</v>
      </c>
      <c r="I19" s="583"/>
      <c r="J19" s="628">
        <f>'Water-Meter'!G21</f>
        <v>0</v>
      </c>
      <c r="K19" s="629">
        <f>'Water-Meter'!G21</f>
        <v>0</v>
      </c>
      <c r="L19" s="580">
        <f t="shared" si="3"/>
        <v>0</v>
      </c>
      <c r="M19" s="627">
        <f t="shared" si="7"/>
        <v>44181</v>
      </c>
      <c r="N19" s="583"/>
      <c r="O19" s="6">
        <f>'Water-Meter'!J21</f>
        <v>0</v>
      </c>
      <c r="P19" s="584">
        <f>'Water-Meter'!J21</f>
        <v>0</v>
      </c>
      <c r="Q19" s="580">
        <f t="shared" si="8"/>
        <v>0</v>
      </c>
      <c r="R19" s="630">
        <f t="shared" si="4"/>
        <v>0</v>
      </c>
      <c r="S19" s="631">
        <f>Gen!T26</f>
        <v>0</v>
      </c>
      <c r="T19" s="627">
        <f t="shared" si="9"/>
        <v>44181</v>
      </c>
      <c r="U19" s="583"/>
      <c r="V19" s="585">
        <f t="shared" si="5"/>
        <v>7880.7</v>
      </c>
      <c r="W19" s="582"/>
      <c r="X19" s="585">
        <f t="shared" si="0"/>
        <v>-1576140</v>
      </c>
      <c r="Y19" s="627">
        <f t="shared" si="10"/>
        <v>44181</v>
      </c>
      <c r="Z19" s="583"/>
      <c r="AA19" s="580"/>
      <c r="AB19" s="584">
        <f>'Water-Meter'!P21</f>
        <v>0</v>
      </c>
      <c r="AC19" s="637">
        <f t="shared" si="11"/>
        <v>-20628</v>
      </c>
    </row>
    <row r="20" spans="1:29" ht="18.75">
      <c r="A20" s="646">
        <f>Gen!B27</f>
        <v>0</v>
      </c>
      <c r="B20" s="596">
        <f>Gen!A27</f>
        <v>44182</v>
      </c>
      <c r="C20" s="583"/>
      <c r="D20" s="585">
        <f t="shared" si="1"/>
        <v>0</v>
      </c>
      <c r="E20" s="581"/>
      <c r="F20" s="585">
        <f t="shared" si="12"/>
        <v>0</v>
      </c>
      <c r="G20" s="580"/>
      <c r="H20" s="627">
        <f t="shared" si="6"/>
        <v>44182</v>
      </c>
      <c r="I20" s="583"/>
      <c r="J20" s="628">
        <f>'Water-Meter'!G22</f>
        <v>0</v>
      </c>
      <c r="K20" s="629">
        <f>'Water-Meter'!G22</f>
        <v>0</v>
      </c>
      <c r="L20" s="580">
        <f t="shared" si="3"/>
        <v>0</v>
      </c>
      <c r="M20" s="627">
        <f t="shared" si="7"/>
        <v>44182</v>
      </c>
      <c r="N20" s="583"/>
      <c r="O20" s="6">
        <f>'Water-Meter'!J22</f>
        <v>0</v>
      </c>
      <c r="P20" s="584">
        <f>'Water-Meter'!J22</f>
        <v>0</v>
      </c>
      <c r="Q20" s="580">
        <f t="shared" si="8"/>
        <v>0</v>
      </c>
      <c r="R20" s="630">
        <f t="shared" si="4"/>
        <v>0</v>
      </c>
      <c r="S20" s="631">
        <f>Gen!T27</f>
        <v>0</v>
      </c>
      <c r="T20" s="627">
        <f t="shared" si="9"/>
        <v>44182</v>
      </c>
      <c r="U20" s="583"/>
      <c r="V20" s="585">
        <f t="shared" si="5"/>
        <v>0</v>
      </c>
      <c r="W20" s="582"/>
      <c r="X20" s="585">
        <f t="shared" si="0"/>
        <v>0</v>
      </c>
      <c r="Y20" s="627">
        <f t="shared" si="10"/>
        <v>44182</v>
      </c>
      <c r="Z20" s="583"/>
      <c r="AA20" s="580"/>
      <c r="AB20" s="584">
        <f>'Water-Meter'!P22</f>
        <v>0</v>
      </c>
      <c r="AC20" s="637">
        <f t="shared" si="11"/>
        <v>0</v>
      </c>
    </row>
    <row r="21" spans="1:29" ht="18.75">
      <c r="A21" s="646">
        <f>Gen!B28</f>
        <v>0</v>
      </c>
      <c r="B21" s="596">
        <f>Gen!A28</f>
        <v>44183</v>
      </c>
      <c r="C21" s="583"/>
      <c r="D21" s="585">
        <f t="shared" si="1"/>
        <v>0</v>
      </c>
      <c r="E21" s="581"/>
      <c r="F21" s="585">
        <f t="shared" si="12"/>
        <v>0</v>
      </c>
      <c r="G21" s="580"/>
      <c r="H21" s="627">
        <f t="shared" si="6"/>
        <v>44183</v>
      </c>
      <c r="I21" s="583"/>
      <c r="J21" s="628">
        <f>'Water-Meter'!G23</f>
        <v>0</v>
      </c>
      <c r="K21" s="629">
        <f>'Water-Meter'!G23</f>
        <v>0</v>
      </c>
      <c r="L21" s="580">
        <f t="shared" si="3"/>
        <v>0</v>
      </c>
      <c r="M21" s="627">
        <f t="shared" si="7"/>
        <v>44183</v>
      </c>
      <c r="N21" s="583"/>
      <c r="O21" s="6">
        <f>'Water-Meter'!J23</f>
        <v>0</v>
      </c>
      <c r="P21" s="584">
        <f>'Water-Meter'!J23</f>
        <v>0</v>
      </c>
      <c r="Q21" s="580">
        <f t="shared" ref="Q21:Q35" si="13">N21-O20</f>
        <v>0</v>
      </c>
      <c r="R21" s="630">
        <f t="shared" ref="R21:R35" si="14">SUM(Q21/1615)</f>
        <v>0</v>
      </c>
      <c r="S21" s="631">
        <f>Gen!T28</f>
        <v>0</v>
      </c>
      <c r="T21" s="627">
        <f t="shared" si="9"/>
        <v>44183</v>
      </c>
      <c r="U21" s="583"/>
      <c r="V21" s="585">
        <f t="shared" si="5"/>
        <v>0</v>
      </c>
      <c r="W21" s="582"/>
      <c r="X21" s="585">
        <f t="shared" si="0"/>
        <v>0</v>
      </c>
      <c r="Y21" s="627">
        <f t="shared" si="10"/>
        <v>44183</v>
      </c>
      <c r="Z21" s="583"/>
      <c r="AA21" s="580"/>
      <c r="AB21" s="584">
        <f>'Water-Meter'!P23</f>
        <v>0</v>
      </c>
      <c r="AC21" s="637">
        <f t="shared" si="11"/>
        <v>0</v>
      </c>
    </row>
    <row r="22" spans="1:29" ht="18.75">
      <c r="A22" s="646">
        <f>Gen!B29</f>
        <v>0</v>
      </c>
      <c r="B22" s="596">
        <f>Gen!A29</f>
        <v>44184</v>
      </c>
      <c r="C22" s="580"/>
      <c r="D22" s="585">
        <f t="shared" si="1"/>
        <v>0</v>
      </c>
      <c r="E22" s="581"/>
      <c r="F22" s="585">
        <f t="shared" si="12"/>
        <v>0</v>
      </c>
      <c r="G22" s="580"/>
      <c r="H22" s="627">
        <f t="shared" si="6"/>
        <v>44184</v>
      </c>
      <c r="I22" s="580"/>
      <c r="J22" s="628">
        <f>'Water-Meter'!G24</f>
        <v>0</v>
      </c>
      <c r="K22" s="629">
        <f>'Water-Meter'!G24</f>
        <v>0</v>
      </c>
      <c r="L22" s="580">
        <f t="shared" si="3"/>
        <v>0</v>
      </c>
      <c r="M22" s="627">
        <f t="shared" si="7"/>
        <v>44184</v>
      </c>
      <c r="N22" s="580"/>
      <c r="O22" s="6">
        <f>'Water-Meter'!J24</f>
        <v>0</v>
      </c>
      <c r="P22" s="584">
        <f>'Water-Meter'!J24</f>
        <v>0</v>
      </c>
      <c r="Q22" s="580">
        <f t="shared" si="13"/>
        <v>0</v>
      </c>
      <c r="R22" s="630">
        <f t="shared" si="14"/>
        <v>0</v>
      </c>
      <c r="S22" s="631">
        <f>Gen!T29</f>
        <v>0</v>
      </c>
      <c r="T22" s="627">
        <f t="shared" si="9"/>
        <v>44184</v>
      </c>
      <c r="U22" s="580"/>
      <c r="V22" s="585">
        <f t="shared" si="5"/>
        <v>0</v>
      </c>
      <c r="W22" s="582"/>
      <c r="X22" s="585">
        <f t="shared" si="0"/>
        <v>0</v>
      </c>
      <c r="Y22" s="627">
        <f t="shared" si="10"/>
        <v>44184</v>
      </c>
      <c r="Z22" s="580"/>
      <c r="AA22" s="580"/>
      <c r="AB22" s="584">
        <f>'Water-Meter'!P24</f>
        <v>0</v>
      </c>
      <c r="AC22" s="637">
        <f t="shared" si="11"/>
        <v>0</v>
      </c>
    </row>
    <row r="23" spans="1:29" ht="18.75">
      <c r="A23" s="646">
        <f>Gen!B30</f>
        <v>0</v>
      </c>
      <c r="B23" s="596">
        <f>Gen!A30</f>
        <v>44185</v>
      </c>
      <c r="C23" s="583"/>
      <c r="D23" s="585">
        <f t="shared" si="1"/>
        <v>0</v>
      </c>
      <c r="E23" s="581"/>
      <c r="F23" s="585">
        <f t="shared" ref="F23:F34" si="15">SUM(E23-D23)*120</f>
        <v>0</v>
      </c>
      <c r="G23" s="580"/>
      <c r="H23" s="627">
        <f t="shared" si="6"/>
        <v>44185</v>
      </c>
      <c r="I23" s="583"/>
      <c r="J23" s="628">
        <f>'Water-Meter'!G25</f>
        <v>0</v>
      </c>
      <c r="K23" s="629">
        <f>'Water-Meter'!G26</f>
        <v>0</v>
      </c>
      <c r="L23" s="580">
        <f t="shared" si="3"/>
        <v>0</v>
      </c>
      <c r="M23" s="627">
        <f t="shared" si="7"/>
        <v>44185</v>
      </c>
      <c r="N23" s="583"/>
      <c r="O23" s="6">
        <f>'Water-Meter'!J25</f>
        <v>0</v>
      </c>
      <c r="P23" s="584">
        <f>'Water-Meter'!J25</f>
        <v>0</v>
      </c>
      <c r="Q23" s="580">
        <f t="shared" si="13"/>
        <v>0</v>
      </c>
      <c r="R23" s="630">
        <f t="shared" si="14"/>
        <v>0</v>
      </c>
      <c r="S23" s="631">
        <f>Gen!T30</f>
        <v>0</v>
      </c>
      <c r="T23" s="627">
        <f t="shared" si="9"/>
        <v>44185</v>
      </c>
      <c r="U23" s="583"/>
      <c r="V23" s="585">
        <f t="shared" si="5"/>
        <v>0</v>
      </c>
      <c r="W23" s="582"/>
      <c r="X23" s="585">
        <f t="shared" si="0"/>
        <v>0</v>
      </c>
      <c r="Y23" s="627">
        <f t="shared" si="10"/>
        <v>44185</v>
      </c>
      <c r="Z23" s="583"/>
      <c r="AA23" s="580"/>
      <c r="AB23" s="584">
        <f>'Water-Meter'!P25</f>
        <v>0</v>
      </c>
      <c r="AC23" s="637">
        <f t="shared" si="11"/>
        <v>0</v>
      </c>
    </row>
    <row r="24" spans="1:29" ht="18.75">
      <c r="A24" s="646">
        <f>Gen!B31</f>
        <v>0</v>
      </c>
      <c r="B24" s="596">
        <f>Gen!A31</f>
        <v>44186</v>
      </c>
      <c r="C24" s="583"/>
      <c r="D24" s="585">
        <f t="shared" ref="D24:D35" si="16">SUM(E23)</f>
        <v>0</v>
      </c>
      <c r="E24" s="581"/>
      <c r="F24" s="585">
        <f t="shared" si="15"/>
        <v>0</v>
      </c>
      <c r="G24" s="580"/>
      <c r="H24" s="627">
        <f t="shared" si="6"/>
        <v>44186</v>
      </c>
      <c r="I24" s="583"/>
      <c r="J24" s="628">
        <f>'Water-Meter'!G26</f>
        <v>0</v>
      </c>
      <c r="K24" s="629">
        <f>'Water-Meter'!G27</f>
        <v>0</v>
      </c>
      <c r="L24" s="580">
        <f t="shared" si="3"/>
        <v>0</v>
      </c>
      <c r="M24" s="627">
        <f t="shared" si="7"/>
        <v>44186</v>
      </c>
      <c r="N24" s="583"/>
      <c r="O24" s="6">
        <f>'Water-Meter'!J26</f>
        <v>0</v>
      </c>
      <c r="P24" s="584">
        <f>'Water-Meter'!J26</f>
        <v>0</v>
      </c>
      <c r="Q24" s="580">
        <f t="shared" si="13"/>
        <v>0</v>
      </c>
      <c r="R24" s="630">
        <f t="shared" si="14"/>
        <v>0</v>
      </c>
      <c r="S24" s="631">
        <f>Gen!T31</f>
        <v>0</v>
      </c>
      <c r="T24" s="627">
        <v>5835.7</v>
      </c>
      <c r="U24" s="583"/>
      <c r="V24" s="585">
        <f t="shared" si="5"/>
        <v>0</v>
      </c>
      <c r="W24" s="582"/>
      <c r="X24" s="585">
        <f t="shared" si="0"/>
        <v>0</v>
      </c>
      <c r="Y24" s="627">
        <f t="shared" si="10"/>
        <v>5835.7</v>
      </c>
      <c r="Z24" s="583"/>
      <c r="AA24" s="580"/>
      <c r="AB24" s="584">
        <f>'Water-Meter'!P26</f>
        <v>0</v>
      </c>
      <c r="AC24" s="637">
        <f t="shared" si="11"/>
        <v>0</v>
      </c>
    </row>
    <row r="25" spans="1:29" ht="18.75">
      <c r="A25" s="646">
        <f>Gen!B32</f>
        <v>0</v>
      </c>
      <c r="B25" s="596">
        <f>Gen!A32</f>
        <v>44187</v>
      </c>
      <c r="C25" s="583"/>
      <c r="D25" s="585">
        <f t="shared" si="16"/>
        <v>0</v>
      </c>
      <c r="E25" s="581"/>
      <c r="F25" s="585">
        <f t="shared" si="15"/>
        <v>0</v>
      </c>
      <c r="G25" s="580"/>
      <c r="H25" s="627">
        <f t="shared" si="6"/>
        <v>44187</v>
      </c>
      <c r="I25" s="583"/>
      <c r="J25" s="628">
        <f>'Water-Meter'!G27</f>
        <v>0</v>
      </c>
      <c r="K25" s="629">
        <f>'Water-Meter'!G28</f>
        <v>0</v>
      </c>
      <c r="L25" s="580">
        <f t="shared" si="3"/>
        <v>0</v>
      </c>
      <c r="M25" s="627">
        <f t="shared" si="7"/>
        <v>44187</v>
      </c>
      <c r="N25" s="583"/>
      <c r="O25" s="6">
        <f>'Water-Meter'!J27</f>
        <v>0</v>
      </c>
      <c r="P25" s="584">
        <f>'Water-Meter'!J27</f>
        <v>0</v>
      </c>
      <c r="Q25" s="580">
        <f t="shared" si="13"/>
        <v>0</v>
      </c>
      <c r="R25" s="630">
        <f t="shared" si="14"/>
        <v>0</v>
      </c>
      <c r="S25" s="631">
        <f>Gen!T32</f>
        <v>0</v>
      </c>
      <c r="T25" s="627">
        <f t="shared" si="9"/>
        <v>44187</v>
      </c>
      <c r="U25" s="583"/>
      <c r="V25" s="585">
        <f t="shared" si="5"/>
        <v>0</v>
      </c>
      <c r="W25" s="582"/>
      <c r="X25" s="585">
        <f t="shared" si="0"/>
        <v>0</v>
      </c>
      <c r="Y25" s="627">
        <f t="shared" si="10"/>
        <v>44187</v>
      </c>
      <c r="Z25" s="583"/>
      <c r="AA25" s="580"/>
      <c r="AB25" s="584">
        <f>'Water-Meter'!P27</f>
        <v>0</v>
      </c>
      <c r="AC25" s="637">
        <f t="shared" si="11"/>
        <v>0</v>
      </c>
    </row>
    <row r="26" spans="1:29" ht="18.75">
      <c r="A26" s="646">
        <f>Gen!B33</f>
        <v>0</v>
      </c>
      <c r="B26" s="596">
        <f>Gen!A33</f>
        <v>44188</v>
      </c>
      <c r="C26" s="583"/>
      <c r="D26" s="585">
        <f t="shared" si="16"/>
        <v>0</v>
      </c>
      <c r="E26" s="581"/>
      <c r="F26" s="585">
        <f t="shared" si="15"/>
        <v>0</v>
      </c>
      <c r="G26" s="580"/>
      <c r="H26" s="627">
        <f t="shared" si="6"/>
        <v>44188</v>
      </c>
      <c r="I26" s="583"/>
      <c r="J26" s="628">
        <f>'Water-Meter'!G28</f>
        <v>0</v>
      </c>
      <c r="K26" s="629">
        <f>'Water-Meter'!G29</f>
        <v>0</v>
      </c>
      <c r="L26" s="580">
        <f t="shared" si="3"/>
        <v>0</v>
      </c>
      <c r="M26" s="627">
        <f t="shared" si="7"/>
        <v>44188</v>
      </c>
      <c r="N26" s="583"/>
      <c r="O26" s="6">
        <f>'Water-Meter'!J28</f>
        <v>0</v>
      </c>
      <c r="P26" s="584">
        <f>'Water-Meter'!J28</f>
        <v>0</v>
      </c>
      <c r="Q26" s="580">
        <f t="shared" si="13"/>
        <v>0</v>
      </c>
      <c r="R26" s="630">
        <f t="shared" si="14"/>
        <v>0</v>
      </c>
      <c r="S26" s="631">
        <f>Gen!T33</f>
        <v>0</v>
      </c>
      <c r="T26" s="627">
        <f t="shared" si="9"/>
        <v>44188</v>
      </c>
      <c r="U26" s="583"/>
      <c r="V26" s="585">
        <f t="shared" si="5"/>
        <v>0</v>
      </c>
      <c r="W26" s="582"/>
      <c r="X26" s="585">
        <f t="shared" si="0"/>
        <v>0</v>
      </c>
      <c r="Y26" s="627">
        <f t="shared" si="10"/>
        <v>44188</v>
      </c>
      <c r="Z26" s="583"/>
      <c r="AA26" s="580"/>
      <c r="AB26" s="584">
        <f>'Water-Meter'!P28</f>
        <v>0</v>
      </c>
      <c r="AC26" s="637">
        <f t="shared" si="11"/>
        <v>0</v>
      </c>
    </row>
    <row r="27" spans="1:29" ht="18.75">
      <c r="A27" s="646">
        <f>Gen!B34</f>
        <v>0</v>
      </c>
      <c r="B27" s="596">
        <f>Gen!A34</f>
        <v>44189</v>
      </c>
      <c r="C27" s="583"/>
      <c r="D27" s="585">
        <f t="shared" si="16"/>
        <v>0</v>
      </c>
      <c r="E27" s="581"/>
      <c r="F27" s="585">
        <f t="shared" si="15"/>
        <v>0</v>
      </c>
      <c r="G27" s="580"/>
      <c r="H27" s="627">
        <f t="shared" si="6"/>
        <v>44189</v>
      </c>
      <c r="I27" s="583"/>
      <c r="J27" s="628">
        <f>'Water-Meter'!G29</f>
        <v>0</v>
      </c>
      <c r="K27" s="629">
        <f>'Water-Meter'!G30</f>
        <v>0</v>
      </c>
      <c r="L27" s="580">
        <f t="shared" si="3"/>
        <v>0</v>
      </c>
      <c r="M27" s="627">
        <f t="shared" si="7"/>
        <v>44189</v>
      </c>
      <c r="N27" s="583"/>
      <c r="O27" s="6">
        <f>'Water-Meter'!J29</f>
        <v>0</v>
      </c>
      <c r="P27" s="584">
        <f>'Water-Meter'!J29</f>
        <v>0</v>
      </c>
      <c r="Q27" s="580">
        <f t="shared" si="13"/>
        <v>0</v>
      </c>
      <c r="R27" s="630">
        <f t="shared" si="14"/>
        <v>0</v>
      </c>
      <c r="S27" s="631">
        <f>Gen!T34</f>
        <v>0</v>
      </c>
      <c r="T27" s="627">
        <f t="shared" si="9"/>
        <v>44189</v>
      </c>
      <c r="U27" s="583"/>
      <c r="V27" s="585">
        <f t="shared" si="5"/>
        <v>0</v>
      </c>
      <c r="W27" s="582"/>
      <c r="X27" s="585">
        <f t="shared" si="0"/>
        <v>0</v>
      </c>
      <c r="Y27" s="627">
        <f t="shared" si="10"/>
        <v>44189</v>
      </c>
      <c r="Z27" s="583"/>
      <c r="AA27" s="580"/>
      <c r="AB27" s="584">
        <f>'Water-Meter'!P29</f>
        <v>0</v>
      </c>
      <c r="AC27" s="637">
        <f t="shared" si="11"/>
        <v>0</v>
      </c>
    </row>
    <row r="28" spans="1:29" ht="18.75">
      <c r="A28" s="646">
        <f>Gen!B35</f>
        <v>0</v>
      </c>
      <c r="B28" s="596">
        <f>Gen!A35</f>
        <v>44190</v>
      </c>
      <c r="C28" s="583"/>
      <c r="D28" s="585">
        <f t="shared" si="16"/>
        <v>0</v>
      </c>
      <c r="E28" s="581"/>
      <c r="F28" s="585">
        <f t="shared" si="15"/>
        <v>0</v>
      </c>
      <c r="G28" s="580"/>
      <c r="H28" s="627">
        <f t="shared" si="6"/>
        <v>44190</v>
      </c>
      <c r="I28" s="583"/>
      <c r="J28" s="628">
        <f>'Water-Meter'!G30</f>
        <v>0</v>
      </c>
      <c r="K28" s="629">
        <f>'Water-Meter'!G31</f>
        <v>0</v>
      </c>
      <c r="L28" s="580">
        <f t="shared" si="3"/>
        <v>0</v>
      </c>
      <c r="M28" s="627">
        <f t="shared" si="7"/>
        <v>44190</v>
      </c>
      <c r="N28" s="583"/>
      <c r="O28" s="6">
        <f>'Water-Meter'!J30</f>
        <v>0</v>
      </c>
      <c r="P28" s="584">
        <f>'Water-Meter'!J30</f>
        <v>0</v>
      </c>
      <c r="Q28" s="580">
        <f t="shared" si="13"/>
        <v>0</v>
      </c>
      <c r="R28" s="630">
        <f t="shared" si="14"/>
        <v>0</v>
      </c>
      <c r="S28" s="631">
        <f>Gen!T35</f>
        <v>0</v>
      </c>
      <c r="T28" s="627">
        <f t="shared" si="9"/>
        <v>44190</v>
      </c>
      <c r="U28" s="583"/>
      <c r="V28" s="585">
        <f t="shared" si="5"/>
        <v>0</v>
      </c>
      <c r="W28" s="582"/>
      <c r="X28" s="585">
        <f t="shared" si="0"/>
        <v>0</v>
      </c>
      <c r="Y28" s="627">
        <f t="shared" si="10"/>
        <v>44190</v>
      </c>
      <c r="Z28" s="583"/>
      <c r="AA28" s="580"/>
      <c r="AB28" s="584">
        <f>'Water-Meter'!P30</f>
        <v>0</v>
      </c>
      <c r="AC28" s="637">
        <f t="shared" si="11"/>
        <v>0</v>
      </c>
    </row>
    <row r="29" spans="1:29" ht="18.75">
      <c r="A29" s="646">
        <f>Gen!B36</f>
        <v>0</v>
      </c>
      <c r="B29" s="596">
        <f>Gen!A36</f>
        <v>44191</v>
      </c>
      <c r="C29" s="583"/>
      <c r="D29" s="585">
        <f t="shared" si="16"/>
        <v>0</v>
      </c>
      <c r="E29" s="581"/>
      <c r="F29" s="585">
        <f t="shared" si="15"/>
        <v>0</v>
      </c>
      <c r="G29" s="580"/>
      <c r="H29" s="627">
        <f t="shared" si="6"/>
        <v>44191</v>
      </c>
      <c r="I29" s="583"/>
      <c r="J29" s="628">
        <f>'Water-Meter'!G31</f>
        <v>0</v>
      </c>
      <c r="K29" s="629">
        <f>'Water-Meter'!G32</f>
        <v>0</v>
      </c>
      <c r="L29" s="580">
        <f t="shared" si="3"/>
        <v>0</v>
      </c>
      <c r="M29" s="627">
        <f t="shared" si="7"/>
        <v>44191</v>
      </c>
      <c r="N29" s="583"/>
      <c r="O29" s="6">
        <f>'Water-Meter'!J31</f>
        <v>0</v>
      </c>
      <c r="P29" s="584">
        <f>'Water-Meter'!J31</f>
        <v>0</v>
      </c>
      <c r="Q29" s="580">
        <f t="shared" si="13"/>
        <v>0</v>
      </c>
      <c r="R29" s="630">
        <f t="shared" si="14"/>
        <v>0</v>
      </c>
      <c r="S29" s="631">
        <f>Gen!T36</f>
        <v>0</v>
      </c>
      <c r="T29" s="627">
        <f t="shared" si="9"/>
        <v>44191</v>
      </c>
      <c r="U29" s="583"/>
      <c r="V29" s="585">
        <f t="shared" si="5"/>
        <v>0</v>
      </c>
      <c r="W29" s="582"/>
      <c r="X29" s="585">
        <f t="shared" si="0"/>
        <v>0</v>
      </c>
      <c r="Y29" s="627">
        <f t="shared" si="10"/>
        <v>44191</v>
      </c>
      <c r="Z29" s="583"/>
      <c r="AA29" s="580"/>
      <c r="AB29" s="584">
        <f>'Water-Meter'!P31</f>
        <v>0</v>
      </c>
      <c r="AC29" s="637">
        <f t="shared" si="11"/>
        <v>0</v>
      </c>
    </row>
    <row r="30" spans="1:29" ht="18.75">
      <c r="A30" s="646">
        <f>Gen!B37</f>
        <v>0</v>
      </c>
      <c r="B30" s="596">
        <f>Gen!A37</f>
        <v>44192</v>
      </c>
      <c r="C30" s="583"/>
      <c r="D30" s="585">
        <f t="shared" si="16"/>
        <v>0</v>
      </c>
      <c r="E30" s="581"/>
      <c r="F30" s="585">
        <f t="shared" si="15"/>
        <v>0</v>
      </c>
      <c r="G30" s="580"/>
      <c r="H30" s="627">
        <f t="shared" si="6"/>
        <v>44192</v>
      </c>
      <c r="I30" s="583"/>
      <c r="J30" s="628">
        <f>'Water-Meter'!G32</f>
        <v>0</v>
      </c>
      <c r="K30" s="629">
        <f>'Water-Meter'!G33</f>
        <v>0</v>
      </c>
      <c r="L30" s="580">
        <f t="shared" si="3"/>
        <v>0</v>
      </c>
      <c r="M30" s="627">
        <f t="shared" si="7"/>
        <v>44192</v>
      </c>
      <c r="N30" s="583"/>
      <c r="O30" s="6">
        <f>'Water-Meter'!J32</f>
        <v>0</v>
      </c>
      <c r="P30" s="584">
        <f>'Water-Meter'!J32</f>
        <v>0</v>
      </c>
      <c r="Q30" s="580">
        <f t="shared" si="13"/>
        <v>0</v>
      </c>
      <c r="R30" s="630">
        <f t="shared" si="14"/>
        <v>0</v>
      </c>
      <c r="S30" s="631">
        <f>Gen!T37</f>
        <v>0</v>
      </c>
      <c r="T30" s="627">
        <f t="shared" si="9"/>
        <v>44192</v>
      </c>
      <c r="U30" s="583"/>
      <c r="V30" s="585">
        <f t="shared" si="5"/>
        <v>0</v>
      </c>
      <c r="W30" s="582"/>
      <c r="X30" s="585">
        <f t="shared" si="0"/>
        <v>0</v>
      </c>
      <c r="Y30" s="627">
        <f t="shared" si="10"/>
        <v>44192</v>
      </c>
      <c r="Z30" s="583"/>
      <c r="AA30" s="580"/>
      <c r="AB30" s="584">
        <f>'Water-Meter'!P32</f>
        <v>0</v>
      </c>
      <c r="AC30" s="637">
        <f t="shared" si="11"/>
        <v>0</v>
      </c>
    </row>
    <row r="31" spans="1:29" ht="18.75">
      <c r="A31" s="646">
        <f>Gen!B38</f>
        <v>0</v>
      </c>
      <c r="B31" s="596">
        <f>Gen!A38</f>
        <v>44193</v>
      </c>
      <c r="C31" s="583"/>
      <c r="D31" s="585">
        <f t="shared" si="16"/>
        <v>0</v>
      </c>
      <c r="E31" s="581"/>
      <c r="F31" s="585">
        <f t="shared" si="15"/>
        <v>0</v>
      </c>
      <c r="G31" s="580"/>
      <c r="H31" s="627">
        <f t="shared" si="6"/>
        <v>44193</v>
      </c>
      <c r="I31" s="583"/>
      <c r="J31" s="628">
        <f>'Water-Meter'!G33</f>
        <v>0</v>
      </c>
      <c r="K31" s="629">
        <f>'Water-Meter'!G34</f>
        <v>0</v>
      </c>
      <c r="L31" s="580">
        <f t="shared" si="3"/>
        <v>0</v>
      </c>
      <c r="M31" s="627">
        <f t="shared" si="7"/>
        <v>44193</v>
      </c>
      <c r="N31" s="583"/>
      <c r="O31" s="6">
        <f>'Water-Meter'!J33</f>
        <v>0</v>
      </c>
      <c r="P31" s="584">
        <f>'Water-Meter'!J33</f>
        <v>0</v>
      </c>
      <c r="Q31" s="580">
        <f t="shared" si="13"/>
        <v>0</v>
      </c>
      <c r="R31" s="630">
        <f t="shared" si="14"/>
        <v>0</v>
      </c>
      <c r="S31" s="631">
        <f>Gen!T38</f>
        <v>0</v>
      </c>
      <c r="T31" s="627">
        <f>M31</f>
        <v>44193</v>
      </c>
      <c r="U31" s="583"/>
      <c r="V31" s="585">
        <f t="shared" si="5"/>
        <v>0</v>
      </c>
      <c r="W31" s="582"/>
      <c r="X31" s="585">
        <f t="shared" si="0"/>
        <v>0</v>
      </c>
      <c r="Y31" s="627">
        <f>T31</f>
        <v>44193</v>
      </c>
      <c r="Z31" s="583"/>
      <c r="AA31" s="580"/>
      <c r="AB31" s="584">
        <f>'Water-Meter'!P33</f>
        <v>0</v>
      </c>
      <c r="AC31" s="637">
        <f t="shared" si="11"/>
        <v>0</v>
      </c>
    </row>
    <row r="32" spans="1:29" ht="18.75">
      <c r="A32" s="646">
        <f>Gen!B39</f>
        <v>0</v>
      </c>
      <c r="B32" s="596">
        <f>Gen!A39</f>
        <v>44194</v>
      </c>
      <c r="C32" s="583"/>
      <c r="D32" s="585">
        <f t="shared" si="16"/>
        <v>0</v>
      </c>
      <c r="E32" s="581"/>
      <c r="F32" s="585">
        <f t="shared" si="15"/>
        <v>0</v>
      </c>
      <c r="G32" s="580"/>
      <c r="H32" s="627">
        <f t="shared" si="6"/>
        <v>44194</v>
      </c>
      <c r="I32" s="583"/>
      <c r="J32" s="628">
        <f>'Water-Meter'!G34</f>
        <v>0</v>
      </c>
      <c r="K32" s="629">
        <f>'Water-Meter'!G34</f>
        <v>0</v>
      </c>
      <c r="L32" s="580">
        <f t="shared" si="3"/>
        <v>0</v>
      </c>
      <c r="M32" s="627">
        <f t="shared" si="7"/>
        <v>44194</v>
      </c>
      <c r="N32" s="583"/>
      <c r="O32" s="6">
        <f>'Water-Meter'!J34</f>
        <v>0</v>
      </c>
      <c r="P32" s="584">
        <f>'Water-Meter'!J34</f>
        <v>0</v>
      </c>
      <c r="Q32" s="580">
        <f t="shared" si="13"/>
        <v>0</v>
      </c>
      <c r="R32" s="630">
        <f t="shared" si="14"/>
        <v>0</v>
      </c>
      <c r="S32" s="631">
        <f>Gen!T39</f>
        <v>0</v>
      </c>
      <c r="T32" s="627">
        <f t="shared" ref="T32:T35" si="17">M32</f>
        <v>44194</v>
      </c>
      <c r="U32" s="583"/>
      <c r="V32" s="585">
        <f t="shared" si="5"/>
        <v>0</v>
      </c>
      <c r="W32" s="582"/>
      <c r="X32" s="585">
        <f t="shared" si="0"/>
        <v>0</v>
      </c>
      <c r="Y32" s="627">
        <f t="shared" ref="Y32:Y35" si="18">T32</f>
        <v>44194</v>
      </c>
      <c r="Z32" s="583"/>
      <c r="AA32" s="580"/>
      <c r="AB32" s="584">
        <f>'Water-Meter'!P34</f>
        <v>0</v>
      </c>
      <c r="AC32" s="637">
        <f t="shared" si="11"/>
        <v>0</v>
      </c>
    </row>
    <row r="33" spans="1:29" ht="18.75">
      <c r="A33" s="646">
        <f>Gen!B40</f>
        <v>0</v>
      </c>
      <c r="B33" s="596">
        <f>Gen!A40</f>
        <v>44195</v>
      </c>
      <c r="C33" s="583"/>
      <c r="D33" s="585">
        <f t="shared" si="16"/>
        <v>0</v>
      </c>
      <c r="E33" s="581"/>
      <c r="F33" s="585">
        <f t="shared" si="15"/>
        <v>0</v>
      </c>
      <c r="G33" s="580"/>
      <c r="H33" s="627">
        <f t="shared" si="6"/>
        <v>44195</v>
      </c>
      <c r="I33" s="583"/>
      <c r="J33" s="628">
        <f>'Water-Meter'!G35</f>
        <v>0</v>
      </c>
      <c r="K33" s="629">
        <f>'Water-Meter'!G35</f>
        <v>0</v>
      </c>
      <c r="L33" s="580">
        <f t="shared" si="3"/>
        <v>0</v>
      </c>
      <c r="M33" s="627">
        <f t="shared" si="7"/>
        <v>44195</v>
      </c>
      <c r="N33" s="583"/>
      <c r="O33" s="6">
        <f>'Water-Meter'!J35</f>
        <v>0</v>
      </c>
      <c r="P33" s="584">
        <f>'Water-Meter'!J35</f>
        <v>0</v>
      </c>
      <c r="Q33" s="580">
        <f t="shared" si="13"/>
        <v>0</v>
      </c>
      <c r="R33" s="630">
        <f t="shared" si="14"/>
        <v>0</v>
      </c>
      <c r="S33" s="631">
        <f>Gen!T40</f>
        <v>0</v>
      </c>
      <c r="T33" s="627">
        <f t="shared" si="17"/>
        <v>44195</v>
      </c>
      <c r="U33" s="583"/>
      <c r="V33" s="585">
        <f t="shared" si="5"/>
        <v>0</v>
      </c>
      <c r="W33" s="582"/>
      <c r="X33" s="585">
        <f t="shared" si="0"/>
        <v>0</v>
      </c>
      <c r="Y33" s="627">
        <f t="shared" si="18"/>
        <v>44195</v>
      </c>
      <c r="Z33" s="583"/>
      <c r="AA33" s="580"/>
      <c r="AB33" s="584">
        <f>'Water-Meter'!P35</f>
        <v>0</v>
      </c>
      <c r="AC33" s="637">
        <f t="shared" si="11"/>
        <v>0</v>
      </c>
    </row>
    <row r="34" spans="1:29" ht="18.75">
      <c r="A34" s="646">
        <f>Gen!B41</f>
        <v>0</v>
      </c>
      <c r="B34" s="596">
        <f>Gen!A41</f>
        <v>44196</v>
      </c>
      <c r="C34" s="6"/>
      <c r="D34" s="585">
        <f t="shared" si="16"/>
        <v>0</v>
      </c>
      <c r="E34" s="581"/>
      <c r="F34" s="585">
        <f t="shared" si="15"/>
        <v>0</v>
      </c>
      <c r="G34" s="6"/>
      <c r="H34" s="627">
        <f t="shared" si="6"/>
        <v>44196</v>
      </c>
      <c r="I34" s="6"/>
      <c r="J34" s="628">
        <f>'Water-Meter'!G36</f>
        <v>0</v>
      </c>
      <c r="K34" s="629">
        <f>'Water-Meter'!G36</f>
        <v>0</v>
      </c>
      <c r="L34" s="580">
        <f t="shared" si="3"/>
        <v>0</v>
      </c>
      <c r="M34" s="627">
        <f t="shared" si="7"/>
        <v>44196</v>
      </c>
      <c r="N34" s="6"/>
      <c r="O34" s="6">
        <f>'Water-Meter'!J36</f>
        <v>0</v>
      </c>
      <c r="P34" s="584">
        <f>'Water-Meter'!J36</f>
        <v>0</v>
      </c>
      <c r="Q34" s="580">
        <f t="shared" si="13"/>
        <v>0</v>
      </c>
      <c r="R34" s="630">
        <f t="shared" si="14"/>
        <v>0</v>
      </c>
      <c r="S34" s="631">
        <f>Gen!T41</f>
        <v>0</v>
      </c>
      <c r="T34" s="627">
        <f t="shared" si="17"/>
        <v>44196</v>
      </c>
      <c r="U34" s="6"/>
      <c r="V34" s="585">
        <f t="shared" ref="V34:V35" si="19">SUM(W33)</f>
        <v>0</v>
      </c>
      <c r="W34" s="582"/>
      <c r="X34" s="585">
        <f t="shared" si="0"/>
        <v>0</v>
      </c>
      <c r="Y34" s="627">
        <f t="shared" si="18"/>
        <v>44196</v>
      </c>
      <c r="Z34" s="6"/>
      <c r="AA34" s="580"/>
      <c r="AB34" s="584">
        <f>'Water-Meter'!P36</f>
        <v>0</v>
      </c>
      <c r="AC34" s="637">
        <f t="shared" si="11"/>
        <v>0</v>
      </c>
    </row>
    <row r="35" spans="1:29" ht="20.25" customHeight="1" thickBot="1">
      <c r="A35" s="647" t="e">
        <f>[1]Gen!B42</f>
        <v>#REF!</v>
      </c>
      <c r="B35" s="597" t="e">
        <f>[1]Gen!A42</f>
        <v>#REF!</v>
      </c>
      <c r="C35" s="7"/>
      <c r="D35" s="598">
        <f t="shared" si="16"/>
        <v>0</v>
      </c>
      <c r="E35" s="599"/>
      <c r="F35" s="600">
        <f>SUM(F4:F6)</f>
        <v>695.99999999991269</v>
      </c>
      <c r="G35" s="7"/>
      <c r="H35" s="638" t="e">
        <f t="shared" si="6"/>
        <v>#REF!</v>
      </c>
      <c r="I35" s="7"/>
      <c r="J35" s="603">
        <f t="shared" ref="J35" si="20">SUM(K34)</f>
        <v>0</v>
      </c>
      <c r="K35" s="639">
        <f>'Water-Meter'!G37</f>
        <v>0</v>
      </c>
      <c r="L35" s="7">
        <f>SUM(L5:L34)</f>
        <v>0</v>
      </c>
      <c r="M35" s="638" t="e">
        <f t="shared" si="7"/>
        <v>#REF!</v>
      </c>
      <c r="N35" s="7"/>
      <c r="O35" s="603"/>
      <c r="P35" s="604">
        <f>'Water-Meter'!J37</f>
        <v>0</v>
      </c>
      <c r="Q35" s="603">
        <f t="shared" si="13"/>
        <v>0</v>
      </c>
      <c r="R35" s="640">
        <f t="shared" si="14"/>
        <v>0</v>
      </c>
      <c r="S35" s="641">
        <f>Gen!T42</f>
        <v>0</v>
      </c>
      <c r="T35" s="638" t="e">
        <f t="shared" si="17"/>
        <v>#REF!</v>
      </c>
      <c r="U35" s="7"/>
      <c r="V35" s="598">
        <f t="shared" si="19"/>
        <v>0</v>
      </c>
      <c r="W35" s="605"/>
      <c r="X35" s="598">
        <f t="shared" si="0"/>
        <v>0</v>
      </c>
      <c r="Y35" s="638" t="e">
        <f t="shared" si="18"/>
        <v>#REF!</v>
      </c>
      <c r="Z35" s="7"/>
      <c r="AA35" s="603"/>
      <c r="AB35" s="604">
        <f>'Water-Meter'!P37</f>
        <v>0</v>
      </c>
      <c r="AC35" s="642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300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Q26" sqref="Q26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64" t="s">
        <v>322</v>
      </c>
      <c r="B2" s="865"/>
      <c r="C2" s="865"/>
      <c r="D2" s="865"/>
      <c r="E2" s="866"/>
      <c r="F2" s="118"/>
      <c r="G2" s="118"/>
      <c r="H2" s="118"/>
      <c r="I2" s="118"/>
      <c r="J2" s="118"/>
      <c r="K2" s="118"/>
      <c r="L2" s="668"/>
    </row>
    <row r="3" spans="1:13" ht="50.25" customHeight="1" thickBot="1">
      <c r="A3" s="669"/>
      <c r="B3" s="670"/>
      <c r="C3" s="75"/>
      <c r="D3" s="75"/>
      <c r="E3" s="75"/>
      <c r="F3" s="75"/>
      <c r="G3" s="75"/>
      <c r="H3" s="75"/>
      <c r="I3" s="75"/>
      <c r="J3" s="75"/>
      <c r="K3" s="75"/>
      <c r="L3" s="671"/>
    </row>
    <row r="4" spans="1:13" s="50" customFormat="1" ht="50.25" customHeight="1" thickBot="1">
      <c r="A4" s="672" t="s">
        <v>0</v>
      </c>
      <c r="B4" s="673" t="s">
        <v>66</v>
      </c>
      <c r="C4" s="674" t="s">
        <v>50</v>
      </c>
      <c r="D4" s="675" t="s">
        <v>64</v>
      </c>
      <c r="E4" s="675" t="s">
        <v>65</v>
      </c>
      <c r="F4" s="676" t="s">
        <v>42</v>
      </c>
      <c r="G4" s="675" t="s">
        <v>203</v>
      </c>
      <c r="H4" s="675" t="s">
        <v>206</v>
      </c>
      <c r="I4" s="675" t="s">
        <v>204</v>
      </c>
      <c r="J4" s="675" t="s">
        <v>205</v>
      </c>
      <c r="K4" s="676" t="s">
        <v>51</v>
      </c>
      <c r="L4" s="677" t="s">
        <v>76</v>
      </c>
    </row>
    <row r="5" spans="1:13">
      <c r="A5" s="665">
        <f>Gen!A11</f>
        <v>44166</v>
      </c>
      <c r="B5" s="648">
        <f>'Daily report Gen'!Z6</f>
        <v>155893</v>
      </c>
      <c r="C5" s="649">
        <f>Gen!B11</f>
        <v>7.6999999999999999E-2</v>
      </c>
      <c r="D5" s="650">
        <f t="shared" ref="D5:D36" si="0">E5</f>
        <v>7.79</v>
      </c>
      <c r="E5" s="651">
        <v>7.79</v>
      </c>
      <c r="F5" s="70">
        <f>Gen!U11</f>
        <v>0.41247028862478774</v>
      </c>
      <c r="G5" s="652">
        <f>Gen!T9</f>
        <v>0</v>
      </c>
      <c r="H5" s="652">
        <f>Gen!AK11</f>
        <v>0</v>
      </c>
      <c r="I5" s="652">
        <f t="shared" ref="I5:I36" si="1">SUM(G5:H5)</f>
        <v>0</v>
      </c>
      <c r="J5" s="653">
        <f>Gen!C11</f>
        <v>33526.22</v>
      </c>
      <c r="K5" s="654">
        <f>'Water-Meter'!E6</f>
        <v>55</v>
      </c>
      <c r="L5" s="655">
        <f>'Lpg (2)'!G10</f>
        <v>323055.43600000005</v>
      </c>
      <c r="M5" s="79" t="e">
        <f>SUM(#REF!-#REF!)</f>
        <v>#REF!</v>
      </c>
    </row>
    <row r="6" spans="1:13">
      <c r="A6" s="666">
        <f>Gen!A12</f>
        <v>44167</v>
      </c>
      <c r="B6" s="656">
        <f>'Daily report Gen'!Z7</f>
        <v>24</v>
      </c>
      <c r="C6" s="87">
        <f>Gen!B12</f>
        <v>9.0999999999999998E-2</v>
      </c>
      <c r="D6" s="435">
        <f t="shared" si="0"/>
        <v>9.09</v>
      </c>
      <c r="E6" s="74">
        <v>9.09</v>
      </c>
      <c r="F6" s="70">
        <f>Gen!U12</f>
        <v>0.42259678120922139</v>
      </c>
      <c r="G6" s="85">
        <f>Gen!T10</f>
        <v>0</v>
      </c>
      <c r="H6" s="85">
        <f>Gen!AK12</f>
        <v>0</v>
      </c>
      <c r="I6" s="85">
        <f t="shared" si="1"/>
        <v>0</v>
      </c>
      <c r="J6" s="448">
        <f>Gen!C12</f>
        <v>32513.5</v>
      </c>
      <c r="K6" s="295">
        <f>'Water-Meter'!E7</f>
        <v>75</v>
      </c>
      <c r="L6" s="657">
        <f>'Lpg (2)'!G11</f>
        <v>77.395999999984639</v>
      </c>
      <c r="M6" s="79" t="e">
        <f>SUM(#REF!-#REF!)</f>
        <v>#REF!</v>
      </c>
    </row>
    <row r="7" spans="1:13">
      <c r="A7" s="666">
        <f>Gen!A13</f>
        <v>44168</v>
      </c>
      <c r="B7" s="656">
        <f>'Daily report Gen'!Z8</f>
        <v>24</v>
      </c>
      <c r="C7" s="87">
        <f>Gen!B13</f>
        <v>1.2999999999999999E-2</v>
      </c>
      <c r="D7" s="435">
        <f t="shared" si="0"/>
        <v>1.3</v>
      </c>
      <c r="E7" s="74">
        <v>1.3</v>
      </c>
      <c r="F7" s="70">
        <f>Gen!U13</f>
        <v>0.41857022708158115</v>
      </c>
      <c r="G7" s="85">
        <f>Gen!T11</f>
        <v>2356</v>
      </c>
      <c r="H7" s="85">
        <f>Gen!AK13</f>
        <v>0</v>
      </c>
      <c r="I7" s="85">
        <f t="shared" si="1"/>
        <v>2356</v>
      </c>
      <c r="J7" s="448">
        <f>Gen!C13</f>
        <v>31442.28</v>
      </c>
      <c r="K7" s="295">
        <f>'Water-Meter'!E8</f>
        <v>59</v>
      </c>
      <c r="L7" s="657">
        <f>'Lpg (2)'!G12</f>
        <v>70.9720000000205</v>
      </c>
      <c r="M7" s="79" t="e">
        <f>SUM(#REF!-#REF!)</f>
        <v>#REF!</v>
      </c>
    </row>
    <row r="8" spans="1:13">
      <c r="A8" s="666">
        <f>Gen!A14</f>
        <v>44169</v>
      </c>
      <c r="B8" s="656">
        <f>'Daily report Gen'!Z9</f>
        <v>24</v>
      </c>
      <c r="C8" s="87">
        <f>Gen!B14</f>
        <v>1.2999999999999999E-2</v>
      </c>
      <c r="D8" s="435">
        <f>E8</f>
        <v>1.3</v>
      </c>
      <c r="E8" s="74">
        <v>1.3</v>
      </c>
      <c r="F8" s="70">
        <f>Gen!U14</f>
        <v>0.41642429820524618</v>
      </c>
      <c r="G8" s="85">
        <f>Gen!T12</f>
        <v>2299</v>
      </c>
      <c r="H8" s="85">
        <f>Gen!AK14</f>
        <v>0</v>
      </c>
      <c r="I8" s="85">
        <f t="shared" si="1"/>
        <v>2299</v>
      </c>
      <c r="J8" s="448">
        <f>Gen!C14</f>
        <v>30446.92</v>
      </c>
      <c r="K8" s="295">
        <f>'Water-Meter'!E9</f>
        <v>49</v>
      </c>
      <c r="L8" s="657">
        <f>'Lpg (2)'!G13</f>
        <v>79.904000000015373</v>
      </c>
      <c r="M8" s="79" t="e">
        <f>SUM(#REF!-#REF!)</f>
        <v>#REF!</v>
      </c>
    </row>
    <row r="9" spans="1:13">
      <c r="A9" s="666">
        <f>Gen!A15</f>
        <v>44170</v>
      </c>
      <c r="B9" s="656">
        <f>'Daily report Gen'!Z10</f>
        <v>24</v>
      </c>
      <c r="C9" s="87">
        <f>Gen!B15</f>
        <v>0</v>
      </c>
      <c r="D9" s="435">
        <f t="shared" si="0"/>
        <v>0</v>
      </c>
      <c r="E9" s="74">
        <v>0</v>
      </c>
      <c r="F9" s="70">
        <f>Gen!U15</f>
        <v>0.40490401396160558</v>
      </c>
      <c r="G9" s="85">
        <f>Gen!T13</f>
        <v>2378</v>
      </c>
      <c r="H9" s="85">
        <f>Gen!AK15</f>
        <v>0</v>
      </c>
      <c r="I9" s="85">
        <f t="shared" si="1"/>
        <v>2378</v>
      </c>
      <c r="J9" s="448">
        <f>Gen!C15</f>
        <v>47542.03</v>
      </c>
      <c r="K9" s="295">
        <f>'Water-Meter'!E10</f>
        <v>60</v>
      </c>
      <c r="L9" s="657">
        <f>'Lpg (2)'!G14</f>
        <v>90.859999999974391</v>
      </c>
      <c r="M9" s="79" t="e">
        <f>SUM(#REF!-#REF!)</f>
        <v>#REF!</v>
      </c>
    </row>
    <row r="10" spans="1:13">
      <c r="A10" s="666">
        <f>Gen!A16</f>
        <v>44171</v>
      </c>
      <c r="B10" s="656">
        <f>'Daily report Gen'!Z11</f>
        <v>24</v>
      </c>
      <c r="C10" s="87">
        <f>Gen!B16</f>
        <v>0</v>
      </c>
      <c r="D10" s="435">
        <f t="shared" si="0"/>
        <v>1.3</v>
      </c>
      <c r="E10" s="74">
        <v>1.3</v>
      </c>
      <c r="F10" s="70">
        <f>Gen!U16</f>
        <v>0.42626947368421053</v>
      </c>
      <c r="G10" s="85">
        <f>Gen!T14</f>
        <v>2173</v>
      </c>
      <c r="H10" s="85">
        <f>Gen!AK16</f>
        <v>0</v>
      </c>
      <c r="I10" s="85">
        <f t="shared" si="1"/>
        <v>2173</v>
      </c>
      <c r="J10" s="448">
        <f>Gen!C16</f>
        <v>46613.99</v>
      </c>
      <c r="K10" s="295">
        <f>'Water-Meter'!E11</f>
        <v>51</v>
      </c>
      <c r="L10" s="657">
        <f>'Lpg (2)'!G15</f>
        <v>97.063999999989761</v>
      </c>
      <c r="M10" s="79" t="e">
        <f>SUM(#REF!-#REF!)</f>
        <v>#REF!</v>
      </c>
    </row>
    <row r="11" spans="1:13">
      <c r="A11" s="666">
        <f>Gen!A17</f>
        <v>44172</v>
      </c>
      <c r="B11" s="656">
        <f>'Daily report Gen'!Z12</f>
        <v>24</v>
      </c>
      <c r="C11" s="87">
        <f>Gen!B17</f>
        <v>0</v>
      </c>
      <c r="D11" s="435">
        <f t="shared" si="0"/>
        <v>1.3</v>
      </c>
      <c r="E11" s="74">
        <v>1.3</v>
      </c>
      <c r="F11" s="70">
        <f>Gen!U17</f>
        <v>0.41271040138109627</v>
      </c>
      <c r="G11" s="85">
        <f>Gen!T15</f>
        <v>2292</v>
      </c>
      <c r="H11" s="85">
        <f>Gen!AK17</f>
        <v>0</v>
      </c>
      <c r="I11" s="85">
        <f t="shared" si="1"/>
        <v>2292</v>
      </c>
      <c r="J11" s="448">
        <f>Gen!C17</f>
        <v>45554.6</v>
      </c>
      <c r="K11" s="295">
        <f>'Water-Meter'!E12</f>
        <v>43</v>
      </c>
      <c r="L11" s="657">
        <f>'Lpg (2)'!G16</f>
        <v>52.888000000017932</v>
      </c>
      <c r="M11" s="79" t="e">
        <f>SUM(#REF!-#REF!)</f>
        <v>#REF!</v>
      </c>
    </row>
    <row r="12" spans="1:13">
      <c r="A12" s="666">
        <f>Gen!A18</f>
        <v>44173</v>
      </c>
      <c r="B12" s="656">
        <f>'Daily report Gen'!Z13</f>
        <v>24</v>
      </c>
      <c r="C12" s="87">
        <f>Gen!B18</f>
        <v>0</v>
      </c>
      <c r="D12" s="435">
        <f t="shared" si="0"/>
        <v>1.3</v>
      </c>
      <c r="E12" s="74">
        <v>1.3</v>
      </c>
      <c r="F12" s="70">
        <f>Gen!U18</f>
        <v>0.42044398340248962</v>
      </c>
      <c r="G12" s="85">
        <f>Gen!T16</f>
        <v>2375</v>
      </c>
      <c r="H12" s="85">
        <f>Gen!AK18</f>
        <v>0</v>
      </c>
      <c r="I12" s="85">
        <f t="shared" si="1"/>
        <v>2375</v>
      </c>
      <c r="J12" s="448">
        <f>Gen!C18</f>
        <v>44544.35</v>
      </c>
      <c r="K12" s="295">
        <f>'Water-Meter'!E13</f>
        <v>44</v>
      </c>
      <c r="L12" s="657">
        <f>'Lpg (2)'!G17</f>
        <v>51.875999999971832</v>
      </c>
      <c r="M12" s="79" t="e">
        <f>SUM(#REF!-#REF!)</f>
        <v>#REF!</v>
      </c>
    </row>
    <row r="13" spans="1:13">
      <c r="A13" s="666">
        <f>Gen!A19</f>
        <v>44174</v>
      </c>
      <c r="B13" s="656">
        <f>'Daily report Gen'!Z14</f>
        <v>25</v>
      </c>
      <c r="C13" s="87">
        <f>Gen!B19</f>
        <v>0</v>
      </c>
      <c r="D13" s="435">
        <f t="shared" si="0"/>
        <v>1.3</v>
      </c>
      <c r="E13" s="74">
        <v>1.3</v>
      </c>
      <c r="F13" s="70">
        <f>Gen!U19</f>
        <v>0.41245206038351689</v>
      </c>
      <c r="G13" s="85">
        <f>Gen!T17</f>
        <v>2317</v>
      </c>
      <c r="H13" s="85">
        <f>Gen!AK19</f>
        <v>0</v>
      </c>
      <c r="I13" s="85">
        <f t="shared" si="1"/>
        <v>2317</v>
      </c>
      <c r="J13" s="448">
        <f>Gen!C19</f>
        <v>43449.08</v>
      </c>
      <c r="K13" s="295">
        <f>'Water-Meter'!E14</f>
        <v>63</v>
      </c>
      <c r="L13" s="657">
        <f>'Lpg (2)'!G18</f>
        <v>52.404000000015373</v>
      </c>
      <c r="M13" s="79" t="e">
        <f>SUM(#REF!-#REF!)</f>
        <v>#REF!</v>
      </c>
    </row>
    <row r="14" spans="1:13">
      <c r="A14" s="666">
        <f>Gen!A20</f>
        <v>44175</v>
      </c>
      <c r="B14" s="656">
        <f>'Daily report Gen'!Z15</f>
        <v>24</v>
      </c>
      <c r="C14" s="87">
        <f>Gen!B20</f>
        <v>0</v>
      </c>
      <c r="D14" s="435">
        <f t="shared" si="0"/>
        <v>2.6</v>
      </c>
      <c r="E14" s="74">
        <v>2.6</v>
      </c>
      <c r="F14" s="70">
        <f>Gen!U20</f>
        <v>0.43839877091157392</v>
      </c>
      <c r="G14" s="85">
        <f>Gen!T18</f>
        <v>2410</v>
      </c>
      <c r="H14" s="85">
        <f>Gen!AK20</f>
        <v>0</v>
      </c>
      <c r="I14" s="85">
        <f t="shared" si="1"/>
        <v>2410</v>
      </c>
      <c r="J14" s="448">
        <f>Gen!C20</f>
        <v>42382.16</v>
      </c>
      <c r="K14" s="295">
        <f>'Water-Meter'!E15</f>
        <v>61</v>
      </c>
      <c r="L14" s="657">
        <f>'Lpg (2)'!G19</f>
        <v>69.124000000028175</v>
      </c>
      <c r="M14" s="79" t="e">
        <f>SUM(#REF!-#REF!)</f>
        <v>#REF!</v>
      </c>
    </row>
    <row r="15" spans="1:13">
      <c r="A15" s="666">
        <f>Gen!A21</f>
        <v>44176</v>
      </c>
      <c r="B15" s="656">
        <f>'Daily report Gen'!Z16</f>
        <v>24</v>
      </c>
      <c r="C15" s="87">
        <f>Gen!B21</f>
        <v>0</v>
      </c>
      <c r="D15" s="435">
        <f t="shared" si="0"/>
        <v>22.08</v>
      </c>
      <c r="E15" s="74">
        <v>22.08</v>
      </c>
      <c r="F15" s="70">
        <f>Gen!U21</f>
        <v>0.3939967637540453</v>
      </c>
      <c r="G15" s="85">
        <f>Gen!T19</f>
        <v>2451</v>
      </c>
      <c r="H15" s="85">
        <f>Gen!AK21</f>
        <v>0</v>
      </c>
      <c r="I15" s="85">
        <f t="shared" si="1"/>
        <v>2451</v>
      </c>
      <c r="J15" s="448">
        <f>Gen!C21</f>
        <v>41035.890000000007</v>
      </c>
      <c r="K15" s="295">
        <f>'Water-Meter'!E16</f>
        <v>62</v>
      </c>
      <c r="L15" s="657">
        <f>'Lpg (2)'!G20</f>
        <v>87.955999999959033</v>
      </c>
      <c r="M15" s="79" t="e">
        <f>SUM(#REF!-#REF!)</f>
        <v>#REF!</v>
      </c>
    </row>
    <row r="16" spans="1:13">
      <c r="A16" s="666">
        <f>Gen!A22</f>
        <v>44177</v>
      </c>
      <c r="B16" s="656">
        <f>'Daily report Gen'!Z17</f>
        <v>24</v>
      </c>
      <c r="C16" s="87">
        <f>Gen!B22</f>
        <v>0</v>
      </c>
      <c r="D16" s="435">
        <f t="shared" si="0"/>
        <v>23.38</v>
      </c>
      <c r="E16" s="74">
        <v>23.38</v>
      </c>
      <c r="F16" s="70">
        <f>Gen!U22</f>
        <v>0.39340488771466314</v>
      </c>
      <c r="G16" s="85">
        <f>Gen!T20</f>
        <v>2929</v>
      </c>
      <c r="H16" s="85">
        <f>Gen!AK22</f>
        <v>0</v>
      </c>
      <c r="I16" s="85">
        <f t="shared" si="1"/>
        <v>2929</v>
      </c>
      <c r="J16" s="448">
        <f>Gen!C22</f>
        <v>39709.770000000004</v>
      </c>
      <c r="K16" s="295">
        <f>'Water-Meter'!E17</f>
        <v>54</v>
      </c>
      <c r="L16" s="657">
        <f>'Lpg (2)'!G21</f>
        <v>92.004000000015381</v>
      </c>
      <c r="M16" s="79" t="e">
        <f>SUM(#REF!-#REF!)</f>
        <v>#REF!</v>
      </c>
    </row>
    <row r="17" spans="1:13">
      <c r="A17" s="666">
        <f>Gen!A23</f>
        <v>44178</v>
      </c>
      <c r="B17" s="656">
        <f>'Daily report Gen'!Z18</f>
        <v>24</v>
      </c>
      <c r="C17" s="87">
        <f>Gen!B23</f>
        <v>0</v>
      </c>
      <c r="D17" s="435">
        <f t="shared" si="0"/>
        <v>20.78</v>
      </c>
      <c r="E17" s="74">
        <v>20.78</v>
      </c>
      <c r="F17" s="70">
        <f>Gen!U23</f>
        <v>0.41456570155902001</v>
      </c>
      <c r="G17" s="85">
        <f>Gen!T21</f>
        <v>3090</v>
      </c>
      <c r="H17" s="85">
        <f>Gen!AK23</f>
        <v>0</v>
      </c>
      <c r="I17" s="85">
        <f t="shared" si="1"/>
        <v>3090</v>
      </c>
      <c r="J17" s="448">
        <f>Gen!C23</f>
        <v>38518.54</v>
      </c>
      <c r="K17" s="295">
        <f>'Water-Meter'!E18</f>
        <v>56</v>
      </c>
      <c r="L17" s="657">
        <f>'Lpg (2)'!G22</f>
        <v>83.731999999994883</v>
      </c>
      <c r="M17" s="79" t="e">
        <f>SUM(#REF!-#REF!)</f>
        <v>#REF!</v>
      </c>
    </row>
    <row r="18" spans="1:13">
      <c r="A18" s="666">
        <f>Gen!A24</f>
        <v>44179</v>
      </c>
      <c r="B18" s="656">
        <f>'Daily report Gen'!Z19</f>
        <v>24</v>
      </c>
      <c r="C18" s="87">
        <f>Gen!B24</f>
        <v>0</v>
      </c>
      <c r="D18" s="435">
        <f t="shared" si="0"/>
        <v>2.6</v>
      </c>
      <c r="E18" s="74">
        <v>2.6</v>
      </c>
      <c r="F18" s="70">
        <f>Gen!U24</f>
        <v>0.40323655913978496</v>
      </c>
      <c r="G18" s="85">
        <f>Gen!T22</f>
        <v>3028</v>
      </c>
      <c r="H18" s="85">
        <f>Gen!AK24</f>
        <v>0</v>
      </c>
      <c r="I18" s="85">
        <f t="shared" si="1"/>
        <v>3028</v>
      </c>
      <c r="J18" s="448">
        <f>Gen!C24</f>
        <v>37401.700000000004</v>
      </c>
      <c r="K18" s="295">
        <f>'Water-Meter'!E19</f>
        <v>60</v>
      </c>
      <c r="L18" s="657">
        <f>'Lpg (2)'!G23</f>
        <v>62.215999999997443</v>
      </c>
      <c r="M18" s="79" t="e">
        <f>SUM(#REF!-#REF!)</f>
        <v>#REF!</v>
      </c>
    </row>
    <row r="19" spans="1:13">
      <c r="A19" s="666">
        <f>Gen!A25</f>
        <v>44180</v>
      </c>
      <c r="B19" s="656">
        <f>'Daily report Gen'!Z20</f>
        <v>25</v>
      </c>
      <c r="C19" s="87">
        <f>Gen!B25</f>
        <v>0</v>
      </c>
      <c r="D19" s="435">
        <f t="shared" si="0"/>
        <v>6.49</v>
      </c>
      <c r="E19" s="74">
        <v>6.49</v>
      </c>
      <c r="F19" s="70">
        <f>Gen!U25</f>
        <v>0.40346878463243446</v>
      </c>
      <c r="G19" s="85">
        <f>Gen!T23</f>
        <v>2694</v>
      </c>
      <c r="H19" s="85">
        <f>Gen!AK25</f>
        <v>0</v>
      </c>
      <c r="I19" s="85">
        <f t="shared" si="1"/>
        <v>2694</v>
      </c>
      <c r="J19" s="448">
        <f>Gen!C25</f>
        <v>36210.080000000002</v>
      </c>
      <c r="K19" s="295">
        <f>'Water-Meter'!E20</f>
        <v>74</v>
      </c>
      <c r="L19" s="657">
        <f>'Lpg (2)'!G24</f>
        <v>60.147999999992322</v>
      </c>
      <c r="M19" s="79" t="e">
        <f>SUM(#REF!-#REF!)</f>
        <v>#REF!</v>
      </c>
    </row>
    <row r="20" spans="1:13">
      <c r="A20" s="666">
        <f>Gen!A26</f>
        <v>44181</v>
      </c>
      <c r="B20" s="656">
        <f>'Daily report Gen'!Z21</f>
        <v>24</v>
      </c>
      <c r="C20" s="87">
        <f>Gen!B26</f>
        <v>0</v>
      </c>
      <c r="D20" s="435">
        <f t="shared" si="0"/>
        <v>7.49</v>
      </c>
      <c r="E20" s="74">
        <v>7.49</v>
      </c>
      <c r="F20" s="70" t="e">
        <f>Gen!U26</f>
        <v>#DIV/0!</v>
      </c>
      <c r="G20" s="85">
        <f>Gen!T24</f>
        <v>2790</v>
      </c>
      <c r="H20" s="85">
        <f>Gen!AK26</f>
        <v>0</v>
      </c>
      <c r="I20" s="85">
        <f t="shared" si="1"/>
        <v>2790</v>
      </c>
      <c r="J20" s="448">
        <f>Gen!C26</f>
        <v>34992.44</v>
      </c>
      <c r="K20" s="295" t="str">
        <f>'Water-Meter'!E21</f>
        <v>0</v>
      </c>
      <c r="L20" s="657">
        <f>'Lpg (2)'!G25</f>
        <v>69.563999999989761</v>
      </c>
      <c r="M20" s="79" t="e">
        <f>SUM(#REF!-#REF!)</f>
        <v>#REF!</v>
      </c>
    </row>
    <row r="21" spans="1:13">
      <c r="A21" s="666">
        <f>Gen!A27</f>
        <v>44182</v>
      </c>
      <c r="B21" s="656">
        <f>'Daily report Gen'!Z22</f>
        <v>-156255</v>
      </c>
      <c r="C21" s="87">
        <f>Gen!B27</f>
        <v>0</v>
      </c>
      <c r="D21" s="435">
        <f t="shared" si="0"/>
        <v>0</v>
      </c>
      <c r="E21" s="74"/>
      <c r="F21" s="70" t="e">
        <f>Gen!U27</f>
        <v>#DIV/0!</v>
      </c>
      <c r="G21" s="85">
        <f>Gen!T25</f>
        <v>2707</v>
      </c>
      <c r="H21" s="85">
        <f>Gen!AK27</f>
        <v>0</v>
      </c>
      <c r="I21" s="85">
        <f t="shared" si="1"/>
        <v>2707</v>
      </c>
      <c r="J21" s="448">
        <f>Gen!C27</f>
        <v>34992.44</v>
      </c>
      <c r="K21" s="295">
        <f>'Water-Meter'!E22</f>
        <v>0</v>
      </c>
      <c r="L21" s="657">
        <f>'Lpg (2)'!G26</f>
        <v>-324153.54399999999</v>
      </c>
      <c r="M21" s="79" t="e">
        <f>SUM(#REF!-#REF!)</f>
        <v>#REF!</v>
      </c>
    </row>
    <row r="22" spans="1:13">
      <c r="A22" s="666">
        <f>Gen!A28</f>
        <v>44183</v>
      </c>
      <c r="B22" s="656">
        <f>'Daily report Gen'!Z23</f>
        <v>0</v>
      </c>
      <c r="C22" s="87">
        <f>Gen!B28</f>
        <v>0</v>
      </c>
      <c r="D22" s="435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8">
        <f>Gen!C28</f>
        <v>34992.44</v>
      </c>
      <c r="K22" s="295">
        <f>'Water-Meter'!E23</f>
        <v>0</v>
      </c>
      <c r="L22" s="657">
        <f>'Lpg (2)'!G27</f>
        <v>0</v>
      </c>
      <c r="M22" s="79" t="e">
        <f>SUM(#REF!-#REF!)</f>
        <v>#REF!</v>
      </c>
    </row>
    <row r="23" spans="1:13">
      <c r="A23" s="666">
        <f>Gen!A29</f>
        <v>44184</v>
      </c>
      <c r="B23" s="656">
        <f>'Daily report Gen'!Z24</f>
        <v>0</v>
      </c>
      <c r="C23" s="87">
        <f>Gen!B29</f>
        <v>0</v>
      </c>
      <c r="D23" s="435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8">
        <f>Gen!C29</f>
        <v>34992.44</v>
      </c>
      <c r="K23" s="295">
        <f>'Water-Meter'!E24</f>
        <v>0</v>
      </c>
      <c r="L23" s="657">
        <f>'Lpg (2)'!G28</f>
        <v>0</v>
      </c>
      <c r="M23" s="79" t="e">
        <f>SUM(#REF!-#REF!)</f>
        <v>#REF!</v>
      </c>
    </row>
    <row r="24" spans="1:13">
      <c r="A24" s="666">
        <f>Gen!A30</f>
        <v>44185</v>
      </c>
      <c r="B24" s="656">
        <f>'Daily report Gen'!Z25</f>
        <v>0</v>
      </c>
      <c r="C24" s="87">
        <f>Gen!B30</f>
        <v>0</v>
      </c>
      <c r="D24" s="435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8">
        <f>Gen!C30</f>
        <v>34992.44</v>
      </c>
      <c r="K24" s="295">
        <f>'Water-Meter'!E25</f>
        <v>0</v>
      </c>
      <c r="L24" s="657">
        <f>'Lpg (2)'!G29</f>
        <v>0</v>
      </c>
      <c r="M24" s="79" t="e">
        <f>SUM(#REF!-#REF!)</f>
        <v>#REF!</v>
      </c>
    </row>
    <row r="25" spans="1:13">
      <c r="A25" s="666">
        <f>Gen!A31</f>
        <v>44186</v>
      </c>
      <c r="B25" s="656">
        <f>'Daily report Gen'!Z26</f>
        <v>0</v>
      </c>
      <c r="C25" s="87">
        <f>Gen!B31</f>
        <v>0</v>
      </c>
      <c r="D25" s="435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8">
        <f>Gen!C31</f>
        <v>34992.44</v>
      </c>
      <c r="K25" s="295">
        <f>'Water-Meter'!E26</f>
        <v>0</v>
      </c>
      <c r="L25" s="657">
        <f>'Lpg (2)'!G30</f>
        <v>0</v>
      </c>
      <c r="M25" s="79" t="e">
        <f>SUM(#REF!-#REF!)</f>
        <v>#REF!</v>
      </c>
    </row>
    <row r="26" spans="1:13">
      <c r="A26" s="666">
        <f>Gen!A32</f>
        <v>44187</v>
      </c>
      <c r="B26" s="656">
        <f>'Daily report Gen'!Z27</f>
        <v>0</v>
      </c>
      <c r="C26" s="87">
        <f>Gen!B32</f>
        <v>0</v>
      </c>
      <c r="D26" s="435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8">
        <f>Gen!C32</f>
        <v>34992.44</v>
      </c>
      <c r="K26" s="295">
        <f>'Water-Meter'!E27</f>
        <v>0</v>
      </c>
      <c r="L26" s="657">
        <f>'Lpg (2)'!G31</f>
        <v>0</v>
      </c>
      <c r="M26" s="79" t="e">
        <f>SUM(#REF!-#REF!)</f>
        <v>#REF!</v>
      </c>
    </row>
    <row r="27" spans="1:13">
      <c r="A27" s="666">
        <f>Gen!A33</f>
        <v>44188</v>
      </c>
      <c r="B27" s="656">
        <f>'Daily report Gen'!Z28</f>
        <v>0</v>
      </c>
      <c r="C27" s="87">
        <f>Gen!B33</f>
        <v>0</v>
      </c>
      <c r="D27" s="435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8">
        <f>Gen!C33</f>
        <v>34992.44</v>
      </c>
      <c r="K27" s="295">
        <f>'Water-Meter'!E28</f>
        <v>0</v>
      </c>
      <c r="L27" s="657">
        <f>'Lpg (2)'!G32</f>
        <v>0</v>
      </c>
      <c r="M27" s="79" t="e">
        <f>SUM(#REF!-#REF!)</f>
        <v>#REF!</v>
      </c>
    </row>
    <row r="28" spans="1:13">
      <c r="A28" s="666">
        <f>Gen!A34</f>
        <v>44189</v>
      </c>
      <c r="B28" s="656">
        <f>'Daily report Gen'!Z29</f>
        <v>0</v>
      </c>
      <c r="C28" s="87">
        <f>Gen!B34</f>
        <v>0</v>
      </c>
      <c r="D28" s="435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8">
        <f>Gen!C34</f>
        <v>34992.44</v>
      </c>
      <c r="K28" s="295">
        <f>'Water-Meter'!E29</f>
        <v>0</v>
      </c>
      <c r="L28" s="657">
        <f>'Lpg (2)'!G33</f>
        <v>0</v>
      </c>
      <c r="M28" s="79" t="e">
        <f>SUM(#REF!-#REF!)</f>
        <v>#REF!</v>
      </c>
    </row>
    <row r="29" spans="1:13">
      <c r="A29" s="666">
        <f>Gen!A35</f>
        <v>44190</v>
      </c>
      <c r="B29" s="656">
        <f>'Daily report Gen'!Z30</f>
        <v>0</v>
      </c>
      <c r="C29" s="87">
        <f>Gen!B35</f>
        <v>0</v>
      </c>
      <c r="D29" s="435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8">
        <f>Gen!C35</f>
        <v>34992.44</v>
      </c>
      <c r="K29" s="295">
        <f>'Water-Meter'!E30</f>
        <v>0</v>
      </c>
      <c r="L29" s="657">
        <f>'Lpg (2)'!G34</f>
        <v>0</v>
      </c>
      <c r="M29" s="79" t="e">
        <f>SUM(#REF!-#REF!)</f>
        <v>#REF!</v>
      </c>
    </row>
    <row r="30" spans="1:13">
      <c r="A30" s="666">
        <f>Gen!A36</f>
        <v>44191</v>
      </c>
      <c r="B30" s="656">
        <f>'Daily report Gen'!Z31</f>
        <v>0</v>
      </c>
      <c r="C30" s="87">
        <f>Gen!B36</f>
        <v>0</v>
      </c>
      <c r="D30" s="435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8">
        <f>Gen!C36</f>
        <v>34992.44</v>
      </c>
      <c r="K30" s="295">
        <f>'Water-Meter'!E31</f>
        <v>0</v>
      </c>
      <c r="L30" s="657">
        <f>'Lpg (2)'!G35</f>
        <v>0</v>
      </c>
      <c r="M30" s="79" t="e">
        <f>SUM(#REF!-#REF!)</f>
        <v>#REF!</v>
      </c>
    </row>
    <row r="31" spans="1:13">
      <c r="A31" s="666">
        <f>Gen!A37</f>
        <v>44192</v>
      </c>
      <c r="B31" s="656">
        <f>'Daily report Gen'!Z32</f>
        <v>0</v>
      </c>
      <c r="C31" s="87">
        <f>Gen!B37</f>
        <v>0</v>
      </c>
      <c r="D31" s="435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8">
        <f>Gen!C37</f>
        <v>34992.44</v>
      </c>
      <c r="K31" s="295">
        <f>'Water-Meter'!E32</f>
        <v>0</v>
      </c>
      <c r="L31" s="657">
        <f>'Lpg (2)'!G36</f>
        <v>0</v>
      </c>
      <c r="M31" s="79" t="e">
        <f>SUM(#REF!-#REF!)</f>
        <v>#REF!</v>
      </c>
    </row>
    <row r="32" spans="1:13">
      <c r="A32" s="666">
        <f>Gen!A38</f>
        <v>44193</v>
      </c>
      <c r="B32" s="656">
        <f>'Daily report Gen'!Z33</f>
        <v>0</v>
      </c>
      <c r="C32" s="87">
        <f>Gen!B38</f>
        <v>0</v>
      </c>
      <c r="D32" s="435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8">
        <f>Gen!C38</f>
        <v>34992.44</v>
      </c>
      <c r="K32" s="295">
        <f>'Water-Meter'!E33</f>
        <v>0</v>
      </c>
      <c r="L32" s="657">
        <f>'Lpg (2)'!G37</f>
        <v>0</v>
      </c>
      <c r="M32" s="79" t="e">
        <f>SUM(#REF!-#REF!)</f>
        <v>#REF!</v>
      </c>
    </row>
    <row r="33" spans="1:13">
      <c r="A33" s="666">
        <f>Gen!A39</f>
        <v>44194</v>
      </c>
      <c r="B33" s="656">
        <f>'Daily report Gen'!Z34</f>
        <v>0</v>
      </c>
      <c r="C33" s="87">
        <f>Gen!B39</f>
        <v>0</v>
      </c>
      <c r="D33" s="435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8">
        <f>Gen!C39</f>
        <v>34992.44</v>
      </c>
      <c r="K33" s="295">
        <f>'Water-Meter'!E34</f>
        <v>0</v>
      </c>
      <c r="L33" s="657">
        <f>'Lpg (2)'!G38</f>
        <v>0</v>
      </c>
      <c r="M33" s="79" t="e">
        <f>SUM(#REF!-#REF!)</f>
        <v>#REF!</v>
      </c>
    </row>
    <row r="34" spans="1:13">
      <c r="A34" s="666">
        <f>Gen!A40</f>
        <v>44195</v>
      </c>
      <c r="B34" s="656">
        <f>'Daily report Gen'!Z35</f>
        <v>0</v>
      </c>
      <c r="C34" s="87">
        <f>Gen!B40</f>
        <v>0</v>
      </c>
      <c r="D34" s="435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8">
        <f>Gen!C40</f>
        <v>34992.44</v>
      </c>
      <c r="K34" s="295">
        <f>'Water-Meter'!E35</f>
        <v>0</v>
      </c>
      <c r="L34" s="657">
        <f>'Lpg (2)'!G39</f>
        <v>0</v>
      </c>
      <c r="M34" s="79" t="e">
        <f>SUM(#REF!-#REF!)</f>
        <v>#REF!</v>
      </c>
    </row>
    <row r="35" spans="1:13">
      <c r="A35" s="666">
        <f>Gen!A41</f>
        <v>44196</v>
      </c>
      <c r="B35" s="656">
        <f>'Daily report Gen'!Z36</f>
        <v>0</v>
      </c>
      <c r="C35" s="87">
        <f>Gen!B41</f>
        <v>0</v>
      </c>
      <c r="D35" s="435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8">
        <f>Gen!C41</f>
        <v>34992.44</v>
      </c>
      <c r="K35" s="295">
        <f>'Water-Meter'!E36</f>
        <v>0</v>
      </c>
      <c r="L35" s="657">
        <f>'Lpg (2)'!G40</f>
        <v>0</v>
      </c>
      <c r="M35" s="79" t="e">
        <f>SUM(#REF!-#REF!)</f>
        <v>#REF!</v>
      </c>
    </row>
    <row r="36" spans="1:13" ht="13.5" thickBot="1">
      <c r="A36" s="667">
        <f>Gen!A42</f>
        <v>44197</v>
      </c>
      <c r="B36" s="658">
        <f>'Daily report Gen'!Z37</f>
        <v>0</v>
      </c>
      <c r="C36" s="659">
        <f>Gen!B42</f>
        <v>0</v>
      </c>
      <c r="D36" s="660">
        <f t="shared" si="0"/>
        <v>0</v>
      </c>
      <c r="E36" s="661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2">
        <f>Gen!C42</f>
        <v>34992.44</v>
      </c>
      <c r="K36" s="663">
        <f>'Water-Meter'!E37</f>
        <v>0</v>
      </c>
      <c r="L36" s="664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25" sqref="AB2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7">
        <f>A6</f>
        <v>44166</v>
      </c>
      <c r="B1" s="868"/>
      <c r="C1" s="868"/>
      <c r="D1" s="868"/>
      <c r="E1" s="868"/>
      <c r="F1" s="868"/>
      <c r="G1" s="868"/>
      <c r="H1" s="868"/>
      <c r="I1" s="868"/>
      <c r="J1" s="868"/>
      <c r="K1" s="868"/>
      <c r="L1" s="868"/>
      <c r="M1" s="868"/>
      <c r="N1" s="868"/>
      <c r="O1" s="868"/>
      <c r="P1" s="868"/>
      <c r="Q1" s="868"/>
      <c r="R1" s="868"/>
      <c r="S1" s="868"/>
      <c r="T1" s="868"/>
      <c r="U1" s="868"/>
      <c r="V1" s="868"/>
      <c r="W1" s="868"/>
      <c r="X1" s="868"/>
      <c r="Y1" s="868"/>
      <c r="Z1" s="868"/>
      <c r="AA1" s="868"/>
      <c r="AB1" s="868"/>
      <c r="AC1" s="19"/>
    </row>
    <row r="2" spans="1:29" ht="12" customHeight="1" thickBot="1">
      <c r="A2" s="868"/>
      <c r="B2" s="868"/>
      <c r="C2" s="868"/>
      <c r="D2" s="868"/>
      <c r="E2" s="868"/>
      <c r="F2" s="868"/>
      <c r="G2" s="868"/>
      <c r="H2" s="868"/>
      <c r="I2" s="868"/>
      <c r="J2" s="868"/>
      <c r="K2" s="868"/>
      <c r="L2" s="868"/>
      <c r="M2" s="868"/>
      <c r="N2" s="868"/>
      <c r="O2" s="868"/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868"/>
      <c r="AB2" s="868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9" t="s">
        <v>298</v>
      </c>
      <c r="L3" s="870"/>
      <c r="M3" s="871"/>
      <c r="N3" s="869" t="s">
        <v>299</v>
      </c>
      <c r="O3" s="870"/>
      <c r="P3" s="871"/>
      <c r="Q3" s="869" t="s">
        <v>300</v>
      </c>
      <c r="R3" s="870"/>
      <c r="S3" s="871"/>
      <c r="T3" s="869" t="s">
        <v>301</v>
      </c>
      <c r="U3" s="870"/>
      <c r="V3" s="871"/>
      <c r="W3" s="869" t="s">
        <v>302</v>
      </c>
      <c r="X3" s="870"/>
      <c r="Y3" s="871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5" t="s">
        <v>191</v>
      </c>
      <c r="R4" s="339" t="s">
        <v>192</v>
      </c>
      <c r="S4" s="836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>
      <c r="A5" s="685"/>
      <c r="B5" s="678"/>
      <c r="C5" s="799"/>
      <c r="D5" s="679"/>
      <c r="E5" s="680"/>
      <c r="F5" s="680"/>
      <c r="G5" s="680"/>
      <c r="H5" s="680"/>
      <c r="I5" s="305"/>
      <c r="J5" s="682"/>
      <c r="K5" s="688"/>
      <c r="L5" s="305"/>
      <c r="M5" s="689"/>
      <c r="N5" s="679"/>
      <c r="O5" s="834"/>
      <c r="P5" s="690"/>
      <c r="Q5" s="679"/>
      <c r="R5" s="305"/>
      <c r="S5" s="690"/>
      <c r="T5" s="679"/>
      <c r="U5" s="834"/>
      <c r="V5" s="690"/>
      <c r="W5" s="679"/>
      <c r="X5" s="679"/>
      <c r="Y5" s="690"/>
      <c r="Z5" s="690"/>
      <c r="AA5" s="679"/>
      <c r="AB5" s="679"/>
      <c r="AC5" s="691"/>
    </row>
    <row r="6" spans="1:29" ht="20.100000000000001" customHeight="1">
      <c r="A6" s="686">
        <f>Gen!A11</f>
        <v>44166</v>
      </c>
      <c r="B6" s="681">
        <f>Gen!B11</f>
        <v>7.6999999999999999E-2</v>
      </c>
      <c r="C6" s="799">
        <v>11686.02</v>
      </c>
      <c r="D6" s="800">
        <v>21840.2</v>
      </c>
      <c r="E6" s="493"/>
      <c r="F6" s="305"/>
      <c r="G6" s="305">
        <v>40.94</v>
      </c>
      <c r="H6" s="305"/>
      <c r="I6" s="305">
        <v>31261.7</v>
      </c>
      <c r="J6" s="682">
        <v>20794.3</v>
      </c>
      <c r="K6" s="692">
        <f>L5</f>
        <v>0</v>
      </c>
      <c r="L6" s="305">
        <v>35392</v>
      </c>
      <c r="M6" s="304">
        <f>L6-K6</f>
        <v>35392</v>
      </c>
      <c r="N6" s="306">
        <f>O5</f>
        <v>0</v>
      </c>
      <c r="O6" s="125">
        <v>30480</v>
      </c>
      <c r="P6" s="304">
        <f>O6-N6</f>
        <v>30480</v>
      </c>
      <c r="Q6" s="304">
        <f>R5</f>
        <v>0</v>
      </c>
      <c r="R6" s="125">
        <v>35840</v>
      </c>
      <c r="S6" s="304">
        <f>R6-Q6</f>
        <v>35840</v>
      </c>
      <c r="T6" s="304">
        <f>U5</f>
        <v>0</v>
      </c>
      <c r="U6" s="125">
        <v>32777</v>
      </c>
      <c r="V6" s="304">
        <f>U6-T6</f>
        <v>32777</v>
      </c>
      <c r="W6" s="306">
        <f>X5</f>
        <v>0</v>
      </c>
      <c r="X6" s="305">
        <v>21404</v>
      </c>
      <c r="Y6" s="304">
        <f>X6-W6</f>
        <v>21404</v>
      </c>
      <c r="Z6" s="307">
        <f>Y6+V6+S6+P6+M6</f>
        <v>155893</v>
      </c>
      <c r="AA6" s="125">
        <v>189</v>
      </c>
      <c r="AB6" s="125">
        <v>119</v>
      </c>
      <c r="AC6" s="693">
        <f>Gen!AR11</f>
        <v>1012.72</v>
      </c>
    </row>
    <row r="7" spans="1:29" ht="20.100000000000001" customHeight="1">
      <c r="A7" s="686">
        <f>Gen!A12</f>
        <v>44167</v>
      </c>
      <c r="B7" s="681">
        <f>Gen!B12</f>
        <v>9.0999999999999998E-2</v>
      </c>
      <c r="C7" s="799">
        <v>10146.91</v>
      </c>
      <c r="D7" s="800">
        <v>21840.2</v>
      </c>
      <c r="E7" s="493"/>
      <c r="F7" s="305"/>
      <c r="G7" s="305">
        <v>99.67</v>
      </c>
      <c r="H7" s="305"/>
      <c r="I7" s="305">
        <v>31261.7</v>
      </c>
      <c r="J7" s="682">
        <v>20794.3</v>
      </c>
      <c r="K7" s="692">
        <f t="shared" ref="K7:K37" si="0">L6</f>
        <v>35392</v>
      </c>
      <c r="L7" s="305">
        <v>35392</v>
      </c>
      <c r="M7" s="304">
        <f t="shared" ref="M7:M37" si="1">L7-K7</f>
        <v>0</v>
      </c>
      <c r="N7" s="306">
        <f t="shared" ref="N7:N37" si="2">O6</f>
        <v>30480</v>
      </c>
      <c r="O7" s="125">
        <v>30480</v>
      </c>
      <c r="P7" s="304">
        <f t="shared" ref="P7:P37" si="3">O7-N7</f>
        <v>0</v>
      </c>
      <c r="Q7" s="304">
        <f t="shared" ref="Q7:Q37" si="4">R6</f>
        <v>35840</v>
      </c>
      <c r="R7" s="125">
        <v>35840</v>
      </c>
      <c r="S7" s="304">
        <f t="shared" ref="S7:S37" si="5">R7-Q7</f>
        <v>0</v>
      </c>
      <c r="T7" s="304">
        <f t="shared" ref="T7:T37" si="6">U6</f>
        <v>32777</v>
      </c>
      <c r="U7" s="125">
        <v>32777</v>
      </c>
      <c r="V7" s="304">
        <f t="shared" ref="V7:V37" si="7">U7-T7</f>
        <v>0</v>
      </c>
      <c r="W7" s="306">
        <f t="shared" ref="W7:W37" si="8">X6</f>
        <v>21404</v>
      </c>
      <c r="X7" s="305">
        <v>21428</v>
      </c>
      <c r="Y7" s="304">
        <f t="shared" ref="Y7:Y37" si="9">X7-W7</f>
        <v>24</v>
      </c>
      <c r="Z7" s="307">
        <f t="shared" ref="Z7:Z25" si="10">Y7+V7+S7+P7+M7</f>
        <v>24</v>
      </c>
      <c r="AA7" s="125">
        <v>199</v>
      </c>
      <c r="AB7" s="125">
        <v>120</v>
      </c>
      <c r="AC7" s="693">
        <f>Gen!AR12</f>
        <v>1071.22</v>
      </c>
    </row>
    <row r="8" spans="1:29" ht="20.100000000000001" customHeight="1">
      <c r="A8" s="686">
        <f>Gen!A13</f>
        <v>44168</v>
      </c>
      <c r="B8" s="681">
        <f>Gen!B13</f>
        <v>1.2999999999999999E-2</v>
      </c>
      <c r="C8" s="799">
        <v>9075.69</v>
      </c>
      <c r="D8" s="800">
        <v>21840.2</v>
      </c>
      <c r="E8" s="493"/>
      <c r="F8" s="305"/>
      <c r="G8" s="305"/>
      <c r="H8" s="305"/>
      <c r="I8" s="305">
        <v>31265.3</v>
      </c>
      <c r="J8" s="682">
        <v>20797.2</v>
      </c>
      <c r="K8" s="692">
        <f t="shared" si="0"/>
        <v>35392</v>
      </c>
      <c r="L8" s="305">
        <v>35392</v>
      </c>
      <c r="M8" s="304">
        <f t="shared" si="1"/>
        <v>0</v>
      </c>
      <c r="N8" s="306">
        <f t="shared" si="2"/>
        <v>30480</v>
      </c>
      <c r="O8" s="305">
        <v>30504</v>
      </c>
      <c r="P8" s="304">
        <f t="shared" si="3"/>
        <v>24</v>
      </c>
      <c r="Q8" s="304">
        <f t="shared" si="4"/>
        <v>35840</v>
      </c>
      <c r="R8" s="125">
        <v>35840</v>
      </c>
      <c r="S8" s="304">
        <f t="shared" si="5"/>
        <v>0</v>
      </c>
      <c r="T8" s="304">
        <f t="shared" si="6"/>
        <v>32777</v>
      </c>
      <c r="U8" s="125">
        <v>32777</v>
      </c>
      <c r="V8" s="304">
        <f t="shared" si="7"/>
        <v>0</v>
      </c>
      <c r="W8" s="306">
        <f t="shared" si="8"/>
        <v>21428</v>
      </c>
      <c r="X8" s="305">
        <v>21428</v>
      </c>
      <c r="Y8" s="304">
        <f t="shared" si="9"/>
        <v>0</v>
      </c>
      <c r="Z8" s="307">
        <f t="shared" si="10"/>
        <v>24</v>
      </c>
      <c r="AA8" s="125">
        <v>198</v>
      </c>
      <c r="AB8" s="125">
        <v>130</v>
      </c>
      <c r="AC8" s="693">
        <f>Gen!AR13</f>
        <v>995.36</v>
      </c>
    </row>
    <row r="9" spans="1:29" ht="20.100000000000001" customHeight="1">
      <c r="A9" s="686">
        <f>Gen!A14</f>
        <v>44169</v>
      </c>
      <c r="B9" s="681">
        <f>Gen!B14</f>
        <v>1.2999999999999999E-2</v>
      </c>
      <c r="C9" s="799">
        <v>8606.7199999999993</v>
      </c>
      <c r="D9" s="800">
        <v>21840.2</v>
      </c>
      <c r="E9" s="493"/>
      <c r="F9" s="305"/>
      <c r="G9" s="305"/>
      <c r="H9" s="305"/>
      <c r="I9" s="305">
        <v>31269.3</v>
      </c>
      <c r="J9" s="682">
        <v>20800.099999999999</v>
      </c>
      <c r="K9" s="692">
        <f t="shared" si="0"/>
        <v>35392</v>
      </c>
      <c r="L9" s="305">
        <v>35392</v>
      </c>
      <c r="M9" s="304">
        <f t="shared" si="1"/>
        <v>0</v>
      </c>
      <c r="N9" s="306">
        <f t="shared" si="2"/>
        <v>30504</v>
      </c>
      <c r="O9" s="305">
        <v>30504</v>
      </c>
      <c r="P9" s="304">
        <f t="shared" si="3"/>
        <v>0</v>
      </c>
      <c r="Q9" s="304">
        <f t="shared" si="4"/>
        <v>35840</v>
      </c>
      <c r="R9" s="125">
        <v>35840</v>
      </c>
      <c r="S9" s="304">
        <f t="shared" si="5"/>
        <v>0</v>
      </c>
      <c r="T9" s="304">
        <f t="shared" si="6"/>
        <v>32777</v>
      </c>
      <c r="U9" s="305">
        <v>32801</v>
      </c>
      <c r="V9" s="304">
        <f t="shared" si="7"/>
        <v>24</v>
      </c>
      <c r="W9" s="306">
        <f t="shared" si="8"/>
        <v>21428</v>
      </c>
      <c r="X9" s="305">
        <v>21428</v>
      </c>
      <c r="Y9" s="304">
        <f t="shared" si="9"/>
        <v>0</v>
      </c>
      <c r="Z9" s="307">
        <f t="shared" si="10"/>
        <v>24</v>
      </c>
      <c r="AA9" s="125">
        <v>190</v>
      </c>
      <c r="AB9" s="125">
        <v>118</v>
      </c>
      <c r="AC9" s="693">
        <f>Gen!AR14</f>
        <v>904.89</v>
      </c>
    </row>
    <row r="10" spans="1:29" ht="20.100000000000001" customHeight="1">
      <c r="A10" s="686">
        <f>Gen!A15</f>
        <v>44170</v>
      </c>
      <c r="B10" s="681">
        <f>Gen!B15</f>
        <v>0</v>
      </c>
      <c r="C10" s="799">
        <v>7701.83</v>
      </c>
      <c r="D10" s="800">
        <v>21840.2</v>
      </c>
      <c r="E10" s="493"/>
      <c r="F10" s="305"/>
      <c r="G10" s="305"/>
      <c r="H10" s="305"/>
      <c r="I10" s="305">
        <v>31272.7</v>
      </c>
      <c r="J10" s="682">
        <v>20802.8</v>
      </c>
      <c r="K10" s="692">
        <f t="shared" si="0"/>
        <v>35392</v>
      </c>
      <c r="L10" s="305">
        <v>35392</v>
      </c>
      <c r="M10" s="304">
        <f t="shared" si="1"/>
        <v>0</v>
      </c>
      <c r="N10" s="306">
        <f t="shared" si="2"/>
        <v>30504</v>
      </c>
      <c r="O10" s="305">
        <v>30504</v>
      </c>
      <c r="P10" s="304">
        <f t="shared" si="3"/>
        <v>0</v>
      </c>
      <c r="Q10" s="304">
        <f t="shared" si="4"/>
        <v>35840</v>
      </c>
      <c r="R10" s="125">
        <v>35840</v>
      </c>
      <c r="S10" s="304">
        <f t="shared" si="5"/>
        <v>0</v>
      </c>
      <c r="T10" s="304">
        <f t="shared" si="6"/>
        <v>32801</v>
      </c>
      <c r="U10" s="305">
        <v>32801</v>
      </c>
      <c r="V10" s="304">
        <f t="shared" si="7"/>
        <v>0</v>
      </c>
      <c r="W10" s="306">
        <f t="shared" si="8"/>
        <v>21428</v>
      </c>
      <c r="X10" s="305">
        <v>21452</v>
      </c>
      <c r="Y10" s="304">
        <f t="shared" si="9"/>
        <v>24</v>
      </c>
      <c r="Z10" s="307">
        <f t="shared" si="10"/>
        <v>24</v>
      </c>
      <c r="AA10" s="125">
        <v>188</v>
      </c>
      <c r="AB10" s="125">
        <v>110</v>
      </c>
      <c r="AC10" s="693">
        <f>Gen!AR15</f>
        <v>928.04</v>
      </c>
    </row>
    <row r="11" spans="1:29" ht="20.100000000000001" customHeight="1">
      <c r="A11" s="686">
        <f>Gen!A16</f>
        <v>44171</v>
      </c>
      <c r="B11" s="681">
        <f>Gen!B16</f>
        <v>0</v>
      </c>
      <c r="C11" s="799">
        <v>6773.79</v>
      </c>
      <c r="D11" s="800">
        <v>21840.2</v>
      </c>
      <c r="E11" s="493"/>
      <c r="F11" s="305"/>
      <c r="G11" s="305">
        <v>47</v>
      </c>
      <c r="H11" s="305"/>
      <c r="I11" s="305">
        <v>31276.2</v>
      </c>
      <c r="J11" s="682">
        <v>20805.8</v>
      </c>
      <c r="K11" s="692">
        <f t="shared" si="0"/>
        <v>35392</v>
      </c>
      <c r="L11" s="305">
        <v>35392</v>
      </c>
      <c r="M11" s="304">
        <f t="shared" si="1"/>
        <v>0</v>
      </c>
      <c r="N11" s="306">
        <f t="shared" si="2"/>
        <v>30504</v>
      </c>
      <c r="O11" s="305">
        <v>30528</v>
      </c>
      <c r="P11" s="304">
        <f t="shared" si="3"/>
        <v>24</v>
      </c>
      <c r="Q11" s="304">
        <f t="shared" si="4"/>
        <v>35840</v>
      </c>
      <c r="R11" s="125">
        <v>35840</v>
      </c>
      <c r="S11" s="304">
        <f t="shared" si="5"/>
        <v>0</v>
      </c>
      <c r="T11" s="304">
        <f t="shared" si="6"/>
        <v>32801</v>
      </c>
      <c r="U11" s="305">
        <v>32801</v>
      </c>
      <c r="V11" s="304">
        <f t="shared" si="7"/>
        <v>0</v>
      </c>
      <c r="W11" s="306">
        <f t="shared" si="8"/>
        <v>21452</v>
      </c>
      <c r="X11" s="305">
        <v>21452</v>
      </c>
      <c r="Y11" s="304">
        <f t="shared" si="9"/>
        <v>0</v>
      </c>
      <c r="Z11" s="307">
        <f t="shared" si="10"/>
        <v>24</v>
      </c>
      <c r="AA11" s="125">
        <v>197</v>
      </c>
      <c r="AB11" s="125">
        <v>116</v>
      </c>
      <c r="AC11" s="693">
        <f>Gen!AR16</f>
        <v>1059.3899999999999</v>
      </c>
    </row>
    <row r="12" spans="1:29" ht="20.100000000000001" customHeight="1">
      <c r="A12" s="686">
        <f>Gen!A17</f>
        <v>44172</v>
      </c>
      <c r="B12" s="681">
        <f>Gen!B17</f>
        <v>0</v>
      </c>
      <c r="C12" s="799">
        <v>23714.41</v>
      </c>
      <c r="D12" s="800">
        <v>21840.2</v>
      </c>
      <c r="E12" s="493"/>
      <c r="F12" s="305"/>
      <c r="G12" s="305">
        <v>54</v>
      </c>
      <c r="H12" s="305"/>
      <c r="I12" s="305">
        <v>31280.1</v>
      </c>
      <c r="J12" s="682">
        <v>20808.599999999999</v>
      </c>
      <c r="K12" s="692">
        <f t="shared" si="0"/>
        <v>35392</v>
      </c>
      <c r="L12" s="305">
        <v>35392</v>
      </c>
      <c r="M12" s="304">
        <f t="shared" si="1"/>
        <v>0</v>
      </c>
      <c r="N12" s="306">
        <f t="shared" si="2"/>
        <v>30528</v>
      </c>
      <c r="O12" s="305">
        <v>30528</v>
      </c>
      <c r="P12" s="304">
        <f t="shared" si="3"/>
        <v>0</v>
      </c>
      <c r="Q12" s="304">
        <f t="shared" si="4"/>
        <v>35840</v>
      </c>
      <c r="R12" s="125">
        <v>35840</v>
      </c>
      <c r="S12" s="304">
        <f t="shared" si="5"/>
        <v>0</v>
      </c>
      <c r="T12" s="304">
        <f t="shared" si="6"/>
        <v>32801</v>
      </c>
      <c r="U12" s="305">
        <v>32825</v>
      </c>
      <c r="V12" s="304">
        <f t="shared" si="7"/>
        <v>24</v>
      </c>
      <c r="W12" s="306">
        <f t="shared" si="8"/>
        <v>21452</v>
      </c>
      <c r="X12" s="305">
        <v>21452</v>
      </c>
      <c r="Y12" s="304">
        <f t="shared" si="9"/>
        <v>0</v>
      </c>
      <c r="Z12" s="307">
        <f t="shared" si="10"/>
        <v>24</v>
      </c>
      <c r="AA12" s="125">
        <v>201</v>
      </c>
      <c r="AB12" s="125">
        <v>123</v>
      </c>
      <c r="AC12" s="693">
        <f>Gen!AR17</f>
        <v>1010.25</v>
      </c>
    </row>
    <row r="13" spans="1:29" ht="20.100000000000001" customHeight="1">
      <c r="A13" s="686">
        <f>Gen!A18</f>
        <v>44173</v>
      </c>
      <c r="B13" s="681">
        <f>Gen!B18</f>
        <v>0</v>
      </c>
      <c r="C13" s="799">
        <v>22704.15</v>
      </c>
      <c r="D13" s="800">
        <v>21840.2</v>
      </c>
      <c r="E13" s="493"/>
      <c r="F13" s="305"/>
      <c r="G13" s="305">
        <v>82</v>
      </c>
      <c r="H13" s="305"/>
      <c r="I13" s="305">
        <v>31283.599999999999</v>
      </c>
      <c r="J13" s="682">
        <v>20811.599999999999</v>
      </c>
      <c r="K13" s="692">
        <f t="shared" si="0"/>
        <v>35392</v>
      </c>
      <c r="L13" s="305">
        <v>35392</v>
      </c>
      <c r="M13" s="304">
        <f t="shared" si="1"/>
        <v>0</v>
      </c>
      <c r="N13" s="306">
        <f t="shared" si="2"/>
        <v>30528</v>
      </c>
      <c r="O13" s="305">
        <v>30528</v>
      </c>
      <c r="P13" s="304">
        <f t="shared" si="3"/>
        <v>0</v>
      </c>
      <c r="Q13" s="304">
        <f t="shared" si="4"/>
        <v>35840</v>
      </c>
      <c r="R13" s="125">
        <v>35840</v>
      </c>
      <c r="S13" s="304">
        <f t="shared" si="5"/>
        <v>0</v>
      </c>
      <c r="T13" s="304">
        <f t="shared" si="6"/>
        <v>32825</v>
      </c>
      <c r="U13" s="305">
        <v>32825</v>
      </c>
      <c r="V13" s="304">
        <f t="shared" si="7"/>
        <v>0</v>
      </c>
      <c r="W13" s="306">
        <f t="shared" si="8"/>
        <v>21452</v>
      </c>
      <c r="X13" s="305">
        <v>21476</v>
      </c>
      <c r="Y13" s="304">
        <f t="shared" si="9"/>
        <v>24</v>
      </c>
      <c r="Z13" s="307">
        <f t="shared" si="10"/>
        <v>24</v>
      </c>
      <c r="AA13" s="125">
        <v>225</v>
      </c>
      <c r="AB13" s="125">
        <v>120</v>
      </c>
      <c r="AC13" s="693">
        <f>Gen!AR18</f>
        <v>1095.27</v>
      </c>
    </row>
    <row r="14" spans="1:29" ht="20.100000000000001" customHeight="1">
      <c r="A14" s="686">
        <f>Gen!A19</f>
        <v>44174</v>
      </c>
      <c r="B14" s="681">
        <f>Gen!B19</f>
        <v>0</v>
      </c>
      <c r="C14" s="799">
        <v>21608.880000000001</v>
      </c>
      <c r="D14" s="800">
        <v>21840.2</v>
      </c>
      <c r="E14" s="493"/>
      <c r="F14" s="305"/>
      <c r="G14" s="305">
        <v>56</v>
      </c>
      <c r="H14" s="305"/>
      <c r="I14" s="305">
        <v>31287.5</v>
      </c>
      <c r="J14" s="682">
        <v>20814.599999999999</v>
      </c>
      <c r="K14" s="692">
        <f t="shared" si="0"/>
        <v>35392</v>
      </c>
      <c r="L14" s="305">
        <v>35392</v>
      </c>
      <c r="M14" s="304">
        <f t="shared" si="1"/>
        <v>0</v>
      </c>
      <c r="N14" s="306">
        <f t="shared" si="2"/>
        <v>30528</v>
      </c>
      <c r="O14" s="305">
        <v>30553</v>
      </c>
      <c r="P14" s="304">
        <f t="shared" si="3"/>
        <v>25</v>
      </c>
      <c r="Q14" s="304">
        <f t="shared" si="4"/>
        <v>35840</v>
      </c>
      <c r="R14" s="125">
        <v>35840</v>
      </c>
      <c r="S14" s="304">
        <f t="shared" si="5"/>
        <v>0</v>
      </c>
      <c r="T14" s="304">
        <f t="shared" si="6"/>
        <v>32825</v>
      </c>
      <c r="U14" s="305">
        <v>32825</v>
      </c>
      <c r="V14" s="304">
        <f t="shared" si="7"/>
        <v>0</v>
      </c>
      <c r="W14" s="306">
        <f t="shared" si="8"/>
        <v>21476</v>
      </c>
      <c r="X14" s="305">
        <v>21476</v>
      </c>
      <c r="Y14" s="304">
        <f t="shared" si="9"/>
        <v>0</v>
      </c>
      <c r="Z14" s="307">
        <f t="shared" si="10"/>
        <v>25</v>
      </c>
      <c r="AA14" s="125">
        <v>216</v>
      </c>
      <c r="AB14" s="125">
        <v>119</v>
      </c>
      <c r="AC14" s="693">
        <f>Gen!AR19</f>
        <v>1066.92</v>
      </c>
    </row>
    <row r="15" spans="1:29" ht="20.100000000000001" customHeight="1">
      <c r="A15" s="686">
        <f>Gen!A20</f>
        <v>44175</v>
      </c>
      <c r="B15" s="681">
        <f>Gen!B20</f>
        <v>0</v>
      </c>
      <c r="C15" s="799">
        <v>20541.96</v>
      </c>
      <c r="D15" s="800">
        <v>21840.2</v>
      </c>
      <c r="E15" s="493"/>
      <c r="F15" s="305"/>
      <c r="G15" s="305">
        <v>62.2</v>
      </c>
      <c r="H15" s="305"/>
      <c r="I15" s="305">
        <v>31291.3</v>
      </c>
      <c r="J15" s="682">
        <v>20817.7</v>
      </c>
      <c r="K15" s="692">
        <f t="shared" si="0"/>
        <v>35392</v>
      </c>
      <c r="L15" s="305">
        <v>35392</v>
      </c>
      <c r="M15" s="304">
        <f t="shared" si="1"/>
        <v>0</v>
      </c>
      <c r="N15" s="306">
        <f t="shared" si="2"/>
        <v>30553</v>
      </c>
      <c r="O15" s="305">
        <v>30553</v>
      </c>
      <c r="P15" s="304">
        <f t="shared" si="3"/>
        <v>0</v>
      </c>
      <c r="Q15" s="304">
        <f t="shared" si="4"/>
        <v>35840</v>
      </c>
      <c r="R15" s="125">
        <v>35840</v>
      </c>
      <c r="S15" s="304">
        <f t="shared" si="5"/>
        <v>0</v>
      </c>
      <c r="T15" s="304">
        <f t="shared" si="6"/>
        <v>32825</v>
      </c>
      <c r="U15" s="305">
        <v>32849</v>
      </c>
      <c r="V15" s="304">
        <f t="shared" si="7"/>
        <v>24</v>
      </c>
      <c r="W15" s="306">
        <f t="shared" si="8"/>
        <v>21476</v>
      </c>
      <c r="X15" s="305">
        <v>21476</v>
      </c>
      <c r="Y15" s="304">
        <f t="shared" si="9"/>
        <v>0</v>
      </c>
      <c r="Z15" s="307">
        <f t="shared" si="10"/>
        <v>24</v>
      </c>
      <c r="AA15" s="125">
        <v>220</v>
      </c>
      <c r="AB15" s="125">
        <v>118</v>
      </c>
      <c r="AC15" s="693">
        <f>Gen!AR20</f>
        <v>1346.27</v>
      </c>
    </row>
    <row r="16" spans="1:29" ht="20.100000000000001" customHeight="1">
      <c r="A16" s="686">
        <f>Gen!A21</f>
        <v>44176</v>
      </c>
      <c r="B16" s="681">
        <f>Gen!B21</f>
        <v>0</v>
      </c>
      <c r="C16" s="799">
        <v>19195.689999999999</v>
      </c>
      <c r="D16" s="800">
        <v>21840.2</v>
      </c>
      <c r="E16" s="493"/>
      <c r="F16" s="305"/>
      <c r="G16" s="305">
        <v>108.67</v>
      </c>
      <c r="H16" s="305"/>
      <c r="I16" s="305">
        <v>31295.5</v>
      </c>
      <c r="J16" s="682">
        <v>20821.8</v>
      </c>
      <c r="K16" s="692">
        <f t="shared" si="0"/>
        <v>35392</v>
      </c>
      <c r="L16" s="305">
        <v>35416</v>
      </c>
      <c r="M16" s="304">
        <f>L16-K16</f>
        <v>24</v>
      </c>
      <c r="N16" s="306">
        <f t="shared" si="2"/>
        <v>30553</v>
      </c>
      <c r="O16" s="305">
        <v>30553</v>
      </c>
      <c r="P16" s="304">
        <f t="shared" si="3"/>
        <v>0</v>
      </c>
      <c r="Q16" s="304">
        <f t="shared" si="4"/>
        <v>35840</v>
      </c>
      <c r="R16" s="125">
        <v>35840</v>
      </c>
      <c r="S16" s="304">
        <f t="shared" si="5"/>
        <v>0</v>
      </c>
      <c r="T16" s="304">
        <f t="shared" si="6"/>
        <v>32849</v>
      </c>
      <c r="U16" s="305">
        <v>32849</v>
      </c>
      <c r="V16" s="304">
        <f t="shared" si="7"/>
        <v>0</v>
      </c>
      <c r="W16" s="306">
        <f t="shared" si="8"/>
        <v>21476</v>
      </c>
      <c r="X16" s="305">
        <v>21476</v>
      </c>
      <c r="Y16" s="304">
        <f t="shared" si="9"/>
        <v>0</v>
      </c>
      <c r="Z16" s="307">
        <f t="shared" si="10"/>
        <v>24</v>
      </c>
      <c r="AA16" s="125">
        <v>240</v>
      </c>
      <c r="AB16" s="125">
        <v>130</v>
      </c>
      <c r="AC16" s="693">
        <f>Gen!AR21</f>
        <v>1326.1200000000001</v>
      </c>
    </row>
    <row r="17" spans="1:29" ht="20.100000000000001" customHeight="1">
      <c r="A17" s="686">
        <f>Gen!A22</f>
        <v>44177</v>
      </c>
      <c r="B17" s="681">
        <f>Gen!B22</f>
        <v>0</v>
      </c>
      <c r="C17" s="799">
        <v>17869.57</v>
      </c>
      <c r="D17" s="800">
        <v>21840.2</v>
      </c>
      <c r="E17" s="493"/>
      <c r="F17" s="305"/>
      <c r="G17" s="305"/>
      <c r="H17" s="305"/>
      <c r="I17" s="305">
        <v>31300.2</v>
      </c>
      <c r="J17" s="682">
        <v>20825.7</v>
      </c>
      <c r="K17" s="692">
        <f>L16</f>
        <v>35416</v>
      </c>
      <c r="L17" s="305">
        <v>35416</v>
      </c>
      <c r="M17" s="304">
        <f>L17-K17</f>
        <v>0</v>
      </c>
      <c r="N17" s="306">
        <f t="shared" si="2"/>
        <v>30553</v>
      </c>
      <c r="O17" s="305">
        <v>30553</v>
      </c>
      <c r="P17" s="304">
        <f t="shared" si="3"/>
        <v>0</v>
      </c>
      <c r="Q17" s="304">
        <f t="shared" si="4"/>
        <v>35840</v>
      </c>
      <c r="R17" s="125">
        <v>35840</v>
      </c>
      <c r="S17" s="304">
        <f t="shared" si="5"/>
        <v>0</v>
      </c>
      <c r="T17" s="304">
        <f t="shared" si="6"/>
        <v>32849</v>
      </c>
      <c r="U17" s="305">
        <v>32873</v>
      </c>
      <c r="V17" s="304">
        <f t="shared" si="7"/>
        <v>24</v>
      </c>
      <c r="W17" s="306">
        <f t="shared" si="8"/>
        <v>21476</v>
      </c>
      <c r="X17" s="305">
        <v>21476</v>
      </c>
      <c r="Y17" s="304">
        <f t="shared" si="9"/>
        <v>0</v>
      </c>
      <c r="Z17" s="307">
        <f t="shared" si="10"/>
        <v>24</v>
      </c>
      <c r="AA17" s="125">
        <v>250</v>
      </c>
      <c r="AB17" s="125">
        <v>135</v>
      </c>
      <c r="AC17" s="693">
        <f>Gen!AR22</f>
        <v>1191.23</v>
      </c>
    </row>
    <row r="18" spans="1:29" ht="20.100000000000001" customHeight="1">
      <c r="A18" s="686">
        <f>Gen!A23</f>
        <v>44178</v>
      </c>
      <c r="B18" s="681">
        <f>Gen!B23</f>
        <v>0</v>
      </c>
      <c r="C18" s="799">
        <v>16678.34</v>
      </c>
      <c r="D18" s="800">
        <v>21840.2</v>
      </c>
      <c r="E18" s="305"/>
      <c r="F18" s="305"/>
      <c r="G18" s="305"/>
      <c r="H18" s="305"/>
      <c r="I18" s="305">
        <v>31305.1</v>
      </c>
      <c r="J18" s="682">
        <v>20829.5</v>
      </c>
      <c r="K18" s="692">
        <f>L17</f>
        <v>35416</v>
      </c>
      <c r="L18" s="305">
        <v>35416</v>
      </c>
      <c r="M18" s="304">
        <f t="shared" si="1"/>
        <v>0</v>
      </c>
      <c r="N18" s="306">
        <f t="shared" si="2"/>
        <v>30553</v>
      </c>
      <c r="O18" s="305">
        <v>30553</v>
      </c>
      <c r="P18" s="304">
        <f t="shared" si="3"/>
        <v>0</v>
      </c>
      <c r="Q18" s="304">
        <f t="shared" si="4"/>
        <v>35840</v>
      </c>
      <c r="R18" s="125">
        <v>35840</v>
      </c>
      <c r="S18" s="304">
        <f t="shared" si="5"/>
        <v>0</v>
      </c>
      <c r="T18" s="304">
        <f t="shared" si="6"/>
        <v>32873</v>
      </c>
      <c r="U18" s="305">
        <v>32873</v>
      </c>
      <c r="V18" s="304">
        <f t="shared" si="7"/>
        <v>0</v>
      </c>
      <c r="W18" s="306">
        <f t="shared" si="8"/>
        <v>21476</v>
      </c>
      <c r="X18" s="305">
        <v>21500</v>
      </c>
      <c r="Y18" s="304">
        <f t="shared" si="9"/>
        <v>24</v>
      </c>
      <c r="Z18" s="307">
        <f t="shared" si="10"/>
        <v>24</v>
      </c>
      <c r="AA18" s="125">
        <v>230</v>
      </c>
      <c r="AB18" s="125">
        <v>118</v>
      </c>
      <c r="AC18" s="693">
        <f>Gen!AR23</f>
        <v>1116.8399999999999</v>
      </c>
    </row>
    <row r="19" spans="1:29" ht="20.100000000000001" customHeight="1">
      <c r="A19" s="686">
        <f>Gen!A24</f>
        <v>44179</v>
      </c>
      <c r="B19" s="681">
        <f>Gen!B24</f>
        <v>0</v>
      </c>
      <c r="C19" s="799">
        <v>15561.5</v>
      </c>
      <c r="D19" s="800">
        <v>21840.2</v>
      </c>
      <c r="E19" s="305"/>
      <c r="F19" s="305"/>
      <c r="G19" s="305">
        <v>66.59</v>
      </c>
      <c r="H19" s="305"/>
      <c r="I19" s="305">
        <v>31309.7</v>
      </c>
      <c r="J19" s="682">
        <v>20832.7</v>
      </c>
      <c r="K19" s="692">
        <f t="shared" si="0"/>
        <v>35416</v>
      </c>
      <c r="L19" s="305">
        <v>35416</v>
      </c>
      <c r="M19" s="304">
        <f t="shared" si="1"/>
        <v>0</v>
      </c>
      <c r="N19" s="306">
        <f t="shared" si="2"/>
        <v>30553</v>
      </c>
      <c r="O19" s="305">
        <v>30577</v>
      </c>
      <c r="P19" s="304">
        <f t="shared" si="3"/>
        <v>24</v>
      </c>
      <c r="Q19" s="304">
        <f t="shared" si="4"/>
        <v>35840</v>
      </c>
      <c r="R19" s="125">
        <v>35840</v>
      </c>
      <c r="S19" s="304">
        <f t="shared" si="5"/>
        <v>0</v>
      </c>
      <c r="T19" s="304">
        <f t="shared" si="6"/>
        <v>32873</v>
      </c>
      <c r="U19" s="305">
        <v>32873</v>
      </c>
      <c r="V19" s="304">
        <f t="shared" si="7"/>
        <v>0</v>
      </c>
      <c r="W19" s="306">
        <f t="shared" si="8"/>
        <v>21500</v>
      </c>
      <c r="X19" s="305">
        <v>21500</v>
      </c>
      <c r="Y19" s="304">
        <f t="shared" si="9"/>
        <v>0</v>
      </c>
      <c r="Z19" s="307">
        <f t="shared" si="10"/>
        <v>24</v>
      </c>
      <c r="AA19" s="125">
        <v>235</v>
      </c>
      <c r="AB19" s="125">
        <v>130</v>
      </c>
      <c r="AC19" s="693">
        <f>Gen!AR24</f>
        <v>1191.6199999999999</v>
      </c>
    </row>
    <row r="20" spans="1:29" ht="20.100000000000001" customHeight="1">
      <c r="A20" s="686">
        <f>Gen!A25</f>
        <v>44180</v>
      </c>
      <c r="B20" s="681">
        <f>Gen!B25</f>
        <v>0</v>
      </c>
      <c r="C20" s="799">
        <v>14369.88</v>
      </c>
      <c r="D20" s="800">
        <v>21840.2</v>
      </c>
      <c r="E20" s="305"/>
      <c r="F20" s="305"/>
      <c r="G20" s="305">
        <v>125.45</v>
      </c>
      <c r="H20" s="305"/>
      <c r="I20" s="305">
        <v>31314.1</v>
      </c>
      <c r="J20" s="682">
        <v>20836.099999999999</v>
      </c>
      <c r="K20" s="692">
        <f t="shared" si="0"/>
        <v>35416</v>
      </c>
      <c r="L20" s="305">
        <v>35441</v>
      </c>
      <c r="M20" s="304">
        <f t="shared" si="1"/>
        <v>25</v>
      </c>
      <c r="N20" s="306">
        <f t="shared" si="2"/>
        <v>30577</v>
      </c>
      <c r="O20" s="305">
        <v>30577</v>
      </c>
      <c r="P20" s="304">
        <f t="shared" si="3"/>
        <v>0</v>
      </c>
      <c r="Q20" s="304">
        <f t="shared" si="4"/>
        <v>35840</v>
      </c>
      <c r="R20" s="125">
        <v>35840</v>
      </c>
      <c r="S20" s="304">
        <f t="shared" si="5"/>
        <v>0</v>
      </c>
      <c r="T20" s="304">
        <f t="shared" si="6"/>
        <v>32873</v>
      </c>
      <c r="U20" s="305">
        <v>32873</v>
      </c>
      <c r="V20" s="304">
        <f t="shared" si="7"/>
        <v>0</v>
      </c>
      <c r="W20" s="306">
        <f t="shared" si="8"/>
        <v>21500</v>
      </c>
      <c r="X20" s="305">
        <v>21500</v>
      </c>
      <c r="Y20" s="304">
        <f t="shared" si="9"/>
        <v>0</v>
      </c>
      <c r="Z20" s="307">
        <f t="shared" si="10"/>
        <v>25</v>
      </c>
      <c r="AA20" s="125">
        <v>240</v>
      </c>
      <c r="AB20" s="125">
        <v>121</v>
      </c>
      <c r="AC20" s="693">
        <f>Gen!AR25</f>
        <v>1217.6400000000001</v>
      </c>
    </row>
    <row r="21" spans="1:29" ht="20.100000000000001" customHeight="1">
      <c r="A21" s="686">
        <f>Gen!A26</f>
        <v>44181</v>
      </c>
      <c r="B21" s="681">
        <f>Gen!B26</f>
        <v>0</v>
      </c>
      <c r="C21" s="799">
        <v>13152.24</v>
      </c>
      <c r="D21" s="800">
        <v>21840.2</v>
      </c>
      <c r="E21" s="305"/>
      <c r="F21" s="305"/>
      <c r="G21" s="305"/>
      <c r="H21" s="305"/>
      <c r="I21" s="305">
        <v>31318.3</v>
      </c>
      <c r="J21" s="682">
        <v>20839.400000000001</v>
      </c>
      <c r="K21" s="692">
        <f t="shared" si="0"/>
        <v>35441</v>
      </c>
      <c r="L21" s="305">
        <v>35441</v>
      </c>
      <c r="M21" s="304">
        <f t="shared" si="1"/>
        <v>0</v>
      </c>
      <c r="N21" s="306">
        <f t="shared" si="2"/>
        <v>30577</v>
      </c>
      <c r="O21" s="305">
        <v>30577</v>
      </c>
      <c r="P21" s="304">
        <f t="shared" si="3"/>
        <v>0</v>
      </c>
      <c r="Q21" s="304">
        <f t="shared" si="4"/>
        <v>35840</v>
      </c>
      <c r="R21" s="125">
        <v>35840</v>
      </c>
      <c r="S21" s="304">
        <f t="shared" si="5"/>
        <v>0</v>
      </c>
      <c r="T21" s="304">
        <f t="shared" si="6"/>
        <v>32873</v>
      </c>
      <c r="U21" s="305">
        <v>32897</v>
      </c>
      <c r="V21" s="304">
        <f t="shared" si="7"/>
        <v>24</v>
      </c>
      <c r="W21" s="306">
        <f t="shared" si="8"/>
        <v>21500</v>
      </c>
      <c r="X21" s="305">
        <v>21500</v>
      </c>
      <c r="Y21" s="304">
        <f t="shared" si="9"/>
        <v>0</v>
      </c>
      <c r="Z21" s="307">
        <f t="shared" si="10"/>
        <v>24</v>
      </c>
      <c r="AA21" s="125">
        <v>230</v>
      </c>
      <c r="AB21" s="125">
        <v>120</v>
      </c>
      <c r="AC21" s="693">
        <f>Gen!AR26</f>
        <v>0</v>
      </c>
    </row>
    <row r="22" spans="1:29" ht="18.75" customHeight="1">
      <c r="A22" s="686">
        <f>Gen!A27</f>
        <v>44182</v>
      </c>
      <c r="B22" s="681">
        <f>Gen!B27</f>
        <v>0</v>
      </c>
      <c r="C22" s="799"/>
      <c r="D22" s="800"/>
      <c r="E22" s="305"/>
      <c r="F22" s="305"/>
      <c r="G22" s="305"/>
      <c r="H22" s="305"/>
      <c r="I22" s="305"/>
      <c r="J22" s="682"/>
      <c r="K22" s="692">
        <f t="shared" si="0"/>
        <v>35441</v>
      </c>
      <c r="L22" s="305"/>
      <c r="M22" s="304">
        <f t="shared" si="1"/>
        <v>-35441</v>
      </c>
      <c r="N22" s="306">
        <f t="shared" si="2"/>
        <v>30577</v>
      </c>
      <c r="O22" s="305"/>
      <c r="P22" s="304">
        <f t="shared" si="3"/>
        <v>-30577</v>
      </c>
      <c r="Q22" s="304">
        <f t="shared" si="4"/>
        <v>35840</v>
      </c>
      <c r="R22" s="305"/>
      <c r="S22" s="304">
        <f t="shared" si="5"/>
        <v>-35840</v>
      </c>
      <c r="T22" s="304">
        <f t="shared" si="6"/>
        <v>32897</v>
      </c>
      <c r="U22" s="305"/>
      <c r="V22" s="304">
        <f t="shared" si="7"/>
        <v>-32897</v>
      </c>
      <c r="W22" s="306">
        <f t="shared" si="8"/>
        <v>21500</v>
      </c>
      <c r="X22" s="305"/>
      <c r="Y22" s="304">
        <f t="shared" si="9"/>
        <v>-21500</v>
      </c>
      <c r="Z22" s="307">
        <f t="shared" si="10"/>
        <v>-156255</v>
      </c>
      <c r="AA22" s="125"/>
      <c r="AB22" s="125"/>
      <c r="AC22" s="693">
        <f>Gen!AR27</f>
        <v>0</v>
      </c>
    </row>
    <row r="23" spans="1:29" ht="20.100000000000001" customHeight="1">
      <c r="A23" s="686">
        <f>Gen!A28</f>
        <v>44183</v>
      </c>
      <c r="B23" s="681">
        <f>Gen!B28</f>
        <v>0</v>
      </c>
      <c r="C23" s="799"/>
      <c r="D23" s="800"/>
      <c r="E23" s="493"/>
      <c r="F23" s="305"/>
      <c r="G23" s="305"/>
      <c r="H23" s="305"/>
      <c r="I23" s="305"/>
      <c r="J23" s="682"/>
      <c r="K23" s="692">
        <f t="shared" si="0"/>
        <v>0</v>
      </c>
      <c r="L23" s="305"/>
      <c r="M23" s="304">
        <f t="shared" si="1"/>
        <v>0</v>
      </c>
      <c r="N23" s="306">
        <f t="shared" si="2"/>
        <v>0</v>
      </c>
      <c r="O23" s="305"/>
      <c r="P23" s="304">
        <f t="shared" si="3"/>
        <v>0</v>
      </c>
      <c r="Q23" s="304">
        <f t="shared" si="4"/>
        <v>0</v>
      </c>
      <c r="R23" s="30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93">
        <f>Gen!AR28</f>
        <v>0</v>
      </c>
    </row>
    <row r="24" spans="1:29" ht="20.100000000000001" customHeight="1">
      <c r="A24" s="686">
        <f>Gen!A29</f>
        <v>44184</v>
      </c>
      <c r="B24" s="681">
        <f>Gen!B29</f>
        <v>0</v>
      </c>
      <c r="C24" s="799"/>
      <c r="D24" s="800"/>
      <c r="E24" s="305"/>
      <c r="F24" s="305"/>
      <c r="G24" s="305"/>
      <c r="H24" s="305"/>
      <c r="I24" s="305"/>
      <c r="J24" s="682"/>
      <c r="K24" s="692">
        <f t="shared" si="0"/>
        <v>0</v>
      </c>
      <c r="L24" s="305"/>
      <c r="M24" s="304">
        <f t="shared" si="1"/>
        <v>0</v>
      </c>
      <c r="N24" s="306">
        <f t="shared" si="2"/>
        <v>0</v>
      </c>
      <c r="O24" s="305"/>
      <c r="P24" s="304">
        <f t="shared" si="3"/>
        <v>0</v>
      </c>
      <c r="Q24" s="304">
        <f t="shared" si="4"/>
        <v>0</v>
      </c>
      <c r="R24" s="30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93">
        <f>Gen!AR29</f>
        <v>0</v>
      </c>
    </row>
    <row r="25" spans="1:29" ht="18.75" customHeight="1">
      <c r="A25" s="686">
        <f>Gen!A30</f>
        <v>44185</v>
      </c>
      <c r="B25" s="681">
        <f>Gen!B30</f>
        <v>0</v>
      </c>
      <c r="C25" s="799"/>
      <c r="D25" s="800"/>
      <c r="E25" s="305"/>
      <c r="F25" s="305"/>
      <c r="G25" s="305"/>
      <c r="H25" s="305"/>
      <c r="I25" s="305"/>
      <c r="J25" s="682"/>
      <c r="K25" s="692">
        <f t="shared" si="0"/>
        <v>0</v>
      </c>
      <c r="L25" s="305"/>
      <c r="M25" s="304">
        <f t="shared" si="1"/>
        <v>0</v>
      </c>
      <c r="N25" s="306">
        <f t="shared" si="2"/>
        <v>0</v>
      </c>
      <c r="O25" s="30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93">
        <f>Gen!AR30</f>
        <v>0</v>
      </c>
    </row>
    <row r="26" spans="1:29" ht="20.100000000000001" customHeight="1">
      <c r="A26" s="686">
        <f>Gen!A31</f>
        <v>44186</v>
      </c>
      <c r="B26" s="681">
        <f>Gen!B31</f>
        <v>0</v>
      </c>
      <c r="C26" s="799"/>
      <c r="D26" s="800"/>
      <c r="E26" s="305"/>
      <c r="F26" s="305"/>
      <c r="G26" s="305"/>
      <c r="H26" s="305"/>
      <c r="I26" s="305"/>
      <c r="J26" s="682"/>
      <c r="K26" s="692">
        <f t="shared" si="0"/>
        <v>0</v>
      </c>
      <c r="L26" s="305"/>
      <c r="M26" s="304">
        <f t="shared" si="1"/>
        <v>0</v>
      </c>
      <c r="N26" s="306">
        <f t="shared" si="2"/>
        <v>0</v>
      </c>
      <c r="O26" s="30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93">
        <f>Gen!AR31</f>
        <v>0</v>
      </c>
    </row>
    <row r="27" spans="1:29" ht="20.100000000000001" customHeight="1">
      <c r="A27" s="686">
        <f>Gen!A32</f>
        <v>44187</v>
      </c>
      <c r="B27" s="681">
        <f>Gen!B32</f>
        <v>0</v>
      </c>
      <c r="C27" s="799"/>
      <c r="D27" s="800"/>
      <c r="E27" s="305"/>
      <c r="F27" s="305"/>
      <c r="G27" s="305"/>
      <c r="H27" s="305"/>
      <c r="I27" s="305"/>
      <c r="J27" s="682"/>
      <c r="K27" s="692">
        <f t="shared" si="0"/>
        <v>0</v>
      </c>
      <c r="L27" s="305"/>
      <c r="M27" s="304">
        <f t="shared" si="1"/>
        <v>0</v>
      </c>
      <c r="N27" s="306">
        <f t="shared" si="2"/>
        <v>0</v>
      </c>
      <c r="O27" s="30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93">
        <f>Gen!AR32</f>
        <v>0</v>
      </c>
    </row>
    <row r="28" spans="1:29" ht="20.100000000000001" customHeight="1">
      <c r="A28" s="686">
        <f>Gen!A33</f>
        <v>44188</v>
      </c>
      <c r="B28" s="681">
        <f>Gen!B33</f>
        <v>0</v>
      </c>
      <c r="C28" s="799"/>
      <c r="D28" s="800"/>
      <c r="E28" s="305"/>
      <c r="F28" s="305"/>
      <c r="G28" s="305"/>
      <c r="H28" s="305"/>
      <c r="I28" s="305"/>
      <c r="J28" s="682"/>
      <c r="K28" s="692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93">
        <f>Gen!AR33</f>
        <v>0</v>
      </c>
    </row>
    <row r="29" spans="1:29" ht="20.100000000000001" customHeight="1">
      <c r="A29" s="686">
        <f>Gen!A34</f>
        <v>44189</v>
      </c>
      <c r="B29" s="681">
        <f>Gen!B34</f>
        <v>0</v>
      </c>
      <c r="C29" s="799"/>
      <c r="D29" s="800"/>
      <c r="E29" s="305"/>
      <c r="F29" s="305"/>
      <c r="G29" s="305"/>
      <c r="H29" s="305"/>
      <c r="I29" s="305"/>
      <c r="J29" s="682"/>
      <c r="K29" s="692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93">
        <f>Gen!AR34</f>
        <v>0</v>
      </c>
    </row>
    <row r="30" spans="1:29" ht="20.100000000000001" customHeight="1">
      <c r="A30" s="686">
        <f>Gen!A35</f>
        <v>44190</v>
      </c>
      <c r="B30" s="681">
        <f>Gen!B35</f>
        <v>0</v>
      </c>
      <c r="C30" s="799"/>
      <c r="D30" s="800"/>
      <c r="E30" s="305"/>
      <c r="F30" s="305"/>
      <c r="G30" s="305"/>
      <c r="H30" s="305"/>
      <c r="I30" s="305"/>
      <c r="J30" s="682"/>
      <c r="K30" s="692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93">
        <f>Gen!AR35</f>
        <v>0</v>
      </c>
    </row>
    <row r="31" spans="1:29" ht="20.100000000000001" customHeight="1">
      <c r="A31" s="686">
        <f>Gen!A36</f>
        <v>44191</v>
      </c>
      <c r="B31" s="681">
        <f>Gen!B36</f>
        <v>0</v>
      </c>
      <c r="C31" s="799"/>
      <c r="D31" s="800"/>
      <c r="E31" s="305"/>
      <c r="F31" s="305"/>
      <c r="G31" s="305"/>
      <c r="H31" s="305"/>
      <c r="I31" s="305"/>
      <c r="J31" s="682"/>
      <c r="K31" s="692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93">
        <f>Gen!AR36</f>
        <v>0</v>
      </c>
    </row>
    <row r="32" spans="1:29" ht="20.100000000000001" customHeight="1">
      <c r="A32" s="686">
        <f>Gen!A37</f>
        <v>44192</v>
      </c>
      <c r="B32" s="681">
        <f>Gen!B37</f>
        <v>0</v>
      </c>
      <c r="C32" s="799"/>
      <c r="D32" s="800"/>
      <c r="E32" s="305"/>
      <c r="F32" s="305"/>
      <c r="G32" s="305"/>
      <c r="H32" s="305"/>
      <c r="I32" s="305"/>
      <c r="J32" s="682"/>
      <c r="K32" s="692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93">
        <f>Gen!AR37</f>
        <v>0</v>
      </c>
    </row>
    <row r="33" spans="1:29" ht="20.100000000000001" customHeight="1">
      <c r="A33" s="686">
        <f>Gen!A38</f>
        <v>44193</v>
      </c>
      <c r="B33" s="681">
        <f>Gen!B38</f>
        <v>0</v>
      </c>
      <c r="C33" s="799"/>
      <c r="D33" s="800"/>
      <c r="E33" s="305"/>
      <c r="F33" s="305"/>
      <c r="G33" s="305"/>
      <c r="H33" s="305"/>
      <c r="I33" s="305"/>
      <c r="J33" s="682"/>
      <c r="K33" s="692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93">
        <f>Gen!AR38</f>
        <v>0</v>
      </c>
    </row>
    <row r="34" spans="1:29" ht="20.100000000000001" customHeight="1">
      <c r="A34" s="686">
        <f>Gen!A39</f>
        <v>44194</v>
      </c>
      <c r="B34" s="681">
        <f>Gen!B39</f>
        <v>0</v>
      </c>
      <c r="C34" s="799"/>
      <c r="D34" s="800"/>
      <c r="E34" s="305"/>
      <c r="F34" s="305"/>
      <c r="G34" s="305"/>
      <c r="H34" s="305"/>
      <c r="I34" s="305"/>
      <c r="J34" s="682"/>
      <c r="K34" s="692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93">
        <f>Gen!AR39</f>
        <v>0</v>
      </c>
    </row>
    <row r="35" spans="1:29" ht="20.100000000000001" customHeight="1">
      <c r="A35" s="686">
        <f>Gen!A40</f>
        <v>44195</v>
      </c>
      <c r="B35" s="681">
        <f>Gen!B40</f>
        <v>0</v>
      </c>
      <c r="C35" s="799"/>
      <c r="D35" s="800"/>
      <c r="E35" s="305"/>
      <c r="F35" s="305"/>
      <c r="G35" s="305"/>
      <c r="H35" s="305"/>
      <c r="I35" s="305"/>
      <c r="J35" s="682"/>
      <c r="K35" s="692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93">
        <f>Gen!AR40</f>
        <v>0</v>
      </c>
    </row>
    <row r="36" spans="1:29" ht="20.100000000000001" customHeight="1" thickBot="1">
      <c r="A36" s="687">
        <f>Gen!A41</f>
        <v>44196</v>
      </c>
      <c r="B36" s="681">
        <f>Gen!B41</f>
        <v>0</v>
      </c>
      <c r="C36" s="799"/>
      <c r="D36" s="800"/>
      <c r="E36" s="305"/>
      <c r="F36" s="305"/>
      <c r="G36" s="305"/>
      <c r="H36" s="305"/>
      <c r="I36" s="305"/>
      <c r="J36" s="682"/>
      <c r="K36" s="692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3">
        <f>Gen!AR41</f>
        <v>0</v>
      </c>
    </row>
    <row r="37" spans="1:29" ht="21" customHeight="1" thickBot="1">
      <c r="A37" s="687">
        <f>Gen!A42</f>
        <v>44197</v>
      </c>
      <c r="B37" s="681">
        <f>Gen!B42</f>
        <v>0</v>
      </c>
      <c r="C37" s="683"/>
      <c r="D37" s="683"/>
      <c r="E37" s="683"/>
      <c r="F37" s="683"/>
      <c r="G37" s="683"/>
      <c r="H37" s="683"/>
      <c r="I37" s="683"/>
      <c r="J37" s="684"/>
      <c r="K37" s="694">
        <f t="shared" si="0"/>
        <v>0</v>
      </c>
      <c r="L37" s="683"/>
      <c r="M37" s="695">
        <f t="shared" si="1"/>
        <v>0</v>
      </c>
      <c r="N37" s="696">
        <f t="shared" si="2"/>
        <v>0</v>
      </c>
      <c r="O37" s="683"/>
      <c r="P37" s="695">
        <f t="shared" si="3"/>
        <v>0</v>
      </c>
      <c r="Q37" s="695">
        <f t="shared" si="4"/>
        <v>0</v>
      </c>
      <c r="R37" s="683"/>
      <c r="S37" s="695">
        <f t="shared" si="5"/>
        <v>0</v>
      </c>
      <c r="T37" s="695">
        <f t="shared" si="6"/>
        <v>0</v>
      </c>
      <c r="U37" s="683"/>
      <c r="V37" s="695">
        <f t="shared" si="7"/>
        <v>0</v>
      </c>
      <c r="W37" s="696">
        <f t="shared" si="8"/>
        <v>0</v>
      </c>
      <c r="X37" s="683"/>
      <c r="Y37" s="695">
        <f t="shared" si="9"/>
        <v>0</v>
      </c>
      <c r="Z37" s="697">
        <f t="shared" si="11"/>
        <v>0</v>
      </c>
      <c r="AA37" s="698"/>
      <c r="AB37" s="698"/>
      <c r="AC37" s="693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workbookViewId="0">
      <pane xSplit="1" topLeftCell="B1" activePane="topRight" state="frozen"/>
      <selection pane="topRight" activeCell="I30" sqref="I30"/>
    </sheetView>
  </sheetViews>
  <sheetFormatPr defaultColWidth="9.140625" defaultRowHeight="11.25"/>
  <cols>
    <col min="1" max="1" width="9.85546875" style="801" customWidth="1"/>
    <col min="2" max="2" width="9.5703125" style="801" customWidth="1"/>
    <col min="3" max="3" width="9" style="801" customWidth="1"/>
    <col min="4" max="4" width="9.140625" style="801" customWidth="1"/>
    <col min="5" max="5" width="10.140625" style="801" customWidth="1"/>
    <col min="6" max="6" width="10.7109375" style="801" customWidth="1"/>
    <col min="7" max="7" width="11.28515625" style="801" customWidth="1"/>
    <col min="8" max="8" width="9.7109375" style="801" customWidth="1"/>
    <col min="9" max="9" width="8" style="801" customWidth="1"/>
    <col min="10" max="10" width="8.7109375" style="801" customWidth="1"/>
    <col min="11" max="11" width="8.28515625" style="801" customWidth="1"/>
    <col min="12" max="12" width="10.140625" style="801" customWidth="1"/>
    <col min="13" max="13" width="10.85546875" style="801" customWidth="1"/>
    <col min="14" max="14" width="11.42578125" style="801" customWidth="1"/>
    <col min="15" max="15" width="10.140625" style="801" customWidth="1"/>
    <col min="16" max="16" width="11.140625" style="801" customWidth="1"/>
    <col min="17" max="17" width="10.7109375" style="801" customWidth="1"/>
    <col min="18" max="18" width="13.140625" style="801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81"/>
      <c r="B1" s="881"/>
    </row>
    <row r="2" spans="1:46" ht="26.25">
      <c r="A2" s="881"/>
      <c r="B2" s="881"/>
      <c r="D2" s="882" t="s">
        <v>321</v>
      </c>
      <c r="E2" s="882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883"/>
      <c r="V2" s="883"/>
      <c r="W2" s="883"/>
      <c r="X2" s="883"/>
      <c r="Y2" s="883"/>
      <c r="Z2" s="883"/>
      <c r="AA2" s="883"/>
      <c r="AB2" s="883"/>
      <c r="AC2" s="883"/>
      <c r="AD2" s="883"/>
      <c r="AE2" s="883"/>
      <c r="AF2" s="883"/>
      <c r="AG2" s="883"/>
      <c r="AH2" s="883"/>
      <c r="AI2" s="883"/>
      <c r="AJ2" s="883"/>
      <c r="AK2" s="883"/>
      <c r="AL2" s="883"/>
      <c r="AM2" s="883"/>
      <c r="AN2" s="883"/>
      <c r="AO2" s="883"/>
      <c r="AP2" s="883"/>
      <c r="AQ2" s="883"/>
      <c r="AR2" s="883"/>
      <c r="AS2" s="883"/>
      <c r="AT2" s="883"/>
    </row>
    <row r="3" spans="1:46" ht="12.75" customHeight="1">
      <c r="A3" s="881"/>
      <c r="B3" s="881"/>
      <c r="H3" s="884"/>
      <c r="I3" s="884"/>
      <c r="J3" s="884"/>
      <c r="K3" s="181"/>
      <c r="Q3" s="181"/>
    </row>
    <row r="4" spans="1:46" ht="11.25" customHeight="1">
      <c r="A4" s="881"/>
      <c r="B4" s="881"/>
      <c r="H4" s="884"/>
      <c r="I4" s="884"/>
      <c r="J4" s="884"/>
      <c r="K4" s="181"/>
      <c r="Q4" s="181"/>
    </row>
    <row r="5" spans="1:46" ht="12" thickBot="1">
      <c r="A5" s="881"/>
      <c r="B5" s="881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81"/>
      <c r="B6" s="881"/>
      <c r="C6" s="186"/>
      <c r="F6" s="885" t="s">
        <v>57</v>
      </c>
      <c r="G6" s="886"/>
      <c r="H6" s="886"/>
      <c r="I6" s="886"/>
      <c r="J6" s="886"/>
      <c r="K6" s="886"/>
      <c r="L6" s="887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8" t="s">
        <v>201</v>
      </c>
      <c r="G7" s="889"/>
      <c r="H7" s="889"/>
      <c r="I7" s="889"/>
      <c r="J7" s="889"/>
      <c r="K7" s="889"/>
      <c r="L7" s="890"/>
      <c r="M7" s="891" t="s">
        <v>40</v>
      </c>
      <c r="N7" s="892"/>
      <c r="O7" s="892"/>
      <c r="P7" s="892"/>
      <c r="Q7" s="892"/>
      <c r="R7" s="893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802" t="s">
        <v>2</v>
      </c>
      <c r="D8" s="803" t="s">
        <v>38</v>
      </c>
      <c r="E8" s="803" t="s">
        <v>96</v>
      </c>
      <c r="F8" s="804" t="s">
        <v>306</v>
      </c>
      <c r="G8" s="494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5"/>
      <c r="B9" s="194"/>
      <c r="C9" s="837">
        <f>[4]Gen!$D$43</f>
        <v>33526.22</v>
      </c>
      <c r="D9" s="805"/>
      <c r="E9" s="806"/>
      <c r="F9" s="807"/>
      <c r="G9" s="808"/>
      <c r="H9" s="557"/>
      <c r="I9" s="558"/>
      <c r="J9" s="559"/>
      <c r="K9" s="560"/>
      <c r="L9" s="561"/>
      <c r="M9" s="372"/>
      <c r="N9" s="373"/>
      <c r="O9" s="373"/>
      <c r="P9" s="373"/>
      <c r="Q9" s="373"/>
      <c r="R9" s="564"/>
      <c r="S9" s="570">
        <f t="shared" ref="S9:S44" si="0">SUM(F9:L9)</f>
        <v>0</v>
      </c>
      <c r="T9" s="571">
        <f t="shared" ref="T9:T44" si="1">SUM(M9:R9)</f>
        <v>0</v>
      </c>
      <c r="U9" s="572"/>
      <c r="V9" s="568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>
      <c r="A10" s="496"/>
      <c r="B10" s="576"/>
      <c r="C10" s="809"/>
      <c r="D10" s="810"/>
      <c r="E10" s="811"/>
      <c r="F10" s="299"/>
      <c r="G10" s="812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5"/>
      <c r="S10" s="573">
        <f t="shared" si="0"/>
        <v>0</v>
      </c>
      <c r="T10" s="218">
        <f t="shared" si="1"/>
        <v>0</v>
      </c>
      <c r="U10" s="574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9">
        <v>44166</v>
      </c>
      <c r="B11" s="577">
        <v>7.6999999999999999E-2</v>
      </c>
      <c r="C11" s="813">
        <f>SUM(C9+D11)</f>
        <v>33526.22</v>
      </c>
      <c r="D11" s="814"/>
      <c r="E11" s="811"/>
      <c r="F11" s="299"/>
      <c r="G11" s="812"/>
      <c r="H11" s="204"/>
      <c r="I11" s="205"/>
      <c r="J11" s="204"/>
      <c r="K11" s="204"/>
      <c r="L11" s="299">
        <v>971.78</v>
      </c>
      <c r="M11" s="206"/>
      <c r="N11" s="207"/>
      <c r="O11" s="206"/>
      <c r="P11" s="206"/>
      <c r="Q11" s="206"/>
      <c r="R11" s="565">
        <v>2356</v>
      </c>
      <c r="S11" s="573">
        <f t="shared" si="0"/>
        <v>971.78</v>
      </c>
      <c r="T11" s="218">
        <f t="shared" si="1"/>
        <v>2356</v>
      </c>
      <c r="U11" s="574">
        <f t="shared" ref="U11:U41" si="4">S11/T11</f>
        <v>0.41247028862478774</v>
      </c>
      <c r="V11" s="211"/>
      <c r="W11" s="219">
        <v>30.78</v>
      </c>
      <c r="X11" s="197">
        <v>10.16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40.94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1012.72</v>
      </c>
      <c r="AS11" s="221">
        <f>AR11*AU11</f>
        <v>0</v>
      </c>
      <c r="AT11" s="283">
        <f t="shared" ref="AT11:AT43" si="5">C11</f>
        <v>33526.22</v>
      </c>
    </row>
    <row r="12" spans="1:46" ht="13.5" customHeight="1">
      <c r="A12" s="579">
        <v>44167</v>
      </c>
      <c r="B12" s="577">
        <v>9.0999999999999998E-2</v>
      </c>
      <c r="C12" s="813">
        <f t="shared" ref="C12:C43" si="6">SUM(C11-AR11+D12)</f>
        <v>32513.5</v>
      </c>
      <c r="D12" s="814"/>
      <c r="E12" s="811"/>
      <c r="F12" s="528"/>
      <c r="G12" s="812"/>
      <c r="H12" s="204">
        <v>971.55</v>
      </c>
      <c r="I12" s="223"/>
      <c r="J12" s="204"/>
      <c r="K12" s="204"/>
      <c r="L12" s="299"/>
      <c r="M12" s="298"/>
      <c r="N12" s="206">
        <v>2299</v>
      </c>
      <c r="O12" s="206"/>
      <c r="P12" s="206"/>
      <c r="Q12" s="206"/>
      <c r="R12" s="565"/>
      <c r="S12" s="573">
        <f t="shared" si="0"/>
        <v>971.55</v>
      </c>
      <c r="T12" s="218">
        <f t="shared" si="1"/>
        <v>2299</v>
      </c>
      <c r="U12" s="574">
        <f t="shared" si="4"/>
        <v>0.42259678120922139</v>
      </c>
      <c r="V12" s="211"/>
      <c r="W12" s="219"/>
      <c r="X12" s="197">
        <v>42.28</v>
      </c>
      <c r="Y12" s="219"/>
      <c r="Z12" s="204">
        <v>57.39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99.67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1071.22</v>
      </c>
      <c r="AS12" s="221">
        <f t="shared" ref="AS12:AS44" si="7">AR12*AU12</f>
        <v>0</v>
      </c>
      <c r="AT12" s="283">
        <f t="shared" si="5"/>
        <v>32513.5</v>
      </c>
    </row>
    <row r="13" spans="1:46" ht="13.5" customHeight="1">
      <c r="A13" s="579">
        <v>44168</v>
      </c>
      <c r="B13" s="577">
        <v>1.2999999999999999E-2</v>
      </c>
      <c r="C13" s="813">
        <f t="shared" si="6"/>
        <v>31442.28</v>
      </c>
      <c r="D13" s="814"/>
      <c r="E13" s="811"/>
      <c r="F13" s="815"/>
      <c r="G13" s="812"/>
      <c r="H13" s="204"/>
      <c r="I13" s="223"/>
      <c r="J13" s="204"/>
      <c r="K13" s="204">
        <v>995.36</v>
      </c>
      <c r="L13" s="299"/>
      <c r="M13" s="298"/>
      <c r="N13" s="206"/>
      <c r="O13" s="206"/>
      <c r="P13" s="206"/>
      <c r="Q13" s="206">
        <v>2378</v>
      </c>
      <c r="R13" s="565"/>
      <c r="S13" s="573">
        <f t="shared" si="0"/>
        <v>995.36</v>
      </c>
      <c r="T13" s="218">
        <f t="shared" si="1"/>
        <v>2378</v>
      </c>
      <c r="U13" s="574">
        <f t="shared" si="4"/>
        <v>0.41857022708158115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/>
      <c r="AJ13" s="271">
        <f t="shared" si="3"/>
        <v>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995.36</v>
      </c>
      <c r="AS13" s="221">
        <f t="shared" si="7"/>
        <v>0</v>
      </c>
      <c r="AT13" s="283">
        <f t="shared" si="5"/>
        <v>31442.28</v>
      </c>
    </row>
    <row r="14" spans="1:46" ht="13.5" customHeight="1">
      <c r="A14" s="579">
        <v>44169</v>
      </c>
      <c r="B14" s="577">
        <v>1.2999999999999999E-2</v>
      </c>
      <c r="C14" s="813">
        <f t="shared" si="6"/>
        <v>30446.92</v>
      </c>
      <c r="D14" s="814"/>
      <c r="E14" s="811"/>
      <c r="F14" s="815"/>
      <c r="G14" s="812"/>
      <c r="H14" s="204"/>
      <c r="I14" s="223"/>
      <c r="J14" s="204"/>
      <c r="K14" s="204"/>
      <c r="L14" s="299">
        <v>904.89</v>
      </c>
      <c r="M14" s="298"/>
      <c r="N14" s="206"/>
      <c r="O14" s="206"/>
      <c r="P14" s="206"/>
      <c r="Q14" s="206"/>
      <c r="R14" s="565">
        <v>2173</v>
      </c>
      <c r="S14" s="573">
        <f t="shared" si="0"/>
        <v>904.89</v>
      </c>
      <c r="T14" s="218">
        <f t="shared" si="1"/>
        <v>2173</v>
      </c>
      <c r="U14" s="574">
        <f t="shared" si="4"/>
        <v>0.41642429820524618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904.89</v>
      </c>
      <c r="AS14" s="221">
        <f t="shared" si="7"/>
        <v>0</v>
      </c>
      <c r="AT14" s="283">
        <f t="shared" si="5"/>
        <v>30446.92</v>
      </c>
    </row>
    <row r="15" spans="1:46" ht="13.5" customHeight="1">
      <c r="A15" s="579">
        <v>44170</v>
      </c>
      <c r="B15" s="577"/>
      <c r="C15" s="813">
        <f t="shared" si="6"/>
        <v>47542.03</v>
      </c>
      <c r="D15" s="814">
        <v>18000</v>
      </c>
      <c r="E15" s="811">
        <v>18000</v>
      </c>
      <c r="F15" s="832" t="s">
        <v>318</v>
      </c>
      <c r="G15" s="812"/>
      <c r="H15" s="204">
        <v>928.04</v>
      </c>
      <c r="I15" s="223"/>
      <c r="J15" s="204"/>
      <c r="K15" s="204"/>
      <c r="L15" s="299"/>
      <c r="M15" s="298"/>
      <c r="N15" s="206">
        <v>2292</v>
      </c>
      <c r="O15" s="206"/>
      <c r="P15" s="206"/>
      <c r="Q15" s="206"/>
      <c r="R15" s="565"/>
      <c r="S15" s="573">
        <f t="shared" si="0"/>
        <v>928.04</v>
      </c>
      <c r="T15" s="218">
        <f t="shared" si="1"/>
        <v>2292</v>
      </c>
      <c r="U15" s="574">
        <f t="shared" si="4"/>
        <v>0.40490401396160558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928.04</v>
      </c>
      <c r="AS15" s="221">
        <f t="shared" si="7"/>
        <v>0</v>
      </c>
      <c r="AT15" s="283">
        <f t="shared" si="5"/>
        <v>47542.03</v>
      </c>
    </row>
    <row r="16" spans="1:46" ht="13.5" customHeight="1">
      <c r="A16" s="579">
        <v>44171</v>
      </c>
      <c r="B16" s="577"/>
      <c r="C16" s="813">
        <f t="shared" si="6"/>
        <v>46613.99</v>
      </c>
      <c r="D16" s="814"/>
      <c r="E16" s="811"/>
      <c r="F16" s="815"/>
      <c r="G16" s="812"/>
      <c r="H16" s="204"/>
      <c r="I16" s="223"/>
      <c r="J16" s="204"/>
      <c r="K16" s="204">
        <v>1012.39</v>
      </c>
      <c r="L16" s="299"/>
      <c r="M16" s="298"/>
      <c r="N16" s="206"/>
      <c r="O16" s="206"/>
      <c r="P16" s="206"/>
      <c r="Q16" s="206">
        <v>2375</v>
      </c>
      <c r="R16" s="565"/>
      <c r="S16" s="573">
        <f t="shared" si="0"/>
        <v>1012.39</v>
      </c>
      <c r="T16" s="218">
        <f t="shared" si="1"/>
        <v>2375</v>
      </c>
      <c r="U16" s="574">
        <f t="shared" si="4"/>
        <v>0.42626947368421053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>
        <v>47</v>
      </c>
      <c r="AI16" s="386"/>
      <c r="AJ16" s="271">
        <f t="shared" si="3"/>
        <v>47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1059.3899999999999</v>
      </c>
      <c r="AS16" s="221">
        <f t="shared" si="7"/>
        <v>0</v>
      </c>
      <c r="AT16" s="283">
        <f t="shared" si="5"/>
        <v>46613.99</v>
      </c>
    </row>
    <row r="17" spans="1:46" ht="13.5" customHeight="1">
      <c r="A17" s="579">
        <v>44172</v>
      </c>
      <c r="B17" s="577"/>
      <c r="C17" s="813">
        <f t="shared" si="6"/>
        <v>45554.6</v>
      </c>
      <c r="D17" s="814"/>
      <c r="E17" s="811"/>
      <c r="F17" s="815"/>
      <c r="G17" s="812"/>
      <c r="H17" s="204"/>
      <c r="I17" s="223"/>
      <c r="J17" s="204"/>
      <c r="K17" s="204"/>
      <c r="L17" s="299">
        <v>956.25</v>
      </c>
      <c r="M17" s="298"/>
      <c r="N17" s="206"/>
      <c r="O17" s="206"/>
      <c r="P17" s="206"/>
      <c r="Q17" s="206"/>
      <c r="R17" s="565">
        <v>2317</v>
      </c>
      <c r="S17" s="573">
        <f t="shared" si="0"/>
        <v>956.25</v>
      </c>
      <c r="T17" s="218">
        <f t="shared" si="1"/>
        <v>2317</v>
      </c>
      <c r="U17" s="574">
        <f t="shared" si="4"/>
        <v>0.41271040138109627</v>
      </c>
      <c r="V17" s="211"/>
      <c r="W17" s="219"/>
      <c r="X17" s="197"/>
      <c r="Y17" s="219"/>
      <c r="Z17" s="204">
        <v>54</v>
      </c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54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1010.25</v>
      </c>
      <c r="AS17" s="221">
        <f t="shared" si="7"/>
        <v>0</v>
      </c>
      <c r="AT17" s="283">
        <f t="shared" si="5"/>
        <v>45554.6</v>
      </c>
    </row>
    <row r="18" spans="1:46" ht="13.5" customHeight="1">
      <c r="A18" s="579">
        <v>44173</v>
      </c>
      <c r="B18" s="577"/>
      <c r="C18" s="813">
        <f t="shared" si="6"/>
        <v>44544.35</v>
      </c>
      <c r="D18" s="814"/>
      <c r="E18" s="811"/>
      <c r="F18" s="815"/>
      <c r="G18" s="812"/>
      <c r="H18" s="204">
        <v>1013.27</v>
      </c>
      <c r="I18" s="223"/>
      <c r="J18" s="204"/>
      <c r="K18" s="204"/>
      <c r="L18" s="299"/>
      <c r="M18" s="298"/>
      <c r="N18" s="206">
        <v>2410</v>
      </c>
      <c r="O18" s="206"/>
      <c r="P18" s="206"/>
      <c r="Q18" s="206"/>
      <c r="R18" s="565"/>
      <c r="S18" s="573">
        <f t="shared" si="0"/>
        <v>1013.27</v>
      </c>
      <c r="T18" s="218">
        <f t="shared" si="1"/>
        <v>2410</v>
      </c>
      <c r="U18" s="574">
        <f t="shared" si="4"/>
        <v>0.42044398340248962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>
        <v>82</v>
      </c>
      <c r="AI18" s="386"/>
      <c r="AJ18" s="271">
        <f t="shared" si="3"/>
        <v>82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1095.27</v>
      </c>
      <c r="AS18" s="221">
        <f t="shared" si="7"/>
        <v>0</v>
      </c>
      <c r="AT18" s="283">
        <f t="shared" si="5"/>
        <v>44544.35</v>
      </c>
    </row>
    <row r="19" spans="1:46" ht="13.5" customHeight="1">
      <c r="A19" s="579">
        <v>44174</v>
      </c>
      <c r="B19" s="577"/>
      <c r="C19" s="813">
        <f t="shared" si="6"/>
        <v>43449.08</v>
      </c>
      <c r="D19" s="814"/>
      <c r="E19" s="811"/>
      <c r="F19" s="815"/>
      <c r="G19" s="812"/>
      <c r="H19" s="204"/>
      <c r="I19" s="223"/>
      <c r="J19" s="204"/>
      <c r="K19" s="204">
        <v>1010.92</v>
      </c>
      <c r="L19" s="299"/>
      <c r="M19" s="298"/>
      <c r="N19" s="206"/>
      <c r="O19" s="206"/>
      <c r="P19" s="206"/>
      <c r="Q19" s="206">
        <v>2451</v>
      </c>
      <c r="R19" s="565"/>
      <c r="S19" s="573">
        <f t="shared" si="0"/>
        <v>1010.92</v>
      </c>
      <c r="T19" s="218">
        <f t="shared" si="1"/>
        <v>2451</v>
      </c>
      <c r="U19" s="574">
        <f t="shared" si="4"/>
        <v>0.41245206038351689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>
        <v>56</v>
      </c>
      <c r="AI19" s="386"/>
      <c r="AJ19" s="271">
        <f t="shared" si="3"/>
        <v>56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1066.92</v>
      </c>
      <c r="AS19" s="221">
        <f t="shared" si="7"/>
        <v>0</v>
      </c>
      <c r="AT19" s="283">
        <f t="shared" si="5"/>
        <v>43449.08</v>
      </c>
    </row>
    <row r="20" spans="1:46" ht="14.25">
      <c r="A20" s="579">
        <v>44175</v>
      </c>
      <c r="B20" s="577"/>
      <c r="C20" s="813">
        <f t="shared" si="6"/>
        <v>42382.16</v>
      </c>
      <c r="D20" s="814"/>
      <c r="E20" s="811"/>
      <c r="F20" s="815"/>
      <c r="G20" s="812">
        <v>1284.07</v>
      </c>
      <c r="H20" s="219"/>
      <c r="I20" s="223"/>
      <c r="J20" s="204"/>
      <c r="K20" s="204"/>
      <c r="L20" s="528"/>
      <c r="M20" s="298">
        <v>2929</v>
      </c>
      <c r="N20" s="206"/>
      <c r="O20" s="206"/>
      <c r="P20" s="206"/>
      <c r="Q20" s="206"/>
      <c r="R20" s="566"/>
      <c r="S20" s="573">
        <f t="shared" si="0"/>
        <v>1284.07</v>
      </c>
      <c r="T20" s="218">
        <f t="shared" si="1"/>
        <v>2929</v>
      </c>
      <c r="U20" s="574">
        <f t="shared" si="4"/>
        <v>0.43839877091157392</v>
      </c>
      <c r="V20" s="211"/>
      <c r="W20" s="219"/>
      <c r="X20" s="197"/>
      <c r="Y20" s="219"/>
      <c r="Z20" s="204">
        <v>62.2</v>
      </c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62.2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1346.27</v>
      </c>
      <c r="AS20" s="221">
        <f t="shared" si="7"/>
        <v>0</v>
      </c>
      <c r="AT20" s="283">
        <f t="shared" si="5"/>
        <v>42382.16</v>
      </c>
    </row>
    <row r="21" spans="1:46" ht="14.25">
      <c r="A21" s="579">
        <v>44176</v>
      </c>
      <c r="B21" s="577"/>
      <c r="C21" s="813">
        <f t="shared" si="6"/>
        <v>41035.890000000007</v>
      </c>
      <c r="D21" s="814"/>
      <c r="E21" s="811"/>
      <c r="F21" s="815"/>
      <c r="G21" s="812"/>
      <c r="H21" s="219"/>
      <c r="I21" s="223"/>
      <c r="J21" s="204"/>
      <c r="K21" s="204">
        <v>1217.45</v>
      </c>
      <c r="L21" s="497"/>
      <c r="M21" s="298"/>
      <c r="N21" s="298"/>
      <c r="O21" s="206"/>
      <c r="P21" s="206"/>
      <c r="Q21" s="206">
        <v>3090</v>
      </c>
      <c r="R21" s="565"/>
      <c r="S21" s="573">
        <f t="shared" si="0"/>
        <v>1217.45</v>
      </c>
      <c r="T21" s="218">
        <f t="shared" si="1"/>
        <v>3090</v>
      </c>
      <c r="U21" s="574">
        <f t="shared" si="4"/>
        <v>0.3939967637540453</v>
      </c>
      <c r="V21" s="211"/>
      <c r="W21" s="219"/>
      <c r="X21" s="197">
        <v>19.95</v>
      </c>
      <c r="Y21" s="219">
        <v>88.72</v>
      </c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108.67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1326.1200000000001</v>
      </c>
      <c r="AS21" s="221">
        <f t="shared" si="7"/>
        <v>0</v>
      </c>
      <c r="AT21" s="283">
        <f t="shared" si="5"/>
        <v>41035.890000000007</v>
      </c>
    </row>
    <row r="22" spans="1:46" ht="14.25">
      <c r="A22" s="579">
        <v>44177</v>
      </c>
      <c r="B22" s="577"/>
      <c r="C22" s="813">
        <f t="shared" si="6"/>
        <v>39709.770000000004</v>
      </c>
      <c r="D22" s="814"/>
      <c r="E22" s="811"/>
      <c r="F22" s="816"/>
      <c r="G22" s="812"/>
      <c r="H22" s="204"/>
      <c r="I22" s="223"/>
      <c r="J22" s="204"/>
      <c r="K22" s="204"/>
      <c r="L22" s="528">
        <v>1191.23</v>
      </c>
      <c r="M22" s="298"/>
      <c r="N22" s="298"/>
      <c r="O22" s="206"/>
      <c r="P22" s="206"/>
      <c r="Q22" s="206"/>
      <c r="R22" s="565">
        <v>3028</v>
      </c>
      <c r="S22" s="573">
        <f t="shared" si="0"/>
        <v>1191.23</v>
      </c>
      <c r="T22" s="218">
        <f t="shared" si="1"/>
        <v>3028</v>
      </c>
      <c r="U22" s="574">
        <f t="shared" si="4"/>
        <v>0.39340488771466314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1191.23</v>
      </c>
      <c r="AS22" s="221">
        <f t="shared" si="7"/>
        <v>0</v>
      </c>
      <c r="AT22" s="283">
        <f t="shared" si="5"/>
        <v>39709.770000000004</v>
      </c>
    </row>
    <row r="23" spans="1:46" ht="14.25">
      <c r="A23" s="579">
        <v>44178</v>
      </c>
      <c r="B23" s="577"/>
      <c r="C23" s="813">
        <f t="shared" si="6"/>
        <v>38518.54</v>
      </c>
      <c r="D23" s="814"/>
      <c r="E23" s="811"/>
      <c r="F23" s="816"/>
      <c r="G23" s="812">
        <v>1116.8399999999999</v>
      </c>
      <c r="H23" s="219"/>
      <c r="I23" s="223"/>
      <c r="J23" s="204"/>
      <c r="K23" s="204"/>
      <c r="L23" s="528"/>
      <c r="M23" s="298">
        <v>2694</v>
      </c>
      <c r="N23" s="206"/>
      <c r="O23" s="206"/>
      <c r="P23" s="206"/>
      <c r="Q23" s="206"/>
      <c r="R23" s="565"/>
      <c r="S23" s="573">
        <f t="shared" si="0"/>
        <v>1116.8399999999999</v>
      </c>
      <c r="T23" s="218">
        <f t="shared" si="1"/>
        <v>2694</v>
      </c>
      <c r="U23" s="574">
        <f t="shared" si="4"/>
        <v>0.41456570155902001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1116.8399999999999</v>
      </c>
      <c r="AS23" s="221">
        <f t="shared" si="7"/>
        <v>0</v>
      </c>
      <c r="AT23" s="283">
        <f t="shared" si="5"/>
        <v>38518.54</v>
      </c>
    </row>
    <row r="24" spans="1:46" ht="14.25">
      <c r="A24" s="579">
        <v>44179</v>
      </c>
      <c r="B24" s="577"/>
      <c r="C24" s="813">
        <f t="shared" si="6"/>
        <v>37401.700000000004</v>
      </c>
      <c r="D24" s="817"/>
      <c r="E24" s="811"/>
      <c r="F24" s="815"/>
      <c r="G24" s="812">
        <v>1125.03</v>
      </c>
      <c r="H24" s="204"/>
      <c r="I24" s="223"/>
      <c r="J24" s="204"/>
      <c r="K24" s="204"/>
      <c r="L24" s="528"/>
      <c r="M24" s="298">
        <v>2790</v>
      </c>
      <c r="N24" s="298"/>
      <c r="O24" s="206"/>
      <c r="P24" s="206"/>
      <c r="Q24" s="206"/>
      <c r="R24" s="565"/>
      <c r="S24" s="573">
        <f t="shared" si="0"/>
        <v>1125.03</v>
      </c>
      <c r="T24" s="218">
        <f t="shared" si="1"/>
        <v>2790</v>
      </c>
      <c r="U24" s="574">
        <f t="shared" si="4"/>
        <v>0.40323655913978496</v>
      </c>
      <c r="V24" s="211"/>
      <c r="W24" s="219"/>
      <c r="X24" s="197"/>
      <c r="Y24" s="219"/>
      <c r="Z24" s="204"/>
      <c r="AA24" s="273"/>
      <c r="AB24" s="219">
        <v>66.59</v>
      </c>
      <c r="AC24" s="219"/>
      <c r="AD24" s="219"/>
      <c r="AE24" s="219"/>
      <c r="AF24" s="219"/>
      <c r="AG24" s="219"/>
      <c r="AH24" s="219"/>
      <c r="AI24" s="386"/>
      <c r="AJ24" s="271">
        <f t="shared" si="3"/>
        <v>66.59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1191.6199999999999</v>
      </c>
      <c r="AS24" s="221">
        <f t="shared" si="7"/>
        <v>0</v>
      </c>
      <c r="AT24" s="283">
        <f t="shared" si="5"/>
        <v>37401.700000000004</v>
      </c>
    </row>
    <row r="25" spans="1:46" ht="14.25">
      <c r="A25" s="579">
        <v>44180</v>
      </c>
      <c r="B25" s="577"/>
      <c r="C25" s="813">
        <f t="shared" si="6"/>
        <v>36210.080000000002</v>
      </c>
      <c r="D25" s="814"/>
      <c r="E25" s="811"/>
      <c r="F25" s="815"/>
      <c r="G25" s="812"/>
      <c r="H25" s="219"/>
      <c r="I25" s="223"/>
      <c r="J25" s="204"/>
      <c r="K25" s="204">
        <v>1092.19</v>
      </c>
      <c r="L25" s="528"/>
      <c r="M25" s="298"/>
      <c r="N25" s="206"/>
      <c r="O25" s="206"/>
      <c r="P25" s="206"/>
      <c r="Q25" s="206">
        <v>2707</v>
      </c>
      <c r="R25" s="565"/>
      <c r="S25" s="573">
        <f t="shared" si="0"/>
        <v>1092.19</v>
      </c>
      <c r="T25" s="218">
        <f t="shared" si="1"/>
        <v>2707</v>
      </c>
      <c r="U25" s="574">
        <f t="shared" si="4"/>
        <v>0.40346878463243446</v>
      </c>
      <c r="V25" s="211"/>
      <c r="W25" s="219">
        <v>42.33</v>
      </c>
      <c r="X25" s="197">
        <v>47.07</v>
      </c>
      <c r="Y25" s="219"/>
      <c r="Z25" s="204">
        <v>36.049999999999997</v>
      </c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125.45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1217.6400000000001</v>
      </c>
      <c r="AS25" s="221">
        <f t="shared" si="7"/>
        <v>0</v>
      </c>
      <c r="AT25" s="283">
        <f t="shared" si="5"/>
        <v>36210.080000000002</v>
      </c>
    </row>
    <row r="26" spans="1:46" ht="14.25">
      <c r="A26" s="579">
        <v>44181</v>
      </c>
      <c r="B26" s="577"/>
      <c r="C26" s="813">
        <f t="shared" si="6"/>
        <v>34992.44</v>
      </c>
      <c r="D26" s="814"/>
      <c r="E26" s="811"/>
      <c r="F26" s="816"/>
      <c r="G26" s="812"/>
      <c r="H26" s="219"/>
      <c r="I26" s="223"/>
      <c r="J26" s="204"/>
      <c r="K26" s="204"/>
      <c r="L26" s="528"/>
      <c r="M26" s="298"/>
      <c r="N26" s="206"/>
      <c r="O26" s="206"/>
      <c r="P26" s="206"/>
      <c r="Q26" s="206"/>
      <c r="R26" s="565"/>
      <c r="S26" s="573">
        <f t="shared" si="0"/>
        <v>0</v>
      </c>
      <c r="T26" s="218">
        <f t="shared" si="1"/>
        <v>0</v>
      </c>
      <c r="U26" s="574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34992.44</v>
      </c>
    </row>
    <row r="27" spans="1:46" ht="14.25">
      <c r="A27" s="579">
        <v>44182</v>
      </c>
      <c r="B27" s="577"/>
      <c r="C27" s="813">
        <f t="shared" si="6"/>
        <v>34992.44</v>
      </c>
      <c r="D27" s="814"/>
      <c r="E27" s="811"/>
      <c r="F27" s="815"/>
      <c r="G27" s="812"/>
      <c r="H27" s="219"/>
      <c r="I27" s="223"/>
      <c r="J27" s="204"/>
      <c r="K27" s="204"/>
      <c r="L27" s="528"/>
      <c r="M27" s="298"/>
      <c r="N27" s="206"/>
      <c r="O27" s="206"/>
      <c r="P27" s="206"/>
      <c r="Q27" s="206"/>
      <c r="R27" s="565"/>
      <c r="S27" s="573">
        <f t="shared" si="0"/>
        <v>0</v>
      </c>
      <c r="T27" s="218">
        <f t="shared" si="1"/>
        <v>0</v>
      </c>
      <c r="U27" s="574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34992.44</v>
      </c>
    </row>
    <row r="28" spans="1:46" ht="14.25">
      <c r="A28" s="579">
        <v>44183</v>
      </c>
      <c r="B28" s="577"/>
      <c r="C28" s="813">
        <f t="shared" si="6"/>
        <v>34992.44</v>
      </c>
      <c r="D28" s="814"/>
      <c r="E28" s="811"/>
      <c r="F28" s="815"/>
      <c r="G28" s="812"/>
      <c r="H28" s="219"/>
      <c r="I28" s="205"/>
      <c r="J28" s="204"/>
      <c r="K28" s="204"/>
      <c r="L28" s="528"/>
      <c r="M28" s="298"/>
      <c r="N28" s="206"/>
      <c r="O28" s="206"/>
      <c r="P28" s="206"/>
      <c r="Q28" s="206"/>
      <c r="R28" s="565"/>
      <c r="S28" s="573">
        <f t="shared" si="0"/>
        <v>0</v>
      </c>
      <c r="T28" s="218">
        <f t="shared" si="1"/>
        <v>0</v>
      </c>
      <c r="U28" s="574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34992.44</v>
      </c>
    </row>
    <row r="29" spans="1:46" ht="14.25">
      <c r="A29" s="579">
        <v>44184</v>
      </c>
      <c r="B29" s="577"/>
      <c r="C29" s="813">
        <f t="shared" si="6"/>
        <v>34992.44</v>
      </c>
      <c r="D29" s="814"/>
      <c r="E29" s="811">
        <v>15000</v>
      </c>
      <c r="F29" s="833" t="s">
        <v>319</v>
      </c>
      <c r="G29" s="812"/>
      <c r="H29" s="219"/>
      <c r="I29" s="205"/>
      <c r="J29" s="204"/>
      <c r="K29" s="204"/>
      <c r="L29" s="528"/>
      <c r="M29" s="298"/>
      <c r="N29" s="206"/>
      <c r="O29" s="206"/>
      <c r="P29" s="206"/>
      <c r="Q29" s="206"/>
      <c r="R29" s="565"/>
      <c r="S29" s="573">
        <f t="shared" si="0"/>
        <v>0</v>
      </c>
      <c r="T29" s="218">
        <f t="shared" si="1"/>
        <v>0</v>
      </c>
      <c r="U29" s="574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34992.44</v>
      </c>
    </row>
    <row r="30" spans="1:46" ht="14.25">
      <c r="A30" s="579">
        <v>44185</v>
      </c>
      <c r="B30" s="577"/>
      <c r="C30" s="813">
        <f t="shared" si="6"/>
        <v>34992.44</v>
      </c>
      <c r="D30" s="814"/>
      <c r="E30" s="811"/>
      <c r="F30" s="815"/>
      <c r="G30" s="812"/>
      <c r="H30" s="219"/>
      <c r="I30" s="205"/>
      <c r="J30" s="204"/>
      <c r="K30" s="204"/>
      <c r="L30" s="528"/>
      <c r="M30" s="298"/>
      <c r="N30" s="206"/>
      <c r="O30" s="206"/>
      <c r="P30" s="206"/>
      <c r="Q30" s="206"/>
      <c r="R30" s="565"/>
      <c r="S30" s="573">
        <f t="shared" si="0"/>
        <v>0</v>
      </c>
      <c r="T30" s="218">
        <f t="shared" si="1"/>
        <v>0</v>
      </c>
      <c r="U30" s="574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34992.44</v>
      </c>
    </row>
    <row r="31" spans="1:46" ht="14.25">
      <c r="A31" s="579">
        <v>44186</v>
      </c>
      <c r="B31" s="577"/>
      <c r="C31" s="813">
        <f t="shared" si="6"/>
        <v>34992.44</v>
      </c>
      <c r="D31" s="814"/>
      <c r="E31" s="811"/>
      <c r="F31" s="815"/>
      <c r="G31" s="812"/>
      <c r="H31" s="219"/>
      <c r="I31" s="205"/>
      <c r="J31" s="204"/>
      <c r="K31" s="204"/>
      <c r="L31" s="528"/>
      <c r="M31" s="298"/>
      <c r="N31" s="206"/>
      <c r="O31" s="206"/>
      <c r="P31" s="206"/>
      <c r="Q31" s="206"/>
      <c r="R31" s="565"/>
      <c r="S31" s="573">
        <f t="shared" si="0"/>
        <v>0</v>
      </c>
      <c r="T31" s="218">
        <f t="shared" si="1"/>
        <v>0</v>
      </c>
      <c r="U31" s="574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34992.44</v>
      </c>
    </row>
    <row r="32" spans="1:46" ht="14.25">
      <c r="A32" s="579">
        <v>44187</v>
      </c>
      <c r="B32" s="577"/>
      <c r="C32" s="813">
        <f t="shared" si="6"/>
        <v>34992.44</v>
      </c>
      <c r="D32" s="814"/>
      <c r="E32" s="811"/>
      <c r="F32" s="815"/>
      <c r="G32" s="812"/>
      <c r="H32" s="219"/>
      <c r="I32" s="205"/>
      <c r="J32" s="204"/>
      <c r="K32" s="204"/>
      <c r="L32" s="528"/>
      <c r="M32" s="298"/>
      <c r="N32" s="206"/>
      <c r="O32" s="206"/>
      <c r="P32" s="206"/>
      <c r="Q32" s="206"/>
      <c r="R32" s="565"/>
      <c r="S32" s="573">
        <f t="shared" si="0"/>
        <v>0</v>
      </c>
      <c r="T32" s="218">
        <f t="shared" si="1"/>
        <v>0</v>
      </c>
      <c r="U32" s="574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34992.44</v>
      </c>
    </row>
    <row r="33" spans="1:46" ht="14.25">
      <c r="A33" s="579">
        <v>44188</v>
      </c>
      <c r="B33" s="577"/>
      <c r="C33" s="813">
        <f t="shared" si="6"/>
        <v>34992.44</v>
      </c>
      <c r="D33" s="814"/>
      <c r="E33" s="811"/>
      <c r="F33" s="815"/>
      <c r="G33" s="812"/>
      <c r="H33" s="219"/>
      <c r="I33" s="205"/>
      <c r="J33" s="204"/>
      <c r="K33" s="204"/>
      <c r="L33" s="528"/>
      <c r="M33" s="298"/>
      <c r="N33" s="206"/>
      <c r="O33" s="206"/>
      <c r="P33" s="206"/>
      <c r="Q33" s="206"/>
      <c r="R33" s="565"/>
      <c r="S33" s="573">
        <f t="shared" si="0"/>
        <v>0</v>
      </c>
      <c r="T33" s="218">
        <f t="shared" si="1"/>
        <v>0</v>
      </c>
      <c r="U33" s="574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34992.44</v>
      </c>
    </row>
    <row r="34" spans="1:46" ht="14.25">
      <c r="A34" s="579">
        <v>44189</v>
      </c>
      <c r="B34" s="577"/>
      <c r="C34" s="813">
        <f t="shared" si="6"/>
        <v>34992.44</v>
      </c>
      <c r="D34" s="814"/>
      <c r="E34" s="811"/>
      <c r="F34" s="815"/>
      <c r="G34" s="812"/>
      <c r="H34" s="204"/>
      <c r="I34" s="204"/>
      <c r="J34" s="204"/>
      <c r="K34" s="204"/>
      <c r="L34" s="528"/>
      <c r="M34" s="298"/>
      <c r="N34" s="206"/>
      <c r="O34" s="206"/>
      <c r="P34" s="206"/>
      <c r="Q34" s="206"/>
      <c r="R34" s="565"/>
      <c r="S34" s="573">
        <f t="shared" si="0"/>
        <v>0</v>
      </c>
      <c r="T34" s="218">
        <f t="shared" si="1"/>
        <v>0</v>
      </c>
      <c r="U34" s="574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34992.44</v>
      </c>
    </row>
    <row r="35" spans="1:46" ht="14.25">
      <c r="A35" s="579">
        <v>44190</v>
      </c>
      <c r="B35" s="577"/>
      <c r="C35" s="813">
        <f t="shared" si="6"/>
        <v>34992.44</v>
      </c>
      <c r="D35" s="814"/>
      <c r="E35" s="811"/>
      <c r="F35" s="815"/>
      <c r="G35" s="812"/>
      <c r="H35" s="219"/>
      <c r="I35" s="205"/>
      <c r="J35" s="204"/>
      <c r="K35" s="204"/>
      <c r="L35" s="528"/>
      <c r="M35" s="298"/>
      <c r="N35" s="206"/>
      <c r="O35" s="206"/>
      <c r="P35" s="206"/>
      <c r="Q35" s="206"/>
      <c r="R35" s="565"/>
      <c r="S35" s="573">
        <f t="shared" si="0"/>
        <v>0</v>
      </c>
      <c r="T35" s="218">
        <f t="shared" si="1"/>
        <v>0</v>
      </c>
      <c r="U35" s="574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34992.44</v>
      </c>
    </row>
    <row r="36" spans="1:46" ht="14.25">
      <c r="A36" s="579">
        <v>44191</v>
      </c>
      <c r="B36" s="577"/>
      <c r="C36" s="813">
        <f t="shared" si="6"/>
        <v>34992.44</v>
      </c>
      <c r="D36" s="814"/>
      <c r="E36" s="811">
        <v>10000</v>
      </c>
      <c r="F36" s="832" t="s">
        <v>318</v>
      </c>
      <c r="G36" s="812"/>
      <c r="H36" s="219"/>
      <c r="I36" s="205"/>
      <c r="J36" s="204"/>
      <c r="K36" s="204"/>
      <c r="L36" s="528"/>
      <c r="M36" s="298"/>
      <c r="N36" s="206"/>
      <c r="O36" s="206"/>
      <c r="P36" s="206"/>
      <c r="Q36" s="206"/>
      <c r="R36" s="565"/>
      <c r="S36" s="573">
        <f t="shared" si="0"/>
        <v>0</v>
      </c>
      <c r="T36" s="218">
        <f t="shared" si="1"/>
        <v>0</v>
      </c>
      <c r="U36" s="574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34992.44</v>
      </c>
    </row>
    <row r="37" spans="1:46" ht="14.25">
      <c r="A37" s="579">
        <v>44192</v>
      </c>
      <c r="B37" s="577"/>
      <c r="C37" s="813">
        <f t="shared" si="6"/>
        <v>34992.44</v>
      </c>
      <c r="D37" s="814"/>
      <c r="E37" s="811"/>
      <c r="F37" s="528"/>
      <c r="G37" s="812"/>
      <c r="H37" s="219"/>
      <c r="I37" s="205"/>
      <c r="J37" s="204"/>
      <c r="K37" s="204"/>
      <c r="L37" s="528"/>
      <c r="M37" s="298"/>
      <c r="N37" s="206"/>
      <c r="O37" s="206"/>
      <c r="P37" s="206"/>
      <c r="Q37" s="206"/>
      <c r="R37" s="206"/>
      <c r="S37" s="573">
        <f t="shared" si="0"/>
        <v>0</v>
      </c>
      <c r="T37" s="218">
        <f t="shared" si="1"/>
        <v>0</v>
      </c>
      <c r="U37" s="574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2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34992.44</v>
      </c>
    </row>
    <row r="38" spans="1:46" ht="14.25">
      <c r="A38" s="579">
        <v>44193</v>
      </c>
      <c r="B38" s="577"/>
      <c r="C38" s="813">
        <f t="shared" si="6"/>
        <v>34992.44</v>
      </c>
      <c r="D38" s="814"/>
      <c r="E38" s="811"/>
      <c r="F38" s="528"/>
      <c r="G38" s="812"/>
      <c r="H38" s="219"/>
      <c r="I38" s="205"/>
      <c r="J38" s="204"/>
      <c r="K38" s="204"/>
      <c r="L38" s="528"/>
      <c r="M38" s="298"/>
      <c r="N38" s="206"/>
      <c r="O38" s="206"/>
      <c r="P38" s="206"/>
      <c r="Q38" s="206"/>
      <c r="R38" s="206"/>
      <c r="S38" s="573">
        <f t="shared" si="0"/>
        <v>0</v>
      </c>
      <c r="T38" s="218">
        <f t="shared" si="1"/>
        <v>0</v>
      </c>
      <c r="U38" s="574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2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34992.44</v>
      </c>
    </row>
    <row r="39" spans="1:46" ht="14.25">
      <c r="A39" s="579">
        <v>44194</v>
      </c>
      <c r="B39" s="577"/>
      <c r="C39" s="813">
        <f t="shared" si="6"/>
        <v>34992.44</v>
      </c>
      <c r="D39" s="814"/>
      <c r="E39" s="811"/>
      <c r="F39" s="528"/>
      <c r="G39" s="812"/>
      <c r="H39" s="219"/>
      <c r="I39" s="227"/>
      <c r="J39" s="204"/>
      <c r="K39" s="204"/>
      <c r="L39" s="528"/>
      <c r="M39" s="298"/>
      <c r="N39" s="206"/>
      <c r="O39" s="228"/>
      <c r="P39" s="206"/>
      <c r="Q39" s="206"/>
      <c r="R39" s="565"/>
      <c r="S39" s="573">
        <f t="shared" si="0"/>
        <v>0</v>
      </c>
      <c r="T39" s="218">
        <f t="shared" si="1"/>
        <v>0</v>
      </c>
      <c r="U39" s="574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2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34992.44</v>
      </c>
    </row>
    <row r="40" spans="1:46" ht="14.25">
      <c r="A40" s="579">
        <v>44195</v>
      </c>
      <c r="B40" s="577"/>
      <c r="C40" s="813">
        <f t="shared" si="6"/>
        <v>34992.44</v>
      </c>
      <c r="D40" s="814"/>
      <c r="E40" s="811"/>
      <c r="F40" s="299"/>
      <c r="G40" s="812"/>
      <c r="H40" s="219"/>
      <c r="I40" s="205"/>
      <c r="J40" s="204"/>
      <c r="K40" s="204"/>
      <c r="L40" s="528"/>
      <c r="M40" s="298"/>
      <c r="N40" s="206"/>
      <c r="O40" s="206"/>
      <c r="P40" s="206"/>
      <c r="Q40" s="206"/>
      <c r="R40" s="565"/>
      <c r="S40" s="573">
        <f t="shared" si="0"/>
        <v>0</v>
      </c>
      <c r="T40" s="218">
        <f t="shared" si="1"/>
        <v>0</v>
      </c>
      <c r="U40" s="574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2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34992.44</v>
      </c>
    </row>
    <row r="41" spans="1:46" ht="14.25">
      <c r="A41" s="579">
        <v>44196</v>
      </c>
      <c r="B41" s="577"/>
      <c r="C41" s="813">
        <f t="shared" si="6"/>
        <v>34992.44</v>
      </c>
      <c r="D41" s="814"/>
      <c r="E41" s="811"/>
      <c r="F41" s="299"/>
      <c r="G41" s="812"/>
      <c r="H41" s="204"/>
      <c r="I41" s="204"/>
      <c r="J41" s="204"/>
      <c r="K41" s="204"/>
      <c r="L41" s="528"/>
      <c r="M41" s="298"/>
      <c r="N41" s="206"/>
      <c r="O41" s="206"/>
      <c r="P41" s="206"/>
      <c r="Q41" s="206"/>
      <c r="R41" s="565"/>
      <c r="S41" s="573">
        <f t="shared" si="0"/>
        <v>0</v>
      </c>
      <c r="T41" s="218">
        <f t="shared" si="1"/>
        <v>0</v>
      </c>
      <c r="U41" s="574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2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34992.44</v>
      </c>
    </row>
    <row r="42" spans="1:46" ht="14.25">
      <c r="A42" s="579">
        <v>44197</v>
      </c>
      <c r="B42" s="578"/>
      <c r="C42" s="813">
        <f t="shared" si="6"/>
        <v>34992.44</v>
      </c>
      <c r="D42" s="818"/>
      <c r="E42" s="811"/>
      <c r="F42" s="299"/>
      <c r="G42" s="812"/>
      <c r="H42" s="204"/>
      <c r="I42" s="204"/>
      <c r="J42" s="204"/>
      <c r="K42" s="204"/>
      <c r="L42" s="528"/>
      <c r="M42" s="298"/>
      <c r="N42" s="206"/>
      <c r="O42" s="206"/>
      <c r="P42" s="206"/>
      <c r="Q42" s="206"/>
      <c r="R42" s="565"/>
      <c r="S42" s="573">
        <f t="shared" si="0"/>
        <v>0</v>
      </c>
      <c r="T42" s="218">
        <f t="shared" si="1"/>
        <v>0</v>
      </c>
      <c r="U42" s="574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2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34992.44</v>
      </c>
    </row>
    <row r="43" spans="1:46" ht="14.25">
      <c r="A43" s="498" t="s">
        <v>25</v>
      </c>
      <c r="B43" s="471">
        <f>AVERAGE(B11:B42)</f>
        <v>4.8500000000000001E-2</v>
      </c>
      <c r="C43" s="809">
        <f t="shared" si="6"/>
        <v>34992.44</v>
      </c>
      <c r="D43" s="818"/>
      <c r="E43" s="811"/>
      <c r="F43" s="299"/>
      <c r="G43" s="516"/>
      <c r="H43" s="204"/>
      <c r="I43" s="204"/>
      <c r="J43" s="204"/>
      <c r="K43" s="204"/>
      <c r="L43" s="528"/>
      <c r="M43" s="298"/>
      <c r="N43" s="206"/>
      <c r="O43" s="206"/>
      <c r="P43" s="206"/>
      <c r="Q43" s="206"/>
      <c r="R43" s="565"/>
      <c r="S43" s="573">
        <f t="shared" si="0"/>
        <v>0</v>
      </c>
      <c r="T43" s="218">
        <f t="shared" si="1"/>
        <v>0</v>
      </c>
      <c r="U43" s="574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2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34992.44</v>
      </c>
    </row>
    <row r="44" spans="1:46" ht="15" thickBot="1">
      <c r="A44" s="499"/>
      <c r="B44" s="500"/>
      <c r="C44" s="819"/>
      <c r="D44" s="820"/>
      <c r="E44" s="821"/>
      <c r="F44" s="822"/>
      <c r="G44" s="823"/>
      <c r="H44" s="562"/>
      <c r="I44" s="562"/>
      <c r="J44" s="562"/>
      <c r="K44" s="562"/>
      <c r="L44" s="563"/>
      <c r="M44" s="297"/>
      <c r="N44" s="195"/>
      <c r="O44" s="195"/>
      <c r="P44" s="195"/>
      <c r="Q44" s="195"/>
      <c r="R44" s="567"/>
      <c r="S44" s="573">
        <f t="shared" si="0"/>
        <v>0</v>
      </c>
      <c r="T44" s="218">
        <f t="shared" si="1"/>
        <v>0</v>
      </c>
      <c r="U44" s="575"/>
      <c r="V44" s="569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8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5"/>
      <c r="B45" s="555"/>
      <c r="C45" s="824"/>
      <c r="D45" s="308">
        <f>SUM(D11:D44)</f>
        <v>18000</v>
      </c>
      <c r="E45" s="313">
        <f>SUM(E11:E42)</f>
        <v>43000</v>
      </c>
      <c r="F45" s="825">
        <f t="shared" ref="F45:O45" si="8">SUM(F11:F44)</f>
        <v>0</v>
      </c>
      <c r="G45" s="313">
        <f t="shared" si="8"/>
        <v>3525.9399999999996</v>
      </c>
      <c r="H45" s="308">
        <f t="shared" si="8"/>
        <v>2912.8599999999997</v>
      </c>
      <c r="I45" s="313">
        <f t="shared" si="8"/>
        <v>0</v>
      </c>
      <c r="J45" s="308">
        <f t="shared" si="8"/>
        <v>0</v>
      </c>
      <c r="K45" s="313">
        <f t="shared" si="8"/>
        <v>5328.3099999999995</v>
      </c>
      <c r="L45" s="308">
        <f t="shared" si="8"/>
        <v>4024.15</v>
      </c>
      <c r="M45" s="313">
        <f t="shared" si="8"/>
        <v>8413</v>
      </c>
      <c r="N45" s="556">
        <f t="shared" si="8"/>
        <v>7001</v>
      </c>
      <c r="O45" s="313">
        <f t="shared" si="8"/>
        <v>0</v>
      </c>
      <c r="P45" s="308">
        <f>SUM(P11:P43)</f>
        <v>0</v>
      </c>
      <c r="Q45" s="313">
        <f>SUM(Q11:Q44)</f>
        <v>13001</v>
      </c>
      <c r="R45" s="308">
        <f>SUM(R11:R44)</f>
        <v>9874</v>
      </c>
      <c r="S45" s="554">
        <f>SUM(G45:L45)</f>
        <v>15791.259999999998</v>
      </c>
      <c r="T45" s="308">
        <f>SUM(M45:R45)</f>
        <v>38289</v>
      </c>
      <c r="U45" s="234" t="e">
        <f>SUM(U11:U42)</f>
        <v>#DIV/0!</v>
      </c>
      <c r="V45" s="549">
        <f t="shared" ref="V45:AB45" si="9">SUM(V9:V44)</f>
        <v>0</v>
      </c>
      <c r="W45" s="234">
        <f t="shared" si="9"/>
        <v>73.11</v>
      </c>
      <c r="X45" s="549">
        <f t="shared" si="9"/>
        <v>119.46000000000001</v>
      </c>
      <c r="Y45" s="234">
        <f t="shared" si="9"/>
        <v>88.72</v>
      </c>
      <c r="Z45" s="549">
        <f t="shared" si="9"/>
        <v>209.64</v>
      </c>
      <c r="AA45" s="234">
        <f t="shared" si="9"/>
        <v>0</v>
      </c>
      <c r="AB45" s="549">
        <f t="shared" si="9"/>
        <v>66.59</v>
      </c>
      <c r="AC45" s="234">
        <f>SUM(AC10:AC44)</f>
        <v>0</v>
      </c>
      <c r="AD45" s="549">
        <f>SUM(AD10:AD44)</f>
        <v>0</v>
      </c>
      <c r="AE45" s="234">
        <f>SUM(AE9:AE44)</f>
        <v>0</v>
      </c>
      <c r="AF45" s="549">
        <f>SUM(AF9:AF44)</f>
        <v>0</v>
      </c>
      <c r="AG45" s="234">
        <f>SUM(AG9:AG44)</f>
        <v>0</v>
      </c>
      <c r="AH45" s="549">
        <f>SUM(AH9:AH43)</f>
        <v>185</v>
      </c>
      <c r="AI45" s="234">
        <f>SUM(AI9:AI39)</f>
        <v>0</v>
      </c>
      <c r="AJ45" s="549">
        <f>SUM(AJ9:AJ44)</f>
        <v>742.5200000000001</v>
      </c>
      <c r="AK45" s="234"/>
      <c r="AL45" s="234"/>
      <c r="AM45" s="234"/>
      <c r="AN45" s="234"/>
      <c r="AO45" s="234"/>
      <c r="AP45" s="234"/>
      <c r="AQ45" s="550"/>
      <c r="AR45" s="551">
        <f>SUM(AR11:AR43)</f>
        <v>16533.78</v>
      </c>
      <c r="AS45" s="552">
        <f>SUM(AS11:AS44)</f>
        <v>0</v>
      </c>
      <c r="AT45" s="553"/>
    </row>
    <row r="46" spans="1:46" ht="14.25" thickBot="1">
      <c r="A46" s="801" t="s">
        <v>67</v>
      </c>
      <c r="S46" s="606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6">
        <f>AVERAGE(S11:S41)</f>
        <v>509.39548387096778</v>
      </c>
      <c r="T47" s="316">
        <f>S45*2315</f>
        <v>36556766.899999999</v>
      </c>
      <c r="U47" s="317" t="s">
        <v>244</v>
      </c>
      <c r="AR47" s="525">
        <f>AR45*2143</f>
        <v>35431890.539999999</v>
      </c>
      <c r="AS47" s="524" t="s">
        <v>244</v>
      </c>
      <c r="AT47" s="180"/>
    </row>
    <row r="48" spans="1:46" ht="14.25" thickBot="1">
      <c r="A48" s="324" t="s">
        <v>247</v>
      </c>
      <c r="B48" s="238"/>
      <c r="F48" s="801" t="s">
        <v>253</v>
      </c>
      <c r="T48" s="316">
        <f>T47/2289</f>
        <v>15970.627741371778</v>
      </c>
      <c r="U48" s="317" t="s">
        <v>245</v>
      </c>
      <c r="W48" s="191"/>
      <c r="X48" s="191"/>
      <c r="Y48" s="191"/>
      <c r="Z48" s="191"/>
      <c r="AA48" s="191"/>
      <c r="AR48" s="316">
        <f>AR47/2289</f>
        <v>15479.200760157273</v>
      </c>
      <c r="AS48" s="526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4" t="s">
        <v>241</v>
      </c>
      <c r="C50" s="895"/>
      <c r="D50" s="895"/>
      <c r="E50" s="895"/>
      <c r="F50" s="896"/>
      <c r="H50" s="872" t="s">
        <v>213</v>
      </c>
      <c r="I50" s="873"/>
      <c r="J50" s="873"/>
      <c r="K50" s="873"/>
      <c r="L50" s="874"/>
      <c r="N50" s="875" t="s">
        <v>309</v>
      </c>
      <c r="O50" s="876"/>
      <c r="P50" s="876"/>
      <c r="Q50" s="876"/>
      <c r="R50" s="877"/>
      <c r="T50" s="878" t="s">
        <v>226</v>
      </c>
      <c r="U50" s="879"/>
      <c r="V50" s="879"/>
      <c r="W50" s="879"/>
      <c r="X50" s="879"/>
      <c r="Y50" s="880"/>
    </row>
    <row r="51" spans="2:46" ht="25.5" customHeight="1" thickBot="1">
      <c r="B51" s="504" t="s">
        <v>98</v>
      </c>
      <c r="C51" s="422" t="s">
        <v>196</v>
      </c>
      <c r="D51" s="505" t="s">
        <v>197</v>
      </c>
      <c r="E51" s="505" t="s">
        <v>212</v>
      </c>
      <c r="F51" s="506" t="s">
        <v>308</v>
      </c>
      <c r="H51" s="504" t="s">
        <v>98</v>
      </c>
      <c r="I51" s="422" t="s">
        <v>196</v>
      </c>
      <c r="J51" s="547" t="s">
        <v>197</v>
      </c>
      <c r="K51" s="508" t="s">
        <v>212</v>
      </c>
      <c r="L51" s="506" t="s">
        <v>308</v>
      </c>
      <c r="N51" s="545" t="s">
        <v>98</v>
      </c>
      <c r="O51" s="539" t="s">
        <v>196</v>
      </c>
      <c r="P51" s="546" t="s">
        <v>197</v>
      </c>
      <c r="Q51" s="540" t="s">
        <v>212</v>
      </c>
      <c r="R51" s="541" t="s">
        <v>215</v>
      </c>
      <c r="T51" s="345" t="s">
        <v>0</v>
      </c>
      <c r="U51" s="618" t="s">
        <v>196</v>
      </c>
      <c r="V51" s="620" t="s">
        <v>227</v>
      </c>
      <c r="W51" s="619" t="s">
        <v>212</v>
      </c>
      <c r="X51" s="346" t="s">
        <v>228</v>
      </c>
      <c r="Y51" s="347" t="s">
        <v>229</v>
      </c>
    </row>
    <row r="52" spans="2:46" ht="11.25" customHeight="1">
      <c r="B52" s="501">
        <v>44171</v>
      </c>
      <c r="C52" s="501" t="s">
        <v>324</v>
      </c>
      <c r="D52" s="503">
        <v>12</v>
      </c>
      <c r="E52" s="502" t="s">
        <v>325</v>
      </c>
      <c r="F52" s="529" t="s">
        <v>320</v>
      </c>
      <c r="H52" s="532"/>
      <c r="I52" s="509"/>
      <c r="J52" s="509"/>
      <c r="K52" s="509"/>
      <c r="L52" s="533"/>
      <c r="N52" s="348"/>
      <c r="O52" s="509"/>
      <c r="P52" s="527"/>
      <c r="Q52" s="527"/>
      <c r="R52" s="513"/>
      <c r="T52" s="348"/>
      <c r="U52" s="534"/>
      <c r="V52" s="616"/>
      <c r="W52" s="535"/>
      <c r="X52" s="535"/>
      <c r="Y52" s="536" t="s">
        <v>317</v>
      </c>
    </row>
    <row r="53" spans="2:46" ht="11.25" customHeight="1">
      <c r="B53" s="501">
        <v>44171</v>
      </c>
      <c r="C53" s="501" t="s">
        <v>326</v>
      </c>
      <c r="D53" s="503">
        <v>35</v>
      </c>
      <c r="E53" s="502" t="s">
        <v>327</v>
      </c>
      <c r="F53" s="529" t="s">
        <v>320</v>
      </c>
      <c r="H53" s="827"/>
      <c r="I53" s="828"/>
      <c r="J53" s="828"/>
      <c r="K53" s="828"/>
      <c r="L53" s="529"/>
      <c r="N53" s="501"/>
      <c r="O53" s="828"/>
      <c r="P53" s="829"/>
      <c r="Q53" s="829"/>
      <c r="R53" s="830"/>
      <c r="T53" s="501"/>
      <c r="U53" s="200"/>
      <c r="V53" s="616"/>
      <c r="W53" s="502"/>
      <c r="X53" s="502"/>
      <c r="Y53" s="831"/>
    </row>
    <row r="54" spans="2:46" ht="11.25" customHeight="1">
      <c r="B54" s="501">
        <v>44173</v>
      </c>
      <c r="C54" s="501" t="s">
        <v>328</v>
      </c>
      <c r="D54" s="503">
        <v>82</v>
      </c>
      <c r="E54" s="502" t="s">
        <v>329</v>
      </c>
      <c r="F54" s="529" t="s">
        <v>320</v>
      </c>
      <c r="H54" s="518"/>
      <c r="I54" s="265"/>
      <c r="J54" s="265"/>
      <c r="K54" s="265"/>
      <c r="L54" s="529"/>
      <c r="N54" s="341"/>
      <c r="O54" s="265"/>
      <c r="P54" s="421"/>
      <c r="Q54" s="421"/>
      <c r="R54" s="514"/>
      <c r="T54" s="341"/>
      <c r="U54" s="386"/>
      <c r="V54" s="617"/>
      <c r="W54" s="302"/>
      <c r="X54" s="302"/>
      <c r="Y54" s="537"/>
    </row>
    <row r="55" spans="2:46" ht="11.25" customHeight="1">
      <c r="B55" s="341">
        <v>44174</v>
      </c>
      <c r="C55" s="302" t="s">
        <v>330</v>
      </c>
      <c r="D55" s="382">
        <v>56</v>
      </c>
      <c r="E55" s="302" t="s">
        <v>331</v>
      </c>
      <c r="F55" s="529" t="s">
        <v>320</v>
      </c>
      <c r="H55" s="518"/>
      <c r="I55" s="265"/>
      <c r="J55" s="265"/>
      <c r="K55" s="265"/>
      <c r="L55" s="530"/>
      <c r="N55" s="341"/>
      <c r="O55" s="265"/>
      <c r="P55" s="421"/>
      <c r="Q55" s="421"/>
      <c r="R55" s="514"/>
      <c r="T55" s="341"/>
      <c r="U55" s="386"/>
      <c r="V55" s="617"/>
      <c r="W55" s="302"/>
      <c r="X55" s="302"/>
      <c r="Y55" s="537"/>
    </row>
    <row r="56" spans="2:46" ht="11.25" customHeight="1">
      <c r="B56" s="341"/>
      <c r="C56" s="302"/>
      <c r="D56" s="382"/>
      <c r="E56" s="302"/>
      <c r="F56" s="529"/>
      <c r="H56" s="510"/>
      <c r="I56" s="265"/>
      <c r="J56" s="265"/>
      <c r="K56" s="265"/>
      <c r="L56" s="530"/>
      <c r="N56" s="516"/>
      <c r="O56" s="265"/>
      <c r="P56" s="421"/>
      <c r="Q56" s="421"/>
      <c r="R56" s="514"/>
      <c r="T56" s="341"/>
      <c r="U56" s="386"/>
      <c r="V56" s="617"/>
      <c r="W56" s="302"/>
      <c r="X56" s="302"/>
      <c r="Y56" s="537"/>
    </row>
    <row r="57" spans="2:46" ht="11.25" customHeight="1">
      <c r="B57" s="341"/>
      <c r="C57" s="302"/>
      <c r="D57" s="382"/>
      <c r="E57" s="302"/>
      <c r="F57" s="529"/>
      <c r="H57" s="510"/>
      <c r="I57" s="265"/>
      <c r="J57" s="265"/>
      <c r="K57" s="265"/>
      <c r="L57" s="530"/>
      <c r="N57" s="516"/>
      <c r="O57" s="265"/>
      <c r="P57" s="421"/>
      <c r="Q57" s="421"/>
      <c r="R57" s="514"/>
      <c r="T57" s="341"/>
      <c r="U57" s="386"/>
      <c r="V57" s="617"/>
      <c r="W57" s="302"/>
      <c r="X57" s="302"/>
      <c r="Y57" s="537"/>
    </row>
    <row r="58" spans="2:46" ht="11.25" customHeight="1">
      <c r="B58" s="341"/>
      <c r="C58" s="302"/>
      <c r="D58" s="382"/>
      <c r="E58" s="302"/>
      <c r="F58" s="529"/>
      <c r="H58" s="510"/>
      <c r="I58" s="265"/>
      <c r="J58" s="265"/>
      <c r="K58" s="265"/>
      <c r="L58" s="530"/>
      <c r="N58" s="516"/>
      <c r="O58" s="265"/>
      <c r="P58" s="421"/>
      <c r="Q58" s="421"/>
      <c r="R58" s="514"/>
      <c r="T58" s="341"/>
      <c r="U58" s="386"/>
      <c r="V58" s="617"/>
      <c r="W58" s="302"/>
      <c r="X58" s="302"/>
      <c r="Y58" s="537"/>
    </row>
    <row r="59" spans="2:46" ht="11.25" customHeight="1">
      <c r="B59" s="341"/>
      <c r="C59" s="302"/>
      <c r="D59" s="382"/>
      <c r="E59" s="302"/>
      <c r="F59" s="529"/>
      <c r="H59" s="510"/>
      <c r="I59" s="265"/>
      <c r="J59" s="265"/>
      <c r="K59" s="265"/>
      <c r="L59" s="530"/>
      <c r="N59" s="516"/>
      <c r="O59" s="265"/>
      <c r="P59" s="421"/>
      <c r="Q59" s="421"/>
      <c r="R59" s="514"/>
      <c r="T59" s="341"/>
      <c r="U59" s="386"/>
      <c r="V59" s="617"/>
      <c r="W59" s="302"/>
      <c r="X59" s="302"/>
      <c r="Y59" s="537"/>
    </row>
    <row r="60" spans="2:46" ht="11.25" customHeight="1">
      <c r="B60" s="341"/>
      <c r="C60" s="302"/>
      <c r="D60" s="382"/>
      <c r="E60" s="302"/>
      <c r="F60" s="529"/>
      <c r="H60" s="510"/>
      <c r="I60" s="265"/>
      <c r="J60" s="265"/>
      <c r="K60" s="265"/>
      <c r="L60" s="530"/>
      <c r="N60" s="516"/>
      <c r="O60" s="265"/>
      <c r="P60" s="421"/>
      <c r="Q60" s="421"/>
      <c r="R60" s="514"/>
      <c r="T60" s="341"/>
      <c r="U60" s="386"/>
      <c r="V60" s="617"/>
      <c r="W60" s="302"/>
      <c r="X60" s="302"/>
      <c r="Y60" s="537"/>
    </row>
    <row r="61" spans="2:46" ht="11.25" customHeight="1">
      <c r="B61" s="341"/>
      <c r="C61" s="302"/>
      <c r="D61" s="382"/>
      <c r="E61" s="302"/>
      <c r="F61" s="529"/>
      <c r="H61" s="510"/>
      <c r="I61" s="265"/>
      <c r="J61" s="265"/>
      <c r="K61" s="265"/>
      <c r="L61" s="530"/>
      <c r="N61" s="516"/>
      <c r="O61" s="265"/>
      <c r="P61" s="421"/>
      <c r="Q61" s="421"/>
      <c r="R61" s="514"/>
      <c r="T61" s="341"/>
      <c r="U61" s="386"/>
      <c r="V61" s="617"/>
      <c r="W61" s="302"/>
      <c r="X61" s="302"/>
      <c r="Y61" s="537"/>
    </row>
    <row r="62" spans="2:46" ht="11.25" customHeight="1">
      <c r="B62" s="341"/>
      <c r="C62" s="302"/>
      <c r="D62" s="382"/>
      <c r="E62" s="302"/>
      <c r="F62" s="529"/>
      <c r="H62" s="510"/>
      <c r="I62" s="265"/>
      <c r="J62" s="265"/>
      <c r="K62" s="265"/>
      <c r="L62" s="530"/>
      <c r="N62" s="516"/>
      <c r="O62" s="265"/>
      <c r="P62" s="421"/>
      <c r="Q62" s="421"/>
      <c r="R62" s="514"/>
      <c r="T62" s="341"/>
      <c r="U62" s="386"/>
      <c r="V62" s="617"/>
      <c r="W62" s="302"/>
      <c r="X62" s="302"/>
      <c r="Y62" s="537"/>
    </row>
    <row r="63" spans="2:46" ht="11.25" customHeight="1">
      <c r="B63" s="341"/>
      <c r="C63" s="302"/>
      <c r="D63" s="382"/>
      <c r="E63" s="302"/>
      <c r="F63" s="530"/>
      <c r="H63" s="510"/>
      <c r="I63" s="265"/>
      <c r="J63" s="265"/>
      <c r="K63" s="265"/>
      <c r="L63" s="530"/>
      <c r="N63" s="516"/>
      <c r="O63" s="265"/>
      <c r="P63" s="421"/>
      <c r="Q63" s="421"/>
      <c r="R63" s="514"/>
      <c r="T63" s="341"/>
      <c r="U63" s="386"/>
      <c r="V63" s="617"/>
      <c r="W63" s="302"/>
      <c r="X63" s="302"/>
      <c r="Y63" s="537"/>
    </row>
    <row r="64" spans="2:46" ht="11.25" customHeight="1">
      <c r="B64" s="341"/>
      <c r="C64" s="302"/>
      <c r="D64" s="382"/>
      <c r="E64" s="302"/>
      <c r="F64" s="530"/>
      <c r="H64" s="510"/>
      <c r="I64" s="265"/>
      <c r="J64" s="265"/>
      <c r="K64" s="265"/>
      <c r="L64" s="530"/>
      <c r="N64" s="516"/>
      <c r="O64" s="265"/>
      <c r="P64" s="421"/>
      <c r="Q64" s="421"/>
      <c r="R64" s="514"/>
      <c r="T64" s="341"/>
      <c r="U64" s="386"/>
      <c r="V64" s="617"/>
      <c r="W64" s="302"/>
      <c r="X64" s="302"/>
      <c r="Y64" s="537"/>
    </row>
    <row r="65" spans="2:25" ht="11.25" customHeight="1">
      <c r="B65" s="341"/>
      <c r="C65" s="302"/>
      <c r="D65" s="382"/>
      <c r="E65" s="302"/>
      <c r="F65" s="530"/>
      <c r="H65" s="510"/>
      <c r="I65" s="265"/>
      <c r="J65" s="265"/>
      <c r="K65" s="265"/>
      <c r="L65" s="530"/>
      <c r="N65" s="516"/>
      <c r="O65" s="265"/>
      <c r="P65" s="421"/>
      <c r="Q65" s="421"/>
      <c r="R65" s="514"/>
      <c r="T65" s="341"/>
      <c r="U65" s="386"/>
      <c r="V65" s="617"/>
      <c r="W65" s="302"/>
      <c r="X65" s="302"/>
      <c r="Y65" s="537"/>
    </row>
    <row r="66" spans="2:25" ht="11.25" customHeight="1">
      <c r="B66" s="341"/>
      <c r="C66" s="302"/>
      <c r="D66" s="382"/>
      <c r="E66" s="302"/>
      <c r="F66" s="530"/>
      <c r="H66" s="510"/>
      <c r="I66" s="265"/>
      <c r="J66" s="265"/>
      <c r="K66" s="265"/>
      <c r="L66" s="530"/>
      <c r="N66" s="516"/>
      <c r="O66" s="265"/>
      <c r="P66" s="421"/>
      <c r="Q66" s="421"/>
      <c r="R66" s="514"/>
      <c r="T66" s="341"/>
      <c r="U66" s="386"/>
      <c r="V66" s="617"/>
      <c r="W66" s="302"/>
      <c r="X66" s="302"/>
      <c r="Y66" s="537"/>
    </row>
    <row r="67" spans="2:25" ht="11.25" customHeight="1">
      <c r="B67" s="341"/>
      <c r="C67" s="302"/>
      <c r="D67" s="382"/>
      <c r="E67" s="302"/>
      <c r="F67" s="530"/>
      <c r="H67" s="510"/>
      <c r="I67" s="265"/>
      <c r="J67" s="265"/>
      <c r="K67" s="265"/>
      <c r="L67" s="530"/>
      <c r="N67" s="516"/>
      <c r="O67" s="265"/>
      <c r="P67" s="265"/>
      <c r="Q67" s="542"/>
      <c r="R67" s="514"/>
      <c r="T67" s="341"/>
      <c r="U67" s="386"/>
      <c r="V67" s="617"/>
      <c r="W67" s="302"/>
      <c r="X67" s="302"/>
      <c r="Y67" s="537"/>
    </row>
    <row r="68" spans="2:25" ht="11.25" customHeight="1">
      <c r="B68" s="341"/>
      <c r="C68" s="302"/>
      <c r="D68" s="382"/>
      <c r="E68" s="302"/>
      <c r="F68" s="530"/>
      <c r="H68" s="510"/>
      <c r="I68" s="265"/>
      <c r="J68" s="265"/>
      <c r="K68" s="265"/>
      <c r="L68" s="530"/>
      <c r="N68" s="516"/>
      <c r="O68" s="265"/>
      <c r="P68" s="265"/>
      <c r="Q68" s="542"/>
      <c r="R68" s="514"/>
      <c r="T68" s="341"/>
      <c r="U68" s="386"/>
      <c r="V68" s="617"/>
      <c r="W68" s="302"/>
      <c r="X68" s="302"/>
      <c r="Y68" s="537"/>
    </row>
    <row r="69" spans="2:25" ht="11.25" customHeight="1">
      <c r="B69" s="341"/>
      <c r="C69" s="302"/>
      <c r="D69" s="382"/>
      <c r="E69" s="302"/>
      <c r="F69" s="530"/>
      <c r="H69" s="510"/>
      <c r="I69" s="265"/>
      <c r="J69" s="265"/>
      <c r="K69" s="265"/>
      <c r="L69" s="530"/>
      <c r="N69" s="516"/>
      <c r="O69" s="265"/>
      <c r="P69" s="265"/>
      <c r="Q69" s="421"/>
      <c r="R69" s="514"/>
      <c r="T69" s="341"/>
      <c r="U69" s="386"/>
      <c r="V69" s="617"/>
      <c r="W69" s="302"/>
      <c r="X69" s="302"/>
      <c r="Y69" s="537"/>
    </row>
    <row r="70" spans="2:25" ht="11.25" customHeight="1">
      <c r="B70" s="341"/>
      <c r="C70" s="302"/>
      <c r="D70" s="382"/>
      <c r="E70" s="302"/>
      <c r="F70" s="530"/>
      <c r="H70" s="510"/>
      <c r="I70" s="265"/>
      <c r="J70" s="265"/>
      <c r="K70" s="265"/>
      <c r="L70" s="530"/>
      <c r="N70" s="516"/>
      <c r="O70" s="265"/>
      <c r="P70" s="265"/>
      <c r="Q70" s="421"/>
      <c r="R70" s="514"/>
      <c r="T70" s="341"/>
      <c r="U70" s="386"/>
      <c r="V70" s="617"/>
      <c r="W70" s="302"/>
      <c r="X70" s="302"/>
      <c r="Y70" s="537"/>
    </row>
    <row r="71" spans="2:25" ht="11.25" customHeight="1">
      <c r="B71" s="341"/>
      <c r="C71" s="302"/>
      <c r="D71" s="382"/>
      <c r="E71" s="302"/>
      <c r="F71" s="530"/>
      <c r="H71" s="510"/>
      <c r="I71" s="265"/>
      <c r="J71" s="265"/>
      <c r="K71" s="265"/>
      <c r="L71" s="530"/>
      <c r="N71" s="516"/>
      <c r="O71" s="265"/>
      <c r="P71" s="265"/>
      <c r="Q71" s="421"/>
      <c r="R71" s="514"/>
      <c r="T71" s="341"/>
      <c r="U71" s="386"/>
      <c r="V71" s="617"/>
      <c r="W71" s="302"/>
      <c r="X71" s="302"/>
      <c r="Y71" s="537"/>
    </row>
    <row r="72" spans="2:25" ht="11.25" customHeight="1">
      <c r="B72" s="341"/>
      <c r="C72" s="302"/>
      <c r="D72" s="382"/>
      <c r="E72" s="302"/>
      <c r="F72" s="530"/>
      <c r="H72" s="510"/>
      <c r="I72" s="265"/>
      <c r="J72" s="265"/>
      <c r="K72" s="265"/>
      <c r="L72" s="530"/>
      <c r="N72" s="516"/>
      <c r="O72" s="265"/>
      <c r="P72" s="265"/>
      <c r="Q72" s="421"/>
      <c r="R72" s="514"/>
      <c r="T72" s="341"/>
      <c r="U72" s="386"/>
      <c r="V72" s="617"/>
      <c r="W72" s="302"/>
      <c r="X72" s="302"/>
      <c r="Y72" s="537"/>
    </row>
    <row r="73" spans="2:25" ht="11.25" customHeight="1">
      <c r="B73" s="341"/>
      <c r="C73" s="302"/>
      <c r="D73" s="382"/>
      <c r="E73" s="302"/>
      <c r="F73" s="530"/>
      <c r="H73" s="511"/>
      <c r="I73" s="267"/>
      <c r="J73" s="267"/>
      <c r="K73" s="267"/>
      <c r="L73" s="530"/>
      <c r="N73" s="516"/>
      <c r="O73" s="265"/>
      <c r="P73" s="265"/>
      <c r="Q73" s="543"/>
      <c r="R73" s="514"/>
      <c r="T73" s="341"/>
      <c r="U73" s="386"/>
      <c r="V73" s="617"/>
      <c r="W73" s="302"/>
      <c r="X73" s="302"/>
      <c r="Y73" s="537"/>
    </row>
    <row r="74" spans="2:25" ht="11.25" customHeight="1">
      <c r="B74" s="341"/>
      <c r="C74" s="302"/>
      <c r="D74" s="382"/>
      <c r="E74" s="302"/>
      <c r="F74" s="530"/>
      <c r="H74" s="510"/>
      <c r="I74" s="265"/>
      <c r="J74" s="265"/>
      <c r="K74" s="265"/>
      <c r="L74" s="530"/>
      <c r="N74" s="516"/>
      <c r="O74" s="265"/>
      <c r="P74" s="265"/>
      <c r="Q74" s="421"/>
      <c r="R74" s="514"/>
      <c r="T74" s="341"/>
      <c r="U74" s="386"/>
      <c r="V74" s="617"/>
      <c r="W74" s="302"/>
      <c r="X74" s="302"/>
      <c r="Y74" s="537"/>
    </row>
    <row r="75" spans="2:25" ht="11.25" customHeight="1">
      <c r="B75" s="341"/>
      <c r="C75" s="302"/>
      <c r="D75" s="382"/>
      <c r="E75" s="302"/>
      <c r="F75" s="530"/>
      <c r="H75" s="510"/>
      <c r="I75" s="265"/>
      <c r="J75" s="265"/>
      <c r="K75" s="265"/>
      <c r="L75" s="530"/>
      <c r="N75" s="516"/>
      <c r="O75" s="265"/>
      <c r="P75" s="265"/>
      <c r="Q75" s="421"/>
      <c r="R75" s="514"/>
      <c r="T75" s="341"/>
      <c r="U75" s="386"/>
      <c r="V75" s="617"/>
      <c r="W75" s="302"/>
      <c r="X75" s="302"/>
      <c r="Y75" s="537"/>
    </row>
    <row r="76" spans="2:25" ht="9.75" customHeight="1">
      <c r="B76" s="341"/>
      <c r="C76" s="302"/>
      <c r="D76" s="382"/>
      <c r="E76" s="302"/>
      <c r="F76" s="530"/>
      <c r="H76" s="510"/>
      <c r="I76" s="265"/>
      <c r="J76" s="265"/>
      <c r="K76" s="265"/>
      <c r="L76" s="530"/>
      <c r="N76" s="516"/>
      <c r="O76" s="265"/>
      <c r="P76" s="265"/>
      <c r="Q76" s="421"/>
      <c r="R76" s="514"/>
      <c r="T76" s="341"/>
      <c r="U76" s="386"/>
      <c r="V76" s="617"/>
      <c r="W76" s="302"/>
      <c r="X76" s="302"/>
      <c r="Y76" s="537"/>
    </row>
    <row r="77" spans="2:25" ht="11.25" hidden="1" customHeight="1">
      <c r="B77" s="341"/>
      <c r="C77" s="302"/>
      <c r="D77" s="382"/>
      <c r="E77" s="302"/>
      <c r="F77" s="530"/>
      <c r="H77" s="510"/>
      <c r="I77" s="265"/>
      <c r="J77" s="265"/>
      <c r="K77" s="265"/>
      <c r="L77" s="530"/>
      <c r="N77" s="516"/>
      <c r="O77" s="265"/>
      <c r="P77" s="265"/>
      <c r="Q77" s="421"/>
      <c r="R77" s="514"/>
      <c r="T77" s="341"/>
      <c r="U77" s="386"/>
      <c r="V77" s="616"/>
      <c r="W77" s="302"/>
      <c r="X77" s="302"/>
      <c r="Y77" s="537"/>
    </row>
    <row r="78" spans="2:25" ht="11.25" customHeight="1">
      <c r="B78" s="341"/>
      <c r="C78" s="302"/>
      <c r="D78" s="382"/>
      <c r="E78" s="302"/>
      <c r="F78" s="530"/>
      <c r="H78" s="510"/>
      <c r="I78" s="421"/>
      <c r="J78" s="421"/>
      <c r="K78" s="265"/>
      <c r="L78" s="530"/>
      <c r="N78" s="516"/>
      <c r="O78" s="265"/>
      <c r="P78" s="265"/>
      <c r="Q78" s="421"/>
      <c r="R78" s="514"/>
      <c r="T78" s="341"/>
      <c r="U78" s="386"/>
      <c r="V78" s="302"/>
      <c r="W78" s="302"/>
      <c r="X78" s="302"/>
      <c r="Y78" s="537"/>
    </row>
    <row r="79" spans="2:25" ht="11.25" customHeight="1">
      <c r="B79" s="341"/>
      <c r="C79" s="302"/>
      <c r="D79" s="382"/>
      <c r="E79" s="302"/>
      <c r="F79" s="530"/>
      <c r="H79" s="510"/>
      <c r="I79" s="265"/>
      <c r="J79" s="265"/>
      <c r="K79" s="265"/>
      <c r="L79" s="530"/>
      <c r="N79" s="516"/>
      <c r="O79" s="265"/>
      <c r="P79" s="265"/>
      <c r="Q79" s="421"/>
      <c r="R79" s="514"/>
      <c r="T79" s="341"/>
      <c r="U79" s="386"/>
      <c r="V79" s="302"/>
      <c r="W79" s="302"/>
      <c r="X79" s="302"/>
      <c r="Y79" s="537"/>
    </row>
    <row r="80" spans="2:25" ht="11.25" customHeight="1">
      <c r="B80" s="341"/>
      <c r="C80" s="302"/>
      <c r="D80" s="382"/>
      <c r="E80" s="302"/>
      <c r="F80" s="530"/>
      <c r="H80" s="510"/>
      <c r="I80" s="265"/>
      <c r="J80" s="265"/>
      <c r="K80" s="265"/>
      <c r="L80" s="530"/>
      <c r="N80" s="516"/>
      <c r="O80" s="265"/>
      <c r="P80" s="265"/>
      <c r="Q80" s="421"/>
      <c r="R80" s="514"/>
      <c r="T80" s="341"/>
      <c r="U80" s="386"/>
      <c r="V80" s="302"/>
      <c r="W80" s="302"/>
      <c r="X80" s="302"/>
      <c r="Y80" s="537"/>
    </row>
    <row r="81" spans="2:25" ht="11.25" customHeight="1">
      <c r="B81" s="341"/>
      <c r="C81" s="302"/>
      <c r="D81" s="382"/>
      <c r="E81" s="302"/>
      <c r="F81" s="530"/>
      <c r="H81" s="510"/>
      <c r="I81" s="265"/>
      <c r="J81" s="265"/>
      <c r="K81" s="265"/>
      <c r="L81" s="530"/>
      <c r="N81" s="516"/>
      <c r="O81" s="265"/>
      <c r="P81" s="265"/>
      <c r="Q81" s="421"/>
      <c r="R81" s="514"/>
      <c r="T81" s="341"/>
      <c r="U81" s="386"/>
      <c r="V81" s="302"/>
      <c r="W81" s="302"/>
      <c r="X81" s="302"/>
      <c r="Y81" s="537"/>
    </row>
    <row r="82" spans="2:25" ht="11.25" customHeight="1">
      <c r="B82" s="341"/>
      <c r="C82" s="302"/>
      <c r="D82" s="382"/>
      <c r="E82" s="302"/>
      <c r="F82" s="530"/>
      <c r="H82" s="510"/>
      <c r="I82" s="265"/>
      <c r="J82" s="265"/>
      <c r="K82" s="265"/>
      <c r="L82" s="530"/>
      <c r="N82" s="516"/>
      <c r="O82" s="265"/>
      <c r="P82" s="265"/>
      <c r="Q82" s="421"/>
      <c r="R82" s="514"/>
      <c r="T82" s="341"/>
      <c r="U82" s="386"/>
      <c r="V82" s="302"/>
      <c r="W82" s="302"/>
      <c r="X82" s="302"/>
      <c r="Y82" s="537"/>
    </row>
    <row r="83" spans="2:25" ht="11.25" customHeight="1">
      <c r="B83" s="341"/>
      <c r="C83" s="302"/>
      <c r="D83" s="382"/>
      <c r="E83" s="302"/>
      <c r="F83" s="530"/>
      <c r="H83" s="510"/>
      <c r="I83" s="265"/>
      <c r="J83" s="265"/>
      <c r="K83" s="265"/>
      <c r="L83" s="530"/>
      <c r="N83" s="516"/>
      <c r="O83" s="265"/>
      <c r="P83" s="265"/>
      <c r="Q83" s="421"/>
      <c r="R83" s="514"/>
      <c r="T83" s="341"/>
      <c r="U83" s="386"/>
      <c r="V83" s="302"/>
      <c r="W83" s="302"/>
      <c r="X83" s="302"/>
      <c r="Y83" s="537"/>
    </row>
    <row r="84" spans="2:25" ht="11.25" customHeight="1">
      <c r="B84" s="341"/>
      <c r="C84" s="302"/>
      <c r="D84" s="382"/>
      <c r="E84" s="302"/>
      <c r="F84" s="530"/>
      <c r="H84" s="510"/>
      <c r="I84" s="265"/>
      <c r="J84" s="265"/>
      <c r="K84" s="265"/>
      <c r="L84" s="530"/>
      <c r="N84" s="516"/>
      <c r="O84" s="265"/>
      <c r="P84" s="265"/>
      <c r="Q84" s="421"/>
      <c r="R84" s="514"/>
      <c r="T84" s="341"/>
      <c r="U84" s="386"/>
      <c r="V84" s="302"/>
      <c r="W84" s="302"/>
      <c r="X84" s="302"/>
      <c r="Y84" s="537"/>
    </row>
    <row r="85" spans="2:25" ht="11.25" customHeight="1">
      <c r="B85" s="341"/>
      <c r="C85" s="302"/>
      <c r="D85" s="382"/>
      <c r="E85" s="302"/>
      <c r="F85" s="530"/>
      <c r="H85" s="510"/>
      <c r="I85" s="265"/>
      <c r="J85" s="265"/>
      <c r="K85" s="265"/>
      <c r="L85" s="530"/>
      <c r="N85" s="516"/>
      <c r="O85" s="265"/>
      <c r="P85" s="265"/>
      <c r="Q85" s="421"/>
      <c r="R85" s="514"/>
      <c r="T85" s="341"/>
      <c r="U85" s="302"/>
      <c r="V85" s="302"/>
      <c r="W85" s="302"/>
      <c r="X85" s="302"/>
      <c r="Y85" s="537"/>
    </row>
    <row r="86" spans="2:25" ht="11.25" customHeight="1">
      <c r="B86" s="341"/>
      <c r="C86" s="302"/>
      <c r="D86" s="382"/>
      <c r="E86" s="302"/>
      <c r="F86" s="530"/>
      <c r="H86" s="510"/>
      <c r="I86" s="265"/>
      <c r="J86" s="265"/>
      <c r="K86" s="265"/>
      <c r="L86" s="530"/>
      <c r="N86" s="516"/>
      <c r="O86" s="265"/>
      <c r="P86" s="265"/>
      <c r="Q86" s="421"/>
      <c r="R86" s="514"/>
      <c r="T86" s="341"/>
      <c r="U86" s="302"/>
      <c r="V86" s="302"/>
      <c r="W86" s="302"/>
      <c r="X86" s="302"/>
      <c r="Y86" s="537"/>
    </row>
    <row r="87" spans="2:25" ht="11.25" customHeight="1">
      <c r="B87" s="341"/>
      <c r="C87" s="302"/>
      <c r="D87" s="382"/>
      <c r="E87" s="302"/>
      <c r="F87" s="530"/>
      <c r="H87" s="510"/>
      <c r="I87" s="265"/>
      <c r="J87" s="265"/>
      <c r="K87" s="265"/>
      <c r="L87" s="530"/>
      <c r="N87" s="516"/>
      <c r="O87" s="265"/>
      <c r="P87" s="265"/>
      <c r="Q87" s="421"/>
      <c r="R87" s="514"/>
      <c r="T87" s="341"/>
      <c r="U87" s="302"/>
      <c r="V87" s="302"/>
      <c r="W87" s="302"/>
      <c r="X87" s="302"/>
      <c r="Y87" s="537"/>
    </row>
    <row r="88" spans="2:25" ht="11.25" customHeight="1">
      <c r="B88" s="341"/>
      <c r="C88" s="302"/>
      <c r="D88" s="382"/>
      <c r="E88" s="302"/>
      <c r="F88" s="530"/>
      <c r="H88" s="510"/>
      <c r="I88" s="265"/>
      <c r="J88" s="265"/>
      <c r="K88" s="265"/>
      <c r="L88" s="530"/>
      <c r="N88" s="516"/>
      <c r="O88" s="265"/>
      <c r="P88" s="265"/>
      <c r="Q88" s="421"/>
      <c r="R88" s="514"/>
      <c r="T88" s="341"/>
      <c r="U88" s="302"/>
      <c r="V88" s="302"/>
      <c r="W88" s="302"/>
      <c r="X88" s="302"/>
      <c r="Y88" s="537"/>
    </row>
    <row r="89" spans="2:25" ht="11.25" customHeight="1">
      <c r="B89" s="341"/>
      <c r="C89" s="302"/>
      <c r="D89" s="382"/>
      <c r="E89" s="302"/>
      <c r="F89" s="530"/>
      <c r="H89" s="510"/>
      <c r="I89" s="265"/>
      <c r="J89" s="265"/>
      <c r="K89" s="265"/>
      <c r="L89" s="530"/>
      <c r="N89" s="516"/>
      <c r="O89" s="265"/>
      <c r="P89" s="265"/>
      <c r="Q89" s="421"/>
      <c r="R89" s="514"/>
      <c r="T89" s="341"/>
      <c r="U89" s="302"/>
      <c r="V89" s="302"/>
      <c r="W89" s="302"/>
      <c r="X89" s="302"/>
      <c r="Y89" s="537"/>
    </row>
    <row r="90" spans="2:25" ht="11.25" customHeight="1">
      <c r="B90" s="341"/>
      <c r="C90" s="302"/>
      <c r="D90" s="382"/>
      <c r="E90" s="302"/>
      <c r="F90" s="530"/>
      <c r="H90" s="510"/>
      <c r="I90" s="265"/>
      <c r="J90" s="265"/>
      <c r="K90" s="265"/>
      <c r="L90" s="530"/>
      <c r="N90" s="516"/>
      <c r="O90" s="265"/>
      <c r="P90" s="265"/>
      <c r="Q90" s="421"/>
      <c r="R90" s="514"/>
      <c r="T90" s="341"/>
      <c r="U90" s="302"/>
      <c r="V90" s="302"/>
      <c r="W90" s="302"/>
      <c r="X90" s="302"/>
      <c r="Y90" s="537"/>
    </row>
    <row r="91" spans="2:25">
      <c r="B91" s="341"/>
      <c r="C91" s="302"/>
      <c r="D91" s="382"/>
      <c r="E91" s="302"/>
      <c r="F91" s="530"/>
      <c r="H91" s="510"/>
      <c r="I91" s="265"/>
      <c r="J91" s="265"/>
      <c r="K91" s="265"/>
      <c r="L91" s="530"/>
      <c r="N91" s="516"/>
      <c r="O91" s="265"/>
      <c r="P91" s="265"/>
      <c r="Q91" s="421"/>
      <c r="R91" s="514"/>
      <c r="T91" s="341"/>
      <c r="U91" s="302"/>
      <c r="V91" s="302"/>
      <c r="W91" s="302"/>
      <c r="X91" s="302"/>
      <c r="Y91" s="537"/>
    </row>
    <row r="92" spans="2:25">
      <c r="B92" s="341"/>
      <c r="C92" s="302"/>
      <c r="D92" s="382"/>
      <c r="E92" s="302"/>
      <c r="F92" s="530"/>
      <c r="H92" s="510"/>
      <c r="I92" s="265"/>
      <c r="J92" s="265"/>
      <c r="K92" s="265"/>
      <c r="L92" s="530"/>
      <c r="N92" s="516"/>
      <c r="O92" s="265"/>
      <c r="P92" s="265"/>
      <c r="Q92" s="421"/>
      <c r="R92" s="514"/>
      <c r="T92" s="341"/>
      <c r="U92" s="302"/>
      <c r="V92" s="302"/>
      <c r="W92" s="302"/>
      <c r="X92" s="302"/>
      <c r="Y92" s="537"/>
    </row>
    <row r="93" spans="2:25">
      <c r="B93" s="341"/>
      <c r="C93" s="302"/>
      <c r="D93" s="382"/>
      <c r="E93" s="302"/>
      <c r="F93" s="530"/>
      <c r="H93" s="510"/>
      <c r="I93" s="265"/>
      <c r="J93" s="265"/>
      <c r="K93" s="265"/>
      <c r="L93" s="530"/>
      <c r="N93" s="516"/>
      <c r="O93" s="265"/>
      <c r="P93" s="265"/>
      <c r="Q93" s="421"/>
      <c r="R93" s="514"/>
      <c r="T93" s="341"/>
      <c r="U93" s="302"/>
      <c r="V93" s="302"/>
      <c r="W93" s="302"/>
      <c r="X93" s="302"/>
      <c r="Y93" s="537"/>
    </row>
    <row r="94" spans="2:25">
      <c r="B94" s="341"/>
      <c r="C94" s="302"/>
      <c r="D94" s="382"/>
      <c r="E94" s="302"/>
      <c r="F94" s="530"/>
      <c r="H94" s="510"/>
      <c r="I94" s="265"/>
      <c r="J94" s="265"/>
      <c r="K94" s="265"/>
      <c r="L94" s="530"/>
      <c r="N94" s="516"/>
      <c r="O94" s="265"/>
      <c r="P94" s="265"/>
      <c r="Q94" s="421"/>
      <c r="R94" s="514"/>
      <c r="T94" s="341"/>
      <c r="U94" s="302"/>
      <c r="V94" s="302"/>
      <c r="W94" s="302"/>
      <c r="X94" s="302"/>
      <c r="Y94" s="537"/>
    </row>
    <row r="95" spans="2:25">
      <c r="B95" s="341"/>
      <c r="C95" s="302"/>
      <c r="D95" s="382"/>
      <c r="E95" s="302"/>
      <c r="F95" s="530"/>
      <c r="H95" s="510"/>
      <c r="I95" s="265"/>
      <c r="J95" s="265"/>
      <c r="K95" s="265"/>
      <c r="L95" s="530"/>
      <c r="N95" s="516"/>
      <c r="O95" s="265"/>
      <c r="P95" s="265"/>
      <c r="Q95" s="421"/>
      <c r="R95" s="514"/>
      <c r="T95" s="341"/>
      <c r="U95" s="302"/>
      <c r="V95" s="302"/>
      <c r="W95" s="302"/>
      <c r="X95" s="302"/>
      <c r="Y95" s="537"/>
    </row>
    <row r="96" spans="2:25">
      <c r="B96" s="341"/>
      <c r="C96" s="302"/>
      <c r="D96" s="382"/>
      <c r="E96" s="302"/>
      <c r="F96" s="530"/>
      <c r="H96" s="510"/>
      <c r="I96" s="265"/>
      <c r="J96" s="265"/>
      <c r="K96" s="265"/>
      <c r="L96" s="530"/>
      <c r="N96" s="516"/>
      <c r="O96" s="265"/>
      <c r="P96" s="265"/>
      <c r="Q96" s="421"/>
      <c r="R96" s="514"/>
      <c r="T96" s="341"/>
      <c r="U96" s="302"/>
      <c r="V96" s="302"/>
      <c r="W96" s="302"/>
      <c r="X96" s="302"/>
      <c r="Y96" s="537"/>
    </row>
    <row r="97" spans="2:25">
      <c r="B97" s="341"/>
      <c r="C97" s="302"/>
      <c r="D97" s="382"/>
      <c r="E97" s="302"/>
      <c r="F97" s="530"/>
      <c r="H97" s="510"/>
      <c r="I97" s="265"/>
      <c r="J97" s="265"/>
      <c r="K97" s="265"/>
      <c r="L97" s="530"/>
      <c r="N97" s="516"/>
      <c r="O97" s="265"/>
      <c r="P97" s="265"/>
      <c r="Q97" s="421"/>
      <c r="R97" s="514"/>
      <c r="T97" s="341"/>
      <c r="U97" s="302"/>
      <c r="V97" s="302"/>
      <c r="W97" s="302"/>
      <c r="X97" s="302"/>
      <c r="Y97" s="537"/>
    </row>
    <row r="98" spans="2:25" ht="12" thickBot="1">
      <c r="B98" s="342"/>
      <c r="C98" s="343"/>
      <c r="D98" s="344"/>
      <c r="E98" s="343"/>
      <c r="F98" s="531"/>
      <c r="H98" s="512"/>
      <c r="I98" s="507"/>
      <c r="J98" s="507"/>
      <c r="K98" s="507"/>
      <c r="L98" s="531"/>
      <c r="N98" s="517"/>
      <c r="O98" s="507"/>
      <c r="P98" s="507"/>
      <c r="Q98" s="544"/>
      <c r="R98" s="515"/>
      <c r="T98" s="342"/>
      <c r="U98" s="343"/>
      <c r="V98" s="343"/>
      <c r="W98" s="343"/>
      <c r="X98" s="343"/>
      <c r="Y98" s="538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44166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44167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44168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44169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44170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44171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44172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44173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44174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44175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44176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44177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44178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44179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44180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44181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44182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44183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44184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44185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44186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44187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44188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44189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44190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44191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44192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44193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44194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44195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44196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44197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9" sqref="F2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9" t="s">
        <v>70</v>
      </c>
      <c r="D3" s="520"/>
      <c r="E3" s="520"/>
      <c r="F3" s="521"/>
      <c r="G3" s="522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8"/>
      <c r="D6" s="899"/>
      <c r="E6" s="900"/>
      <c r="F6" s="900"/>
      <c r="G6" s="48" t="s">
        <v>4</v>
      </c>
      <c r="H6" s="46" t="s">
        <v>14</v>
      </c>
      <c r="I6" s="41"/>
      <c r="J6" s="113"/>
    </row>
    <row r="7" spans="1:15" ht="18" customHeight="1">
      <c r="A7" s="901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02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Gen!A11</f>
        <v>44166</v>
      </c>
      <c r="B10" s="268">
        <v>85</v>
      </c>
      <c r="C10" s="268">
        <v>0</v>
      </c>
      <c r="D10" s="268">
        <v>84</v>
      </c>
      <c r="E10" s="268">
        <v>73422</v>
      </c>
      <c r="F10" s="268">
        <v>73421.69</v>
      </c>
      <c r="G10" s="268">
        <f t="shared" ref="G10:G26" si="0">(F10-F9)*4.4</f>
        <v>323055.43600000005</v>
      </c>
      <c r="H10" s="111">
        <f>Gen!B11</f>
        <v>7.6999999999999999E-2</v>
      </c>
      <c r="I10" s="6">
        <f>SUM(F10/H10)</f>
        <v>953528.44155844161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Gen!A12</f>
        <v>44167</v>
      </c>
      <c r="B11" s="268">
        <v>85</v>
      </c>
      <c r="C11" s="268">
        <v>0</v>
      </c>
      <c r="D11" s="268">
        <v>82</v>
      </c>
      <c r="E11" s="268"/>
      <c r="F11" s="268">
        <v>73439.28</v>
      </c>
      <c r="G11" s="268">
        <f t="shared" si="0"/>
        <v>77.395999999984639</v>
      </c>
      <c r="H11" s="111">
        <f>Gen!B12</f>
        <v>9.0999999999999998E-2</v>
      </c>
      <c r="I11" s="6">
        <f t="shared" ref="I11:I28" si="2">SUM(F11/H11)</f>
        <v>807025.05494505493</v>
      </c>
      <c r="J11" s="116">
        <f t="shared" si="1"/>
        <v>9.5902846542049463E-5</v>
      </c>
      <c r="M11" s="156"/>
      <c r="N11" s="156"/>
    </row>
    <row r="12" spans="1:15" ht="18.75">
      <c r="A12" s="94">
        <f>Gen!A13</f>
        <v>44168</v>
      </c>
      <c r="B12" s="268">
        <v>85</v>
      </c>
      <c r="C12" s="268">
        <v>0</v>
      </c>
      <c r="D12" s="268">
        <v>80</v>
      </c>
      <c r="E12" s="268"/>
      <c r="F12" s="268">
        <v>73455.41</v>
      </c>
      <c r="G12" s="268">
        <f>(F12-F11)*4.4</f>
        <v>70.9720000000205</v>
      </c>
      <c r="H12" s="111">
        <f>Gen!B13</f>
        <v>1.2999999999999999E-2</v>
      </c>
      <c r="I12" s="6">
        <f t="shared" si="2"/>
        <v>5650416.153846154</v>
      </c>
      <c r="J12" s="116">
        <f t="shared" si="1"/>
        <v>1.2560490779375766E-5</v>
      </c>
      <c r="M12" s="156"/>
      <c r="N12" s="156"/>
    </row>
    <row r="13" spans="1:15" ht="18.75">
      <c r="A13" s="94">
        <f>Gen!A14</f>
        <v>44169</v>
      </c>
      <c r="B13" s="268">
        <v>85</v>
      </c>
      <c r="C13" s="268">
        <v>0</v>
      </c>
      <c r="D13" s="268">
        <v>78</v>
      </c>
      <c r="E13" s="268"/>
      <c r="F13" s="268">
        <v>73473.570000000007</v>
      </c>
      <c r="G13" s="268">
        <f t="shared" si="0"/>
        <v>79.904000000015373</v>
      </c>
      <c r="H13" s="111">
        <f>Gen!B14</f>
        <v>1.2999999999999999E-2</v>
      </c>
      <c r="I13" s="6">
        <f t="shared" si="2"/>
        <v>5651813.0769230779</v>
      </c>
      <c r="J13" s="116">
        <f t="shared" si="1"/>
        <v>1.4137764096670403E-5</v>
      </c>
      <c r="M13" s="156"/>
      <c r="N13" s="156"/>
    </row>
    <row r="14" spans="1:15" ht="18.75">
      <c r="A14" s="94">
        <f>Gen!A15</f>
        <v>44170</v>
      </c>
      <c r="B14" s="268">
        <v>85</v>
      </c>
      <c r="C14" s="268">
        <v>0</v>
      </c>
      <c r="D14" s="268">
        <v>77</v>
      </c>
      <c r="E14" s="268"/>
      <c r="F14" s="268">
        <v>73494.22</v>
      </c>
      <c r="G14" s="268">
        <f t="shared" si="0"/>
        <v>90.859999999974391</v>
      </c>
      <c r="H14" s="111">
        <f>Gen!B15</f>
        <v>0</v>
      </c>
      <c r="I14" s="6" t="e">
        <f t="shared" si="2"/>
        <v>#DIV/0!</v>
      </c>
      <c r="J14" s="116" t="e">
        <f t="shared" si="1"/>
        <v>#DIV/0!</v>
      </c>
      <c r="M14" s="156"/>
      <c r="N14" s="156"/>
    </row>
    <row r="15" spans="1:15" ht="18.75">
      <c r="A15" s="94">
        <f>Gen!A16</f>
        <v>44171</v>
      </c>
      <c r="B15" s="268">
        <v>85</v>
      </c>
      <c r="C15" s="268">
        <v>0</v>
      </c>
      <c r="D15" s="268">
        <v>73</v>
      </c>
      <c r="E15" s="268"/>
      <c r="F15" s="268">
        <v>73516.28</v>
      </c>
      <c r="G15" s="268">
        <f t="shared" si="0"/>
        <v>97.063999999989761</v>
      </c>
      <c r="H15" s="111">
        <f>Gen!B16</f>
        <v>0</v>
      </c>
      <c r="I15" s="6" t="e">
        <f t="shared" si="2"/>
        <v>#DIV/0!</v>
      </c>
      <c r="J15" s="116" t="e">
        <f t="shared" si="1"/>
        <v>#DIV/0!</v>
      </c>
      <c r="M15" s="156"/>
      <c r="N15" s="156"/>
    </row>
    <row r="16" spans="1:15" ht="18.75">
      <c r="A16" s="94">
        <f>Gen!A17</f>
        <v>44172</v>
      </c>
      <c r="B16" s="268">
        <v>85</v>
      </c>
      <c r="C16" s="268">
        <v>0</v>
      </c>
      <c r="D16" s="268">
        <v>69</v>
      </c>
      <c r="E16" s="268"/>
      <c r="F16" s="268">
        <v>73528.3</v>
      </c>
      <c r="G16" s="268">
        <f t="shared" si="0"/>
        <v>52.888000000017932</v>
      </c>
      <c r="H16" s="111">
        <f>Gen!B17</f>
        <v>0</v>
      </c>
      <c r="I16" s="6" t="e">
        <f t="shared" si="2"/>
        <v>#DIV/0!</v>
      </c>
      <c r="J16" s="116" t="e">
        <f t="shared" si="1"/>
        <v>#DIV/0!</v>
      </c>
      <c r="M16" s="156"/>
      <c r="N16" s="156"/>
    </row>
    <row r="17" spans="1:14" ht="18.75">
      <c r="A17" s="94">
        <f>Gen!A18</f>
        <v>44173</v>
      </c>
      <c r="B17" s="268">
        <v>85</v>
      </c>
      <c r="C17" s="268">
        <v>0</v>
      </c>
      <c r="D17" s="268">
        <v>67</v>
      </c>
      <c r="E17" s="268"/>
      <c r="F17" s="268">
        <v>73540.09</v>
      </c>
      <c r="G17" s="268">
        <f t="shared" si="0"/>
        <v>51.875999999971832</v>
      </c>
      <c r="H17" s="111">
        <f>Gen!B18</f>
        <v>0</v>
      </c>
      <c r="I17" s="6" t="e">
        <f t="shared" si="2"/>
        <v>#DIV/0!</v>
      </c>
      <c r="J17" s="116" t="e">
        <f t="shared" si="1"/>
        <v>#DIV/0!</v>
      </c>
      <c r="M17" s="156"/>
      <c r="N17" s="156"/>
    </row>
    <row r="18" spans="1:14" ht="18.75">
      <c r="A18" s="94">
        <f>Gen!A19</f>
        <v>44174</v>
      </c>
      <c r="B18" s="268">
        <v>85</v>
      </c>
      <c r="C18" s="268">
        <v>0</v>
      </c>
      <c r="D18" s="268">
        <v>41</v>
      </c>
      <c r="E18" s="268"/>
      <c r="F18" s="268">
        <v>73552</v>
      </c>
      <c r="G18" s="268">
        <f t="shared" si="0"/>
        <v>52.404000000015373</v>
      </c>
      <c r="H18" s="111">
        <f>Gen!B19</f>
        <v>0</v>
      </c>
      <c r="I18" s="6" t="e">
        <f t="shared" si="2"/>
        <v>#DIV/0!</v>
      </c>
      <c r="J18" s="116" t="e">
        <f t="shared" si="1"/>
        <v>#DIV/0!</v>
      </c>
      <c r="M18" s="156"/>
      <c r="N18" s="156"/>
    </row>
    <row r="19" spans="1:14" ht="18.75">
      <c r="A19" s="94">
        <f>Gen!A20</f>
        <v>44175</v>
      </c>
      <c r="B19" s="268">
        <v>85</v>
      </c>
      <c r="C19" s="268">
        <v>0</v>
      </c>
      <c r="D19" s="268">
        <v>35</v>
      </c>
      <c r="E19" s="268"/>
      <c r="F19" s="268">
        <v>73567.710000000006</v>
      </c>
      <c r="G19" s="268">
        <f t="shared" si="0"/>
        <v>69.124000000028175</v>
      </c>
      <c r="H19" s="111">
        <f>Gen!B20</f>
        <v>0</v>
      </c>
      <c r="I19" s="6" t="e">
        <f t="shared" si="2"/>
        <v>#DIV/0!</v>
      </c>
      <c r="J19" s="116" t="e">
        <f t="shared" si="1"/>
        <v>#DIV/0!</v>
      </c>
      <c r="M19" s="156"/>
      <c r="N19" s="156"/>
    </row>
    <row r="20" spans="1:14" ht="18.75">
      <c r="A20" s="94">
        <f>Gen!A21</f>
        <v>44176</v>
      </c>
      <c r="B20" s="268">
        <v>85</v>
      </c>
      <c r="C20" s="268">
        <v>0</v>
      </c>
      <c r="D20" s="268">
        <v>30</v>
      </c>
      <c r="E20" s="268"/>
      <c r="F20" s="268">
        <v>73587.7</v>
      </c>
      <c r="G20" s="268">
        <f t="shared" si="0"/>
        <v>87.955999999959033</v>
      </c>
      <c r="H20" s="111">
        <f>Gen!B21</f>
        <v>0</v>
      </c>
      <c r="I20" s="6" t="e">
        <f t="shared" si="2"/>
        <v>#DIV/0!</v>
      </c>
      <c r="J20" s="116" t="e">
        <f t="shared" si="1"/>
        <v>#DIV/0!</v>
      </c>
    </row>
    <row r="21" spans="1:14" ht="18.75">
      <c r="A21" s="94">
        <f>Gen!A22</f>
        <v>44177</v>
      </c>
      <c r="B21" s="268">
        <v>85</v>
      </c>
      <c r="C21" s="268">
        <v>0</v>
      </c>
      <c r="D21" s="268">
        <v>25</v>
      </c>
      <c r="E21" s="268"/>
      <c r="F21" s="268">
        <v>73608.61</v>
      </c>
      <c r="G21" s="268">
        <f t="shared" si="0"/>
        <v>92.004000000015381</v>
      </c>
      <c r="H21" s="111">
        <f>Gen!B22</f>
        <v>0</v>
      </c>
      <c r="I21" s="6" t="e">
        <f t="shared" si="2"/>
        <v>#DIV/0!</v>
      </c>
      <c r="J21" s="116" t="e">
        <f t="shared" si="1"/>
        <v>#DIV/0!</v>
      </c>
    </row>
    <row r="22" spans="1:14" ht="18.75">
      <c r="A22" s="94">
        <f>Gen!A23</f>
        <v>44178</v>
      </c>
      <c r="B22" s="268">
        <v>85</v>
      </c>
      <c r="C22" s="268">
        <v>0</v>
      </c>
      <c r="D22" s="268">
        <v>20</v>
      </c>
      <c r="E22" s="268"/>
      <c r="F22" s="268">
        <v>73627.64</v>
      </c>
      <c r="G22" s="268">
        <f t="shared" si="0"/>
        <v>83.731999999994883</v>
      </c>
      <c r="H22" s="111">
        <f>Gen!B23</f>
        <v>0</v>
      </c>
      <c r="I22" s="6" t="e">
        <f t="shared" si="2"/>
        <v>#DIV/0!</v>
      </c>
      <c r="J22" s="116" t="e">
        <f t="shared" si="1"/>
        <v>#DIV/0!</v>
      </c>
    </row>
    <row r="23" spans="1:14" ht="18.75">
      <c r="A23" s="94">
        <f>Gen!A24</f>
        <v>44179</v>
      </c>
      <c r="B23" s="268">
        <v>85</v>
      </c>
      <c r="C23" s="268">
        <v>0</v>
      </c>
      <c r="D23" s="268">
        <v>15</v>
      </c>
      <c r="E23" s="268"/>
      <c r="F23" s="268">
        <v>73641.78</v>
      </c>
      <c r="G23" s="268">
        <f t="shared" si="0"/>
        <v>62.215999999997443</v>
      </c>
      <c r="H23" s="111">
        <f>Gen!B24</f>
        <v>0</v>
      </c>
      <c r="I23" s="6" t="e">
        <f t="shared" si="2"/>
        <v>#DIV/0!</v>
      </c>
      <c r="J23" s="116" t="e">
        <f t="shared" si="1"/>
        <v>#DIV/0!</v>
      </c>
    </row>
    <row r="24" spans="1:14" ht="18.75">
      <c r="A24" s="94">
        <f>Gen!A25</f>
        <v>44180</v>
      </c>
      <c r="B24" s="268">
        <v>85</v>
      </c>
      <c r="C24" s="268">
        <v>0</v>
      </c>
      <c r="D24" s="268">
        <v>13</v>
      </c>
      <c r="E24" s="268"/>
      <c r="F24" s="268">
        <v>73655.45</v>
      </c>
      <c r="G24" s="268">
        <f t="shared" si="0"/>
        <v>60.147999999992322</v>
      </c>
      <c r="H24" s="111">
        <f>Gen!B25</f>
        <v>0</v>
      </c>
      <c r="I24" s="6" t="e">
        <f t="shared" si="2"/>
        <v>#DIV/0!</v>
      </c>
      <c r="J24" s="116" t="e">
        <f t="shared" si="1"/>
        <v>#DIV/0!</v>
      </c>
    </row>
    <row r="25" spans="1:14" ht="18.75">
      <c r="A25" s="94">
        <f>Gen!A26</f>
        <v>44181</v>
      </c>
      <c r="B25" s="268">
        <v>85</v>
      </c>
      <c r="C25" s="268">
        <v>0</v>
      </c>
      <c r="D25" s="268">
        <v>9</v>
      </c>
      <c r="E25" s="268"/>
      <c r="F25" s="268">
        <v>73671.259999999995</v>
      </c>
      <c r="G25" s="268">
        <f t="shared" si="0"/>
        <v>69.563999999989761</v>
      </c>
      <c r="H25" s="111">
        <f>Gen!B26</f>
        <v>0</v>
      </c>
      <c r="I25" s="6" t="e">
        <f t="shared" si="2"/>
        <v>#DIV/0!</v>
      </c>
      <c r="J25" s="116" t="e">
        <f t="shared" si="1"/>
        <v>#DIV/0!</v>
      </c>
    </row>
    <row r="26" spans="1:14" ht="18.75">
      <c r="A26" s="94">
        <f>Gen!A27</f>
        <v>44182</v>
      </c>
      <c r="B26" s="268"/>
      <c r="C26" s="268"/>
      <c r="D26" s="268"/>
      <c r="E26" s="268"/>
      <c r="F26" s="268"/>
      <c r="G26" s="268">
        <f t="shared" si="0"/>
        <v>-324153.54399999999</v>
      </c>
      <c r="H26" s="111">
        <f>Gen!B27</f>
        <v>0</v>
      </c>
      <c r="I26" s="6" t="e">
        <f t="shared" si="2"/>
        <v>#DIV/0!</v>
      </c>
      <c r="J26" s="116" t="e">
        <f t="shared" si="1"/>
        <v>#DIV/0!</v>
      </c>
    </row>
    <row r="27" spans="1:14" ht="18.75">
      <c r="A27" s="94">
        <f>Gen!A28</f>
        <v>44183</v>
      </c>
      <c r="B27" s="268"/>
      <c r="C27" s="268"/>
      <c r="D27" s="268"/>
      <c r="E27" s="268"/>
      <c r="F27" s="268"/>
      <c r="G27" s="268">
        <f t="shared" ref="G27:G40" si="3">(F27-F26)*4.4</f>
        <v>0</v>
      </c>
      <c r="H27" s="111">
        <f>Gen!B28</f>
        <v>0</v>
      </c>
      <c r="I27" s="6" t="e">
        <f t="shared" si="2"/>
        <v>#DIV/0!</v>
      </c>
      <c r="J27" s="116" t="e">
        <f t="shared" si="1"/>
        <v>#DIV/0!</v>
      </c>
    </row>
    <row r="28" spans="1:14" ht="18.75">
      <c r="A28" s="94">
        <f>Gen!A29</f>
        <v>44184</v>
      </c>
      <c r="B28" s="268"/>
      <c r="C28" s="268"/>
      <c r="D28" s="268"/>
      <c r="E28" s="268"/>
      <c r="F28" s="268"/>
      <c r="G28" s="268">
        <f t="shared" si="3"/>
        <v>0</v>
      </c>
      <c r="H28" s="111">
        <f>Gen!B29</f>
        <v>0</v>
      </c>
      <c r="I28" s="6" t="e">
        <f t="shared" si="2"/>
        <v>#DIV/0!</v>
      </c>
      <c r="J28" s="116" t="e">
        <f t="shared" si="1"/>
        <v>#DIV/0!</v>
      </c>
    </row>
    <row r="29" spans="1:14" ht="18.75">
      <c r="A29" s="94">
        <f>Gen!A30</f>
        <v>44185</v>
      </c>
      <c r="B29" s="268"/>
      <c r="C29" s="268"/>
      <c r="D29" s="268"/>
      <c r="E29" s="268"/>
      <c r="F29" s="268"/>
      <c r="G29" s="268">
        <f t="shared" si="3"/>
        <v>0</v>
      </c>
      <c r="H29" s="111">
        <f>Gen!B30</f>
        <v>0</v>
      </c>
      <c r="I29" s="6" t="e">
        <f t="shared" ref="I29:I41" si="4">SUM(F29/H29)</f>
        <v>#DIV/0!</v>
      </c>
      <c r="J29" s="116" t="e">
        <f t="shared" si="1"/>
        <v>#DIV/0!</v>
      </c>
    </row>
    <row r="30" spans="1:14" ht="18.75">
      <c r="A30" s="94">
        <f>Gen!A31</f>
        <v>44186</v>
      </c>
      <c r="B30" s="268"/>
      <c r="C30" s="268"/>
      <c r="D30" s="268"/>
      <c r="E30" s="268"/>
      <c r="F30" s="268"/>
      <c r="G30" s="268">
        <f t="shared" si="3"/>
        <v>0</v>
      </c>
      <c r="H30" s="111">
        <f>Gen!B31</f>
        <v>0</v>
      </c>
      <c r="I30" s="6" t="e">
        <f t="shared" si="4"/>
        <v>#DIV/0!</v>
      </c>
      <c r="J30" s="116" t="e">
        <f t="shared" si="1"/>
        <v>#DIV/0!</v>
      </c>
    </row>
    <row r="31" spans="1:14" ht="18.75">
      <c r="A31" s="94">
        <f>Gen!A32</f>
        <v>44187</v>
      </c>
      <c r="B31" s="268"/>
      <c r="C31" s="268"/>
      <c r="D31" s="268"/>
      <c r="E31" s="268"/>
      <c r="F31" s="268"/>
      <c r="G31" s="268">
        <f t="shared" si="3"/>
        <v>0</v>
      </c>
      <c r="H31" s="111">
        <f>Gen!B32</f>
        <v>0</v>
      </c>
      <c r="I31" s="6" t="e">
        <f t="shared" si="4"/>
        <v>#DIV/0!</v>
      </c>
      <c r="J31" s="116" t="e">
        <f t="shared" si="1"/>
        <v>#DIV/0!</v>
      </c>
    </row>
    <row r="32" spans="1:14" ht="18.75">
      <c r="A32" s="94">
        <f>Gen!A33</f>
        <v>44188</v>
      </c>
      <c r="B32" s="268"/>
      <c r="C32" s="268"/>
      <c r="D32" s="268"/>
      <c r="E32" s="268"/>
      <c r="F32" s="268"/>
      <c r="G32" s="268">
        <f t="shared" si="3"/>
        <v>0</v>
      </c>
      <c r="H32" s="111">
        <f>Gen!B33</f>
        <v>0</v>
      </c>
      <c r="I32" s="6" t="e">
        <f t="shared" si="4"/>
        <v>#DIV/0!</v>
      </c>
      <c r="J32" s="116" t="e">
        <f t="shared" si="1"/>
        <v>#DIV/0!</v>
      </c>
    </row>
    <row r="33" spans="1:10" ht="18.75">
      <c r="A33" s="94">
        <f>Gen!A34</f>
        <v>44189</v>
      </c>
      <c r="B33" s="268"/>
      <c r="C33" s="268"/>
      <c r="D33" s="268"/>
      <c r="E33" s="268"/>
      <c r="F33" s="268"/>
      <c r="G33" s="268">
        <f t="shared" si="3"/>
        <v>0</v>
      </c>
      <c r="H33" s="111">
        <f>Gen!B34</f>
        <v>0</v>
      </c>
      <c r="I33" s="6" t="e">
        <f t="shared" si="4"/>
        <v>#DIV/0!</v>
      </c>
      <c r="J33" s="116" t="e">
        <f t="shared" si="1"/>
        <v>#DIV/0!</v>
      </c>
    </row>
    <row r="34" spans="1:10" ht="18.75">
      <c r="A34" s="94">
        <f>Gen!A35</f>
        <v>44190</v>
      </c>
      <c r="B34" s="268"/>
      <c r="C34" s="268"/>
      <c r="D34" s="268"/>
      <c r="E34" s="268"/>
      <c r="F34" s="268"/>
      <c r="G34" s="268">
        <f t="shared" si="3"/>
        <v>0</v>
      </c>
      <c r="H34" s="111">
        <f>Gen!B35</f>
        <v>0</v>
      </c>
      <c r="I34" s="6" t="e">
        <f t="shared" si="4"/>
        <v>#DIV/0!</v>
      </c>
      <c r="J34" s="116" t="e">
        <f t="shared" si="1"/>
        <v>#DIV/0!</v>
      </c>
    </row>
    <row r="35" spans="1:10" ht="18.75">
      <c r="A35" s="94">
        <f>Gen!A36</f>
        <v>44191</v>
      </c>
      <c r="B35" s="268"/>
      <c r="C35" s="268"/>
      <c r="D35" s="268"/>
      <c r="E35" s="268"/>
      <c r="F35" s="268"/>
      <c r="G35" s="268">
        <f t="shared" si="3"/>
        <v>0</v>
      </c>
      <c r="H35" s="111">
        <f>Gen!B36</f>
        <v>0</v>
      </c>
      <c r="I35" s="6" t="e">
        <f t="shared" si="4"/>
        <v>#DIV/0!</v>
      </c>
      <c r="J35" s="116" t="e">
        <f t="shared" si="1"/>
        <v>#DIV/0!</v>
      </c>
    </row>
    <row r="36" spans="1:10" ht="18.75">
      <c r="A36" s="94">
        <f>Gen!A37</f>
        <v>44192</v>
      </c>
      <c r="B36" s="268"/>
      <c r="C36" s="268"/>
      <c r="D36" s="268"/>
      <c r="E36" s="268"/>
      <c r="F36" s="268"/>
      <c r="G36" s="268">
        <f t="shared" si="3"/>
        <v>0</v>
      </c>
      <c r="H36" s="111">
        <f>Gen!B37</f>
        <v>0</v>
      </c>
      <c r="I36" s="6" t="e">
        <f t="shared" si="4"/>
        <v>#DIV/0!</v>
      </c>
      <c r="J36" s="116" t="e">
        <f t="shared" si="1"/>
        <v>#DIV/0!</v>
      </c>
    </row>
    <row r="37" spans="1:10" ht="18.75">
      <c r="A37" s="94">
        <f>Gen!A38</f>
        <v>44193</v>
      </c>
      <c r="B37" s="268"/>
      <c r="C37" s="268"/>
      <c r="D37" s="268"/>
      <c r="E37" s="268"/>
      <c r="F37" s="268"/>
      <c r="G37" s="268">
        <f t="shared" si="3"/>
        <v>0</v>
      </c>
      <c r="H37" s="111">
        <f>Gen!B38</f>
        <v>0</v>
      </c>
      <c r="I37" s="6" t="e">
        <f t="shared" si="4"/>
        <v>#DIV/0!</v>
      </c>
      <c r="J37" s="116" t="e">
        <f t="shared" si="1"/>
        <v>#DIV/0!</v>
      </c>
    </row>
    <row r="38" spans="1:10" ht="18.75">
      <c r="A38" s="94">
        <f>Gen!A39</f>
        <v>44194</v>
      </c>
      <c r="B38" s="268"/>
      <c r="C38" s="268"/>
      <c r="D38" s="268"/>
      <c r="E38" s="268"/>
      <c r="F38" s="268"/>
      <c r="G38" s="268">
        <f t="shared" si="3"/>
        <v>0</v>
      </c>
      <c r="H38" s="111">
        <f>Gen!B39</f>
        <v>0</v>
      </c>
      <c r="I38" s="6" t="e">
        <f t="shared" si="4"/>
        <v>#DIV/0!</v>
      </c>
      <c r="J38" s="116" t="e">
        <f t="shared" si="1"/>
        <v>#DIV/0!</v>
      </c>
    </row>
    <row r="39" spans="1:10" ht="18.75">
      <c r="A39" s="94">
        <f>Gen!A40</f>
        <v>44195</v>
      </c>
      <c r="B39" s="268"/>
      <c r="C39" s="268"/>
      <c r="D39" s="268"/>
      <c r="E39" s="268"/>
      <c r="F39" s="268"/>
      <c r="G39" s="268">
        <f t="shared" si="3"/>
        <v>0</v>
      </c>
      <c r="H39" s="111">
        <f>Gen!B40</f>
        <v>0</v>
      </c>
      <c r="I39" s="6" t="e">
        <f t="shared" si="4"/>
        <v>#DIV/0!</v>
      </c>
      <c r="J39" s="116" t="e">
        <f t="shared" si="1"/>
        <v>#DIV/0!</v>
      </c>
    </row>
    <row r="40" spans="1:10" ht="18.75">
      <c r="A40" s="94">
        <f>Gen!A41</f>
        <v>44196</v>
      </c>
      <c r="B40" s="268"/>
      <c r="C40" s="268"/>
      <c r="D40" s="268"/>
      <c r="E40" s="268"/>
      <c r="F40" s="268"/>
      <c r="G40" s="268">
        <f t="shared" si="3"/>
        <v>0</v>
      </c>
      <c r="H40" s="111">
        <f>Gen!B41</f>
        <v>0</v>
      </c>
      <c r="I40" s="6" t="e">
        <f t="shared" si="4"/>
        <v>#DIV/0!</v>
      </c>
      <c r="J40" s="116" t="e">
        <f t="shared" si="1"/>
        <v>#DIV/0!</v>
      </c>
    </row>
    <row r="41" spans="1:10" ht="18.75">
      <c r="A41" s="94">
        <f>Gen!A42</f>
        <v>44197</v>
      </c>
      <c r="B41" s="268"/>
      <c r="C41" s="268"/>
      <c r="D41" s="268"/>
      <c r="E41" s="268"/>
      <c r="F41" s="268"/>
      <c r="G41" s="268"/>
      <c r="H41" s="111">
        <f>Gen!B42</f>
        <v>0</v>
      </c>
      <c r="I41" s="6" t="e">
        <f t="shared" si="4"/>
        <v>#DIV/0!</v>
      </c>
      <c r="J41" s="6"/>
    </row>
    <row r="42" spans="1:10" ht="17.25">
      <c r="A42" s="94"/>
      <c r="B42" s="5"/>
      <c r="C42" s="897" t="s">
        <v>6</v>
      </c>
      <c r="D42" s="897"/>
      <c r="E42" s="2">
        <f t="shared" ref="E42:F42" si="5">SUM(E10:E40)</f>
        <v>73422</v>
      </c>
      <c r="F42" s="2">
        <f t="shared" si="5"/>
        <v>1176780.99</v>
      </c>
      <c r="G42" s="101">
        <f>SUM(G10:G40)</f>
        <v>1.7462298274040222E-10</v>
      </c>
      <c r="H42" s="111">
        <f>Gen!B43</f>
        <v>4.8500000000000001E-2</v>
      </c>
      <c r="I42" s="6"/>
      <c r="J42" s="116"/>
    </row>
    <row r="45" spans="1:10">
      <c r="F45">
        <f>E12-E11</f>
        <v>0</v>
      </c>
      <c r="G45" s="14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44166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44167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44168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44169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44170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44171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44172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44173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44174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44175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44176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44177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44178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44179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44180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44181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44182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44183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44184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44185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44186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44187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44188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44189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44190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44191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44192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44193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44194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44195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44196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37" zoomScale="94" zoomScaleNormal="94" workbookViewId="0">
      <pane xSplit="1" topLeftCell="B1" activePane="topRight" state="frozen"/>
      <selection pane="topRight" activeCell="I64" sqref="I64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2" t="s">
        <v>315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  <c r="N1" s="923"/>
      <c r="O1" s="923"/>
      <c r="P1" s="923"/>
      <c r="Q1" s="923"/>
      <c r="R1" s="923"/>
      <c r="S1" s="923"/>
      <c r="T1" s="923"/>
      <c r="U1" s="923"/>
      <c r="V1" s="923"/>
      <c r="W1" s="923"/>
      <c r="X1" s="923"/>
      <c r="Y1" s="923"/>
      <c r="Z1" s="923"/>
      <c r="AA1" s="923"/>
      <c r="AB1" s="923"/>
      <c r="AC1" s="923"/>
      <c r="AD1" s="923"/>
      <c r="AE1" s="923"/>
      <c r="AF1" s="923"/>
      <c r="AG1" s="923"/>
      <c r="AH1" s="923"/>
      <c r="AI1" s="923"/>
      <c r="AJ1" s="923"/>
      <c r="AK1" s="923"/>
      <c r="AL1" s="923"/>
      <c r="AM1" s="923"/>
      <c r="AN1" s="923"/>
    </row>
    <row r="2" spans="1:40" ht="13.5" customHeight="1" thickTop="1">
      <c r="A2" s="29"/>
      <c r="B2" s="29"/>
      <c r="C2" s="921" t="s">
        <v>52</v>
      </c>
      <c r="D2" s="921"/>
      <c r="E2" s="921"/>
      <c r="F2" s="921" t="s">
        <v>17</v>
      </c>
      <c r="G2" s="921"/>
      <c r="H2" s="921"/>
      <c r="I2" s="921" t="s">
        <v>131</v>
      </c>
      <c r="J2" s="921"/>
      <c r="K2" s="921"/>
      <c r="L2" s="921" t="s">
        <v>134</v>
      </c>
      <c r="M2" s="921"/>
      <c r="N2" s="921"/>
      <c r="O2" s="921" t="s">
        <v>132</v>
      </c>
      <c r="P2" s="921"/>
      <c r="Q2" s="921"/>
      <c r="R2" s="252"/>
      <c r="S2" s="930" t="s">
        <v>181</v>
      </c>
      <c r="T2" s="931"/>
      <c r="U2" s="932"/>
      <c r="V2" s="930" t="s">
        <v>182</v>
      </c>
      <c r="W2" s="931"/>
      <c r="X2" s="932"/>
      <c r="Y2" s="930" t="s">
        <v>183</v>
      </c>
      <c r="Z2" s="931"/>
      <c r="AA2" s="932"/>
      <c r="AB2" s="930" t="s">
        <v>184</v>
      </c>
      <c r="AC2" s="931"/>
      <c r="AD2" s="932"/>
      <c r="AE2" s="924" t="s">
        <v>239</v>
      </c>
      <c r="AF2" s="925"/>
      <c r="AG2" s="936"/>
      <c r="AH2" s="924" t="s">
        <v>243</v>
      </c>
      <c r="AI2" s="925"/>
      <c r="AJ2" s="936"/>
      <c r="AK2" s="924" t="s">
        <v>240</v>
      </c>
      <c r="AL2" s="925"/>
      <c r="AM2" s="925"/>
      <c r="AN2" s="928" t="s">
        <v>189</v>
      </c>
    </row>
    <row r="3" spans="1:40" ht="21.75" customHeight="1" thickBot="1">
      <c r="A3" s="919" t="s">
        <v>7</v>
      </c>
      <c r="B3" s="29"/>
      <c r="C3" s="921" t="s">
        <v>133</v>
      </c>
      <c r="D3" s="921" t="s">
        <v>15</v>
      </c>
      <c r="E3" s="921" t="s">
        <v>16</v>
      </c>
      <c r="F3" s="921" t="s">
        <v>133</v>
      </c>
      <c r="G3" s="921" t="s">
        <v>15</v>
      </c>
      <c r="H3" s="921" t="s">
        <v>16</v>
      </c>
      <c r="I3" s="921" t="s">
        <v>133</v>
      </c>
      <c r="J3" s="921" t="s">
        <v>15</v>
      </c>
      <c r="K3" s="921" t="s">
        <v>16</v>
      </c>
      <c r="L3" s="921" t="s">
        <v>133</v>
      </c>
      <c r="M3" s="921" t="s">
        <v>15</v>
      </c>
      <c r="N3" s="921" t="s">
        <v>16</v>
      </c>
      <c r="O3" s="921" t="s">
        <v>133</v>
      </c>
      <c r="P3" s="921" t="s">
        <v>15</v>
      </c>
      <c r="Q3" s="921" t="s">
        <v>16</v>
      </c>
      <c r="R3" s="938" t="s">
        <v>185</v>
      </c>
      <c r="S3" s="933"/>
      <c r="T3" s="934"/>
      <c r="U3" s="935"/>
      <c r="V3" s="933"/>
      <c r="W3" s="934"/>
      <c r="X3" s="935"/>
      <c r="Y3" s="933"/>
      <c r="Z3" s="934"/>
      <c r="AA3" s="935"/>
      <c r="AB3" s="933"/>
      <c r="AC3" s="934"/>
      <c r="AD3" s="935"/>
      <c r="AE3" s="926"/>
      <c r="AF3" s="927"/>
      <c r="AG3" s="937"/>
      <c r="AH3" s="926"/>
      <c r="AI3" s="927"/>
      <c r="AJ3" s="937"/>
      <c r="AK3" s="926"/>
      <c r="AL3" s="927"/>
      <c r="AM3" s="927"/>
      <c r="AN3" s="929"/>
    </row>
    <row r="4" spans="1:40" ht="15.75" thickTop="1">
      <c r="A4" s="920"/>
      <c r="B4" s="244"/>
      <c r="C4" s="921"/>
      <c r="D4" s="921"/>
      <c r="E4" s="921"/>
      <c r="F4" s="921"/>
      <c r="G4" s="921"/>
      <c r="H4" s="921"/>
      <c r="I4" s="921"/>
      <c r="J4" s="921"/>
      <c r="K4" s="921"/>
      <c r="L4" s="921"/>
      <c r="M4" s="921"/>
      <c r="N4" s="921"/>
      <c r="O4" s="921"/>
      <c r="P4" s="921"/>
      <c r="Q4" s="921"/>
      <c r="R4" s="938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7" t="s">
        <v>186</v>
      </c>
      <c r="AC4" s="608" t="s">
        <v>187</v>
      </c>
      <c r="AD4" s="609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244974</v>
      </c>
      <c r="E5" s="58">
        <f t="shared" ref="E5:E15" si="1">IF((D5-D4)&lt;0,"0",(D5-D4))</f>
        <v>244974</v>
      </c>
      <c r="F5" s="95">
        <f t="shared" ref="F5:F37" si="2">G4</f>
        <v>0</v>
      </c>
      <c r="G5" s="387"/>
      <c r="H5" s="476">
        <v>0</v>
      </c>
      <c r="I5" s="95">
        <f t="shared" ref="I5:I24" si="3">J4</f>
        <v>0</v>
      </c>
      <c r="J5" s="1">
        <v>8116</v>
      </c>
      <c r="K5" s="476">
        <f t="shared" ref="K5:K6" si="4">J5-J4</f>
        <v>8116</v>
      </c>
      <c r="L5" s="95">
        <f t="shared" ref="L5:L24" si="5">M4</f>
        <v>0</v>
      </c>
      <c r="M5" s="1"/>
      <c r="N5" s="476">
        <v>0</v>
      </c>
      <c r="O5" s="95">
        <f t="shared" ref="O5:O25" si="6">P4</f>
        <v>0</v>
      </c>
      <c r="P5" s="383">
        <v>20558</v>
      </c>
      <c r="Q5" s="476">
        <f t="shared" ref="Q5:Q27" si="7">IF((P5-P4)&lt;0,"0",(P5-P4))</f>
        <v>20558</v>
      </c>
      <c r="R5" s="246"/>
      <c r="S5" s="245"/>
      <c r="T5" s="384">
        <v>61904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86505</v>
      </c>
      <c r="AA5" s="246">
        <v>0</v>
      </c>
      <c r="AB5" s="610" t="str">
        <f>AC4</f>
        <v>FINAL</v>
      </c>
      <c r="AC5" s="614">
        <v>16783</v>
      </c>
      <c r="AD5" s="612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27269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44166</v>
      </c>
      <c r="B6" s="4"/>
      <c r="C6" s="95">
        <f t="shared" si="0"/>
        <v>244974</v>
      </c>
      <c r="D6" s="1">
        <v>245029</v>
      </c>
      <c r="E6" s="58">
        <f t="shared" si="1"/>
        <v>55</v>
      </c>
      <c r="F6" s="95">
        <f t="shared" si="2"/>
        <v>0</v>
      </c>
      <c r="G6" s="387"/>
      <c r="H6" s="476">
        <f t="shared" ref="H6:H24" si="13">IF((G6-G5)&lt;0,"0",(G6-G5))</f>
        <v>0</v>
      </c>
      <c r="I6" s="95">
        <f t="shared" si="3"/>
        <v>8116</v>
      </c>
      <c r="J6" s="1">
        <v>8118</v>
      </c>
      <c r="K6" s="476">
        <f t="shared" si="4"/>
        <v>2</v>
      </c>
      <c r="L6" s="95">
        <f t="shared" si="5"/>
        <v>0</v>
      </c>
      <c r="M6" s="1"/>
      <c r="N6" s="476">
        <f t="shared" ref="N6:N24" si="14">IF((M6-M5)&lt;0,"0",(M6-M5))</f>
        <v>0</v>
      </c>
      <c r="O6" s="95">
        <f t="shared" si="6"/>
        <v>20558</v>
      </c>
      <c r="P6" s="383">
        <v>20562</v>
      </c>
      <c r="Q6" s="476">
        <f t="shared" si="7"/>
        <v>4</v>
      </c>
      <c r="R6" s="250"/>
      <c r="S6" s="245">
        <f t="shared" ref="S6:S24" si="15">T5</f>
        <v>61904</v>
      </c>
      <c r="T6" s="384">
        <v>61904</v>
      </c>
      <c r="U6" s="477">
        <f t="shared" ref="U6:U24" si="16">IF((T6-T5)&lt;0,"0",(T6-T5))</f>
        <v>0</v>
      </c>
      <c r="V6" s="245">
        <f t="shared" si="8"/>
        <v>73031</v>
      </c>
      <c r="W6" s="384">
        <v>73031</v>
      </c>
      <c r="X6" s="477">
        <f t="shared" ref="X6:X37" si="17">IF((W6-W5)&lt;0,"0",(W6-W5))</f>
        <v>0</v>
      </c>
      <c r="Y6" s="245">
        <f t="shared" si="9"/>
        <v>86505</v>
      </c>
      <c r="Z6" s="384">
        <v>86559</v>
      </c>
      <c r="AA6" s="477">
        <f t="shared" ref="AA6:AA37" si="18">IF((Z6-Z5)&lt;0,"0",(Z6-Z5))</f>
        <v>54</v>
      </c>
      <c r="AB6" s="610">
        <f>AC5</f>
        <v>16783</v>
      </c>
      <c r="AC6" s="621">
        <v>16802</v>
      </c>
      <c r="AD6" s="613">
        <f>IF((AC6-AC5)&lt;0,"0",(AC6-AC5))</f>
        <v>19</v>
      </c>
      <c r="AE6" s="245">
        <f t="shared" si="10"/>
        <v>18300</v>
      </c>
      <c r="AF6" s="385">
        <v>18300</v>
      </c>
      <c r="AG6" s="477">
        <f t="shared" ref="AG6:AG37" si="19">IF((AF6-AF5)&lt;0,"0",(AF6-AF5))</f>
        <v>0</v>
      </c>
      <c r="AH6" s="245">
        <f t="shared" si="11"/>
        <v>27269</v>
      </c>
      <c r="AI6" s="385">
        <v>27292</v>
      </c>
      <c r="AJ6" s="477">
        <f t="shared" ref="AJ6:AJ37" si="20">IF((AI6-AI5)&lt;0,"0",(AI6-AI5))</f>
        <v>23</v>
      </c>
      <c r="AK6" s="315">
        <f t="shared" si="12"/>
        <v>0</v>
      </c>
      <c r="AL6" s="384"/>
      <c r="AM6" s="477">
        <f t="shared" ref="AM6:AM37" si="21">IF((AL6-AL5)&lt;0,"0",(AL6-AL5))</f>
        <v>0</v>
      </c>
      <c r="AN6" s="389">
        <f>U6+X6+AA6+AD6+AG6+AJ6+AM6</f>
        <v>96</v>
      </c>
    </row>
    <row r="7" spans="1:40" ht="23.1" customHeight="1">
      <c r="A7" s="57">
        <f>Gen!A12</f>
        <v>44167</v>
      </c>
      <c r="B7" s="4"/>
      <c r="C7" s="95">
        <f t="shared" si="0"/>
        <v>245029</v>
      </c>
      <c r="D7" s="1">
        <v>245104</v>
      </c>
      <c r="E7" s="58">
        <f t="shared" si="1"/>
        <v>75</v>
      </c>
      <c r="F7" s="95">
        <f t="shared" si="2"/>
        <v>0</v>
      </c>
      <c r="G7" s="387"/>
      <c r="H7" s="476">
        <f t="shared" si="13"/>
        <v>0</v>
      </c>
      <c r="I7" s="95">
        <f t="shared" si="3"/>
        <v>8118</v>
      </c>
      <c r="J7" s="1">
        <v>8120</v>
      </c>
      <c r="K7" s="476">
        <f>J7-J6</f>
        <v>2</v>
      </c>
      <c r="L7" s="95">
        <f t="shared" si="5"/>
        <v>0</v>
      </c>
      <c r="M7" s="1"/>
      <c r="N7" s="476">
        <f t="shared" si="14"/>
        <v>0</v>
      </c>
      <c r="O7" s="95">
        <f t="shared" si="6"/>
        <v>20562</v>
      </c>
      <c r="P7" s="383">
        <v>20565</v>
      </c>
      <c r="Q7" s="476">
        <f t="shared" si="7"/>
        <v>3</v>
      </c>
      <c r="R7" s="250"/>
      <c r="S7" s="245">
        <f t="shared" si="15"/>
        <v>61904</v>
      </c>
      <c r="T7" s="384">
        <v>61904</v>
      </c>
      <c r="U7" s="477">
        <f t="shared" si="16"/>
        <v>0</v>
      </c>
      <c r="V7" s="245">
        <f t="shared" si="8"/>
        <v>73031</v>
      </c>
      <c r="W7" s="384">
        <v>73031</v>
      </c>
      <c r="X7" s="477">
        <f t="shared" si="17"/>
        <v>0</v>
      </c>
      <c r="Y7" s="245">
        <f t="shared" si="9"/>
        <v>86559</v>
      </c>
      <c r="Z7" s="384">
        <v>86613</v>
      </c>
      <c r="AA7" s="477">
        <f t="shared" si="18"/>
        <v>54</v>
      </c>
      <c r="AB7" s="610">
        <f t="shared" ref="AB7:AB37" si="22">AC6</f>
        <v>16802</v>
      </c>
      <c r="AC7" s="611">
        <v>16819</v>
      </c>
      <c r="AD7" s="613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7">
        <f t="shared" si="19"/>
        <v>0</v>
      </c>
      <c r="AH7" s="245">
        <f t="shared" si="11"/>
        <v>27292</v>
      </c>
      <c r="AI7" s="385">
        <v>27316</v>
      </c>
      <c r="AJ7" s="477">
        <f t="shared" si="20"/>
        <v>24</v>
      </c>
      <c r="AK7" s="315">
        <f t="shared" si="12"/>
        <v>0</v>
      </c>
      <c r="AL7" s="384"/>
      <c r="AM7" s="477">
        <f t="shared" si="21"/>
        <v>0</v>
      </c>
      <c r="AN7" s="389">
        <f t="shared" ref="AN7:AN36" si="24">U7+X7+AA7+AD7+AG7+AJ7+AM7</f>
        <v>95</v>
      </c>
    </row>
    <row r="8" spans="1:40" ht="23.1" customHeight="1">
      <c r="A8" s="57">
        <f>Gen!A13</f>
        <v>44168</v>
      </c>
      <c r="B8" s="4"/>
      <c r="C8" s="95">
        <f t="shared" si="0"/>
        <v>245104</v>
      </c>
      <c r="D8" s="1">
        <v>245163</v>
      </c>
      <c r="E8" s="58">
        <f t="shared" si="1"/>
        <v>59</v>
      </c>
      <c r="F8" s="95">
        <f t="shared" si="2"/>
        <v>0</v>
      </c>
      <c r="G8" s="387"/>
      <c r="H8" s="476">
        <f t="shared" si="13"/>
        <v>0</v>
      </c>
      <c r="I8" s="95">
        <f t="shared" si="3"/>
        <v>8120</v>
      </c>
      <c r="J8" s="1">
        <v>8121</v>
      </c>
      <c r="K8" s="476">
        <f>J8-J7</f>
        <v>1</v>
      </c>
      <c r="L8" s="95">
        <f t="shared" si="5"/>
        <v>0</v>
      </c>
      <c r="M8" s="1"/>
      <c r="N8" s="476">
        <f t="shared" si="14"/>
        <v>0</v>
      </c>
      <c r="O8" s="95">
        <f t="shared" si="6"/>
        <v>20565</v>
      </c>
      <c r="P8" s="383">
        <v>20566</v>
      </c>
      <c r="Q8" s="476">
        <f t="shared" si="7"/>
        <v>1</v>
      </c>
      <c r="R8" s="250"/>
      <c r="S8" s="245">
        <f t="shared" si="15"/>
        <v>61904</v>
      </c>
      <c r="T8" s="384">
        <v>61922</v>
      </c>
      <c r="U8" s="477">
        <f t="shared" si="16"/>
        <v>18</v>
      </c>
      <c r="V8" s="245">
        <f t="shared" si="8"/>
        <v>73031</v>
      </c>
      <c r="W8" s="384">
        <v>73031</v>
      </c>
      <c r="X8" s="477">
        <f t="shared" si="17"/>
        <v>0</v>
      </c>
      <c r="Y8" s="245">
        <f t="shared" si="9"/>
        <v>86613</v>
      </c>
      <c r="Z8" s="384">
        <v>86670</v>
      </c>
      <c r="AA8" s="477">
        <f t="shared" si="18"/>
        <v>57</v>
      </c>
      <c r="AB8" s="610">
        <f t="shared" si="22"/>
        <v>16819</v>
      </c>
      <c r="AC8" s="611">
        <v>16839</v>
      </c>
      <c r="AD8" s="613">
        <f t="shared" si="23"/>
        <v>20</v>
      </c>
      <c r="AE8" s="245">
        <f t="shared" si="10"/>
        <v>18300</v>
      </c>
      <c r="AF8" s="385">
        <v>18300</v>
      </c>
      <c r="AG8" s="477">
        <f t="shared" si="19"/>
        <v>0</v>
      </c>
      <c r="AH8" s="245">
        <f t="shared" si="11"/>
        <v>27316</v>
      </c>
      <c r="AI8" s="385">
        <v>27337</v>
      </c>
      <c r="AJ8" s="477">
        <f t="shared" si="20"/>
        <v>21</v>
      </c>
      <c r="AK8" s="315">
        <f t="shared" si="12"/>
        <v>0</v>
      </c>
      <c r="AL8" s="384"/>
      <c r="AM8" s="477">
        <f t="shared" si="21"/>
        <v>0</v>
      </c>
      <c r="AN8" s="389">
        <f t="shared" si="24"/>
        <v>116</v>
      </c>
    </row>
    <row r="9" spans="1:40" ht="23.1" customHeight="1">
      <c r="A9" s="57">
        <f>Gen!A14</f>
        <v>44169</v>
      </c>
      <c r="B9" s="4"/>
      <c r="C9" s="95">
        <f t="shared" si="0"/>
        <v>245163</v>
      </c>
      <c r="D9" s="1">
        <v>245212</v>
      </c>
      <c r="E9" s="58">
        <f t="shared" si="1"/>
        <v>49</v>
      </c>
      <c r="F9" s="95">
        <f t="shared" si="2"/>
        <v>0</v>
      </c>
      <c r="G9" s="387"/>
      <c r="H9" s="476">
        <f t="shared" si="13"/>
        <v>0</v>
      </c>
      <c r="I9" s="95">
        <f t="shared" si="3"/>
        <v>8121</v>
      </c>
      <c r="J9" s="1">
        <v>8122</v>
      </c>
      <c r="K9" s="476">
        <f>J9-J8</f>
        <v>1</v>
      </c>
      <c r="L9" s="95">
        <f t="shared" si="5"/>
        <v>0</v>
      </c>
      <c r="M9" s="1"/>
      <c r="N9" s="476">
        <f t="shared" si="14"/>
        <v>0</v>
      </c>
      <c r="O9" s="95">
        <f t="shared" si="6"/>
        <v>20566</v>
      </c>
      <c r="P9" s="383">
        <v>20569</v>
      </c>
      <c r="Q9" s="476">
        <f t="shared" si="7"/>
        <v>3</v>
      </c>
      <c r="R9" s="250"/>
      <c r="S9" s="245">
        <f t="shared" si="15"/>
        <v>61922</v>
      </c>
      <c r="T9" s="384">
        <v>61922</v>
      </c>
      <c r="U9" s="477">
        <f t="shared" si="16"/>
        <v>0</v>
      </c>
      <c r="V9" s="245">
        <f t="shared" si="8"/>
        <v>73031</v>
      </c>
      <c r="W9" s="384">
        <v>73031</v>
      </c>
      <c r="X9" s="477">
        <f t="shared" si="17"/>
        <v>0</v>
      </c>
      <c r="Y9" s="245">
        <f t="shared" si="9"/>
        <v>86670</v>
      </c>
      <c r="Z9" s="384">
        <v>86724</v>
      </c>
      <c r="AA9" s="477">
        <f t="shared" si="18"/>
        <v>54</v>
      </c>
      <c r="AB9" s="610">
        <f t="shared" si="22"/>
        <v>16839</v>
      </c>
      <c r="AC9" s="611">
        <v>16858</v>
      </c>
      <c r="AD9" s="613">
        <f t="shared" si="23"/>
        <v>19</v>
      </c>
      <c r="AE9" s="245">
        <f t="shared" si="10"/>
        <v>18300</v>
      </c>
      <c r="AF9" s="385">
        <v>18300</v>
      </c>
      <c r="AG9" s="477">
        <f t="shared" si="19"/>
        <v>0</v>
      </c>
      <c r="AH9" s="245">
        <f t="shared" ref="AH9" si="25">AI9</f>
        <v>27361</v>
      </c>
      <c r="AI9" s="385">
        <v>27361</v>
      </c>
      <c r="AJ9" s="477">
        <f t="shared" si="20"/>
        <v>24</v>
      </c>
      <c r="AK9" s="315">
        <f t="shared" si="12"/>
        <v>0</v>
      </c>
      <c r="AL9" s="384"/>
      <c r="AM9" s="477">
        <f t="shared" si="21"/>
        <v>0</v>
      </c>
      <c r="AN9" s="389">
        <f t="shared" si="24"/>
        <v>97</v>
      </c>
    </row>
    <row r="10" spans="1:40" ht="23.1" customHeight="1">
      <c r="A10" s="57">
        <f>Gen!A15</f>
        <v>44170</v>
      </c>
      <c r="B10" s="4"/>
      <c r="C10" s="95">
        <f t="shared" si="0"/>
        <v>245212</v>
      </c>
      <c r="D10" s="1">
        <v>245272</v>
      </c>
      <c r="E10" s="58">
        <f t="shared" si="1"/>
        <v>60</v>
      </c>
      <c r="F10" s="95">
        <f t="shared" si="2"/>
        <v>0</v>
      </c>
      <c r="G10" s="387"/>
      <c r="H10" s="476">
        <f t="shared" si="13"/>
        <v>0</v>
      </c>
      <c r="I10" s="95">
        <f t="shared" si="3"/>
        <v>8122</v>
      </c>
      <c r="J10" s="1">
        <v>8123</v>
      </c>
      <c r="K10" s="476">
        <f t="shared" ref="K10:K27" si="26">IF((J10-J9)&lt;0,"0",(J10-J9))</f>
        <v>1</v>
      </c>
      <c r="L10" s="95">
        <f t="shared" si="5"/>
        <v>0</v>
      </c>
      <c r="M10" s="1"/>
      <c r="N10" s="476">
        <f t="shared" si="14"/>
        <v>0</v>
      </c>
      <c r="O10" s="95">
        <f t="shared" si="6"/>
        <v>20569</v>
      </c>
      <c r="P10" s="383">
        <v>20572</v>
      </c>
      <c r="Q10" s="476">
        <f t="shared" si="7"/>
        <v>3</v>
      </c>
      <c r="R10" s="250"/>
      <c r="S10" s="245">
        <f t="shared" si="15"/>
        <v>61922</v>
      </c>
      <c r="T10" s="384">
        <v>61984</v>
      </c>
      <c r="U10" s="477">
        <f t="shared" si="16"/>
        <v>62</v>
      </c>
      <c r="V10" s="245">
        <f t="shared" si="8"/>
        <v>73031</v>
      </c>
      <c r="W10" s="384">
        <v>73031</v>
      </c>
      <c r="X10" s="477">
        <f t="shared" si="17"/>
        <v>0</v>
      </c>
      <c r="Y10" s="245">
        <f t="shared" si="9"/>
        <v>86724</v>
      </c>
      <c r="Z10" s="384">
        <v>86779</v>
      </c>
      <c r="AA10" s="477">
        <f t="shared" si="18"/>
        <v>55</v>
      </c>
      <c r="AB10" s="610">
        <f t="shared" si="22"/>
        <v>16858</v>
      </c>
      <c r="AC10" s="611">
        <v>16876</v>
      </c>
      <c r="AD10" s="613">
        <f t="shared" si="23"/>
        <v>18</v>
      </c>
      <c r="AE10" s="245">
        <f t="shared" si="10"/>
        <v>18300</v>
      </c>
      <c r="AF10" s="385">
        <v>18300</v>
      </c>
      <c r="AG10" s="477">
        <f t="shared" si="19"/>
        <v>0</v>
      </c>
      <c r="AH10" s="245">
        <f t="shared" si="11"/>
        <v>27361</v>
      </c>
      <c r="AI10" s="385">
        <v>27384</v>
      </c>
      <c r="AJ10" s="477">
        <f t="shared" si="20"/>
        <v>23</v>
      </c>
      <c r="AK10" s="315">
        <f t="shared" si="12"/>
        <v>0</v>
      </c>
      <c r="AL10" s="384"/>
      <c r="AM10" s="477">
        <f t="shared" si="21"/>
        <v>0</v>
      </c>
      <c r="AN10" s="389">
        <f t="shared" si="24"/>
        <v>158</v>
      </c>
    </row>
    <row r="11" spans="1:40" ht="23.1" customHeight="1">
      <c r="A11" s="57">
        <f>Gen!A16</f>
        <v>44171</v>
      </c>
      <c r="B11" s="4"/>
      <c r="C11" s="95">
        <f t="shared" si="0"/>
        <v>245272</v>
      </c>
      <c r="D11" s="1">
        <v>245323</v>
      </c>
      <c r="E11" s="58">
        <f t="shared" si="1"/>
        <v>51</v>
      </c>
      <c r="F11" s="95">
        <f t="shared" si="2"/>
        <v>0</v>
      </c>
      <c r="G11" s="387"/>
      <c r="H11" s="476">
        <f t="shared" si="13"/>
        <v>0</v>
      </c>
      <c r="I11" s="95">
        <f t="shared" si="3"/>
        <v>8123</v>
      </c>
      <c r="J11" s="1">
        <v>8124</v>
      </c>
      <c r="K11" s="476">
        <f t="shared" si="26"/>
        <v>1</v>
      </c>
      <c r="L11" s="95">
        <f t="shared" si="5"/>
        <v>0</v>
      </c>
      <c r="M11" s="1"/>
      <c r="N11" s="476">
        <f t="shared" si="14"/>
        <v>0</v>
      </c>
      <c r="O11" s="95">
        <f t="shared" si="6"/>
        <v>20572</v>
      </c>
      <c r="P11" s="383">
        <v>20577</v>
      </c>
      <c r="Q11" s="476">
        <f t="shared" si="7"/>
        <v>5</v>
      </c>
      <c r="R11" s="250"/>
      <c r="S11" s="245">
        <f t="shared" si="15"/>
        <v>61984</v>
      </c>
      <c r="T11" s="384">
        <v>62005</v>
      </c>
      <c r="U11" s="477">
        <f t="shared" si="16"/>
        <v>21</v>
      </c>
      <c r="V11" s="245">
        <f t="shared" si="8"/>
        <v>73031</v>
      </c>
      <c r="W11" s="384">
        <v>73031</v>
      </c>
      <c r="X11" s="477">
        <f t="shared" si="17"/>
        <v>0</v>
      </c>
      <c r="Y11" s="245">
        <f t="shared" si="9"/>
        <v>86779</v>
      </c>
      <c r="Z11" s="384">
        <v>86834</v>
      </c>
      <c r="AA11" s="477">
        <f t="shared" si="18"/>
        <v>55</v>
      </c>
      <c r="AB11" s="610">
        <f t="shared" si="22"/>
        <v>16876</v>
      </c>
      <c r="AC11" s="611">
        <v>16895</v>
      </c>
      <c r="AD11" s="613">
        <f t="shared" si="23"/>
        <v>19</v>
      </c>
      <c r="AE11" s="245">
        <f>AF11</f>
        <v>18300</v>
      </c>
      <c r="AF11" s="385">
        <v>18300</v>
      </c>
      <c r="AG11" s="477">
        <f t="shared" si="19"/>
        <v>0</v>
      </c>
      <c r="AH11" s="245">
        <f t="shared" si="11"/>
        <v>27384</v>
      </c>
      <c r="AI11" s="385">
        <v>27407</v>
      </c>
      <c r="AJ11" s="477">
        <f t="shared" si="20"/>
        <v>23</v>
      </c>
      <c r="AK11" s="315">
        <f t="shared" si="12"/>
        <v>0</v>
      </c>
      <c r="AL11" s="384"/>
      <c r="AM11" s="477">
        <f t="shared" si="21"/>
        <v>0</v>
      </c>
      <c r="AN11" s="389">
        <f t="shared" si="24"/>
        <v>118</v>
      </c>
    </row>
    <row r="12" spans="1:40" ht="23.1" customHeight="1">
      <c r="A12" s="57">
        <f>Gen!A17</f>
        <v>44172</v>
      </c>
      <c r="B12" s="4"/>
      <c r="C12" s="95">
        <f t="shared" si="0"/>
        <v>245323</v>
      </c>
      <c r="D12" s="1">
        <v>245366</v>
      </c>
      <c r="E12" s="58">
        <f t="shared" si="1"/>
        <v>43</v>
      </c>
      <c r="F12" s="95">
        <f t="shared" si="2"/>
        <v>0</v>
      </c>
      <c r="G12" s="387"/>
      <c r="H12" s="476">
        <f t="shared" si="13"/>
        <v>0</v>
      </c>
      <c r="I12" s="95">
        <f t="shared" si="3"/>
        <v>8124</v>
      </c>
      <c r="J12" s="1">
        <v>8125</v>
      </c>
      <c r="K12" s="476">
        <f t="shared" si="26"/>
        <v>1</v>
      </c>
      <c r="L12" s="95">
        <f t="shared" si="5"/>
        <v>0</v>
      </c>
      <c r="M12" s="1"/>
      <c r="N12" s="476">
        <f t="shared" si="14"/>
        <v>0</v>
      </c>
      <c r="O12" s="95">
        <f t="shared" si="6"/>
        <v>20577</v>
      </c>
      <c r="P12" s="383">
        <v>20579</v>
      </c>
      <c r="Q12" s="476">
        <f t="shared" si="7"/>
        <v>2</v>
      </c>
      <c r="R12" s="250"/>
      <c r="S12" s="245">
        <f t="shared" si="15"/>
        <v>62005</v>
      </c>
      <c r="T12" s="384">
        <v>62016</v>
      </c>
      <c r="U12" s="477">
        <f t="shared" si="16"/>
        <v>11</v>
      </c>
      <c r="V12" s="245">
        <f t="shared" si="8"/>
        <v>73031</v>
      </c>
      <c r="W12" s="384">
        <v>73031</v>
      </c>
      <c r="X12" s="477">
        <f t="shared" si="17"/>
        <v>0</v>
      </c>
      <c r="Y12" s="245">
        <f t="shared" si="9"/>
        <v>86834</v>
      </c>
      <c r="Z12" s="384">
        <v>86887</v>
      </c>
      <c r="AA12" s="477">
        <f t="shared" si="18"/>
        <v>53</v>
      </c>
      <c r="AB12" s="610">
        <f t="shared" si="22"/>
        <v>16895</v>
      </c>
      <c r="AC12" s="611">
        <v>16913</v>
      </c>
      <c r="AD12" s="613">
        <f t="shared" si="23"/>
        <v>18</v>
      </c>
      <c r="AE12" s="245">
        <f t="shared" ref="AE12:AE20" si="27">AF12</f>
        <v>18300</v>
      </c>
      <c r="AF12" s="385">
        <v>18300</v>
      </c>
      <c r="AG12" s="477">
        <f t="shared" si="19"/>
        <v>0</v>
      </c>
      <c r="AH12" s="245">
        <f t="shared" si="11"/>
        <v>27407</v>
      </c>
      <c r="AI12" s="385">
        <v>27429</v>
      </c>
      <c r="AJ12" s="477">
        <f t="shared" si="20"/>
        <v>22</v>
      </c>
      <c r="AK12" s="315">
        <f t="shared" si="12"/>
        <v>0</v>
      </c>
      <c r="AL12" s="384"/>
      <c r="AM12" s="477">
        <f t="shared" si="21"/>
        <v>0</v>
      </c>
      <c r="AN12" s="389">
        <f t="shared" si="24"/>
        <v>104</v>
      </c>
    </row>
    <row r="13" spans="1:40" ht="23.1" customHeight="1">
      <c r="A13" s="57">
        <f>Gen!A18</f>
        <v>44173</v>
      </c>
      <c r="B13" s="4"/>
      <c r="C13" s="95">
        <f t="shared" si="0"/>
        <v>245366</v>
      </c>
      <c r="D13" s="1">
        <v>245410</v>
      </c>
      <c r="E13" s="58">
        <f t="shared" si="1"/>
        <v>44</v>
      </c>
      <c r="F13" s="95">
        <f t="shared" si="2"/>
        <v>0</v>
      </c>
      <c r="G13" s="387"/>
      <c r="H13" s="476">
        <f t="shared" si="13"/>
        <v>0</v>
      </c>
      <c r="I13" s="95">
        <f t="shared" si="3"/>
        <v>8125</v>
      </c>
      <c r="J13" s="1">
        <v>8126</v>
      </c>
      <c r="K13" s="476">
        <f t="shared" si="26"/>
        <v>1</v>
      </c>
      <c r="L13" s="95">
        <f t="shared" si="5"/>
        <v>0</v>
      </c>
      <c r="M13" s="1"/>
      <c r="N13" s="476">
        <f t="shared" si="14"/>
        <v>0</v>
      </c>
      <c r="O13" s="95">
        <f t="shared" si="6"/>
        <v>20579</v>
      </c>
      <c r="P13" s="383">
        <v>20583</v>
      </c>
      <c r="Q13" s="476">
        <f t="shared" si="7"/>
        <v>4</v>
      </c>
      <c r="R13" s="250"/>
      <c r="S13" s="245">
        <f t="shared" si="15"/>
        <v>62016</v>
      </c>
      <c r="T13" s="384">
        <v>62016</v>
      </c>
      <c r="U13" s="477">
        <f t="shared" si="16"/>
        <v>0</v>
      </c>
      <c r="V13" s="245">
        <f t="shared" si="8"/>
        <v>73031</v>
      </c>
      <c r="W13" s="384">
        <v>73031</v>
      </c>
      <c r="X13" s="477">
        <f t="shared" si="17"/>
        <v>0</v>
      </c>
      <c r="Y13" s="245">
        <f t="shared" si="9"/>
        <v>86887</v>
      </c>
      <c r="Z13" s="384">
        <v>86941</v>
      </c>
      <c r="AA13" s="477">
        <f t="shared" si="18"/>
        <v>54</v>
      </c>
      <c r="AB13" s="610">
        <f t="shared" si="22"/>
        <v>16913</v>
      </c>
      <c r="AC13" s="611">
        <v>16930</v>
      </c>
      <c r="AD13" s="613">
        <f t="shared" si="23"/>
        <v>17</v>
      </c>
      <c r="AE13" s="245">
        <f t="shared" si="27"/>
        <v>18300</v>
      </c>
      <c r="AF13" s="385">
        <v>18300</v>
      </c>
      <c r="AG13" s="477">
        <f t="shared" si="19"/>
        <v>0</v>
      </c>
      <c r="AH13" s="245">
        <f t="shared" si="11"/>
        <v>27429</v>
      </c>
      <c r="AI13" s="385">
        <v>27452</v>
      </c>
      <c r="AJ13" s="477">
        <f t="shared" si="20"/>
        <v>23</v>
      </c>
      <c r="AK13" s="315">
        <f t="shared" si="12"/>
        <v>0</v>
      </c>
      <c r="AL13" s="384"/>
      <c r="AM13" s="477">
        <f t="shared" si="21"/>
        <v>0</v>
      </c>
      <c r="AN13" s="389">
        <f t="shared" si="24"/>
        <v>94</v>
      </c>
    </row>
    <row r="14" spans="1:40" ht="23.1" customHeight="1">
      <c r="A14" s="57">
        <f>Gen!A19</f>
        <v>44174</v>
      </c>
      <c r="B14" s="4"/>
      <c r="C14" s="95">
        <f t="shared" si="0"/>
        <v>245410</v>
      </c>
      <c r="D14" s="1">
        <v>245473</v>
      </c>
      <c r="E14" s="58">
        <f t="shared" si="1"/>
        <v>63</v>
      </c>
      <c r="F14" s="95">
        <f t="shared" si="2"/>
        <v>0</v>
      </c>
      <c r="G14" s="387"/>
      <c r="H14" s="476">
        <f t="shared" si="13"/>
        <v>0</v>
      </c>
      <c r="I14" s="95">
        <f t="shared" si="3"/>
        <v>8126</v>
      </c>
      <c r="J14" s="1">
        <v>8128</v>
      </c>
      <c r="K14" s="476">
        <f t="shared" si="26"/>
        <v>2</v>
      </c>
      <c r="L14" s="95">
        <f t="shared" si="5"/>
        <v>0</v>
      </c>
      <c r="M14" s="1"/>
      <c r="N14" s="476">
        <f t="shared" si="14"/>
        <v>0</v>
      </c>
      <c r="O14" s="95">
        <f t="shared" si="6"/>
        <v>20583</v>
      </c>
      <c r="P14" s="383">
        <v>20586</v>
      </c>
      <c r="Q14" s="476">
        <f t="shared" si="7"/>
        <v>3</v>
      </c>
      <c r="R14" s="250"/>
      <c r="S14" s="245">
        <f t="shared" si="15"/>
        <v>62016</v>
      </c>
      <c r="T14" s="384">
        <v>62082</v>
      </c>
      <c r="U14" s="477">
        <f t="shared" si="16"/>
        <v>66</v>
      </c>
      <c r="V14" s="245">
        <f t="shared" si="8"/>
        <v>73031</v>
      </c>
      <c r="W14" s="384">
        <v>73031</v>
      </c>
      <c r="X14" s="477">
        <f t="shared" si="17"/>
        <v>0</v>
      </c>
      <c r="Y14" s="245">
        <f t="shared" si="9"/>
        <v>86941</v>
      </c>
      <c r="Z14" s="384">
        <v>86996</v>
      </c>
      <c r="AA14" s="477">
        <f t="shared" si="18"/>
        <v>55</v>
      </c>
      <c r="AB14" s="610">
        <f t="shared" si="22"/>
        <v>16930</v>
      </c>
      <c r="AC14" s="614">
        <v>16947</v>
      </c>
      <c r="AD14" s="613">
        <f t="shared" si="23"/>
        <v>17</v>
      </c>
      <c r="AE14" s="245">
        <f t="shared" si="27"/>
        <v>18300</v>
      </c>
      <c r="AF14" s="385">
        <v>18300</v>
      </c>
      <c r="AG14" s="477">
        <f t="shared" si="19"/>
        <v>0</v>
      </c>
      <c r="AH14" s="245">
        <f t="shared" si="11"/>
        <v>27452</v>
      </c>
      <c r="AI14" s="385">
        <v>27475</v>
      </c>
      <c r="AJ14" s="477">
        <f t="shared" si="20"/>
        <v>23</v>
      </c>
      <c r="AK14" s="315">
        <f t="shared" si="12"/>
        <v>0</v>
      </c>
      <c r="AL14" s="384"/>
      <c r="AM14" s="477">
        <f t="shared" si="21"/>
        <v>0</v>
      </c>
      <c r="AN14" s="389">
        <f t="shared" si="24"/>
        <v>161</v>
      </c>
    </row>
    <row r="15" spans="1:40" ht="23.1" customHeight="1">
      <c r="A15" s="57">
        <f>Gen!A20</f>
        <v>44175</v>
      </c>
      <c r="B15" s="4"/>
      <c r="C15" s="95">
        <f t="shared" si="0"/>
        <v>245473</v>
      </c>
      <c r="D15" s="1">
        <v>245534</v>
      </c>
      <c r="E15" s="58">
        <f t="shared" si="1"/>
        <v>61</v>
      </c>
      <c r="F15" s="95">
        <f t="shared" si="2"/>
        <v>0</v>
      </c>
      <c r="G15" s="387"/>
      <c r="H15" s="476">
        <f t="shared" si="13"/>
        <v>0</v>
      </c>
      <c r="I15" s="95">
        <f t="shared" si="3"/>
        <v>8128</v>
      </c>
      <c r="J15" s="1">
        <v>8129</v>
      </c>
      <c r="K15" s="476">
        <f t="shared" si="26"/>
        <v>1</v>
      </c>
      <c r="L15" s="95">
        <f t="shared" si="5"/>
        <v>0</v>
      </c>
      <c r="M15" s="1"/>
      <c r="N15" s="476">
        <f t="shared" si="14"/>
        <v>0</v>
      </c>
      <c r="O15" s="95">
        <f t="shared" si="6"/>
        <v>20586</v>
      </c>
      <c r="P15" s="383">
        <v>20590</v>
      </c>
      <c r="Q15" s="476">
        <f t="shared" si="7"/>
        <v>4</v>
      </c>
      <c r="R15" s="250"/>
      <c r="S15" s="245">
        <f t="shared" si="15"/>
        <v>62082</v>
      </c>
      <c r="T15" s="384">
        <v>62164</v>
      </c>
      <c r="U15" s="477">
        <f t="shared" si="16"/>
        <v>82</v>
      </c>
      <c r="V15" s="245">
        <f t="shared" si="8"/>
        <v>73031</v>
      </c>
      <c r="W15" s="384">
        <v>73031</v>
      </c>
      <c r="X15" s="477">
        <f t="shared" si="17"/>
        <v>0</v>
      </c>
      <c r="Y15" s="245">
        <f t="shared" si="9"/>
        <v>86996</v>
      </c>
      <c r="Z15" s="384">
        <v>87057</v>
      </c>
      <c r="AA15" s="477">
        <f t="shared" si="18"/>
        <v>61</v>
      </c>
      <c r="AB15" s="610">
        <f t="shared" si="22"/>
        <v>16947</v>
      </c>
      <c r="AC15" s="614">
        <v>16964</v>
      </c>
      <c r="AD15" s="613">
        <f t="shared" si="23"/>
        <v>17</v>
      </c>
      <c r="AE15" s="245">
        <f t="shared" si="27"/>
        <v>18300</v>
      </c>
      <c r="AF15" s="385">
        <v>18300</v>
      </c>
      <c r="AG15" s="477">
        <f t="shared" si="19"/>
        <v>0</v>
      </c>
      <c r="AH15" s="245">
        <f t="shared" si="11"/>
        <v>27475</v>
      </c>
      <c r="AI15" s="385">
        <v>27489</v>
      </c>
      <c r="AJ15" s="477">
        <f t="shared" si="20"/>
        <v>14</v>
      </c>
      <c r="AK15" s="315">
        <f t="shared" si="12"/>
        <v>0</v>
      </c>
      <c r="AL15" s="384"/>
      <c r="AM15" s="477">
        <f t="shared" si="21"/>
        <v>0</v>
      </c>
      <c r="AN15" s="389">
        <f t="shared" si="24"/>
        <v>174</v>
      </c>
    </row>
    <row r="16" spans="1:40" ht="23.1" customHeight="1">
      <c r="A16" s="57">
        <f>Gen!A21</f>
        <v>44176</v>
      </c>
      <c r="B16" s="4"/>
      <c r="C16" s="95">
        <f t="shared" si="0"/>
        <v>245534</v>
      </c>
      <c r="D16" s="1">
        <v>245596</v>
      </c>
      <c r="E16" s="58">
        <f>IF((D16-D15)&lt;0,"0",(D16-D15))</f>
        <v>62</v>
      </c>
      <c r="F16" s="95">
        <f t="shared" si="2"/>
        <v>0</v>
      </c>
      <c r="G16" s="387"/>
      <c r="H16" s="476">
        <f t="shared" si="13"/>
        <v>0</v>
      </c>
      <c r="I16" s="95">
        <f t="shared" si="3"/>
        <v>8129</v>
      </c>
      <c r="J16" s="1">
        <v>8130</v>
      </c>
      <c r="K16" s="476">
        <f t="shared" si="26"/>
        <v>1</v>
      </c>
      <c r="L16" s="95">
        <f t="shared" si="5"/>
        <v>0</v>
      </c>
      <c r="M16" s="1"/>
      <c r="N16" s="476">
        <f t="shared" si="14"/>
        <v>0</v>
      </c>
      <c r="O16" s="95">
        <f t="shared" si="6"/>
        <v>20590</v>
      </c>
      <c r="P16" s="383">
        <v>20597</v>
      </c>
      <c r="Q16" s="476">
        <f t="shared" si="7"/>
        <v>7</v>
      </c>
      <c r="R16" s="250"/>
      <c r="S16" s="245">
        <f t="shared" si="15"/>
        <v>62164</v>
      </c>
      <c r="T16" s="384">
        <v>62248</v>
      </c>
      <c r="U16" s="477">
        <f t="shared" si="16"/>
        <v>84</v>
      </c>
      <c r="V16" s="245">
        <f t="shared" si="8"/>
        <v>73031</v>
      </c>
      <c r="W16" s="384">
        <v>73031</v>
      </c>
      <c r="X16" s="477">
        <f t="shared" si="17"/>
        <v>0</v>
      </c>
      <c r="Y16" s="245">
        <f t="shared" si="9"/>
        <v>87057</v>
      </c>
      <c r="Z16" s="384">
        <v>87105</v>
      </c>
      <c r="AA16" s="477">
        <f t="shared" si="18"/>
        <v>48</v>
      </c>
      <c r="AB16" s="610">
        <f t="shared" si="22"/>
        <v>16964</v>
      </c>
      <c r="AC16" s="614">
        <v>16980</v>
      </c>
      <c r="AD16" s="613">
        <f t="shared" si="23"/>
        <v>16</v>
      </c>
      <c r="AE16" s="245">
        <f t="shared" si="27"/>
        <v>18300</v>
      </c>
      <c r="AF16" s="385">
        <v>18300</v>
      </c>
      <c r="AG16" s="477">
        <f t="shared" si="19"/>
        <v>0</v>
      </c>
      <c r="AH16" s="245">
        <f t="shared" si="11"/>
        <v>27489</v>
      </c>
      <c r="AI16" s="385">
        <v>27504</v>
      </c>
      <c r="AJ16" s="477">
        <f t="shared" si="20"/>
        <v>15</v>
      </c>
      <c r="AK16" s="315">
        <f t="shared" si="12"/>
        <v>0</v>
      </c>
      <c r="AL16" s="384"/>
      <c r="AM16" s="477">
        <f t="shared" si="21"/>
        <v>0</v>
      </c>
      <c r="AN16" s="389">
        <f t="shared" si="24"/>
        <v>163</v>
      </c>
    </row>
    <row r="17" spans="1:40" ht="23.1" customHeight="1">
      <c r="A17" s="57">
        <f>Gen!A22</f>
        <v>44177</v>
      </c>
      <c r="B17" s="4"/>
      <c r="C17" s="95">
        <f t="shared" si="0"/>
        <v>245596</v>
      </c>
      <c r="D17" s="1">
        <v>245650</v>
      </c>
      <c r="E17" s="476">
        <f>IF((D17-D16)&lt;0,"0",(D17-D16))</f>
        <v>54</v>
      </c>
      <c r="F17" s="95">
        <f t="shared" si="2"/>
        <v>0</v>
      </c>
      <c r="G17" s="387"/>
      <c r="H17" s="476">
        <f t="shared" si="13"/>
        <v>0</v>
      </c>
      <c r="I17" s="95">
        <f t="shared" si="3"/>
        <v>8130</v>
      </c>
      <c r="J17" s="1">
        <v>8131</v>
      </c>
      <c r="K17" s="476">
        <f t="shared" si="26"/>
        <v>1</v>
      </c>
      <c r="L17" s="95">
        <f t="shared" si="5"/>
        <v>0</v>
      </c>
      <c r="M17" s="1"/>
      <c r="N17" s="476">
        <f t="shared" si="14"/>
        <v>0</v>
      </c>
      <c r="O17" s="95">
        <f t="shared" si="6"/>
        <v>20597</v>
      </c>
      <c r="P17" s="383">
        <v>20604</v>
      </c>
      <c r="Q17" s="476">
        <f t="shared" si="7"/>
        <v>7</v>
      </c>
      <c r="R17" s="250"/>
      <c r="S17" s="245">
        <f t="shared" si="15"/>
        <v>62248</v>
      </c>
      <c r="T17" s="384">
        <v>62287</v>
      </c>
      <c r="U17" s="477">
        <f t="shared" si="16"/>
        <v>39</v>
      </c>
      <c r="V17" s="245">
        <f t="shared" si="8"/>
        <v>73031</v>
      </c>
      <c r="W17" s="384">
        <v>73031</v>
      </c>
      <c r="X17" s="477">
        <f>IF((W17-W16)&lt;0,"0",(W17-W16))</f>
        <v>0</v>
      </c>
      <c r="Y17" s="245">
        <f t="shared" si="9"/>
        <v>87105</v>
      </c>
      <c r="Z17" s="384">
        <v>87160</v>
      </c>
      <c r="AA17" s="477">
        <f>IF((Z17-Z16)&lt;0,"0",(Z17-Z16))</f>
        <v>55</v>
      </c>
      <c r="AB17" s="610">
        <f t="shared" si="22"/>
        <v>16980</v>
      </c>
      <c r="AC17" s="614">
        <v>16997</v>
      </c>
      <c r="AD17" s="613">
        <f t="shared" si="23"/>
        <v>17</v>
      </c>
      <c r="AE17" s="245">
        <f t="shared" si="27"/>
        <v>18300</v>
      </c>
      <c r="AF17" s="385">
        <v>18300</v>
      </c>
      <c r="AG17" s="477">
        <f t="shared" si="19"/>
        <v>0</v>
      </c>
      <c r="AH17" s="245">
        <f t="shared" si="11"/>
        <v>27504</v>
      </c>
      <c r="AI17" s="385">
        <v>27544</v>
      </c>
      <c r="AJ17" s="477">
        <f t="shared" si="20"/>
        <v>40</v>
      </c>
      <c r="AK17" s="315">
        <f t="shared" si="12"/>
        <v>0</v>
      </c>
      <c r="AL17" s="384"/>
      <c r="AM17" s="477">
        <f>IF((AL17-AL16)&lt;0,"0",(AL17-AL16))</f>
        <v>0</v>
      </c>
      <c r="AN17" s="389">
        <f t="shared" si="24"/>
        <v>151</v>
      </c>
    </row>
    <row r="18" spans="1:40" ht="23.1" customHeight="1">
      <c r="A18" s="57">
        <f>Gen!A23</f>
        <v>44178</v>
      </c>
      <c r="B18" s="4"/>
      <c r="C18" s="95">
        <f t="shared" si="0"/>
        <v>245650</v>
      </c>
      <c r="D18" s="1">
        <v>245706</v>
      </c>
      <c r="E18" s="476">
        <f t="shared" ref="E18:E37" si="28">IF((D18-D17)&lt;0,"0",(D18-D17))</f>
        <v>56</v>
      </c>
      <c r="F18" s="95">
        <f t="shared" si="2"/>
        <v>0</v>
      </c>
      <c r="G18" s="387"/>
      <c r="H18" s="476">
        <f t="shared" si="13"/>
        <v>0</v>
      </c>
      <c r="I18" s="95"/>
      <c r="J18" s="1">
        <v>8133</v>
      </c>
      <c r="K18" s="476">
        <f t="shared" si="26"/>
        <v>2</v>
      </c>
      <c r="L18" s="95">
        <f t="shared" si="5"/>
        <v>0</v>
      </c>
      <c r="M18" s="1"/>
      <c r="N18" s="476">
        <f t="shared" si="14"/>
        <v>0</v>
      </c>
      <c r="O18" s="95">
        <f t="shared" si="6"/>
        <v>20604</v>
      </c>
      <c r="P18" s="383">
        <v>20614</v>
      </c>
      <c r="Q18" s="476">
        <f t="shared" si="7"/>
        <v>10</v>
      </c>
      <c r="R18" s="250"/>
      <c r="S18" s="245">
        <f t="shared" si="15"/>
        <v>62287</v>
      </c>
      <c r="T18" s="384">
        <v>62287</v>
      </c>
      <c r="U18" s="477">
        <f t="shared" si="16"/>
        <v>0</v>
      </c>
      <c r="V18" s="245">
        <f t="shared" si="8"/>
        <v>73031</v>
      </c>
      <c r="W18" s="384">
        <v>73031</v>
      </c>
      <c r="X18" s="477">
        <f t="shared" si="17"/>
        <v>0</v>
      </c>
      <c r="Y18" s="245">
        <f t="shared" si="9"/>
        <v>87160</v>
      </c>
      <c r="Z18" s="384">
        <v>87214</v>
      </c>
      <c r="AA18" s="477">
        <f t="shared" si="18"/>
        <v>54</v>
      </c>
      <c r="AB18" s="610">
        <f t="shared" si="22"/>
        <v>16997</v>
      </c>
      <c r="AC18" s="614">
        <v>17014</v>
      </c>
      <c r="AD18" s="613">
        <f t="shared" si="23"/>
        <v>17</v>
      </c>
      <c r="AE18" s="245">
        <f t="shared" si="27"/>
        <v>18300</v>
      </c>
      <c r="AF18" s="385">
        <v>18300</v>
      </c>
      <c r="AG18" s="477">
        <f t="shared" si="19"/>
        <v>0</v>
      </c>
      <c r="AH18" s="245">
        <f>AI17</f>
        <v>27544</v>
      </c>
      <c r="AI18" s="385">
        <v>27567</v>
      </c>
      <c r="AJ18" s="477">
        <f t="shared" si="20"/>
        <v>23</v>
      </c>
      <c r="AK18" s="315">
        <f t="shared" si="12"/>
        <v>0</v>
      </c>
      <c r="AL18" s="384"/>
      <c r="AM18" s="477">
        <f t="shared" ref="AM18:AM26" si="29">IF((AL18-AL17)&lt;0,"0",(AL18-AL17))</f>
        <v>0</v>
      </c>
      <c r="AN18" s="389">
        <f t="shared" si="24"/>
        <v>94</v>
      </c>
    </row>
    <row r="19" spans="1:40" ht="23.1" customHeight="1">
      <c r="A19" s="57">
        <f>Gen!A24</f>
        <v>44179</v>
      </c>
      <c r="B19" s="4"/>
      <c r="C19" s="95">
        <f t="shared" si="0"/>
        <v>245706</v>
      </c>
      <c r="D19" s="1">
        <v>245766</v>
      </c>
      <c r="E19" s="476">
        <f t="shared" si="28"/>
        <v>60</v>
      </c>
      <c r="F19" s="95">
        <f t="shared" si="2"/>
        <v>0</v>
      </c>
      <c r="G19" s="387"/>
      <c r="H19" s="476">
        <f t="shared" si="13"/>
        <v>0</v>
      </c>
      <c r="I19" s="95">
        <f t="shared" si="3"/>
        <v>8133</v>
      </c>
      <c r="J19" s="1">
        <v>8140</v>
      </c>
      <c r="K19" s="476">
        <f t="shared" si="26"/>
        <v>7</v>
      </c>
      <c r="L19" s="95">
        <f t="shared" si="5"/>
        <v>0</v>
      </c>
      <c r="M19" s="1"/>
      <c r="N19" s="476">
        <f t="shared" si="14"/>
        <v>0</v>
      </c>
      <c r="O19" s="95">
        <f t="shared" si="6"/>
        <v>20614</v>
      </c>
      <c r="P19" s="383">
        <v>20624</v>
      </c>
      <c r="Q19" s="476">
        <f t="shared" si="7"/>
        <v>10</v>
      </c>
      <c r="R19" s="250"/>
      <c r="S19" s="245">
        <f t="shared" si="15"/>
        <v>62287</v>
      </c>
      <c r="T19" s="384">
        <v>62287</v>
      </c>
      <c r="U19" s="477">
        <f t="shared" si="16"/>
        <v>0</v>
      </c>
      <c r="V19" s="245">
        <f t="shared" si="8"/>
        <v>73031</v>
      </c>
      <c r="W19" s="384">
        <v>73031</v>
      </c>
      <c r="X19" s="477">
        <f t="shared" si="17"/>
        <v>0</v>
      </c>
      <c r="Y19" s="245">
        <f t="shared" si="9"/>
        <v>87214</v>
      </c>
      <c r="Z19" s="384">
        <v>87268</v>
      </c>
      <c r="AA19" s="477">
        <f t="shared" si="18"/>
        <v>54</v>
      </c>
      <c r="AB19" s="610">
        <f t="shared" si="22"/>
        <v>17014</v>
      </c>
      <c r="AC19" s="614">
        <v>17031</v>
      </c>
      <c r="AD19" s="613">
        <f t="shared" si="23"/>
        <v>17</v>
      </c>
      <c r="AE19" s="245">
        <f t="shared" si="27"/>
        <v>18300</v>
      </c>
      <c r="AF19" s="385">
        <v>18300</v>
      </c>
      <c r="AG19" s="477">
        <f t="shared" si="19"/>
        <v>0</v>
      </c>
      <c r="AH19" s="245">
        <f>AI18</f>
        <v>27567</v>
      </c>
      <c r="AI19" s="385">
        <v>27580</v>
      </c>
      <c r="AJ19" s="477">
        <f t="shared" si="20"/>
        <v>13</v>
      </c>
      <c r="AK19" s="315">
        <f t="shared" si="12"/>
        <v>0</v>
      </c>
      <c r="AL19" s="384"/>
      <c r="AM19" s="477">
        <f t="shared" si="29"/>
        <v>0</v>
      </c>
      <c r="AN19" s="389">
        <f t="shared" si="24"/>
        <v>84</v>
      </c>
    </row>
    <row r="20" spans="1:40" ht="23.1" customHeight="1">
      <c r="A20" s="57">
        <f>Gen!A25</f>
        <v>44180</v>
      </c>
      <c r="B20" s="4"/>
      <c r="C20" s="95">
        <f t="shared" si="0"/>
        <v>245766</v>
      </c>
      <c r="D20" s="1">
        <v>245840</v>
      </c>
      <c r="E20" s="476">
        <f t="shared" si="28"/>
        <v>74</v>
      </c>
      <c r="F20" s="95">
        <f t="shared" si="2"/>
        <v>0</v>
      </c>
      <c r="G20" s="387"/>
      <c r="H20" s="476">
        <f t="shared" si="13"/>
        <v>0</v>
      </c>
      <c r="I20" s="95">
        <f t="shared" si="3"/>
        <v>8140</v>
      </c>
      <c r="J20" s="1"/>
      <c r="K20" s="476" t="str">
        <f t="shared" si="26"/>
        <v>0</v>
      </c>
      <c r="L20" s="95">
        <f t="shared" si="5"/>
        <v>0</v>
      </c>
      <c r="M20" s="1"/>
      <c r="N20" s="476">
        <f t="shared" si="14"/>
        <v>0</v>
      </c>
      <c r="O20" s="95">
        <f t="shared" si="6"/>
        <v>20624</v>
      </c>
      <c r="P20" s="383">
        <v>20628</v>
      </c>
      <c r="Q20" s="476">
        <f t="shared" si="7"/>
        <v>4</v>
      </c>
      <c r="R20" s="250"/>
      <c r="S20" s="245">
        <f t="shared" si="15"/>
        <v>62287</v>
      </c>
      <c r="T20" s="384">
        <v>62337</v>
      </c>
      <c r="U20" s="477">
        <f t="shared" si="16"/>
        <v>50</v>
      </c>
      <c r="V20" s="245">
        <f t="shared" si="8"/>
        <v>73031</v>
      </c>
      <c r="W20" s="384">
        <v>73031</v>
      </c>
      <c r="X20" s="477">
        <f t="shared" si="17"/>
        <v>0</v>
      </c>
      <c r="Y20" s="245">
        <f t="shared" si="9"/>
        <v>87268</v>
      </c>
      <c r="Z20" s="384">
        <v>87323</v>
      </c>
      <c r="AA20" s="477">
        <f t="shared" si="18"/>
        <v>55</v>
      </c>
      <c r="AB20" s="610">
        <f t="shared" si="22"/>
        <v>17031</v>
      </c>
      <c r="AC20" s="614">
        <v>17041</v>
      </c>
      <c r="AD20" s="613">
        <f t="shared" si="23"/>
        <v>10</v>
      </c>
      <c r="AE20" s="245">
        <f t="shared" si="27"/>
        <v>18300</v>
      </c>
      <c r="AF20" s="385">
        <v>18300</v>
      </c>
      <c r="AG20" s="477">
        <f t="shared" si="19"/>
        <v>0</v>
      </c>
      <c r="AH20" s="245">
        <f t="shared" si="11"/>
        <v>27580</v>
      </c>
      <c r="AI20" s="385">
        <v>27614</v>
      </c>
      <c r="AJ20" s="477">
        <f t="shared" si="20"/>
        <v>34</v>
      </c>
      <c r="AK20" s="315">
        <f t="shared" si="12"/>
        <v>0</v>
      </c>
      <c r="AL20" s="384"/>
      <c r="AM20" s="477">
        <f t="shared" si="29"/>
        <v>0</v>
      </c>
      <c r="AN20" s="389">
        <f t="shared" si="24"/>
        <v>149</v>
      </c>
    </row>
    <row r="21" spans="1:40" ht="23.1" customHeight="1">
      <c r="A21" s="57">
        <f>Gen!A26</f>
        <v>44181</v>
      </c>
      <c r="B21" s="4"/>
      <c r="C21" s="95">
        <f t="shared" si="0"/>
        <v>245840</v>
      </c>
      <c r="D21" s="1"/>
      <c r="E21" s="476" t="str">
        <f t="shared" si="28"/>
        <v>0</v>
      </c>
      <c r="F21" s="95">
        <f t="shared" si="2"/>
        <v>0</v>
      </c>
      <c r="G21" s="387"/>
      <c r="H21" s="476">
        <f t="shared" si="13"/>
        <v>0</v>
      </c>
      <c r="I21" s="95">
        <f t="shared" si="3"/>
        <v>0</v>
      </c>
      <c r="J21" s="1"/>
      <c r="K21" s="476">
        <f t="shared" si="26"/>
        <v>0</v>
      </c>
      <c r="L21" s="95">
        <f t="shared" si="5"/>
        <v>0</v>
      </c>
      <c r="M21" s="1"/>
      <c r="N21" s="476">
        <f t="shared" si="14"/>
        <v>0</v>
      </c>
      <c r="O21" s="95">
        <f t="shared" si="6"/>
        <v>20628</v>
      </c>
      <c r="P21" s="383"/>
      <c r="Q21" s="476" t="str">
        <f t="shared" si="7"/>
        <v>0</v>
      </c>
      <c r="R21" s="250"/>
      <c r="S21" s="245">
        <f t="shared" si="15"/>
        <v>62337</v>
      </c>
      <c r="T21" s="384"/>
      <c r="U21" s="477" t="str">
        <f t="shared" si="16"/>
        <v>0</v>
      </c>
      <c r="V21" s="245">
        <f t="shared" ref="V21:V37" si="30">W20</f>
        <v>73031</v>
      </c>
      <c r="W21" s="384"/>
      <c r="X21" s="477" t="str">
        <f t="shared" si="17"/>
        <v>0</v>
      </c>
      <c r="Y21" s="245">
        <f t="shared" si="9"/>
        <v>87323</v>
      </c>
      <c r="Z21" s="384"/>
      <c r="AA21" s="477" t="str">
        <f t="shared" si="18"/>
        <v>0</v>
      </c>
      <c r="AB21" s="610">
        <f t="shared" si="22"/>
        <v>17041</v>
      </c>
      <c r="AC21" s="614"/>
      <c r="AD21" s="613" t="str">
        <f t="shared" si="23"/>
        <v>0</v>
      </c>
      <c r="AE21" s="245">
        <f t="shared" si="10"/>
        <v>18300</v>
      </c>
      <c r="AF21" s="385"/>
      <c r="AG21" s="477" t="str">
        <f t="shared" si="19"/>
        <v>0</v>
      </c>
      <c r="AH21" s="245">
        <f t="shared" si="11"/>
        <v>27614</v>
      </c>
      <c r="AI21" s="385"/>
      <c r="AJ21" s="477" t="str">
        <f t="shared" si="20"/>
        <v>0</v>
      </c>
      <c r="AK21" s="315">
        <f t="shared" si="12"/>
        <v>0</v>
      </c>
      <c r="AL21" s="384"/>
      <c r="AM21" s="477">
        <f t="shared" si="29"/>
        <v>0</v>
      </c>
      <c r="AN21" s="389">
        <f t="shared" si="24"/>
        <v>0</v>
      </c>
    </row>
    <row r="22" spans="1:40" ht="23.1" customHeight="1">
      <c r="A22" s="57">
        <f>Gen!A27</f>
        <v>44182</v>
      </c>
      <c r="B22" s="4"/>
      <c r="C22" s="95">
        <f t="shared" si="0"/>
        <v>0</v>
      </c>
      <c r="D22" s="1"/>
      <c r="E22" s="476">
        <f t="shared" si="28"/>
        <v>0</v>
      </c>
      <c r="F22" s="95">
        <f t="shared" si="2"/>
        <v>0</v>
      </c>
      <c r="G22" s="387"/>
      <c r="H22" s="476">
        <f t="shared" si="13"/>
        <v>0</v>
      </c>
      <c r="I22" s="95">
        <f t="shared" si="3"/>
        <v>0</v>
      </c>
      <c r="J22" s="1"/>
      <c r="K22" s="476">
        <f t="shared" si="26"/>
        <v>0</v>
      </c>
      <c r="L22" s="95">
        <f t="shared" si="5"/>
        <v>0</v>
      </c>
      <c r="M22" s="1"/>
      <c r="N22" s="476">
        <f t="shared" si="14"/>
        <v>0</v>
      </c>
      <c r="O22" s="95">
        <f t="shared" si="6"/>
        <v>0</v>
      </c>
      <c r="P22" s="383"/>
      <c r="Q22" s="476">
        <f t="shared" si="7"/>
        <v>0</v>
      </c>
      <c r="R22" s="250"/>
      <c r="S22" s="245">
        <f t="shared" si="15"/>
        <v>0</v>
      </c>
      <c r="T22" s="384"/>
      <c r="U22" s="477">
        <f t="shared" si="16"/>
        <v>0</v>
      </c>
      <c r="V22" s="245">
        <f t="shared" si="30"/>
        <v>0</v>
      </c>
      <c r="W22" s="384"/>
      <c r="X22" s="477">
        <f t="shared" si="17"/>
        <v>0</v>
      </c>
      <c r="Y22" s="245">
        <f t="shared" si="9"/>
        <v>0</v>
      </c>
      <c r="Z22" s="384"/>
      <c r="AA22" s="477">
        <f t="shared" si="18"/>
        <v>0</v>
      </c>
      <c r="AB22" s="610">
        <f t="shared" si="22"/>
        <v>0</v>
      </c>
      <c r="AC22" s="614"/>
      <c r="AD22" s="613">
        <f t="shared" si="23"/>
        <v>0</v>
      </c>
      <c r="AE22" s="245">
        <f t="shared" si="10"/>
        <v>0</v>
      </c>
      <c r="AF22" s="385"/>
      <c r="AG22" s="477">
        <f t="shared" si="19"/>
        <v>0</v>
      </c>
      <c r="AH22" s="245">
        <f t="shared" si="11"/>
        <v>0</v>
      </c>
      <c r="AI22" s="385"/>
      <c r="AJ22" s="477">
        <f t="shared" si="20"/>
        <v>0</v>
      </c>
      <c r="AK22" s="315">
        <f t="shared" si="12"/>
        <v>0</v>
      </c>
      <c r="AL22" s="384"/>
      <c r="AM22" s="477">
        <f t="shared" si="29"/>
        <v>0</v>
      </c>
      <c r="AN22" s="389">
        <f t="shared" si="24"/>
        <v>0</v>
      </c>
    </row>
    <row r="23" spans="1:40" ht="23.1" customHeight="1">
      <c r="A23" s="57">
        <f>Gen!A28</f>
        <v>44183</v>
      </c>
      <c r="B23" s="4"/>
      <c r="C23" s="95">
        <f t="shared" si="0"/>
        <v>0</v>
      </c>
      <c r="D23" s="1"/>
      <c r="E23" s="476">
        <f t="shared" si="28"/>
        <v>0</v>
      </c>
      <c r="F23" s="95">
        <f t="shared" si="2"/>
        <v>0</v>
      </c>
      <c r="G23" s="387"/>
      <c r="H23" s="476">
        <f t="shared" si="13"/>
        <v>0</v>
      </c>
      <c r="I23" s="95">
        <f t="shared" si="3"/>
        <v>0</v>
      </c>
      <c r="J23" s="1"/>
      <c r="K23" s="476">
        <f t="shared" si="26"/>
        <v>0</v>
      </c>
      <c r="L23" s="95">
        <f t="shared" si="5"/>
        <v>0</v>
      </c>
      <c r="M23" s="1"/>
      <c r="N23" s="476">
        <f t="shared" si="14"/>
        <v>0</v>
      </c>
      <c r="O23" s="95">
        <f t="shared" si="6"/>
        <v>0</v>
      </c>
      <c r="P23" s="383"/>
      <c r="Q23" s="476">
        <f t="shared" si="7"/>
        <v>0</v>
      </c>
      <c r="R23" s="250"/>
      <c r="S23" s="245">
        <f t="shared" si="15"/>
        <v>0</v>
      </c>
      <c r="T23" s="384"/>
      <c r="U23" s="477">
        <f t="shared" si="16"/>
        <v>0</v>
      </c>
      <c r="V23" s="245">
        <f t="shared" si="30"/>
        <v>0</v>
      </c>
      <c r="W23" s="384"/>
      <c r="X23" s="477">
        <f t="shared" si="17"/>
        <v>0</v>
      </c>
      <c r="Y23" s="245">
        <f t="shared" si="9"/>
        <v>0</v>
      </c>
      <c r="Z23" s="384"/>
      <c r="AA23" s="477">
        <f t="shared" si="18"/>
        <v>0</v>
      </c>
      <c r="AB23" s="610">
        <f t="shared" si="22"/>
        <v>0</v>
      </c>
      <c r="AC23" s="611"/>
      <c r="AD23" s="613">
        <f t="shared" si="23"/>
        <v>0</v>
      </c>
      <c r="AE23" s="245">
        <f t="shared" si="10"/>
        <v>0</v>
      </c>
      <c r="AF23" s="385"/>
      <c r="AG23" s="477">
        <f t="shared" si="19"/>
        <v>0</v>
      </c>
      <c r="AH23" s="245">
        <f t="shared" si="11"/>
        <v>0</v>
      </c>
      <c r="AI23" s="385"/>
      <c r="AJ23" s="477">
        <f t="shared" si="20"/>
        <v>0</v>
      </c>
      <c r="AK23" s="315">
        <f t="shared" si="12"/>
        <v>0</v>
      </c>
      <c r="AL23" s="384"/>
      <c r="AM23" s="477">
        <f t="shared" si="29"/>
        <v>0</v>
      </c>
      <c r="AN23" s="389">
        <f t="shared" si="24"/>
        <v>0</v>
      </c>
    </row>
    <row r="24" spans="1:40" ht="23.1" customHeight="1">
      <c r="A24" s="57">
        <f>Gen!A29</f>
        <v>44184</v>
      </c>
      <c r="B24" s="4"/>
      <c r="C24" s="95">
        <f t="shared" si="0"/>
        <v>0</v>
      </c>
      <c r="D24" s="1"/>
      <c r="E24" s="476">
        <f t="shared" si="28"/>
        <v>0</v>
      </c>
      <c r="F24" s="95">
        <f t="shared" si="2"/>
        <v>0</v>
      </c>
      <c r="G24" s="387"/>
      <c r="H24" s="476">
        <f t="shared" si="13"/>
        <v>0</v>
      </c>
      <c r="I24" s="95">
        <f t="shared" si="3"/>
        <v>0</v>
      </c>
      <c r="J24" s="1"/>
      <c r="K24" s="476">
        <f t="shared" si="26"/>
        <v>0</v>
      </c>
      <c r="L24" s="95">
        <f t="shared" si="5"/>
        <v>0</v>
      </c>
      <c r="M24" s="1"/>
      <c r="N24" s="476">
        <f t="shared" si="14"/>
        <v>0</v>
      </c>
      <c r="O24" s="95">
        <f t="shared" si="6"/>
        <v>0</v>
      </c>
      <c r="P24" s="383"/>
      <c r="Q24" s="476">
        <f t="shared" si="7"/>
        <v>0</v>
      </c>
      <c r="R24" s="250"/>
      <c r="S24" s="245">
        <f t="shared" si="15"/>
        <v>0</v>
      </c>
      <c r="T24" s="384"/>
      <c r="U24" s="477">
        <f t="shared" si="16"/>
        <v>0</v>
      </c>
      <c r="V24" s="245">
        <f t="shared" si="30"/>
        <v>0</v>
      </c>
      <c r="W24" s="384"/>
      <c r="X24" s="477">
        <f t="shared" si="17"/>
        <v>0</v>
      </c>
      <c r="Y24" s="245">
        <f t="shared" si="9"/>
        <v>0</v>
      </c>
      <c r="Z24" s="384"/>
      <c r="AA24" s="477">
        <f t="shared" si="18"/>
        <v>0</v>
      </c>
      <c r="AB24" s="610">
        <f t="shared" si="22"/>
        <v>0</v>
      </c>
      <c r="AC24" s="611"/>
      <c r="AD24" s="613">
        <f t="shared" si="23"/>
        <v>0</v>
      </c>
      <c r="AE24" s="245">
        <f t="shared" si="10"/>
        <v>0</v>
      </c>
      <c r="AF24" s="385"/>
      <c r="AG24" s="477">
        <f t="shared" si="19"/>
        <v>0</v>
      </c>
      <c r="AH24" s="245">
        <f t="shared" si="11"/>
        <v>0</v>
      </c>
      <c r="AI24" s="385"/>
      <c r="AJ24" s="477">
        <f t="shared" si="20"/>
        <v>0</v>
      </c>
      <c r="AK24" s="315">
        <f t="shared" si="12"/>
        <v>0</v>
      </c>
      <c r="AL24" s="384"/>
      <c r="AM24" s="477">
        <f t="shared" si="29"/>
        <v>0</v>
      </c>
      <c r="AN24" s="389">
        <f t="shared" si="24"/>
        <v>0</v>
      </c>
    </row>
    <row r="25" spans="1:40" ht="23.1" customHeight="1">
      <c r="A25" s="57">
        <f>Gen!A30</f>
        <v>44185</v>
      </c>
      <c r="B25" s="4"/>
      <c r="C25" s="95">
        <f>D24</f>
        <v>0</v>
      </c>
      <c r="D25" s="1"/>
      <c r="E25" s="476">
        <f t="shared" si="28"/>
        <v>0</v>
      </c>
      <c r="F25" s="95">
        <f t="shared" si="2"/>
        <v>0</v>
      </c>
      <c r="G25" s="387"/>
      <c r="H25" s="476">
        <f>IF((G26-G24)&lt;0,"0",(G26-G24))</f>
        <v>0</v>
      </c>
      <c r="I25" s="95">
        <f t="shared" ref="I25:I37" si="31">J24</f>
        <v>0</v>
      </c>
      <c r="J25" s="1"/>
      <c r="K25" s="476">
        <f t="shared" si="26"/>
        <v>0</v>
      </c>
      <c r="L25" s="95">
        <f t="shared" ref="L25:L37" si="32">M24</f>
        <v>0</v>
      </c>
      <c r="M25" s="1"/>
      <c r="N25" s="476">
        <f t="shared" ref="N25:N37" si="33">IF((M25-M24)&lt;0,"0",(M25-M24))</f>
        <v>0</v>
      </c>
      <c r="O25" s="95">
        <f t="shared" si="6"/>
        <v>0</v>
      </c>
      <c r="P25" s="383"/>
      <c r="Q25" s="476">
        <f t="shared" si="7"/>
        <v>0</v>
      </c>
      <c r="R25" s="250"/>
      <c r="S25" s="245">
        <f t="shared" ref="S25:S37" si="34">T24</f>
        <v>0</v>
      </c>
      <c r="T25" s="384"/>
      <c r="U25" s="477">
        <f t="shared" ref="U25:U37" si="35">IF((T25-T24)&lt;0,"0",(T25-T24))</f>
        <v>0</v>
      </c>
      <c r="V25" s="245">
        <f t="shared" si="30"/>
        <v>0</v>
      </c>
      <c r="W25" s="384"/>
      <c r="X25" s="477">
        <f t="shared" si="17"/>
        <v>0</v>
      </c>
      <c r="Y25" s="245">
        <f t="shared" si="9"/>
        <v>0</v>
      </c>
      <c r="Z25" s="384"/>
      <c r="AA25" s="477">
        <f t="shared" si="18"/>
        <v>0</v>
      </c>
      <c r="AB25" s="610">
        <f t="shared" si="22"/>
        <v>0</v>
      </c>
      <c r="AC25" s="611"/>
      <c r="AD25" s="613">
        <f t="shared" si="23"/>
        <v>0</v>
      </c>
      <c r="AE25" s="245">
        <f t="shared" si="10"/>
        <v>0</v>
      </c>
      <c r="AF25" s="385"/>
      <c r="AG25" s="477">
        <f t="shared" si="19"/>
        <v>0</v>
      </c>
      <c r="AH25" s="245">
        <f t="shared" si="11"/>
        <v>0</v>
      </c>
      <c r="AI25" s="385"/>
      <c r="AJ25" s="477">
        <f t="shared" si="20"/>
        <v>0</v>
      </c>
      <c r="AK25" s="315">
        <f t="shared" si="12"/>
        <v>0</v>
      </c>
      <c r="AL25" s="384"/>
      <c r="AM25" s="477">
        <f t="shared" si="29"/>
        <v>0</v>
      </c>
      <c r="AN25" s="389">
        <f t="shared" si="24"/>
        <v>0</v>
      </c>
    </row>
    <row r="26" spans="1:40" ht="23.1" customHeight="1">
      <c r="A26" s="57">
        <f>Gen!A31</f>
        <v>44186</v>
      </c>
      <c r="B26" s="4"/>
      <c r="C26" s="95">
        <f>D25</f>
        <v>0</v>
      </c>
      <c r="D26" s="1"/>
      <c r="E26" s="476">
        <f t="shared" si="28"/>
        <v>0</v>
      </c>
      <c r="F26" s="95">
        <f>G26</f>
        <v>0</v>
      </c>
      <c r="G26" s="387"/>
      <c r="H26" s="476">
        <f t="shared" ref="H26:H27" si="36">IF((G27-G25)&lt;0,"0",(G27-G25))</f>
        <v>0</v>
      </c>
      <c r="I26" s="95">
        <f t="shared" si="31"/>
        <v>0</v>
      </c>
      <c r="J26" s="1"/>
      <c r="K26" s="476">
        <f t="shared" si="26"/>
        <v>0</v>
      </c>
      <c r="L26" s="95">
        <f t="shared" si="32"/>
        <v>0</v>
      </c>
      <c r="M26" s="1"/>
      <c r="N26" s="476">
        <f t="shared" si="33"/>
        <v>0</v>
      </c>
      <c r="O26" s="95">
        <f t="shared" ref="O26:O37" si="37">P25</f>
        <v>0</v>
      </c>
      <c r="P26" s="383"/>
      <c r="Q26" s="476">
        <f t="shared" si="7"/>
        <v>0</v>
      </c>
      <c r="R26" s="250"/>
      <c r="S26" s="245">
        <f t="shared" si="34"/>
        <v>0</v>
      </c>
      <c r="T26" s="384"/>
      <c r="U26" s="477">
        <f t="shared" si="35"/>
        <v>0</v>
      </c>
      <c r="V26" s="245">
        <f t="shared" si="30"/>
        <v>0</v>
      </c>
      <c r="W26" s="384"/>
      <c r="X26" s="477">
        <f t="shared" si="17"/>
        <v>0</v>
      </c>
      <c r="Y26" s="245">
        <f t="shared" si="9"/>
        <v>0</v>
      </c>
      <c r="Z26" s="384"/>
      <c r="AA26" s="477">
        <f t="shared" si="18"/>
        <v>0</v>
      </c>
      <c r="AB26" s="610">
        <f t="shared" si="22"/>
        <v>0</v>
      </c>
      <c r="AC26" s="611"/>
      <c r="AD26" s="613">
        <f t="shared" si="23"/>
        <v>0</v>
      </c>
      <c r="AE26" s="245">
        <f t="shared" si="10"/>
        <v>0</v>
      </c>
      <c r="AF26" s="385"/>
      <c r="AG26" s="477">
        <f t="shared" si="19"/>
        <v>0</v>
      </c>
      <c r="AH26" s="245">
        <f t="shared" si="11"/>
        <v>0</v>
      </c>
      <c r="AI26" s="385"/>
      <c r="AJ26" s="477">
        <f t="shared" si="20"/>
        <v>0</v>
      </c>
      <c r="AK26" s="315">
        <f t="shared" si="12"/>
        <v>0</v>
      </c>
      <c r="AL26" s="384"/>
      <c r="AM26" s="477">
        <f t="shared" si="29"/>
        <v>0</v>
      </c>
      <c r="AN26" s="389">
        <f t="shared" si="24"/>
        <v>0</v>
      </c>
    </row>
    <row r="27" spans="1:40" ht="23.1" customHeight="1">
      <c r="A27" s="57">
        <f>Gen!A32</f>
        <v>44187</v>
      </c>
      <c r="B27" s="4"/>
      <c r="C27" s="95">
        <f>D26</f>
        <v>0</v>
      </c>
      <c r="D27" s="1"/>
      <c r="E27" s="476">
        <f t="shared" si="28"/>
        <v>0</v>
      </c>
      <c r="F27" s="95">
        <f t="shared" ref="F27:F31" si="38">G27</f>
        <v>0</v>
      </c>
      <c r="G27" s="387"/>
      <c r="H27" s="476">
        <f t="shared" si="36"/>
        <v>0</v>
      </c>
      <c r="I27" s="95">
        <f t="shared" si="31"/>
        <v>0</v>
      </c>
      <c r="J27" s="1"/>
      <c r="K27" s="476">
        <f t="shared" si="26"/>
        <v>0</v>
      </c>
      <c r="L27" s="95">
        <f t="shared" si="32"/>
        <v>0</v>
      </c>
      <c r="M27" s="1"/>
      <c r="N27" s="476">
        <f t="shared" si="33"/>
        <v>0</v>
      </c>
      <c r="O27" s="95">
        <f t="shared" si="37"/>
        <v>0</v>
      </c>
      <c r="P27" s="383"/>
      <c r="Q27" s="476">
        <f t="shared" si="7"/>
        <v>0</v>
      </c>
      <c r="R27" s="250"/>
      <c r="S27" s="245">
        <f t="shared" si="34"/>
        <v>0</v>
      </c>
      <c r="T27" s="384"/>
      <c r="U27" s="477">
        <f t="shared" si="35"/>
        <v>0</v>
      </c>
      <c r="V27" s="245">
        <f t="shared" si="30"/>
        <v>0</v>
      </c>
      <c r="W27" s="384"/>
      <c r="X27" s="477">
        <f t="shared" si="17"/>
        <v>0</v>
      </c>
      <c r="Y27" s="245">
        <f t="shared" si="9"/>
        <v>0</v>
      </c>
      <c r="Z27" s="384"/>
      <c r="AA27" s="477">
        <f t="shared" si="18"/>
        <v>0</v>
      </c>
      <c r="AB27" s="610">
        <f t="shared" si="22"/>
        <v>0</v>
      </c>
      <c r="AC27" s="611"/>
      <c r="AD27" s="613">
        <f t="shared" si="23"/>
        <v>0</v>
      </c>
      <c r="AE27" s="245">
        <f t="shared" si="10"/>
        <v>0</v>
      </c>
      <c r="AF27" s="385"/>
      <c r="AG27" s="477">
        <f t="shared" si="19"/>
        <v>0</v>
      </c>
      <c r="AH27" s="245">
        <f t="shared" si="11"/>
        <v>0</v>
      </c>
      <c r="AI27" s="385"/>
      <c r="AJ27" s="477">
        <f t="shared" si="20"/>
        <v>0</v>
      </c>
      <c r="AK27" s="315">
        <f t="shared" si="12"/>
        <v>0</v>
      </c>
      <c r="AL27" s="384"/>
      <c r="AM27" s="477">
        <f t="shared" si="21"/>
        <v>0</v>
      </c>
      <c r="AN27" s="389">
        <f t="shared" si="24"/>
        <v>0</v>
      </c>
    </row>
    <row r="28" spans="1:40" ht="23.1" customHeight="1">
      <c r="A28" s="57">
        <f>Gen!A33</f>
        <v>44188</v>
      </c>
      <c r="B28" s="4"/>
      <c r="C28" s="95">
        <f t="shared" ref="C28:C37" si="39">D27</f>
        <v>0</v>
      </c>
      <c r="D28" s="1"/>
      <c r="E28" s="476">
        <f t="shared" si="28"/>
        <v>0</v>
      </c>
      <c r="F28" s="95">
        <f t="shared" si="38"/>
        <v>0</v>
      </c>
      <c r="G28" s="387"/>
      <c r="H28" s="476">
        <f t="shared" ref="H28:H37" si="40">IF((G28-G27)&lt;0,"0",(G28-G27))</f>
        <v>0</v>
      </c>
      <c r="I28" s="95">
        <f t="shared" si="31"/>
        <v>0</v>
      </c>
      <c r="J28" s="1"/>
      <c r="K28" s="476">
        <f>IF((J28-J27)&lt;0,"0",(J28-J27))</f>
        <v>0</v>
      </c>
      <c r="L28" s="95">
        <f t="shared" si="32"/>
        <v>0</v>
      </c>
      <c r="M28" s="1"/>
      <c r="N28" s="476">
        <f t="shared" si="33"/>
        <v>0</v>
      </c>
      <c r="O28" s="95">
        <f t="shared" si="37"/>
        <v>0</v>
      </c>
      <c r="P28" s="383"/>
      <c r="Q28" s="476">
        <f t="shared" ref="Q28:Q37" si="41">IF((P28-P27)&lt;0,"0",(P28-P27))</f>
        <v>0</v>
      </c>
      <c r="R28" s="250"/>
      <c r="S28" s="245">
        <f t="shared" si="34"/>
        <v>0</v>
      </c>
      <c r="T28" s="384"/>
      <c r="U28" s="477">
        <f t="shared" si="35"/>
        <v>0</v>
      </c>
      <c r="V28" s="245">
        <f t="shared" si="30"/>
        <v>0</v>
      </c>
      <c r="W28" s="384"/>
      <c r="X28" s="477">
        <f t="shared" si="17"/>
        <v>0</v>
      </c>
      <c r="Y28" s="245">
        <f t="shared" si="9"/>
        <v>0</v>
      </c>
      <c r="Z28" s="384"/>
      <c r="AA28" s="477">
        <f t="shared" si="18"/>
        <v>0</v>
      </c>
      <c r="AB28" s="610">
        <f t="shared" si="22"/>
        <v>0</v>
      </c>
      <c r="AC28" s="611"/>
      <c r="AD28" s="613">
        <f t="shared" si="23"/>
        <v>0</v>
      </c>
      <c r="AE28" s="245">
        <f t="shared" si="10"/>
        <v>0</v>
      </c>
      <c r="AF28" s="385"/>
      <c r="AG28" s="477">
        <f t="shared" si="19"/>
        <v>0</v>
      </c>
      <c r="AH28" s="245">
        <f t="shared" si="11"/>
        <v>0</v>
      </c>
      <c r="AI28" s="385"/>
      <c r="AJ28" s="477">
        <f t="shared" si="20"/>
        <v>0</v>
      </c>
      <c r="AK28" s="315">
        <f t="shared" si="12"/>
        <v>0</v>
      </c>
      <c r="AL28" s="384"/>
      <c r="AM28" s="477">
        <f t="shared" si="21"/>
        <v>0</v>
      </c>
      <c r="AN28" s="389">
        <f t="shared" si="24"/>
        <v>0</v>
      </c>
    </row>
    <row r="29" spans="1:40" ht="23.1" customHeight="1">
      <c r="A29" s="57">
        <f>Gen!A34</f>
        <v>44189</v>
      </c>
      <c r="B29" s="4"/>
      <c r="C29" s="95">
        <f t="shared" si="39"/>
        <v>0</v>
      </c>
      <c r="D29" s="1"/>
      <c r="E29" s="476">
        <f t="shared" si="28"/>
        <v>0</v>
      </c>
      <c r="F29" s="95">
        <f t="shared" si="38"/>
        <v>0</v>
      </c>
      <c r="G29" s="387"/>
      <c r="H29" s="476">
        <f t="shared" si="40"/>
        <v>0</v>
      </c>
      <c r="I29" s="95">
        <f t="shared" si="31"/>
        <v>0</v>
      </c>
      <c r="J29" s="1"/>
      <c r="K29" s="476">
        <f t="shared" ref="K29:K37" si="42">IF((J29-J28)&lt;0,"0",(J29-J28))</f>
        <v>0</v>
      </c>
      <c r="L29" s="95">
        <f t="shared" si="32"/>
        <v>0</v>
      </c>
      <c r="M29" s="1"/>
      <c r="N29" s="476">
        <f t="shared" si="33"/>
        <v>0</v>
      </c>
      <c r="O29" s="95">
        <f t="shared" si="37"/>
        <v>0</v>
      </c>
      <c r="P29" s="383"/>
      <c r="Q29" s="476">
        <f t="shared" si="41"/>
        <v>0</v>
      </c>
      <c r="R29" s="250"/>
      <c r="S29" s="245">
        <f t="shared" si="34"/>
        <v>0</v>
      </c>
      <c r="T29" s="384"/>
      <c r="U29" s="477">
        <f t="shared" si="35"/>
        <v>0</v>
      </c>
      <c r="V29" s="245">
        <f t="shared" si="30"/>
        <v>0</v>
      </c>
      <c r="W29" s="384"/>
      <c r="X29" s="477">
        <f t="shared" si="17"/>
        <v>0</v>
      </c>
      <c r="Y29" s="245">
        <f t="shared" si="9"/>
        <v>0</v>
      </c>
      <c r="Z29" s="384"/>
      <c r="AA29" s="477">
        <f t="shared" si="18"/>
        <v>0</v>
      </c>
      <c r="AB29" s="610">
        <f t="shared" si="22"/>
        <v>0</v>
      </c>
      <c r="AC29" s="611"/>
      <c r="AD29" s="613">
        <f t="shared" si="23"/>
        <v>0</v>
      </c>
      <c r="AE29" s="245">
        <f t="shared" si="10"/>
        <v>0</v>
      </c>
      <c r="AF29" s="385"/>
      <c r="AG29" s="477">
        <f t="shared" si="19"/>
        <v>0</v>
      </c>
      <c r="AH29" s="245">
        <f t="shared" si="11"/>
        <v>0</v>
      </c>
      <c r="AI29" s="385"/>
      <c r="AJ29" s="477">
        <f t="shared" si="20"/>
        <v>0</v>
      </c>
      <c r="AK29" s="315">
        <f t="shared" si="12"/>
        <v>0</v>
      </c>
      <c r="AL29" s="384"/>
      <c r="AM29" s="477">
        <f t="shared" si="21"/>
        <v>0</v>
      </c>
      <c r="AN29" s="389">
        <f t="shared" si="24"/>
        <v>0</v>
      </c>
    </row>
    <row r="30" spans="1:40" ht="23.1" customHeight="1">
      <c r="A30" s="57">
        <f>Gen!A35</f>
        <v>44190</v>
      </c>
      <c r="B30" s="4"/>
      <c r="C30" s="95">
        <f t="shared" si="39"/>
        <v>0</v>
      </c>
      <c r="D30" s="1"/>
      <c r="E30" s="476">
        <f t="shared" si="28"/>
        <v>0</v>
      </c>
      <c r="F30" s="95">
        <f t="shared" si="38"/>
        <v>0</v>
      </c>
      <c r="G30" s="387"/>
      <c r="H30" s="476">
        <f t="shared" si="40"/>
        <v>0</v>
      </c>
      <c r="I30" s="95">
        <f t="shared" si="31"/>
        <v>0</v>
      </c>
      <c r="J30" s="1"/>
      <c r="K30" s="476">
        <f t="shared" si="42"/>
        <v>0</v>
      </c>
      <c r="L30" s="95">
        <f t="shared" si="32"/>
        <v>0</v>
      </c>
      <c r="M30" s="1"/>
      <c r="N30" s="476">
        <f t="shared" si="33"/>
        <v>0</v>
      </c>
      <c r="O30" s="95">
        <f t="shared" si="37"/>
        <v>0</v>
      </c>
      <c r="P30" s="383"/>
      <c r="Q30" s="476">
        <f t="shared" si="41"/>
        <v>0</v>
      </c>
      <c r="R30" s="250"/>
      <c r="S30" s="245">
        <f t="shared" si="34"/>
        <v>0</v>
      </c>
      <c r="T30" s="384"/>
      <c r="U30" s="477">
        <f t="shared" si="35"/>
        <v>0</v>
      </c>
      <c r="V30" s="245">
        <f t="shared" si="30"/>
        <v>0</v>
      </c>
      <c r="W30" s="384"/>
      <c r="X30" s="477">
        <f t="shared" si="17"/>
        <v>0</v>
      </c>
      <c r="Y30" s="245">
        <f t="shared" si="9"/>
        <v>0</v>
      </c>
      <c r="Z30" s="384"/>
      <c r="AA30" s="477">
        <f t="shared" si="18"/>
        <v>0</v>
      </c>
      <c r="AB30" s="610">
        <f t="shared" si="22"/>
        <v>0</v>
      </c>
      <c r="AC30" s="611"/>
      <c r="AD30" s="613">
        <f t="shared" si="23"/>
        <v>0</v>
      </c>
      <c r="AE30" s="245">
        <f t="shared" si="10"/>
        <v>0</v>
      </c>
      <c r="AF30" s="385"/>
      <c r="AG30" s="477">
        <f t="shared" si="19"/>
        <v>0</v>
      </c>
      <c r="AH30" s="245">
        <f t="shared" si="11"/>
        <v>0</v>
      </c>
      <c r="AI30" s="385"/>
      <c r="AJ30" s="477">
        <f t="shared" si="20"/>
        <v>0</v>
      </c>
      <c r="AK30" s="315">
        <f t="shared" si="12"/>
        <v>0</v>
      </c>
      <c r="AL30" s="384"/>
      <c r="AM30" s="477">
        <f t="shared" si="21"/>
        <v>0</v>
      </c>
      <c r="AN30" s="389">
        <f t="shared" si="24"/>
        <v>0</v>
      </c>
    </row>
    <row r="31" spans="1:40" ht="23.1" customHeight="1">
      <c r="A31" s="57">
        <f>Gen!A36</f>
        <v>44191</v>
      </c>
      <c r="B31" s="4"/>
      <c r="C31" s="95">
        <f t="shared" si="39"/>
        <v>0</v>
      </c>
      <c r="D31" s="1"/>
      <c r="E31" s="476">
        <f t="shared" si="28"/>
        <v>0</v>
      </c>
      <c r="F31" s="95">
        <f t="shared" si="38"/>
        <v>0</v>
      </c>
      <c r="G31" s="387"/>
      <c r="H31" s="476">
        <f t="shared" si="40"/>
        <v>0</v>
      </c>
      <c r="I31" s="95">
        <f t="shared" si="31"/>
        <v>0</v>
      </c>
      <c r="J31" s="1"/>
      <c r="K31" s="476">
        <f t="shared" si="42"/>
        <v>0</v>
      </c>
      <c r="L31" s="95">
        <f t="shared" si="32"/>
        <v>0</v>
      </c>
      <c r="M31" s="1"/>
      <c r="N31" s="476">
        <f t="shared" si="33"/>
        <v>0</v>
      </c>
      <c r="O31" s="95">
        <f t="shared" si="37"/>
        <v>0</v>
      </c>
      <c r="P31" s="383"/>
      <c r="Q31" s="476">
        <f t="shared" si="41"/>
        <v>0</v>
      </c>
      <c r="R31" s="250"/>
      <c r="S31" s="245">
        <f t="shared" si="34"/>
        <v>0</v>
      </c>
      <c r="T31" s="384"/>
      <c r="U31" s="477">
        <f t="shared" si="35"/>
        <v>0</v>
      </c>
      <c r="V31" s="245">
        <f t="shared" si="30"/>
        <v>0</v>
      </c>
      <c r="W31" s="384"/>
      <c r="X31" s="477">
        <f t="shared" si="17"/>
        <v>0</v>
      </c>
      <c r="Y31" s="245">
        <f t="shared" si="9"/>
        <v>0</v>
      </c>
      <c r="Z31" s="384"/>
      <c r="AA31" s="477">
        <f t="shared" si="18"/>
        <v>0</v>
      </c>
      <c r="AB31" s="610">
        <f t="shared" si="22"/>
        <v>0</v>
      </c>
      <c r="AC31" s="611"/>
      <c r="AD31" s="613">
        <f t="shared" si="23"/>
        <v>0</v>
      </c>
      <c r="AE31" s="245">
        <f t="shared" si="10"/>
        <v>0</v>
      </c>
      <c r="AF31" s="385"/>
      <c r="AG31" s="477">
        <f t="shared" si="19"/>
        <v>0</v>
      </c>
      <c r="AH31" s="245">
        <f t="shared" si="11"/>
        <v>0</v>
      </c>
      <c r="AI31" s="385"/>
      <c r="AJ31" s="477">
        <f t="shared" si="20"/>
        <v>0</v>
      </c>
      <c r="AK31" s="315">
        <f t="shared" si="12"/>
        <v>0</v>
      </c>
      <c r="AL31" s="384"/>
      <c r="AM31" s="477">
        <f t="shared" si="21"/>
        <v>0</v>
      </c>
      <c r="AN31" s="389">
        <f t="shared" si="24"/>
        <v>0</v>
      </c>
    </row>
    <row r="32" spans="1:40" ht="23.1" customHeight="1">
      <c r="A32" s="57">
        <f>Gen!A37</f>
        <v>44192</v>
      </c>
      <c r="B32" s="4" t="s">
        <v>27</v>
      </c>
      <c r="C32" s="95">
        <f t="shared" si="39"/>
        <v>0</v>
      </c>
      <c r="D32" s="1"/>
      <c r="E32" s="476">
        <f t="shared" si="28"/>
        <v>0</v>
      </c>
      <c r="F32" s="95">
        <f t="shared" si="2"/>
        <v>0</v>
      </c>
      <c r="G32" s="387"/>
      <c r="H32" s="476">
        <f t="shared" si="40"/>
        <v>0</v>
      </c>
      <c r="I32" s="95">
        <f t="shared" si="31"/>
        <v>0</v>
      </c>
      <c r="J32" s="1"/>
      <c r="K32" s="476">
        <f t="shared" si="42"/>
        <v>0</v>
      </c>
      <c r="L32" s="95">
        <f t="shared" si="32"/>
        <v>0</v>
      </c>
      <c r="M32" s="1"/>
      <c r="N32" s="476">
        <f t="shared" si="33"/>
        <v>0</v>
      </c>
      <c r="O32" s="95">
        <f t="shared" si="37"/>
        <v>0</v>
      </c>
      <c r="P32" s="383"/>
      <c r="Q32" s="476">
        <f t="shared" si="41"/>
        <v>0</v>
      </c>
      <c r="R32" s="250"/>
      <c r="S32" s="245">
        <f t="shared" si="34"/>
        <v>0</v>
      </c>
      <c r="T32" s="384"/>
      <c r="U32" s="477">
        <f t="shared" si="35"/>
        <v>0</v>
      </c>
      <c r="V32" s="245">
        <f t="shared" si="30"/>
        <v>0</v>
      </c>
      <c r="W32" s="384"/>
      <c r="X32" s="477">
        <f t="shared" si="17"/>
        <v>0</v>
      </c>
      <c r="Y32" s="245">
        <f t="shared" si="9"/>
        <v>0</v>
      </c>
      <c r="Z32" s="384"/>
      <c r="AA32" s="477">
        <f t="shared" si="18"/>
        <v>0</v>
      </c>
      <c r="AB32" s="610">
        <f t="shared" si="22"/>
        <v>0</v>
      </c>
      <c r="AC32" s="611"/>
      <c r="AD32" s="613">
        <f t="shared" si="23"/>
        <v>0</v>
      </c>
      <c r="AE32" s="245">
        <f t="shared" si="10"/>
        <v>0</v>
      </c>
      <c r="AF32" s="385"/>
      <c r="AG32" s="477">
        <f t="shared" si="19"/>
        <v>0</v>
      </c>
      <c r="AH32" s="245">
        <f t="shared" si="11"/>
        <v>0</v>
      </c>
      <c r="AI32" s="385"/>
      <c r="AJ32" s="477">
        <f t="shared" si="20"/>
        <v>0</v>
      </c>
      <c r="AK32" s="315">
        <f t="shared" si="12"/>
        <v>0</v>
      </c>
      <c r="AL32" s="384"/>
      <c r="AM32" s="477">
        <f t="shared" si="21"/>
        <v>0</v>
      </c>
      <c r="AN32" s="389">
        <f t="shared" si="24"/>
        <v>0</v>
      </c>
    </row>
    <row r="33" spans="1:41" ht="23.1" customHeight="1">
      <c r="A33" s="57">
        <f>Gen!A38</f>
        <v>44193</v>
      </c>
      <c r="B33" s="4"/>
      <c r="C33" s="95">
        <f t="shared" si="39"/>
        <v>0</v>
      </c>
      <c r="D33" s="1"/>
      <c r="E33" s="476">
        <f t="shared" si="28"/>
        <v>0</v>
      </c>
      <c r="F33" s="95">
        <f t="shared" si="2"/>
        <v>0</v>
      </c>
      <c r="G33" s="387"/>
      <c r="H33" s="476">
        <f t="shared" si="40"/>
        <v>0</v>
      </c>
      <c r="I33" s="95">
        <f t="shared" si="31"/>
        <v>0</v>
      </c>
      <c r="J33" s="1"/>
      <c r="K33" s="476">
        <f t="shared" si="42"/>
        <v>0</v>
      </c>
      <c r="L33" s="95">
        <f t="shared" si="32"/>
        <v>0</v>
      </c>
      <c r="M33" s="1"/>
      <c r="N33" s="476">
        <f t="shared" si="33"/>
        <v>0</v>
      </c>
      <c r="O33" s="95">
        <f t="shared" si="37"/>
        <v>0</v>
      </c>
      <c r="P33" s="383"/>
      <c r="Q33" s="476">
        <f t="shared" si="41"/>
        <v>0</v>
      </c>
      <c r="R33" s="250"/>
      <c r="S33" s="245">
        <f t="shared" si="34"/>
        <v>0</v>
      </c>
      <c r="T33" s="384"/>
      <c r="U33" s="477">
        <f t="shared" si="35"/>
        <v>0</v>
      </c>
      <c r="V33" s="245">
        <f t="shared" si="30"/>
        <v>0</v>
      </c>
      <c r="W33" s="384"/>
      <c r="X33" s="477">
        <f t="shared" si="17"/>
        <v>0</v>
      </c>
      <c r="Y33" s="245">
        <f t="shared" si="9"/>
        <v>0</v>
      </c>
      <c r="Z33" s="384"/>
      <c r="AA33" s="477">
        <f t="shared" si="18"/>
        <v>0</v>
      </c>
      <c r="AB33" s="610">
        <f t="shared" si="22"/>
        <v>0</v>
      </c>
      <c r="AC33" s="246"/>
      <c r="AD33" s="613">
        <f t="shared" si="23"/>
        <v>0</v>
      </c>
      <c r="AE33" s="245">
        <f t="shared" si="10"/>
        <v>0</v>
      </c>
      <c r="AF33" s="385"/>
      <c r="AG33" s="477">
        <f t="shared" si="19"/>
        <v>0</v>
      </c>
      <c r="AH33" s="245">
        <f t="shared" si="11"/>
        <v>0</v>
      </c>
      <c r="AI33" s="385"/>
      <c r="AJ33" s="477">
        <f t="shared" si="20"/>
        <v>0</v>
      </c>
      <c r="AK33" s="315">
        <f t="shared" si="12"/>
        <v>0</v>
      </c>
      <c r="AL33" s="384"/>
      <c r="AM33" s="477">
        <f t="shared" si="21"/>
        <v>0</v>
      </c>
      <c r="AN33" s="389">
        <f t="shared" si="24"/>
        <v>0</v>
      </c>
    </row>
    <row r="34" spans="1:41" ht="23.1" customHeight="1">
      <c r="A34" s="57">
        <f>Gen!A39</f>
        <v>44194</v>
      </c>
      <c r="B34" s="148"/>
      <c r="C34" s="95">
        <f t="shared" si="39"/>
        <v>0</v>
      </c>
      <c r="D34" s="1"/>
      <c r="E34" s="476">
        <f t="shared" si="28"/>
        <v>0</v>
      </c>
      <c r="F34" s="95">
        <f t="shared" si="2"/>
        <v>0</v>
      </c>
      <c r="G34" s="387"/>
      <c r="H34" s="476">
        <f t="shared" si="40"/>
        <v>0</v>
      </c>
      <c r="I34" s="95">
        <f t="shared" si="31"/>
        <v>0</v>
      </c>
      <c r="J34" s="1"/>
      <c r="K34" s="476">
        <f t="shared" si="42"/>
        <v>0</v>
      </c>
      <c r="L34" s="95">
        <f t="shared" si="32"/>
        <v>0</v>
      </c>
      <c r="M34" s="1"/>
      <c r="N34" s="476">
        <f t="shared" si="33"/>
        <v>0</v>
      </c>
      <c r="O34" s="95">
        <f t="shared" si="37"/>
        <v>0</v>
      </c>
      <c r="P34" s="383"/>
      <c r="Q34" s="476">
        <f t="shared" si="41"/>
        <v>0</v>
      </c>
      <c r="R34" s="250"/>
      <c r="S34" s="245">
        <f t="shared" si="34"/>
        <v>0</v>
      </c>
      <c r="T34" s="384"/>
      <c r="U34" s="477">
        <f t="shared" si="35"/>
        <v>0</v>
      </c>
      <c r="V34" s="245">
        <f t="shared" si="30"/>
        <v>0</v>
      </c>
      <c r="W34" s="384"/>
      <c r="X34" s="477">
        <f t="shared" si="17"/>
        <v>0</v>
      </c>
      <c r="Y34" s="245">
        <f t="shared" si="9"/>
        <v>0</v>
      </c>
      <c r="Z34" s="384"/>
      <c r="AA34" s="477">
        <f t="shared" si="18"/>
        <v>0</v>
      </c>
      <c r="AB34" s="610">
        <f t="shared" si="22"/>
        <v>0</v>
      </c>
      <c r="AC34" s="246"/>
      <c r="AD34" s="613">
        <f t="shared" si="23"/>
        <v>0</v>
      </c>
      <c r="AE34" s="245">
        <f t="shared" si="10"/>
        <v>0</v>
      </c>
      <c r="AF34" s="385"/>
      <c r="AG34" s="477">
        <f t="shared" si="19"/>
        <v>0</v>
      </c>
      <c r="AH34" s="245">
        <f t="shared" si="11"/>
        <v>0</v>
      </c>
      <c r="AI34" s="385"/>
      <c r="AJ34" s="477">
        <f t="shared" si="20"/>
        <v>0</v>
      </c>
      <c r="AK34" s="315">
        <f t="shared" si="12"/>
        <v>0</v>
      </c>
      <c r="AL34" s="384"/>
      <c r="AM34" s="477">
        <f t="shared" si="21"/>
        <v>0</v>
      </c>
      <c r="AN34" s="389">
        <f t="shared" si="24"/>
        <v>0</v>
      </c>
    </row>
    <row r="35" spans="1:41" ht="23.1" customHeight="1">
      <c r="A35" s="57">
        <f>Gen!A40</f>
        <v>44195</v>
      </c>
      <c r="B35" s="148"/>
      <c r="C35" s="95">
        <f t="shared" si="39"/>
        <v>0</v>
      </c>
      <c r="D35" s="1"/>
      <c r="E35" s="476">
        <f t="shared" si="28"/>
        <v>0</v>
      </c>
      <c r="F35" s="95">
        <f t="shared" si="2"/>
        <v>0</v>
      </c>
      <c r="G35" s="387"/>
      <c r="H35" s="476">
        <f t="shared" si="40"/>
        <v>0</v>
      </c>
      <c r="I35" s="95">
        <f t="shared" si="31"/>
        <v>0</v>
      </c>
      <c r="J35" s="1"/>
      <c r="K35" s="476">
        <f t="shared" si="42"/>
        <v>0</v>
      </c>
      <c r="L35" s="95">
        <f t="shared" si="32"/>
        <v>0</v>
      </c>
      <c r="M35" s="1"/>
      <c r="N35" s="476">
        <f t="shared" si="33"/>
        <v>0</v>
      </c>
      <c r="O35" s="95">
        <f t="shared" si="37"/>
        <v>0</v>
      </c>
      <c r="P35" s="383"/>
      <c r="Q35" s="476">
        <f t="shared" si="41"/>
        <v>0</v>
      </c>
      <c r="R35" s="250"/>
      <c r="S35" s="245">
        <f t="shared" si="34"/>
        <v>0</v>
      </c>
      <c r="T35" s="384"/>
      <c r="U35" s="477">
        <f t="shared" si="35"/>
        <v>0</v>
      </c>
      <c r="V35" s="245">
        <f t="shared" si="30"/>
        <v>0</v>
      </c>
      <c r="W35" s="384"/>
      <c r="X35" s="477">
        <f t="shared" si="17"/>
        <v>0</v>
      </c>
      <c r="Y35" s="245">
        <f t="shared" si="9"/>
        <v>0</v>
      </c>
      <c r="Z35" s="384"/>
      <c r="AA35" s="477">
        <f t="shared" si="18"/>
        <v>0</v>
      </c>
      <c r="AB35" s="610">
        <f t="shared" si="22"/>
        <v>0</v>
      </c>
      <c r="AC35" s="246"/>
      <c r="AD35" s="613">
        <f t="shared" si="23"/>
        <v>0</v>
      </c>
      <c r="AE35" s="245">
        <f t="shared" si="10"/>
        <v>0</v>
      </c>
      <c r="AF35" s="385"/>
      <c r="AG35" s="477">
        <f t="shared" si="19"/>
        <v>0</v>
      </c>
      <c r="AH35" s="245">
        <f t="shared" si="11"/>
        <v>0</v>
      </c>
      <c r="AI35" s="385"/>
      <c r="AJ35" s="477">
        <f t="shared" si="20"/>
        <v>0</v>
      </c>
      <c r="AK35" s="315">
        <f t="shared" si="12"/>
        <v>0</v>
      </c>
      <c r="AL35" s="384"/>
      <c r="AM35" s="477">
        <f t="shared" si="21"/>
        <v>0</v>
      </c>
      <c r="AN35" s="389">
        <f t="shared" si="24"/>
        <v>0</v>
      </c>
    </row>
    <row r="36" spans="1:41" ht="23.1" customHeight="1">
      <c r="A36" s="57">
        <f>Gen!A41</f>
        <v>44196</v>
      </c>
      <c r="B36" s="149"/>
      <c r="C36" s="95">
        <f t="shared" si="39"/>
        <v>0</v>
      </c>
      <c r="D36" s="1"/>
      <c r="E36" s="476">
        <f t="shared" si="28"/>
        <v>0</v>
      </c>
      <c r="F36" s="95">
        <f t="shared" si="2"/>
        <v>0</v>
      </c>
      <c r="G36" s="387"/>
      <c r="H36" s="476">
        <f t="shared" si="40"/>
        <v>0</v>
      </c>
      <c r="I36" s="95">
        <f t="shared" si="31"/>
        <v>0</v>
      </c>
      <c r="J36" s="1"/>
      <c r="K36" s="476">
        <f t="shared" si="42"/>
        <v>0</v>
      </c>
      <c r="L36" s="95">
        <f t="shared" si="32"/>
        <v>0</v>
      </c>
      <c r="M36" s="1"/>
      <c r="N36" s="476">
        <f t="shared" si="33"/>
        <v>0</v>
      </c>
      <c r="O36" s="95">
        <f t="shared" si="37"/>
        <v>0</v>
      </c>
      <c r="P36" s="383"/>
      <c r="Q36" s="476">
        <f t="shared" si="41"/>
        <v>0</v>
      </c>
      <c r="R36" s="250"/>
      <c r="S36" s="245">
        <f t="shared" si="34"/>
        <v>0</v>
      </c>
      <c r="T36" s="384"/>
      <c r="U36" s="477">
        <f t="shared" si="35"/>
        <v>0</v>
      </c>
      <c r="V36" s="245">
        <f t="shared" si="30"/>
        <v>0</v>
      </c>
      <c r="W36" s="384"/>
      <c r="X36" s="477">
        <f t="shared" si="17"/>
        <v>0</v>
      </c>
      <c r="Y36" s="245">
        <f t="shared" si="9"/>
        <v>0</v>
      </c>
      <c r="Z36" s="384"/>
      <c r="AA36" s="477">
        <f t="shared" si="18"/>
        <v>0</v>
      </c>
      <c r="AB36" s="610">
        <f t="shared" si="22"/>
        <v>0</v>
      </c>
      <c r="AC36" s="246"/>
      <c r="AD36" s="613">
        <f t="shared" si="23"/>
        <v>0</v>
      </c>
      <c r="AE36" s="245">
        <f t="shared" si="10"/>
        <v>0</v>
      </c>
      <c r="AF36" s="385"/>
      <c r="AG36" s="477">
        <f t="shared" si="19"/>
        <v>0</v>
      </c>
      <c r="AH36" s="245">
        <f t="shared" si="11"/>
        <v>0</v>
      </c>
      <c r="AI36" s="385"/>
      <c r="AJ36" s="477">
        <f t="shared" si="20"/>
        <v>0</v>
      </c>
      <c r="AK36" s="315">
        <f t="shared" si="12"/>
        <v>0</v>
      </c>
      <c r="AL36" s="384"/>
      <c r="AM36" s="477">
        <f t="shared" si="21"/>
        <v>0</v>
      </c>
      <c r="AN36" s="389">
        <f t="shared" si="24"/>
        <v>0</v>
      </c>
    </row>
    <row r="37" spans="1:41" ht="24" customHeight="1">
      <c r="A37" s="57">
        <f>Gen!A42</f>
        <v>44197</v>
      </c>
      <c r="B37" s="3"/>
      <c r="C37" s="95">
        <f t="shared" si="39"/>
        <v>0</v>
      </c>
      <c r="D37" s="1"/>
      <c r="E37" s="476">
        <f t="shared" si="28"/>
        <v>0</v>
      </c>
      <c r="F37" s="95">
        <f t="shared" si="2"/>
        <v>0</v>
      </c>
      <c r="G37" s="387"/>
      <c r="H37" s="476">
        <f t="shared" si="40"/>
        <v>0</v>
      </c>
      <c r="I37" s="95">
        <f t="shared" si="31"/>
        <v>0</v>
      </c>
      <c r="J37" s="1"/>
      <c r="K37" s="476">
        <f t="shared" si="42"/>
        <v>0</v>
      </c>
      <c r="L37" s="95">
        <f t="shared" si="32"/>
        <v>0</v>
      </c>
      <c r="M37" s="1"/>
      <c r="N37" s="476">
        <f t="shared" si="33"/>
        <v>0</v>
      </c>
      <c r="O37" s="95">
        <f t="shared" si="37"/>
        <v>0</v>
      </c>
      <c r="P37" s="383"/>
      <c r="Q37" s="476">
        <f t="shared" si="41"/>
        <v>0</v>
      </c>
      <c r="R37" s="250"/>
      <c r="S37" s="245">
        <f t="shared" si="34"/>
        <v>0</v>
      </c>
      <c r="T37" s="384"/>
      <c r="U37" s="477">
        <f t="shared" si="35"/>
        <v>0</v>
      </c>
      <c r="V37" s="245">
        <f t="shared" si="30"/>
        <v>0</v>
      </c>
      <c r="W37" s="384"/>
      <c r="X37" s="477">
        <f t="shared" si="17"/>
        <v>0</v>
      </c>
      <c r="Y37" s="245">
        <f t="shared" si="9"/>
        <v>0</v>
      </c>
      <c r="Z37" s="384"/>
      <c r="AA37" s="477">
        <f t="shared" si="18"/>
        <v>0</v>
      </c>
      <c r="AB37" s="610">
        <f t="shared" si="22"/>
        <v>0</v>
      </c>
      <c r="AC37" s="246"/>
      <c r="AD37" s="613">
        <f t="shared" si="23"/>
        <v>0</v>
      </c>
      <c r="AE37" s="245">
        <f t="shared" si="10"/>
        <v>0</v>
      </c>
      <c r="AF37" s="385"/>
      <c r="AG37" s="477">
        <f t="shared" si="19"/>
        <v>0</v>
      </c>
      <c r="AH37" s="245">
        <f t="shared" si="11"/>
        <v>0</v>
      </c>
      <c r="AI37" s="385"/>
      <c r="AJ37" s="477">
        <f t="shared" si="20"/>
        <v>0</v>
      </c>
      <c r="AK37" s="315">
        <f t="shared" si="12"/>
        <v>0</v>
      </c>
      <c r="AL37" s="384"/>
      <c r="AM37" s="477">
        <f t="shared" si="21"/>
        <v>0</v>
      </c>
      <c r="AN37" s="389">
        <f t="shared" ref="AN37" si="43">U38+X38+AA38+AD38+AG38+AJ38+AM38</f>
        <v>433</v>
      </c>
    </row>
    <row r="38" spans="1:41" ht="18.75">
      <c r="A38" s="57"/>
      <c r="B38" s="21"/>
      <c r="C38" s="939" t="s">
        <v>6</v>
      </c>
      <c r="D38" s="939"/>
      <c r="E38" s="22">
        <f>SUM(E6:E36)</f>
        <v>866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24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866</v>
      </c>
      <c r="S38" s="247"/>
      <c r="T38" s="247"/>
      <c r="U38" s="257">
        <f>SUM(U6:U37)</f>
        <v>433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7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433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8"/>
      <c r="B42" s="277"/>
      <c r="C42" s="905" t="s">
        <v>222</v>
      </c>
      <c r="D42" s="906"/>
      <c r="E42" s="906"/>
      <c r="F42" s="906"/>
      <c r="G42" s="906"/>
      <c r="H42" s="906"/>
      <c r="I42" s="906"/>
      <c r="J42" s="906"/>
      <c r="K42" s="907"/>
      <c r="R42" s="19"/>
    </row>
    <row r="43" spans="1:41" ht="24.75" customHeight="1">
      <c r="A43" s="909"/>
      <c r="B43" s="19"/>
      <c r="C43" s="911" t="s">
        <v>216</v>
      </c>
      <c r="D43" s="912"/>
      <c r="E43" s="913" t="s">
        <v>237</v>
      </c>
      <c r="F43" s="914"/>
      <c r="G43" s="915" t="s">
        <v>217</v>
      </c>
      <c r="H43" s="916"/>
      <c r="I43" s="915" t="s">
        <v>238</v>
      </c>
      <c r="J43" s="916"/>
      <c r="K43" s="903" t="s">
        <v>223</v>
      </c>
      <c r="R43" s="19"/>
      <c r="T43" s="480"/>
      <c r="U43" s="480"/>
      <c r="V43" s="480"/>
      <c r="W43" s="480"/>
      <c r="X43" s="480"/>
      <c r="Y43" s="480"/>
      <c r="Z43" s="480"/>
      <c r="AA43" s="480"/>
      <c r="AB43" s="480"/>
      <c r="AC43" s="480"/>
      <c r="AD43" s="480"/>
      <c r="AE43" s="480"/>
      <c r="AF43" s="480"/>
      <c r="AG43" s="480"/>
      <c r="AH43" s="480"/>
      <c r="AI43" s="480"/>
      <c r="AJ43" s="480"/>
      <c r="AK43" s="480"/>
      <c r="AL43" s="480"/>
      <c r="AM43" s="480"/>
      <c r="AN43" s="480"/>
      <c r="AO43" s="480"/>
    </row>
    <row r="44" spans="1:41" ht="21" customHeight="1" thickBot="1">
      <c r="A44" s="909"/>
      <c r="B44" s="19"/>
      <c r="C44" s="917" t="s">
        <v>218</v>
      </c>
      <c r="D44" s="918"/>
      <c r="E44" s="917" t="s">
        <v>219</v>
      </c>
      <c r="F44" s="918"/>
      <c r="G44" s="917" t="s">
        <v>220</v>
      </c>
      <c r="H44" s="918"/>
      <c r="I44" s="917" t="s">
        <v>221</v>
      </c>
      <c r="J44" s="918"/>
      <c r="K44" s="904"/>
      <c r="R44" s="19"/>
      <c r="T44" s="480"/>
      <c r="U44" s="480"/>
      <c r="V44" s="480"/>
      <c r="W44" s="480"/>
      <c r="X44" s="480"/>
      <c r="Y44" s="480"/>
      <c r="Z44" s="480"/>
      <c r="AA44" s="480"/>
      <c r="AB44" s="480"/>
      <c r="AC44" s="480"/>
      <c r="AD44" s="480"/>
      <c r="AE44" s="480"/>
      <c r="AF44" s="480"/>
      <c r="AG44" s="480"/>
      <c r="AH44" s="480"/>
      <c r="AI44" s="480"/>
      <c r="AJ44" s="480"/>
      <c r="AK44" s="480"/>
      <c r="AL44" s="480"/>
      <c r="AM44" s="480"/>
      <c r="AN44" s="480"/>
      <c r="AO44" s="480"/>
    </row>
    <row r="45" spans="1:41" ht="21" customHeight="1" thickBot="1">
      <c r="A45" s="910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8"/>
      <c r="H45" s="329" t="s">
        <v>224</v>
      </c>
      <c r="I45" s="328"/>
      <c r="J45" s="329" t="s">
        <v>224</v>
      </c>
      <c r="K45" s="330" t="s">
        <v>224</v>
      </c>
      <c r="R45" s="19"/>
      <c r="T45" s="480"/>
      <c r="U45" s="480"/>
      <c r="V45" s="480"/>
      <c r="W45" s="480"/>
      <c r="X45" s="480"/>
      <c r="Y45" s="480"/>
      <c r="Z45" s="480"/>
      <c r="AA45" s="480"/>
      <c r="AB45" s="480"/>
      <c r="AC45" s="480"/>
      <c r="AD45" s="480"/>
      <c r="AE45" s="480"/>
      <c r="AF45" s="480"/>
      <c r="AG45" s="480"/>
      <c r="AH45" s="480"/>
      <c r="AI45" s="480"/>
      <c r="AJ45" s="480"/>
      <c r="AK45" s="480"/>
      <c r="AL45" s="480"/>
      <c r="AM45" s="480"/>
      <c r="AN45" s="480"/>
      <c r="AO45" s="480"/>
    </row>
    <row r="46" spans="1:41" ht="20.25" customHeight="1">
      <c r="A46" s="293">
        <f>Gen!A11</f>
        <v>44166</v>
      </c>
      <c r="B46" s="19"/>
      <c r="C46" s="62">
        <v>261</v>
      </c>
      <c r="D46" s="325">
        <f t="shared" ref="D46:D77" si="48">C46*217/300</f>
        <v>188.79</v>
      </c>
      <c r="E46" s="6">
        <v>225</v>
      </c>
      <c r="F46" s="325">
        <f t="shared" ref="F46:F77" si="49">E46*92/305</f>
        <v>67.868852459016395</v>
      </c>
      <c r="G46" s="622">
        <v>255</v>
      </c>
      <c r="H46" s="325">
        <f t="shared" ref="H46:H77" si="50">G46*146/383</f>
        <v>97.206266318537857</v>
      </c>
      <c r="I46" s="6">
        <v>290</v>
      </c>
      <c r="J46" s="325">
        <f t="shared" ref="J46:J77" si="51">I46*213/308</f>
        <v>200.55194805194805</v>
      </c>
      <c r="K46" s="331">
        <f>D46+F46+H46+J46</f>
        <v>554.41706682950235</v>
      </c>
      <c r="T46" s="480"/>
      <c r="U46" s="480"/>
      <c r="V46" s="480"/>
      <c r="W46" s="480"/>
      <c r="X46" s="480"/>
      <c r="Y46" s="480"/>
      <c r="Z46" s="480"/>
      <c r="AA46" s="480"/>
      <c r="AB46" s="480"/>
      <c r="AC46" s="480"/>
      <c r="AD46" s="480"/>
      <c r="AE46" s="480"/>
      <c r="AF46" s="480"/>
      <c r="AG46" s="480"/>
      <c r="AH46" s="480"/>
      <c r="AI46" s="480"/>
      <c r="AJ46" s="480"/>
      <c r="AK46" s="480"/>
      <c r="AL46" s="480"/>
      <c r="AM46" s="480"/>
      <c r="AN46" s="480"/>
      <c r="AO46" s="480"/>
    </row>
    <row r="47" spans="1:41" ht="13.5">
      <c r="A47" s="293">
        <f>Gen!A12</f>
        <v>44167</v>
      </c>
      <c r="B47" s="19"/>
      <c r="C47" s="62">
        <v>251</v>
      </c>
      <c r="D47" s="325">
        <f t="shared" si="48"/>
        <v>181.55666666666667</v>
      </c>
      <c r="E47" s="6">
        <v>215</v>
      </c>
      <c r="F47" s="325">
        <f t="shared" si="49"/>
        <v>64.852459016393439</v>
      </c>
      <c r="G47" s="479">
        <v>150</v>
      </c>
      <c r="H47" s="325">
        <f t="shared" si="50"/>
        <v>57.180156657963444</v>
      </c>
      <c r="I47" s="6">
        <v>290</v>
      </c>
      <c r="J47" s="325">
        <f t="shared" si="51"/>
        <v>200.55194805194805</v>
      </c>
      <c r="K47" s="331">
        <f t="shared" ref="K47:K77" si="52">D47+F47+H47+J47</f>
        <v>504.14123039297158</v>
      </c>
      <c r="T47" s="480"/>
      <c r="U47" s="480"/>
      <c r="V47" s="480"/>
      <c r="W47" s="480"/>
      <c r="X47" s="480"/>
      <c r="Y47" s="480"/>
      <c r="Z47" s="480"/>
      <c r="AA47" s="480"/>
      <c r="AB47" s="480"/>
      <c r="AC47" s="480"/>
      <c r="AD47" s="480"/>
      <c r="AE47" s="480"/>
      <c r="AF47" s="480"/>
      <c r="AG47" s="480"/>
      <c r="AH47" s="480"/>
      <c r="AI47" s="480"/>
      <c r="AJ47" s="480"/>
      <c r="AK47" s="480"/>
      <c r="AL47" s="480"/>
      <c r="AM47" s="480"/>
      <c r="AN47" s="480"/>
      <c r="AO47" s="480"/>
    </row>
    <row r="48" spans="1:41" ht="13.5">
      <c r="A48" s="293">
        <f>Gen!A13</f>
        <v>44168</v>
      </c>
      <c r="B48" s="19"/>
      <c r="C48" s="62">
        <v>235</v>
      </c>
      <c r="D48" s="325">
        <f t="shared" si="48"/>
        <v>169.98333333333332</v>
      </c>
      <c r="E48" s="6">
        <v>200</v>
      </c>
      <c r="F48" s="325">
        <f t="shared" si="49"/>
        <v>60.327868852459019</v>
      </c>
      <c r="G48" s="479">
        <v>80</v>
      </c>
      <c r="H48" s="325">
        <f t="shared" si="50"/>
        <v>30.496083550913838</v>
      </c>
      <c r="I48" s="6">
        <v>289</v>
      </c>
      <c r="J48" s="325">
        <f t="shared" si="51"/>
        <v>199.8603896103896</v>
      </c>
      <c r="K48" s="331">
        <f t="shared" si="52"/>
        <v>460.66767534709584</v>
      </c>
      <c r="T48" s="480"/>
      <c r="U48" s="480"/>
      <c r="V48" s="480"/>
      <c r="W48" s="480"/>
      <c r="X48" s="480"/>
      <c r="Y48" s="480"/>
      <c r="Z48" s="480"/>
      <c r="AA48" s="480"/>
      <c r="AB48" s="480"/>
      <c r="AC48" s="480"/>
      <c r="AD48" s="480"/>
      <c r="AE48" s="480"/>
      <c r="AF48" s="480"/>
      <c r="AG48" s="480"/>
      <c r="AH48" s="480"/>
      <c r="AI48" s="480"/>
      <c r="AJ48" s="480"/>
      <c r="AK48" s="480"/>
      <c r="AL48" s="480"/>
      <c r="AM48" s="480"/>
      <c r="AN48" s="480"/>
      <c r="AO48" s="480"/>
    </row>
    <row r="49" spans="1:15" ht="13.5">
      <c r="A49" s="293">
        <f>Gen!A14</f>
        <v>44169</v>
      </c>
      <c r="B49" s="19"/>
      <c r="C49" s="62">
        <v>178</v>
      </c>
      <c r="D49" s="325">
        <f t="shared" si="48"/>
        <v>128.75333333333333</v>
      </c>
      <c r="E49" s="6">
        <v>143</v>
      </c>
      <c r="F49" s="325">
        <f t="shared" si="49"/>
        <v>43.134426229508193</v>
      </c>
      <c r="G49" s="479">
        <v>175</v>
      </c>
      <c r="H49" s="325">
        <f t="shared" si="50"/>
        <v>66.710182767624019</v>
      </c>
      <c r="I49" s="6">
        <v>292</v>
      </c>
      <c r="J49" s="325">
        <f t="shared" si="51"/>
        <v>201.93506493506493</v>
      </c>
      <c r="K49" s="331">
        <f t="shared" si="52"/>
        <v>440.5330072655305</v>
      </c>
    </row>
    <row r="50" spans="1:15" ht="13.5">
      <c r="A50" s="293">
        <f>Gen!A15</f>
        <v>44170</v>
      </c>
      <c r="B50" s="19"/>
      <c r="C50" s="62">
        <v>156</v>
      </c>
      <c r="D50" s="325">
        <f t="shared" si="48"/>
        <v>112.84</v>
      </c>
      <c r="E50" s="6">
        <v>120</v>
      </c>
      <c r="F50" s="325">
        <f t="shared" si="49"/>
        <v>36.196721311475407</v>
      </c>
      <c r="G50" s="479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450.96116436189754</v>
      </c>
    </row>
    <row r="51" spans="1:15" ht="13.5">
      <c r="A51" s="293">
        <f>Gen!A16</f>
        <v>44171</v>
      </c>
      <c r="B51" s="19"/>
      <c r="C51" s="62">
        <v>135</v>
      </c>
      <c r="D51" s="325">
        <f t="shared" si="48"/>
        <v>97.65</v>
      </c>
      <c r="E51" s="6">
        <v>100</v>
      </c>
      <c r="F51" s="325">
        <f t="shared" si="49"/>
        <v>30.16393442622951</v>
      </c>
      <c r="G51" s="479">
        <v>280</v>
      </c>
      <c r="H51" s="325">
        <f t="shared" si="50"/>
        <v>106.73629242819844</v>
      </c>
      <c r="I51" s="6">
        <v>292</v>
      </c>
      <c r="J51" s="325">
        <f t="shared" si="51"/>
        <v>201.93506493506493</v>
      </c>
      <c r="K51" s="331">
        <f t="shared" si="52"/>
        <v>436.48529178949286</v>
      </c>
    </row>
    <row r="52" spans="1:15" ht="13.5">
      <c r="A52" s="293">
        <f>Gen!A17</f>
        <v>44172</v>
      </c>
      <c r="B52" s="19"/>
      <c r="C52" s="62">
        <v>139</v>
      </c>
      <c r="D52" s="325">
        <f t="shared" si="48"/>
        <v>100.54333333333334</v>
      </c>
      <c r="E52" s="6">
        <v>104</v>
      </c>
      <c r="F52" s="325">
        <f t="shared" si="49"/>
        <v>31.370491803278689</v>
      </c>
      <c r="G52" s="479">
        <v>245</v>
      </c>
      <c r="H52" s="325">
        <f t="shared" si="50"/>
        <v>93.394255874673632</v>
      </c>
      <c r="I52" s="6">
        <v>288</v>
      </c>
      <c r="J52" s="325">
        <f t="shared" si="51"/>
        <v>199.16883116883116</v>
      </c>
      <c r="K52" s="331">
        <f t="shared" si="52"/>
        <v>424.47691218011681</v>
      </c>
    </row>
    <row r="53" spans="1:15" ht="13.5">
      <c r="A53" s="293">
        <f>Gen!A18</f>
        <v>44173</v>
      </c>
      <c r="B53" s="19"/>
      <c r="C53" s="62">
        <v>129</v>
      </c>
      <c r="D53" s="325">
        <f t="shared" si="48"/>
        <v>93.31</v>
      </c>
      <c r="E53" s="6">
        <v>94</v>
      </c>
      <c r="F53" s="325">
        <f t="shared" si="49"/>
        <v>28.354098360655737</v>
      </c>
      <c r="G53" s="479">
        <v>209</v>
      </c>
      <c r="H53" s="325">
        <f t="shared" si="50"/>
        <v>79.671018276762396</v>
      </c>
      <c r="I53" s="6">
        <v>290</v>
      </c>
      <c r="J53" s="325">
        <f t="shared" si="51"/>
        <v>200.55194805194805</v>
      </c>
      <c r="K53" s="331">
        <f t="shared" si="52"/>
        <v>401.88706468936618</v>
      </c>
    </row>
    <row r="54" spans="1:15" ht="13.5">
      <c r="A54" s="293">
        <f>Gen!A19</f>
        <v>44174</v>
      </c>
      <c r="B54" s="19"/>
      <c r="C54" s="62">
        <v>120</v>
      </c>
      <c r="D54" s="325">
        <f t="shared" si="48"/>
        <v>86.8</v>
      </c>
      <c r="E54" s="6">
        <v>88</v>
      </c>
      <c r="F54" s="325">
        <f t="shared" si="49"/>
        <v>26.544262295081968</v>
      </c>
      <c r="G54" s="479">
        <v>170</v>
      </c>
      <c r="H54" s="325">
        <f t="shared" si="50"/>
        <v>64.8041775456919</v>
      </c>
      <c r="I54" s="6">
        <v>285</v>
      </c>
      <c r="J54" s="325">
        <f t="shared" si="51"/>
        <v>197.09415584415584</v>
      </c>
      <c r="K54" s="331">
        <f t="shared" si="52"/>
        <v>375.24259568492971</v>
      </c>
    </row>
    <row r="55" spans="1:15" ht="13.5">
      <c r="A55" s="293">
        <f>Gen!A20</f>
        <v>44175</v>
      </c>
      <c r="B55" s="19"/>
      <c r="C55" s="62">
        <v>190</v>
      </c>
      <c r="D55" s="325">
        <f t="shared" si="48"/>
        <v>137.43333333333334</v>
      </c>
      <c r="E55" s="6">
        <v>150</v>
      </c>
      <c r="F55" s="325">
        <f t="shared" si="49"/>
        <v>45.245901639344261</v>
      </c>
      <c r="G55" s="479">
        <v>100</v>
      </c>
      <c r="H55" s="325">
        <f t="shared" si="50"/>
        <v>38.120104438642301</v>
      </c>
      <c r="I55" s="6">
        <v>290</v>
      </c>
      <c r="J55" s="325">
        <f t="shared" si="51"/>
        <v>200.55194805194805</v>
      </c>
      <c r="K55" s="331">
        <f t="shared" si="52"/>
        <v>421.35128746326791</v>
      </c>
    </row>
    <row r="56" spans="1:15" ht="13.5">
      <c r="A56" s="293">
        <f>Gen!A21</f>
        <v>44176</v>
      </c>
      <c r="B56" s="19"/>
      <c r="C56" s="62">
        <v>260</v>
      </c>
      <c r="D56" s="325">
        <f t="shared" si="48"/>
        <v>188.06666666666666</v>
      </c>
      <c r="E56" s="6">
        <v>200</v>
      </c>
      <c r="F56" s="325">
        <f t="shared" si="49"/>
        <v>60.327868852459019</v>
      </c>
      <c r="G56" s="479">
        <v>30</v>
      </c>
      <c r="H56" s="325">
        <f t="shared" si="50"/>
        <v>11.436031331592689</v>
      </c>
      <c r="I56" s="6">
        <v>270</v>
      </c>
      <c r="J56" s="325">
        <f t="shared" si="51"/>
        <v>186.72077922077921</v>
      </c>
      <c r="K56" s="331">
        <f t="shared" si="52"/>
        <v>446.55134607149756</v>
      </c>
    </row>
    <row r="57" spans="1:15" ht="13.5">
      <c r="A57" s="293">
        <f>Gen!A22</f>
        <v>44177</v>
      </c>
      <c r="B57" s="19"/>
      <c r="C57" s="62">
        <v>300</v>
      </c>
      <c r="D57" s="325">
        <f t="shared" si="48"/>
        <v>217</v>
      </c>
      <c r="E57" s="6">
        <v>300</v>
      </c>
      <c r="F57" s="325">
        <f t="shared" si="49"/>
        <v>90.491803278688522</v>
      </c>
      <c r="G57" s="479">
        <v>10</v>
      </c>
      <c r="H57" s="325">
        <f t="shared" si="50"/>
        <v>3.8120104438642297</v>
      </c>
      <c r="I57" s="6">
        <v>265</v>
      </c>
      <c r="J57" s="325">
        <f t="shared" si="51"/>
        <v>183.26298701298703</v>
      </c>
      <c r="K57" s="331">
        <f t="shared" si="52"/>
        <v>494.56680073553974</v>
      </c>
    </row>
    <row r="58" spans="1:15" ht="13.5">
      <c r="A58" s="293">
        <f>Gen!A23</f>
        <v>44178</v>
      </c>
      <c r="B58" s="19"/>
      <c r="C58" s="62">
        <v>270</v>
      </c>
      <c r="D58" s="325">
        <f t="shared" si="48"/>
        <v>195.3</v>
      </c>
      <c r="E58" s="6">
        <v>210</v>
      </c>
      <c r="F58" s="325">
        <f t="shared" si="49"/>
        <v>63.344262295081968</v>
      </c>
      <c r="G58" s="479">
        <v>70</v>
      </c>
      <c r="H58" s="325">
        <f t="shared" si="50"/>
        <v>26.68407310704961</v>
      </c>
      <c r="I58" s="6">
        <v>250</v>
      </c>
      <c r="J58" s="325">
        <f t="shared" si="51"/>
        <v>172.8896103896104</v>
      </c>
      <c r="K58" s="331">
        <f t="shared" si="52"/>
        <v>458.21794579174195</v>
      </c>
    </row>
    <row r="59" spans="1:15" ht="13.5">
      <c r="A59" s="293">
        <f>Gen!A24</f>
        <v>44179</v>
      </c>
      <c r="B59" s="19"/>
      <c r="C59" s="62">
        <v>220</v>
      </c>
      <c r="D59" s="325">
        <f t="shared" si="48"/>
        <v>159.13333333333333</v>
      </c>
      <c r="E59" s="6">
        <v>185</v>
      </c>
      <c r="F59" s="325">
        <f t="shared" si="49"/>
        <v>55.803278688524593</v>
      </c>
      <c r="G59" s="479">
        <v>75</v>
      </c>
      <c r="H59" s="325">
        <f t="shared" si="50"/>
        <v>28.590078328981722</v>
      </c>
      <c r="I59" s="6">
        <v>270</v>
      </c>
      <c r="J59" s="325">
        <f t="shared" si="51"/>
        <v>186.72077922077921</v>
      </c>
      <c r="K59" s="331">
        <f t="shared" si="52"/>
        <v>430.24746957161881</v>
      </c>
    </row>
    <row r="60" spans="1:15" ht="13.5">
      <c r="A60" s="293">
        <f>Gen!A25</f>
        <v>44180</v>
      </c>
      <c r="B60" s="19"/>
      <c r="C60" s="62">
        <v>170</v>
      </c>
      <c r="D60" s="325">
        <f t="shared" si="48"/>
        <v>122.96666666666667</v>
      </c>
      <c r="E60" s="6">
        <v>110</v>
      </c>
      <c r="F60" s="325">
        <f t="shared" si="49"/>
        <v>33.180327868852459</v>
      </c>
      <c r="G60" s="479">
        <v>90</v>
      </c>
      <c r="H60" s="325">
        <f t="shared" si="50"/>
        <v>34.308093994778069</v>
      </c>
      <c r="I60" s="6">
        <v>280</v>
      </c>
      <c r="J60" s="325">
        <f t="shared" si="51"/>
        <v>193.63636363636363</v>
      </c>
      <c r="K60" s="331">
        <f t="shared" si="52"/>
        <v>384.09145216666082</v>
      </c>
      <c r="L60" t="s">
        <v>249</v>
      </c>
      <c r="O60" t="s">
        <v>250</v>
      </c>
    </row>
    <row r="61" spans="1:15" ht="13.5">
      <c r="A61" s="293">
        <f>Gen!A26</f>
        <v>44181</v>
      </c>
      <c r="B61" s="19"/>
      <c r="C61" s="62">
        <v>125</v>
      </c>
      <c r="D61" s="325">
        <f t="shared" si="48"/>
        <v>90.416666666666671</v>
      </c>
      <c r="E61" s="6">
        <v>85</v>
      </c>
      <c r="F61" s="325">
        <f t="shared" si="49"/>
        <v>25.639344262295083</v>
      </c>
      <c r="G61" s="479">
        <v>135</v>
      </c>
      <c r="H61" s="325">
        <f t="shared" si="50"/>
        <v>51.4621409921671</v>
      </c>
      <c r="I61" s="6">
        <v>295</v>
      </c>
      <c r="J61" s="325">
        <f t="shared" si="51"/>
        <v>204.00974025974025</v>
      </c>
      <c r="K61" s="331">
        <f t="shared" si="52"/>
        <v>371.52789218086912</v>
      </c>
      <c r="L61" t="s">
        <v>252</v>
      </c>
      <c r="N61" t="s">
        <v>251</v>
      </c>
    </row>
    <row r="62" spans="1:15" ht="13.5">
      <c r="A62" s="293">
        <f>Gen!A27</f>
        <v>44182</v>
      </c>
      <c r="B62" s="19"/>
      <c r="C62" s="62"/>
      <c r="D62" s="325">
        <f t="shared" si="48"/>
        <v>0</v>
      </c>
      <c r="E62" s="6"/>
      <c r="F62" s="325">
        <f t="shared" si="49"/>
        <v>0</v>
      </c>
      <c r="G62" s="479"/>
      <c r="H62" s="325">
        <f t="shared" si="50"/>
        <v>0</v>
      </c>
      <c r="I62" s="6"/>
      <c r="J62" s="325">
        <f t="shared" si="51"/>
        <v>0</v>
      </c>
      <c r="K62" s="331">
        <f t="shared" si="52"/>
        <v>0</v>
      </c>
    </row>
    <row r="63" spans="1:15" ht="13.5">
      <c r="A63" s="293">
        <f>Gen!A28</f>
        <v>44183</v>
      </c>
      <c r="B63" s="19"/>
      <c r="C63" s="62"/>
      <c r="D63" s="325">
        <f t="shared" si="48"/>
        <v>0</v>
      </c>
      <c r="E63" s="6"/>
      <c r="F63" s="325">
        <f t="shared" si="49"/>
        <v>0</v>
      </c>
      <c r="G63" s="479"/>
      <c r="H63" s="325">
        <f t="shared" si="50"/>
        <v>0</v>
      </c>
      <c r="I63" s="6"/>
      <c r="J63" s="325">
        <f t="shared" si="51"/>
        <v>0</v>
      </c>
      <c r="K63" s="331">
        <f t="shared" si="52"/>
        <v>0</v>
      </c>
    </row>
    <row r="64" spans="1:15" ht="13.5">
      <c r="A64" s="293">
        <f>Gen!A29</f>
        <v>44184</v>
      </c>
      <c r="B64" s="19"/>
      <c r="C64" s="62"/>
      <c r="D64" s="325">
        <f t="shared" si="48"/>
        <v>0</v>
      </c>
      <c r="E64" s="6"/>
      <c r="F64" s="325">
        <f t="shared" si="49"/>
        <v>0</v>
      </c>
      <c r="G64" s="479"/>
      <c r="H64" s="325">
        <f t="shared" si="50"/>
        <v>0</v>
      </c>
      <c r="I64" s="6"/>
      <c r="J64" s="325">
        <f t="shared" si="51"/>
        <v>0</v>
      </c>
      <c r="K64" s="331">
        <f t="shared" si="52"/>
        <v>0</v>
      </c>
    </row>
    <row r="65" spans="1:11" ht="13.5">
      <c r="A65" s="293">
        <f>Gen!A30</f>
        <v>44185</v>
      </c>
      <c r="B65" s="19"/>
      <c r="C65" s="62"/>
      <c r="D65" s="325">
        <f t="shared" si="48"/>
        <v>0</v>
      </c>
      <c r="E65" s="6"/>
      <c r="F65" s="325">
        <f t="shared" si="49"/>
        <v>0</v>
      </c>
      <c r="G65" s="479"/>
      <c r="H65" s="325">
        <f t="shared" si="50"/>
        <v>0</v>
      </c>
      <c r="I65" s="6"/>
      <c r="J65" s="325">
        <f t="shared" si="51"/>
        <v>0</v>
      </c>
      <c r="K65" s="331">
        <f t="shared" si="52"/>
        <v>0</v>
      </c>
    </row>
    <row r="66" spans="1:11" ht="13.5">
      <c r="A66" s="293">
        <f>Gen!A31</f>
        <v>44186</v>
      </c>
      <c r="B66" s="19"/>
      <c r="C66" s="62"/>
      <c r="D66" s="325">
        <f t="shared" si="48"/>
        <v>0</v>
      </c>
      <c r="E66" s="6"/>
      <c r="F66" s="325">
        <f t="shared" si="49"/>
        <v>0</v>
      </c>
      <c r="G66" s="479"/>
      <c r="H66" s="325">
        <f t="shared" si="50"/>
        <v>0</v>
      </c>
      <c r="I66" s="6"/>
      <c r="J66" s="325">
        <f t="shared" si="51"/>
        <v>0</v>
      </c>
      <c r="K66" s="331">
        <f t="shared" si="52"/>
        <v>0</v>
      </c>
    </row>
    <row r="67" spans="1:11" ht="13.5">
      <c r="A67" s="293">
        <f>Gen!A32</f>
        <v>44187</v>
      </c>
      <c r="B67" s="19"/>
      <c r="C67" s="62"/>
      <c r="D67" s="325">
        <f t="shared" si="48"/>
        <v>0</v>
      </c>
      <c r="E67" s="6"/>
      <c r="F67" s="325">
        <f t="shared" si="49"/>
        <v>0</v>
      </c>
      <c r="G67" s="479"/>
      <c r="H67" s="325">
        <f t="shared" si="50"/>
        <v>0</v>
      </c>
      <c r="I67" s="6"/>
      <c r="J67" s="325">
        <f t="shared" si="51"/>
        <v>0</v>
      </c>
      <c r="K67" s="331">
        <f t="shared" si="52"/>
        <v>0</v>
      </c>
    </row>
    <row r="68" spans="1:11" ht="13.5">
      <c r="A68" s="293">
        <f>Gen!A33</f>
        <v>44188</v>
      </c>
      <c r="B68" s="19"/>
      <c r="C68" s="62"/>
      <c r="D68" s="325">
        <f t="shared" si="48"/>
        <v>0</v>
      </c>
      <c r="E68" s="6"/>
      <c r="F68" s="325">
        <f t="shared" si="49"/>
        <v>0</v>
      </c>
      <c r="G68" s="479"/>
      <c r="H68" s="325">
        <f t="shared" si="50"/>
        <v>0</v>
      </c>
      <c r="I68" s="6"/>
      <c r="J68" s="325">
        <f t="shared" si="51"/>
        <v>0</v>
      </c>
      <c r="K68" s="331">
        <f t="shared" si="52"/>
        <v>0</v>
      </c>
    </row>
    <row r="69" spans="1:11" ht="13.5">
      <c r="A69" s="293">
        <f>Gen!A34</f>
        <v>44189</v>
      </c>
      <c r="B69" s="19"/>
      <c r="C69" s="62"/>
      <c r="D69" s="325">
        <f t="shared" si="48"/>
        <v>0</v>
      </c>
      <c r="E69" s="6"/>
      <c r="F69" s="325">
        <f t="shared" si="49"/>
        <v>0</v>
      </c>
      <c r="G69" s="479"/>
      <c r="H69" s="325">
        <f t="shared" si="50"/>
        <v>0</v>
      </c>
      <c r="I69" s="6"/>
      <c r="J69" s="325">
        <f t="shared" si="51"/>
        <v>0</v>
      </c>
      <c r="K69" s="331">
        <f t="shared" si="52"/>
        <v>0</v>
      </c>
    </row>
    <row r="70" spans="1:11" ht="13.5">
      <c r="A70" s="293">
        <f>Gen!A35</f>
        <v>44190</v>
      </c>
      <c r="B70" s="19"/>
      <c r="C70" s="62"/>
      <c r="D70" s="325">
        <f t="shared" si="48"/>
        <v>0</v>
      </c>
      <c r="E70" s="6"/>
      <c r="F70" s="325">
        <f t="shared" si="49"/>
        <v>0</v>
      </c>
      <c r="G70" s="479"/>
      <c r="H70" s="325">
        <f t="shared" si="50"/>
        <v>0</v>
      </c>
      <c r="I70" s="6"/>
      <c r="J70" s="325">
        <f t="shared" si="51"/>
        <v>0</v>
      </c>
      <c r="K70" s="331">
        <f t="shared" si="52"/>
        <v>0</v>
      </c>
    </row>
    <row r="71" spans="1:11" ht="13.5">
      <c r="A71" s="293">
        <f>Gen!A36</f>
        <v>44191</v>
      </c>
      <c r="B71" s="19"/>
      <c r="C71" s="62"/>
      <c r="D71" s="325">
        <f t="shared" si="48"/>
        <v>0</v>
      </c>
      <c r="E71" s="6"/>
      <c r="F71" s="325">
        <f t="shared" si="49"/>
        <v>0</v>
      </c>
      <c r="G71" s="479"/>
      <c r="H71" s="325">
        <f t="shared" si="50"/>
        <v>0</v>
      </c>
      <c r="I71" s="6"/>
      <c r="J71" s="325">
        <f t="shared" si="51"/>
        <v>0</v>
      </c>
      <c r="K71" s="331">
        <f t="shared" si="52"/>
        <v>0</v>
      </c>
    </row>
    <row r="72" spans="1:11" ht="13.5">
      <c r="A72" s="293">
        <f>Gen!A37</f>
        <v>44192</v>
      </c>
      <c r="B72" s="19"/>
      <c r="C72" s="62"/>
      <c r="D72" s="325">
        <f t="shared" si="48"/>
        <v>0</v>
      </c>
      <c r="E72" s="6"/>
      <c r="F72" s="325">
        <f t="shared" si="49"/>
        <v>0</v>
      </c>
      <c r="G72" s="479"/>
      <c r="H72" s="325">
        <f t="shared" si="50"/>
        <v>0</v>
      </c>
      <c r="I72" s="6"/>
      <c r="J72" s="325">
        <f t="shared" si="51"/>
        <v>0</v>
      </c>
      <c r="K72" s="331">
        <f t="shared" si="52"/>
        <v>0</v>
      </c>
    </row>
    <row r="73" spans="1:11" ht="13.5">
      <c r="A73" s="293">
        <f>Gen!A38</f>
        <v>44193</v>
      </c>
      <c r="B73" s="19"/>
      <c r="C73" s="62"/>
      <c r="D73" s="325">
        <f t="shared" si="48"/>
        <v>0</v>
      </c>
      <c r="E73" s="6"/>
      <c r="F73" s="325">
        <f t="shared" si="49"/>
        <v>0</v>
      </c>
      <c r="G73" s="479"/>
      <c r="H73" s="325">
        <f t="shared" si="50"/>
        <v>0</v>
      </c>
      <c r="I73" s="6"/>
      <c r="J73" s="325">
        <f t="shared" si="51"/>
        <v>0</v>
      </c>
      <c r="K73" s="331">
        <f t="shared" si="52"/>
        <v>0</v>
      </c>
    </row>
    <row r="74" spans="1:11" ht="13.5">
      <c r="A74" s="293">
        <f>Gen!A39</f>
        <v>44194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9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44195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9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44196</v>
      </c>
      <c r="C76" s="62"/>
      <c r="D76" s="325">
        <f t="shared" si="48"/>
        <v>0</v>
      </c>
      <c r="E76" s="6"/>
      <c r="F76" s="325">
        <f t="shared" si="49"/>
        <v>0</v>
      </c>
      <c r="G76" s="479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44197</v>
      </c>
      <c r="C77" s="62"/>
      <c r="D77" s="325">
        <f t="shared" si="48"/>
        <v>0</v>
      </c>
      <c r="E77" s="6"/>
      <c r="F77" s="325">
        <f t="shared" si="49"/>
        <v>0</v>
      </c>
      <c r="G77" s="479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44166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44167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44168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44169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44170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44171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44172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44173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44174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44175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44176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44177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44178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44179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44180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44181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44182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44183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44184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44185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44186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44187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44188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44189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44190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44191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44192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44193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44194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44195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44196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64" t="s">
        <v>316</v>
      </c>
      <c r="B2" s="865"/>
      <c r="C2" s="865"/>
      <c r="D2" s="865"/>
      <c r="E2" s="86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6" t="s">
        <v>68</v>
      </c>
      <c r="S2" s="436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7"/>
      <c r="U3" s="438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44166</v>
      </c>
      <c r="B5" s="82">
        <v>0</v>
      </c>
      <c r="C5" s="87">
        <f>Gen!B11</f>
        <v>7.6999999999999999E-2</v>
      </c>
      <c r="D5" s="435">
        <f>SUM(77*C5)</f>
        <v>5.9290000000000003</v>
      </c>
      <c r="E5" s="74"/>
      <c r="F5" s="70">
        <f>Gen!U11</f>
        <v>0.41247028862478774</v>
      </c>
      <c r="G5" s="85">
        <f>Gen!T11</f>
        <v>2356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55</v>
      </c>
      <c r="L5" s="449">
        <f>'Lpg (2)'!G10</f>
        <v>323055.43600000005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9" t="e">
        <f>SUM(Q5/E5)/X5</f>
        <v>#REF!</v>
      </c>
      <c r="T5" s="76">
        <f>(K5*102)/X5</f>
        <v>3.5416666666666665</v>
      </c>
      <c r="U5" s="122">
        <f>SUM(L5*1963)/X5</f>
        <v>400352.1596388889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40">
        <v>106</v>
      </c>
      <c r="Z5" s="79" t="e">
        <f>SUM(Y5-S5)</f>
        <v>#REF!</v>
      </c>
      <c r="AA5">
        <v>106</v>
      </c>
    </row>
    <row r="6" spans="1:27">
      <c r="A6" s="53">
        <f>Gen!A12</f>
        <v>44167</v>
      </c>
      <c r="B6" s="82">
        <v>0</v>
      </c>
      <c r="C6" s="87">
        <f>Gen!B12</f>
        <v>9.0999999999999998E-2</v>
      </c>
      <c r="D6" s="435">
        <f t="shared" ref="D6:D35" si="2">SUM(77*C6)</f>
        <v>7.0069999999999997</v>
      </c>
      <c r="E6" s="74"/>
      <c r="F6" s="70">
        <f>Gen!U12</f>
        <v>0.42259678120922139</v>
      </c>
      <c r="G6" s="85">
        <f>Gen!T12</f>
        <v>2299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75</v>
      </c>
      <c r="L6" s="449">
        <f>'Lpg (2)'!G11</f>
        <v>77.395999999984639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9" t="e">
        <f t="shared" ref="S6:S35" si="4">SUM(Q6/E6)/X6</f>
        <v>#REF!</v>
      </c>
      <c r="T6" s="76">
        <f t="shared" ref="T6:T35" si="5">(K6*102)/X6</f>
        <v>4.8295454545454541</v>
      </c>
      <c r="U6" s="122">
        <f t="shared" ref="U6:U35" si="6">SUM(L6*1963)/X6</f>
        <v>95.914361111092077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40">
        <v>106</v>
      </c>
      <c r="Z6" s="79" t="e">
        <f t="shared" ref="Z6:Z35" si="8">SUM(Y6-S6)</f>
        <v>#REF!</v>
      </c>
    </row>
    <row r="7" spans="1:27">
      <c r="A7" s="53">
        <f>Gen!A13</f>
        <v>44168</v>
      </c>
      <c r="B7" s="82">
        <v>0</v>
      </c>
      <c r="C7" s="87">
        <f>Gen!B13</f>
        <v>1.2999999999999999E-2</v>
      </c>
      <c r="D7" s="435">
        <f t="shared" si="2"/>
        <v>1.0009999999999999</v>
      </c>
      <c r="E7" s="74"/>
      <c r="F7" s="70">
        <f>Gen!U13</f>
        <v>0.41857022708158115</v>
      </c>
      <c r="G7" s="85">
        <f>Gen!T13</f>
        <v>2378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59</v>
      </c>
      <c r="L7" s="449">
        <f>'Lpg (2)'!G12</f>
        <v>70.9720000000205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9" t="e">
        <f t="shared" si="4"/>
        <v>#REF!</v>
      </c>
      <c r="T7" s="76">
        <f t="shared" si="5"/>
        <v>3.7992424242424243</v>
      </c>
      <c r="U7" s="122">
        <f t="shared" si="6"/>
        <v>87.953305555580968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40">
        <v>106</v>
      </c>
      <c r="Z7" s="79" t="e">
        <f t="shared" si="8"/>
        <v>#REF!</v>
      </c>
    </row>
    <row r="8" spans="1:27">
      <c r="A8" s="53">
        <f>Gen!A14</f>
        <v>44169</v>
      </c>
      <c r="B8" s="82">
        <v>0</v>
      </c>
      <c r="C8" s="87">
        <f>Gen!B14</f>
        <v>1.2999999999999999E-2</v>
      </c>
      <c r="D8" s="435">
        <f t="shared" si="2"/>
        <v>1.0009999999999999</v>
      </c>
      <c r="E8" s="74"/>
      <c r="F8" s="70">
        <f>Gen!U14</f>
        <v>0.41642429820524618</v>
      </c>
      <c r="G8" s="85">
        <f>Gen!T14</f>
        <v>2173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49</v>
      </c>
      <c r="L8" s="449">
        <f>'Lpg (2)'!G13</f>
        <v>79.904000000015373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9" t="e">
        <f t="shared" si="4"/>
        <v>#REF!</v>
      </c>
      <c r="T8" s="76">
        <f t="shared" si="5"/>
        <v>3.1553030303030303</v>
      </c>
      <c r="U8" s="122">
        <f t="shared" si="6"/>
        <v>99.022444444463488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40">
        <v>106</v>
      </c>
      <c r="Z8" s="79" t="e">
        <f t="shared" si="8"/>
        <v>#REF!</v>
      </c>
    </row>
    <row r="9" spans="1:27">
      <c r="A9" s="53">
        <f>Gen!A15</f>
        <v>44170</v>
      </c>
      <c r="B9" s="82">
        <v>0</v>
      </c>
      <c r="C9" s="87">
        <f>Gen!B15</f>
        <v>0</v>
      </c>
      <c r="D9" s="435">
        <f t="shared" si="2"/>
        <v>0</v>
      </c>
      <c r="E9" s="74"/>
      <c r="F9" s="70">
        <f>Gen!U15</f>
        <v>0.40490401396160558</v>
      </c>
      <c r="G9" s="85">
        <f>Gen!T15</f>
        <v>2292</v>
      </c>
      <c r="H9" s="85">
        <f>[1]Gen!AJ10</f>
        <v>0</v>
      </c>
      <c r="I9" s="85">
        <f t="shared" si="0"/>
        <v>2292</v>
      </c>
      <c r="J9" s="85">
        <f>[1]Gen!AT15</f>
        <v>37525.210000000021</v>
      </c>
      <c r="K9" s="69">
        <f>'Water-Meter'!E10</f>
        <v>60</v>
      </c>
      <c r="L9" s="449">
        <f>'Lpg (2)'!G14</f>
        <v>90.859999999974391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5064976.2</v>
      </c>
      <c r="R9" s="76" t="e">
        <f t="shared" si="3"/>
        <v>#DIV/0!</v>
      </c>
      <c r="S9" s="439" t="e">
        <f t="shared" si="4"/>
        <v>#DIV/0!</v>
      </c>
      <c r="T9" s="76">
        <f t="shared" si="5"/>
        <v>3.8636363636363638</v>
      </c>
      <c r="U9" s="122">
        <f t="shared" si="6"/>
        <v>112.59986111107938</v>
      </c>
      <c r="V9" s="17">
        <f t="shared" si="7"/>
        <v>5065092.663497475</v>
      </c>
      <c r="W9" s="124" t="e">
        <f>SUM(V9/E9)/T2</f>
        <v>#DIV/0!</v>
      </c>
      <c r="X9">
        <f t="shared" si="9"/>
        <v>1584</v>
      </c>
      <c r="Y9" s="440">
        <v>106</v>
      </c>
      <c r="Z9" s="79" t="e">
        <f t="shared" si="8"/>
        <v>#DIV/0!</v>
      </c>
    </row>
    <row r="10" spans="1:27">
      <c r="A10" s="53">
        <f>Gen!A16</f>
        <v>44171</v>
      </c>
      <c r="B10" s="82">
        <v>0</v>
      </c>
      <c r="C10" s="87">
        <f>Gen!B16</f>
        <v>0</v>
      </c>
      <c r="D10" s="435">
        <f t="shared" si="2"/>
        <v>0</v>
      </c>
      <c r="E10" s="74"/>
      <c r="F10" s="70">
        <f>Gen!U16</f>
        <v>0.42626947368421053</v>
      </c>
      <c r="G10" s="85">
        <f>Gen!T16</f>
        <v>2375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51</v>
      </c>
      <c r="L10" s="449">
        <f>'Lpg (2)'!G15</f>
        <v>97.063999999989761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9" t="e">
        <f t="shared" si="4"/>
        <v>#REF!</v>
      </c>
      <c r="T10" s="76">
        <f t="shared" si="5"/>
        <v>3.2840909090909092</v>
      </c>
      <c r="U10" s="122">
        <f t="shared" si="6"/>
        <v>120.28827777776509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40">
        <v>106</v>
      </c>
      <c r="Z10" s="79" t="e">
        <f t="shared" si="8"/>
        <v>#REF!</v>
      </c>
    </row>
    <row r="11" spans="1:27">
      <c r="A11" s="53">
        <f>Gen!A17</f>
        <v>44172</v>
      </c>
      <c r="B11" s="82">
        <v>0</v>
      </c>
      <c r="C11" s="87">
        <f>Gen!B17</f>
        <v>0</v>
      </c>
      <c r="D11" s="435">
        <f t="shared" si="2"/>
        <v>0</v>
      </c>
      <c r="E11" s="74"/>
      <c r="F11" s="70">
        <f>Gen!U17</f>
        <v>0.41271040138109627</v>
      </c>
      <c r="G11" s="85">
        <f>Gen!T17</f>
        <v>2317</v>
      </c>
      <c r="H11" s="85">
        <f>[1]Gen!AJ25</f>
        <v>80.56</v>
      </c>
      <c r="I11" s="85">
        <f t="shared" si="0"/>
        <v>2397.56</v>
      </c>
      <c r="J11" s="85">
        <f>[1]Gen!AT17</f>
        <v>47513.140000000029</v>
      </c>
      <c r="K11" s="69">
        <f>'Water-Meter'!E12</f>
        <v>43</v>
      </c>
      <c r="L11" s="449">
        <f>'Lpg (2)'!G16</f>
        <v>52.888000000017932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5298247.966</v>
      </c>
      <c r="R11" s="76" t="e">
        <f t="shared" si="3"/>
        <v>#DIV/0!</v>
      </c>
      <c r="S11" s="439" t="e">
        <f t="shared" si="4"/>
        <v>#DIV/0!</v>
      </c>
      <c r="T11" s="76">
        <f t="shared" si="5"/>
        <v>2.768939393939394</v>
      </c>
      <c r="U11" s="122">
        <f t="shared" si="6"/>
        <v>65.542388888911105</v>
      </c>
      <c r="V11" s="17">
        <f t="shared" si="7"/>
        <v>5298316.2773282826</v>
      </c>
      <c r="W11" s="124" t="e">
        <f>SUM(V11/E11)/T2</f>
        <v>#DIV/0!</v>
      </c>
      <c r="X11">
        <f t="shared" si="9"/>
        <v>1584</v>
      </c>
      <c r="Y11" s="440">
        <v>106</v>
      </c>
      <c r="Z11" s="79" t="e">
        <f t="shared" si="8"/>
        <v>#DIV/0!</v>
      </c>
    </row>
    <row r="12" spans="1:27">
      <c r="A12" s="53">
        <f>Gen!A18</f>
        <v>44173</v>
      </c>
      <c r="B12" s="82">
        <v>0</v>
      </c>
      <c r="C12" s="87">
        <f>Gen!B18</f>
        <v>0</v>
      </c>
      <c r="D12" s="435">
        <f t="shared" si="2"/>
        <v>0</v>
      </c>
      <c r="E12" s="74"/>
      <c r="F12" s="70">
        <f>Gen!U18</f>
        <v>0.42044398340248962</v>
      </c>
      <c r="G12" s="85">
        <f>Gen!T18</f>
        <v>2410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44</v>
      </c>
      <c r="L12" s="449">
        <f>'Lpg (2)'!G17</f>
        <v>51.875999999971832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9" t="e">
        <f t="shared" si="4"/>
        <v>#REF!</v>
      </c>
      <c r="T12" s="76">
        <f t="shared" si="5"/>
        <v>2.8333333333333335</v>
      </c>
      <c r="U12" s="122">
        <f t="shared" si="6"/>
        <v>64.288249999965089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40">
        <v>106</v>
      </c>
      <c r="Z12" s="79" t="e">
        <f t="shared" si="8"/>
        <v>#REF!</v>
      </c>
    </row>
    <row r="13" spans="1:27">
      <c r="A13" s="53">
        <f>Gen!A19</f>
        <v>44174</v>
      </c>
      <c r="B13" s="82">
        <v>0</v>
      </c>
      <c r="C13" s="87">
        <f>Gen!B19</f>
        <v>0</v>
      </c>
      <c r="D13" s="435">
        <f t="shared" si="2"/>
        <v>0</v>
      </c>
      <c r="E13" s="74"/>
      <c r="F13" s="70">
        <f>Gen!U19</f>
        <v>0.41245206038351689</v>
      </c>
      <c r="G13" s="85">
        <f>Gen!T19</f>
        <v>2451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63</v>
      </c>
      <c r="L13" s="449">
        <f>'Lpg (2)'!G18</f>
        <v>52.404000000015373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9" t="e">
        <f t="shared" si="4"/>
        <v>#REF!</v>
      </c>
      <c r="T13" s="76">
        <f t="shared" si="5"/>
        <v>4.0568181818181817</v>
      </c>
      <c r="U13" s="122">
        <f t="shared" si="6"/>
        <v>64.942583333352388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40">
        <v>106</v>
      </c>
      <c r="Z13" s="79" t="e">
        <f t="shared" si="8"/>
        <v>#REF!</v>
      </c>
    </row>
    <row r="14" spans="1:27">
      <c r="A14" s="53">
        <f>Gen!A20</f>
        <v>44175</v>
      </c>
      <c r="B14" s="82">
        <v>0</v>
      </c>
      <c r="C14" s="87">
        <f>Gen!B20</f>
        <v>0</v>
      </c>
      <c r="D14" s="435">
        <f t="shared" si="2"/>
        <v>0</v>
      </c>
      <c r="E14" s="74"/>
      <c r="F14" s="70">
        <f>Gen!U20</f>
        <v>0.43839877091157392</v>
      </c>
      <c r="G14" s="85">
        <f>Gen!T20</f>
        <v>2929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61</v>
      </c>
      <c r="L14" s="449">
        <f>'Lpg (2)'!G19</f>
        <v>69.124000000028175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9" t="e">
        <f t="shared" si="4"/>
        <v>#REF!</v>
      </c>
      <c r="T14" s="76">
        <f t="shared" si="5"/>
        <v>3.9280303030303032</v>
      </c>
      <c r="U14" s="122">
        <f t="shared" si="6"/>
        <v>85.663138888923811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40">
        <v>106</v>
      </c>
      <c r="Z14" s="79" t="e">
        <f t="shared" si="8"/>
        <v>#REF!</v>
      </c>
    </row>
    <row r="15" spans="1:27">
      <c r="A15" s="53">
        <f>Gen!A21</f>
        <v>44176</v>
      </c>
      <c r="B15" s="82">
        <v>0</v>
      </c>
      <c r="C15" s="87">
        <f>Gen!B21</f>
        <v>0</v>
      </c>
      <c r="D15" s="435">
        <f t="shared" si="2"/>
        <v>0</v>
      </c>
      <c r="E15" s="74"/>
      <c r="F15" s="70">
        <f>Gen!U21</f>
        <v>0.3939967637540453</v>
      </c>
      <c r="G15" s="85">
        <f>Gen!T21</f>
        <v>3090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62</v>
      </c>
      <c r="L15" s="449">
        <f>'Lpg (2)'!G20</f>
        <v>87.955999999959033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9" t="e">
        <f t="shared" si="4"/>
        <v>#REF!</v>
      </c>
      <c r="T15" s="76">
        <f t="shared" si="5"/>
        <v>3.9924242424242422</v>
      </c>
      <c r="U15" s="122">
        <f t="shared" si="6"/>
        <v>109.001027777727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40">
        <v>106</v>
      </c>
      <c r="Z15" s="79" t="e">
        <f t="shared" si="8"/>
        <v>#REF!</v>
      </c>
    </row>
    <row r="16" spans="1:27">
      <c r="A16" s="53">
        <f>Gen!A22</f>
        <v>44177</v>
      </c>
      <c r="B16" s="82">
        <v>0</v>
      </c>
      <c r="C16" s="87">
        <f>Gen!B22</f>
        <v>0</v>
      </c>
      <c r="D16" s="435">
        <f t="shared" si="2"/>
        <v>0</v>
      </c>
      <c r="E16" s="74"/>
      <c r="F16" s="70">
        <f>Gen!U22</f>
        <v>0.39340488771466314</v>
      </c>
      <c r="G16" s="85">
        <f>Gen!T22</f>
        <v>3028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54</v>
      </c>
      <c r="L16" s="449">
        <f>'Lpg (2)'!G21</f>
        <v>92.004000000015381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9" t="e">
        <f t="shared" si="4"/>
        <v>#REF!</v>
      </c>
      <c r="T16" s="76">
        <f t="shared" si="5"/>
        <v>3.4772727272727271</v>
      </c>
      <c r="U16" s="122">
        <f t="shared" si="6"/>
        <v>114.01758333335239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40">
        <v>106</v>
      </c>
      <c r="Z16" s="79" t="e">
        <f t="shared" si="8"/>
        <v>#REF!</v>
      </c>
    </row>
    <row r="17" spans="1:26">
      <c r="A17" s="53">
        <f>Gen!A23</f>
        <v>44178</v>
      </c>
      <c r="B17" s="82">
        <v>0</v>
      </c>
      <c r="C17" s="87">
        <f>Gen!B23</f>
        <v>0</v>
      </c>
      <c r="D17" s="435">
        <f t="shared" si="2"/>
        <v>0</v>
      </c>
      <c r="E17" s="74"/>
      <c r="F17" s="70">
        <f>Gen!U23</f>
        <v>0.41456570155902001</v>
      </c>
      <c r="G17" s="85">
        <f>Gen!T23</f>
        <v>2694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56</v>
      </c>
      <c r="L17" s="449">
        <f>'Lpg (2)'!G22</f>
        <v>83.731999999994883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9" t="e">
        <f t="shared" si="4"/>
        <v>#REF!</v>
      </c>
      <c r="T17" s="76">
        <f t="shared" si="5"/>
        <v>3.606060606060606</v>
      </c>
      <c r="U17" s="122">
        <f t="shared" si="6"/>
        <v>103.76636111110477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40">
        <v>106</v>
      </c>
      <c r="Z17" s="79" t="e">
        <f t="shared" si="8"/>
        <v>#REF!</v>
      </c>
    </row>
    <row r="18" spans="1:26">
      <c r="A18" s="53">
        <f>Gen!A24</f>
        <v>44179</v>
      </c>
      <c r="B18" s="82">
        <v>0</v>
      </c>
      <c r="C18" s="87">
        <f>Gen!B24</f>
        <v>0</v>
      </c>
      <c r="D18" s="435">
        <f t="shared" si="2"/>
        <v>0</v>
      </c>
      <c r="E18" s="74"/>
      <c r="F18" s="70">
        <f>Gen!U24</f>
        <v>0.40323655913978496</v>
      </c>
      <c r="G18" s="85">
        <f>Gen!T24</f>
        <v>2790</v>
      </c>
      <c r="H18" s="85">
        <f>[1]Gen!AJ27</f>
        <v>597.9</v>
      </c>
      <c r="I18" s="85">
        <f t="shared" si="0"/>
        <v>3387.9</v>
      </c>
      <c r="J18" s="85">
        <f>[1]Gen!AT24</f>
        <v>29915.45000000003</v>
      </c>
      <c r="K18" s="69">
        <f>'Water-Meter'!E19</f>
        <v>60</v>
      </c>
      <c r="L18" s="449">
        <f>'Lpg (2)'!G23</f>
        <v>62.215999999997443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7486750.8149999995</v>
      </c>
      <c r="R18" s="76" t="e">
        <f t="shared" si="3"/>
        <v>#DIV/0!</v>
      </c>
      <c r="S18" s="439" t="e">
        <f t="shared" si="4"/>
        <v>#DIV/0!</v>
      </c>
      <c r="T18" s="76">
        <f t="shared" si="5"/>
        <v>3.8636363636363638</v>
      </c>
      <c r="U18" s="122">
        <f t="shared" si="6"/>
        <v>77.102277777774603</v>
      </c>
      <c r="V18" s="17">
        <f t="shared" si="7"/>
        <v>7486831.7809141409</v>
      </c>
      <c r="W18" s="124" t="e">
        <f>SUM(V18/E18)/T2</f>
        <v>#DIV/0!</v>
      </c>
      <c r="X18">
        <f t="shared" si="9"/>
        <v>1584</v>
      </c>
      <c r="Y18" s="440">
        <v>106</v>
      </c>
      <c r="Z18" s="79" t="e">
        <f t="shared" si="8"/>
        <v>#DIV/0!</v>
      </c>
    </row>
    <row r="19" spans="1:26">
      <c r="A19" s="53">
        <f>Gen!A25</f>
        <v>44180</v>
      </c>
      <c r="B19" s="82">
        <v>0</v>
      </c>
      <c r="C19" s="87">
        <f>Gen!B25</f>
        <v>0</v>
      </c>
      <c r="D19" s="435">
        <f t="shared" si="2"/>
        <v>0</v>
      </c>
      <c r="E19" s="74"/>
      <c r="F19" s="70">
        <f>Gen!U25</f>
        <v>0.40346878463243446</v>
      </c>
      <c r="G19" s="85">
        <f>Gen!T25</f>
        <v>2707</v>
      </c>
      <c r="H19" s="85">
        <f>[1]Gen!AJ28</f>
        <v>227.73000000000002</v>
      </c>
      <c r="I19" s="85">
        <f t="shared" si="0"/>
        <v>2934.73</v>
      </c>
      <c r="J19" s="85">
        <f>[1]Gen!AT25</f>
        <v>42248.240000000034</v>
      </c>
      <c r="K19" s="69">
        <f>'Water-Meter'!E20</f>
        <v>74</v>
      </c>
      <c r="L19" s="449">
        <f>'Lpg (2)'!G24</f>
        <v>60.147999999992322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6485313.0904999999</v>
      </c>
      <c r="R19" s="76" t="e">
        <f t="shared" si="3"/>
        <v>#DIV/0!</v>
      </c>
      <c r="S19" s="439" t="e">
        <f t="shared" si="4"/>
        <v>#DIV/0!</v>
      </c>
      <c r="T19" s="76">
        <f t="shared" si="5"/>
        <v>4.7651515151515156</v>
      </c>
      <c r="U19" s="122">
        <f t="shared" si="6"/>
        <v>74.539472222212709</v>
      </c>
      <c r="V19" s="17">
        <f t="shared" si="7"/>
        <v>6485392.3951237379</v>
      </c>
      <c r="W19" s="76" t="e">
        <f>SUM(V19/E19)/T2</f>
        <v>#DIV/0!</v>
      </c>
      <c r="X19">
        <f t="shared" si="9"/>
        <v>1584</v>
      </c>
      <c r="Y19" s="440">
        <v>106</v>
      </c>
      <c r="Z19" s="79" t="e">
        <f t="shared" si="8"/>
        <v>#DIV/0!</v>
      </c>
    </row>
    <row r="20" spans="1:26">
      <c r="A20" s="53">
        <f>Gen!A26</f>
        <v>44181</v>
      </c>
      <c r="B20" s="82">
        <v>0</v>
      </c>
      <c r="C20" s="87">
        <f>Gen!B26</f>
        <v>0</v>
      </c>
      <c r="D20" s="435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 t="str">
        <f>'Water-Meter'!E21</f>
        <v>0</v>
      </c>
      <c r="L20" s="449">
        <f>'Lpg (2)'!G25</f>
        <v>69.563999999989761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9" t="e">
        <f t="shared" si="4"/>
        <v>#DIV/0!</v>
      </c>
      <c r="T20" s="76">
        <f t="shared" si="5"/>
        <v>0</v>
      </c>
      <c r="U20" s="122">
        <f t="shared" si="6"/>
        <v>86.208416666653974</v>
      </c>
      <c r="V20" s="17">
        <f t="shared" si="7"/>
        <v>195193.86491666664</v>
      </c>
      <c r="W20" s="76" t="e">
        <f>SUM(V20/E20)/T2</f>
        <v>#DIV/0!</v>
      </c>
      <c r="X20">
        <f t="shared" si="9"/>
        <v>1584</v>
      </c>
      <c r="Y20" s="440">
        <v>106</v>
      </c>
      <c r="Z20" s="79" t="e">
        <f t="shared" si="8"/>
        <v>#DIV/0!</v>
      </c>
    </row>
    <row r="21" spans="1:26">
      <c r="A21" s="53">
        <f>Gen!A27</f>
        <v>44182</v>
      </c>
      <c r="B21" s="82">
        <v>0</v>
      </c>
      <c r="C21" s="87">
        <f>Gen!B27</f>
        <v>0</v>
      </c>
      <c r="D21" s="435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9">
        <f>'Lpg (2)'!G26</f>
        <v>-324153.54399999999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9" t="e">
        <f t="shared" si="4"/>
        <v>#DIV/0!</v>
      </c>
      <c r="T21" s="76">
        <f t="shared" si="5"/>
        <v>0</v>
      </c>
      <c r="U21" s="122">
        <f t="shared" si="6"/>
        <v>-401713.0093888889</v>
      </c>
      <c r="V21" s="17">
        <f t="shared" si="7"/>
        <v>1330632.6026111108</v>
      </c>
      <c r="W21" s="76" t="e">
        <f>SUM(V21/E21)/T2</f>
        <v>#DIV/0!</v>
      </c>
      <c r="X21">
        <f t="shared" si="9"/>
        <v>1584</v>
      </c>
      <c r="Y21" s="440">
        <v>106</v>
      </c>
      <c r="Z21" s="79" t="e">
        <f t="shared" si="8"/>
        <v>#DIV/0!</v>
      </c>
    </row>
    <row r="22" spans="1:26">
      <c r="A22" s="53">
        <f>Gen!A28</f>
        <v>44183</v>
      </c>
      <c r="B22" s="82">
        <v>0</v>
      </c>
      <c r="C22" s="87">
        <f>Gen!B28</f>
        <v>0</v>
      </c>
      <c r="D22" s="435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9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9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40">
        <v>106</v>
      </c>
      <c r="Z22" s="79" t="e">
        <f t="shared" si="8"/>
        <v>#REF!</v>
      </c>
    </row>
    <row r="23" spans="1:26">
      <c r="A23" s="53">
        <f>Gen!A29</f>
        <v>44184</v>
      </c>
      <c r="B23" s="82">
        <v>0</v>
      </c>
      <c r="C23" s="87">
        <f>Gen!B29</f>
        <v>0</v>
      </c>
      <c r="D23" s="435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9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9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40">
        <v>106</v>
      </c>
      <c r="Z23" s="79" t="e">
        <f t="shared" si="8"/>
        <v>#REF!</v>
      </c>
    </row>
    <row r="24" spans="1:26">
      <c r="A24" s="53">
        <f>Gen!A30</f>
        <v>44185</v>
      </c>
      <c r="B24" s="82">
        <v>0</v>
      </c>
      <c r="C24" s="87">
        <f>Gen!B30</f>
        <v>0</v>
      </c>
      <c r="D24" s="435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9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9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40">
        <v>106</v>
      </c>
      <c r="Z24" s="79" t="e">
        <f t="shared" si="8"/>
        <v>#REF!</v>
      </c>
    </row>
    <row r="25" spans="1:26">
      <c r="A25" s="53">
        <f>Gen!A31</f>
        <v>44186</v>
      </c>
      <c r="B25" s="82">
        <v>0</v>
      </c>
      <c r="C25" s="87">
        <f>Gen!B31</f>
        <v>0</v>
      </c>
      <c r="D25" s="435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9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9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40">
        <v>106</v>
      </c>
      <c r="Z25" s="79" t="e">
        <f t="shared" si="8"/>
        <v>#DIV/0!</v>
      </c>
    </row>
    <row r="26" spans="1:26">
      <c r="A26" s="53">
        <f>Gen!A32</f>
        <v>44187</v>
      </c>
      <c r="B26" s="82">
        <v>0</v>
      </c>
      <c r="C26" s="87">
        <f>Gen!B32</f>
        <v>0</v>
      </c>
      <c r="D26" s="435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9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9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40">
        <v>106</v>
      </c>
      <c r="Z26" s="79" t="e">
        <f t="shared" si="8"/>
        <v>#DIV/0!</v>
      </c>
    </row>
    <row r="27" spans="1:26">
      <c r="A27" s="53">
        <f>Gen!A33</f>
        <v>44188</v>
      </c>
      <c r="B27" s="82">
        <v>0</v>
      </c>
      <c r="C27" s="87">
        <f>Gen!B33</f>
        <v>0</v>
      </c>
      <c r="D27" s="435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9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9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40">
        <v>106</v>
      </c>
      <c r="Z27" s="79" t="e">
        <f t="shared" si="8"/>
        <v>#DIV/0!</v>
      </c>
    </row>
    <row r="28" spans="1:26">
      <c r="A28" s="53">
        <f>Gen!A34</f>
        <v>44189</v>
      </c>
      <c r="B28" s="82">
        <v>0</v>
      </c>
      <c r="C28" s="87">
        <f>Gen!B34</f>
        <v>0</v>
      </c>
      <c r="D28" s="435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9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9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40">
        <v>106</v>
      </c>
      <c r="Z28" s="79" t="e">
        <f t="shared" si="8"/>
        <v>#DIV/0!</v>
      </c>
    </row>
    <row r="29" spans="1:26">
      <c r="A29" s="53">
        <f>Gen!A35</f>
        <v>44190</v>
      </c>
      <c r="B29" s="82">
        <v>0</v>
      </c>
      <c r="C29" s="87">
        <f>Gen!B35</f>
        <v>0</v>
      </c>
      <c r="D29" s="435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9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9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40">
        <v>106</v>
      </c>
      <c r="Z29" s="79" t="e">
        <f t="shared" si="8"/>
        <v>#DIV/0!</v>
      </c>
    </row>
    <row r="30" spans="1:26">
      <c r="A30" s="53">
        <f>Gen!A36</f>
        <v>44191</v>
      </c>
      <c r="B30" s="82">
        <v>0</v>
      </c>
      <c r="C30" s="87">
        <f>Gen!B36</f>
        <v>0</v>
      </c>
      <c r="D30" s="435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9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9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40">
        <v>106</v>
      </c>
      <c r="Z30" s="79" t="e">
        <f t="shared" si="8"/>
        <v>#DIV/0!</v>
      </c>
    </row>
    <row r="31" spans="1:26">
      <c r="A31" s="53">
        <f>Gen!A37</f>
        <v>44192</v>
      </c>
      <c r="B31" s="82">
        <v>0</v>
      </c>
      <c r="C31" s="87">
        <f>Gen!B37</f>
        <v>0</v>
      </c>
      <c r="D31" s="435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9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9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40">
        <v>106</v>
      </c>
      <c r="Z31" s="79" t="e">
        <f t="shared" si="8"/>
        <v>#DIV/0!</v>
      </c>
    </row>
    <row r="32" spans="1:26">
      <c r="A32" s="53">
        <f>Gen!A38</f>
        <v>44193</v>
      </c>
      <c r="B32" s="82">
        <v>0</v>
      </c>
      <c r="C32" s="87">
        <f>Gen!B38</f>
        <v>0</v>
      </c>
      <c r="D32" s="435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9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9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40">
        <v>106</v>
      </c>
      <c r="Z32" s="79" t="e">
        <f t="shared" si="8"/>
        <v>#DIV/0!</v>
      </c>
    </row>
    <row r="33" spans="1:26">
      <c r="A33" s="53">
        <f>Gen!A39</f>
        <v>44194</v>
      </c>
      <c r="B33" s="82">
        <v>0</v>
      </c>
      <c r="C33" s="87">
        <f>Gen!B39</f>
        <v>0</v>
      </c>
      <c r="D33" s="435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9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9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40">
        <v>106</v>
      </c>
      <c r="Z33" s="79" t="e">
        <f t="shared" si="8"/>
        <v>#DIV/0!</v>
      </c>
    </row>
    <row r="34" spans="1:26">
      <c r="A34" s="53">
        <f>Gen!A40</f>
        <v>44195</v>
      </c>
      <c r="B34" s="82">
        <v>0</v>
      </c>
      <c r="C34" s="87">
        <f>Gen!B40</f>
        <v>0</v>
      </c>
      <c r="D34" s="435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9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9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40">
        <v>106</v>
      </c>
      <c r="Z34" s="79" t="e">
        <f t="shared" si="8"/>
        <v>#DIV/0!</v>
      </c>
    </row>
    <row r="35" spans="1:26">
      <c r="A35" s="53">
        <f>Gen!A41</f>
        <v>44196</v>
      </c>
      <c r="B35" s="82">
        <v>0</v>
      </c>
      <c r="C35" s="87">
        <f>Gen!B41</f>
        <v>0</v>
      </c>
      <c r="D35" s="435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9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9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40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866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1975.68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0" t="s">
        <v>180</v>
      </c>
      <c r="B1" s="941"/>
      <c r="C1" s="941"/>
      <c r="D1" s="941"/>
      <c r="E1" s="941"/>
      <c r="F1" s="941"/>
      <c r="G1" s="942"/>
    </row>
    <row r="2" spans="1:7" ht="13.5" thickBot="1">
      <c r="A2" s="300"/>
      <c r="B2" s="943" t="s">
        <v>175</v>
      </c>
      <c r="C2" s="944"/>
      <c r="D2" s="945"/>
      <c r="E2" s="943" t="s">
        <v>176</v>
      </c>
      <c r="F2" s="944"/>
      <c r="G2" s="945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81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81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81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81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81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81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81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81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81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81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81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81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81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81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81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81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81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81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81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81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81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81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81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81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81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81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81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81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81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81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81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81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81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81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81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81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81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81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81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81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81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81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81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81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81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81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81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81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81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81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81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81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81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81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81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81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81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81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81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81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81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81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81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81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81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81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81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81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81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81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81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81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0" t="s">
        <v>230</v>
      </c>
      <c r="B1" s="941"/>
      <c r="C1" s="941"/>
      <c r="D1" s="941"/>
      <c r="G1" s="274"/>
      <c r="H1" s="275" t="s">
        <v>231</v>
      </c>
      <c r="I1" s="275"/>
      <c r="J1" s="274"/>
      <c r="K1" s="274"/>
    </row>
    <row r="2" spans="1:12" ht="39" thickBot="1">
      <c r="A2" s="482" t="s">
        <v>7</v>
      </c>
      <c r="B2" s="483" t="s">
        <v>177</v>
      </c>
      <c r="C2" s="483" t="s">
        <v>178</v>
      </c>
      <c r="D2" s="484" t="s">
        <v>194</v>
      </c>
      <c r="E2" s="484" t="s">
        <v>236</v>
      </c>
      <c r="F2" s="485" t="s">
        <v>214</v>
      </c>
      <c r="G2" s="486" t="s">
        <v>232</v>
      </c>
      <c r="H2" s="487" t="s">
        <v>233</v>
      </c>
      <c r="I2" s="488" t="s">
        <v>234</v>
      </c>
      <c r="J2" s="487" t="s">
        <v>235</v>
      </c>
      <c r="K2" s="487" t="s">
        <v>214</v>
      </c>
      <c r="L2" s="489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90">
        <v>-1.7700000000040745</v>
      </c>
      <c r="G3" s="491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2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90">
        <f t="shared" ref="F4:F62" si="2">D4-E4</f>
        <v>0.97000000000116415</v>
      </c>
      <c r="G4" s="491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2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90">
        <f t="shared" si="2"/>
        <v>0.25</v>
      </c>
      <c r="G5" s="491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2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90">
        <f t="shared" si="2"/>
        <v>0.72000000000116415</v>
      </c>
      <c r="G6" s="491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2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90">
        <f t="shared" si="2"/>
        <v>0.52999999999883585</v>
      </c>
      <c r="G7" s="491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2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90">
        <f t="shared" si="2"/>
        <v>0.71000000000640284</v>
      </c>
      <c r="G8" s="491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2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90">
        <f t="shared" si="2"/>
        <v>-0.25</v>
      </c>
      <c r="G9" s="491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2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90">
        <f t="shared" si="2"/>
        <v>-1.5599999999976717</v>
      </c>
      <c r="G10" s="491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2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90">
        <f t="shared" si="2"/>
        <v>-1.9600000000064028</v>
      </c>
      <c r="G11" s="491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2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90">
        <f t="shared" si="2"/>
        <v>1.1600000000034925</v>
      </c>
      <c r="G12" s="491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2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90">
        <f t="shared" si="2"/>
        <v>0.11999999999534339</v>
      </c>
      <c r="G13" s="491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2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90">
        <f t="shared" si="2"/>
        <v>0.77999999999883585</v>
      </c>
      <c r="G14" s="491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2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90">
        <f t="shared" si="2"/>
        <v>1.1399999999994179</v>
      </c>
      <c r="G15" s="491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2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90">
        <f t="shared" si="2"/>
        <v>0.73000000000320142</v>
      </c>
      <c r="G16" s="491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2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90">
        <f t="shared" si="2"/>
        <v>1.3500000000058208</v>
      </c>
      <c r="G17" s="491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2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90">
        <f t="shared" si="2"/>
        <v>0.42999999999301508</v>
      </c>
      <c r="G18" s="491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2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90">
        <f t="shared" si="2"/>
        <v>-0.47999999999592546</v>
      </c>
      <c r="G19" s="491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2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90">
        <f>D20-E20</f>
        <v>5.8000000000029104</v>
      </c>
      <c r="G20" s="491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2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90">
        <f t="shared" si="2"/>
        <v>0.74000000000523869</v>
      </c>
      <c r="G21" s="491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2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90">
        <f>D22-E22</f>
        <v>-0.60000000000582077</v>
      </c>
      <c r="G22" s="491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2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90">
        <f t="shared" si="2"/>
        <v>0.69000000000232831</v>
      </c>
      <c r="G23" s="491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2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90">
        <f t="shared" si="2"/>
        <v>0.75999999999476131</v>
      </c>
      <c r="G24" s="491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2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90">
        <f t="shared" si="2"/>
        <v>1.5599999999976717</v>
      </c>
      <c r="G25" s="491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2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90">
        <f t="shared" si="2"/>
        <v>0.37000000000261934</v>
      </c>
      <c r="G26" s="491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2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90">
        <f t="shared" si="2"/>
        <v>0.25</v>
      </c>
      <c r="G27" s="491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2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90">
        <f t="shared" si="2"/>
        <v>0.78999999999359716</v>
      </c>
      <c r="G28" s="491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2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90">
        <f t="shared" si="2"/>
        <v>0.41999999999825377</v>
      </c>
      <c r="G29" s="491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2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90">
        <f t="shared" si="2"/>
        <v>0.22999999999956344</v>
      </c>
      <c r="G30" s="491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2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90">
        <f t="shared" si="2"/>
        <v>9.9999999983992893E-3</v>
      </c>
      <c r="G31" s="491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2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90">
        <f t="shared" si="2"/>
        <v>-1.8300000000017462</v>
      </c>
      <c r="G32" s="491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2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90">
        <f t="shared" si="2"/>
        <v>-0.54000000000087311</v>
      </c>
      <c r="G33" s="491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2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90">
        <f t="shared" si="2"/>
        <v>1.0200000000004366</v>
      </c>
      <c r="G34" s="491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2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90">
        <f t="shared" si="2"/>
        <v>-1.5600000000013097</v>
      </c>
      <c r="G35" s="491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2">
        <f t="shared" si="6"/>
        <v>30538</v>
      </c>
    </row>
    <row r="36" spans="1:12">
      <c r="A36" s="240">
        <v>44105</v>
      </c>
      <c r="B36" s="314">
        <f t="shared" si="0"/>
        <v>8454371</v>
      </c>
      <c r="C36" s="798">
        <v>8470098</v>
      </c>
      <c r="D36" s="392">
        <f t="shared" si="1"/>
        <v>15727</v>
      </c>
      <c r="E36" s="798">
        <v>15726.66</v>
      </c>
      <c r="F36" s="490">
        <f t="shared" si="2"/>
        <v>0.34000000000014552</v>
      </c>
      <c r="G36" s="491">
        <f t="shared" si="3"/>
        <v>270861</v>
      </c>
      <c r="H36" s="798">
        <v>271447</v>
      </c>
      <c r="I36" s="269">
        <f t="shared" si="4"/>
        <v>586</v>
      </c>
      <c r="J36" s="798">
        <v>585.84</v>
      </c>
      <c r="K36" s="276">
        <f t="shared" si="5"/>
        <v>0.15999999999996817</v>
      </c>
      <c r="L36" s="492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90">
        <f t="shared" si="2"/>
        <v>-8470098</v>
      </c>
      <c r="G37" s="491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2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90">
        <f t="shared" si="2"/>
        <v>0</v>
      </c>
      <c r="G38" s="491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2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90">
        <f t="shared" si="2"/>
        <v>0</v>
      </c>
      <c r="G39" s="491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2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90">
        <f t="shared" si="2"/>
        <v>0</v>
      </c>
      <c r="G40" s="491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2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90">
        <f t="shared" si="2"/>
        <v>0</v>
      </c>
      <c r="G41" s="491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2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90">
        <f t="shared" si="2"/>
        <v>0</v>
      </c>
      <c r="G42" s="491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2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90">
        <f t="shared" si="2"/>
        <v>0</v>
      </c>
      <c r="G43" s="491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2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90">
        <f t="shared" si="2"/>
        <v>0</v>
      </c>
      <c r="G44" s="491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2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90">
        <f t="shared" si="2"/>
        <v>0</v>
      </c>
      <c r="G45" s="491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2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90">
        <f t="shared" si="2"/>
        <v>0</v>
      </c>
      <c r="G46" s="491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2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90">
        <f t="shared" si="2"/>
        <v>0</v>
      </c>
      <c r="G47" s="491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2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90">
        <f t="shared" si="2"/>
        <v>0</v>
      </c>
      <c r="G48" s="491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2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90">
        <f t="shared" si="2"/>
        <v>0</v>
      </c>
      <c r="G49" s="491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2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90">
        <f t="shared" si="2"/>
        <v>0</v>
      </c>
      <c r="G50" s="491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2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90">
        <f t="shared" si="2"/>
        <v>0</v>
      </c>
      <c r="G51" s="491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2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90">
        <f t="shared" si="2"/>
        <v>0</v>
      </c>
      <c r="G52" s="491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2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90">
        <f t="shared" si="2"/>
        <v>0</v>
      </c>
      <c r="G53" s="491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2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90">
        <f t="shared" si="2"/>
        <v>0</v>
      </c>
      <c r="G54" s="491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2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90">
        <f t="shared" si="2"/>
        <v>0</v>
      </c>
      <c r="G55" s="491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2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90">
        <f t="shared" si="2"/>
        <v>0</v>
      </c>
      <c r="G56" s="491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2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90">
        <f t="shared" si="2"/>
        <v>0</v>
      </c>
      <c r="G57" s="491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2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90">
        <f t="shared" si="2"/>
        <v>0</v>
      </c>
      <c r="G58" s="491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2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90">
        <f t="shared" si="2"/>
        <v>0</v>
      </c>
      <c r="G59" s="491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2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90">
        <f t="shared" si="2"/>
        <v>0</v>
      </c>
      <c r="G60" s="491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2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90">
        <f t="shared" si="2"/>
        <v>0</v>
      </c>
      <c r="G61" s="491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2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90">
        <f t="shared" si="2"/>
        <v>0</v>
      </c>
      <c r="G62" s="491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2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90">
        <f t="shared" ref="F63:F66" si="9">D63-E63</f>
        <v>0</v>
      </c>
      <c r="G63" s="491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2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90">
        <f t="shared" si="9"/>
        <v>0</v>
      </c>
      <c r="G64" s="491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2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90">
        <f t="shared" si="9"/>
        <v>0</v>
      </c>
      <c r="G65" s="491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2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90">
        <f t="shared" si="9"/>
        <v>0</v>
      </c>
      <c r="G66" s="491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2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90">
        <f t="shared" ref="F67:F74" si="15">D67-E67</f>
        <v>0</v>
      </c>
      <c r="G67" s="491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2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90">
        <f t="shared" si="15"/>
        <v>0</v>
      </c>
      <c r="G68" s="491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2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90">
        <f t="shared" si="15"/>
        <v>0</v>
      </c>
      <c r="G69" s="491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2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90">
        <f t="shared" si="15"/>
        <v>0</v>
      </c>
      <c r="G70" s="491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2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90">
        <f t="shared" si="15"/>
        <v>0</v>
      </c>
      <c r="G71" s="491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2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90">
        <f t="shared" si="15"/>
        <v>0</v>
      </c>
      <c r="G72" s="491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2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90">
        <f t="shared" si="15"/>
        <v>0</v>
      </c>
      <c r="G73" s="491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2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90">
        <f t="shared" si="15"/>
        <v>0</v>
      </c>
      <c r="G74" s="491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2">
        <f t="shared" si="13"/>
        <v>0</v>
      </c>
    </row>
    <row r="75" spans="1:12" ht="13.5" thickBot="1"/>
    <row r="76" spans="1:12">
      <c r="B76" s="946"/>
      <c r="C76" s="947"/>
      <c r="D76" s="947"/>
      <c r="E76" s="948"/>
      <c r="H76" s="946"/>
      <c r="I76" s="947"/>
      <c r="J76" s="947"/>
      <c r="K76" s="947"/>
      <c r="L76" s="948"/>
    </row>
    <row r="77" spans="1:12">
      <c r="B77" s="949"/>
      <c r="C77" s="950"/>
      <c r="D77" s="950"/>
      <c r="E77" s="951"/>
      <c r="H77" s="949"/>
      <c r="I77" s="950"/>
      <c r="J77" s="950"/>
      <c r="K77" s="950"/>
      <c r="L77" s="951"/>
    </row>
    <row r="78" spans="1:12">
      <c r="B78" s="949"/>
      <c r="C78" s="950"/>
      <c r="D78" s="950"/>
      <c r="E78" s="951"/>
      <c r="H78" s="949"/>
      <c r="I78" s="950"/>
      <c r="J78" s="950"/>
      <c r="K78" s="950"/>
      <c r="L78" s="951"/>
    </row>
    <row r="79" spans="1:12">
      <c r="B79" s="949"/>
      <c r="C79" s="950"/>
      <c r="D79" s="950"/>
      <c r="E79" s="951"/>
      <c r="H79" s="949"/>
      <c r="I79" s="950"/>
      <c r="J79" s="950"/>
      <c r="K79" s="950"/>
      <c r="L79" s="951"/>
    </row>
    <row r="80" spans="1:12">
      <c r="B80" s="949"/>
      <c r="C80" s="950"/>
      <c r="D80" s="950"/>
      <c r="E80" s="951"/>
      <c r="H80" s="949"/>
      <c r="I80" s="950"/>
      <c r="J80" s="950"/>
      <c r="K80" s="950"/>
      <c r="L80" s="951"/>
    </row>
    <row r="81" spans="2:12">
      <c r="B81" s="949"/>
      <c r="C81" s="950"/>
      <c r="D81" s="950"/>
      <c r="E81" s="951"/>
      <c r="H81" s="949"/>
      <c r="I81" s="950"/>
      <c r="J81" s="950"/>
      <c r="K81" s="950"/>
      <c r="L81" s="951"/>
    </row>
    <row r="82" spans="2:12">
      <c r="B82" s="949"/>
      <c r="C82" s="950"/>
      <c r="D82" s="950"/>
      <c r="E82" s="951"/>
      <c r="H82" s="949"/>
      <c r="I82" s="950"/>
      <c r="J82" s="950"/>
      <c r="K82" s="950"/>
      <c r="L82" s="951"/>
    </row>
    <row r="83" spans="2:12">
      <c r="B83" s="949"/>
      <c r="C83" s="950"/>
      <c r="D83" s="950"/>
      <c r="E83" s="951"/>
      <c r="H83" s="949"/>
      <c r="I83" s="950"/>
      <c r="J83" s="950"/>
      <c r="K83" s="950"/>
      <c r="L83" s="951"/>
    </row>
    <row r="84" spans="2:12">
      <c r="B84" s="949"/>
      <c r="C84" s="950"/>
      <c r="D84" s="950"/>
      <c r="E84" s="951"/>
      <c r="H84" s="949"/>
      <c r="I84" s="950"/>
      <c r="J84" s="950"/>
      <c r="K84" s="950"/>
      <c r="L84" s="951"/>
    </row>
    <row r="85" spans="2:12">
      <c r="B85" s="949"/>
      <c r="C85" s="950"/>
      <c r="D85" s="950"/>
      <c r="E85" s="951"/>
      <c r="H85" s="949"/>
      <c r="I85" s="950"/>
      <c r="J85" s="950"/>
      <c r="K85" s="950"/>
      <c r="L85" s="951"/>
    </row>
    <row r="86" spans="2:12">
      <c r="B86" s="949"/>
      <c r="C86" s="950"/>
      <c r="D86" s="950"/>
      <c r="E86" s="951"/>
      <c r="H86" s="949"/>
      <c r="I86" s="950"/>
      <c r="J86" s="950"/>
      <c r="K86" s="950"/>
      <c r="L86" s="951"/>
    </row>
    <row r="87" spans="2:12">
      <c r="B87" s="949"/>
      <c r="C87" s="950"/>
      <c r="D87" s="950"/>
      <c r="E87" s="951"/>
      <c r="H87" s="949"/>
      <c r="I87" s="950"/>
      <c r="J87" s="950"/>
      <c r="K87" s="950"/>
      <c r="L87" s="951"/>
    </row>
    <row r="88" spans="2:12">
      <c r="B88" s="949"/>
      <c r="C88" s="950"/>
      <c r="D88" s="950"/>
      <c r="E88" s="951"/>
      <c r="H88" s="949"/>
      <c r="I88" s="950"/>
      <c r="J88" s="950"/>
      <c r="K88" s="950"/>
      <c r="L88" s="951"/>
    </row>
    <row r="89" spans="2:12">
      <c r="B89" s="949"/>
      <c r="C89" s="950"/>
      <c r="D89" s="950"/>
      <c r="E89" s="951"/>
      <c r="H89" s="949"/>
      <c r="I89" s="950"/>
      <c r="J89" s="950"/>
      <c r="K89" s="950"/>
      <c r="L89" s="951"/>
    </row>
    <row r="90" spans="2:12" ht="13.5" thickBot="1">
      <c r="B90" s="952"/>
      <c r="C90" s="953"/>
      <c r="D90" s="953"/>
      <c r="E90" s="954"/>
      <c r="H90" s="952"/>
      <c r="I90" s="953"/>
      <c r="J90" s="953"/>
      <c r="K90" s="953"/>
      <c r="L90" s="954"/>
    </row>
    <row r="91" spans="2:12">
      <c r="B91" s="955" t="s">
        <v>312</v>
      </c>
      <c r="C91" s="956"/>
      <c r="D91" s="956"/>
      <c r="E91" s="957"/>
      <c r="H91" s="955" t="s">
        <v>313</v>
      </c>
      <c r="I91" s="956"/>
      <c r="J91" s="956"/>
      <c r="K91" s="956"/>
      <c r="L91" s="957"/>
    </row>
    <row r="92" spans="2:12">
      <c r="B92" s="958"/>
      <c r="C92" s="959"/>
      <c r="D92" s="959"/>
      <c r="E92" s="960"/>
      <c r="H92" s="958"/>
      <c r="I92" s="959"/>
      <c r="J92" s="959"/>
      <c r="K92" s="959"/>
      <c r="L92" s="960"/>
    </row>
    <row r="93" spans="2:12" ht="13.5" thickBot="1">
      <c r="B93" s="961"/>
      <c r="C93" s="962"/>
      <c r="D93" s="962"/>
      <c r="E93" s="963"/>
      <c r="H93" s="961"/>
      <c r="I93" s="962"/>
      <c r="J93" s="962"/>
      <c r="K93" s="962"/>
      <c r="L93" s="96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N11" sqref="N11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4" t="s">
        <v>254</v>
      </c>
      <c r="B1" s="964"/>
      <c r="C1" s="964"/>
      <c r="D1" s="964"/>
      <c r="E1" s="964"/>
      <c r="F1" s="964"/>
      <c r="G1" s="964"/>
      <c r="H1" s="964"/>
      <c r="I1" s="964"/>
      <c r="J1" s="964"/>
    </row>
    <row r="2" spans="1:10" ht="19.5" thickBot="1">
      <c r="A2" s="973">
        <f>A5</f>
        <v>44166</v>
      </c>
      <c r="B2" s="974"/>
      <c r="C2" s="974"/>
      <c r="D2" s="974"/>
      <c r="E2" s="974"/>
      <c r="F2" s="974"/>
      <c r="G2" s="974"/>
      <c r="H2" s="974"/>
      <c r="I2" s="974"/>
      <c r="J2" s="974"/>
    </row>
    <row r="3" spans="1:10" ht="15.75" thickBot="1">
      <c r="A3" s="965" t="s">
        <v>7</v>
      </c>
      <c r="B3" s="967" t="s">
        <v>255</v>
      </c>
      <c r="C3" s="441"/>
      <c r="D3" s="969" t="s">
        <v>256</v>
      </c>
      <c r="E3" s="970"/>
      <c r="F3" s="971" t="s">
        <v>257</v>
      </c>
      <c r="G3" s="972"/>
      <c r="H3" s="970"/>
      <c r="I3" s="971" t="s">
        <v>258</v>
      </c>
      <c r="J3" s="970"/>
    </row>
    <row r="4" spans="1:10" ht="30.75" thickBot="1">
      <c r="A4" s="966"/>
      <c r="B4" s="968"/>
      <c r="C4" s="447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>
      <c r="A5" s="217">
        <f>Gen!A11</f>
        <v>44166</v>
      </c>
      <c r="B5" s="400">
        <v>7.6999999999999999E-2</v>
      </c>
      <c r="C5" s="445">
        <f>Gen!AJ11</f>
        <v>40.94</v>
      </c>
      <c r="D5" s="446">
        <f>Gen!S11</f>
        <v>971.78</v>
      </c>
      <c r="E5" s="395">
        <f>Gen!C11</f>
        <v>33526.22</v>
      </c>
      <c r="F5" s="396">
        <f>'Water-Meter'!E6</f>
        <v>55</v>
      </c>
      <c r="G5" s="397">
        <f>'Water-Meter'!AN6</f>
        <v>96</v>
      </c>
      <c r="H5" s="395">
        <f>'Utility report '!AC6</f>
        <v>40</v>
      </c>
      <c r="I5" s="394">
        <f>'Kit report'!F4</f>
        <v>227.99999999995634</v>
      </c>
      <c r="J5" s="395">
        <f>'Kit report'!X4</f>
        <v>60.00000000003638</v>
      </c>
    </row>
    <row r="6" spans="1:10" ht="17.100000000000001" customHeight="1">
      <c r="A6" s="217">
        <f>Gen!A12</f>
        <v>44167</v>
      </c>
      <c r="B6" s="399">
        <f>Gen!B12</f>
        <v>9.0999999999999998E-2</v>
      </c>
      <c r="C6" s="445">
        <f>Gen!AJ12</f>
        <v>99.67</v>
      </c>
      <c r="D6" s="446">
        <f>Gen!S12</f>
        <v>971.55</v>
      </c>
      <c r="E6" s="395">
        <f>Gen!C12</f>
        <v>32513.5</v>
      </c>
      <c r="F6" s="396">
        <f>'Water-Meter'!E7</f>
        <v>75</v>
      </c>
      <c r="G6" s="397">
        <f>'Water-Meter'!AN7</f>
        <v>95</v>
      </c>
      <c r="H6" s="395">
        <f>'Utility report '!AC7</f>
        <v>39</v>
      </c>
      <c r="I6" s="394">
        <f>'Kit report'!F5</f>
        <v>216.00000000013097</v>
      </c>
      <c r="J6" s="395">
        <f>'Kit report'!X5</f>
        <v>79.99999999992724</v>
      </c>
    </row>
    <row r="7" spans="1:10" ht="17.100000000000001" customHeight="1">
      <c r="A7" s="217">
        <f>Gen!A13</f>
        <v>44168</v>
      </c>
      <c r="B7" s="399">
        <v>1.2999999999999999E-2</v>
      </c>
      <c r="C7" s="445">
        <f>Gen!AJ13</f>
        <v>0</v>
      </c>
      <c r="D7" s="446">
        <f>Gen!S13</f>
        <v>995.36</v>
      </c>
      <c r="E7" s="395">
        <f>Gen!C13</f>
        <v>31442.28</v>
      </c>
      <c r="F7" s="396">
        <f>'Water-Meter'!E8</f>
        <v>59</v>
      </c>
      <c r="G7" s="397">
        <f>'Water-Meter'!AN8</f>
        <v>116</v>
      </c>
      <c r="H7" s="395">
        <f>'Utility report '!AC8</f>
        <v>38</v>
      </c>
      <c r="I7" s="394">
        <f>'Kit report'!F6</f>
        <v>251.99999999982538</v>
      </c>
      <c r="J7" s="395">
        <f>'Kit report'!X6</f>
        <v>160.00000000003638</v>
      </c>
    </row>
    <row r="8" spans="1:10" ht="17.100000000000001" customHeight="1">
      <c r="A8" s="217">
        <f>Gen!A14</f>
        <v>44169</v>
      </c>
      <c r="B8" s="399">
        <v>1.2999999999999999E-2</v>
      </c>
      <c r="C8" s="445">
        <f>Gen!AJ14</f>
        <v>0</v>
      </c>
      <c r="D8" s="446">
        <f>Gen!S14</f>
        <v>904.89</v>
      </c>
      <c r="E8" s="395">
        <f>Gen!C14</f>
        <v>30446.92</v>
      </c>
      <c r="F8" s="396">
        <f>'Water-Meter'!E9</f>
        <v>49</v>
      </c>
      <c r="G8" s="397">
        <f>'Water-Meter'!AN9</f>
        <v>97</v>
      </c>
      <c r="H8" s="395">
        <f>'Utility report '!AC9</f>
        <v>37</v>
      </c>
      <c r="I8" s="394">
        <f>'Kit report'!F7</f>
        <v>228.00000000017462</v>
      </c>
      <c r="J8" s="395">
        <f>'Kit report'!X7</f>
        <v>100</v>
      </c>
    </row>
    <row r="9" spans="1:10" ht="17.100000000000001" customHeight="1">
      <c r="A9" s="217">
        <f>Gen!A15</f>
        <v>44170</v>
      </c>
      <c r="B9" s="399">
        <f>Gen!B15</f>
        <v>0</v>
      </c>
      <c r="C9" s="445">
        <f>Gen!AJ15</f>
        <v>0</v>
      </c>
      <c r="D9" s="446">
        <f>Gen!S15</f>
        <v>928.04</v>
      </c>
      <c r="E9" s="395">
        <f>Gen!C15</f>
        <v>47542.03</v>
      </c>
      <c r="F9" s="396">
        <f>'Water-Meter'!E10</f>
        <v>60</v>
      </c>
      <c r="G9" s="397">
        <f>'Water-Meter'!AN10</f>
        <v>158</v>
      </c>
      <c r="H9" s="395">
        <f>'Utility report '!AC10</f>
        <v>36</v>
      </c>
      <c r="I9" s="394">
        <f>'Kit report'!F8</f>
        <v>191.99999999982538</v>
      </c>
      <c r="J9" s="395">
        <f>'Kit report'!X8</f>
        <v>119.99999999989086</v>
      </c>
    </row>
    <row r="10" spans="1:10" ht="17.100000000000001" customHeight="1">
      <c r="A10" s="217">
        <f>Gen!A16</f>
        <v>44171</v>
      </c>
      <c r="B10" s="399">
        <f>Gen!B16</f>
        <v>0</v>
      </c>
      <c r="C10" s="445">
        <f>Gen!AJ16</f>
        <v>47</v>
      </c>
      <c r="D10" s="446">
        <f>Gen!S16</f>
        <v>1012.39</v>
      </c>
      <c r="E10" s="395">
        <f>Gen!C16</f>
        <v>46613.99</v>
      </c>
      <c r="F10" s="396">
        <f>'Water-Meter'!E11</f>
        <v>51</v>
      </c>
      <c r="G10" s="397">
        <f>'Water-Meter'!AN11</f>
        <v>118</v>
      </c>
      <c r="H10" s="395">
        <f>'Utility report '!AC11</f>
        <v>35</v>
      </c>
      <c r="I10" s="394">
        <f>'Kit report'!F9</f>
        <v>204.00000000008731</v>
      </c>
      <c r="J10" s="395">
        <f>'Kit report'!X9</f>
        <v>180.00000000010914</v>
      </c>
    </row>
    <row r="11" spans="1:10" ht="17.100000000000001" customHeight="1">
      <c r="A11" s="217">
        <f>Gen!A17</f>
        <v>44172</v>
      </c>
      <c r="B11" s="399">
        <f>Gen!B17</f>
        <v>0</v>
      </c>
      <c r="C11" s="445">
        <f>Gen!AJ17</f>
        <v>54</v>
      </c>
      <c r="D11" s="446">
        <f>Gen!S17</f>
        <v>956.25</v>
      </c>
      <c r="E11" s="395">
        <f>Gen!C17</f>
        <v>45554.6</v>
      </c>
      <c r="F11" s="396">
        <f>'Water-Meter'!E12</f>
        <v>43</v>
      </c>
      <c r="G11" s="397">
        <f>'Water-Meter'!AN12</f>
        <v>104</v>
      </c>
      <c r="H11" s="395">
        <f>'Utility report '!AC12</f>
        <v>34</v>
      </c>
      <c r="I11" s="394">
        <f>'Kit report'!F10</f>
        <v>204.00000000008731</v>
      </c>
      <c r="J11" s="395">
        <f>'Kit report'!X10</f>
        <v>179.99999999992724</v>
      </c>
    </row>
    <row r="12" spans="1:10" ht="17.100000000000001" customHeight="1">
      <c r="A12" s="217">
        <f>Gen!A18</f>
        <v>44173</v>
      </c>
      <c r="B12" s="399">
        <f>Gen!B18</f>
        <v>0</v>
      </c>
      <c r="C12" s="445">
        <f>Gen!AJ18</f>
        <v>82</v>
      </c>
      <c r="D12" s="446">
        <f>Gen!S18</f>
        <v>1013.27</v>
      </c>
      <c r="E12" s="395">
        <f>Gen!C18</f>
        <v>44544.35</v>
      </c>
      <c r="F12" s="396">
        <f>'Water-Meter'!E13</f>
        <v>44</v>
      </c>
      <c r="G12" s="397">
        <f>'Water-Meter'!AN13</f>
        <v>94</v>
      </c>
      <c r="H12" s="395">
        <f>'Utility report '!AC13</f>
        <v>35</v>
      </c>
      <c r="I12" s="394">
        <f>'Kit report'!F11</f>
        <v>203.99999999986903</v>
      </c>
      <c r="J12" s="395">
        <f>'Kit report'!X11</f>
        <v>160.00000000003638</v>
      </c>
    </row>
    <row r="13" spans="1:10" ht="17.100000000000001" customHeight="1">
      <c r="A13" s="217">
        <f>Gen!A19</f>
        <v>44174</v>
      </c>
      <c r="B13" s="399">
        <f>Gen!B19</f>
        <v>0</v>
      </c>
      <c r="C13" s="445">
        <f>Gen!AJ19</f>
        <v>56</v>
      </c>
      <c r="D13" s="446">
        <f>Gen!S19</f>
        <v>1010.92</v>
      </c>
      <c r="E13" s="395">
        <f>Gen!C19</f>
        <v>43449.08</v>
      </c>
      <c r="F13" s="396">
        <f>'Water-Meter'!E14</f>
        <v>63</v>
      </c>
      <c r="G13" s="397">
        <f>'Water-Meter'!AN14</f>
        <v>161</v>
      </c>
      <c r="H13" s="395">
        <f>'Utility report '!AC14</f>
        <v>31</v>
      </c>
      <c r="I13" s="394">
        <f>'Kit report'!F12</f>
        <v>227.99999999995634</v>
      </c>
      <c r="J13" s="395">
        <f>'Kit report'!X12</f>
        <v>239.99999999996362</v>
      </c>
    </row>
    <row r="14" spans="1:10" ht="17.100000000000001" customHeight="1">
      <c r="A14" s="217">
        <f>Gen!A20</f>
        <v>44175</v>
      </c>
      <c r="B14" s="399">
        <f>Gen!B20</f>
        <v>0</v>
      </c>
      <c r="C14" s="445">
        <f>Gen!AJ20</f>
        <v>62.2</v>
      </c>
      <c r="D14" s="446">
        <f>Gen!S20</f>
        <v>1284.07</v>
      </c>
      <c r="E14" s="395">
        <f>Gen!C20</f>
        <v>42382.16</v>
      </c>
      <c r="F14" s="396">
        <f>'Water-Meter'!E15</f>
        <v>61</v>
      </c>
      <c r="G14" s="397">
        <f>'Water-Meter'!AN15</f>
        <v>174</v>
      </c>
      <c r="H14" s="395">
        <f>'Utility report '!AC15</f>
        <v>29</v>
      </c>
      <c r="I14" s="394">
        <f>'Kit report'!F13</f>
        <v>252.00000000004366</v>
      </c>
      <c r="J14" s="395">
        <f>'Kit report'!X13</f>
        <v>220.00000000007276</v>
      </c>
    </row>
    <row r="15" spans="1:10" ht="17.100000000000001" customHeight="1">
      <c r="A15" s="217">
        <f>Gen!A21</f>
        <v>44176</v>
      </c>
      <c r="B15" s="399">
        <f>Gen!B21</f>
        <v>0</v>
      </c>
      <c r="C15" s="445">
        <f>Gen!AJ21</f>
        <v>108.67</v>
      </c>
      <c r="D15" s="446">
        <f>Gen!S21</f>
        <v>1217.45</v>
      </c>
      <c r="E15" s="395">
        <f>Gen!C21</f>
        <v>41035.890000000007</v>
      </c>
      <c r="F15" s="396">
        <f>'Water-Meter'!E16</f>
        <v>62</v>
      </c>
      <c r="G15" s="397">
        <f>'Water-Meter'!AN16</f>
        <v>163</v>
      </c>
      <c r="H15" s="395">
        <f>'Utility report '!AC16</f>
        <v>28</v>
      </c>
      <c r="I15" s="394">
        <f>'Kit report'!F14</f>
        <v>227.99999999995634</v>
      </c>
      <c r="J15" s="395">
        <f>'Kit report'!X14</f>
        <v>379.99999999992724</v>
      </c>
    </row>
    <row r="16" spans="1:10" ht="17.100000000000001" customHeight="1">
      <c r="A16" s="217">
        <f>Gen!A22</f>
        <v>44177</v>
      </c>
      <c r="B16" s="399">
        <f>Gen!B22</f>
        <v>0</v>
      </c>
      <c r="C16" s="445">
        <f>Gen!AJ22</f>
        <v>0</v>
      </c>
      <c r="D16" s="446">
        <f>Gen!S22</f>
        <v>1191.23</v>
      </c>
      <c r="E16" s="395">
        <f>Gen!C22</f>
        <v>39709.770000000004</v>
      </c>
      <c r="F16" s="396">
        <f>'Water-Meter'!E17</f>
        <v>54</v>
      </c>
      <c r="G16" s="397">
        <f>'Water-Meter'!AN17</f>
        <v>151</v>
      </c>
      <c r="H16" s="395">
        <f>'Utility report '!AC17</f>
        <v>27</v>
      </c>
      <c r="I16" s="394">
        <f>'Kit report'!F15</f>
        <v>252.00000000004366</v>
      </c>
      <c r="J16" s="395">
        <f>'Kit report'!X15</f>
        <v>400</v>
      </c>
    </row>
    <row r="17" spans="1:10" ht="17.100000000000001" customHeight="1">
      <c r="A17" s="217">
        <f>Gen!A23</f>
        <v>44178</v>
      </c>
      <c r="B17" s="399">
        <f>Gen!B23</f>
        <v>0</v>
      </c>
      <c r="C17" s="445">
        <f>Gen!AJ23</f>
        <v>0</v>
      </c>
      <c r="D17" s="446">
        <f>Gen!S23</f>
        <v>1116.8399999999999</v>
      </c>
      <c r="E17" s="395">
        <f>Gen!C23</f>
        <v>38518.54</v>
      </c>
      <c r="F17" s="396">
        <f>'Water-Meter'!E18</f>
        <v>56</v>
      </c>
      <c r="G17" s="397">
        <f>'Water-Meter'!AN18</f>
        <v>94</v>
      </c>
      <c r="H17" s="395">
        <f>'Utility report '!AC18</f>
        <v>40</v>
      </c>
      <c r="I17" s="394">
        <f>'Kit report'!F16</f>
        <v>264.00000000008731</v>
      </c>
      <c r="J17" s="395">
        <f>'Kit report'!X16</f>
        <v>339.99999999996362</v>
      </c>
    </row>
    <row r="18" spans="1:10" ht="17.100000000000001" customHeight="1">
      <c r="A18" s="217">
        <f>Gen!A24</f>
        <v>44179</v>
      </c>
      <c r="B18" s="399">
        <f>Gen!B24</f>
        <v>0</v>
      </c>
      <c r="C18" s="445">
        <f>Gen!AJ24</f>
        <v>66.59</v>
      </c>
      <c r="D18" s="446">
        <f>Gen!S24</f>
        <v>1125.03</v>
      </c>
      <c r="E18" s="395">
        <f>Gen!C24</f>
        <v>37401.700000000004</v>
      </c>
      <c r="F18" s="396">
        <f>'Water-Meter'!E19</f>
        <v>60</v>
      </c>
      <c r="G18" s="397">
        <f>'Water-Meter'!AN19</f>
        <v>84</v>
      </c>
      <c r="H18" s="395">
        <f>'Utility report '!AC19</f>
        <v>28</v>
      </c>
      <c r="I18" s="394">
        <f>'Kit report'!F17</f>
        <v>240</v>
      </c>
      <c r="J18" s="395">
        <f>'Kit report'!X17</f>
        <v>240.00000000014552</v>
      </c>
    </row>
    <row r="19" spans="1:10" ht="17.100000000000001" customHeight="1">
      <c r="A19" s="217">
        <f>Gen!A25</f>
        <v>44180</v>
      </c>
      <c r="B19" s="399">
        <f>Gen!B25</f>
        <v>0</v>
      </c>
      <c r="C19" s="445">
        <f>Gen!AJ25</f>
        <v>125.45</v>
      </c>
      <c r="D19" s="446">
        <f>Gen!S25</f>
        <v>1092.19</v>
      </c>
      <c r="E19" s="395">
        <f>Gen!C25</f>
        <v>36210.080000000002</v>
      </c>
      <c r="F19" s="396">
        <f>'Water-Meter'!E20</f>
        <v>74</v>
      </c>
      <c r="G19" s="397">
        <f>'Water-Meter'!AN20</f>
        <v>149</v>
      </c>
      <c r="H19" s="395">
        <f>'Utility report '!AC20</f>
        <v>13</v>
      </c>
      <c r="I19" s="394">
        <f>'Kit report'!F18</f>
        <v>240</v>
      </c>
      <c r="J19" s="395">
        <f>'Kit report'!X18</f>
        <v>219.99999999989086</v>
      </c>
    </row>
    <row r="20" spans="1:10" ht="17.100000000000001" customHeight="1">
      <c r="A20" s="217">
        <f>Gen!A26</f>
        <v>44181</v>
      </c>
      <c r="B20" s="399">
        <f>Gen!B26</f>
        <v>0</v>
      </c>
      <c r="C20" s="445">
        <f>Gen!AJ26</f>
        <v>0</v>
      </c>
      <c r="D20" s="446">
        <f>Gen!S26</f>
        <v>0</v>
      </c>
      <c r="E20" s="395">
        <f>Gen!C26</f>
        <v>34992.44</v>
      </c>
      <c r="F20" s="396" t="str">
        <f>'Water-Meter'!E21</f>
        <v>0</v>
      </c>
      <c r="G20" s="397">
        <f>'Water-Meter'!AN21</f>
        <v>0</v>
      </c>
      <c r="H20" s="395">
        <f>'Utility report '!AC21</f>
        <v>-42422</v>
      </c>
      <c r="I20" s="394">
        <f>'Kit report'!F19</f>
        <v>-1078092</v>
      </c>
      <c r="J20" s="395">
        <f>'Kit report'!X19</f>
        <v>-1576140</v>
      </c>
    </row>
    <row r="21" spans="1:10" ht="15">
      <c r="A21" s="217">
        <f>Gen!A27</f>
        <v>44182</v>
      </c>
      <c r="B21" s="399">
        <f>Gen!B27</f>
        <v>0</v>
      </c>
      <c r="C21" s="445">
        <f>Gen!AJ27</f>
        <v>0</v>
      </c>
      <c r="D21" s="446">
        <f>Gen!S27</f>
        <v>0</v>
      </c>
      <c r="E21" s="395">
        <f>Gen!C27</f>
        <v>34992.44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>
      <c r="A22" s="217">
        <f>Gen!A28</f>
        <v>44183</v>
      </c>
      <c r="B22" s="399">
        <f>Gen!B28</f>
        <v>0</v>
      </c>
      <c r="C22" s="445">
        <f>Gen!AJ28</f>
        <v>0</v>
      </c>
      <c r="D22" s="446">
        <f>Gen!S28</f>
        <v>0</v>
      </c>
      <c r="E22" s="395">
        <f>Gen!C28</f>
        <v>34992.44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>
      <c r="A23" s="217">
        <f>Gen!A29</f>
        <v>44184</v>
      </c>
      <c r="B23" s="399">
        <f>Gen!B29</f>
        <v>0</v>
      </c>
      <c r="C23" s="445">
        <f>Gen!AJ29</f>
        <v>0</v>
      </c>
      <c r="D23" s="446">
        <f>Gen!S29</f>
        <v>0</v>
      </c>
      <c r="E23" s="395">
        <f>Gen!C29</f>
        <v>34992.44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>
      <c r="A24" s="217">
        <f>Gen!A30</f>
        <v>44185</v>
      </c>
      <c r="B24" s="399">
        <f>Gen!B30</f>
        <v>0</v>
      </c>
      <c r="C24" s="445">
        <f>Gen!AJ30</f>
        <v>0</v>
      </c>
      <c r="D24" s="446">
        <f>Gen!S30</f>
        <v>0</v>
      </c>
      <c r="E24" s="395">
        <f>Gen!C30</f>
        <v>34992.44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>
      <c r="A25" s="217">
        <f>Gen!A31</f>
        <v>44186</v>
      </c>
      <c r="B25" s="399">
        <f>Gen!B31</f>
        <v>0</v>
      </c>
      <c r="C25" s="445">
        <f>Gen!AJ31</f>
        <v>0</v>
      </c>
      <c r="D25" s="446">
        <f>Gen!S31</f>
        <v>0</v>
      </c>
      <c r="E25" s="395">
        <f>Gen!C31</f>
        <v>34992.44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>
      <c r="A26" s="217">
        <f>Gen!A32</f>
        <v>44187</v>
      </c>
      <c r="B26" s="399">
        <f>Gen!B32</f>
        <v>0</v>
      </c>
      <c r="C26" s="445">
        <f>Gen!AJ32</f>
        <v>0</v>
      </c>
      <c r="D26" s="446">
        <f>Gen!S32</f>
        <v>0</v>
      </c>
      <c r="E26" s="395">
        <f>Gen!C32</f>
        <v>34992.44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>
      <c r="A27" s="217">
        <f>Gen!A33</f>
        <v>44188</v>
      </c>
      <c r="B27" s="399">
        <f>Gen!B33</f>
        <v>0</v>
      </c>
      <c r="C27" s="445">
        <f>Gen!AJ33</f>
        <v>0</v>
      </c>
      <c r="D27" s="446">
        <f>Gen!S33</f>
        <v>0</v>
      </c>
      <c r="E27" s="395">
        <f>Gen!C33</f>
        <v>34992.44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>
      <c r="A28" s="217">
        <f>Gen!A34</f>
        <v>44189</v>
      </c>
      <c r="B28" s="399">
        <v>9.0999999999999998E-2</v>
      </c>
      <c r="C28" s="445">
        <f>Gen!AJ34</f>
        <v>0</v>
      </c>
      <c r="D28" s="446">
        <f>Gen!S34</f>
        <v>0</v>
      </c>
      <c r="E28" s="395">
        <f>Gen!C34</f>
        <v>34992.44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>
      <c r="A29" s="217">
        <f>Gen!A35</f>
        <v>44190</v>
      </c>
      <c r="B29" s="399">
        <f>Gen!B35</f>
        <v>0</v>
      </c>
      <c r="C29" s="445">
        <f>Gen!AJ35</f>
        <v>0</v>
      </c>
      <c r="D29" s="446">
        <f>Gen!S35</f>
        <v>0</v>
      </c>
      <c r="E29" s="395">
        <f>Gen!C35</f>
        <v>34992.44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>
      <c r="A30" s="217">
        <f>Gen!A36</f>
        <v>44191</v>
      </c>
      <c r="B30" s="399">
        <f>Gen!B36</f>
        <v>0</v>
      </c>
      <c r="C30" s="445">
        <f>Gen!AJ36</f>
        <v>0</v>
      </c>
      <c r="D30" s="446">
        <f>Gen!S36</f>
        <v>0</v>
      </c>
      <c r="E30" s="395">
        <f>Gen!C36</f>
        <v>34992.44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>
      <c r="A31" s="217">
        <f>Gen!A37</f>
        <v>44192</v>
      </c>
      <c r="B31" s="399">
        <f>Gen!B37</f>
        <v>0</v>
      </c>
      <c r="C31" s="445">
        <f>Gen!AJ37</f>
        <v>0</v>
      </c>
      <c r="D31" s="446">
        <f>Gen!S37</f>
        <v>0</v>
      </c>
      <c r="E31" s="395">
        <f>Gen!C37</f>
        <v>34992.44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>
      <c r="A32" s="217">
        <f>Gen!A38</f>
        <v>44193</v>
      </c>
      <c r="B32" s="399">
        <f>Gen!B38</f>
        <v>0</v>
      </c>
      <c r="C32" s="445">
        <f>Gen!AJ38</f>
        <v>0</v>
      </c>
      <c r="D32" s="446">
        <f>Gen!S38</f>
        <v>0</v>
      </c>
      <c r="E32" s="395">
        <f>Gen!C38</f>
        <v>34992.44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>
      <c r="A33" s="217">
        <f>Gen!A39</f>
        <v>44194</v>
      </c>
      <c r="B33" s="399">
        <f>Gen!B39</f>
        <v>0</v>
      </c>
      <c r="C33" s="445">
        <f>Gen!AJ39</f>
        <v>0</v>
      </c>
      <c r="D33" s="446">
        <f>Gen!S39</f>
        <v>0</v>
      </c>
      <c r="E33" s="395">
        <f>Gen!C39</f>
        <v>34992.44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>
      <c r="A34" s="217">
        <f>Gen!A40</f>
        <v>44195</v>
      </c>
      <c r="B34" s="443">
        <f>Gen!B40</f>
        <v>0</v>
      </c>
      <c r="C34" s="445">
        <f>Gen!AJ40</f>
        <v>0</v>
      </c>
      <c r="D34" s="446">
        <f>Gen!S40</f>
        <v>0</v>
      </c>
      <c r="E34" s="444">
        <f>Gen!C40</f>
        <v>34992.44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44196</v>
      </c>
      <c r="B35" s="399">
        <f>Gen!B41</f>
        <v>0</v>
      </c>
      <c r="C35" s="445">
        <f>Gen!AJ41</f>
        <v>0</v>
      </c>
      <c r="D35" s="446">
        <f>Gen!T41</f>
        <v>0</v>
      </c>
      <c r="E35" s="397">
        <f>Gen!C41</f>
        <v>34992.44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5">
        <f>Gen!AK42</f>
        <v>0</v>
      </c>
      <c r="D36" s="446">
        <f>Gen!T42</f>
        <v>0</v>
      </c>
      <c r="E36" s="397">
        <f>Gen!C42</f>
        <v>34992.44</v>
      </c>
      <c r="F36" s="396">
        <f>'Water-Meter'!E37</f>
        <v>0</v>
      </c>
      <c r="G36" s="397">
        <f>'Water-Meter'!AN37</f>
        <v>433</v>
      </c>
      <c r="H36" s="395">
        <f>'Utility report '!AC37</f>
        <v>0</v>
      </c>
      <c r="I36" s="394">
        <f>'Kit report'!F35</f>
        <v>695.99999999991269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2020-08-16T05:05:58Z</cp:lastPrinted>
  <dcterms:created xsi:type="dcterms:W3CDTF">2009-01-25T09:02:38Z</dcterms:created>
  <dcterms:modified xsi:type="dcterms:W3CDTF">2020-12-16T12:37:09Z</dcterms:modified>
</cp:coreProperties>
</file>