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28800" windowHeight="12300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 s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 s="1"/>
  <c r="K38" i="1"/>
  <c r="N38" i="1" s="1"/>
  <c r="L37" i="1"/>
  <c r="O37" i="1" s="1"/>
  <c r="K37" i="1"/>
  <c r="N37" i="1" s="1"/>
  <c r="M36" i="1"/>
  <c r="P36" i="1" s="1"/>
  <c r="L36" i="1"/>
  <c r="O36" i="1" s="1"/>
  <c r="L35" i="1"/>
  <c r="O35" i="1" s="1"/>
  <c r="K35" i="1"/>
  <c r="N35" i="1" s="1"/>
  <c r="M34" i="1"/>
  <c r="P34" i="1" s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 s="1"/>
  <c r="K28" i="1"/>
  <c r="N28" i="1" s="1"/>
  <c r="M27" i="1"/>
  <c r="P27" i="1" s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 s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 s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<sst xmlns="http://schemas.openxmlformats.org/spreadsheetml/2006/main" count="80" uniqueCount="41">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</sst>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10</v>
      </c>
      <c r="D2" s="1">
        <v>2019</v>
      </c>
      <c r="E2" s="39">
        <f>'FS Desroches'!F9</f>
        <v>11240</v>
      </c>
      <c r="F2" s="38">
        <v>11.359820004894488</v>
      </c>
      <c r="G2" s="39">
        <f>'FS Desroches'!G9*0.51</f>
        <v>26.52</v>
      </c>
      <c r="H2" s="38">
        <f>17/0.073</f>
        <v>232.87671232876713</v>
      </c>
      <c r="I2" s="39">
        <f>'FS Desroches'!E9</f>
        <v>95</v>
      </c>
      <c r="J2" s="38">
        <v>117.8082191780822</v>
      </c>
      <c r="K2" s="40">
        <f>'FS Desroches'!C9</f>
        <v>32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10</v>
      </c>
      <c r="D3" s="1">
        <v>2019</v>
      </c>
      <c r="E3" s="39">
        <f>'FS Desroches'!F10</f>
        <v>0</v>
      </c>
      <c r="F3" s="38">
        <f>F2</f>
        <v>11.359820004894488</v>
      </c>
      <c r="G3" s="39">
        <f>'FS Desroches'!G10*0.51</f>
        <v>0</v>
      </c>
      <c r="H3" s="38">
        <f>H2</f>
        <v>232.87671232876713</v>
      </c>
      <c r="I3" s="39">
        <f>'FS Desroches'!E10</f>
        <v>0</v>
      </c>
      <c r="J3" s="38">
        <f>J2</f>
        <v>117.8082191780822</v>
      </c>
      <c r="K3" s="40">
        <f>'FS Desroches'!C10</f>
        <v>0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10</v>
      </c>
      <c r="D4" s="1">
        <v>2019</v>
      </c>
      <c r="E4" s="39">
        <f>'FS Desroches'!F11</f>
        <v>0</v>
      </c>
      <c r="F4" s="38">
        <f t="shared" ref="F4:F32" si="1">F3</f>
        <v>11.359820004894488</v>
      </c>
      <c r="G4" s="39">
        <f>'FS Desroches'!G11*0.51</f>
        <v>0</v>
      </c>
      <c r="H4" s="38">
        <f t="shared" ref="H4:H32" si="2">H3</f>
        <v>232.87671232876713</v>
      </c>
      <c r="I4" s="39">
        <f>'FS Desroches'!E11</f>
        <v>0</v>
      </c>
      <c r="J4" s="38">
        <f t="shared" ref="J4:J32" si="3">J3</f>
        <v>117.8082191780822</v>
      </c>
      <c r="K4" s="40">
        <f>'FS Desroches'!C11</f>
        <v>0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10</v>
      </c>
      <c r="D5" s="1">
        <v>2019</v>
      </c>
      <c r="E5" s="39">
        <f>'FS Desroches'!F12</f>
        <v>0</v>
      </c>
      <c r="F5" s="38">
        <f t="shared" si="1"/>
        <v>11.359820004894488</v>
      </c>
      <c r="G5" s="39">
        <f>'FS Desroches'!G12*0.51</f>
        <v>0</v>
      </c>
      <c r="H5" s="38">
        <f t="shared" si="2"/>
        <v>232.87671232876713</v>
      </c>
      <c r="I5" s="39">
        <f>'FS Desroches'!E12</f>
        <v>0</v>
      </c>
      <c r="J5" s="38">
        <f t="shared" si="3"/>
        <v>117.8082191780822</v>
      </c>
      <c r="K5" s="40">
        <f>'FS Desroches'!C12</f>
        <v>0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10</v>
      </c>
      <c r="D6" s="1">
        <v>2019</v>
      </c>
      <c r="E6" s="39">
        <f>'FS Desroches'!F13</f>
        <v>0</v>
      </c>
      <c r="F6" s="38">
        <f t="shared" si="1"/>
        <v>11.359820004894488</v>
      </c>
      <c r="G6" s="39">
        <f>'FS Desroches'!G13*0.51</f>
        <v>0</v>
      </c>
      <c r="H6" s="38">
        <f t="shared" si="2"/>
        <v>232.87671232876713</v>
      </c>
      <c r="I6" s="39">
        <f>'FS Desroches'!E13</f>
        <v>0</v>
      </c>
      <c r="J6" s="38">
        <f t="shared" si="3"/>
        <v>117.8082191780822</v>
      </c>
      <c r="K6" s="40">
        <f>'FS Desroches'!C13</f>
        <v>0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10</v>
      </c>
      <c r="D7" s="1">
        <v>2019</v>
      </c>
      <c r="E7" s="39">
        <f>'FS Desroches'!F14</f>
        <v>0</v>
      </c>
      <c r="F7" s="38">
        <f t="shared" si="1"/>
        <v>11.359820004894488</v>
      </c>
      <c r="G7" s="39">
        <f>'FS Desroches'!G14*0.51</f>
        <v>0</v>
      </c>
      <c r="H7" s="38">
        <f t="shared" si="2"/>
        <v>232.87671232876713</v>
      </c>
      <c r="I7" s="39">
        <f>'FS Desroches'!E14</f>
        <v>0</v>
      </c>
      <c r="J7" s="38">
        <f t="shared" si="3"/>
        <v>117.8082191780822</v>
      </c>
      <c r="K7" s="40">
        <f>'FS Desroches'!C14</f>
        <v>0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10</v>
      </c>
      <c r="D8" s="1">
        <v>2019</v>
      </c>
      <c r="E8" s="39">
        <f>'FS Desroches'!F15</f>
        <v>0</v>
      </c>
      <c r="F8" s="38">
        <f t="shared" si="1"/>
        <v>11.359820004894488</v>
      </c>
      <c r="G8" s="39">
        <f>'FS Desroches'!G15*0.51</f>
        <v>0</v>
      </c>
      <c r="H8" s="38">
        <f t="shared" si="2"/>
        <v>232.87671232876713</v>
      </c>
      <c r="I8" s="39">
        <f>'FS Desroches'!E15</f>
        <v>0</v>
      </c>
      <c r="J8" s="38">
        <f t="shared" si="3"/>
        <v>117.8082191780822</v>
      </c>
      <c r="K8" s="40">
        <f>'FS Desroches'!C15</f>
        <v>0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10</v>
      </c>
      <c r="D9" s="1">
        <v>2019</v>
      </c>
      <c r="E9" s="39">
        <f>'FS Desroches'!F16</f>
        <v>0</v>
      </c>
      <c r="F9" s="38">
        <f t="shared" si="1"/>
        <v>11.359820004894488</v>
      </c>
      <c r="G9" s="39">
        <f>'FS Desroches'!G16*0.51</f>
        <v>0</v>
      </c>
      <c r="H9" s="38">
        <f t="shared" si="2"/>
        <v>232.87671232876713</v>
      </c>
      <c r="I9" s="39">
        <f>'FS Desroches'!E16</f>
        <v>0</v>
      </c>
      <c r="J9" s="38">
        <f t="shared" si="3"/>
        <v>117.8082191780822</v>
      </c>
      <c r="K9" s="40">
        <f>'FS Desroches'!C16</f>
        <v>0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10</v>
      </c>
      <c r="D10" s="1">
        <v>2019</v>
      </c>
      <c r="E10" s="39">
        <f>'FS Desroches'!F17</f>
        <v>0</v>
      </c>
      <c r="F10" s="38">
        <f t="shared" si="1"/>
        <v>11.359820004894488</v>
      </c>
      <c r="G10" s="39">
        <f>'FS Desroches'!G17*0.51</f>
        <v>0</v>
      </c>
      <c r="H10" s="38">
        <f t="shared" si="2"/>
        <v>232.87671232876713</v>
      </c>
      <c r="I10" s="39">
        <f>'FS Desroches'!E17</f>
        <v>0</v>
      </c>
      <c r="J10" s="38">
        <f t="shared" si="3"/>
        <v>117.8082191780822</v>
      </c>
      <c r="K10" s="40">
        <f>'FS Desroches'!C17</f>
        <v>0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10</v>
      </c>
      <c r="D11" s="1">
        <v>2019</v>
      </c>
      <c r="E11" s="39">
        <f>'FS Desroches'!F18</f>
        <v>0</v>
      </c>
      <c r="F11" s="38">
        <f t="shared" si="1"/>
        <v>11.359820004894488</v>
      </c>
      <c r="G11" s="39">
        <f>'FS Desroches'!G18*0.51</f>
        <v>0</v>
      </c>
      <c r="H11" s="38">
        <f t="shared" si="2"/>
        <v>232.87671232876713</v>
      </c>
      <c r="I11" s="39">
        <f>'FS Desroches'!E18</f>
        <v>0</v>
      </c>
      <c r="J11" s="38">
        <f t="shared" si="3"/>
        <v>117.8082191780822</v>
      </c>
      <c r="K11" s="40">
        <f>'FS Desroches'!C18</f>
        <v>0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10</v>
      </c>
      <c r="D12" s="1">
        <v>2019</v>
      </c>
      <c r="E12" s="39">
        <f>'FS Desroches'!F19</f>
        <v>0</v>
      </c>
      <c r="F12" s="38">
        <f t="shared" si="1"/>
        <v>11.359820004894488</v>
      </c>
      <c r="G12" s="39">
        <f>'FS Desroches'!G19*0.51</f>
        <v>0</v>
      </c>
      <c r="H12" s="38">
        <f t="shared" si="2"/>
        <v>232.87671232876713</v>
      </c>
      <c r="I12" s="39">
        <f>'FS Desroches'!E19</f>
        <v>0</v>
      </c>
      <c r="J12" s="38">
        <f t="shared" si="3"/>
        <v>117.8082191780822</v>
      </c>
      <c r="K12" s="40">
        <f>'FS Desroches'!C19</f>
        <v>0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10</v>
      </c>
      <c r="D13" s="1">
        <v>2019</v>
      </c>
      <c r="E13" s="39">
        <f>'FS Desroches'!F20</f>
        <v>0</v>
      </c>
      <c r="F13" s="38">
        <f t="shared" si="1"/>
        <v>11.359820004894488</v>
      </c>
      <c r="G13" s="39">
        <f>'FS Desroches'!G20*0.51</f>
        <v>0</v>
      </c>
      <c r="H13" s="38">
        <f t="shared" si="2"/>
        <v>232.87671232876713</v>
      </c>
      <c r="I13" s="39">
        <f>'FS Desroches'!E20</f>
        <v>0</v>
      </c>
      <c r="J13" s="38">
        <f t="shared" si="3"/>
        <v>117.8082191780822</v>
      </c>
      <c r="K13" s="40">
        <f>'FS Desroches'!C20</f>
        <v>0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10</v>
      </c>
      <c r="D14" s="1">
        <v>2019</v>
      </c>
      <c r="E14" s="39">
        <f>'FS Desroches'!F21</f>
        <v>0</v>
      </c>
      <c r="F14" s="38">
        <f t="shared" si="1"/>
        <v>11.359820004894488</v>
      </c>
      <c r="G14" s="39">
        <f>'FS Desroches'!G21*0.51</f>
        <v>0</v>
      </c>
      <c r="H14" s="38">
        <f t="shared" si="2"/>
        <v>232.87671232876713</v>
      </c>
      <c r="I14" s="39">
        <f>'FS Desroches'!E21</f>
        <v>0</v>
      </c>
      <c r="J14" s="38">
        <f t="shared" si="3"/>
        <v>117.8082191780822</v>
      </c>
      <c r="K14" s="40">
        <f>'FS Desroches'!C21</f>
        <v>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10</v>
      </c>
      <c r="D15" s="1">
        <v>2019</v>
      </c>
      <c r="E15" s="39">
        <f>'FS Desroches'!F22</f>
        <v>0</v>
      </c>
      <c r="F15" s="38">
        <f t="shared" si="1"/>
        <v>11.359820004894488</v>
      </c>
      <c r="G15" s="39">
        <f>'FS Desroches'!G22*0.51</f>
        <v>0</v>
      </c>
      <c r="H15" s="38">
        <f t="shared" si="2"/>
        <v>232.87671232876713</v>
      </c>
      <c r="I15" s="39">
        <f>'FS Desroches'!E22</f>
        <v>0</v>
      </c>
      <c r="J15" s="38">
        <f t="shared" si="3"/>
        <v>117.8082191780822</v>
      </c>
      <c r="K15" s="40">
        <f>'FS Desroches'!C22</f>
        <v>0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10</v>
      </c>
      <c r="D16" s="1">
        <v>2019</v>
      </c>
      <c r="E16" s="39">
        <f>'FS Desroches'!F23</f>
        <v>0</v>
      </c>
      <c r="F16" s="38">
        <f t="shared" si="1"/>
        <v>11.359820004894488</v>
      </c>
      <c r="G16" s="39">
        <f>'FS Desroches'!G23*0.51</f>
        <v>0</v>
      </c>
      <c r="H16" s="38">
        <f t="shared" si="2"/>
        <v>232.87671232876713</v>
      </c>
      <c r="I16" s="39">
        <f>'FS Desroches'!E23</f>
        <v>0</v>
      </c>
      <c r="J16" s="38">
        <f t="shared" si="3"/>
        <v>117.8082191780822</v>
      </c>
      <c r="K16" s="40">
        <f>'FS Desroches'!C23</f>
        <v>0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10</v>
      </c>
      <c r="D17" s="1">
        <v>2019</v>
      </c>
      <c r="E17" s="39">
        <f>'FS Desroches'!F24</f>
        <v>0</v>
      </c>
      <c r="F17" s="38">
        <f t="shared" si="1"/>
        <v>11.359820004894488</v>
      </c>
      <c r="G17" s="39">
        <f>'FS Desroches'!G24*0.51</f>
        <v>0</v>
      </c>
      <c r="H17" s="38">
        <f t="shared" si="2"/>
        <v>232.87671232876713</v>
      </c>
      <c r="I17" s="39">
        <f>'FS Desroches'!E24</f>
        <v>0</v>
      </c>
      <c r="J17" s="38">
        <f t="shared" si="3"/>
        <v>117.8082191780822</v>
      </c>
      <c r="K17" s="40">
        <f>'FS Desroches'!C24</f>
        <v>0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10</v>
      </c>
      <c r="D18" s="1">
        <v>2019</v>
      </c>
      <c r="E18" s="39">
        <f>'FS Desroches'!F25</f>
        <v>0</v>
      </c>
      <c r="F18" s="38">
        <f t="shared" si="1"/>
        <v>11.359820004894488</v>
      </c>
      <c r="G18" s="39">
        <f>'FS Desroches'!G25*0.51</f>
        <v>0</v>
      </c>
      <c r="H18" s="38">
        <f t="shared" si="2"/>
        <v>232.87671232876713</v>
      </c>
      <c r="I18" s="39">
        <f>'FS Desroches'!E25</f>
        <v>0</v>
      </c>
      <c r="J18" s="38">
        <f t="shared" si="3"/>
        <v>117.8082191780822</v>
      </c>
      <c r="K18" s="40">
        <f>'FS Desroches'!C25</f>
        <v>0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10</v>
      </c>
      <c r="D19" s="1">
        <v>2019</v>
      </c>
      <c r="E19" s="39">
        <f>'FS Desroches'!F26</f>
        <v>0</v>
      </c>
      <c r="F19" s="38">
        <f t="shared" si="1"/>
        <v>11.359820004894488</v>
      </c>
      <c r="G19" s="39">
        <f>'FS Desroches'!G26*0.51</f>
        <v>0</v>
      </c>
      <c r="H19" s="38">
        <f t="shared" si="2"/>
        <v>232.87671232876713</v>
      </c>
      <c r="I19" s="39">
        <f>'FS Desroches'!E26</f>
        <v>0</v>
      </c>
      <c r="J19" s="38">
        <f t="shared" si="3"/>
        <v>117.8082191780822</v>
      </c>
      <c r="K19" s="40">
        <f>'FS Desroches'!C26</f>
        <v>0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10</v>
      </c>
      <c r="D20" s="1">
        <v>2019</v>
      </c>
      <c r="E20" s="39">
        <f>'FS Desroches'!F27</f>
        <v>0</v>
      </c>
      <c r="F20" s="38">
        <f t="shared" si="1"/>
        <v>11.359820004894488</v>
      </c>
      <c r="G20" s="39">
        <f>'FS Desroches'!G27*0.51</f>
        <v>0</v>
      </c>
      <c r="H20" s="38">
        <f t="shared" si="2"/>
        <v>232.87671232876713</v>
      </c>
      <c r="I20" s="39">
        <f>'FS Desroches'!E27</f>
        <v>0</v>
      </c>
      <c r="J20" s="38">
        <f t="shared" si="3"/>
        <v>117.8082191780822</v>
      </c>
      <c r="K20" s="40">
        <f>'FS Desroches'!C27</f>
        <v>0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10</v>
      </c>
      <c r="D21" s="1">
        <v>2019</v>
      </c>
      <c r="E21" s="39">
        <f>'FS Desroches'!F28</f>
        <v>0</v>
      </c>
      <c r="F21" s="38">
        <f t="shared" si="1"/>
        <v>11.359820004894488</v>
      </c>
      <c r="G21" s="39">
        <f>'FS Desroches'!G28*0.51</f>
        <v>0</v>
      </c>
      <c r="H21" s="38">
        <f t="shared" si="2"/>
        <v>232.87671232876713</v>
      </c>
      <c r="I21" s="39">
        <f>'FS Desroches'!E28</f>
        <v>0</v>
      </c>
      <c r="J21" s="38">
        <f t="shared" si="3"/>
        <v>117.8082191780822</v>
      </c>
      <c r="K21" s="40">
        <f>'FS Desroches'!C28</f>
        <v>0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10</v>
      </c>
      <c r="D22" s="1">
        <v>2019</v>
      </c>
      <c r="E22" s="39">
        <f>'FS Desroches'!F29</f>
        <v>0</v>
      </c>
      <c r="F22" s="38">
        <f t="shared" si="1"/>
        <v>11.359820004894488</v>
      </c>
      <c r="G22" s="39">
        <f>'FS Desroches'!G29*0.51</f>
        <v>0</v>
      </c>
      <c r="H22" s="38">
        <f t="shared" si="2"/>
        <v>232.87671232876713</v>
      </c>
      <c r="I22" s="39">
        <f>'FS Desroches'!E29</f>
        <v>0</v>
      </c>
      <c r="J22" s="38">
        <f t="shared" si="3"/>
        <v>117.8082191780822</v>
      </c>
      <c r="K22" s="40">
        <f>'FS Desroches'!C29</f>
        <v>0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10</v>
      </c>
      <c r="D23" s="1">
        <v>2019</v>
      </c>
      <c r="E23" s="39">
        <f>'FS Desroches'!F30</f>
        <v>0</v>
      </c>
      <c r="F23" s="38">
        <f t="shared" si="1"/>
        <v>11.359820004894488</v>
      </c>
      <c r="G23" s="39">
        <f>'FS Desroches'!G30*0.51</f>
        <v>0</v>
      </c>
      <c r="H23" s="38">
        <f t="shared" si="2"/>
        <v>232.87671232876713</v>
      </c>
      <c r="I23" s="39">
        <f>'FS Desroches'!E30</f>
        <v>0</v>
      </c>
      <c r="J23" s="38">
        <f t="shared" si="3"/>
        <v>117.8082191780822</v>
      </c>
      <c r="K23" s="40">
        <f>'FS Desroches'!C30</f>
        <v>0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10</v>
      </c>
      <c r="D24" s="1">
        <v>2019</v>
      </c>
      <c r="E24" s="39">
        <f>'FS Desroches'!F31</f>
        <v>0</v>
      </c>
      <c r="F24" s="38">
        <f t="shared" si="1"/>
        <v>11.359820004894488</v>
      </c>
      <c r="G24" s="39">
        <f>'FS Desroches'!G31*0.51</f>
        <v>0</v>
      </c>
      <c r="H24" s="38">
        <f t="shared" si="2"/>
        <v>232.87671232876713</v>
      </c>
      <c r="I24" s="39">
        <f>'FS Desroches'!E31</f>
        <v>0</v>
      </c>
      <c r="J24" s="38">
        <f t="shared" si="3"/>
        <v>117.8082191780822</v>
      </c>
      <c r="K24" s="40">
        <f>'FS Desroches'!C31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10</v>
      </c>
      <c r="D25" s="1">
        <v>2019</v>
      </c>
      <c r="E25" s="39">
        <f>'FS Desroches'!F32</f>
        <v>0</v>
      </c>
      <c r="F25" s="38">
        <f t="shared" si="1"/>
        <v>11.359820004894488</v>
      </c>
      <c r="G25" s="39">
        <f>'FS Desroches'!G32*0.51</f>
        <v>0</v>
      </c>
      <c r="H25" s="38">
        <f t="shared" si="2"/>
        <v>232.87671232876713</v>
      </c>
      <c r="I25" s="39">
        <f>'FS Desroches'!E32</f>
        <v>0</v>
      </c>
      <c r="J25" s="38">
        <f t="shared" si="3"/>
        <v>117.8082191780822</v>
      </c>
      <c r="K25" s="40">
        <f>'FS Desroches'!C32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10</v>
      </c>
      <c r="D26" s="1">
        <v>2019</v>
      </c>
      <c r="E26" s="39">
        <f>'FS Desroches'!F33</f>
        <v>0</v>
      </c>
      <c r="F26" s="38">
        <f t="shared" si="1"/>
        <v>11.359820004894488</v>
      </c>
      <c r="G26" s="39">
        <f>'FS Desroches'!G33*0.51</f>
        <v>0</v>
      </c>
      <c r="H26" s="38">
        <f t="shared" si="2"/>
        <v>232.87671232876713</v>
      </c>
      <c r="I26" s="39">
        <f>'FS Desroches'!E33</f>
        <v>0</v>
      </c>
      <c r="J26" s="38">
        <f t="shared" si="3"/>
        <v>117.8082191780822</v>
      </c>
      <c r="K26" s="40">
        <f>'FS Desroches'!C33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10</v>
      </c>
      <c r="D27" s="1">
        <v>2019</v>
      </c>
      <c r="E27" s="39">
        <f>'FS Desroches'!F34</f>
        <v>0</v>
      </c>
      <c r="F27" s="38">
        <f t="shared" si="1"/>
        <v>11.359820004894488</v>
      </c>
      <c r="G27" s="39">
        <f>'FS Desroches'!G34*0.51</f>
        <v>0</v>
      </c>
      <c r="H27" s="38">
        <f t="shared" si="2"/>
        <v>232.87671232876713</v>
      </c>
      <c r="I27" s="39">
        <f>'FS Desroches'!E34</f>
        <v>0</v>
      </c>
      <c r="J27" s="38">
        <f t="shared" si="3"/>
        <v>117.8082191780822</v>
      </c>
      <c r="K27" s="40">
        <f>'FS Desroches'!C34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10</v>
      </c>
      <c r="D28" s="1">
        <v>2019</v>
      </c>
      <c r="E28" s="39">
        <f>'FS Desroches'!F35</f>
        <v>0</v>
      </c>
      <c r="F28" s="38">
        <f t="shared" si="1"/>
        <v>11.359820004894488</v>
      </c>
      <c r="G28" s="39">
        <f>'FS Desroches'!G35*0.51</f>
        <v>0</v>
      </c>
      <c r="H28" s="38">
        <f t="shared" si="2"/>
        <v>232.87671232876713</v>
      </c>
      <c r="I28" s="39">
        <f>'FS Desroches'!E35</f>
        <v>0</v>
      </c>
      <c r="J28" s="38">
        <f t="shared" si="3"/>
        <v>117.8082191780822</v>
      </c>
      <c r="K28" s="40">
        <f>'FS Desroches'!C35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10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10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10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10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A7" zoomScale="102" zoomScaleNormal="102" workbookViewId="0">
      <selection activeCell="B9" sqref="B9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43770</v>
      </c>
      <c r="B9" s="21">
        <v>0.39</v>
      </c>
      <c r="C9" s="22">
        <v>32</v>
      </c>
      <c r="D9" s="22">
        <v>91</v>
      </c>
      <c r="E9" s="23">
        <v>95</v>
      </c>
      <c r="F9" s="24">
        <v>11240</v>
      </c>
      <c r="G9" s="25">
        <v>52</v>
      </c>
      <c r="H9" s="26">
        <f>E9/C9</f>
        <v>2.96875</v>
      </c>
      <c r="I9" s="27">
        <f>F9/C9</f>
        <v>351.25</v>
      </c>
      <c r="J9" s="28">
        <f>G9/C9</f>
        <v>1.625</v>
      </c>
      <c r="K9" s="26">
        <f t="shared" ref="K9:K40" si="0">$F$2*E9</f>
        <v>817</v>
      </c>
      <c r="L9" s="24">
        <f t="shared" ref="L9:L40" si="1">$H$2*F9</f>
        <v>7306</v>
      </c>
      <c r="M9" s="28">
        <f t="shared" ref="M9:M40" si="2">$J$2*G9*0.51</f>
        <v>397.8</v>
      </c>
      <c r="N9" s="26">
        <f>K9/D9</f>
        <v>8.9780219780219781</v>
      </c>
      <c r="O9" s="27">
        <f>L9/D9</f>
        <v>80.285714285714292</v>
      </c>
      <c r="P9" s="28">
        <f>M9/D9</f>
        <v>4.3714285714285719</v>
      </c>
      <c r="Q9" s="22">
        <v>24.9</v>
      </c>
      <c r="R9" s="22" t="s">
        <v>40</v>
      </c>
      <c r="S9" s="22"/>
    </row>
    <row r="10" spans="1:19" x14ac:dyDescent="0.25">
      <c r="A10" s="20">
        <v>43771</v>
      </c>
      <c r="B10" s="21"/>
      <c r="C10" s="22"/>
      <c r="D10" s="22"/>
      <c r="E10" s="23"/>
      <c r="F10" s="24"/>
      <c r="G10" s="25"/>
      <c r="H10" s="26" t="e">
        <f t="shared" ref="H10:H40" si="3">E10/C10</f>
        <v>#DIV/0!</v>
      </c>
      <c r="I10" s="27" t="e">
        <f t="shared" ref="I10:I40" si="4">F10/C10</f>
        <v>#DIV/0!</v>
      </c>
      <c r="J10" s="28" t="e">
        <f t="shared" ref="J10:J40" si="5">G10/C10</f>
        <v>#DIV/0!</v>
      </c>
      <c r="K10" s="26">
        <f t="shared" si="0"/>
        <v>0</v>
      </c>
      <c r="L10" s="24">
        <f t="shared" si="1"/>
        <v>0</v>
      </c>
      <c r="M10" s="28">
        <f t="shared" si="2"/>
        <v>0</v>
      </c>
      <c r="N10" s="26" t="e">
        <f t="shared" ref="N10:N40" si="6">K10/D10</f>
        <v>#DIV/0!</v>
      </c>
      <c r="O10" s="27" t="e">
        <f t="shared" ref="O10:O40" si="7">L10/D10</f>
        <v>#DIV/0!</v>
      </c>
      <c r="P10" s="28" t="e">
        <f t="shared" ref="P10:P40" si="8">M10/D10</f>
        <v>#DIV/0!</v>
      </c>
      <c r="Q10" s="22"/>
      <c r="R10" s="22"/>
      <c r="S10" s="22"/>
    </row>
    <row r="11" spans="1:19" x14ac:dyDescent="0.25">
      <c r="A11" s="20">
        <v>43772</v>
      </c>
      <c r="B11" s="21"/>
      <c r="C11" s="22"/>
      <c r="D11" s="22"/>
      <c r="E11" s="23"/>
      <c r="F11" s="24"/>
      <c r="G11" s="25"/>
      <c r="H11" s="26" t="e">
        <f t="shared" si="3"/>
        <v>#DIV/0!</v>
      </c>
      <c r="I11" s="27" t="e">
        <f t="shared" si="4"/>
        <v>#DIV/0!</v>
      </c>
      <c r="J11" s="28" t="e">
        <f t="shared" si="5"/>
        <v>#DIV/0!</v>
      </c>
      <c r="K11" s="26">
        <f t="shared" si="0"/>
        <v>0</v>
      </c>
      <c r="L11" s="24">
        <f t="shared" si="1"/>
        <v>0</v>
      </c>
      <c r="M11" s="28">
        <f t="shared" si="2"/>
        <v>0</v>
      </c>
      <c r="N11" s="26" t="e">
        <f t="shared" si="6"/>
        <v>#DIV/0!</v>
      </c>
      <c r="O11" s="27" t="e">
        <f t="shared" si="7"/>
        <v>#DIV/0!</v>
      </c>
      <c r="P11" s="28" t="e">
        <f t="shared" si="8"/>
        <v>#DIV/0!</v>
      </c>
      <c r="Q11" s="22"/>
      <c r="R11" s="22"/>
      <c r="S11" s="22"/>
    </row>
    <row r="12" spans="1:19" x14ac:dyDescent="0.25">
      <c r="A12" s="20">
        <v>43773</v>
      </c>
      <c r="B12" s="21"/>
      <c r="C12" s="22"/>
      <c r="D12" s="22"/>
      <c r="E12" s="23"/>
      <c r="F12" s="24"/>
      <c r="G12" s="25"/>
      <c r="H12" s="26" t="e">
        <f t="shared" si="3"/>
        <v>#DIV/0!</v>
      </c>
      <c r="I12" s="27" t="e">
        <f t="shared" si="4"/>
        <v>#DIV/0!</v>
      </c>
      <c r="J12" s="28" t="e">
        <f t="shared" si="5"/>
        <v>#DIV/0!</v>
      </c>
      <c r="K12" s="26">
        <f t="shared" si="0"/>
        <v>0</v>
      </c>
      <c r="L12" s="24">
        <f t="shared" si="1"/>
        <v>0</v>
      </c>
      <c r="M12" s="28">
        <f t="shared" si="2"/>
        <v>0</v>
      </c>
      <c r="N12" s="26" t="e">
        <f t="shared" si="6"/>
        <v>#DIV/0!</v>
      </c>
      <c r="O12" s="27" t="e">
        <f t="shared" si="7"/>
        <v>#DIV/0!</v>
      </c>
      <c r="P12" s="28" t="e">
        <f t="shared" si="8"/>
        <v>#DIV/0!</v>
      </c>
      <c r="Q12" s="22"/>
      <c r="R12" s="22"/>
      <c r="S12" s="22"/>
    </row>
    <row r="13" spans="1:19" x14ac:dyDescent="0.25">
      <c r="A13" s="20">
        <v>43774</v>
      </c>
      <c r="B13" s="21"/>
      <c r="C13" s="22"/>
      <c r="D13" s="22"/>
      <c r="E13" s="23"/>
      <c r="F13" s="24"/>
      <c r="G13" s="25"/>
      <c r="H13" s="26" t="e">
        <f t="shared" si="3"/>
        <v>#DIV/0!</v>
      </c>
      <c r="I13" s="27" t="e">
        <f t="shared" si="4"/>
        <v>#DIV/0!</v>
      </c>
      <c r="J13" s="28" t="e">
        <f t="shared" si="5"/>
        <v>#DIV/0!</v>
      </c>
      <c r="K13" s="26">
        <f t="shared" si="0"/>
        <v>0</v>
      </c>
      <c r="L13" s="24">
        <f t="shared" si="1"/>
        <v>0</v>
      </c>
      <c r="M13" s="28">
        <f t="shared" si="2"/>
        <v>0</v>
      </c>
      <c r="N13" s="26" t="e">
        <f t="shared" si="6"/>
        <v>#DIV/0!</v>
      </c>
      <c r="O13" s="27" t="e">
        <f t="shared" si="7"/>
        <v>#DIV/0!</v>
      </c>
      <c r="P13" s="28" t="e">
        <f t="shared" si="8"/>
        <v>#DIV/0!</v>
      </c>
      <c r="Q13" s="22"/>
      <c r="R13" s="22"/>
      <c r="S13" s="22"/>
    </row>
    <row r="14" spans="1:19" x14ac:dyDescent="0.25">
      <c r="A14" s="20">
        <v>43775</v>
      </c>
      <c r="B14" s="21"/>
      <c r="C14" s="22"/>
      <c r="D14" s="22"/>
      <c r="E14" s="23"/>
      <c r="F14" s="24"/>
      <c r="G14" s="25"/>
      <c r="H14" s="26" t="e">
        <f t="shared" si="3"/>
        <v>#DIV/0!</v>
      </c>
      <c r="I14" s="27" t="e">
        <f t="shared" si="4"/>
        <v>#DIV/0!</v>
      </c>
      <c r="J14" s="28" t="e">
        <f t="shared" si="5"/>
        <v>#DIV/0!</v>
      </c>
      <c r="K14" s="26">
        <f t="shared" si="0"/>
        <v>0</v>
      </c>
      <c r="L14" s="24">
        <f t="shared" si="1"/>
        <v>0</v>
      </c>
      <c r="M14" s="28">
        <f t="shared" si="2"/>
        <v>0</v>
      </c>
      <c r="N14" s="26" t="e">
        <f t="shared" si="6"/>
        <v>#DIV/0!</v>
      </c>
      <c r="O14" s="27" t="e">
        <f t="shared" si="7"/>
        <v>#DIV/0!</v>
      </c>
      <c r="P14" s="28" t="e">
        <f t="shared" si="8"/>
        <v>#DIV/0!</v>
      </c>
      <c r="Q14" s="22"/>
      <c r="R14" s="22"/>
      <c r="S14" s="22"/>
    </row>
    <row r="15" spans="1:19" x14ac:dyDescent="0.25">
      <c r="A15" s="20">
        <v>43776</v>
      </c>
      <c r="B15" s="21"/>
      <c r="C15" s="22"/>
      <c r="D15" s="22"/>
      <c r="E15" s="23"/>
      <c r="F15" s="24"/>
      <c r="G15" s="25"/>
      <c r="H15" s="26" t="e">
        <f t="shared" si="3"/>
        <v>#DIV/0!</v>
      </c>
      <c r="I15" s="27" t="e">
        <f t="shared" si="4"/>
        <v>#DIV/0!</v>
      </c>
      <c r="J15" s="28" t="e">
        <f t="shared" si="5"/>
        <v>#DIV/0!</v>
      </c>
      <c r="K15" s="26">
        <f t="shared" si="0"/>
        <v>0</v>
      </c>
      <c r="L15" s="24">
        <f t="shared" si="1"/>
        <v>0</v>
      </c>
      <c r="M15" s="28">
        <f t="shared" si="2"/>
        <v>0</v>
      </c>
      <c r="N15" s="26" t="e">
        <f t="shared" si="6"/>
        <v>#DIV/0!</v>
      </c>
      <c r="O15" s="27" t="e">
        <f t="shared" si="7"/>
        <v>#DIV/0!</v>
      </c>
      <c r="P15" s="28" t="e">
        <f t="shared" si="8"/>
        <v>#DIV/0!</v>
      </c>
      <c r="Q15" s="22"/>
      <c r="R15" s="22"/>
      <c r="S15" s="22"/>
    </row>
    <row r="16" spans="1:19" x14ac:dyDescent="0.25">
      <c r="A16" s="20">
        <v>43777</v>
      </c>
      <c r="B16" s="21"/>
      <c r="C16" s="22"/>
      <c r="D16" s="22"/>
      <c r="E16" s="23"/>
      <c r="F16" s="24"/>
      <c r="G16" s="25"/>
      <c r="H16" s="26" t="e">
        <f t="shared" si="3"/>
        <v>#DIV/0!</v>
      </c>
      <c r="I16" s="27" t="e">
        <f t="shared" si="4"/>
        <v>#DIV/0!</v>
      </c>
      <c r="J16" s="28" t="e">
        <f t="shared" si="5"/>
        <v>#DIV/0!</v>
      </c>
      <c r="K16" s="26">
        <f t="shared" si="0"/>
        <v>0</v>
      </c>
      <c r="L16" s="24">
        <f t="shared" si="1"/>
        <v>0</v>
      </c>
      <c r="M16" s="28">
        <f t="shared" si="2"/>
        <v>0</v>
      </c>
      <c r="N16" s="26" t="e">
        <f t="shared" si="6"/>
        <v>#DIV/0!</v>
      </c>
      <c r="O16" s="27" t="e">
        <f t="shared" si="7"/>
        <v>#DIV/0!</v>
      </c>
      <c r="P16" s="28" t="e">
        <f t="shared" si="8"/>
        <v>#DIV/0!</v>
      </c>
      <c r="Q16" s="22"/>
      <c r="R16" s="22"/>
      <c r="S16" s="22"/>
    </row>
    <row r="17" spans="1:19" x14ac:dyDescent="0.25">
      <c r="A17" s="20">
        <v>43778</v>
      </c>
      <c r="B17" s="21"/>
      <c r="C17" s="22"/>
      <c r="D17" s="22"/>
      <c r="E17" s="23"/>
      <c r="F17" s="24"/>
      <c r="G17" s="25"/>
      <c r="H17" s="26" t="e">
        <f t="shared" si="3"/>
        <v>#DIV/0!</v>
      </c>
      <c r="I17" s="27" t="e">
        <f t="shared" si="4"/>
        <v>#DIV/0!</v>
      </c>
      <c r="J17" s="28" t="e">
        <f t="shared" si="5"/>
        <v>#DIV/0!</v>
      </c>
      <c r="K17" s="26">
        <f t="shared" si="0"/>
        <v>0</v>
      </c>
      <c r="L17" s="24">
        <f t="shared" si="1"/>
        <v>0</v>
      </c>
      <c r="M17" s="28">
        <f t="shared" si="2"/>
        <v>0</v>
      </c>
      <c r="N17" s="26" t="e">
        <f t="shared" si="6"/>
        <v>#DIV/0!</v>
      </c>
      <c r="O17" s="27" t="e">
        <f t="shared" si="7"/>
        <v>#DIV/0!</v>
      </c>
      <c r="P17" s="28" t="e">
        <f t="shared" si="8"/>
        <v>#DIV/0!</v>
      </c>
      <c r="Q17" s="22"/>
      <c r="R17" s="22"/>
      <c r="S17" s="22"/>
    </row>
    <row r="18" spans="1:19" x14ac:dyDescent="0.25">
      <c r="A18" s="20">
        <v>43779</v>
      </c>
      <c r="B18" s="21"/>
      <c r="C18" s="22"/>
      <c r="D18" s="22"/>
      <c r="E18" s="23"/>
      <c r="F18" s="24"/>
      <c r="G18" s="25"/>
      <c r="H18" s="26" t="e">
        <f t="shared" si="3"/>
        <v>#DIV/0!</v>
      </c>
      <c r="I18" s="27" t="e">
        <f t="shared" si="4"/>
        <v>#DIV/0!</v>
      </c>
      <c r="J18" s="28" t="e">
        <f t="shared" si="5"/>
        <v>#DIV/0!</v>
      </c>
      <c r="K18" s="26">
        <f t="shared" si="0"/>
        <v>0</v>
      </c>
      <c r="L18" s="24">
        <f t="shared" si="1"/>
        <v>0</v>
      </c>
      <c r="M18" s="28">
        <f t="shared" si="2"/>
        <v>0</v>
      </c>
      <c r="N18" s="26" t="e">
        <f t="shared" si="6"/>
        <v>#DIV/0!</v>
      </c>
      <c r="O18" s="27" t="e">
        <f t="shared" si="7"/>
        <v>#DIV/0!</v>
      </c>
      <c r="P18" s="28" t="e">
        <f t="shared" si="8"/>
        <v>#DIV/0!</v>
      </c>
      <c r="Q18" s="22"/>
      <c r="R18" s="22"/>
      <c r="S18" s="22"/>
    </row>
    <row r="19" spans="1:19" x14ac:dyDescent="0.25">
      <c r="A19" s="20">
        <v>43780</v>
      </c>
      <c r="B19" s="21"/>
      <c r="C19" s="22"/>
      <c r="D19" s="22"/>
      <c r="E19" s="23"/>
      <c r="F19" s="24"/>
      <c r="G19" s="25"/>
      <c r="H19" s="26" t="e">
        <f t="shared" si="3"/>
        <v>#DIV/0!</v>
      </c>
      <c r="I19" s="27" t="e">
        <f t="shared" si="4"/>
        <v>#DIV/0!</v>
      </c>
      <c r="J19" s="28" t="e">
        <f t="shared" si="5"/>
        <v>#DIV/0!</v>
      </c>
      <c r="K19" s="26">
        <f t="shared" si="0"/>
        <v>0</v>
      </c>
      <c r="L19" s="24">
        <f t="shared" si="1"/>
        <v>0</v>
      </c>
      <c r="M19" s="28">
        <f t="shared" si="2"/>
        <v>0</v>
      </c>
      <c r="N19" s="26" t="e">
        <f t="shared" si="6"/>
        <v>#DIV/0!</v>
      </c>
      <c r="O19" s="27" t="e">
        <f t="shared" si="7"/>
        <v>#DIV/0!</v>
      </c>
      <c r="P19" s="28" t="e">
        <f t="shared" si="8"/>
        <v>#DIV/0!</v>
      </c>
      <c r="Q19" s="22"/>
      <c r="R19" s="22"/>
      <c r="S19" s="22"/>
    </row>
    <row r="20" spans="1:19" x14ac:dyDescent="0.25">
      <c r="A20" s="20">
        <v>43781</v>
      </c>
      <c r="B20" s="21"/>
      <c r="C20" s="22"/>
      <c r="D20" s="22"/>
      <c r="E20" s="23"/>
      <c r="F20" s="24"/>
      <c r="G20" s="25"/>
      <c r="H20" s="26" t="e">
        <f t="shared" si="3"/>
        <v>#DIV/0!</v>
      </c>
      <c r="I20" s="27" t="e">
        <f t="shared" si="4"/>
        <v>#DIV/0!</v>
      </c>
      <c r="J20" s="28" t="e">
        <f t="shared" si="5"/>
        <v>#DIV/0!</v>
      </c>
      <c r="K20" s="26">
        <f t="shared" si="0"/>
        <v>0</v>
      </c>
      <c r="L20" s="24">
        <f t="shared" si="1"/>
        <v>0</v>
      </c>
      <c r="M20" s="28">
        <f t="shared" si="2"/>
        <v>0</v>
      </c>
      <c r="N20" s="26" t="e">
        <f t="shared" si="6"/>
        <v>#DIV/0!</v>
      </c>
      <c r="O20" s="27" t="e">
        <f t="shared" si="7"/>
        <v>#DIV/0!</v>
      </c>
      <c r="P20" s="28" t="e">
        <f t="shared" si="8"/>
        <v>#DIV/0!</v>
      </c>
      <c r="Q20" s="22"/>
      <c r="R20" s="22"/>
      <c r="S20" s="22"/>
    </row>
    <row r="21" spans="1:19" x14ac:dyDescent="0.25">
      <c r="A21" s="20">
        <v>43782</v>
      </c>
      <c r="B21" s="21"/>
      <c r="C21" s="22"/>
      <c r="D21" s="22"/>
      <c r="E21" s="23"/>
      <c r="F21" s="24"/>
      <c r="G21" s="25"/>
      <c r="H21" s="26" t="e">
        <f t="shared" si="3"/>
        <v>#DIV/0!</v>
      </c>
      <c r="I21" s="27" t="e">
        <f t="shared" si="4"/>
        <v>#DIV/0!</v>
      </c>
      <c r="J21" s="28" t="e">
        <f t="shared" si="5"/>
        <v>#DIV/0!</v>
      </c>
      <c r="K21" s="26">
        <f t="shared" si="0"/>
        <v>0</v>
      </c>
      <c r="L21" s="24">
        <f t="shared" si="1"/>
        <v>0</v>
      </c>
      <c r="M21" s="28">
        <f t="shared" si="2"/>
        <v>0</v>
      </c>
      <c r="N21" s="26" t="e">
        <f t="shared" si="6"/>
        <v>#DIV/0!</v>
      </c>
      <c r="O21" s="27" t="e">
        <f t="shared" si="7"/>
        <v>#DIV/0!</v>
      </c>
      <c r="P21" s="28" t="e">
        <f t="shared" si="8"/>
        <v>#DIV/0!</v>
      </c>
      <c r="Q21" s="22"/>
      <c r="R21" s="22"/>
      <c r="S21" s="22"/>
    </row>
    <row r="22" spans="1:19" x14ac:dyDescent="0.25">
      <c r="A22" s="20">
        <v>43783</v>
      </c>
      <c r="B22" s="21"/>
      <c r="C22" s="22"/>
      <c r="D22" s="22"/>
      <c r="E22" s="23"/>
      <c r="F22" s="24"/>
      <c r="G22" s="25"/>
      <c r="H22" s="26" t="e">
        <f t="shared" si="3"/>
        <v>#DIV/0!</v>
      </c>
      <c r="I22" s="27" t="e">
        <f t="shared" si="4"/>
        <v>#DIV/0!</v>
      </c>
      <c r="J22" s="28" t="e">
        <f t="shared" si="5"/>
        <v>#DIV/0!</v>
      </c>
      <c r="K22" s="26">
        <f t="shared" si="0"/>
        <v>0</v>
      </c>
      <c r="L22" s="24">
        <f t="shared" si="1"/>
        <v>0</v>
      </c>
      <c r="M22" s="28">
        <f t="shared" si="2"/>
        <v>0</v>
      </c>
      <c r="N22" s="26" t="e">
        <f t="shared" si="6"/>
        <v>#DIV/0!</v>
      </c>
      <c r="O22" s="27" t="e">
        <f t="shared" si="7"/>
        <v>#DIV/0!</v>
      </c>
      <c r="P22" s="28" t="e">
        <f t="shared" si="8"/>
        <v>#DIV/0!</v>
      </c>
      <c r="Q22" s="22"/>
      <c r="R22" s="22"/>
      <c r="S22" s="22"/>
    </row>
    <row r="23" spans="1:19" x14ac:dyDescent="0.25">
      <c r="A23" s="20">
        <v>43784</v>
      </c>
      <c r="B23" s="21"/>
      <c r="C23" s="22"/>
      <c r="D23" s="22"/>
      <c r="E23" s="23"/>
      <c r="F23" s="24"/>
      <c r="G23" s="25"/>
      <c r="H23" s="26" t="e">
        <f t="shared" si="3"/>
        <v>#DIV/0!</v>
      </c>
      <c r="I23" s="27" t="e">
        <f t="shared" si="4"/>
        <v>#DIV/0!</v>
      </c>
      <c r="J23" s="28" t="e">
        <f t="shared" si="5"/>
        <v>#DIV/0!</v>
      </c>
      <c r="K23" s="26">
        <f t="shared" si="0"/>
        <v>0</v>
      </c>
      <c r="L23" s="24">
        <f t="shared" si="1"/>
        <v>0</v>
      </c>
      <c r="M23" s="28">
        <f t="shared" si="2"/>
        <v>0</v>
      </c>
      <c r="N23" s="26" t="e">
        <f t="shared" si="6"/>
        <v>#DIV/0!</v>
      </c>
      <c r="O23" s="27" t="e">
        <f t="shared" si="7"/>
        <v>#DIV/0!</v>
      </c>
      <c r="P23" s="28" t="e">
        <f t="shared" si="8"/>
        <v>#DIV/0!</v>
      </c>
      <c r="Q23" s="22"/>
      <c r="R23" s="22"/>
      <c r="S23" s="22"/>
    </row>
    <row r="24" spans="1:19" x14ac:dyDescent="0.25">
      <c r="A24" s="20">
        <v>43785</v>
      </c>
      <c r="B24" s="21"/>
      <c r="C24" s="22"/>
      <c r="D24" s="22"/>
      <c r="E24" s="23"/>
      <c r="F24" s="24"/>
      <c r="G24" s="25"/>
      <c r="H24" s="26" t="e">
        <f t="shared" si="3"/>
        <v>#DIV/0!</v>
      </c>
      <c r="I24" s="27" t="e">
        <f t="shared" si="4"/>
        <v>#DIV/0!</v>
      </c>
      <c r="J24" s="28" t="e">
        <f t="shared" si="5"/>
        <v>#DIV/0!</v>
      </c>
      <c r="K24" s="26">
        <f t="shared" si="0"/>
        <v>0</v>
      </c>
      <c r="L24" s="24">
        <f t="shared" si="1"/>
        <v>0</v>
      </c>
      <c r="M24" s="28">
        <f t="shared" si="2"/>
        <v>0</v>
      </c>
      <c r="N24" s="26" t="e">
        <f t="shared" si="6"/>
        <v>#DIV/0!</v>
      </c>
      <c r="O24" s="27" t="e">
        <f t="shared" si="7"/>
        <v>#DIV/0!</v>
      </c>
      <c r="P24" s="28" t="e">
        <f t="shared" si="8"/>
        <v>#DIV/0!</v>
      </c>
      <c r="Q24" s="22"/>
      <c r="R24" s="22"/>
      <c r="S24" s="22"/>
    </row>
    <row r="25" spans="1:19" x14ac:dyDescent="0.25">
      <c r="A25" s="20">
        <v>43786</v>
      </c>
      <c r="B25" s="21"/>
      <c r="C25" s="22"/>
      <c r="D25" s="22"/>
      <c r="E25" s="23"/>
      <c r="F25" s="24"/>
      <c r="G25" s="25"/>
      <c r="H25" s="26" t="e">
        <f t="shared" si="3"/>
        <v>#DIV/0!</v>
      </c>
      <c r="I25" s="27" t="e">
        <f t="shared" si="4"/>
        <v>#DIV/0!</v>
      </c>
      <c r="J25" s="28" t="e">
        <f t="shared" si="5"/>
        <v>#DIV/0!</v>
      </c>
      <c r="K25" s="26">
        <f t="shared" si="0"/>
        <v>0</v>
      </c>
      <c r="L25" s="24">
        <f t="shared" si="1"/>
        <v>0</v>
      </c>
      <c r="M25" s="28">
        <f t="shared" si="2"/>
        <v>0</v>
      </c>
      <c r="N25" s="26" t="e">
        <f t="shared" si="6"/>
        <v>#DIV/0!</v>
      </c>
      <c r="O25" s="27" t="e">
        <f t="shared" si="7"/>
        <v>#DIV/0!</v>
      </c>
      <c r="P25" s="28" t="e">
        <f t="shared" si="8"/>
        <v>#DIV/0!</v>
      </c>
      <c r="Q25" s="22"/>
      <c r="R25" s="22"/>
      <c r="S25" s="22"/>
    </row>
    <row r="26" spans="1:19" x14ac:dyDescent="0.25">
      <c r="A26" s="20">
        <v>43787</v>
      </c>
      <c r="B26" s="21"/>
      <c r="C26" s="22"/>
      <c r="D26" s="22"/>
      <c r="E26" s="23"/>
      <c r="F26" s="24"/>
      <c r="G26" s="25"/>
      <c r="H26" s="26" t="e">
        <f t="shared" si="3"/>
        <v>#DIV/0!</v>
      </c>
      <c r="I26" s="27" t="e">
        <f t="shared" si="4"/>
        <v>#DIV/0!</v>
      </c>
      <c r="J26" s="28" t="e">
        <f t="shared" si="5"/>
        <v>#DIV/0!</v>
      </c>
      <c r="K26" s="26">
        <f t="shared" si="0"/>
        <v>0</v>
      </c>
      <c r="L26" s="24">
        <f t="shared" si="1"/>
        <v>0</v>
      </c>
      <c r="M26" s="28">
        <f t="shared" si="2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25">
      <c r="A27" s="20">
        <v>43788</v>
      </c>
      <c r="B27" s="21"/>
      <c r="C27" s="22"/>
      <c r="D27" s="22"/>
      <c r="E27" s="23"/>
      <c r="F27" s="24"/>
      <c r="G27" s="25"/>
      <c r="H27" s="26" t="e">
        <f t="shared" si="3"/>
        <v>#DIV/0!</v>
      </c>
      <c r="I27" s="27" t="e">
        <f t="shared" si="4"/>
        <v>#DIV/0!</v>
      </c>
      <c r="J27" s="28" t="e">
        <f t="shared" si="5"/>
        <v>#DIV/0!</v>
      </c>
      <c r="K27" s="26">
        <f t="shared" si="0"/>
        <v>0</v>
      </c>
      <c r="L27" s="24">
        <f t="shared" si="1"/>
        <v>0</v>
      </c>
      <c r="M27" s="28">
        <f t="shared" si="2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25">
      <c r="A28" s="20">
        <v>43789</v>
      </c>
      <c r="B28" s="21"/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43790</v>
      </c>
      <c r="B29" s="21"/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43791</v>
      </c>
      <c r="B30" s="21"/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43792</v>
      </c>
      <c r="B31" s="21"/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43793</v>
      </c>
      <c r="B32" s="21"/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43794</v>
      </c>
      <c r="B33" s="21"/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43795</v>
      </c>
      <c r="B34" s="21"/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43796</v>
      </c>
      <c r="B35" s="21"/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43797</v>
      </c>
      <c r="B36" s="21"/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43798</v>
      </c>
      <c r="B37" s="21"/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43799</v>
      </c>
      <c r="B38" s="21"/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/>
      <c r="B39" s="21"/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/>
      <c r="B40" s="21"/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2019-11-02T02:39:10Z</dcterms:modified>
</cp:coreProperties>
</file>