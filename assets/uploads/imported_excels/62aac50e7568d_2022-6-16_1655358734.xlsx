
<file path=[Content_Types].xml><?xml version="1.0" encoding="utf-8"?>
<Types xmlns="http://schemas.openxmlformats.org/package/2006/content-types">
  <Override PartName="/xl/worksheets/sheet15.xml" ContentType="application/vnd.openxmlformats-officedocument.spreadsheetml.worksheet+xml"/>
  <Override PartName="/xl/charts/chart6.xml" ContentType="application/vnd.openxmlformats-officedocument.drawingml.chart+xml"/>
  <Override PartName="/xl/charts/chart20.xml" ContentType="application/vnd.openxmlformats-officedocument.drawingml.chart+xml"/>
  <Override PartName="/xl/worksheets/sheet9.xml" ContentType="application/vnd.openxmlformats-officedocument.spreadsheetml.worksheet+xml"/>
  <Override PartName="/xl/worksheets/sheet13.xml" ContentType="application/vnd.openxmlformats-officedocument.spreadsheetml.worksheet+xml"/>
  <Override PartName="/xl/externalLinks/externalLink9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charts/chart4.xml" ContentType="application/vnd.openxmlformats-officedocument.drawingml.char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worksheets/sheet11.xml" ContentType="application/vnd.openxmlformats-officedocument.spreadsheetml.worksheet+xml"/>
  <Override PartName="/xl/externalLinks/externalLink7.xml" ContentType="application/vnd.openxmlformats-officedocument.spreadsheetml.externalLink+xml"/>
  <Override PartName="/xl/charts/chart2.xml" ContentType="application/vnd.openxmlformats-officedocument.drawingml.chart+xml"/>
  <Override PartName="/xl/drawings/drawing4.xml" ContentType="application/vnd.openxmlformats-officedocument.drawing+xml"/>
  <Default Extension="rels" ContentType="application/vnd.openxmlformats-package.relationships+xml"/>
  <Default Extension="xml" ContentType="application/xml"/>
  <Override PartName="/xl/worksheets/sheet5.xml" ContentType="application/vnd.openxmlformats-officedocument.spreadsheetml.worksheet+xml"/>
  <Override PartName="/xl/externalLinks/externalLink5.xml" ContentType="application/vnd.openxmlformats-officedocument.spreadsheetml.externalLink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externalLinks/externalLink3.xml" ContentType="application/vnd.openxmlformats-officedocument.spreadsheetml.externalLink+xml"/>
  <Override PartName="/xl/charts/chart18.xml" ContentType="application/vnd.openxmlformats-officedocument.drawingml.chart+xml"/>
  <Override PartName="/xl/charts/chart27.xml" ContentType="application/vnd.openxmlformats-officedocument.drawingml.chart+xml"/>
  <Override PartName="/xl/comments2.xml" ContentType="application/vnd.openxmlformats-officedocument.spreadsheetml.comments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12.xml" ContentType="application/vnd.openxmlformats-officedocument.spreadsheetml.externalLink+xml"/>
  <Override PartName="/xl/charts/chart16.xml" ContentType="application/vnd.openxmlformats-officedocument.drawingml.chart+xml"/>
  <Override PartName="/xl/charts/chart25.xml" ContentType="application/vnd.openxmlformats-officedocument.drawingml.chart+xml"/>
  <Override PartName="/xl/externalLinks/externalLink10.xml" ContentType="application/vnd.openxmlformats-officedocument.spreadsheetml.externalLink+xml"/>
  <Override PartName="/xl/sharedStrings.xml" ContentType="application/vnd.openxmlformats-officedocument.spreadsheetml.sharedStrings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xl/charts/chart23.xml" ContentType="application/vnd.openxmlformats-officedocument.drawingml.chart+xml"/>
  <Override PartName="/xl/charts/chart24.xml" ContentType="application/vnd.openxmlformats-officedocument.drawingml.char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21.xml" ContentType="application/vnd.openxmlformats-officedocument.drawingml.chart+xml"/>
  <Override PartName="/xl/charts/chart22.xml" ContentType="application/vnd.openxmlformats-officedocument.drawingml.chart+xml"/>
  <Override PartName="/docProps/core.xml" ContentType="application/vnd.openxmlformats-package.core-properties+xml"/>
  <Override PartName="/xl/worksheets/sheet16.xml" ContentType="application/vnd.openxmlformats-officedocument.spreadsheetml.worksheet+xml"/>
  <Default Extension="bin" ContentType="application/vnd.openxmlformats-officedocument.spreadsheetml.printerSettings"/>
  <Override PartName="/xl/charts/chart7.xml" ContentType="application/vnd.openxmlformats-officedocument.drawingml.chart+xml"/>
  <Override PartName="/xl/charts/chart10.xml" ContentType="application/vnd.openxmlformats-officedocument.drawingml.chart+xml"/>
  <Override PartName="/xl/worksheets/sheet14.xml" ContentType="application/vnd.openxmlformats-officedocument.spreadsheetml.worksheet+xml"/>
  <Override PartName="/xl/externalLinks/externalLink8.xml" ContentType="application/vnd.openxmlformats-officedocument.spreadsheetml.externalLink+xml"/>
  <Override PartName="/xl/charts/chart5.xml" ContentType="application/vnd.openxmlformats-officedocument.drawingml.chart+xml"/>
  <Override PartName="/xl/drawings/drawing7.xml" ContentType="application/vnd.openxmlformats-officedocument.drawing+xml"/>
  <Override PartName="/xl/worksheets/sheet6.xml" ContentType="application/vnd.openxmlformats-officedocument.spreadsheetml.worksheet+xml"/>
  <Override PartName="/xl/worksheets/sheet8.xml" ContentType="application/vnd.openxmlformats-officedocument.spreadsheetml.worksheet+xml"/>
  <Override PartName="/xl/worksheets/sheet12.xml" ContentType="application/vnd.openxmlformats-officedocument.spreadsheetml.worksheet+xml"/>
  <Override PartName="/xl/externalLinks/externalLink6.xml" ContentType="application/vnd.openxmlformats-officedocument.spreadsheetml.externalLink+xml"/>
  <Override PartName="/xl/charts/chart3.xml" ContentType="application/vnd.openxmlformats-officedocument.drawingml.chart+xml"/>
  <Override PartName="/xl/drawings/drawing5.xml" ContentType="application/vnd.openxmlformats-officedocument.drawing+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10.xml" ContentType="application/vnd.openxmlformats-officedocument.spreadsheetml.worksheet+xml"/>
  <Override PartName="/xl/externalLinks/externalLink4.xml" ContentType="application/vnd.openxmlformats-officedocument.spreadsheetml.externalLink+xml"/>
  <Override PartName="/xl/charts/chart1.xml" ContentType="application/vnd.openxmlformats-officedocument.drawingml.chart+xml"/>
  <Override PartName="/xl/drawings/drawing3.xml" ContentType="application/vnd.openxmlformats-officedocument.drawing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externalLinks/externalLink2.xml" ContentType="application/vnd.openxmlformats-officedocument.spreadsheetml.externalLink+xml"/>
  <Override PartName="/xl/externalLinks/externalLink13.xml" ContentType="application/vnd.openxmlformats-officedocument.spreadsheetml.externalLink+xml"/>
  <Override PartName="/xl/drawings/drawing1.xml" ContentType="application/vnd.openxmlformats-officedocument.drawing+xml"/>
  <Override PartName="/xl/charts/chart19.xml" ContentType="application/vnd.openxmlformats-officedocument.drawingml.chart+xml"/>
  <Override PartName="/xl/charts/chart28.xml" ContentType="application/vnd.openxmlformats-officedocument.drawingml.chart+xml"/>
  <Override PartName="/xl/externalLinks/externalLink11.xml" ContentType="application/vnd.openxmlformats-officedocument.spreadsheetml.externalLink+xml"/>
  <Default Extension="vml" ContentType="application/vnd.openxmlformats-officedocument.vmlDrawing"/>
  <Override PartName="/xl/comments1.xml" ContentType="application/vnd.openxmlformats-officedocument.spreadsheetml.comments+xml"/>
  <Override PartName="/xl/charts/chart17.xml" ContentType="application/vnd.openxmlformats-officedocument.drawingml.chart+xml"/>
  <Override PartName="/xl/charts/chart26.xml" ContentType="application/vnd.openxmlformats-officedocument.drawingml.chart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6" rupBuild="4507"/>
  <workbookPr/>
  <bookViews>
    <workbookView xWindow="90" yWindow="60" windowWidth="14325" windowHeight="11805" tabRatio="579" activeTab="1"/>
  </bookViews>
  <sheets>
    <sheet name="Total" sheetId="81" r:id="rId1"/>
    <sheet name="Submetering" sheetId="82" r:id="rId2"/>
    <sheet name="ELEC" sheetId="2" r:id="rId3"/>
    <sheet name="B5" sheetId="1" r:id="rId4"/>
    <sheet name="WATER" sheetId="5" r:id="rId5"/>
    <sheet name="GEN" sheetId="3" r:id="rId6"/>
    <sheet name="tanks" sheetId="7" r:id="rId7"/>
    <sheet name="EDl log" sheetId="76" r:id="rId8"/>
    <sheet name="graphic" sheetId="4" r:id="rId9"/>
    <sheet name="General information " sheetId="73" r:id="rId10"/>
    <sheet name="Sheet1" sheetId="63" state="hidden" r:id="rId11"/>
    <sheet name="Report" sheetId="65" state="hidden" r:id="rId12"/>
    <sheet name="Sheet5" sheetId="75" state="hidden" r:id="rId13"/>
    <sheet name="Swimming Pool quality check " sheetId="79" r:id="rId14"/>
    <sheet name="Degree Days 2022" sheetId="74" r:id="rId15"/>
    <sheet name="Utility Cost " sheetId="77" r:id="rId16"/>
    <sheet name="MDB" sheetId="78" r:id="rId17"/>
    <sheet name="Sheet2" sheetId="83" state="hidden" r:id="rId18"/>
  </sheets>
  <externalReferences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</externalReferences>
  <definedNames>
    <definedName name="_xlnm.Print_Area" localSheetId="14">'Degree Days 2022'!$A$41:$AJ$92</definedName>
    <definedName name="_xlnm.Print_Area" localSheetId="4">WATER!$A$3:$C$37</definedName>
  </definedNames>
  <calcPr calcId="125725"/>
</workbook>
</file>

<file path=xl/calcChain.xml><?xml version="1.0" encoding="utf-8"?>
<calcChain xmlns="http://schemas.openxmlformats.org/spreadsheetml/2006/main">
  <c r="A35" i="76"/>
  <c r="D19" i="73"/>
  <c r="K13" i="3"/>
  <c r="K14"/>
  <c r="D49"/>
  <c r="D48"/>
  <c r="D47"/>
  <c r="D46"/>
  <c r="D45"/>
  <c r="D42"/>
  <c r="D43" s="1"/>
  <c r="D44" s="1"/>
  <c r="D41"/>
  <c r="B43"/>
  <c r="C11"/>
  <c r="B5"/>
  <c r="C3"/>
  <c r="I42"/>
  <c r="C8"/>
  <c r="C9"/>
  <c r="C10"/>
  <c r="C2"/>
  <c r="B6" l="1"/>
  <c r="C5"/>
  <c r="C4"/>
  <c r="J7"/>
  <c r="J8" s="1"/>
  <c r="J9" s="1"/>
  <c r="J10" s="1"/>
  <c r="J11" s="1"/>
  <c r="J12" s="1"/>
  <c r="J13" s="1"/>
  <c r="J14" s="1"/>
  <c r="J15" s="1"/>
  <c r="J17" s="1"/>
  <c r="J18" s="1"/>
  <c r="J19" s="1"/>
  <c r="J20" s="1"/>
  <c r="J21" s="1"/>
  <c r="J22" s="1"/>
  <c r="J23" s="1"/>
  <c r="J24" s="1"/>
  <c r="J25" s="1"/>
  <c r="J26" s="1"/>
  <c r="J27" s="1"/>
  <c r="J28" s="1"/>
  <c r="J29" s="1"/>
  <c r="J30" s="1"/>
  <c r="J31" s="1"/>
  <c r="J32" s="1"/>
  <c r="J33" s="1"/>
  <c r="C6" l="1"/>
  <c r="C7"/>
  <c r="D10" i="73"/>
  <c r="C5" i="5" l="1"/>
  <c r="D5"/>
  <c r="E5"/>
  <c r="F5"/>
  <c r="G5"/>
  <c r="H5"/>
  <c r="I5"/>
  <c r="J5"/>
  <c r="K5"/>
  <c r="L5"/>
  <c r="M5"/>
  <c r="N5"/>
  <c r="O5"/>
  <c r="P5"/>
  <c r="Q5"/>
  <c r="R5"/>
  <c r="S5"/>
  <c r="T5"/>
  <c r="U5"/>
  <c r="V5"/>
  <c r="W5"/>
  <c r="X5"/>
  <c r="Y5"/>
  <c r="Z5"/>
  <c r="AA5"/>
  <c r="AB5"/>
  <c r="AC5"/>
  <c r="AD5"/>
  <c r="AE5"/>
  <c r="AF5"/>
  <c r="AG5"/>
  <c r="AH5"/>
  <c r="AI5"/>
  <c r="AJ5"/>
  <c r="AK5"/>
  <c r="AL5"/>
  <c r="AM5"/>
  <c r="AN5"/>
  <c r="AO5"/>
  <c r="AP5"/>
  <c r="R4" i="1" l="1"/>
  <c r="S4"/>
  <c r="T4"/>
  <c r="U4"/>
  <c r="V4"/>
  <c r="W4"/>
  <c r="X4"/>
  <c r="Y4"/>
  <c r="Z4"/>
  <c r="D4"/>
  <c r="E4"/>
  <c r="F4"/>
  <c r="G4"/>
  <c r="H4"/>
  <c r="I4"/>
  <c r="J4"/>
  <c r="K4"/>
  <c r="L4"/>
  <c r="M4"/>
  <c r="N4"/>
  <c r="O4"/>
  <c r="P4"/>
  <c r="Q4"/>
  <c r="AA4"/>
  <c r="AB4"/>
  <c r="AC4"/>
  <c r="AD4"/>
  <c r="AE4"/>
  <c r="AF4"/>
  <c r="AG4"/>
  <c r="AH4"/>
  <c r="AI4"/>
  <c r="AJ4"/>
  <c r="AK4"/>
  <c r="AL4"/>
  <c r="AM4"/>
  <c r="AN4"/>
  <c r="AO4"/>
  <c r="AP4"/>
  <c r="AQ4"/>
  <c r="AR4"/>
  <c r="AS4"/>
  <c r="AT4"/>
  <c r="AU4"/>
  <c r="AV4"/>
  <c r="AW4"/>
  <c r="AX4"/>
  <c r="C4"/>
  <c r="B4"/>
  <c r="W3" i="2"/>
  <c r="U3"/>
  <c r="S3"/>
  <c r="P3"/>
  <c r="L3"/>
  <c r="J3"/>
  <c r="H3"/>
  <c r="F3"/>
  <c r="D3"/>
  <c r="C15" i="77" l="1"/>
  <c r="C16"/>
  <c r="C17"/>
  <c r="C18"/>
  <c r="C14"/>
  <c r="V11" i="74" l="1"/>
  <c r="W11"/>
  <c r="V12"/>
  <c r="W12"/>
  <c r="V13"/>
  <c r="W13"/>
  <c r="V14"/>
  <c r="W14"/>
  <c r="V15"/>
  <c r="W15"/>
  <c r="V16"/>
  <c r="W16"/>
  <c r="V17"/>
  <c r="W17"/>
  <c r="V18"/>
  <c r="W18"/>
  <c r="V19"/>
  <c r="W19"/>
  <c r="V20"/>
  <c r="W20"/>
  <c r="V21"/>
  <c r="W21"/>
  <c r="V22"/>
  <c r="W22"/>
  <c r="V23"/>
  <c r="W23"/>
  <c r="V24"/>
  <c r="W24"/>
  <c r="V25"/>
  <c r="W25"/>
  <c r="V26"/>
  <c r="W26"/>
  <c r="V27"/>
  <c r="W27"/>
  <c r="V28"/>
  <c r="W28"/>
  <c r="V29"/>
  <c r="W29"/>
  <c r="V30"/>
  <c r="W30"/>
  <c r="V31"/>
  <c r="W31"/>
  <c r="V32"/>
  <c r="W32"/>
  <c r="V33"/>
  <c r="W33"/>
  <c r="V34"/>
  <c r="W34"/>
  <c r="V35"/>
  <c r="W35"/>
  <c r="V36"/>
  <c r="W36"/>
  <c r="V37"/>
  <c r="W37"/>
  <c r="V38"/>
  <c r="W38"/>
  <c r="V39"/>
  <c r="W39"/>
  <c r="W10"/>
  <c r="V10"/>
  <c r="R11"/>
  <c r="S11"/>
  <c r="R12"/>
  <c r="S12"/>
  <c r="R13"/>
  <c r="S13"/>
  <c r="R14"/>
  <c r="S14"/>
  <c r="R15"/>
  <c r="S15"/>
  <c r="R16"/>
  <c r="S16"/>
  <c r="R17"/>
  <c r="S17"/>
  <c r="R18"/>
  <c r="S18"/>
  <c r="R19"/>
  <c r="S19"/>
  <c r="R20"/>
  <c r="S20"/>
  <c r="R21"/>
  <c r="S21"/>
  <c r="R22"/>
  <c r="S22"/>
  <c r="R23"/>
  <c r="S23"/>
  <c r="R24"/>
  <c r="S24"/>
  <c r="R25"/>
  <c r="S25"/>
  <c r="R26"/>
  <c r="S26"/>
  <c r="R27"/>
  <c r="S27"/>
  <c r="R28"/>
  <c r="S28"/>
  <c r="R29"/>
  <c r="S29"/>
  <c r="R30"/>
  <c r="S30"/>
  <c r="R31"/>
  <c r="S31"/>
  <c r="R32"/>
  <c r="S32"/>
  <c r="R33"/>
  <c r="S33"/>
  <c r="R34"/>
  <c r="S34"/>
  <c r="R35"/>
  <c r="S35"/>
  <c r="R36"/>
  <c r="S36"/>
  <c r="R37"/>
  <c r="S37"/>
  <c r="R38"/>
  <c r="S38"/>
  <c r="R39"/>
  <c r="S39"/>
  <c r="R40"/>
  <c r="S40"/>
  <c r="S10"/>
  <c r="R10"/>
  <c r="X15" i="76"/>
  <c r="Y15"/>
  <c r="W12"/>
  <c r="W15"/>
  <c r="AB19"/>
  <c r="AA12"/>
  <c r="AB12"/>
  <c r="AC12"/>
  <c r="AA13"/>
  <c r="AB13"/>
  <c r="AC13"/>
  <c r="AA14"/>
  <c r="AB14"/>
  <c r="AC14"/>
  <c r="AA15"/>
  <c r="AB15"/>
  <c r="AC15"/>
  <c r="AA16"/>
  <c r="AB16"/>
  <c r="AC16"/>
  <c r="AA17"/>
  <c r="AB17"/>
  <c r="AC17"/>
  <c r="AA18"/>
  <c r="AB18"/>
  <c r="AC18"/>
  <c r="V10"/>
  <c r="W10"/>
  <c r="X10"/>
  <c r="Y10"/>
  <c r="Z10"/>
  <c r="AA10"/>
  <c r="AB10"/>
  <c r="AC10"/>
  <c r="AD10"/>
  <c r="AE10"/>
  <c r="AF10"/>
  <c r="V11"/>
  <c r="W11"/>
  <c r="X11"/>
  <c r="Y11"/>
  <c r="Z11"/>
  <c r="AA11"/>
  <c r="AB11"/>
  <c r="AC11"/>
  <c r="AD11"/>
  <c r="AE11"/>
  <c r="AF11"/>
  <c r="W9"/>
  <c r="X9"/>
  <c r="Y9"/>
  <c r="Z9"/>
  <c r="AA9"/>
  <c r="AB9"/>
  <c r="AC9"/>
  <c r="AD9"/>
  <c r="AE9"/>
  <c r="AF9"/>
  <c r="V9"/>
  <c r="W4"/>
  <c r="C3"/>
  <c r="D3"/>
  <c r="E3"/>
  <c r="F3"/>
  <c r="F4" s="1"/>
  <c r="F5" s="1"/>
  <c r="F6" s="1"/>
  <c r="F7" s="1"/>
  <c r="F8" s="1"/>
  <c r="F9" s="1"/>
  <c r="F10" s="1"/>
  <c r="F11" s="1"/>
  <c r="F12" s="1"/>
  <c r="F13" s="1"/>
  <c r="F14" s="1"/>
  <c r="F15" s="1"/>
  <c r="F16" s="1"/>
  <c r="F17" s="1"/>
  <c r="F18" s="1"/>
  <c r="F19" s="1"/>
  <c r="F20" s="1"/>
  <c r="F21" s="1"/>
  <c r="F22" s="1"/>
  <c r="F23" s="1"/>
  <c r="F24" s="1"/>
  <c r="F25" s="1"/>
  <c r="F26" s="1"/>
  <c r="F27" s="1"/>
  <c r="F28" s="1"/>
  <c r="F29" s="1"/>
  <c r="F30" s="1"/>
  <c r="F31" s="1"/>
  <c r="F32" s="1"/>
  <c r="F33" s="1"/>
  <c r="F34" s="1"/>
  <c r="G3"/>
  <c r="H3"/>
  <c r="H5" s="1"/>
  <c r="H6" s="1"/>
  <c r="H7" s="1"/>
  <c r="H8" s="1"/>
  <c r="H9" s="1"/>
  <c r="H14" s="1"/>
  <c r="H16" s="1"/>
  <c r="H18" s="1"/>
  <c r="H19" s="1"/>
  <c r="H20" s="1"/>
  <c r="H21" s="1"/>
  <c r="H22" s="1"/>
  <c r="H23" s="1"/>
  <c r="H24" s="1"/>
  <c r="H25" s="1"/>
  <c r="H26" s="1"/>
  <c r="H27" s="1"/>
  <c r="H28" s="1"/>
  <c r="H29" s="1"/>
  <c r="H30" s="1"/>
  <c r="H31" s="1"/>
  <c r="H32" s="1"/>
  <c r="H33" s="1"/>
  <c r="H34" s="1"/>
  <c r="I3"/>
  <c r="J3"/>
  <c r="J4" s="1"/>
  <c r="J5" s="1"/>
  <c r="J6" s="1"/>
  <c r="J7" s="1"/>
  <c r="J8" s="1"/>
  <c r="J9" s="1"/>
  <c r="J11" s="1"/>
  <c r="J12" s="1"/>
  <c r="J14" s="1"/>
  <c r="J16" s="1"/>
  <c r="J17" s="1"/>
  <c r="J18" s="1"/>
  <c r="J19" s="1"/>
  <c r="J20" s="1"/>
  <c r="J21" s="1"/>
  <c r="J22" s="1"/>
  <c r="J23" s="1"/>
  <c r="J24" s="1"/>
  <c r="J25" s="1"/>
  <c r="J26" s="1"/>
  <c r="J27" s="1"/>
  <c r="J28" s="1"/>
  <c r="J29" s="1"/>
  <c r="J30" s="1"/>
  <c r="J31" s="1"/>
  <c r="J32" s="1"/>
  <c r="J33" s="1"/>
  <c r="J34" s="1"/>
  <c r="K3"/>
  <c r="L3"/>
  <c r="M3"/>
  <c r="N3"/>
  <c r="O3"/>
  <c r="P3"/>
  <c r="Q3"/>
  <c r="R3"/>
  <c r="S3"/>
  <c r="T3"/>
  <c r="B3"/>
  <c r="B5" s="1"/>
  <c r="B6" s="1"/>
  <c r="B7" s="1"/>
  <c r="B8" s="1"/>
  <c r="B9" s="1"/>
  <c r="B14" s="1"/>
  <c r="B16" s="1"/>
  <c r="B18" s="1"/>
  <c r="B19" s="1"/>
  <c r="B20" s="1"/>
  <c r="B21" s="1"/>
  <c r="B22" s="1"/>
  <c r="B23" s="1"/>
  <c r="B24" s="1"/>
  <c r="B25" s="1"/>
  <c r="B26" s="1"/>
  <c r="B27" s="1"/>
  <c r="B28" s="1"/>
  <c r="B29" s="1"/>
  <c r="B30" s="1"/>
  <c r="B31" s="1"/>
  <c r="B32" s="1"/>
  <c r="B33" s="1"/>
  <c r="B34" s="1"/>
  <c r="A3"/>
  <c r="AS5" i="7"/>
  <c r="AT5"/>
  <c r="AU5"/>
  <c r="AV5"/>
  <c r="AW5"/>
  <c r="AX5"/>
  <c r="AY5"/>
  <c r="AZ5"/>
  <c r="BA5"/>
  <c r="BB5"/>
  <c r="BC5"/>
  <c r="BD5"/>
  <c r="BE5"/>
  <c r="BF5"/>
  <c r="BG5"/>
  <c r="BH5"/>
  <c r="AR5"/>
  <c r="AQ5"/>
  <c r="C5"/>
  <c r="D5"/>
  <c r="E5"/>
  <c r="F5"/>
  <c r="G5"/>
  <c r="H5"/>
  <c r="I5"/>
  <c r="J5"/>
  <c r="K5"/>
  <c r="L5"/>
  <c r="M5"/>
  <c r="N5"/>
  <c r="O5"/>
  <c r="P5"/>
  <c r="Q5"/>
  <c r="R5"/>
  <c r="S5"/>
  <c r="T5"/>
  <c r="U5"/>
  <c r="V5"/>
  <c r="W5"/>
  <c r="X5"/>
  <c r="Y5"/>
  <c r="Z5"/>
  <c r="AA5"/>
  <c r="AB5"/>
  <c r="AC5"/>
  <c r="AD5"/>
  <c r="AE5"/>
  <c r="AF5"/>
  <c r="AG5"/>
  <c r="AH5"/>
  <c r="AI5"/>
  <c r="AJ5"/>
  <c r="AK5"/>
  <c r="AL5"/>
  <c r="AM5"/>
  <c r="AN5"/>
  <c r="AO5"/>
  <c r="B5"/>
  <c r="A5"/>
  <c r="D2" i="3"/>
  <c r="E2"/>
  <c r="F2"/>
  <c r="G2"/>
  <c r="H2"/>
  <c r="I2"/>
  <c r="J3"/>
  <c r="J4" s="1"/>
  <c r="J5" s="1"/>
  <c r="J6" s="1"/>
  <c r="K2"/>
  <c r="L2"/>
  <c r="M2"/>
  <c r="N2"/>
  <c r="O2"/>
  <c r="P2"/>
  <c r="Q2"/>
  <c r="R2"/>
  <c r="R3" s="1"/>
  <c r="R4" s="1"/>
  <c r="R5" s="1"/>
  <c r="R6" s="1"/>
  <c r="R8" s="1"/>
  <c r="R9" s="1"/>
  <c r="R10" s="1"/>
  <c r="R11" s="1"/>
  <c r="R12" s="1"/>
  <c r="R13" s="1"/>
  <c r="R14" s="1"/>
  <c r="R15" s="1"/>
  <c r="R16" s="1"/>
  <c r="R17" s="1"/>
  <c r="R18" s="1"/>
  <c r="R19" s="1"/>
  <c r="R20" s="1"/>
  <c r="R21" s="1"/>
  <c r="R22" s="1"/>
  <c r="R23" s="1"/>
  <c r="R24" s="1"/>
  <c r="R25" s="1"/>
  <c r="R26" s="1"/>
  <c r="R27" s="1"/>
  <c r="R28" s="1"/>
  <c r="R29" s="1"/>
  <c r="R30" s="1"/>
  <c r="R31" s="1"/>
  <c r="R32" s="1"/>
  <c r="R33" s="1"/>
  <c r="S2"/>
  <c r="T2"/>
  <c r="U2"/>
  <c r="V2"/>
  <c r="W2"/>
  <c r="X2"/>
  <c r="Y2"/>
  <c r="Z2"/>
  <c r="AA2"/>
  <c r="AB2"/>
  <c r="AC2"/>
  <c r="AD2"/>
  <c r="AE2"/>
  <c r="AF2"/>
  <c r="AG2"/>
  <c r="AH2"/>
  <c r="AI2"/>
  <c r="AJ2"/>
  <c r="AK2"/>
  <c r="AL2"/>
  <c r="A2"/>
  <c r="AT5" i="5"/>
  <c r="AU5"/>
  <c r="AV5"/>
  <c r="AW5"/>
  <c r="AX5"/>
  <c r="AY5"/>
  <c r="AZ5"/>
  <c r="BA5"/>
  <c r="BB5"/>
  <c r="BC5"/>
  <c r="BD5"/>
  <c r="BE5"/>
  <c r="BF5"/>
  <c r="BG5"/>
  <c r="AS5"/>
  <c r="AR5"/>
  <c r="G6"/>
  <c r="G8" s="1"/>
  <c r="G9" s="1"/>
  <c r="G10" s="1"/>
  <c r="G13" s="1"/>
  <c r="G14" s="1"/>
  <c r="G15" s="1"/>
  <c r="G16" s="1"/>
  <c r="G17" s="1"/>
  <c r="G18" s="1"/>
  <c r="G20" s="1"/>
  <c r="G21" s="1"/>
  <c r="G22" s="1"/>
  <c r="G23" s="1"/>
  <c r="G24" s="1"/>
  <c r="G25" s="1"/>
  <c r="G26" s="1"/>
  <c r="G27" s="1"/>
  <c r="G28" s="1"/>
  <c r="G29" s="1"/>
  <c r="G30" s="1"/>
  <c r="G31" s="1"/>
  <c r="G32" s="1"/>
  <c r="G33" s="1"/>
  <c r="G34" s="1"/>
  <c r="G35" s="1"/>
  <c r="G36" s="1"/>
  <c r="K6"/>
  <c r="K7" s="1"/>
  <c r="K8" s="1"/>
  <c r="K9" s="1"/>
  <c r="K10" s="1"/>
  <c r="K11" s="1"/>
  <c r="K12" s="1"/>
  <c r="K13" s="1"/>
  <c r="K14" s="1"/>
  <c r="K15" s="1"/>
  <c r="K16" s="1"/>
  <c r="K17" s="1"/>
  <c r="K18" s="1"/>
  <c r="K19" s="1"/>
  <c r="K20" s="1"/>
  <c r="K21" s="1"/>
  <c r="K22" s="1"/>
  <c r="K23" s="1"/>
  <c r="K24" s="1"/>
  <c r="K25" s="1"/>
  <c r="K26" s="1"/>
  <c r="K27" s="1"/>
  <c r="K28" s="1"/>
  <c r="K29" s="1"/>
  <c r="K30" s="1"/>
  <c r="K31" s="1"/>
  <c r="K32" s="1"/>
  <c r="K33" s="1"/>
  <c r="K34" s="1"/>
  <c r="K35" s="1"/>
  <c r="K36" s="1"/>
  <c r="V6"/>
  <c r="V8" s="1"/>
  <c r="V9" s="1"/>
  <c r="V10" s="1"/>
  <c r="V11" s="1"/>
  <c r="V12" s="1"/>
  <c r="V13" s="1"/>
  <c r="V15" s="1"/>
  <c r="V16" s="1"/>
  <c r="V17" s="1"/>
  <c r="V18" s="1"/>
  <c r="V19" s="1"/>
  <c r="V20" s="1"/>
  <c r="V21" s="1"/>
  <c r="V22" s="1"/>
  <c r="V23" s="1"/>
  <c r="V24" s="1"/>
  <c r="V25" s="1"/>
  <c r="V26" s="1"/>
  <c r="V27" s="1"/>
  <c r="V28" s="1"/>
  <c r="V29" s="1"/>
  <c r="V30" s="1"/>
  <c r="V31" s="1"/>
  <c r="V32" s="1"/>
  <c r="V33" s="1"/>
  <c r="V34" s="1"/>
  <c r="V35" s="1"/>
  <c r="V36" s="1"/>
  <c r="B5"/>
  <c r="A5"/>
  <c r="A4" i="1"/>
  <c r="E3" i="2"/>
  <c r="G3"/>
  <c r="I3"/>
  <c r="K3"/>
  <c r="M3"/>
  <c r="N3"/>
  <c r="O3"/>
  <c r="Q3"/>
  <c r="R3"/>
  <c r="T3"/>
  <c r="V3"/>
  <c r="X3"/>
  <c r="Y3"/>
  <c r="Z3"/>
  <c r="AA3"/>
  <c r="AB3"/>
  <c r="AC3"/>
  <c r="AD3"/>
  <c r="AE3"/>
  <c r="AF3"/>
  <c r="AG3"/>
  <c r="C3"/>
  <c r="B13" i="3" l="1"/>
  <c r="B18" s="1"/>
  <c r="B19" s="1"/>
  <c r="B20" s="1"/>
  <c r="B21" s="1"/>
  <c r="B22" s="1"/>
  <c r="B23" s="1"/>
  <c r="B24" s="1"/>
  <c r="B25" s="1"/>
  <c r="B26" s="1"/>
  <c r="B27" s="1"/>
  <c r="B28" s="1"/>
  <c r="B29" s="1"/>
  <c r="B30" s="1"/>
  <c r="B31" s="1"/>
  <c r="B32" s="1"/>
  <c r="B33" s="1"/>
  <c r="N11" i="74" l="1"/>
  <c r="O11"/>
  <c r="N12"/>
  <c r="O12"/>
  <c r="N13"/>
  <c r="O13"/>
  <c r="N14"/>
  <c r="O14"/>
  <c r="N15"/>
  <c r="O15"/>
  <c r="N16"/>
  <c r="O16"/>
  <c r="N17"/>
  <c r="O17"/>
  <c r="N18"/>
  <c r="O18"/>
  <c r="N19"/>
  <c r="O19"/>
  <c r="N20"/>
  <c r="O20"/>
  <c r="N21"/>
  <c r="O21"/>
  <c r="N22"/>
  <c r="O22"/>
  <c r="N23"/>
  <c r="O23"/>
  <c r="N24"/>
  <c r="O24"/>
  <c r="N25"/>
  <c r="O25"/>
  <c r="N26"/>
  <c r="O26"/>
  <c r="N27"/>
  <c r="O27"/>
  <c r="N28"/>
  <c r="O28"/>
  <c r="N29"/>
  <c r="O29"/>
  <c r="N30"/>
  <c r="O30"/>
  <c r="N31"/>
  <c r="O31"/>
  <c r="N32"/>
  <c r="O32"/>
  <c r="N33"/>
  <c r="O33"/>
  <c r="N34"/>
  <c r="O34"/>
  <c r="N35"/>
  <c r="O35"/>
  <c r="N36"/>
  <c r="O36"/>
  <c r="N37"/>
  <c r="O37"/>
  <c r="N38"/>
  <c r="O38"/>
  <c r="N39"/>
  <c r="O39"/>
  <c r="O10"/>
  <c r="N10"/>
  <c r="H6" i="79"/>
  <c r="H7" s="1"/>
  <c r="H8" s="1"/>
  <c r="H10" s="1"/>
  <c r="H11" s="1"/>
  <c r="H12" s="1"/>
  <c r="H13" s="1"/>
  <c r="H15" s="1"/>
  <c r="H17" s="1"/>
  <c r="H18" s="1"/>
  <c r="H19" s="1"/>
  <c r="H20" s="1"/>
  <c r="H21" s="1"/>
  <c r="H22" s="1"/>
  <c r="H23" s="1"/>
  <c r="H24" s="1"/>
  <c r="H25" s="1"/>
  <c r="H26" s="1"/>
  <c r="H27" s="1"/>
  <c r="H28" s="1"/>
  <c r="H29" s="1"/>
  <c r="H30" s="1"/>
  <c r="H31" s="1"/>
  <c r="H32" s="1"/>
  <c r="H33" s="1"/>
  <c r="H34" s="1"/>
  <c r="H35" s="1"/>
  <c r="H36" s="1"/>
  <c r="AC19" i="76"/>
  <c r="BI5" i="7" l="1"/>
  <c r="J39" i="74"/>
  <c r="K39"/>
  <c r="J40"/>
  <c r="K40"/>
  <c r="J11"/>
  <c r="K11"/>
  <c r="J12"/>
  <c r="K12"/>
  <c r="J13"/>
  <c r="K13"/>
  <c r="J14"/>
  <c r="K14"/>
  <c r="J15"/>
  <c r="K15"/>
  <c r="J16"/>
  <c r="K16"/>
  <c r="J17"/>
  <c r="K17"/>
  <c r="J18"/>
  <c r="K18"/>
  <c r="J19"/>
  <c r="K19"/>
  <c r="J20"/>
  <c r="K20"/>
  <c r="J21"/>
  <c r="K21"/>
  <c r="J22"/>
  <c r="K22"/>
  <c r="J23"/>
  <c r="K23"/>
  <c r="J24"/>
  <c r="K24"/>
  <c r="J25"/>
  <c r="K25"/>
  <c r="J26"/>
  <c r="K26"/>
  <c r="J27"/>
  <c r="K27"/>
  <c r="J28"/>
  <c r="K28"/>
  <c r="J29"/>
  <c r="K29"/>
  <c r="J30"/>
  <c r="K30"/>
  <c r="J31"/>
  <c r="K31"/>
  <c r="J32"/>
  <c r="K32"/>
  <c r="J33"/>
  <c r="K33"/>
  <c r="J34"/>
  <c r="K34"/>
  <c r="J35"/>
  <c r="K35"/>
  <c r="J36"/>
  <c r="K36"/>
  <c r="J37"/>
  <c r="K37"/>
  <c r="J38"/>
  <c r="K38"/>
  <c r="K10"/>
  <c r="J10"/>
  <c r="AA19" i="76" l="1"/>
  <c r="V27"/>
  <c r="V28"/>
  <c r="V26"/>
  <c r="AT37" i="7"/>
  <c r="AJ31" i="3"/>
  <c r="AJ32"/>
  <c r="AJ33"/>
  <c r="AT8" i="5"/>
  <c r="AT9" s="1"/>
  <c r="AT15" s="1"/>
  <c r="AT16" s="1"/>
  <c r="AT17" s="1"/>
  <c r="AT18" s="1"/>
  <c r="AT20" s="1"/>
  <c r="AT21" s="1"/>
  <c r="AT22" s="1"/>
  <c r="AT23" s="1"/>
  <c r="AT24" s="1"/>
  <c r="AT25" s="1"/>
  <c r="AT26" s="1"/>
  <c r="AT27" s="1"/>
  <c r="AT28" s="1"/>
  <c r="AT29" s="1"/>
  <c r="AT30" s="1"/>
  <c r="AT31" s="1"/>
  <c r="AT32" s="1"/>
  <c r="AT33" s="1"/>
  <c r="AT34" s="1"/>
  <c r="AT35" s="1"/>
  <c r="AT36" s="1"/>
  <c r="AV8"/>
  <c r="AV9" s="1"/>
  <c r="AV15" s="1"/>
  <c r="AV16" s="1"/>
  <c r="AV17" s="1"/>
  <c r="AV21" s="1"/>
  <c r="AV22" s="1"/>
  <c r="AV23" s="1"/>
  <c r="AV24" s="1"/>
  <c r="AV25" s="1"/>
  <c r="AV26" s="1"/>
  <c r="AV27" s="1"/>
  <c r="AV28" s="1"/>
  <c r="AV29" s="1"/>
  <c r="AV30" s="1"/>
  <c r="AV31" s="1"/>
  <c r="AV32" s="1"/>
  <c r="AV33" s="1"/>
  <c r="AV34" s="1"/>
  <c r="AV35" s="1"/>
  <c r="AV36" s="1"/>
  <c r="AX8"/>
  <c r="AX9" s="1"/>
  <c r="AX15" s="1"/>
  <c r="AX16" s="1"/>
  <c r="AX17" s="1"/>
  <c r="AX21" s="1"/>
  <c r="AX22" s="1"/>
  <c r="AX23" s="1"/>
  <c r="AX24" s="1"/>
  <c r="AX25" s="1"/>
  <c r="AX26" s="1"/>
  <c r="AX27" s="1"/>
  <c r="AX28" s="1"/>
  <c r="AX29" s="1"/>
  <c r="AX30" s="1"/>
  <c r="AX31" s="1"/>
  <c r="AX32" s="1"/>
  <c r="AX33" s="1"/>
  <c r="AX34" s="1"/>
  <c r="AX35" s="1"/>
  <c r="AX36" s="1"/>
  <c r="T6"/>
  <c r="T7" s="1"/>
  <c r="T8" s="1"/>
  <c r="T9" s="1"/>
  <c r="T10" s="1"/>
  <c r="T11" s="1"/>
  <c r="T12" s="1"/>
  <c r="T13" s="1"/>
  <c r="T14" s="1"/>
  <c r="T15" s="1"/>
  <c r="T16" s="1"/>
  <c r="T17" s="1"/>
  <c r="T18" s="1"/>
  <c r="T19" s="1"/>
  <c r="T20" s="1"/>
  <c r="T22" s="1"/>
  <c r="T23" s="1"/>
  <c r="T24" s="1"/>
  <c r="T25" s="1"/>
  <c r="T26" s="1"/>
  <c r="T27" s="1"/>
  <c r="T28" s="1"/>
  <c r="T29" s="1"/>
  <c r="T30" s="1"/>
  <c r="T31" s="1"/>
  <c r="T32" s="1"/>
  <c r="T33" s="1"/>
  <c r="T34" s="1"/>
  <c r="T35" s="1"/>
  <c r="T36" s="1"/>
  <c r="X6"/>
  <c r="X7" s="1"/>
  <c r="X8" s="1"/>
  <c r="X9" s="1"/>
  <c r="X10" s="1"/>
  <c r="X12" s="1"/>
  <c r="X13" s="1"/>
  <c r="X14" s="1"/>
  <c r="X15" s="1"/>
  <c r="X16" s="1"/>
  <c r="X17" s="1"/>
  <c r="X18" s="1"/>
  <c r="X19" s="1"/>
  <c r="X20" s="1"/>
  <c r="X21" s="1"/>
  <c r="X22" s="1"/>
  <c r="X23" s="1"/>
  <c r="X24" s="1"/>
  <c r="X25" s="1"/>
  <c r="X26" s="1"/>
  <c r="X27" s="1"/>
  <c r="X28" s="1"/>
  <c r="X29" s="1"/>
  <c r="X30" s="1"/>
  <c r="X31" s="1"/>
  <c r="X32" s="1"/>
  <c r="X33" s="1"/>
  <c r="X34" s="1"/>
  <c r="X35" s="1"/>
  <c r="X36" s="1"/>
  <c r="Z6"/>
  <c r="Z7" s="1"/>
  <c r="Z8" s="1"/>
  <c r="Z9" s="1"/>
  <c r="Z10" s="1"/>
  <c r="Z11" s="1"/>
  <c r="Z12" s="1"/>
  <c r="Z13" s="1"/>
  <c r="Z14" s="1"/>
  <c r="Z15" s="1"/>
  <c r="Z16" s="1"/>
  <c r="Z17" s="1"/>
  <c r="Z18" s="1"/>
  <c r="Z19" s="1"/>
  <c r="Z20" s="1"/>
  <c r="Z21" s="1"/>
  <c r="Z22" s="1"/>
  <c r="Z23" s="1"/>
  <c r="Z24" s="1"/>
  <c r="Z25" s="1"/>
  <c r="Z26" s="1"/>
  <c r="Z27" s="1"/>
  <c r="Z28" s="1"/>
  <c r="Z29" s="1"/>
  <c r="Z30" s="1"/>
  <c r="Z31" s="1"/>
  <c r="Z32" s="1"/>
  <c r="Z33" s="1"/>
  <c r="Z34" s="1"/>
  <c r="Z35" s="1"/>
  <c r="Z36" s="1"/>
  <c r="B6"/>
  <c r="B7" s="1"/>
  <c r="B8" s="1"/>
  <c r="B10" s="1"/>
  <c r="B11" s="1"/>
  <c r="B12" s="1"/>
  <c r="B13" s="1"/>
  <c r="B14" s="1"/>
  <c r="B15" s="1"/>
  <c r="B16" s="1"/>
  <c r="B17" s="1"/>
  <c r="B18" s="1"/>
  <c r="B19" s="1"/>
  <c r="B20" s="1"/>
  <c r="B21" s="1"/>
  <c r="B22" s="1"/>
  <c r="B23" s="1"/>
  <c r="B24" s="1"/>
  <c r="B25" s="1"/>
  <c r="B26" s="1"/>
  <c r="B27" s="1"/>
  <c r="B28" s="1"/>
  <c r="B29" s="1"/>
  <c r="B30" s="1"/>
  <c r="B31" s="1"/>
  <c r="B32" s="1"/>
  <c r="B33" s="1"/>
  <c r="B34" s="1"/>
  <c r="B35" s="1"/>
  <c r="B36" s="1"/>
  <c r="C7" i="1"/>
  <c r="C8" s="1"/>
  <c r="C14" s="1"/>
  <c r="C15" s="1"/>
  <c r="C20" s="1"/>
  <c r="C21" s="1"/>
  <c r="C22" s="1"/>
  <c r="C23" s="1"/>
  <c r="C24" s="1"/>
  <c r="C25" s="1"/>
  <c r="C26" s="1"/>
  <c r="C27" s="1"/>
  <c r="C28" s="1"/>
  <c r="C29" s="1"/>
  <c r="C30" s="1"/>
  <c r="C31" s="1"/>
  <c r="C32" s="1"/>
  <c r="C33" s="1"/>
  <c r="C34" s="1"/>
  <c r="C35" s="1"/>
  <c r="F6"/>
  <c r="F7" s="1"/>
  <c r="F8" s="1"/>
  <c r="F11" s="1"/>
  <c r="F14" s="1"/>
  <c r="F15" s="1"/>
  <c r="F17" s="1"/>
  <c r="F18" s="1"/>
  <c r="F19" s="1"/>
  <c r="F20" s="1"/>
  <c r="F21" s="1"/>
  <c r="F22" s="1"/>
  <c r="F23" s="1"/>
  <c r="F24" s="1"/>
  <c r="F25" s="1"/>
  <c r="F26" s="1"/>
  <c r="F27" s="1"/>
  <c r="F28" s="1"/>
  <c r="F29" s="1"/>
  <c r="F30" s="1"/>
  <c r="F31" s="1"/>
  <c r="F32" s="1"/>
  <c r="F33" s="1"/>
  <c r="F34" s="1"/>
  <c r="F35" s="1"/>
  <c r="H7"/>
  <c r="H8" s="1"/>
  <c r="H14" s="1"/>
  <c r="H15" s="1"/>
  <c r="H18" s="1"/>
  <c r="H19" s="1"/>
  <c r="H20" s="1"/>
  <c r="H21" s="1"/>
  <c r="H22" s="1"/>
  <c r="H23" s="1"/>
  <c r="H24" s="1"/>
  <c r="H25" s="1"/>
  <c r="H26" s="1"/>
  <c r="H27" s="1"/>
  <c r="H28" s="1"/>
  <c r="H29" s="1"/>
  <c r="H30" s="1"/>
  <c r="H31" s="1"/>
  <c r="H32" s="1"/>
  <c r="H33" s="1"/>
  <c r="H34" s="1"/>
  <c r="H35" s="1"/>
  <c r="K5"/>
  <c r="K6" s="1"/>
  <c r="K7" s="1"/>
  <c r="K8" s="1"/>
  <c r="K9" s="1"/>
  <c r="K10" s="1"/>
  <c r="K11" s="1"/>
  <c r="K12" s="1"/>
  <c r="K13" s="1"/>
  <c r="K14" s="1"/>
  <c r="K15" s="1"/>
  <c r="K16" s="1"/>
  <c r="K19" s="1"/>
  <c r="K20" s="1"/>
  <c r="K21" s="1"/>
  <c r="K22" s="1"/>
  <c r="K23" s="1"/>
  <c r="K24" s="1"/>
  <c r="K25" s="1"/>
  <c r="K26" s="1"/>
  <c r="K27" s="1"/>
  <c r="K28" s="1"/>
  <c r="K29" s="1"/>
  <c r="K30" s="1"/>
  <c r="K31" s="1"/>
  <c r="K32" s="1"/>
  <c r="K33" s="1"/>
  <c r="K34" s="1"/>
  <c r="K35" s="1"/>
  <c r="M5"/>
  <c r="M6" s="1"/>
  <c r="M7" s="1"/>
  <c r="M8" s="1"/>
  <c r="M9" s="1"/>
  <c r="M11" s="1"/>
  <c r="M12" s="1"/>
  <c r="M13" s="1"/>
  <c r="M14" s="1"/>
  <c r="M15" s="1"/>
  <c r="M16" s="1"/>
  <c r="M20" s="1"/>
  <c r="M21" s="1"/>
  <c r="M22" s="1"/>
  <c r="M23" s="1"/>
  <c r="M24" s="1"/>
  <c r="M25" s="1"/>
  <c r="M26" s="1"/>
  <c r="M27" s="1"/>
  <c r="M28" s="1"/>
  <c r="M29" s="1"/>
  <c r="M30" s="1"/>
  <c r="M31" s="1"/>
  <c r="M32" s="1"/>
  <c r="M33" s="1"/>
  <c r="M34" s="1"/>
  <c r="M35" s="1"/>
  <c r="P5"/>
  <c r="P6" s="1"/>
  <c r="P7" s="1"/>
  <c r="P8" s="1"/>
  <c r="P9" s="1"/>
  <c r="P10" s="1"/>
  <c r="P11" s="1"/>
  <c r="P12" s="1"/>
  <c r="P13" s="1"/>
  <c r="P14" s="1"/>
  <c r="P15" s="1"/>
  <c r="P16" s="1"/>
  <c r="P17" s="1"/>
  <c r="P18" s="1"/>
  <c r="P19" s="1"/>
  <c r="P20" s="1"/>
  <c r="P21" s="1"/>
  <c r="P22" s="1"/>
  <c r="P23" s="1"/>
  <c r="P24" s="1"/>
  <c r="P25" s="1"/>
  <c r="P26" s="1"/>
  <c r="P27" s="1"/>
  <c r="P28" s="1"/>
  <c r="P29" s="1"/>
  <c r="P30" s="1"/>
  <c r="P31" s="1"/>
  <c r="P32" s="1"/>
  <c r="P33" s="1"/>
  <c r="P34" s="1"/>
  <c r="P35" s="1"/>
  <c r="Q5"/>
  <c r="Q6" s="1"/>
  <c r="Q7" s="1"/>
  <c r="Q8" s="1"/>
  <c r="Q9" s="1"/>
  <c r="Q10" s="1"/>
  <c r="Q11" s="1"/>
  <c r="Q12" s="1"/>
  <c r="Q13" s="1"/>
  <c r="Q14" s="1"/>
  <c r="Q15" s="1"/>
  <c r="Q16" s="1"/>
  <c r="Q17" s="1"/>
  <c r="Q18" s="1"/>
  <c r="Q19" s="1"/>
  <c r="Q20" s="1"/>
  <c r="Q21" s="1"/>
  <c r="Q22" s="1"/>
  <c r="Q23" s="1"/>
  <c r="Q24" s="1"/>
  <c r="Q25" s="1"/>
  <c r="Q26" s="1"/>
  <c r="Q27" s="1"/>
  <c r="Q28" s="1"/>
  <c r="Q29" s="1"/>
  <c r="Q30" s="1"/>
  <c r="Q31" s="1"/>
  <c r="Q32" s="1"/>
  <c r="Q33" s="1"/>
  <c r="Q34" s="1"/>
  <c r="Q35" s="1"/>
  <c r="AE5"/>
  <c r="AE6" s="1"/>
  <c r="AE7" s="1"/>
  <c r="AE8" s="1"/>
  <c r="AE9" s="1"/>
  <c r="AE10" s="1"/>
  <c r="AE12" s="1"/>
  <c r="AE13" s="1"/>
  <c r="AE14" s="1"/>
  <c r="AE15" s="1"/>
  <c r="AE16" s="1"/>
  <c r="AE17" s="1"/>
  <c r="AE19" s="1"/>
  <c r="AE20" s="1"/>
  <c r="AE21" s="1"/>
  <c r="AE22" s="1"/>
  <c r="AE23" s="1"/>
  <c r="AE24" s="1"/>
  <c r="AE25" s="1"/>
  <c r="AE26" s="1"/>
  <c r="AE27" s="1"/>
  <c r="AE28" s="1"/>
  <c r="AE29" s="1"/>
  <c r="AE30" s="1"/>
  <c r="AE31" s="1"/>
  <c r="AE32" s="1"/>
  <c r="AE33" s="1"/>
  <c r="AE34" s="1"/>
  <c r="AE35" s="1"/>
  <c r="B7"/>
  <c r="B8" s="1"/>
  <c r="B13" s="1"/>
  <c r="B14" s="1"/>
  <c r="B15" s="1"/>
  <c r="B20" s="1"/>
  <c r="B21" s="1"/>
  <c r="B22" s="1"/>
  <c r="B23" s="1"/>
  <c r="B24" s="1"/>
  <c r="B25" s="1"/>
  <c r="B26" s="1"/>
  <c r="B27" s="1"/>
  <c r="B28" s="1"/>
  <c r="B29" s="1"/>
  <c r="B30" s="1"/>
  <c r="B31" s="1"/>
  <c r="B32" s="1"/>
  <c r="B33" s="1"/>
  <c r="B34" s="1"/>
  <c r="B35" s="1"/>
  <c r="F6" i="2"/>
  <c r="F7" s="1"/>
  <c r="H6"/>
  <c r="H7" s="1"/>
  <c r="J6"/>
  <c r="J7" s="1"/>
  <c r="L6"/>
  <c r="L7" s="1"/>
  <c r="P6"/>
  <c r="P7" s="1"/>
  <c r="D6"/>
  <c r="D7" s="1"/>
  <c r="P13" l="1"/>
  <c r="P14" s="1"/>
  <c r="P19" s="1"/>
  <c r="P20" s="1"/>
  <c r="P21" s="1"/>
  <c r="P22" s="1"/>
  <c r="P23" s="1"/>
  <c r="P24" s="1"/>
  <c r="P25" s="1"/>
  <c r="P26" s="1"/>
  <c r="P27" s="1"/>
  <c r="P28" s="1"/>
  <c r="P29" s="1"/>
  <c r="P30" s="1"/>
  <c r="P31" s="1"/>
  <c r="P32" s="1"/>
  <c r="P33" s="1"/>
  <c r="P34" s="1"/>
  <c r="Q7"/>
  <c r="L13"/>
  <c r="L14" s="1"/>
  <c r="L19" s="1"/>
  <c r="L20" s="1"/>
  <c r="L21" s="1"/>
  <c r="L22" s="1"/>
  <c r="L23" s="1"/>
  <c r="L24" s="1"/>
  <c r="L25" s="1"/>
  <c r="L26" s="1"/>
  <c r="L27" s="1"/>
  <c r="L28" s="1"/>
  <c r="L29" s="1"/>
  <c r="L30" s="1"/>
  <c r="L31" s="1"/>
  <c r="L32" s="1"/>
  <c r="L33" s="1"/>
  <c r="L34" s="1"/>
  <c r="M7"/>
  <c r="J13"/>
  <c r="J14" s="1"/>
  <c r="J19" s="1"/>
  <c r="J20" s="1"/>
  <c r="J21" s="1"/>
  <c r="J22" s="1"/>
  <c r="J23" s="1"/>
  <c r="J24" s="1"/>
  <c r="J25" s="1"/>
  <c r="J26" s="1"/>
  <c r="J27" s="1"/>
  <c r="J28" s="1"/>
  <c r="J29" s="1"/>
  <c r="J30" s="1"/>
  <c r="J31" s="1"/>
  <c r="J32" s="1"/>
  <c r="J33" s="1"/>
  <c r="J34" s="1"/>
  <c r="K7"/>
  <c r="H13"/>
  <c r="H14" s="1"/>
  <c r="H19" s="1"/>
  <c r="H20" s="1"/>
  <c r="H21" s="1"/>
  <c r="H22" s="1"/>
  <c r="H23" s="1"/>
  <c r="H24" s="1"/>
  <c r="H25" s="1"/>
  <c r="H26" s="1"/>
  <c r="H27" s="1"/>
  <c r="H28" s="1"/>
  <c r="H29" s="1"/>
  <c r="H30" s="1"/>
  <c r="H31" s="1"/>
  <c r="H32" s="1"/>
  <c r="H33" s="1"/>
  <c r="H34" s="1"/>
  <c r="I7"/>
  <c r="F13"/>
  <c r="F14" s="1"/>
  <c r="F19" s="1"/>
  <c r="F20" s="1"/>
  <c r="F21" s="1"/>
  <c r="F22" s="1"/>
  <c r="F23" s="1"/>
  <c r="F24" s="1"/>
  <c r="F25" s="1"/>
  <c r="F26" s="1"/>
  <c r="F27" s="1"/>
  <c r="F28" s="1"/>
  <c r="F29" s="1"/>
  <c r="F30" s="1"/>
  <c r="F31" s="1"/>
  <c r="F32" s="1"/>
  <c r="F33" s="1"/>
  <c r="F34" s="1"/>
  <c r="G7"/>
  <c r="D13"/>
  <c r="D14" s="1"/>
  <c r="D19" s="1"/>
  <c r="D20" s="1"/>
  <c r="D21" s="1"/>
  <c r="D22" s="1"/>
  <c r="D23" s="1"/>
  <c r="D24" s="1"/>
  <c r="D25" s="1"/>
  <c r="D26" s="1"/>
  <c r="D27" s="1"/>
  <c r="D28" s="1"/>
  <c r="D29" s="1"/>
  <c r="D30" s="1"/>
  <c r="D31" s="1"/>
  <c r="D32" s="1"/>
  <c r="D33" s="1"/>
  <c r="D34" s="1"/>
  <c r="E7"/>
  <c r="C7" i="76"/>
  <c r="W26"/>
  <c r="AA26" s="1"/>
  <c r="AB26" s="1"/>
  <c r="E6" i="2"/>
  <c r="Q6"/>
  <c r="K6"/>
  <c r="I6"/>
  <c r="M6"/>
  <c r="G6"/>
  <c r="N7" l="1"/>
  <c r="C11" i="76"/>
  <c r="N6" i="2"/>
  <c r="D23" i="1"/>
  <c r="K25" i="3"/>
  <c r="X3" l="1"/>
  <c r="X4" l="1"/>
  <c r="X5" s="1"/>
  <c r="X6" l="1"/>
  <c r="X7" s="1"/>
  <c r="AS37" i="7"/>
  <c r="AU37" s="1"/>
  <c r="F11" i="74"/>
  <c r="G11"/>
  <c r="F12"/>
  <c r="G12"/>
  <c r="F13"/>
  <c r="G13"/>
  <c r="F14"/>
  <c r="G14"/>
  <c r="F15"/>
  <c r="G15"/>
  <c r="F16"/>
  <c r="G16"/>
  <c r="F17"/>
  <c r="G17"/>
  <c r="F18"/>
  <c r="G18"/>
  <c r="F19"/>
  <c r="G19"/>
  <c r="F20"/>
  <c r="G20"/>
  <c r="F21"/>
  <c r="G21"/>
  <c r="F22"/>
  <c r="G22"/>
  <c r="F23"/>
  <c r="G23"/>
  <c r="F24"/>
  <c r="G24"/>
  <c r="F25"/>
  <c r="G25"/>
  <c r="F26"/>
  <c r="G26"/>
  <c r="F27"/>
  <c r="G27"/>
  <c r="F28"/>
  <c r="G28"/>
  <c r="F29"/>
  <c r="G29"/>
  <c r="F30"/>
  <c r="G30"/>
  <c r="F31"/>
  <c r="G31"/>
  <c r="F32"/>
  <c r="G32"/>
  <c r="F33"/>
  <c r="G33"/>
  <c r="F34"/>
  <c r="G34"/>
  <c r="F35"/>
  <c r="G35"/>
  <c r="F36"/>
  <c r="G36"/>
  <c r="F37"/>
  <c r="G37"/>
  <c r="G10"/>
  <c r="F10"/>
  <c r="A34" i="79"/>
  <c r="L34" s="1"/>
  <c r="A35"/>
  <c r="L35" s="1"/>
  <c r="A36"/>
  <c r="L36" s="1"/>
  <c r="F36" i="73"/>
  <c r="B17" i="77" s="1"/>
  <c r="A33" i="73"/>
  <c r="D33"/>
  <c r="BA34" i="7" s="1"/>
  <c r="G33" i="73"/>
  <c r="K33"/>
  <c r="A34"/>
  <c r="D34"/>
  <c r="AM35" i="5" s="1"/>
  <c r="G34" i="73"/>
  <c r="K34"/>
  <c r="A35"/>
  <c r="D35"/>
  <c r="AM36" i="5" s="1"/>
  <c r="G35" i="73"/>
  <c r="K35"/>
  <c r="A32" i="76"/>
  <c r="A33"/>
  <c r="A34"/>
  <c r="A34" i="7"/>
  <c r="BB34"/>
  <c r="BE34"/>
  <c r="BG34" s="1"/>
  <c r="A35"/>
  <c r="BB35"/>
  <c r="BE35"/>
  <c r="BG35" s="1"/>
  <c r="A36"/>
  <c r="BB36"/>
  <c r="BE36"/>
  <c r="BG36" s="1"/>
  <c r="Y3" i="3"/>
  <c r="A31"/>
  <c r="A32"/>
  <c r="A33"/>
  <c r="AN34" i="5"/>
  <c r="AP34"/>
  <c r="AN35"/>
  <c r="AP35"/>
  <c r="AN36"/>
  <c r="AP36"/>
  <c r="A34"/>
  <c r="AR34" s="1"/>
  <c r="A35"/>
  <c r="AR35" s="1"/>
  <c r="A36"/>
  <c r="AR36" s="1"/>
  <c r="A33" i="1"/>
  <c r="A34"/>
  <c r="A35"/>
  <c r="A32" i="2"/>
  <c r="B32" s="1"/>
  <c r="A33"/>
  <c r="B33" s="1"/>
  <c r="A34"/>
  <c r="B34" s="1"/>
  <c r="Y7" i="3" l="1"/>
  <c r="X8"/>
  <c r="X9" s="1"/>
  <c r="Y9" s="1"/>
  <c r="L31" i="82"/>
  <c r="O31" i="81"/>
  <c r="L30" i="82"/>
  <c r="O30" i="81"/>
  <c r="BA36" i="7"/>
  <c r="AM34" i="5"/>
  <c r="S31" i="3"/>
  <c r="U31" s="1"/>
  <c r="B34" i="7"/>
  <c r="Q32" i="2"/>
  <c r="AD31" i="3" s="1"/>
  <c r="M32" i="2"/>
  <c r="E30" i="82" s="1"/>
  <c r="K32" i="2"/>
  <c r="F30" i="82" s="1"/>
  <c r="I32" i="2"/>
  <c r="G30" i="82" s="1"/>
  <c r="G32" i="2"/>
  <c r="I30" i="82" s="1"/>
  <c r="E32" i="2"/>
  <c r="H30" i="82" s="1"/>
  <c r="AZ34" i="7"/>
  <c r="O32" i="2"/>
  <c r="AZ35" i="7"/>
  <c r="BA35"/>
  <c r="O33" i="2"/>
  <c r="O34"/>
  <c r="AZ36" i="7"/>
  <c r="C34" i="76"/>
  <c r="C32"/>
  <c r="W28"/>
  <c r="G32"/>
  <c r="L32" s="1"/>
  <c r="I32"/>
  <c r="M32" s="1"/>
  <c r="K32"/>
  <c r="N32" s="1"/>
  <c r="BA36" i="5"/>
  <c r="BA34"/>
  <c r="Y34"/>
  <c r="H34"/>
  <c r="H36"/>
  <c r="N33" i="1"/>
  <c r="L33"/>
  <c r="I33"/>
  <c r="G33"/>
  <c r="J33" s="1"/>
  <c r="Z34" i="7"/>
  <c r="X10" i="3" l="1"/>
  <c r="X11" s="1"/>
  <c r="AI31"/>
  <c r="C33" i="76"/>
  <c r="S33" i="3"/>
  <c r="U33" s="1"/>
  <c r="AB34" i="7"/>
  <c r="B36"/>
  <c r="B35"/>
  <c r="D34"/>
  <c r="Q34" i="2"/>
  <c r="Q33"/>
  <c r="M34"/>
  <c r="M33"/>
  <c r="E31" i="82" s="1"/>
  <c r="K34" i="2"/>
  <c r="K33"/>
  <c r="F31" i="82" s="1"/>
  <c r="I34" i="2"/>
  <c r="I33"/>
  <c r="G31" i="82" s="1"/>
  <c r="G34" i="2"/>
  <c r="G33"/>
  <c r="I31" i="82" s="1"/>
  <c r="E34" i="2"/>
  <c r="E33"/>
  <c r="N32"/>
  <c r="I33" i="76"/>
  <c r="M33" s="1"/>
  <c r="D32"/>
  <c r="E32" s="1"/>
  <c r="K33"/>
  <c r="N33" s="1"/>
  <c r="G34"/>
  <c r="G33"/>
  <c r="BA35" i="5"/>
  <c r="BD35" s="1"/>
  <c r="Y36"/>
  <c r="Y35"/>
  <c r="J30" i="82"/>
  <c r="H35" i="5"/>
  <c r="N35" i="1"/>
  <c r="N34"/>
  <c r="L34"/>
  <c r="L35"/>
  <c r="I35"/>
  <c r="I34"/>
  <c r="G35"/>
  <c r="G34"/>
  <c r="D33"/>
  <c r="E33" s="1"/>
  <c r="AD32" i="3" l="1"/>
  <c r="AI32" s="1"/>
  <c r="AD33"/>
  <c r="AI33" s="1"/>
  <c r="Y10"/>
  <c r="X12"/>
  <c r="Y11"/>
  <c r="BD36" i="5"/>
  <c r="S32" i="3"/>
  <c r="U32" s="1"/>
  <c r="I34" i="76"/>
  <c r="M34" s="1"/>
  <c r="M35" s="1"/>
  <c r="W27"/>
  <c r="K34"/>
  <c r="N34" s="1"/>
  <c r="N35" s="1"/>
  <c r="I34" i="79"/>
  <c r="AD34" i="7"/>
  <c r="D34" i="1"/>
  <c r="E34" s="1"/>
  <c r="Z35" i="7"/>
  <c r="D36"/>
  <c r="F34"/>
  <c r="D35"/>
  <c r="H31" i="82"/>
  <c r="N33" i="2"/>
  <c r="R33" s="1"/>
  <c r="N34"/>
  <c r="E30" i="81"/>
  <c r="S32" i="76"/>
  <c r="R32" i="2"/>
  <c r="L34" i="76"/>
  <c r="D33"/>
  <c r="E33" s="1"/>
  <c r="L33"/>
  <c r="J31" i="82"/>
  <c r="J35" i="1"/>
  <c r="J34"/>
  <c r="Z36" i="7"/>
  <c r="R34" i="2" l="1"/>
  <c r="X13" i="3"/>
  <c r="Y12"/>
  <c r="D35" i="1"/>
  <c r="E35" s="1"/>
  <c r="D34" i="76"/>
  <c r="E34" s="1"/>
  <c r="I35" i="79"/>
  <c r="L35" i="5"/>
  <c r="AK35" s="1"/>
  <c r="AB35" i="7"/>
  <c r="AB36"/>
  <c r="AF34"/>
  <c r="F36"/>
  <c r="H34"/>
  <c r="F35"/>
  <c r="S34" i="76"/>
  <c r="T34" s="1"/>
  <c r="E31" i="81"/>
  <c r="S33" i="76"/>
  <c r="L35"/>
  <c r="X14" i="3" l="1"/>
  <c r="Y13"/>
  <c r="L36" i="5"/>
  <c r="AK36" s="1"/>
  <c r="I36" i="79"/>
  <c r="AH34" i="7"/>
  <c r="AD35"/>
  <c r="AD36"/>
  <c r="H36"/>
  <c r="J34"/>
  <c r="H35"/>
  <c r="X15" i="3" l="1"/>
  <c r="Y14"/>
  <c r="AF36" i="7"/>
  <c r="AJ34"/>
  <c r="AF35"/>
  <c r="J36"/>
  <c r="L34"/>
  <c r="J35"/>
  <c r="X16" i="3" l="1"/>
  <c r="Y15"/>
  <c r="AL34" i="7"/>
  <c r="AH35"/>
  <c r="AH36"/>
  <c r="L36"/>
  <c r="N34"/>
  <c r="L35"/>
  <c r="X17" i="3" l="1"/>
  <c r="Y16"/>
  <c r="AJ36" i="7"/>
  <c r="AJ35"/>
  <c r="N36"/>
  <c r="P34"/>
  <c r="N35"/>
  <c r="X18" i="3" l="1"/>
  <c r="Y17"/>
  <c r="AL36" i="7"/>
  <c r="AL35"/>
  <c r="P36"/>
  <c r="R34"/>
  <c r="P35"/>
  <c r="X19" i="3" l="1"/>
  <c r="Y18"/>
  <c r="R36" i="7"/>
  <c r="T34"/>
  <c r="R35"/>
  <c r="X20" i="3" l="1"/>
  <c r="Y19"/>
  <c r="T36" i="7"/>
  <c r="V34"/>
  <c r="T35"/>
  <c r="Y20" i="3" l="1"/>
  <c r="X21"/>
  <c r="V36" i="7"/>
  <c r="V35"/>
  <c r="X22" i="3" l="1"/>
  <c r="Y21"/>
  <c r="Y29" i="5"/>
  <c r="Y30"/>
  <c r="X23" i="3" l="1"/>
  <c r="Y22"/>
  <c r="Y31" i="5"/>
  <c r="X24" i="3" l="1"/>
  <c r="Y23"/>
  <c r="Y33" i="5"/>
  <c r="Y32"/>
  <c r="X25" i="3" l="1"/>
  <c r="Y24"/>
  <c r="I24" i="2"/>
  <c r="Y25" i="3" l="1"/>
  <c r="X26"/>
  <c r="Y26" s="1"/>
  <c r="E22" i="2"/>
  <c r="G22"/>
  <c r="I22"/>
  <c r="K22"/>
  <c r="M22"/>
  <c r="Q22"/>
  <c r="X27" i="3" l="1"/>
  <c r="X28" s="1"/>
  <c r="N22" i="2"/>
  <c r="R22" s="1"/>
  <c r="Y27" i="3" l="1"/>
  <c r="X29"/>
  <c r="Y28"/>
  <c r="Y29" l="1"/>
  <c r="X30"/>
  <c r="Y30" s="1"/>
  <c r="B11" i="74"/>
  <c r="C11"/>
  <c r="B12"/>
  <c r="C12"/>
  <c r="B13"/>
  <c r="C13"/>
  <c r="B14"/>
  <c r="C14"/>
  <c r="B15"/>
  <c r="C15"/>
  <c r="B16"/>
  <c r="C16"/>
  <c r="B17"/>
  <c r="C17"/>
  <c r="B18"/>
  <c r="C18"/>
  <c r="B19"/>
  <c r="C19"/>
  <c r="B20"/>
  <c r="C20"/>
  <c r="B21"/>
  <c r="C21"/>
  <c r="B22"/>
  <c r="C22"/>
  <c r="B23"/>
  <c r="C23"/>
  <c r="B24"/>
  <c r="C24"/>
  <c r="B25"/>
  <c r="C25"/>
  <c r="B26"/>
  <c r="C26"/>
  <c r="B27"/>
  <c r="C27"/>
  <c r="B28"/>
  <c r="C28"/>
  <c r="B29"/>
  <c r="C29"/>
  <c r="B30"/>
  <c r="C30"/>
  <c r="B31"/>
  <c r="C31"/>
  <c r="B32"/>
  <c r="C32"/>
  <c r="B33"/>
  <c r="C33"/>
  <c r="B34"/>
  <c r="C34"/>
  <c r="B35"/>
  <c r="C35"/>
  <c r="C36"/>
  <c r="B37"/>
  <c r="C37"/>
  <c r="B38"/>
  <c r="C38"/>
  <c r="C39"/>
  <c r="B40"/>
  <c r="C40"/>
  <c r="B10"/>
  <c r="X31" i="3" l="1"/>
  <c r="X32" s="1"/>
  <c r="R21" i="1"/>
  <c r="S33"/>
  <c r="Q9" i="2"/>
  <c r="C10" i="74"/>
  <c r="Y31" i="3" l="1"/>
  <c r="X33"/>
  <c r="Y33" s="1"/>
  <c r="Y32"/>
  <c r="R33" i="1"/>
  <c r="V33" s="1"/>
  <c r="S34"/>
  <c r="S35"/>
  <c r="T33"/>
  <c r="U33"/>
  <c r="AL33"/>
  <c r="R35" l="1"/>
  <c r="V35" s="1"/>
  <c r="R34"/>
  <c r="V34" s="1"/>
  <c r="T34"/>
  <c r="U34"/>
  <c r="AL34"/>
  <c r="T35"/>
  <c r="AL35"/>
  <c r="U35"/>
  <c r="D10" i="74"/>
  <c r="D3" i="81"/>
  <c r="D4" s="1"/>
  <c r="D5" s="1"/>
  <c r="D6" s="1"/>
  <c r="D7" s="1"/>
  <c r="D8" s="1"/>
  <c r="D9" s="1"/>
  <c r="D10" s="1"/>
  <c r="D11" s="1"/>
  <c r="D12" s="1"/>
  <c r="D13" s="1"/>
  <c r="D14" s="1"/>
  <c r="D15" s="1"/>
  <c r="D16" s="1"/>
  <c r="D17" s="1"/>
  <c r="D18" s="1"/>
  <c r="D19" s="1"/>
  <c r="D20" s="1"/>
  <c r="D21" s="1"/>
  <c r="D22" s="1"/>
  <c r="D23" s="1"/>
  <c r="D24" s="1"/>
  <c r="D25" s="1"/>
  <c r="D26" s="1"/>
  <c r="D27" s="1"/>
  <c r="D28" s="1"/>
  <c r="D29" s="1"/>
  <c r="D30" s="1"/>
  <c r="D31" s="1"/>
  <c r="E12" i="2" l="1"/>
  <c r="E9"/>
  <c r="E10"/>
  <c r="E11"/>
  <c r="AF34" i="3" l="1"/>
  <c r="F37" i="5"/>
  <c r="AT38" i="7" l="1"/>
  <c r="X6" i="1" l="1"/>
  <c r="X7" s="1"/>
  <c r="X8" s="1"/>
  <c r="X9" s="1"/>
  <c r="X10" s="1"/>
  <c r="X11" s="1"/>
  <c r="X12" s="1"/>
  <c r="X13" s="1"/>
  <c r="X14" s="1"/>
  <c r="X15" s="1"/>
  <c r="X16" s="1"/>
  <c r="X18" s="1"/>
  <c r="X20" s="1"/>
  <c r="X21" s="1"/>
  <c r="X22" s="1"/>
  <c r="X23" s="1"/>
  <c r="X24" s="1"/>
  <c r="X25" s="1"/>
  <c r="X26" s="1"/>
  <c r="X27" s="1"/>
  <c r="X28" s="1"/>
  <c r="X29" s="1"/>
  <c r="X30" s="1"/>
  <c r="X31" s="1"/>
  <c r="X32" s="1"/>
  <c r="X33" s="1"/>
  <c r="X34" s="1"/>
  <c r="X35" s="1"/>
  <c r="Z6"/>
  <c r="Z7" s="1"/>
  <c r="Z8" s="1"/>
  <c r="Z9" s="1"/>
  <c r="Z10" s="1"/>
  <c r="Z11" s="1"/>
  <c r="Z12" s="1"/>
  <c r="Z13" s="1"/>
  <c r="Z14" s="1"/>
  <c r="Z15" s="1"/>
  <c r="Z16" s="1"/>
  <c r="Z18" s="1"/>
  <c r="Z20" s="1"/>
  <c r="Z21" s="1"/>
  <c r="Z22" s="1"/>
  <c r="Z23" s="1"/>
  <c r="Z24" s="1"/>
  <c r="Z25" s="1"/>
  <c r="Z26" s="1"/>
  <c r="Z27" s="1"/>
  <c r="Z28" s="1"/>
  <c r="Z29" s="1"/>
  <c r="Z30" s="1"/>
  <c r="Z31" s="1"/>
  <c r="Z32" s="1"/>
  <c r="Z33" s="1"/>
  <c r="Z34" s="1"/>
  <c r="Z35" s="1"/>
  <c r="Y23" l="1"/>
  <c r="AA33"/>
  <c r="L25"/>
  <c r="Y33" l="1"/>
  <c r="AB33" s="1"/>
  <c r="Y34"/>
  <c r="AB34" s="1"/>
  <c r="Y35"/>
  <c r="AB35" s="1"/>
  <c r="AA34"/>
  <c r="AA35"/>
  <c r="E8" i="2"/>
  <c r="Q20"/>
  <c r="Q19"/>
  <c r="E13" l="1"/>
  <c r="E14"/>
  <c r="E15"/>
  <c r="D15" i="73"/>
  <c r="H12" i="77"/>
  <c r="E16" i="2" l="1"/>
  <c r="BA7" i="5"/>
  <c r="E17" i="2" l="1"/>
  <c r="I8" i="77"/>
  <c r="E18" i="2" l="1"/>
  <c r="AC34" i="76"/>
  <c r="U34" i="5" l="1"/>
  <c r="E19" i="2"/>
  <c r="K4" i="76"/>
  <c r="AA28"/>
  <c r="AB28" s="1"/>
  <c r="AE28" s="1"/>
  <c r="AF28" s="1"/>
  <c r="U35" i="5" l="1"/>
  <c r="U36"/>
  <c r="E20" i="2"/>
  <c r="E5"/>
  <c r="E4"/>
  <c r="A16"/>
  <c r="B16" s="1"/>
  <c r="O16" s="1"/>
  <c r="A17"/>
  <c r="B17" s="1"/>
  <c r="O17" s="1"/>
  <c r="A18"/>
  <c r="B18" s="1"/>
  <c r="O18" s="1"/>
  <c r="A19"/>
  <c r="B19" s="1"/>
  <c r="O19" s="1"/>
  <c r="A20"/>
  <c r="B20" s="1"/>
  <c r="O20" s="1"/>
  <c r="A21"/>
  <c r="B21" s="1"/>
  <c r="O21" s="1"/>
  <c r="A22"/>
  <c r="B22" s="1"/>
  <c r="O22" s="1"/>
  <c r="A23"/>
  <c r="B23" s="1"/>
  <c r="O23" s="1"/>
  <c r="A24"/>
  <c r="B24" s="1"/>
  <c r="O24" s="1"/>
  <c r="A25"/>
  <c r="B25" s="1"/>
  <c r="O25" s="1"/>
  <c r="A26"/>
  <c r="B26" s="1"/>
  <c r="O26" s="1"/>
  <c r="A27"/>
  <c r="B27" s="1"/>
  <c r="O27" s="1"/>
  <c r="A28"/>
  <c r="B28" s="1"/>
  <c r="O28" s="1"/>
  <c r="A29"/>
  <c r="B29" s="1"/>
  <c r="O29" s="1"/>
  <c r="A30"/>
  <c r="B30" s="1"/>
  <c r="O30" s="1"/>
  <c r="A31"/>
  <c r="B31" s="1"/>
  <c r="O31" s="1"/>
  <c r="A11" i="5"/>
  <c r="E21" i="2" l="1"/>
  <c r="W30" i="76"/>
  <c r="AH38" i="1" l="1"/>
  <c r="AH37"/>
  <c r="AK38" i="5"/>
  <c r="F39"/>
  <c r="B39"/>
  <c r="P34" i="3"/>
  <c r="E23" i="2" l="1"/>
  <c r="E24" l="1"/>
  <c r="AA27" i="76"/>
  <c r="E25" i="2" l="1"/>
  <c r="Y24" i="5"/>
  <c r="AB27" i="76"/>
  <c r="AB29" s="1"/>
  <c r="AA29"/>
  <c r="Q16" i="2"/>
  <c r="M16"/>
  <c r="I16"/>
  <c r="K16"/>
  <c r="G16"/>
  <c r="S30" i="1"/>
  <c r="T30" s="1"/>
  <c r="R30"/>
  <c r="N30"/>
  <c r="L30"/>
  <c r="I30"/>
  <c r="G30"/>
  <c r="D30"/>
  <c r="E30" s="1"/>
  <c r="D25" i="73"/>
  <c r="D26"/>
  <c r="D27"/>
  <c r="D28"/>
  <c r="D29"/>
  <c r="D30"/>
  <c r="J30" i="1" l="1"/>
  <c r="V30"/>
  <c r="E26" i="2"/>
  <c r="Y25" i="5"/>
  <c r="G17" i="2"/>
  <c r="I17"/>
  <c r="Q17"/>
  <c r="N16"/>
  <c r="R16" s="1"/>
  <c r="K17"/>
  <c r="M17"/>
  <c r="U30" i="1"/>
  <c r="E27" i="2" l="1"/>
  <c r="Y26" i="5"/>
  <c r="K18" i="2"/>
  <c r="M18"/>
  <c r="I18"/>
  <c r="Q18"/>
  <c r="G18"/>
  <c r="N17"/>
  <c r="R17" s="1"/>
  <c r="E28" l="1"/>
  <c r="Y27" i="5"/>
  <c r="G19" i="2"/>
  <c r="N18"/>
  <c r="R18" s="1"/>
  <c r="I19"/>
  <c r="K19"/>
  <c r="M19"/>
  <c r="E29" l="1"/>
  <c r="Y28" i="5"/>
  <c r="M20" i="2"/>
  <c r="K20"/>
  <c r="I20"/>
  <c r="G20"/>
  <c r="N19"/>
  <c r="B3"/>
  <c r="A3"/>
  <c r="R19" l="1"/>
  <c r="S19" i="76"/>
  <c r="E30" i="2"/>
  <c r="K21"/>
  <c r="N20"/>
  <c r="R20" s="1"/>
  <c r="G21"/>
  <c r="M21"/>
  <c r="Q21"/>
  <c r="I21"/>
  <c r="S26" i="3"/>
  <c r="E31" i="2" l="1"/>
  <c r="N21"/>
  <c r="R21" s="1"/>
  <c r="Q8"/>
  <c r="AD7" i="3" s="1"/>
  <c r="Q10" i="2"/>
  <c r="I5"/>
  <c r="G23" l="1"/>
  <c r="Q23"/>
  <c r="M23"/>
  <c r="I23"/>
  <c r="K23"/>
  <c r="Q11"/>
  <c r="I7" i="77"/>
  <c r="I12" s="1"/>
  <c r="N23" i="2" l="1"/>
  <c r="R23" s="1"/>
  <c r="K24"/>
  <c r="Q24"/>
  <c r="M24"/>
  <c r="G24"/>
  <c r="Q12"/>
  <c r="AU6" i="5"/>
  <c r="AU7" l="1"/>
  <c r="AZ7" s="1"/>
  <c r="AZ6"/>
  <c r="BC6" s="1"/>
  <c r="AA30" i="1"/>
  <c r="G25" i="2"/>
  <c r="K25"/>
  <c r="Q25"/>
  <c r="N24"/>
  <c r="R24" s="1"/>
  <c r="M25"/>
  <c r="I25"/>
  <c r="Y30" i="1"/>
  <c r="AB30" s="1"/>
  <c r="Q13" i="2"/>
  <c r="N25" l="1"/>
  <c r="R25" s="1"/>
  <c r="M26"/>
  <c r="K26"/>
  <c r="G26"/>
  <c r="Q26"/>
  <c r="I26"/>
  <c r="Q14"/>
  <c r="N26" l="1"/>
  <c r="R26" s="1"/>
  <c r="I27"/>
  <c r="Q27"/>
  <c r="G27"/>
  <c r="K27"/>
  <c r="M27"/>
  <c r="Q15"/>
  <c r="N27" l="1"/>
  <c r="R27" s="1"/>
  <c r="G28"/>
  <c r="I28"/>
  <c r="M28"/>
  <c r="Q28"/>
  <c r="K28"/>
  <c r="G17" i="76"/>
  <c r="C18"/>
  <c r="Q29" i="2" l="1"/>
  <c r="G29"/>
  <c r="K29"/>
  <c r="M29"/>
  <c r="I29"/>
  <c r="N28"/>
  <c r="R28" s="1"/>
  <c r="AV36" i="1"/>
  <c r="AV38" s="1"/>
  <c r="AS36"/>
  <c r="AW36" s="1"/>
  <c r="M6" i="79"/>
  <c r="O6" s="1"/>
  <c r="C8" i="77"/>
  <c r="A13" i="1"/>
  <c r="I30" i="2" l="1"/>
  <c r="M30"/>
  <c r="K30"/>
  <c r="Q30"/>
  <c r="G30"/>
  <c r="N29"/>
  <c r="R29" s="1"/>
  <c r="M7" i="79"/>
  <c r="M8" s="1"/>
  <c r="M9" s="1"/>
  <c r="M10" s="1"/>
  <c r="M11" s="1"/>
  <c r="M12" s="1"/>
  <c r="M13" s="1"/>
  <c r="M14" s="1"/>
  <c r="M15" s="1"/>
  <c r="M16" s="1"/>
  <c r="M17" s="1"/>
  <c r="M18" s="1"/>
  <c r="M19" s="1"/>
  <c r="M20" s="1"/>
  <c r="M21" s="1"/>
  <c r="M22" s="1"/>
  <c r="M23" s="1"/>
  <c r="M24" s="1"/>
  <c r="M25" s="1"/>
  <c r="M26" s="1"/>
  <c r="M27" s="1"/>
  <c r="M28" s="1"/>
  <c r="M29" s="1"/>
  <c r="M30" s="1"/>
  <c r="M31" s="1"/>
  <c r="M32" s="1"/>
  <c r="M33" s="1"/>
  <c r="M34" s="1"/>
  <c r="B6" i="7"/>
  <c r="N30" i="2" l="1"/>
  <c r="R30" s="1"/>
  <c r="O34" i="79"/>
  <c r="M35"/>
  <c r="Q31" i="2"/>
  <c r="M31"/>
  <c r="G31"/>
  <c r="K31"/>
  <c r="I31"/>
  <c r="B7" i="7"/>
  <c r="I4" i="2"/>
  <c r="G4"/>
  <c r="M36" i="79" l="1"/>
  <c r="O36" s="1"/>
  <c r="O35"/>
  <c r="N31" i="2"/>
  <c r="R31" s="1"/>
  <c r="B8" i="7"/>
  <c r="G5" i="2"/>
  <c r="B9" i="7" l="1"/>
  <c r="B10" l="1"/>
  <c r="B11" l="1"/>
  <c r="F38" i="5"/>
  <c r="B12" i="7" l="1"/>
  <c r="B13" l="1"/>
  <c r="B14" l="1"/>
  <c r="A19" i="76"/>
  <c r="B15" i="7" l="1"/>
  <c r="AJ9" i="3"/>
  <c r="AJ10"/>
  <c r="AJ11"/>
  <c r="AJ12"/>
  <c r="AJ13"/>
  <c r="AJ14"/>
  <c r="AJ15"/>
  <c r="AJ16"/>
  <c r="AJ17"/>
  <c r="AJ18"/>
  <c r="AJ19"/>
  <c r="AJ20"/>
  <c r="AJ21"/>
  <c r="AJ22"/>
  <c r="AJ23"/>
  <c r="AJ24"/>
  <c r="AJ25"/>
  <c r="AJ26"/>
  <c r="AJ27"/>
  <c r="AJ28"/>
  <c r="AJ29"/>
  <c r="AJ30"/>
  <c r="H3"/>
  <c r="H4" s="1"/>
  <c r="H5" s="1"/>
  <c r="H6" s="1"/>
  <c r="H7" s="1"/>
  <c r="H8" s="1"/>
  <c r="H9" s="1"/>
  <c r="H10" s="1"/>
  <c r="H11" s="1"/>
  <c r="H12" s="1"/>
  <c r="H13" s="1"/>
  <c r="H14" s="1"/>
  <c r="H15" s="1"/>
  <c r="H16" s="1"/>
  <c r="H17" s="1"/>
  <c r="H18" s="1"/>
  <c r="H19" s="1"/>
  <c r="H20" s="1"/>
  <c r="H21" s="1"/>
  <c r="H22" s="1"/>
  <c r="H23" s="1"/>
  <c r="H24" s="1"/>
  <c r="H25" s="1"/>
  <c r="H26" s="1"/>
  <c r="H27" s="1"/>
  <c r="H28" s="1"/>
  <c r="H29" s="1"/>
  <c r="H30" s="1"/>
  <c r="H31" s="1"/>
  <c r="H32" s="1"/>
  <c r="H33" s="1"/>
  <c r="B16" i="7" l="1"/>
  <c r="B17" l="1"/>
  <c r="B18" l="1"/>
  <c r="B19" l="1"/>
  <c r="AA32" i="1"/>
  <c r="Y32"/>
  <c r="AB32" s="1"/>
  <c r="R32"/>
  <c r="S32"/>
  <c r="T32" s="1"/>
  <c r="N32"/>
  <c r="L32"/>
  <c r="I32"/>
  <c r="G32"/>
  <c r="D32"/>
  <c r="E32" s="1"/>
  <c r="V32" l="1"/>
  <c r="J32"/>
  <c r="B20" i="7"/>
  <c r="U32" i="1"/>
  <c r="B21" i="7" l="1"/>
  <c r="H13" i="82" l="1"/>
  <c r="B22" i="7"/>
  <c r="A14" i="5"/>
  <c r="H14" i="82" l="1"/>
  <c r="B23" i="7"/>
  <c r="H15" i="82" l="1"/>
  <c r="B24" i="7"/>
  <c r="B25" l="1"/>
  <c r="H17" i="82"/>
  <c r="B26" i="7" l="1"/>
  <c r="H18" i="82"/>
  <c r="B27" i="7" l="1"/>
  <c r="H19" i="82"/>
  <c r="B28" i="7" l="1"/>
  <c r="H20" i="82"/>
  <c r="B29" i="7" l="1"/>
  <c r="H21" i="82" l="1"/>
  <c r="B30" i="7"/>
  <c r="H22" i="82"/>
  <c r="B31" i="7" l="1"/>
  <c r="H23" i="82"/>
  <c r="A6" i="7"/>
  <c r="A7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33"/>
  <c r="B32" l="1"/>
  <c r="H24" i="82"/>
  <c r="I17" i="79"/>
  <c r="L34" i="5"/>
  <c r="AK34" s="1"/>
  <c r="L17" i="1"/>
  <c r="B33" i="7" l="1"/>
  <c r="H25" i="82"/>
  <c r="H26" l="1"/>
  <c r="G14" i="73" l="1"/>
  <c r="H27" i="82" l="1"/>
  <c r="AB12" i="74"/>
  <c r="AA12"/>
  <c r="AB11"/>
  <c r="AA11"/>
  <c r="AB10"/>
  <c r="AA10"/>
  <c r="M10"/>
  <c r="M11"/>
  <c r="M12"/>
  <c r="M13"/>
  <c r="M14"/>
  <c r="M15"/>
  <c r="M16"/>
  <c r="M17"/>
  <c r="M18"/>
  <c r="M19"/>
  <c r="M20"/>
  <c r="M21"/>
  <c r="M22"/>
  <c r="M23"/>
  <c r="M24"/>
  <c r="M25"/>
  <c r="M26"/>
  <c r="M27"/>
  <c r="M28"/>
  <c r="M29"/>
  <c r="M30"/>
  <c r="M31"/>
  <c r="M32"/>
  <c r="M33"/>
  <c r="M34"/>
  <c r="M35"/>
  <c r="M36"/>
  <c r="M37"/>
  <c r="M38"/>
  <c r="M39"/>
  <c r="L40"/>
  <c r="L39"/>
  <c r="L38"/>
  <c r="L37"/>
  <c r="L36"/>
  <c r="L35"/>
  <c r="L34"/>
  <c r="L33"/>
  <c r="L32"/>
  <c r="L31"/>
  <c r="L30"/>
  <c r="L29"/>
  <c r="L28"/>
  <c r="L27"/>
  <c r="L26"/>
  <c r="L25"/>
  <c r="L24"/>
  <c r="L23"/>
  <c r="L22"/>
  <c r="L21"/>
  <c r="L20"/>
  <c r="L19"/>
  <c r="L18"/>
  <c r="L17"/>
  <c r="L16"/>
  <c r="L15"/>
  <c r="L14"/>
  <c r="L13"/>
  <c r="L12"/>
  <c r="L11"/>
  <c r="L10"/>
  <c r="I40"/>
  <c r="I39"/>
  <c r="I38"/>
  <c r="I37"/>
  <c r="I36"/>
  <c r="I35"/>
  <c r="I34"/>
  <c r="I33"/>
  <c r="I32"/>
  <c r="I31"/>
  <c r="I30"/>
  <c r="I29"/>
  <c r="I28"/>
  <c r="I27"/>
  <c r="I26"/>
  <c r="I25"/>
  <c r="I24"/>
  <c r="I23"/>
  <c r="I22"/>
  <c r="I21"/>
  <c r="I20"/>
  <c r="I19"/>
  <c r="I18"/>
  <c r="I17"/>
  <c r="I16"/>
  <c r="I15"/>
  <c r="I14"/>
  <c r="I13"/>
  <c r="I12"/>
  <c r="I11"/>
  <c r="I10"/>
  <c r="H37"/>
  <c r="H36"/>
  <c r="H35"/>
  <c r="H34"/>
  <c r="H33"/>
  <c r="H32"/>
  <c r="H31"/>
  <c r="H30"/>
  <c r="H29"/>
  <c r="H28"/>
  <c r="H27"/>
  <c r="H26"/>
  <c r="H25"/>
  <c r="H24"/>
  <c r="H23"/>
  <c r="H22"/>
  <c r="H21"/>
  <c r="H20"/>
  <c r="H19"/>
  <c r="H18"/>
  <c r="H17"/>
  <c r="H16"/>
  <c r="H15"/>
  <c r="H14"/>
  <c r="H13"/>
  <c r="H12"/>
  <c r="H11"/>
  <c r="H10"/>
  <c r="E37"/>
  <c r="E36"/>
  <c r="E35"/>
  <c r="E34"/>
  <c r="E33"/>
  <c r="E32"/>
  <c r="E31"/>
  <c r="E30"/>
  <c r="E29"/>
  <c r="E28"/>
  <c r="E27"/>
  <c r="E26"/>
  <c r="E25"/>
  <c r="E24"/>
  <c r="E23"/>
  <c r="E22"/>
  <c r="E21"/>
  <c r="E20"/>
  <c r="E19"/>
  <c r="E18"/>
  <c r="E17"/>
  <c r="E16"/>
  <c r="E15"/>
  <c r="E14"/>
  <c r="E13"/>
  <c r="D40"/>
  <c r="D39"/>
  <c r="D38"/>
  <c r="D37"/>
  <c r="D36"/>
  <c r="D35"/>
  <c r="D34"/>
  <c r="D33"/>
  <c r="D32"/>
  <c r="D31"/>
  <c r="D30"/>
  <c r="D29"/>
  <c r="D28"/>
  <c r="D27"/>
  <c r="D26"/>
  <c r="D25"/>
  <c r="D24"/>
  <c r="D23"/>
  <c r="D22"/>
  <c r="D21"/>
  <c r="D20"/>
  <c r="D19"/>
  <c r="D18"/>
  <c r="D17"/>
  <c r="D16"/>
  <c r="D15"/>
  <c r="D14"/>
  <c r="D13"/>
  <c r="D12"/>
  <c r="D11"/>
  <c r="G43" l="1"/>
  <c r="F43"/>
  <c r="C43"/>
  <c r="B43"/>
  <c r="K43"/>
  <c r="J43"/>
  <c r="H28" i="82"/>
  <c r="H29" l="1"/>
  <c r="S3" i="3"/>
  <c r="A25" l="1"/>
  <c r="A23" l="1"/>
  <c r="A23" i="1"/>
  <c r="A31" i="76" l="1"/>
  <c r="S23" i="3" l="1"/>
  <c r="U23" s="1"/>
  <c r="K29" i="76"/>
  <c r="I18"/>
  <c r="G31"/>
  <c r="C31"/>
  <c r="K31" l="1"/>
  <c r="N31" s="1"/>
  <c r="S25" i="3"/>
  <c r="U25" s="1"/>
  <c r="I31" i="76"/>
  <c r="M31" s="1"/>
  <c r="L31"/>
  <c r="D31" i="7"/>
  <c r="D31" i="76" l="1"/>
  <c r="E31" s="1"/>
  <c r="D32" i="7"/>
  <c r="F31"/>
  <c r="F32" l="1"/>
  <c r="H31"/>
  <c r="D33"/>
  <c r="F33" l="1"/>
  <c r="J31"/>
  <c r="H32"/>
  <c r="J32" l="1"/>
  <c r="L31"/>
  <c r="H33"/>
  <c r="J33" l="1"/>
  <c r="L32"/>
  <c r="N31"/>
  <c r="T40" i="74"/>
  <c r="X39"/>
  <c r="T39"/>
  <c r="P39"/>
  <c r="X38"/>
  <c r="T38"/>
  <c r="P38"/>
  <c r="X37"/>
  <c r="T37"/>
  <c r="P37"/>
  <c r="X36"/>
  <c r="T36"/>
  <c r="P36"/>
  <c r="X35"/>
  <c r="T35"/>
  <c r="P35"/>
  <c r="X34"/>
  <c r="T34"/>
  <c r="P34"/>
  <c r="X33"/>
  <c r="T33"/>
  <c r="P33"/>
  <c r="X32"/>
  <c r="T32"/>
  <c r="P32"/>
  <c r="X31"/>
  <c r="T31"/>
  <c r="P31"/>
  <c r="X30"/>
  <c r="T30"/>
  <c r="P30"/>
  <c r="X29"/>
  <c r="T29"/>
  <c r="P29"/>
  <c r="X28"/>
  <c r="T28"/>
  <c r="P28"/>
  <c r="X27"/>
  <c r="T27"/>
  <c r="P27"/>
  <c r="X26"/>
  <c r="T26"/>
  <c r="P26"/>
  <c r="X25"/>
  <c r="T25"/>
  <c r="P25"/>
  <c r="X24"/>
  <c r="T24"/>
  <c r="P24"/>
  <c r="X23"/>
  <c r="T23"/>
  <c r="P23"/>
  <c r="X22"/>
  <c r="T22"/>
  <c r="P22"/>
  <c r="X21"/>
  <c r="T21"/>
  <c r="P21"/>
  <c r="X20"/>
  <c r="T20"/>
  <c r="P20"/>
  <c r="X19"/>
  <c r="T19"/>
  <c r="P19"/>
  <c r="X18"/>
  <c r="T18"/>
  <c r="P18"/>
  <c r="X17"/>
  <c r="T17"/>
  <c r="P17"/>
  <c r="X16"/>
  <c r="T16"/>
  <c r="P16"/>
  <c r="X15"/>
  <c r="T15"/>
  <c r="P15"/>
  <c r="X14"/>
  <c r="T14"/>
  <c r="P14"/>
  <c r="X13"/>
  <c r="T13"/>
  <c r="P13"/>
  <c r="X12"/>
  <c r="T12"/>
  <c r="P12"/>
  <c r="X11"/>
  <c r="T11"/>
  <c r="P11"/>
  <c r="X10"/>
  <c r="T10"/>
  <c r="P10"/>
  <c r="I7" i="79"/>
  <c r="D23" i="73"/>
  <c r="AM24" i="5" s="1"/>
  <c r="AP24"/>
  <c r="AN24"/>
  <c r="N43" i="74" l="1"/>
  <c r="O43"/>
  <c r="W43"/>
  <c r="V43"/>
  <c r="S43"/>
  <c r="AB14" s="1"/>
  <c r="R43"/>
  <c r="AA14" s="1"/>
  <c r="N32" i="7"/>
  <c r="L33"/>
  <c r="P31"/>
  <c r="I22" i="76"/>
  <c r="G22"/>
  <c r="C22"/>
  <c r="BA24" i="5"/>
  <c r="H24"/>
  <c r="N23" i="1"/>
  <c r="L23"/>
  <c r="I23"/>
  <c r="G23"/>
  <c r="R31" i="7" l="1"/>
  <c r="J23" i="1"/>
  <c r="P32" i="7"/>
  <c r="N33"/>
  <c r="E23" i="1"/>
  <c r="I22"/>
  <c r="R32" i="7" l="1"/>
  <c r="P33"/>
  <c r="R33" l="1"/>
  <c r="U24" i="5"/>
  <c r="R23" i="1"/>
  <c r="V23" s="1"/>
  <c r="S23"/>
  <c r="AL23" s="1"/>
  <c r="AA23"/>
  <c r="I24"/>
  <c r="AB23" l="1"/>
  <c r="T23"/>
  <c r="U23"/>
  <c r="I25"/>
  <c r="I26" l="1"/>
  <c r="I27" l="1"/>
  <c r="I28" l="1"/>
  <c r="I29" l="1"/>
  <c r="I31" l="1"/>
  <c r="K18" i="73" l="1"/>
  <c r="G18"/>
  <c r="K15" i="76"/>
  <c r="D13" i="73" l="1"/>
  <c r="L24" i="5" l="1"/>
  <c r="AK24" s="1"/>
  <c r="X78" i="74" l="1"/>
  <c r="BA19" i="5" l="1"/>
  <c r="N6" i="1"/>
  <c r="L5"/>
  <c r="BA20" i="5" l="1"/>
  <c r="BD20" s="1"/>
  <c r="N7" i="1"/>
  <c r="L6"/>
  <c r="A5" i="76"/>
  <c r="A6"/>
  <c r="A7"/>
  <c r="A8"/>
  <c r="A9"/>
  <c r="A10"/>
  <c r="A11"/>
  <c r="A12"/>
  <c r="A13"/>
  <c r="A14"/>
  <c r="A15"/>
  <c r="A16"/>
  <c r="A17"/>
  <c r="A18"/>
  <c r="A20"/>
  <c r="A21"/>
  <c r="A22"/>
  <c r="A23"/>
  <c r="A24"/>
  <c r="A25"/>
  <c r="A26"/>
  <c r="A27"/>
  <c r="A28"/>
  <c r="A29"/>
  <c r="A30"/>
  <c r="C17"/>
  <c r="C12"/>
  <c r="L7" i="1" l="1"/>
  <c r="BA21" i="5"/>
  <c r="N8" i="1"/>
  <c r="L8" l="1"/>
  <c r="N9"/>
  <c r="N10" l="1"/>
  <c r="L9"/>
  <c r="N11" l="1"/>
  <c r="L10"/>
  <c r="N12" l="1"/>
  <c r="L11"/>
  <c r="L12" l="1"/>
  <c r="N13"/>
  <c r="A21"/>
  <c r="A22"/>
  <c r="A24"/>
  <c r="A25"/>
  <c r="A26"/>
  <c r="N14" l="1"/>
  <c r="L13"/>
  <c r="S5" i="3"/>
  <c r="U5" s="1"/>
  <c r="S6"/>
  <c r="U6" s="1"/>
  <c r="K10" i="73"/>
  <c r="Y7" i="5"/>
  <c r="Y8"/>
  <c r="N15" i="1" l="1"/>
  <c r="L14"/>
  <c r="N16" l="1"/>
  <c r="L15"/>
  <c r="A6" i="2"/>
  <c r="A7"/>
  <c r="A8"/>
  <c r="A9"/>
  <c r="A10"/>
  <c r="A11"/>
  <c r="A12"/>
  <c r="A13"/>
  <c r="A14"/>
  <c r="A15"/>
  <c r="A4"/>
  <c r="B4" s="1"/>
  <c r="N17" i="1" l="1"/>
  <c r="L16"/>
  <c r="Y6" i="5"/>
  <c r="S7" i="3"/>
  <c r="U7" s="1"/>
  <c r="N18" i="1" l="1"/>
  <c r="S8" i="3"/>
  <c r="U8" s="1"/>
  <c r="D9" i="1"/>
  <c r="E9" s="1"/>
  <c r="L18" l="1"/>
  <c r="N19"/>
  <c r="S9" i="3"/>
  <c r="L19" i="1" l="1"/>
  <c r="N20"/>
  <c r="S16" i="3"/>
  <c r="U16" s="1"/>
  <c r="L20" i="1" l="1"/>
  <c r="N21"/>
  <c r="L21" l="1"/>
  <c r="N22"/>
  <c r="L22" l="1"/>
  <c r="N24" l="1"/>
  <c r="C13" i="76"/>
  <c r="N25" i="1" l="1"/>
  <c r="L24"/>
  <c r="AD23" i="3"/>
  <c r="C14" i="76"/>
  <c r="AI23" i="3" l="1"/>
  <c r="N26" i="1"/>
  <c r="C15" i="76"/>
  <c r="N27" i="1" l="1"/>
  <c r="L26"/>
  <c r="AD25" i="3"/>
  <c r="C16" i="76"/>
  <c r="D11" i="73"/>
  <c r="G5" i="76"/>
  <c r="AI25" i="3" l="1"/>
  <c r="N28" i="1"/>
  <c r="L27"/>
  <c r="N29" l="1"/>
  <c r="L28"/>
  <c r="L29" l="1"/>
  <c r="C19" i="76"/>
  <c r="N31" i="1" l="1"/>
  <c r="C20" i="76"/>
  <c r="C4"/>
  <c r="G14"/>
  <c r="L14" l="1"/>
  <c r="L31" i="1"/>
  <c r="C21" i="76"/>
  <c r="K14"/>
  <c r="N14" s="1"/>
  <c r="I14"/>
  <c r="M14" s="1"/>
  <c r="K16"/>
  <c r="N16" s="1"/>
  <c r="K17"/>
  <c r="N17" s="1"/>
  <c r="N15"/>
  <c r="G15"/>
  <c r="I15"/>
  <c r="M15" s="1"/>
  <c r="D14" l="1"/>
  <c r="E14" s="1"/>
  <c r="L15"/>
  <c r="D15"/>
  <c r="G16"/>
  <c r="I16"/>
  <c r="M16" s="1"/>
  <c r="L16" l="1"/>
  <c r="D16"/>
  <c r="C23"/>
  <c r="I17"/>
  <c r="M17" s="1"/>
  <c r="E15"/>
  <c r="L17" l="1"/>
  <c r="D17"/>
  <c r="E17" s="1"/>
  <c r="C24"/>
  <c r="G18"/>
  <c r="E16"/>
  <c r="S12" i="3"/>
  <c r="U12" s="1"/>
  <c r="C25" i="76" l="1"/>
  <c r="G19"/>
  <c r="L19" s="1"/>
  <c r="I19"/>
  <c r="M19" s="1"/>
  <c r="K18"/>
  <c r="N18" s="1"/>
  <c r="D18" l="1"/>
  <c r="E18" s="1"/>
  <c r="C26"/>
  <c r="I20"/>
  <c r="M18"/>
  <c r="L18"/>
  <c r="K19"/>
  <c r="N19" s="1"/>
  <c r="D19" l="1"/>
  <c r="E19" s="1"/>
  <c r="C27"/>
  <c r="I21"/>
  <c r="G20"/>
  <c r="K20"/>
  <c r="N20" s="1"/>
  <c r="D20" l="1"/>
  <c r="C28"/>
  <c r="M20"/>
  <c r="L20"/>
  <c r="G21"/>
  <c r="K21"/>
  <c r="N21" s="1"/>
  <c r="D21" l="1"/>
  <c r="E21" s="1"/>
  <c r="C29"/>
  <c r="M21"/>
  <c r="K22"/>
  <c r="D22" s="1"/>
  <c r="L21"/>
  <c r="N22" l="1"/>
  <c r="E22"/>
  <c r="C30"/>
  <c r="M22"/>
  <c r="I23"/>
  <c r="K23"/>
  <c r="N23" s="1"/>
  <c r="L22"/>
  <c r="G23"/>
  <c r="G29" i="73"/>
  <c r="D23" i="76" l="1"/>
  <c r="E23" s="1"/>
  <c r="M23"/>
  <c r="I24"/>
  <c r="G24"/>
  <c r="L23"/>
  <c r="K24"/>
  <c r="N24" s="1"/>
  <c r="D24" l="1"/>
  <c r="E24" s="1"/>
  <c r="M24"/>
  <c r="I25"/>
  <c r="G25"/>
  <c r="L24"/>
  <c r="K25"/>
  <c r="N25" s="1"/>
  <c r="AA8" i="1"/>
  <c r="U8" i="5"/>
  <c r="D25" i="76" l="1"/>
  <c r="E25" s="1"/>
  <c r="M25"/>
  <c r="I26"/>
  <c r="K26"/>
  <c r="N26" s="1"/>
  <c r="G26"/>
  <c r="L25"/>
  <c r="U9" i="5"/>
  <c r="D26" i="76" l="1"/>
  <c r="E26" s="1"/>
  <c r="M26"/>
  <c r="I27"/>
  <c r="G27"/>
  <c r="K27"/>
  <c r="N27" s="1"/>
  <c r="L26"/>
  <c r="U10" i="5"/>
  <c r="D27" i="76" l="1"/>
  <c r="E27" s="1"/>
  <c r="M27"/>
  <c r="I28"/>
  <c r="G28"/>
  <c r="K28"/>
  <c r="N28" s="1"/>
  <c r="L27"/>
  <c r="D28" l="1"/>
  <c r="E28" s="1"/>
  <c r="M28"/>
  <c r="I29"/>
  <c r="G29"/>
  <c r="L28"/>
  <c r="N29"/>
  <c r="I6" i="79"/>
  <c r="D29" i="76" l="1"/>
  <c r="E29" s="1"/>
  <c r="M29"/>
  <c r="I30"/>
  <c r="G30"/>
  <c r="K30"/>
  <c r="N30" s="1"/>
  <c r="L29"/>
  <c r="R29" i="1"/>
  <c r="V29" s="1"/>
  <c r="AA7"/>
  <c r="D29"/>
  <c r="E29" s="1"/>
  <c r="D28"/>
  <c r="E28" s="1"/>
  <c r="D27"/>
  <c r="E27" s="1"/>
  <c r="D26"/>
  <c r="E26" s="1"/>
  <c r="D25"/>
  <c r="E25" s="1"/>
  <c r="D24"/>
  <c r="E24" s="1"/>
  <c r="D22"/>
  <c r="E22" s="1"/>
  <c r="D30" i="76" l="1"/>
  <c r="E30" s="1"/>
  <c r="M30"/>
  <c r="L30"/>
  <c r="O7" i="79"/>
  <c r="O8" l="1"/>
  <c r="D21" i="1"/>
  <c r="E21" s="1"/>
  <c r="O9" i="79" l="1"/>
  <c r="I8"/>
  <c r="Q4" i="2"/>
  <c r="O10" i="79" l="1"/>
  <c r="I9"/>
  <c r="I10" l="1"/>
  <c r="O11"/>
  <c r="K12" i="73"/>
  <c r="A32" i="1"/>
  <c r="A31"/>
  <c r="A30"/>
  <c r="A29"/>
  <c r="A28"/>
  <c r="A27"/>
  <c r="A20"/>
  <c r="A19"/>
  <c r="A18"/>
  <c r="A17"/>
  <c r="A16"/>
  <c r="A15"/>
  <c r="A14"/>
  <c r="A12"/>
  <c r="A11"/>
  <c r="A10"/>
  <c r="A9"/>
  <c r="A8"/>
  <c r="A7"/>
  <c r="A6"/>
  <c r="A5"/>
  <c r="O12" i="79" l="1"/>
  <c r="I11"/>
  <c r="D31" i="1"/>
  <c r="E31" s="1"/>
  <c r="O13" i="79" l="1"/>
  <c r="I12"/>
  <c r="O14" l="1"/>
  <c r="I13"/>
  <c r="O15" l="1"/>
  <c r="I14"/>
  <c r="I15" l="1"/>
  <c r="O16"/>
  <c r="BB7" i="7"/>
  <c r="BB8"/>
  <c r="BB9"/>
  <c r="BB10"/>
  <c r="BB11"/>
  <c r="BB12"/>
  <c r="BB13"/>
  <c r="BB14"/>
  <c r="BB15"/>
  <c r="BB16"/>
  <c r="BB17"/>
  <c r="BB18"/>
  <c r="BB19"/>
  <c r="BB20"/>
  <c r="BB21"/>
  <c r="BB22"/>
  <c r="BB23"/>
  <c r="BB24"/>
  <c r="BB25"/>
  <c r="BB26"/>
  <c r="BB27"/>
  <c r="BB28"/>
  <c r="BB29"/>
  <c r="BB30"/>
  <c r="BB31"/>
  <c r="BB32"/>
  <c r="I16" i="79" l="1"/>
  <c r="O17"/>
  <c r="A10" i="3"/>
  <c r="A11"/>
  <c r="A12"/>
  <c r="A13"/>
  <c r="O18" i="79" l="1"/>
  <c r="O19" l="1"/>
  <c r="I18"/>
  <c r="O20" l="1"/>
  <c r="I19"/>
  <c r="O21" l="1"/>
  <c r="I20"/>
  <c r="I21" l="1"/>
  <c r="O22"/>
  <c r="I22" l="1"/>
  <c r="O23"/>
  <c r="I23" l="1"/>
  <c r="O24"/>
  <c r="D5" i="73"/>
  <c r="AM6" i="5" s="1"/>
  <c r="D6" i="73"/>
  <c r="D7"/>
  <c r="D8"/>
  <c r="AM9" i="5" s="1"/>
  <c r="D9" i="73"/>
  <c r="D12"/>
  <c r="D14"/>
  <c r="AM16" i="5"/>
  <c r="D16" i="73"/>
  <c r="AM17" i="5" s="1"/>
  <c r="D17" i="73"/>
  <c r="AM18" i="5" s="1"/>
  <c r="D18" i="73"/>
  <c r="D20"/>
  <c r="D21"/>
  <c r="D22"/>
  <c r="BA23" i="7" s="1"/>
  <c r="BA24"/>
  <c r="D24" i="73"/>
  <c r="BA25" i="7" s="1"/>
  <c r="BA26"/>
  <c r="BA27"/>
  <c r="BA28"/>
  <c r="BA29"/>
  <c r="BA30"/>
  <c r="BA31"/>
  <c r="D31" i="73"/>
  <c r="D32"/>
  <c r="A4" i="76"/>
  <c r="A3" i="3"/>
  <c r="A4"/>
  <c r="A5"/>
  <c r="A6"/>
  <c r="A7"/>
  <c r="A8"/>
  <c r="A9"/>
  <c r="A14"/>
  <c r="A15"/>
  <c r="A16"/>
  <c r="A17"/>
  <c r="A18"/>
  <c r="A19"/>
  <c r="A20"/>
  <c r="A21"/>
  <c r="A22"/>
  <c r="A24"/>
  <c r="A26"/>
  <c r="A27"/>
  <c r="A28"/>
  <c r="A29"/>
  <c r="A30"/>
  <c r="A5" i="73"/>
  <c r="A6"/>
  <c r="A7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BA32" i="7" l="1"/>
  <c r="AM32" i="5"/>
  <c r="I24" i="79"/>
  <c r="O25"/>
  <c r="AM20" i="5"/>
  <c r="BA20" i="7"/>
  <c r="AM12" i="5"/>
  <c r="BA12" i="7"/>
  <c r="AM13" i="5"/>
  <c r="BA13" i="7"/>
  <c r="AM21" i="5"/>
  <c r="BA21" i="7"/>
  <c r="AM22" i="5"/>
  <c r="BA22" i="7"/>
  <c r="AM14" i="5"/>
  <c r="BA14" i="7"/>
  <c r="AM15" i="5"/>
  <c r="BA15" i="7"/>
  <c r="AM7" i="5"/>
  <c r="BA7" i="7"/>
  <c r="BA16"/>
  <c r="AM8" i="5"/>
  <c r="BA8" i="7"/>
  <c r="BA17"/>
  <c r="BA9"/>
  <c r="BA18"/>
  <c r="AM10" i="5"/>
  <c r="BA10" i="7"/>
  <c r="AM19" i="5"/>
  <c r="BA19" i="7"/>
  <c r="AM11" i="5"/>
  <c r="BA11" i="7"/>
  <c r="K14" i="73"/>
  <c r="AP14" i="5"/>
  <c r="Y11"/>
  <c r="AB21" i="74"/>
  <c r="AA21"/>
  <c r="I4" i="76"/>
  <c r="U3" i="3"/>
  <c r="I3"/>
  <c r="J2" i="82"/>
  <c r="U6" i="5"/>
  <c r="H6"/>
  <c r="D5" i="75"/>
  <c r="E5" s="1"/>
  <c r="Y5" i="1"/>
  <c r="R5"/>
  <c r="G5"/>
  <c r="K4" i="2"/>
  <c r="I2" i="82"/>
  <c r="I13" i="76"/>
  <c r="M13" s="1"/>
  <c r="H8" i="5"/>
  <c r="H10"/>
  <c r="AA6" i="1"/>
  <c r="Y6"/>
  <c r="Y15"/>
  <c r="AB15" s="1"/>
  <c r="R13"/>
  <c r="S10"/>
  <c r="E17" i="77"/>
  <c r="J9" i="63"/>
  <c r="K8" i="73"/>
  <c r="G8"/>
  <c r="C6" i="76"/>
  <c r="AW38" i="1"/>
  <c r="S6"/>
  <c r="T6" s="1"/>
  <c r="S5"/>
  <c r="D7" i="7"/>
  <c r="K24" i="73"/>
  <c r="M4" i="2"/>
  <c r="G2" i="82"/>
  <c r="J30" i="63"/>
  <c r="AP31" i="5"/>
  <c r="B8" i="77"/>
  <c r="J11" i="63"/>
  <c r="D7" i="77"/>
  <c r="E7" s="1"/>
  <c r="F7" s="1"/>
  <c r="AV39" i="1"/>
  <c r="BA6" i="5"/>
  <c r="BD6" s="1"/>
  <c r="BA8"/>
  <c r="BA9"/>
  <c r="BA10"/>
  <c r="BA13"/>
  <c r="A34" i="65"/>
  <c r="G5" i="73"/>
  <c r="K5"/>
  <c r="G6"/>
  <c r="K6"/>
  <c r="G7"/>
  <c r="K7"/>
  <c r="G9"/>
  <c r="K9"/>
  <c r="G10"/>
  <c r="G11"/>
  <c r="K11"/>
  <c r="G12"/>
  <c r="G13"/>
  <c r="G15"/>
  <c r="K15"/>
  <c r="G16"/>
  <c r="K16"/>
  <c r="G17"/>
  <c r="K17"/>
  <c r="G19"/>
  <c r="K19"/>
  <c r="G20"/>
  <c r="K20"/>
  <c r="G21"/>
  <c r="K21"/>
  <c r="G22"/>
  <c r="K22"/>
  <c r="G23"/>
  <c r="K23"/>
  <c r="G24"/>
  <c r="G25"/>
  <c r="K25"/>
  <c r="AM27" i="5"/>
  <c r="G26" i="73"/>
  <c r="K26"/>
  <c r="AM28" i="5"/>
  <c r="G27" i="73"/>
  <c r="K27"/>
  <c r="AM29" i="5"/>
  <c r="G28" i="73"/>
  <c r="K28"/>
  <c r="AM30" i="5"/>
  <c r="K29" i="73"/>
  <c r="AM31" i="5"/>
  <c r="G30" i="73"/>
  <c r="G31"/>
  <c r="K31"/>
  <c r="AM33" i="5"/>
  <c r="G32" i="73"/>
  <c r="K32"/>
  <c r="A19" i="65"/>
  <c r="AR14" i="5"/>
  <c r="AP18"/>
  <c r="AP17"/>
  <c r="AP13"/>
  <c r="G3" i="82"/>
  <c r="AP26" i="5"/>
  <c r="AP22"/>
  <c r="AP21"/>
  <c r="AP12"/>
  <c r="AP8"/>
  <c r="AP16"/>
  <c r="T77" i="74"/>
  <c r="T76"/>
  <c r="T75"/>
  <c r="T74"/>
  <c r="T72"/>
  <c r="T71"/>
  <c r="T70"/>
  <c r="T69"/>
  <c r="T68"/>
  <c r="T67"/>
  <c r="T65"/>
  <c r="T64"/>
  <c r="T63"/>
  <c r="T61"/>
  <c r="T59"/>
  <c r="T58"/>
  <c r="T57"/>
  <c r="T55"/>
  <c r="T52"/>
  <c r="T51"/>
  <c r="T50"/>
  <c r="T49"/>
  <c r="AP7" i="5"/>
  <c r="AP27"/>
  <c r="A6" i="79"/>
  <c r="L6" s="1"/>
  <c r="A7"/>
  <c r="L7" s="1"/>
  <c r="A8"/>
  <c r="L8" s="1"/>
  <c r="A9"/>
  <c r="L9" s="1"/>
  <c r="A10"/>
  <c r="L10" s="1"/>
  <c r="A11"/>
  <c r="L11" s="1"/>
  <c r="A12"/>
  <c r="L12" s="1"/>
  <c r="A13"/>
  <c r="L13" s="1"/>
  <c r="A14"/>
  <c r="L14" s="1"/>
  <c r="A15"/>
  <c r="L15" s="1"/>
  <c r="A16"/>
  <c r="L16" s="1"/>
  <c r="A17"/>
  <c r="L17" s="1"/>
  <c r="A18"/>
  <c r="L18" s="1"/>
  <c r="A19"/>
  <c r="L19" s="1"/>
  <c r="A20"/>
  <c r="L20" s="1"/>
  <c r="A21"/>
  <c r="L21" s="1"/>
  <c r="A22"/>
  <c r="L22" s="1"/>
  <c r="A23"/>
  <c r="L23" s="1"/>
  <c r="A24"/>
  <c r="L24" s="1"/>
  <c r="A25"/>
  <c r="L25" s="1"/>
  <c r="A26"/>
  <c r="L26" s="1"/>
  <c r="A27"/>
  <c r="L27" s="1"/>
  <c r="A28"/>
  <c r="L28" s="1"/>
  <c r="A29"/>
  <c r="L29" s="1"/>
  <c r="A30"/>
  <c r="L30" s="1"/>
  <c r="A31"/>
  <c r="L31" s="1"/>
  <c r="A32"/>
  <c r="L32" s="1"/>
  <c r="A33"/>
  <c r="L33" s="1"/>
  <c r="A31" i="5"/>
  <c r="AR31" s="1"/>
  <c r="AL4" i="7"/>
  <c r="AK4"/>
  <c r="AJ4"/>
  <c r="AI4"/>
  <c r="AH4"/>
  <c r="AG4"/>
  <c r="AF4"/>
  <c r="AE4"/>
  <c r="AD4"/>
  <c r="AC4"/>
  <c r="AB4"/>
  <c r="AA4"/>
  <c r="Z4"/>
  <c r="B4"/>
  <c r="C14" s="1"/>
  <c r="A23" i="5"/>
  <c r="AR23" s="1"/>
  <c r="AP9"/>
  <c r="D36" i="75"/>
  <c r="E36" s="1"/>
  <c r="F36"/>
  <c r="G36" s="1"/>
  <c r="D37"/>
  <c r="E37" s="1"/>
  <c r="F37"/>
  <c r="G37" s="1"/>
  <c r="B3" i="65"/>
  <c r="C3"/>
  <c r="H34"/>
  <c r="I34"/>
  <c r="J34"/>
  <c r="F32" i="63"/>
  <c r="G32"/>
  <c r="I32" s="1"/>
  <c r="H32"/>
  <c r="D3" i="7"/>
  <c r="F3" s="1"/>
  <c r="H3" s="1"/>
  <c r="AM3"/>
  <c r="BB6"/>
  <c r="BB33"/>
  <c r="G3" i="3"/>
  <c r="O3"/>
  <c r="W3"/>
  <c r="AJ3"/>
  <c r="AJ4"/>
  <c r="AJ5"/>
  <c r="AJ6"/>
  <c r="AJ7"/>
  <c r="AJ8"/>
  <c r="AY4" i="5"/>
  <c r="AZ4"/>
  <c r="BA4"/>
  <c r="A6"/>
  <c r="AR6" s="1"/>
  <c r="AN6"/>
  <c r="AP6"/>
  <c r="A7"/>
  <c r="AR7" s="1"/>
  <c r="AN7"/>
  <c r="A8"/>
  <c r="AR8" s="1"/>
  <c r="AN8"/>
  <c r="A9"/>
  <c r="AR9" s="1"/>
  <c r="AN9"/>
  <c r="AU9"/>
  <c r="AU10" s="1"/>
  <c r="A10"/>
  <c r="AR10" s="1"/>
  <c r="AN10"/>
  <c r="AR11"/>
  <c r="AN11"/>
  <c r="A12"/>
  <c r="AR12" s="1"/>
  <c r="AN12"/>
  <c r="A13"/>
  <c r="AR13" s="1"/>
  <c r="AN14"/>
  <c r="A15"/>
  <c r="AR15" s="1"/>
  <c r="AN15"/>
  <c r="A16"/>
  <c r="AR16" s="1"/>
  <c r="AN16"/>
  <c r="A17"/>
  <c r="AR17" s="1"/>
  <c r="AN17"/>
  <c r="A18"/>
  <c r="AR18" s="1"/>
  <c r="AN18"/>
  <c r="A19"/>
  <c r="AR19" s="1"/>
  <c r="AN19"/>
  <c r="A20"/>
  <c r="AR20" s="1"/>
  <c r="AN20"/>
  <c r="A21"/>
  <c r="AR21" s="1"/>
  <c r="AN21"/>
  <c r="A22"/>
  <c r="AR22" s="1"/>
  <c r="AN22"/>
  <c r="AN23"/>
  <c r="AP23"/>
  <c r="A24"/>
  <c r="AR24" s="1"/>
  <c r="A25"/>
  <c r="AR25" s="1"/>
  <c r="AN25"/>
  <c r="A26"/>
  <c r="AR26" s="1"/>
  <c r="AN26"/>
  <c r="A27"/>
  <c r="AR27" s="1"/>
  <c r="AN27"/>
  <c r="A28"/>
  <c r="AR28" s="1"/>
  <c r="AN28"/>
  <c r="A29"/>
  <c r="AR29" s="1"/>
  <c r="AN29"/>
  <c r="A30"/>
  <c r="AR30" s="1"/>
  <c r="AN30"/>
  <c r="AN31"/>
  <c r="A32"/>
  <c r="AR32" s="1"/>
  <c r="AN32"/>
  <c r="A33"/>
  <c r="AR33" s="1"/>
  <c r="AN33"/>
  <c r="AP33"/>
  <c r="A6" i="65"/>
  <c r="J6" i="63"/>
  <c r="A9" i="65"/>
  <c r="J8" i="63"/>
  <c r="A12" i="65"/>
  <c r="J12" i="63"/>
  <c r="A16" i="65"/>
  <c r="J15" i="63"/>
  <c r="J16"/>
  <c r="J18"/>
  <c r="A21" i="65"/>
  <c r="A23"/>
  <c r="A25"/>
  <c r="A27"/>
  <c r="J26" i="63"/>
  <c r="A29" i="65"/>
  <c r="J28" i="63"/>
  <c r="A33" i="65"/>
  <c r="AZ6" i="7"/>
  <c r="A5" i="2"/>
  <c r="AZ7" i="7" s="1"/>
  <c r="AZ8"/>
  <c r="AZ10"/>
  <c r="AZ11"/>
  <c r="AZ12"/>
  <c r="AZ13"/>
  <c r="AZ16"/>
  <c r="AZ17"/>
  <c r="AZ18"/>
  <c r="AZ20"/>
  <c r="AZ22"/>
  <c r="AZ23"/>
  <c r="AZ25"/>
  <c r="AZ27"/>
  <c r="AZ28"/>
  <c r="AZ31"/>
  <c r="AZ32"/>
  <c r="AZ33"/>
  <c r="B3" i="82"/>
  <c r="B4" s="1"/>
  <c r="B5" s="1"/>
  <c r="B6" s="1"/>
  <c r="B7" s="1"/>
  <c r="B8" s="1"/>
  <c r="B9" s="1"/>
  <c r="B10" s="1"/>
  <c r="B11" s="1"/>
  <c r="B12" s="1"/>
  <c r="B13" s="1"/>
  <c r="B14" s="1"/>
  <c r="B15" s="1"/>
  <c r="B16" s="1"/>
  <c r="B17" s="1"/>
  <c r="B18" s="1"/>
  <c r="B19" s="1"/>
  <c r="B20" s="1"/>
  <c r="B21" s="1"/>
  <c r="B22" s="1"/>
  <c r="B23" s="1"/>
  <c r="B24" s="1"/>
  <c r="B25" s="1"/>
  <c r="B26" s="1"/>
  <c r="B27" s="1"/>
  <c r="B28" s="1"/>
  <c r="B29" s="1"/>
  <c r="B30" s="1"/>
  <c r="B31" s="1"/>
  <c r="B3" i="81"/>
  <c r="B4" s="1"/>
  <c r="B5" s="1"/>
  <c r="B6" s="1"/>
  <c r="B7" s="1"/>
  <c r="B8" s="1"/>
  <c r="B9" s="1"/>
  <c r="B10" s="1"/>
  <c r="B11" s="1"/>
  <c r="B12" s="1"/>
  <c r="B13" s="1"/>
  <c r="B14" s="1"/>
  <c r="B15" s="1"/>
  <c r="B16" s="1"/>
  <c r="B17" s="1"/>
  <c r="B18" s="1"/>
  <c r="B19" s="1"/>
  <c r="B20" s="1"/>
  <c r="B21" s="1"/>
  <c r="B22" s="1"/>
  <c r="B23" s="1"/>
  <c r="B24" s="1"/>
  <c r="B25" s="1"/>
  <c r="B26" s="1"/>
  <c r="B27" s="1"/>
  <c r="B28" s="1"/>
  <c r="B29" s="1"/>
  <c r="B30" s="1"/>
  <c r="B31" s="1"/>
  <c r="AP20" i="5"/>
  <c r="AP32"/>
  <c r="AP30"/>
  <c r="T66" i="74"/>
  <c r="T62"/>
  <c r="T54"/>
  <c r="T60"/>
  <c r="T48"/>
  <c r="T53"/>
  <c r="T56"/>
  <c r="T73"/>
  <c r="AZ8" i="5"/>
  <c r="AP11"/>
  <c r="AP19"/>
  <c r="AP25"/>
  <c r="AP28"/>
  <c r="AP29"/>
  <c r="AN13"/>
  <c r="AP10"/>
  <c r="B32" i="63"/>
  <c r="A32"/>
  <c r="E32"/>
  <c r="C32"/>
  <c r="BA33" i="7"/>
  <c r="M5" i="2"/>
  <c r="E3" i="82" s="1"/>
  <c r="K5" i="2"/>
  <c r="I6" i="76"/>
  <c r="M6" s="1"/>
  <c r="I5"/>
  <c r="G6"/>
  <c r="G4"/>
  <c r="C5"/>
  <c r="S4" i="3"/>
  <c r="U4" s="1"/>
  <c r="J4" i="82"/>
  <c r="J3"/>
  <c r="U7" i="5"/>
  <c r="R7" i="1"/>
  <c r="R6"/>
  <c r="D7"/>
  <c r="E7" s="1"/>
  <c r="Z7" i="7"/>
  <c r="D6" i="1"/>
  <c r="E6" s="1"/>
  <c r="D5"/>
  <c r="E5" s="1"/>
  <c r="Z6" i="7"/>
  <c r="AB6" s="1"/>
  <c r="AD6" s="1"/>
  <c r="AM26" i="5"/>
  <c r="Q5" i="2"/>
  <c r="I5" i="65"/>
  <c r="G4" i="82"/>
  <c r="I4"/>
  <c r="H2"/>
  <c r="J2" i="63"/>
  <c r="K30" i="73"/>
  <c r="H7" i="5"/>
  <c r="J4" i="63"/>
  <c r="K6" i="76"/>
  <c r="N6" s="1"/>
  <c r="K5"/>
  <c r="N5" s="1"/>
  <c r="E4" i="82"/>
  <c r="K7" i="76"/>
  <c r="N7" s="1"/>
  <c r="I7"/>
  <c r="M7" s="1"/>
  <c r="G7"/>
  <c r="Y9" i="5"/>
  <c r="H9"/>
  <c r="R8" i="1"/>
  <c r="S7"/>
  <c r="T7" s="1"/>
  <c r="Z8" i="7"/>
  <c r="F4" i="82"/>
  <c r="G5"/>
  <c r="G6" i="1"/>
  <c r="I6"/>
  <c r="G7"/>
  <c r="K8" i="76"/>
  <c r="N8" s="1"/>
  <c r="I8"/>
  <c r="G8"/>
  <c r="Y10" i="5"/>
  <c r="R9" i="1"/>
  <c r="S8"/>
  <c r="Z9" i="7"/>
  <c r="AB9" s="1"/>
  <c r="D8" i="1"/>
  <c r="E8" s="1"/>
  <c r="E5" i="82"/>
  <c r="F5"/>
  <c r="I8" i="2"/>
  <c r="G6" i="82" s="1"/>
  <c r="G8" i="2"/>
  <c r="I6" i="82" s="1"/>
  <c r="I7" i="1"/>
  <c r="G8"/>
  <c r="R10"/>
  <c r="Z10" i="7"/>
  <c r="M8" i="2"/>
  <c r="E6" i="82" s="1"/>
  <c r="I8" i="1"/>
  <c r="G9"/>
  <c r="R11"/>
  <c r="M9" i="2"/>
  <c r="E7" i="82" s="1"/>
  <c r="I9" i="1"/>
  <c r="G10"/>
  <c r="D12"/>
  <c r="E12" s="1"/>
  <c r="D12" i="7"/>
  <c r="I11" i="1"/>
  <c r="I10"/>
  <c r="D13"/>
  <c r="E13" s="1"/>
  <c r="M11" i="2"/>
  <c r="E9" i="82" s="1"/>
  <c r="Y14" i="1"/>
  <c r="AB14" s="1"/>
  <c r="M12" i="2"/>
  <c r="E10" i="82" s="1"/>
  <c r="U13" i="5"/>
  <c r="Y13"/>
  <c r="Y12"/>
  <c r="K10" i="76"/>
  <c r="N10" s="1"/>
  <c r="G14" i="1"/>
  <c r="G13"/>
  <c r="G12"/>
  <c r="G11"/>
  <c r="D11"/>
  <c r="E11" s="1"/>
  <c r="Z14" i="7"/>
  <c r="AB14" s="1"/>
  <c r="M10" i="2"/>
  <c r="E8" i="82" s="1"/>
  <c r="K12" i="76"/>
  <c r="N12" s="1"/>
  <c r="K11"/>
  <c r="N11" s="1"/>
  <c r="K9"/>
  <c r="N9" s="1"/>
  <c r="I11"/>
  <c r="I10"/>
  <c r="M10" s="1"/>
  <c r="I9"/>
  <c r="M9" s="1"/>
  <c r="I12"/>
  <c r="M12" s="1"/>
  <c r="G11"/>
  <c r="G12"/>
  <c r="G10"/>
  <c r="G9"/>
  <c r="C9"/>
  <c r="C10"/>
  <c r="C8"/>
  <c r="U9" i="3"/>
  <c r="BA11" i="5"/>
  <c r="BA12"/>
  <c r="Y15"/>
  <c r="Y14"/>
  <c r="U15"/>
  <c r="U14"/>
  <c r="U12"/>
  <c r="U11"/>
  <c r="S9" i="1"/>
  <c r="D10"/>
  <c r="E10" s="1"/>
  <c r="Z13" i="7"/>
  <c r="Z12"/>
  <c r="Z11"/>
  <c r="K9" i="2"/>
  <c r="F7" i="82" s="1"/>
  <c r="K8" i="2"/>
  <c r="F6" i="82" s="1"/>
  <c r="I9" i="2"/>
  <c r="G7" i="82" s="1"/>
  <c r="G9" i="2"/>
  <c r="I7" i="82" s="1"/>
  <c r="J23" i="63"/>
  <c r="J17"/>
  <c r="A13" i="65"/>
  <c r="R14" i="1"/>
  <c r="R12"/>
  <c r="AM25" i="5"/>
  <c r="A30" i="65"/>
  <c r="I12" i="1"/>
  <c r="A24" i="65"/>
  <c r="J22" i="63"/>
  <c r="BA6" i="7"/>
  <c r="H11" i="5"/>
  <c r="S11" i="1"/>
  <c r="K10" i="2"/>
  <c r="F8" i="82" s="1"/>
  <c r="I10" i="2"/>
  <c r="G8" i="82" s="1"/>
  <c r="G10" i="2"/>
  <c r="I14" i="1"/>
  <c r="I13"/>
  <c r="S10" i="3"/>
  <c r="U10" s="1"/>
  <c r="H12" i="5"/>
  <c r="S12" i="1"/>
  <c r="K11" i="2"/>
  <c r="F9" i="82" s="1"/>
  <c r="I11" i="2"/>
  <c r="G9" i="82" s="1"/>
  <c r="G11" i="2"/>
  <c r="S11" i="3"/>
  <c r="U11" s="1"/>
  <c r="H13" i="5"/>
  <c r="S14" i="1"/>
  <c r="S13"/>
  <c r="K14" i="2"/>
  <c r="F12" i="82" s="1"/>
  <c r="K12" i="2"/>
  <c r="F10" i="82" s="1"/>
  <c r="I12" i="2"/>
  <c r="G10" i="82" s="1"/>
  <c r="G12" i="2"/>
  <c r="I10" i="82" s="1"/>
  <c r="G13" i="2"/>
  <c r="H14" i="5"/>
  <c r="K13" i="2"/>
  <c r="F11" i="82" s="1"/>
  <c r="I13" i="2"/>
  <c r="G11" i="82" s="1"/>
  <c r="I14" i="2"/>
  <c r="G12" i="82" s="1"/>
  <c r="H16" i="5"/>
  <c r="H15"/>
  <c r="D7" i="76" l="1"/>
  <c r="E7" s="1"/>
  <c r="D11"/>
  <c r="E11" s="1"/>
  <c r="V8" i="1"/>
  <c r="C9" i="7"/>
  <c r="C34"/>
  <c r="C35"/>
  <c r="E34"/>
  <c r="C36"/>
  <c r="E36"/>
  <c r="E35"/>
  <c r="G34"/>
  <c r="G36"/>
  <c r="G35"/>
  <c r="I34"/>
  <c r="K34"/>
  <c r="I35"/>
  <c r="I36"/>
  <c r="M34"/>
  <c r="K36"/>
  <c r="K35"/>
  <c r="M35"/>
  <c r="M36"/>
  <c r="O34"/>
  <c r="Q34"/>
  <c r="O36"/>
  <c r="O35"/>
  <c r="Q36"/>
  <c r="Q35"/>
  <c r="S34"/>
  <c r="S35"/>
  <c r="S36"/>
  <c r="U34"/>
  <c r="W34"/>
  <c r="U36"/>
  <c r="U35"/>
  <c r="W35"/>
  <c r="W36"/>
  <c r="AA34"/>
  <c r="AC34"/>
  <c r="AA36"/>
  <c r="AA35"/>
  <c r="AE34"/>
  <c r="AC36"/>
  <c r="AC35"/>
  <c r="AG34"/>
  <c r="AE36"/>
  <c r="AE35"/>
  <c r="AI34"/>
  <c r="AK34"/>
  <c r="AG36"/>
  <c r="AG35"/>
  <c r="AM34"/>
  <c r="AI36"/>
  <c r="AI35"/>
  <c r="AK35"/>
  <c r="AK36"/>
  <c r="AM36"/>
  <c r="AM35"/>
  <c r="V13" i="1"/>
  <c r="V7"/>
  <c r="V12"/>
  <c r="V14"/>
  <c r="V11"/>
  <c r="S81" i="74"/>
  <c r="R81"/>
  <c r="V10" i="1"/>
  <c r="V9"/>
  <c r="V6"/>
  <c r="D4" i="76"/>
  <c r="E4" s="1"/>
  <c r="U13" i="1"/>
  <c r="G36" i="73"/>
  <c r="D5" i="76"/>
  <c r="E5" s="1"/>
  <c r="F3" i="82"/>
  <c r="N4" i="2"/>
  <c r="R4" s="1"/>
  <c r="I11" i="82"/>
  <c r="C15" i="7"/>
  <c r="U8" i="1"/>
  <c r="T12"/>
  <c r="U12"/>
  <c r="T9"/>
  <c r="U9"/>
  <c r="T14"/>
  <c r="U14"/>
  <c r="T11"/>
  <c r="U11"/>
  <c r="T10"/>
  <c r="U10"/>
  <c r="T8"/>
  <c r="E2" i="82"/>
  <c r="AA11" i="7"/>
  <c r="AA7"/>
  <c r="M5" i="76"/>
  <c r="D10"/>
  <c r="E10" s="1"/>
  <c r="L11"/>
  <c r="L12"/>
  <c r="D12"/>
  <c r="E12" s="1"/>
  <c r="L7"/>
  <c r="L9"/>
  <c r="D9"/>
  <c r="E9" s="1"/>
  <c r="L8"/>
  <c r="D8"/>
  <c r="E8" s="1"/>
  <c r="L6"/>
  <c r="D6"/>
  <c r="E6" s="1"/>
  <c r="AA12" i="7"/>
  <c r="AA13"/>
  <c r="AA10"/>
  <c r="D4"/>
  <c r="F4" s="1"/>
  <c r="H4" s="1"/>
  <c r="J4" s="1"/>
  <c r="L4" s="1"/>
  <c r="N4" s="1"/>
  <c r="P4" s="1"/>
  <c r="R4" s="1"/>
  <c r="T4" s="1"/>
  <c r="V4" s="1"/>
  <c r="C31"/>
  <c r="E31"/>
  <c r="C32"/>
  <c r="E32"/>
  <c r="C33"/>
  <c r="G31"/>
  <c r="I31"/>
  <c r="E33"/>
  <c r="G32"/>
  <c r="G33"/>
  <c r="K31"/>
  <c r="I32"/>
  <c r="K32"/>
  <c r="I33"/>
  <c r="M31"/>
  <c r="K33"/>
  <c r="M32"/>
  <c r="O31"/>
  <c r="Q31"/>
  <c r="O32"/>
  <c r="M33"/>
  <c r="Q32"/>
  <c r="S31"/>
  <c r="O33"/>
  <c r="Q33"/>
  <c r="S32"/>
  <c r="S33"/>
  <c r="I10" i="65"/>
  <c r="BE7" i="7"/>
  <c r="BG7" s="1"/>
  <c r="BE11"/>
  <c r="BG11" s="1"/>
  <c r="BE12"/>
  <c r="BG12" s="1"/>
  <c r="BE6"/>
  <c r="BG6" s="1"/>
  <c r="BE9"/>
  <c r="BG9" s="1"/>
  <c r="BE8"/>
  <c r="BG8" s="1"/>
  <c r="N4" i="76"/>
  <c r="M4"/>
  <c r="J6" i="82"/>
  <c r="J9"/>
  <c r="J11"/>
  <c r="J8"/>
  <c r="J5"/>
  <c r="J7"/>
  <c r="J10"/>
  <c r="L4" i="76"/>
  <c r="AZ9" i="5"/>
  <c r="BC9" s="1"/>
  <c r="O26" i="79"/>
  <c r="I25"/>
  <c r="J11" i="1"/>
  <c r="J10"/>
  <c r="L25" i="82"/>
  <c r="AZ29" i="7"/>
  <c r="L17" i="82"/>
  <c r="AZ21" i="7"/>
  <c r="O26" i="81"/>
  <c r="AZ30" i="7"/>
  <c r="B12" i="2"/>
  <c r="L10" i="82" s="1"/>
  <c r="AZ14" i="7"/>
  <c r="B13" i="2"/>
  <c r="AZ15" i="7"/>
  <c r="AZ24"/>
  <c r="B7" i="2"/>
  <c r="AZ9" i="7"/>
  <c r="O22" i="81"/>
  <c r="AZ26" i="7"/>
  <c r="O15" i="81"/>
  <c r="AZ19" i="7"/>
  <c r="AD5" i="3"/>
  <c r="AI5" s="1"/>
  <c r="E4" i="63"/>
  <c r="I7" i="65"/>
  <c r="P72" i="74"/>
  <c r="J6" i="1"/>
  <c r="P77" i="74"/>
  <c r="P68"/>
  <c r="J12" i="1"/>
  <c r="H48" i="74"/>
  <c r="H56"/>
  <c r="H64"/>
  <c r="H72"/>
  <c r="L58"/>
  <c r="L66"/>
  <c r="L53"/>
  <c r="L61"/>
  <c r="L69"/>
  <c r="L77"/>
  <c r="J7" i="1"/>
  <c r="H54" i="74"/>
  <c r="H62"/>
  <c r="H70"/>
  <c r="H78"/>
  <c r="D52"/>
  <c r="D55"/>
  <c r="D63"/>
  <c r="H49"/>
  <c r="H57"/>
  <c r="L51"/>
  <c r="L59"/>
  <c r="L67"/>
  <c r="L75"/>
  <c r="BE10" i="7"/>
  <c r="BG10" s="1"/>
  <c r="X73" i="74"/>
  <c r="P65"/>
  <c r="D61"/>
  <c r="H55"/>
  <c r="D66"/>
  <c r="D74"/>
  <c r="H60"/>
  <c r="H76"/>
  <c r="D48"/>
  <c r="D56"/>
  <c r="D64"/>
  <c r="D72"/>
  <c r="H50"/>
  <c r="L74"/>
  <c r="X57"/>
  <c r="H65"/>
  <c r="L64"/>
  <c r="D59"/>
  <c r="D67"/>
  <c r="D75"/>
  <c r="J9" i="1"/>
  <c r="BD11" i="5"/>
  <c r="J8" i="1"/>
  <c r="E5" i="63"/>
  <c r="E7"/>
  <c r="AD9" i="3"/>
  <c r="AI9" s="1"/>
  <c r="E9" i="63"/>
  <c r="D49" i="74"/>
  <c r="D57"/>
  <c r="D65"/>
  <c r="D73"/>
  <c r="H66"/>
  <c r="H74"/>
  <c r="L52"/>
  <c r="L60"/>
  <c r="L68"/>
  <c r="D78"/>
  <c r="D60"/>
  <c r="D76"/>
  <c r="H69"/>
  <c r="H77"/>
  <c r="L63"/>
  <c r="BD8" i="5"/>
  <c r="BD10"/>
  <c r="BD13"/>
  <c r="BD12"/>
  <c r="I12" i="65"/>
  <c r="I11"/>
  <c r="I6"/>
  <c r="AD4" i="3"/>
  <c r="E3" i="63"/>
  <c r="I9" i="65"/>
  <c r="X48" i="74"/>
  <c r="D77"/>
  <c r="L55"/>
  <c r="H53"/>
  <c r="L62"/>
  <c r="L70"/>
  <c r="D53"/>
  <c r="H67"/>
  <c r="L72"/>
  <c r="H59"/>
  <c r="D69"/>
  <c r="L50"/>
  <c r="D62"/>
  <c r="H51"/>
  <c r="D71"/>
  <c r="H71"/>
  <c r="L49"/>
  <c r="M8" i="76"/>
  <c r="L10"/>
  <c r="L5"/>
  <c r="BD7" i="5"/>
  <c r="AZ10"/>
  <c r="AU11"/>
  <c r="BD9"/>
  <c r="AB6" i="1"/>
  <c r="AD6" i="3"/>
  <c r="E8" i="63"/>
  <c r="AD8" i="3"/>
  <c r="I8" i="65"/>
  <c r="L28" i="82"/>
  <c r="X50" i="74"/>
  <c r="I8" i="82"/>
  <c r="I5"/>
  <c r="I3"/>
  <c r="E2" i="63"/>
  <c r="J21"/>
  <c r="X76" i="74"/>
  <c r="X58"/>
  <c r="X51"/>
  <c r="A28" i="65"/>
  <c r="L24" i="82"/>
  <c r="X72" i="74"/>
  <c r="X67"/>
  <c r="X60"/>
  <c r="X65"/>
  <c r="AB11" i="7"/>
  <c r="A17" i="65"/>
  <c r="P50" i="74"/>
  <c r="P54"/>
  <c r="X53"/>
  <c r="J19" i="63"/>
  <c r="B6" i="2"/>
  <c r="A10" i="65"/>
  <c r="P52" i="74"/>
  <c r="AA6" i="7"/>
  <c r="J7" i="63"/>
  <c r="A32" i="65"/>
  <c r="P63" i="74"/>
  <c r="P75"/>
  <c r="A18" i="65"/>
  <c r="D32" i="63"/>
  <c r="P48" i="74"/>
  <c r="B14" i="2"/>
  <c r="O12" i="81" s="1"/>
  <c r="X77" i="74"/>
  <c r="X70"/>
  <c r="P66"/>
  <c r="P78"/>
  <c r="J31" i="63"/>
  <c r="X75" i="74"/>
  <c r="X68"/>
  <c r="X59"/>
  <c r="E3" i="65"/>
  <c r="P74" i="74"/>
  <c r="H61"/>
  <c r="L57"/>
  <c r="D54"/>
  <c r="D68"/>
  <c r="H73"/>
  <c r="L56"/>
  <c r="L65"/>
  <c r="H75"/>
  <c r="H58"/>
  <c r="L48"/>
  <c r="L76"/>
  <c r="L73"/>
  <c r="H63"/>
  <c r="H68"/>
  <c r="D70"/>
  <c r="H52"/>
  <c r="L71"/>
  <c r="D51"/>
  <c r="D58"/>
  <c r="L54"/>
  <c r="P71"/>
  <c r="B9" i="77"/>
  <c r="D9" s="1"/>
  <c r="P70" i="74"/>
  <c r="X69"/>
  <c r="B15" i="2"/>
  <c r="A20" i="65"/>
  <c r="AB10" i="7"/>
  <c r="AC10" s="1"/>
  <c r="O29" i="81"/>
  <c r="J27" i="63"/>
  <c r="A11" i="65"/>
  <c r="P49" i="74"/>
  <c r="P53"/>
  <c r="X55"/>
  <c r="B9" i="2"/>
  <c r="B5"/>
  <c r="AB12" i="7"/>
  <c r="AC12" s="1"/>
  <c r="AA9"/>
  <c r="B8" i="2"/>
  <c r="X54" i="74"/>
  <c r="A8" i="65"/>
  <c r="AB13" i="7"/>
  <c r="AC13" s="1"/>
  <c r="AB7"/>
  <c r="AC7" s="1"/>
  <c r="J10" i="63"/>
  <c r="X49" i="74"/>
  <c r="X71"/>
  <c r="O2" i="81"/>
  <c r="A14" i="65"/>
  <c r="P69" i="74"/>
  <c r="P73"/>
  <c r="P51"/>
  <c r="P55"/>
  <c r="P59"/>
  <c r="U5" i="1"/>
  <c r="X66" i="74"/>
  <c r="AM23" i="5"/>
  <c r="P64" i="74"/>
  <c r="X63"/>
  <c r="P62"/>
  <c r="X62"/>
  <c r="P61"/>
  <c r="X61"/>
  <c r="F2" i="82"/>
  <c r="N5" i="1"/>
  <c r="AL5"/>
  <c r="AB5"/>
  <c r="AK6" i="5"/>
  <c r="T5" i="1"/>
  <c r="D50" i="74"/>
  <c r="AD3" i="3"/>
  <c r="P60" i="74"/>
  <c r="C13" i="7"/>
  <c r="J3"/>
  <c r="L3" s="1"/>
  <c r="N3" s="1"/>
  <c r="P3" s="1"/>
  <c r="R3" s="1"/>
  <c r="T3" s="1"/>
  <c r="V3" s="1"/>
  <c r="AC6"/>
  <c r="C7"/>
  <c r="E12"/>
  <c r="C6"/>
  <c r="D8" i="77"/>
  <c r="E8" s="1"/>
  <c r="F8" s="1"/>
  <c r="P58" i="74"/>
  <c r="AP15" i="5"/>
  <c r="P57" i="74"/>
  <c r="S13" i="3"/>
  <c r="S14"/>
  <c r="U14" s="1"/>
  <c r="AA14" i="1"/>
  <c r="AA15"/>
  <c r="S15"/>
  <c r="T13"/>
  <c r="J13"/>
  <c r="K13" i="73"/>
  <c r="P56" i="74"/>
  <c r="X56"/>
  <c r="K13" i="76"/>
  <c r="N13" s="1"/>
  <c r="M11"/>
  <c r="G13"/>
  <c r="BA15" i="5"/>
  <c r="BA14"/>
  <c r="BD14" s="1"/>
  <c r="I16" i="1"/>
  <c r="I15"/>
  <c r="AL14"/>
  <c r="D15" i="75" s="1"/>
  <c r="E15" s="1"/>
  <c r="J14" i="1"/>
  <c r="AC14" i="7"/>
  <c r="AD14"/>
  <c r="D14" i="1"/>
  <c r="E14" s="1"/>
  <c r="Z15" i="7"/>
  <c r="AA14"/>
  <c r="D15"/>
  <c r="D14"/>
  <c r="F14" s="1"/>
  <c r="H14" s="1"/>
  <c r="D13"/>
  <c r="AD10" i="3"/>
  <c r="M13" i="2"/>
  <c r="E11" i="82" s="1"/>
  <c r="G15" i="2"/>
  <c r="I13" i="82" s="1"/>
  <c r="I9"/>
  <c r="E7" i="7"/>
  <c r="F7"/>
  <c r="AC9"/>
  <c r="AD9"/>
  <c r="J20" i="63"/>
  <c r="A22" i="65"/>
  <c r="J13" i="63"/>
  <c r="A15" i="65"/>
  <c r="D8" i="7"/>
  <c r="C8"/>
  <c r="AE6"/>
  <c r="AF6"/>
  <c r="A5" i="65"/>
  <c r="J3" i="63"/>
  <c r="D10" i="7"/>
  <c r="C10"/>
  <c r="AA8"/>
  <c r="AB8"/>
  <c r="X74" i="74"/>
  <c r="J14" i="63"/>
  <c r="D6" i="7"/>
  <c r="F12"/>
  <c r="J25" i="63"/>
  <c r="D11" i="7"/>
  <c r="C11"/>
  <c r="A31" i="65"/>
  <c r="J29" i="63"/>
  <c r="A7" i="65"/>
  <c r="J5" i="63"/>
  <c r="P67" i="74"/>
  <c r="D9" i="7"/>
  <c r="X64" i="74"/>
  <c r="X52"/>
  <c r="A26" i="65"/>
  <c r="J24" i="63"/>
  <c r="C12" i="7"/>
  <c r="B11" i="2"/>
  <c r="B10"/>
  <c r="P76" i="74"/>
  <c r="O4" i="81" l="1"/>
  <c r="O6" i="2"/>
  <c r="O5" i="81"/>
  <c r="O7" i="2"/>
  <c r="AO34" i="7"/>
  <c r="AN34" s="1"/>
  <c r="AO35"/>
  <c r="AN35" s="1"/>
  <c r="AO36"/>
  <c r="AN36" s="1"/>
  <c r="Y34"/>
  <c r="Y36"/>
  <c r="Y35"/>
  <c r="K35" i="76"/>
  <c r="C35"/>
  <c r="I35"/>
  <c r="G35"/>
  <c r="O81" i="74"/>
  <c r="N81"/>
  <c r="W81"/>
  <c r="V81"/>
  <c r="C81"/>
  <c r="B81"/>
  <c r="G81"/>
  <c r="F81"/>
  <c r="J81"/>
  <c r="B15" i="77" s="1"/>
  <c r="K81" i="74"/>
  <c r="D37" i="73"/>
  <c r="B16" i="77" s="1"/>
  <c r="T15" i="1"/>
  <c r="D6" i="75"/>
  <c r="E6" s="1"/>
  <c r="D13" i="76"/>
  <c r="E13" s="1"/>
  <c r="U13" i="3"/>
  <c r="L11" i="82"/>
  <c r="O13" i="2"/>
  <c r="O6" i="81"/>
  <c r="O8" i="2"/>
  <c r="L20" i="82"/>
  <c r="AI3" i="3"/>
  <c r="D5" i="65" s="1"/>
  <c r="O20" i="81"/>
  <c r="O17"/>
  <c r="L5" i="82"/>
  <c r="BC10" i="5"/>
  <c r="I4" i="3"/>
  <c r="O27" i="79"/>
  <c r="I26"/>
  <c r="U6" i="1"/>
  <c r="O25" i="81"/>
  <c r="L15" i="82"/>
  <c r="L26"/>
  <c r="L22"/>
  <c r="O11" i="81"/>
  <c r="O10"/>
  <c r="O12" i="2"/>
  <c r="F17" i="77"/>
  <c r="O28" i="81"/>
  <c r="AI4" i="3"/>
  <c r="D6" i="65" s="1"/>
  <c r="AU12" i="5"/>
  <c r="AZ11"/>
  <c r="BC11" s="1"/>
  <c r="Y7" i="1"/>
  <c r="AI8" i="3"/>
  <c r="AI7"/>
  <c r="AI6"/>
  <c r="O24" i="81"/>
  <c r="L12" i="82"/>
  <c r="L4"/>
  <c r="AL6" i="1"/>
  <c r="AC11" i="7"/>
  <c r="AD11"/>
  <c r="D7" i="65"/>
  <c r="L2" i="82"/>
  <c r="AD13" i="7"/>
  <c r="AE13" s="1"/>
  <c r="AD7"/>
  <c r="AE7" s="1"/>
  <c r="AD10"/>
  <c r="AF10" s="1"/>
  <c r="L13" i="82"/>
  <c r="O13" i="81"/>
  <c r="L3" i="82"/>
  <c r="O5" i="2"/>
  <c r="D11" i="65"/>
  <c r="AD12" i="7"/>
  <c r="AE12" s="1"/>
  <c r="L6" i="82"/>
  <c r="L7"/>
  <c r="O7" i="81"/>
  <c r="O9" i="2"/>
  <c r="O14" i="81"/>
  <c r="L14" i="82"/>
  <c r="O3" i="81"/>
  <c r="L29" i="82"/>
  <c r="C2" i="63"/>
  <c r="D2" s="1"/>
  <c r="S4" i="76"/>
  <c r="E2" i="81"/>
  <c r="H3" i="63"/>
  <c r="F6" i="65"/>
  <c r="O4" i="2"/>
  <c r="W3" i="7"/>
  <c r="AO3" s="1"/>
  <c r="H17" i="5"/>
  <c r="BD15"/>
  <c r="Y16"/>
  <c r="AA16" i="1"/>
  <c r="Y16"/>
  <c r="AB16" s="1"/>
  <c r="G14" i="2"/>
  <c r="I12" i="82" s="1"/>
  <c r="L13" i="76"/>
  <c r="S15" i="3"/>
  <c r="BA16" i="5"/>
  <c r="BD16" s="1"/>
  <c r="U16"/>
  <c r="R15" i="1"/>
  <c r="V15" s="1"/>
  <c r="S16"/>
  <c r="I17"/>
  <c r="G15"/>
  <c r="U15" s="1"/>
  <c r="Z16" i="7"/>
  <c r="D16" i="1"/>
  <c r="E16" s="1"/>
  <c r="AE14" i="7"/>
  <c r="AF14"/>
  <c r="D15" i="1"/>
  <c r="E15" s="1"/>
  <c r="AA15" i="7"/>
  <c r="AB15"/>
  <c r="G14"/>
  <c r="E14"/>
  <c r="F13"/>
  <c r="E13"/>
  <c r="AD12" i="3"/>
  <c r="E11" i="63"/>
  <c r="I14" i="65"/>
  <c r="BE14" i="7"/>
  <c r="BG14" s="1"/>
  <c r="AD11" i="3"/>
  <c r="E10" i="63"/>
  <c r="BE13" i="7"/>
  <c r="BG13" s="1"/>
  <c r="I13" i="65"/>
  <c r="AI10" i="3"/>
  <c r="M14" i="2"/>
  <c r="E12" i="82" s="1"/>
  <c r="K15" i="2"/>
  <c r="F13" i="82" s="1"/>
  <c r="I15" i="2"/>
  <c r="G13" i="82" s="1"/>
  <c r="I14"/>
  <c r="AE9" i="7"/>
  <c r="AF9"/>
  <c r="O27" i="81"/>
  <c r="L27" i="82"/>
  <c r="O19" i="81"/>
  <c r="L19" i="82"/>
  <c r="G12" i="7"/>
  <c r="H12"/>
  <c r="F6"/>
  <c r="E6"/>
  <c r="AH6"/>
  <c r="AG6"/>
  <c r="E8"/>
  <c r="F8"/>
  <c r="O11" i="2"/>
  <c r="O9" i="81"/>
  <c r="L9" i="82"/>
  <c r="O21" i="81"/>
  <c r="L21" i="82"/>
  <c r="AC8" i="7"/>
  <c r="AD8"/>
  <c r="F15"/>
  <c r="E15"/>
  <c r="F11"/>
  <c r="E11"/>
  <c r="O23" i="81"/>
  <c r="L23" i="82"/>
  <c r="I14" i="7"/>
  <c r="J14"/>
  <c r="H7"/>
  <c r="G7"/>
  <c r="F10"/>
  <c r="E10"/>
  <c r="E9"/>
  <c r="F9"/>
  <c r="O10" i="2"/>
  <c r="L8" i="82"/>
  <c r="O8" i="81"/>
  <c r="O18"/>
  <c r="L18" i="82"/>
  <c r="L16"/>
  <c r="O16" i="81"/>
  <c r="G36" i="76" l="1"/>
  <c r="AD28" s="1"/>
  <c r="B14" i="77"/>
  <c r="E14" s="1"/>
  <c r="E15"/>
  <c r="AR34" i="7"/>
  <c r="X34"/>
  <c r="X35"/>
  <c r="AR35"/>
  <c r="X36"/>
  <c r="AR36"/>
  <c r="AR42" s="1"/>
  <c r="U15" i="3"/>
  <c r="T16" i="1"/>
  <c r="I36" i="76"/>
  <c r="AD27" s="1"/>
  <c r="K36"/>
  <c r="AD26" s="1"/>
  <c r="D7" i="75"/>
  <c r="E7" s="1"/>
  <c r="J5" i="65"/>
  <c r="J12" i="82"/>
  <c r="I5" i="3"/>
  <c r="I27" i="79"/>
  <c r="O28"/>
  <c r="AF7" i="7"/>
  <c r="AG7" s="1"/>
  <c r="AU13" i="5"/>
  <c r="AZ12"/>
  <c r="BC12" s="1"/>
  <c r="AB7" i="1"/>
  <c r="Y8"/>
  <c r="AE10" i="7"/>
  <c r="D10" i="65"/>
  <c r="D9"/>
  <c r="D8"/>
  <c r="AL7" i="1"/>
  <c r="D8" i="75" s="1"/>
  <c r="E8" s="1"/>
  <c r="AE11" i="7"/>
  <c r="AF11"/>
  <c r="AF13"/>
  <c r="AH13" s="1"/>
  <c r="AF12"/>
  <c r="AH12" s="1"/>
  <c r="D12" i="65"/>
  <c r="AI11" i="3"/>
  <c r="AI12"/>
  <c r="W6" i="1"/>
  <c r="B6" i="65"/>
  <c r="AG10" i="7"/>
  <c r="AH10"/>
  <c r="H18" i="5"/>
  <c r="Y17"/>
  <c r="Y17" i="1"/>
  <c r="AB17" s="1"/>
  <c r="BA17" i="5"/>
  <c r="BD17" s="1"/>
  <c r="U17"/>
  <c r="R16" i="1"/>
  <c r="V16" s="1"/>
  <c r="S17"/>
  <c r="I18"/>
  <c r="J15"/>
  <c r="AL15"/>
  <c r="D16" i="75" s="1"/>
  <c r="E16" s="1"/>
  <c r="G16" i="1"/>
  <c r="U16" s="1"/>
  <c r="AC15" i="7"/>
  <c r="AD15"/>
  <c r="AB16"/>
  <c r="AA16"/>
  <c r="Z17"/>
  <c r="AH14"/>
  <c r="AG14"/>
  <c r="C16"/>
  <c r="D16"/>
  <c r="G13"/>
  <c r="H13"/>
  <c r="BE15"/>
  <c r="BG15" s="1"/>
  <c r="AD13" i="3"/>
  <c r="E12" i="63"/>
  <c r="I15" i="65"/>
  <c r="M15" i="2"/>
  <c r="E13" i="82" s="1"/>
  <c r="F14"/>
  <c r="G14"/>
  <c r="I15"/>
  <c r="H10" i="7"/>
  <c r="G10"/>
  <c r="H11"/>
  <c r="G11"/>
  <c r="I12"/>
  <c r="J12"/>
  <c r="AI6"/>
  <c r="AJ6"/>
  <c r="L14"/>
  <c r="K14"/>
  <c r="AG9"/>
  <c r="AH9"/>
  <c r="I7"/>
  <c r="J7"/>
  <c r="G9"/>
  <c r="H9"/>
  <c r="G6"/>
  <c r="H6"/>
  <c r="G15"/>
  <c r="H15"/>
  <c r="AE8"/>
  <c r="AF8"/>
  <c r="G8"/>
  <c r="H8"/>
  <c r="AS36" l="1"/>
  <c r="AQ36"/>
  <c r="AQ34"/>
  <c r="BC35"/>
  <c r="AS35"/>
  <c r="AQ35"/>
  <c r="BC36"/>
  <c r="T17" i="1"/>
  <c r="D14" i="65"/>
  <c r="J13" i="82"/>
  <c r="O29" i="79"/>
  <c r="I28"/>
  <c r="AH7" i="7"/>
  <c r="AI7" s="1"/>
  <c r="AG13"/>
  <c r="AZ13" i="5"/>
  <c r="BC13" s="1"/>
  <c r="AU14"/>
  <c r="AA9" i="1"/>
  <c r="AB8"/>
  <c r="Y9"/>
  <c r="U7"/>
  <c r="AG11" i="7"/>
  <c r="AH11"/>
  <c r="AG12"/>
  <c r="D13" i="65"/>
  <c r="AL8" i="1"/>
  <c r="B7" i="65"/>
  <c r="AI13" i="7"/>
  <c r="AJ13"/>
  <c r="AJ10"/>
  <c r="AI10"/>
  <c r="H19" i="5"/>
  <c r="Y18"/>
  <c r="Y18" i="1"/>
  <c r="AB18" s="1"/>
  <c r="S17" i="3"/>
  <c r="BA18" i="5"/>
  <c r="BD19" s="1"/>
  <c r="U18"/>
  <c r="R17" i="1"/>
  <c r="V17" s="1"/>
  <c r="S18"/>
  <c r="I19"/>
  <c r="J16"/>
  <c r="AL16"/>
  <c r="D17" i="75" s="1"/>
  <c r="E17" s="1"/>
  <c r="G17" i="1"/>
  <c r="U17" s="1"/>
  <c r="Z18" i="7"/>
  <c r="AJ14"/>
  <c r="AI14"/>
  <c r="AE15"/>
  <c r="AF15"/>
  <c r="AD16"/>
  <c r="AC16"/>
  <c r="D17" i="1"/>
  <c r="E17" s="1"/>
  <c r="AB17" i="7"/>
  <c r="AA17"/>
  <c r="F16"/>
  <c r="E16"/>
  <c r="C17"/>
  <c r="D17"/>
  <c r="I13"/>
  <c r="J13"/>
  <c r="AI13" i="3"/>
  <c r="I16" i="65"/>
  <c r="BE16" i="7"/>
  <c r="BG16" s="1"/>
  <c r="E13" i="63"/>
  <c r="AD14" i="3"/>
  <c r="E14" i="82"/>
  <c r="F15"/>
  <c r="G15"/>
  <c r="N14" i="7"/>
  <c r="M14"/>
  <c r="AJ9"/>
  <c r="AI9"/>
  <c r="J8"/>
  <c r="I8"/>
  <c r="J6"/>
  <c r="I6"/>
  <c r="I9"/>
  <c r="J9"/>
  <c r="L7"/>
  <c r="K7"/>
  <c r="L12"/>
  <c r="K12"/>
  <c r="AG8"/>
  <c r="AH8"/>
  <c r="AJ12"/>
  <c r="AI12"/>
  <c r="I10"/>
  <c r="J10"/>
  <c r="AL6"/>
  <c r="AM6" s="1"/>
  <c r="AK6"/>
  <c r="J15"/>
  <c r="I15"/>
  <c r="I11"/>
  <c r="J11"/>
  <c r="AO6" l="1"/>
  <c r="W7" i="1"/>
  <c r="I16" i="82"/>
  <c r="T18" i="1"/>
  <c r="D9" i="75"/>
  <c r="E9" s="1"/>
  <c r="D15" i="65"/>
  <c r="BD18" i="5"/>
  <c r="J14" i="82"/>
  <c r="O14" i="2"/>
  <c r="I29" i="79"/>
  <c r="O30"/>
  <c r="AJ7" i="7"/>
  <c r="AK7" s="1"/>
  <c r="AZ14" i="5"/>
  <c r="BC14" s="1"/>
  <c r="AU15"/>
  <c r="AU16" s="1"/>
  <c r="AU17" s="1"/>
  <c r="AA10" i="1"/>
  <c r="AB9"/>
  <c r="Y10"/>
  <c r="AI11" i="7"/>
  <c r="AJ11"/>
  <c r="W8" i="1"/>
  <c r="B8" i="65"/>
  <c r="AL9" i="1"/>
  <c r="AK13" i="7"/>
  <c r="AL13"/>
  <c r="AM13" s="1"/>
  <c r="AL10"/>
  <c r="AM10" s="1"/>
  <c r="AK10"/>
  <c r="H20" i="5"/>
  <c r="Y19"/>
  <c r="Y19" i="1"/>
  <c r="AB19" s="1"/>
  <c r="S18" i="3"/>
  <c r="U18" s="1"/>
  <c r="U19" i="5"/>
  <c r="R18" i="1"/>
  <c r="V18" s="1"/>
  <c r="S19"/>
  <c r="I20"/>
  <c r="J17"/>
  <c r="AL17"/>
  <c r="D18" i="75" s="1"/>
  <c r="E18" s="1"/>
  <c r="G18" i="1"/>
  <c r="U18" s="1"/>
  <c r="AG15" i="7"/>
  <c r="AH15"/>
  <c r="AF16"/>
  <c r="AE16"/>
  <c r="Z19"/>
  <c r="AD17"/>
  <c r="AC17"/>
  <c r="AB18"/>
  <c r="AA18"/>
  <c r="AK14"/>
  <c r="AL14"/>
  <c r="AM14" s="1"/>
  <c r="D18" i="1"/>
  <c r="E18" s="1"/>
  <c r="E17" i="7"/>
  <c r="F17"/>
  <c r="L13"/>
  <c r="K13"/>
  <c r="G16"/>
  <c r="H16"/>
  <c r="C18"/>
  <c r="D18"/>
  <c r="AI14" i="3"/>
  <c r="I17" i="65"/>
  <c r="AD15" i="3"/>
  <c r="E14" i="63"/>
  <c r="BE17" i="7"/>
  <c r="BG17" s="1"/>
  <c r="E15" i="82"/>
  <c r="F16"/>
  <c r="N15" i="2"/>
  <c r="R15" s="1"/>
  <c r="P14" i="7"/>
  <c r="O14"/>
  <c r="L10"/>
  <c r="K10"/>
  <c r="AL12"/>
  <c r="AM12" s="1"/>
  <c r="AK12"/>
  <c r="N7"/>
  <c r="M7"/>
  <c r="AK9"/>
  <c r="AL9"/>
  <c r="AM9" s="1"/>
  <c r="K9"/>
  <c r="L9"/>
  <c r="L15"/>
  <c r="K15"/>
  <c r="L8"/>
  <c r="K8"/>
  <c r="L11"/>
  <c r="K11"/>
  <c r="AI8"/>
  <c r="AJ8"/>
  <c r="N12"/>
  <c r="M12"/>
  <c r="L6"/>
  <c r="K6"/>
  <c r="I17" i="82" l="1"/>
  <c r="T19" i="1"/>
  <c r="AL18"/>
  <c r="D19" i="75" s="1"/>
  <c r="E19" s="1"/>
  <c r="D10"/>
  <c r="E10" s="1"/>
  <c r="D16" i="65"/>
  <c r="G16" i="82"/>
  <c r="J15"/>
  <c r="AN6" i="7"/>
  <c r="O15" i="2"/>
  <c r="S15" i="76"/>
  <c r="I30" i="79"/>
  <c r="O31"/>
  <c r="AL7" i="7"/>
  <c r="AM7" s="1"/>
  <c r="AO7" s="1"/>
  <c r="AN7" s="1"/>
  <c r="AO9"/>
  <c r="AZ15" i="5"/>
  <c r="BC15" s="1"/>
  <c r="AA11" i="1"/>
  <c r="Y11"/>
  <c r="AB10"/>
  <c r="AL11" i="7"/>
  <c r="AM11" s="1"/>
  <c r="AK11"/>
  <c r="AO10"/>
  <c r="AL10" i="1"/>
  <c r="B9" i="65"/>
  <c r="W9" i="1"/>
  <c r="AO12" i="7"/>
  <c r="AO13"/>
  <c r="H21" i="5"/>
  <c r="Y20"/>
  <c r="Y20" i="1"/>
  <c r="AB20" s="1"/>
  <c r="S19" i="3"/>
  <c r="U20" i="5"/>
  <c r="R19" i="1"/>
  <c r="V19" s="1"/>
  <c r="S20"/>
  <c r="I21"/>
  <c r="G19"/>
  <c r="U19" s="1"/>
  <c r="J18"/>
  <c r="AA19" i="7"/>
  <c r="AB19"/>
  <c r="AC18"/>
  <c r="AD18"/>
  <c r="AI15"/>
  <c r="AJ15"/>
  <c r="AG16"/>
  <c r="AH16"/>
  <c r="AO14"/>
  <c r="AE17"/>
  <c r="AF17"/>
  <c r="Z20"/>
  <c r="D20" i="1"/>
  <c r="E20" s="1"/>
  <c r="D19"/>
  <c r="E19" s="1"/>
  <c r="F18" i="7"/>
  <c r="E18"/>
  <c r="H17"/>
  <c r="G17"/>
  <c r="N13"/>
  <c r="M13"/>
  <c r="J16"/>
  <c r="I16"/>
  <c r="C19"/>
  <c r="D19"/>
  <c r="AI15" i="3"/>
  <c r="BE18" i="7"/>
  <c r="BG18" s="1"/>
  <c r="AD16" i="3"/>
  <c r="I18" i="65"/>
  <c r="E15" i="63"/>
  <c r="E16" i="82"/>
  <c r="F17"/>
  <c r="G17"/>
  <c r="E13" i="81"/>
  <c r="C13" i="63"/>
  <c r="D13" s="1"/>
  <c r="Q14" i="7"/>
  <c r="R14"/>
  <c r="M6"/>
  <c r="N6"/>
  <c r="AK8"/>
  <c r="AL8"/>
  <c r="AM8" s="1"/>
  <c r="N10"/>
  <c r="M10"/>
  <c r="M15"/>
  <c r="N15"/>
  <c r="M9"/>
  <c r="N9"/>
  <c r="N8"/>
  <c r="M8"/>
  <c r="O12"/>
  <c r="P12"/>
  <c r="O7"/>
  <c r="P7"/>
  <c r="M11"/>
  <c r="N11"/>
  <c r="I18" i="82" l="1"/>
  <c r="AL19" i="1"/>
  <c r="D20" i="75" s="1"/>
  <c r="E20" s="1"/>
  <c r="D11"/>
  <c r="E11" s="1"/>
  <c r="D17" i="65"/>
  <c r="U19" i="3"/>
  <c r="T20" i="1"/>
  <c r="J16" i="82"/>
  <c r="S16" i="76"/>
  <c r="I31" i="79"/>
  <c r="AN14" i="7"/>
  <c r="AN12"/>
  <c r="AN13"/>
  <c r="AN10"/>
  <c r="AN9"/>
  <c r="AO8"/>
  <c r="AZ16" i="5"/>
  <c r="BC16" s="1"/>
  <c r="AA12" i="1"/>
  <c r="AA13"/>
  <c r="Y12"/>
  <c r="Y13"/>
  <c r="AB11"/>
  <c r="AO11" i="7"/>
  <c r="AL11" i="1"/>
  <c r="D12" i="75" s="1"/>
  <c r="E12" s="1"/>
  <c r="W10" i="1"/>
  <c r="B10" i="65"/>
  <c r="H22" i="5"/>
  <c r="Y21"/>
  <c r="Y21" i="1"/>
  <c r="AB21" s="1"/>
  <c r="S20" i="3"/>
  <c r="U20" s="1"/>
  <c r="BD21" i="5"/>
  <c r="U21"/>
  <c r="R20" i="1"/>
  <c r="V20" s="1"/>
  <c r="S21"/>
  <c r="J19"/>
  <c r="G20"/>
  <c r="U20" s="1"/>
  <c r="AC19" i="7"/>
  <c r="AD19"/>
  <c r="AE18"/>
  <c r="AF18"/>
  <c r="AK15"/>
  <c r="AL15"/>
  <c r="AM15" s="1"/>
  <c r="Z21"/>
  <c r="AG17"/>
  <c r="AH17"/>
  <c r="AA20"/>
  <c r="AB20"/>
  <c r="AI16"/>
  <c r="AJ16"/>
  <c r="C20"/>
  <c r="D20"/>
  <c r="F19"/>
  <c r="E19"/>
  <c r="I17"/>
  <c r="J17"/>
  <c r="P13"/>
  <c r="O13"/>
  <c r="L16"/>
  <c r="K16"/>
  <c r="G18"/>
  <c r="H18"/>
  <c r="BE19"/>
  <c r="BG19" s="1"/>
  <c r="I19" i="65"/>
  <c r="E16" i="63"/>
  <c r="AD17" i="3"/>
  <c r="AI16"/>
  <c r="F18" i="82"/>
  <c r="G18"/>
  <c r="C14" i="63"/>
  <c r="D14" s="1"/>
  <c r="E14" i="81"/>
  <c r="J16" i="65"/>
  <c r="P10" i="7"/>
  <c r="O10"/>
  <c r="O11"/>
  <c r="P11"/>
  <c r="R7"/>
  <c r="Q7"/>
  <c r="P8"/>
  <c r="O8"/>
  <c r="T14"/>
  <c r="S14"/>
  <c r="P6"/>
  <c r="O6"/>
  <c r="O9"/>
  <c r="P9"/>
  <c r="Q12"/>
  <c r="R12"/>
  <c r="P15"/>
  <c r="O15"/>
  <c r="C12" i="3" l="1"/>
  <c r="E17" i="82"/>
  <c r="I19"/>
  <c r="AL20" i="1"/>
  <c r="D21" i="75" s="1"/>
  <c r="E21" s="1"/>
  <c r="D18" i="65"/>
  <c r="T21" i="1"/>
  <c r="J17" i="82"/>
  <c r="S17" i="76"/>
  <c r="O33" i="79"/>
  <c r="I32"/>
  <c r="AN11" i="7"/>
  <c r="AN8"/>
  <c r="AU18" i="5"/>
  <c r="AZ17"/>
  <c r="BC17" s="1"/>
  <c r="AB13" i="1"/>
  <c r="AB12"/>
  <c r="AO15" i="7"/>
  <c r="B11" i="65"/>
  <c r="W11" i="1"/>
  <c r="AL12"/>
  <c r="AL13"/>
  <c r="D14" i="75" s="1"/>
  <c r="E14" s="1"/>
  <c r="H23" i="5"/>
  <c r="Y22"/>
  <c r="Y22" i="1"/>
  <c r="AB22" s="1"/>
  <c r="S21" i="3"/>
  <c r="BA22" i="5"/>
  <c r="BD22" s="1"/>
  <c r="U22"/>
  <c r="V21" i="1"/>
  <c r="S22"/>
  <c r="G21"/>
  <c r="AL21" s="1"/>
  <c r="J20"/>
  <c r="AJ17" i="7"/>
  <c r="AI17"/>
  <c r="AC20"/>
  <c r="AD20"/>
  <c r="AK16"/>
  <c r="AL16"/>
  <c r="AM16" s="1"/>
  <c r="Z22"/>
  <c r="AA21"/>
  <c r="AB21"/>
  <c r="AF19"/>
  <c r="AE19"/>
  <c r="AH18"/>
  <c r="AG18"/>
  <c r="N16"/>
  <c r="M16"/>
  <c r="Q13"/>
  <c r="R13"/>
  <c r="J18"/>
  <c r="I18"/>
  <c r="F20"/>
  <c r="E20"/>
  <c r="G19"/>
  <c r="H19"/>
  <c r="D21"/>
  <c r="C21"/>
  <c r="L17"/>
  <c r="K17"/>
  <c r="I20" i="65"/>
  <c r="E17" i="63"/>
  <c r="BE20" i="7"/>
  <c r="BG20" s="1"/>
  <c r="AD18" i="3"/>
  <c r="AI17"/>
  <c r="E18" i="82"/>
  <c r="F19"/>
  <c r="G19"/>
  <c r="I20"/>
  <c r="J17" i="65"/>
  <c r="C15" i="63"/>
  <c r="D15" s="1"/>
  <c r="E15" i="81"/>
  <c r="Q6" i="7"/>
  <c r="R6"/>
  <c r="U14"/>
  <c r="V14"/>
  <c r="W14" s="1"/>
  <c r="R9"/>
  <c r="Q9"/>
  <c r="T7"/>
  <c r="S7"/>
  <c r="T12"/>
  <c r="S12"/>
  <c r="R8"/>
  <c r="Q8"/>
  <c r="R11"/>
  <c r="Q11"/>
  <c r="Q15"/>
  <c r="R15"/>
  <c r="Q10"/>
  <c r="R10"/>
  <c r="C13" i="3" l="1"/>
  <c r="D19" i="65"/>
  <c r="T22" i="1"/>
  <c r="J18" i="82"/>
  <c r="D13" i="75"/>
  <c r="E13" s="1"/>
  <c r="I33" i="79"/>
  <c r="AN15" i="7"/>
  <c r="AU19" i="5"/>
  <c r="AZ19" s="1"/>
  <c r="AZ18"/>
  <c r="W12" i="1"/>
  <c r="B12" i="65"/>
  <c r="Y23" i="5"/>
  <c r="Y14" i="7"/>
  <c r="AR14" s="1"/>
  <c r="S22" i="3"/>
  <c r="U22" s="1"/>
  <c r="BA23" i="5"/>
  <c r="BD23" s="1"/>
  <c r="U23"/>
  <c r="R22" i="1"/>
  <c r="V22" s="1"/>
  <c r="G22"/>
  <c r="AL22" s="1"/>
  <c r="J21"/>
  <c r="U21"/>
  <c r="D22" i="75"/>
  <c r="E22" s="1"/>
  <c r="Z23" i="7"/>
  <c r="AD21"/>
  <c r="AC21"/>
  <c r="AG19"/>
  <c r="AH19"/>
  <c r="AF20"/>
  <c r="AE20"/>
  <c r="AL17"/>
  <c r="AM17" s="1"/>
  <c r="AK17"/>
  <c r="AJ18"/>
  <c r="AI18"/>
  <c r="AO16"/>
  <c r="AB22"/>
  <c r="AA22"/>
  <c r="P16"/>
  <c r="O16"/>
  <c r="I19"/>
  <c r="J19"/>
  <c r="E21"/>
  <c r="F21"/>
  <c r="G20"/>
  <c r="H20"/>
  <c r="S13"/>
  <c r="T13"/>
  <c r="K18"/>
  <c r="L18"/>
  <c r="N17"/>
  <c r="M17"/>
  <c r="C22"/>
  <c r="D22"/>
  <c r="AI18" i="3"/>
  <c r="BE21" i="7"/>
  <c r="BG21" s="1"/>
  <c r="AD19" i="3"/>
  <c r="I21" i="65"/>
  <c r="E18" i="63"/>
  <c r="F20" i="82"/>
  <c r="G20"/>
  <c r="J18" i="65"/>
  <c r="S6" i="7"/>
  <c r="T6"/>
  <c r="T11"/>
  <c r="S11"/>
  <c r="S10"/>
  <c r="T10"/>
  <c r="T8"/>
  <c r="S8"/>
  <c r="U7"/>
  <c r="V7"/>
  <c r="W7" s="1"/>
  <c r="V12"/>
  <c r="W12" s="1"/>
  <c r="U12"/>
  <c r="S15"/>
  <c r="T15"/>
  <c r="S9"/>
  <c r="T9"/>
  <c r="C14" i="3" l="1"/>
  <c r="E19" i="82"/>
  <c r="I21"/>
  <c r="D20" i="65"/>
  <c r="BC19" i="5"/>
  <c r="BC18"/>
  <c r="J19" i="82"/>
  <c r="AN16" i="7"/>
  <c r="AU20" i="5"/>
  <c r="AZ20" s="1"/>
  <c r="BC20" s="1"/>
  <c r="X14" i="7"/>
  <c r="B13" i="65"/>
  <c r="W13" i="1"/>
  <c r="Y7" i="7"/>
  <c r="H25" i="5"/>
  <c r="Y24" i="1"/>
  <c r="AB24" s="1"/>
  <c r="BD24" i="5"/>
  <c r="S24" i="1"/>
  <c r="D23" i="75"/>
  <c r="E23" s="1"/>
  <c r="J22" i="1"/>
  <c r="U22"/>
  <c r="AI19" i="7"/>
  <c r="AJ19"/>
  <c r="AC22"/>
  <c r="AD22"/>
  <c r="AH20"/>
  <c r="AG20"/>
  <c r="Z24"/>
  <c r="AA23"/>
  <c r="AB23"/>
  <c r="AE21"/>
  <c r="AF21"/>
  <c r="AL18"/>
  <c r="AM18" s="1"/>
  <c r="AK18"/>
  <c r="AO17"/>
  <c r="P17"/>
  <c r="O17"/>
  <c r="H21"/>
  <c r="G21"/>
  <c r="R16"/>
  <c r="Q16"/>
  <c r="J20"/>
  <c r="I20"/>
  <c r="E22"/>
  <c r="F22"/>
  <c r="D23"/>
  <c r="C23"/>
  <c r="U13"/>
  <c r="V13"/>
  <c r="W13" s="1"/>
  <c r="M18"/>
  <c r="N18"/>
  <c r="L19"/>
  <c r="K19"/>
  <c r="AD20" i="3"/>
  <c r="E19" i="63"/>
  <c r="I22" i="65"/>
  <c r="BE22" i="7"/>
  <c r="BG22" s="1"/>
  <c r="AI19" i="3"/>
  <c r="E20" i="82"/>
  <c r="F21"/>
  <c r="G21"/>
  <c r="E17" i="81"/>
  <c r="C17" i="63"/>
  <c r="D17" s="1"/>
  <c r="V15" i="7"/>
  <c r="W15" s="1"/>
  <c r="U15"/>
  <c r="V10"/>
  <c r="W10" s="1"/>
  <c r="U10"/>
  <c r="U11"/>
  <c r="V11"/>
  <c r="W11" s="1"/>
  <c r="AQ14"/>
  <c r="U9"/>
  <c r="V9"/>
  <c r="W9" s="1"/>
  <c r="U8"/>
  <c r="V8"/>
  <c r="W8" s="1"/>
  <c r="V6"/>
  <c r="W6" s="1"/>
  <c r="U6"/>
  <c r="Y12"/>
  <c r="AR12" s="1"/>
  <c r="C15" i="3" l="1"/>
  <c r="AR7" i="7"/>
  <c r="AQ7" s="1"/>
  <c r="I22" i="82"/>
  <c r="D21" i="65"/>
  <c r="T24" i="1"/>
  <c r="J20" i="82"/>
  <c r="S20" i="76"/>
  <c r="AN17" i="7"/>
  <c r="Y9"/>
  <c r="AR9" s="1"/>
  <c r="AU21" i="5"/>
  <c r="AZ21" s="1"/>
  <c r="Y11" i="7"/>
  <c r="AR11" s="1"/>
  <c r="AS12" s="1"/>
  <c r="B14" i="65"/>
  <c r="W14" i="1"/>
  <c r="Y8" i="7"/>
  <c r="AR8" s="1"/>
  <c r="X7"/>
  <c r="Y13"/>
  <c r="AR13" s="1"/>
  <c r="AS13" s="1"/>
  <c r="Y10"/>
  <c r="AR10" s="1"/>
  <c r="H26" i="5"/>
  <c r="Y25" i="1"/>
  <c r="AB25" s="1"/>
  <c r="AO18" i="7"/>
  <c r="Y15"/>
  <c r="AR15" s="1"/>
  <c r="S24" i="3"/>
  <c r="U24" s="1"/>
  <c r="BA25" i="5"/>
  <c r="BD25" s="1"/>
  <c r="U25"/>
  <c r="R24" i="1"/>
  <c r="V24" s="1"/>
  <c r="S25"/>
  <c r="G24"/>
  <c r="AL24" s="1"/>
  <c r="AD23" i="7"/>
  <c r="AC23"/>
  <c r="AE22"/>
  <c r="AF22"/>
  <c r="Z25"/>
  <c r="AA24"/>
  <c r="AB24"/>
  <c r="AK19"/>
  <c r="AL19"/>
  <c r="AM19" s="1"/>
  <c r="AG21"/>
  <c r="AH21"/>
  <c r="AI20"/>
  <c r="AJ20"/>
  <c r="Q17"/>
  <c r="R17"/>
  <c r="O18"/>
  <c r="P18"/>
  <c r="G22"/>
  <c r="H22"/>
  <c r="E23"/>
  <c r="F23"/>
  <c r="C24"/>
  <c r="D24"/>
  <c r="J21"/>
  <c r="I21"/>
  <c r="M19"/>
  <c r="N19"/>
  <c r="T16"/>
  <c r="S16"/>
  <c r="K20"/>
  <c r="L20"/>
  <c r="AD21" i="3"/>
  <c r="I23" i="65"/>
  <c r="BE23" i="7"/>
  <c r="BG23" s="1"/>
  <c r="E20" i="63"/>
  <c r="AI20" i="3"/>
  <c r="F22" i="82"/>
  <c r="G22"/>
  <c r="I23"/>
  <c r="J20" i="65"/>
  <c r="C18" i="63"/>
  <c r="D18" s="1"/>
  <c r="E18" i="81"/>
  <c r="X12" i="7"/>
  <c r="Y6"/>
  <c r="C16" i="3" l="1"/>
  <c r="AS10" i="7"/>
  <c r="AS9"/>
  <c r="AR6"/>
  <c r="AS6" s="1"/>
  <c r="BC15"/>
  <c r="E21" i="82"/>
  <c r="AS11" i="7"/>
  <c r="AS14"/>
  <c r="D22" i="65"/>
  <c r="T25" i="1"/>
  <c r="J21" i="82"/>
  <c r="D24" i="75"/>
  <c r="E24" s="1"/>
  <c r="S21" i="76"/>
  <c r="X13" i="7"/>
  <c r="X10"/>
  <c r="BC10"/>
  <c r="AN18"/>
  <c r="X9"/>
  <c r="X15"/>
  <c r="AU22" i="5"/>
  <c r="BC21"/>
  <c r="X11" i="7"/>
  <c r="U21" i="3"/>
  <c r="B15" i="65"/>
  <c r="W15" i="1"/>
  <c r="X8" i="7"/>
  <c r="AO19"/>
  <c r="H27" i="5"/>
  <c r="Y26" i="1"/>
  <c r="AB26" s="1"/>
  <c r="BA26" i="5"/>
  <c r="BD26" s="1"/>
  <c r="U26"/>
  <c r="R25" i="1"/>
  <c r="V25" s="1"/>
  <c r="S26"/>
  <c r="J24"/>
  <c r="D25" i="75"/>
  <c r="E25" s="1"/>
  <c r="U24" i="1"/>
  <c r="G25"/>
  <c r="AL25" s="1"/>
  <c r="AC24" i="7"/>
  <c r="AD24"/>
  <c r="AK20"/>
  <c r="AL20"/>
  <c r="AM20" s="1"/>
  <c r="AE23"/>
  <c r="AF23"/>
  <c r="AH22"/>
  <c r="AG22"/>
  <c r="AJ21"/>
  <c r="AI21"/>
  <c r="Z26"/>
  <c r="AA25"/>
  <c r="AB25"/>
  <c r="P19"/>
  <c r="O19"/>
  <c r="H23"/>
  <c r="G23"/>
  <c r="I22"/>
  <c r="J22"/>
  <c r="F24"/>
  <c r="E24"/>
  <c r="C25"/>
  <c r="D25"/>
  <c r="V16"/>
  <c r="W16" s="1"/>
  <c r="U16"/>
  <c r="T17"/>
  <c r="S17"/>
  <c r="M20"/>
  <c r="N20"/>
  <c r="R18"/>
  <c r="Q18"/>
  <c r="L21"/>
  <c r="K21"/>
  <c r="AI21" i="3"/>
  <c r="BE24" i="7"/>
  <c r="BG24" s="1"/>
  <c r="E21" i="63"/>
  <c r="I24" i="65"/>
  <c r="AD22" i="3"/>
  <c r="E22" i="82"/>
  <c r="F23"/>
  <c r="J21" i="65"/>
  <c r="C19" i="63"/>
  <c r="D19" s="1"/>
  <c r="E19" i="81"/>
  <c r="X6" i="7"/>
  <c r="AQ9"/>
  <c r="AQ12"/>
  <c r="C17" i="3" l="1"/>
  <c r="AS7" i="7"/>
  <c r="AQ6"/>
  <c r="AS15"/>
  <c r="AS8"/>
  <c r="G23" i="82"/>
  <c r="I24"/>
  <c r="D23" i="65"/>
  <c r="BC8" i="7"/>
  <c r="AQ11"/>
  <c r="BC12"/>
  <c r="AQ15"/>
  <c r="T26" i="1"/>
  <c r="J22" i="82"/>
  <c r="S22" i="76"/>
  <c r="AQ8" i="7"/>
  <c r="BC9"/>
  <c r="AN19"/>
  <c r="AU23" i="5"/>
  <c r="AU24" s="1"/>
  <c r="AZ24" s="1"/>
  <c r="AZ22"/>
  <c r="BC22" s="1"/>
  <c r="AQ10" i="7"/>
  <c r="BC11"/>
  <c r="AQ13"/>
  <c r="BC14"/>
  <c r="BC13"/>
  <c r="B16" i="65"/>
  <c r="W16" i="1"/>
  <c r="H28" i="5"/>
  <c r="AO20" i="7"/>
  <c r="Y16"/>
  <c r="Y27" i="1"/>
  <c r="AB27" s="1"/>
  <c r="U26" i="3"/>
  <c r="BA27" i="5"/>
  <c r="BD27" s="1"/>
  <c r="U27"/>
  <c r="R26" i="1"/>
  <c r="V26" s="1"/>
  <c r="S27"/>
  <c r="G26"/>
  <c r="AL26" s="1"/>
  <c r="J25"/>
  <c r="D26" i="75"/>
  <c r="E26" s="1"/>
  <c r="U25" i="1"/>
  <c r="AC25" i="7"/>
  <c r="AD25"/>
  <c r="AK21"/>
  <c r="AL21"/>
  <c r="AM21" s="1"/>
  <c r="AJ22"/>
  <c r="AI22"/>
  <c r="AA26"/>
  <c r="AB26"/>
  <c r="AF24"/>
  <c r="AE24"/>
  <c r="Z27"/>
  <c r="AH23"/>
  <c r="AG23"/>
  <c r="K22"/>
  <c r="L22"/>
  <c r="N21"/>
  <c r="M21"/>
  <c r="H24"/>
  <c r="G24"/>
  <c r="O20"/>
  <c r="P20"/>
  <c r="R19"/>
  <c r="Q19"/>
  <c r="J23"/>
  <c r="I23"/>
  <c r="V17"/>
  <c r="W17" s="1"/>
  <c r="U17"/>
  <c r="D26"/>
  <c r="C26"/>
  <c r="E25"/>
  <c r="F25"/>
  <c r="S18"/>
  <c r="T18"/>
  <c r="I25" i="65"/>
  <c r="E22" i="63"/>
  <c r="BE25" i="7"/>
  <c r="BG25" s="1"/>
  <c r="AI22" i="3"/>
  <c r="E23" i="82"/>
  <c r="F24"/>
  <c r="G24"/>
  <c r="E20" i="81"/>
  <c r="C20" i="63"/>
  <c r="D20" s="1"/>
  <c r="J22" i="65"/>
  <c r="BC6" i="7"/>
  <c r="C18" i="3" l="1"/>
  <c r="AR16" i="7"/>
  <c r="AS16" s="1"/>
  <c r="I25" i="82"/>
  <c r="D24" i="65"/>
  <c r="T27" i="1"/>
  <c r="J23" i="82"/>
  <c r="S23" i="76"/>
  <c r="AN20" i="7"/>
  <c r="X16"/>
  <c r="AZ23" i="5"/>
  <c r="BC23" s="1"/>
  <c r="B17" i="65"/>
  <c r="AO21" i="7"/>
  <c r="Y17"/>
  <c r="H29" i="5"/>
  <c r="Y28" i="1"/>
  <c r="AB28" s="1"/>
  <c r="S27" i="3"/>
  <c r="U27" s="1"/>
  <c r="BA28" i="5"/>
  <c r="BD28" s="1"/>
  <c r="U28"/>
  <c r="R27" i="1"/>
  <c r="V27" s="1"/>
  <c r="S28"/>
  <c r="U26"/>
  <c r="J26"/>
  <c r="G27"/>
  <c r="AL27" s="1"/>
  <c r="AB27" i="7"/>
  <c r="AA27"/>
  <c r="AK22"/>
  <c r="AL22"/>
  <c r="AM22" s="1"/>
  <c r="AJ23"/>
  <c r="AI23"/>
  <c r="AD26"/>
  <c r="AC26"/>
  <c r="AH24"/>
  <c r="AG24"/>
  <c r="AE25"/>
  <c r="AF25"/>
  <c r="Z28"/>
  <c r="V18"/>
  <c r="W18" s="1"/>
  <c r="U18"/>
  <c r="M22"/>
  <c r="N22"/>
  <c r="I24"/>
  <c r="J24"/>
  <c r="T19"/>
  <c r="S19"/>
  <c r="L23"/>
  <c r="K23"/>
  <c r="Q20"/>
  <c r="R20"/>
  <c r="P21"/>
  <c r="O21"/>
  <c r="F26"/>
  <c r="E26"/>
  <c r="D27"/>
  <c r="C27"/>
  <c r="G25"/>
  <c r="H25"/>
  <c r="D25" i="65"/>
  <c r="BE26" i="7"/>
  <c r="BG26" s="1"/>
  <c r="E6" i="63"/>
  <c r="E23"/>
  <c r="I26" i="65"/>
  <c r="AD24" i="3"/>
  <c r="E24" i="82"/>
  <c r="F25"/>
  <c r="G25"/>
  <c r="J23" i="65"/>
  <c r="C21" i="63"/>
  <c r="D21" s="1"/>
  <c r="E21" i="81"/>
  <c r="C19" i="3" l="1"/>
  <c r="AR17" i="7"/>
  <c r="AS17" s="1"/>
  <c r="I26" i="82"/>
  <c r="T28" i="1"/>
  <c r="J24" i="82"/>
  <c r="D27" i="75"/>
  <c r="E27" s="1"/>
  <c r="S24" i="76"/>
  <c r="AN21" i="7"/>
  <c r="AU25" i="5"/>
  <c r="BC24"/>
  <c r="X17" i="7"/>
  <c r="B18" i="65"/>
  <c r="H30" i="5"/>
  <c r="AO22" i="7"/>
  <c r="Y29" i="1"/>
  <c r="AB29" s="1"/>
  <c r="Y18" i="7"/>
  <c r="S28" i="3"/>
  <c r="U28" s="1"/>
  <c r="BA29" i="5"/>
  <c r="BD29" s="1"/>
  <c r="U29"/>
  <c r="R28" i="1"/>
  <c r="V28" s="1"/>
  <c r="S29"/>
  <c r="D28" i="75"/>
  <c r="E28" s="1"/>
  <c r="U27" i="1"/>
  <c r="J27"/>
  <c r="G28"/>
  <c r="AL28" s="1"/>
  <c r="AL23" i="7"/>
  <c r="AM23" s="1"/>
  <c r="AK23"/>
  <c r="AC27"/>
  <c r="AD27"/>
  <c r="AA28"/>
  <c r="AB28"/>
  <c r="AJ24"/>
  <c r="AI24"/>
  <c r="AH25"/>
  <c r="AG25"/>
  <c r="Z29"/>
  <c r="AE26"/>
  <c r="AF26"/>
  <c r="M23"/>
  <c r="N23"/>
  <c r="T20"/>
  <c r="S20"/>
  <c r="P22"/>
  <c r="O22"/>
  <c r="R21"/>
  <c r="Q21"/>
  <c r="F27"/>
  <c r="E27"/>
  <c r="I25"/>
  <c r="J25"/>
  <c r="U19"/>
  <c r="V19"/>
  <c r="W19" s="1"/>
  <c r="C28"/>
  <c r="D28"/>
  <c r="H26"/>
  <c r="G26"/>
  <c r="L24"/>
  <c r="K24"/>
  <c r="AI24" i="3"/>
  <c r="I27" i="65"/>
  <c r="E24" i="63"/>
  <c r="BE27" i="7"/>
  <c r="BG27" s="1"/>
  <c r="E25" i="82"/>
  <c r="F26"/>
  <c r="G26"/>
  <c r="J24" i="65"/>
  <c r="E22" i="81"/>
  <c r="C22" i="63"/>
  <c r="D22" s="1"/>
  <c r="C20" i="3" l="1"/>
  <c r="AR18" i="7"/>
  <c r="AS18" s="1"/>
  <c r="I27" i="82"/>
  <c r="D26" i="65"/>
  <c r="T29" i="1"/>
  <c r="J25" i="82"/>
  <c r="S25" i="76"/>
  <c r="X18" i="7"/>
  <c r="AN22"/>
  <c r="AU26" i="5"/>
  <c r="AZ25"/>
  <c r="BC25" s="1"/>
  <c r="B19" i="65"/>
  <c r="H31" i="5"/>
  <c r="S29" i="3"/>
  <c r="U29" s="1"/>
  <c r="BA30" i="5"/>
  <c r="BD30" s="1"/>
  <c r="U30"/>
  <c r="G29" i="1"/>
  <c r="AL29" s="1"/>
  <c r="U28"/>
  <c r="J28"/>
  <c r="D29" i="75"/>
  <c r="E29" s="1"/>
  <c r="AG26" i="7"/>
  <c r="AH26"/>
  <c r="AL24"/>
  <c r="AM24" s="1"/>
  <c r="AK24"/>
  <c r="AJ25"/>
  <c r="AI25"/>
  <c r="Z30"/>
  <c r="AF27"/>
  <c r="AE27"/>
  <c r="AO23"/>
  <c r="AB29"/>
  <c r="AA29"/>
  <c r="AC28"/>
  <c r="AD28"/>
  <c r="M24"/>
  <c r="N24"/>
  <c r="G27"/>
  <c r="H27"/>
  <c r="R22"/>
  <c r="Q22"/>
  <c r="E28"/>
  <c r="F28"/>
  <c r="L25"/>
  <c r="K25"/>
  <c r="U20"/>
  <c r="V20"/>
  <c r="W20" s="1"/>
  <c r="O23"/>
  <c r="P23"/>
  <c r="D29"/>
  <c r="C29"/>
  <c r="J26"/>
  <c r="I26"/>
  <c r="S21"/>
  <c r="T21"/>
  <c r="Y19"/>
  <c r="D27" i="65"/>
  <c r="AD26" i="3"/>
  <c r="BE28" i="7"/>
  <c r="BG28" s="1"/>
  <c r="I28" i="65"/>
  <c r="E25" i="63"/>
  <c r="E26" i="82"/>
  <c r="F27"/>
  <c r="G27"/>
  <c r="J25" i="65"/>
  <c r="C23" i="63"/>
  <c r="D23" s="1"/>
  <c r="E23" i="81"/>
  <c r="C21" i="3" l="1"/>
  <c r="AR19" i="7"/>
  <c r="AS19" s="1"/>
  <c r="I28" i="82"/>
  <c r="J26"/>
  <c r="S26" i="76"/>
  <c r="AN23" i="7"/>
  <c r="AU27" i="5"/>
  <c r="AZ26"/>
  <c r="BC26" s="1"/>
  <c r="B20" i="65"/>
  <c r="AO24" i="7"/>
  <c r="H32" i="5"/>
  <c r="Y31" i="1"/>
  <c r="AB31" s="1"/>
  <c r="S30" i="3"/>
  <c r="S35" s="1"/>
  <c r="BA31" i="5"/>
  <c r="BD31" s="1"/>
  <c r="U31"/>
  <c r="S31" i="1"/>
  <c r="AL30"/>
  <c r="D30" i="75"/>
  <c r="E30" s="1"/>
  <c r="U29" i="1"/>
  <c r="J29"/>
  <c r="Z31" i="7"/>
  <c r="AH27"/>
  <c r="AG27"/>
  <c r="AJ26"/>
  <c r="AI26"/>
  <c r="AL25"/>
  <c r="AM25" s="1"/>
  <c r="AK25"/>
  <c r="AF28"/>
  <c r="AE28"/>
  <c r="AD29"/>
  <c r="AC29"/>
  <c r="AB30"/>
  <c r="AA30"/>
  <c r="Y20"/>
  <c r="I27"/>
  <c r="J27"/>
  <c r="M25"/>
  <c r="N25"/>
  <c r="Q23"/>
  <c r="R23"/>
  <c r="S22"/>
  <c r="T22"/>
  <c r="K26"/>
  <c r="L26"/>
  <c r="O24"/>
  <c r="P24"/>
  <c r="X19"/>
  <c r="E29"/>
  <c r="F29"/>
  <c r="C30"/>
  <c r="D30"/>
  <c r="V21"/>
  <c r="W21" s="1"/>
  <c r="U21"/>
  <c r="H28"/>
  <c r="G28"/>
  <c r="BE29"/>
  <c r="BG29" s="1"/>
  <c r="AD27" i="3"/>
  <c r="I29" i="65"/>
  <c r="E26" i="63"/>
  <c r="AI26" i="3"/>
  <c r="E27" i="82"/>
  <c r="F28"/>
  <c r="G28"/>
  <c r="J26" i="65"/>
  <c r="E24" i="81"/>
  <c r="C24" i="63"/>
  <c r="D24" s="1"/>
  <c r="C22" i="3" l="1"/>
  <c r="AR20" i="7"/>
  <c r="AS20" s="1"/>
  <c r="I29" i="82"/>
  <c r="U30" i="3"/>
  <c r="D28" i="65"/>
  <c r="T31" i="1"/>
  <c r="S27" i="76"/>
  <c r="J27" i="82"/>
  <c r="AN24" i="7"/>
  <c r="X20"/>
  <c r="AU28" i="5"/>
  <c r="AU29" s="1"/>
  <c r="AZ27"/>
  <c r="BC27" s="1"/>
  <c r="B21" i="65"/>
  <c r="H33" i="5"/>
  <c r="H37" s="1"/>
  <c r="BA32"/>
  <c r="BD32" s="1"/>
  <c r="U32"/>
  <c r="R31" i="1"/>
  <c r="V31" s="1"/>
  <c r="G31"/>
  <c r="AL31" s="1"/>
  <c r="D31" i="75"/>
  <c r="E31" s="1"/>
  <c r="AG28" i="7"/>
  <c r="AH28"/>
  <c r="AA31"/>
  <c r="AB31"/>
  <c r="Z32"/>
  <c r="AK26"/>
  <c r="AL26"/>
  <c r="AM26" s="1"/>
  <c r="AJ27"/>
  <c r="AI27"/>
  <c r="AF29"/>
  <c r="AE29"/>
  <c r="AC30"/>
  <c r="AD30"/>
  <c r="AO25"/>
  <c r="Y21"/>
  <c r="T23"/>
  <c r="S23"/>
  <c r="I28"/>
  <c r="J28"/>
  <c r="P25"/>
  <c r="O25"/>
  <c r="E30"/>
  <c r="F30"/>
  <c r="R24"/>
  <c r="Q24"/>
  <c r="V22"/>
  <c r="W22" s="1"/>
  <c r="U22"/>
  <c r="M26"/>
  <c r="N26"/>
  <c r="L27"/>
  <c r="K27"/>
  <c r="H29"/>
  <c r="G29"/>
  <c r="AI27" i="3"/>
  <c r="I30" i="65"/>
  <c r="E27" i="63"/>
  <c r="AD28" i="3"/>
  <c r="BE30" i="7"/>
  <c r="BG30" s="1"/>
  <c r="E28" i="82"/>
  <c r="F29"/>
  <c r="G29"/>
  <c r="E25" i="81"/>
  <c r="C25" i="63"/>
  <c r="D25" s="1"/>
  <c r="J27" i="65"/>
  <c r="E22" i="3" l="1"/>
  <c r="F22"/>
  <c r="AR21" i="7"/>
  <c r="AS21" s="1"/>
  <c r="D29" i="65"/>
  <c r="S28" i="76"/>
  <c r="J28" i="82"/>
  <c r="AN25" i="7"/>
  <c r="AZ28" i="5"/>
  <c r="BC28" s="1"/>
  <c r="B22" i="65"/>
  <c r="Y22" i="7"/>
  <c r="AR22" s="1"/>
  <c r="Y37" i="5"/>
  <c r="X21" i="7"/>
  <c r="BA33" i="5"/>
  <c r="BD34" s="1"/>
  <c r="U33"/>
  <c r="U37" s="1"/>
  <c r="J31" i="1"/>
  <c r="U31"/>
  <c r="U36" s="1"/>
  <c r="D32" i="75"/>
  <c r="E32" s="1"/>
  <c r="Z33" i="7"/>
  <c r="AJ28"/>
  <c r="AI28"/>
  <c r="AL27"/>
  <c r="AM27" s="1"/>
  <c r="AK27"/>
  <c r="AC31"/>
  <c r="AD31"/>
  <c r="AG29"/>
  <c r="AH29"/>
  <c r="AB32"/>
  <c r="AA32"/>
  <c r="AF30"/>
  <c r="AE30"/>
  <c r="AO26"/>
  <c r="S24"/>
  <c r="T24"/>
  <c r="G30"/>
  <c r="H30"/>
  <c r="J29"/>
  <c r="I29"/>
  <c r="P26"/>
  <c r="O26"/>
  <c r="U23"/>
  <c r="V23"/>
  <c r="W23" s="1"/>
  <c r="M27"/>
  <c r="N27"/>
  <c r="R25"/>
  <c r="Q25"/>
  <c r="K28"/>
  <c r="L28"/>
  <c r="I31" i="65"/>
  <c r="E28" i="63"/>
  <c r="AD29" i="3"/>
  <c r="BE31" i="7"/>
  <c r="BG31" s="1"/>
  <c r="AI28" i="3"/>
  <c r="C26" i="63"/>
  <c r="D26" s="1"/>
  <c r="E26" i="81"/>
  <c r="J28" i="65"/>
  <c r="C23" i="3" l="1"/>
  <c r="E23" s="1"/>
  <c r="F23" s="1"/>
  <c r="E29" i="82"/>
  <c r="AS22" i="7"/>
  <c r="D30" i="65"/>
  <c r="BD33" i="5"/>
  <c r="AL32" i="1"/>
  <c r="AL36" s="1"/>
  <c r="S29" i="76"/>
  <c r="J29" i="82"/>
  <c r="AN26" i="7"/>
  <c r="AU30" i="5"/>
  <c r="AZ29"/>
  <c r="BC29" s="1"/>
  <c r="B23" i="65"/>
  <c r="X22" i="7"/>
  <c r="D1" i="5"/>
  <c r="AO27" i="7"/>
  <c r="Y23"/>
  <c r="AR23" s="1"/>
  <c r="AG30"/>
  <c r="AH30"/>
  <c r="AF31"/>
  <c r="AE31"/>
  <c r="AI29"/>
  <c r="AJ29"/>
  <c r="AB33"/>
  <c r="AA33"/>
  <c r="AC32"/>
  <c r="AD32"/>
  <c r="AL28"/>
  <c r="AM28" s="1"/>
  <c r="AK28"/>
  <c r="O27"/>
  <c r="P27"/>
  <c r="Q26"/>
  <c r="R26"/>
  <c r="U24"/>
  <c r="V24"/>
  <c r="W24" s="1"/>
  <c r="S25"/>
  <c r="T25"/>
  <c r="J30"/>
  <c r="I30"/>
  <c r="M28"/>
  <c r="N28"/>
  <c r="K29"/>
  <c r="L29"/>
  <c r="A30" i="63"/>
  <c r="AI29" i="3"/>
  <c r="AD30"/>
  <c r="I32" i="65"/>
  <c r="BE32" i="7"/>
  <c r="BG32" s="1"/>
  <c r="E29" i="63"/>
  <c r="J29" i="65"/>
  <c r="C27" i="63"/>
  <c r="D27" s="1"/>
  <c r="E27" i="81"/>
  <c r="AS23" i="7" l="1"/>
  <c r="D33" i="75"/>
  <c r="E33" s="1"/>
  <c r="D31" i="65"/>
  <c r="D34" i="75"/>
  <c r="E34" s="1"/>
  <c r="S30" i="76"/>
  <c r="AN27" i="7"/>
  <c r="B7" i="77"/>
  <c r="AU31" i="5"/>
  <c r="AZ31" s="1"/>
  <c r="AZ30"/>
  <c r="BC30" s="1"/>
  <c r="B24" i="65"/>
  <c r="Y24" i="7"/>
  <c r="AR24" s="1"/>
  <c r="X23"/>
  <c r="G31" i="63"/>
  <c r="AD33" i="7"/>
  <c r="AC33"/>
  <c r="AJ30"/>
  <c r="AI30"/>
  <c r="AF32"/>
  <c r="AE32"/>
  <c r="AK29"/>
  <c r="AL29"/>
  <c r="AM29" s="1"/>
  <c r="AH31"/>
  <c r="AG31"/>
  <c r="AO28"/>
  <c r="U25"/>
  <c r="V25"/>
  <c r="W25" s="1"/>
  <c r="L30"/>
  <c r="K30"/>
  <c r="M29"/>
  <c r="N29"/>
  <c r="Q27"/>
  <c r="R27"/>
  <c r="P28"/>
  <c r="O28"/>
  <c r="S26"/>
  <c r="T26"/>
  <c r="A31" i="63"/>
  <c r="AI30" i="3"/>
  <c r="E30" i="63"/>
  <c r="I33" i="65"/>
  <c r="BE33" i="7"/>
  <c r="BG33" s="1"/>
  <c r="C28" i="63"/>
  <c r="D28" s="1"/>
  <c r="E28" i="81"/>
  <c r="J30" i="65"/>
  <c r="C24" i="3" l="1"/>
  <c r="AS24" i="7"/>
  <c r="D32" i="65"/>
  <c r="S31" i="76"/>
  <c r="X24" i="7"/>
  <c r="AN28"/>
  <c r="AU32" i="5"/>
  <c r="BC31"/>
  <c r="B25" i="65"/>
  <c r="AO29" i="7"/>
  <c r="Y25"/>
  <c r="AR25" s="1"/>
  <c r="J36" i="1"/>
  <c r="AG32" i="7"/>
  <c r="AH32"/>
  <c r="AL30"/>
  <c r="AM30" s="1"/>
  <c r="AK30"/>
  <c r="AF33"/>
  <c r="AE33"/>
  <c r="AI31"/>
  <c r="AJ31"/>
  <c r="R28"/>
  <c r="Q28"/>
  <c r="V26"/>
  <c r="W26" s="1"/>
  <c r="U26"/>
  <c r="M30"/>
  <c r="N30"/>
  <c r="P29"/>
  <c r="O29"/>
  <c r="S27"/>
  <c r="T27"/>
  <c r="B31" i="63"/>
  <c r="H33" i="65"/>
  <c r="B30" i="63"/>
  <c r="D33" i="65"/>
  <c r="E31" i="63"/>
  <c r="J31" i="65"/>
  <c r="C29" i="63"/>
  <c r="D29" s="1"/>
  <c r="E29" i="81"/>
  <c r="C25" i="3" l="1"/>
  <c r="J1" i="1"/>
  <c r="AS25" i="7"/>
  <c r="D35" i="75"/>
  <c r="E35" s="1"/>
  <c r="AN29" i="7"/>
  <c r="AU33" i="5"/>
  <c r="AU34" s="1"/>
  <c r="AZ32"/>
  <c r="BC32" s="1"/>
  <c r="X25" i="7"/>
  <c r="B26" i="65"/>
  <c r="Y26" i="7"/>
  <c r="AR26" s="1"/>
  <c r="AO30"/>
  <c r="F31" i="63"/>
  <c r="AI32" i="7"/>
  <c r="AJ32"/>
  <c r="AK31"/>
  <c r="AL31"/>
  <c r="AM31" s="1"/>
  <c r="AH33"/>
  <c r="AG33"/>
  <c r="R29"/>
  <c r="Q29"/>
  <c r="P30"/>
  <c r="O30"/>
  <c r="V27"/>
  <c r="W27" s="1"/>
  <c r="U27"/>
  <c r="S28"/>
  <c r="T28"/>
  <c r="D34" i="65"/>
  <c r="J32"/>
  <c r="C30" i="63"/>
  <c r="D30" s="1"/>
  <c r="C26" i="3" l="1"/>
  <c r="AZ34" i="5"/>
  <c r="AU35"/>
  <c r="AS26" i="7"/>
  <c r="X26"/>
  <c r="AN30"/>
  <c r="AZ33" i="5"/>
  <c r="E16" i="77"/>
  <c r="G8"/>
  <c r="AO31" i="7"/>
  <c r="B27" i="65"/>
  <c r="AJ33" i="7"/>
  <c r="AI33"/>
  <c r="AK32"/>
  <c r="AL32"/>
  <c r="AM32" s="1"/>
  <c r="V28"/>
  <c r="W28" s="1"/>
  <c r="U28"/>
  <c r="Y27"/>
  <c r="AR27" s="1"/>
  <c r="S29"/>
  <c r="T29"/>
  <c r="R30"/>
  <c r="Q30"/>
  <c r="C31" i="63"/>
  <c r="D31" s="1"/>
  <c r="J33" i="65"/>
  <c r="C27" i="3" l="1"/>
  <c r="BC34" i="5"/>
  <c r="AZ35"/>
  <c r="BC35" s="1"/>
  <c r="AU36"/>
  <c r="AZ36" s="1"/>
  <c r="AS27" i="7"/>
  <c r="BC33" i="5"/>
  <c r="AN31" i="7"/>
  <c r="C36" i="76"/>
  <c r="E9" i="77"/>
  <c r="G9" s="1"/>
  <c r="B28" i="65"/>
  <c r="AK33" i="7"/>
  <c r="AL33"/>
  <c r="AM33" s="1"/>
  <c r="AO32"/>
  <c r="Y28"/>
  <c r="AR28" s="1"/>
  <c r="X27"/>
  <c r="V29"/>
  <c r="W29" s="1"/>
  <c r="U29"/>
  <c r="S30"/>
  <c r="T30"/>
  <c r="C28" i="3" l="1"/>
  <c r="BC36" i="5"/>
  <c r="AS28" i="7"/>
  <c r="AN32"/>
  <c r="F9" i="77"/>
  <c r="B29" i="65"/>
  <c r="AO33" i="7"/>
  <c r="X28"/>
  <c r="U30"/>
  <c r="V30"/>
  <c r="W30" s="1"/>
  <c r="Y29"/>
  <c r="AR29" s="1"/>
  <c r="T31"/>
  <c r="AS29" l="1"/>
  <c r="AN33"/>
  <c r="B30" i="65"/>
  <c r="Y30" i="7"/>
  <c r="AR30" s="1"/>
  <c r="T32"/>
  <c r="U31"/>
  <c r="V31"/>
  <c r="W31" s="1"/>
  <c r="X29"/>
  <c r="C29" i="3" l="1"/>
  <c r="AS30" i="7"/>
  <c r="X30"/>
  <c r="B31" i="65"/>
  <c r="Y31" i="7"/>
  <c r="AR31" s="1"/>
  <c r="T33"/>
  <c r="V32"/>
  <c r="W32" s="1"/>
  <c r="U32"/>
  <c r="C30" i="3" l="1"/>
  <c r="AS31" i="7"/>
  <c r="B32" i="65"/>
  <c r="Y32" i="7"/>
  <c r="AR32" s="1"/>
  <c r="X31"/>
  <c r="U33"/>
  <c r="V33"/>
  <c r="W33" s="1"/>
  <c r="AS32" l="1"/>
  <c r="X32"/>
  <c r="B33" i="65"/>
  <c r="Y33" i="7"/>
  <c r="C31" i="3" l="1"/>
  <c r="AR33" i="7"/>
  <c r="B34" i="65"/>
  <c r="X33" i="7"/>
  <c r="AR43" l="1"/>
  <c r="AR44" s="1"/>
  <c r="BC34"/>
  <c r="AS34"/>
  <c r="AS33"/>
  <c r="L11" i="5"/>
  <c r="L16"/>
  <c r="AK16" s="1"/>
  <c r="L13"/>
  <c r="AK13" s="1"/>
  <c r="L15"/>
  <c r="AK15" s="1"/>
  <c r="L12"/>
  <c r="AK12" s="1"/>
  <c r="L19"/>
  <c r="AK19" s="1"/>
  <c r="C32" i="3" l="1"/>
  <c r="AS40" i="7"/>
  <c r="H8" i="63"/>
  <c r="AK11" i="5"/>
  <c r="L31"/>
  <c r="AK31" s="1"/>
  <c r="L10"/>
  <c r="AK10" s="1"/>
  <c r="L8"/>
  <c r="L21"/>
  <c r="AK21" s="1"/>
  <c r="L25"/>
  <c r="H9" i="63"/>
  <c r="L14" i="5"/>
  <c r="AK14" s="1"/>
  <c r="L17"/>
  <c r="AK17" s="1"/>
  <c r="L23"/>
  <c r="AK23" s="1"/>
  <c r="L29"/>
  <c r="L30"/>
  <c r="AK30" s="1"/>
  <c r="L22"/>
  <c r="L32"/>
  <c r="AK32" s="1"/>
  <c r="L28"/>
  <c r="L27"/>
  <c r="AK27" s="1"/>
  <c r="F19" i="65"/>
  <c r="H16" i="63"/>
  <c r="F15" i="65"/>
  <c r="H12" i="63"/>
  <c r="L26" i="5"/>
  <c r="AK26" s="1"/>
  <c r="L9"/>
  <c r="AK9" s="1"/>
  <c r="L20"/>
  <c r="AK20" s="1"/>
  <c r="F12" i="65"/>
  <c r="L18" i="5"/>
  <c r="AK18" s="1"/>
  <c r="F16" i="65"/>
  <c r="H10" i="63"/>
  <c r="H13"/>
  <c r="F13" i="65"/>
  <c r="F11"/>
  <c r="L33" i="5"/>
  <c r="AK33" s="1"/>
  <c r="C33" i="3" l="1"/>
  <c r="C35" s="1"/>
  <c r="H7" i="63"/>
  <c r="F22" i="65"/>
  <c r="AK22" i="5"/>
  <c r="H22" i="63"/>
  <c r="AK25" i="5"/>
  <c r="F17" i="65"/>
  <c r="H25" i="63"/>
  <c r="AK28" i="5"/>
  <c r="H31" i="63"/>
  <c r="H5"/>
  <c r="AK8" i="5"/>
  <c r="H18" i="63"/>
  <c r="H26"/>
  <c r="AK29" i="5"/>
  <c r="F14" i="65"/>
  <c r="H28" i="63"/>
  <c r="H11"/>
  <c r="F31" i="65"/>
  <c r="H14" i="63"/>
  <c r="F21" i="65"/>
  <c r="F27"/>
  <c r="F8"/>
  <c r="F10"/>
  <c r="H19" i="63"/>
  <c r="H20"/>
  <c r="F23" i="65"/>
  <c r="F25"/>
  <c r="H27" i="63"/>
  <c r="F30" i="65"/>
  <c r="F29"/>
  <c r="F24"/>
  <c r="H21" i="63"/>
  <c r="H29"/>
  <c r="F34" i="65"/>
  <c r="H24" i="63"/>
  <c r="F28" i="65"/>
  <c r="F32"/>
  <c r="H30" i="63"/>
  <c r="F33" i="65"/>
  <c r="F26"/>
  <c r="H23" i="63"/>
  <c r="H6"/>
  <c r="F9" i="65"/>
  <c r="F20"/>
  <c r="H17" i="63"/>
  <c r="H15"/>
  <c r="F18" i="65"/>
  <c r="L7" i="5"/>
  <c r="L37" s="1"/>
  <c r="AK37" s="1"/>
  <c r="AK7" l="1"/>
  <c r="F7" i="65"/>
  <c r="H4" i="63"/>
  <c r="B10" i="77" l="1"/>
  <c r="AA13" i="74" l="1"/>
  <c r="AB13"/>
  <c r="O86" l="1"/>
  <c r="N86"/>
  <c r="F5" i="65" l="1"/>
  <c r="H2" i="63"/>
  <c r="AB23" i="74" l="1"/>
  <c r="AA23"/>
  <c r="BC20" i="7" l="1"/>
  <c r="AQ19"/>
  <c r="AQ28"/>
  <c r="BC29"/>
  <c r="AQ27"/>
  <c r="BC28"/>
  <c r="BC26"/>
  <c r="AQ25"/>
  <c r="BC31"/>
  <c r="AQ30"/>
  <c r="BC32"/>
  <c r="AQ31"/>
  <c r="AQ32"/>
  <c r="BC33"/>
  <c r="BC18"/>
  <c r="AQ17"/>
  <c r="AQ33"/>
  <c r="AQ23"/>
  <c r="BC24"/>
  <c r="BC17"/>
  <c r="AQ16"/>
  <c r="BC16"/>
  <c r="BC27"/>
  <c r="AQ26"/>
  <c r="BC30"/>
  <c r="AQ29"/>
  <c r="AQ21"/>
  <c r="BC22"/>
  <c r="BC19"/>
  <c r="AQ18"/>
  <c r="BC25"/>
  <c r="AQ24"/>
  <c r="BC23"/>
  <c r="AQ22"/>
  <c r="AQ20"/>
  <c r="BC21"/>
  <c r="I5" i="1" l="1"/>
  <c r="V5" s="1"/>
  <c r="V36" s="1"/>
  <c r="V37" s="1"/>
  <c r="AA5"/>
  <c r="AA17" l="1"/>
  <c r="W5"/>
  <c r="B5" i="65"/>
  <c r="AA18" i="1" l="1"/>
  <c r="AA19" l="1"/>
  <c r="AA20" l="1"/>
  <c r="AA21" l="1"/>
  <c r="AA22" l="1"/>
  <c r="AA24" l="1"/>
  <c r="AA25" l="1"/>
  <c r="AA26" l="1"/>
  <c r="AA27" l="1"/>
  <c r="AA28" l="1"/>
  <c r="AA29" l="1"/>
  <c r="AA31" l="1"/>
  <c r="F34" i="75" l="1"/>
  <c r="G34" s="1"/>
  <c r="C33" i="65"/>
  <c r="E33" s="1"/>
  <c r="F35" i="75" l="1"/>
  <c r="G35" s="1"/>
  <c r="C34" i="65"/>
  <c r="E34" s="1"/>
  <c r="O5" i="1" l="1"/>
  <c r="O6" s="1"/>
  <c r="O7" s="1"/>
  <c r="O8" s="1"/>
  <c r="O9" s="1"/>
  <c r="O10" s="1"/>
  <c r="O11" s="1"/>
  <c r="O12" s="1"/>
  <c r="O13" l="1"/>
  <c r="O14" s="1"/>
  <c r="O15" s="1"/>
  <c r="O16" s="1"/>
  <c r="O19" l="1"/>
  <c r="O20" s="1"/>
  <c r="O21" s="1"/>
  <c r="O22" s="1"/>
  <c r="O17"/>
  <c r="O23" l="1"/>
  <c r="O24" s="1"/>
  <c r="O25" l="1"/>
  <c r="O26" s="1"/>
  <c r="O27" s="1"/>
  <c r="O28" s="1"/>
  <c r="O29" s="1"/>
  <c r="O30" l="1"/>
  <c r="O31" s="1"/>
  <c r="O32" s="1"/>
  <c r="O33" s="1"/>
  <c r="O34" s="1"/>
  <c r="O35" s="1"/>
  <c r="G34" i="65"/>
  <c r="I31" i="63" l="1"/>
  <c r="BC7" i="5" l="1"/>
  <c r="BC8"/>
  <c r="Y4" i="3" l="1"/>
  <c r="Y5" l="1"/>
  <c r="Y6" l="1"/>
  <c r="Y8" l="1"/>
  <c r="U17" l="1"/>
  <c r="D18" i="77" l="1"/>
  <c r="H16" i="82" l="1"/>
  <c r="C16" i="63"/>
  <c r="D16" s="1"/>
  <c r="S18" i="76" l="1"/>
  <c r="E16" i="81"/>
  <c r="J19" i="65" l="1"/>
  <c r="H7" i="82"/>
  <c r="H11"/>
  <c r="H4"/>
  <c r="H3"/>
  <c r="H5"/>
  <c r="H8"/>
  <c r="H6"/>
  <c r="H9"/>
  <c r="H10"/>
  <c r="N5" i="2"/>
  <c r="S5" i="76" s="1"/>
  <c r="N10" i="2"/>
  <c r="R10" s="1"/>
  <c r="C4" i="63"/>
  <c r="D4" s="1"/>
  <c r="E5" i="81"/>
  <c r="N11" i="2"/>
  <c r="S11" i="76" s="1"/>
  <c r="N13" i="2"/>
  <c r="R13" s="1"/>
  <c r="N12"/>
  <c r="R12" s="1"/>
  <c r="N9"/>
  <c r="E7" i="81" s="1"/>
  <c r="N8" i="2"/>
  <c r="E6" i="81" s="1"/>
  <c r="E9" l="1"/>
  <c r="R11" i="2"/>
  <c r="S7" i="76"/>
  <c r="S8"/>
  <c r="S12"/>
  <c r="R7" i="2"/>
  <c r="C6" i="63"/>
  <c r="D6" s="1"/>
  <c r="J13" i="65"/>
  <c r="J11"/>
  <c r="J14"/>
  <c r="E3" i="81"/>
  <c r="S9" i="76"/>
  <c r="S13"/>
  <c r="S6"/>
  <c r="S10"/>
  <c r="C3" i="63"/>
  <c r="D3" s="1"/>
  <c r="R6" i="2"/>
  <c r="C10" i="63"/>
  <c r="D10" s="1"/>
  <c r="C9"/>
  <c r="D9" s="1"/>
  <c r="C8"/>
  <c r="D8" s="1"/>
  <c r="E11" i="81"/>
  <c r="R9" i="2"/>
  <c r="E10" i="81"/>
  <c r="E4"/>
  <c r="C11" i="63"/>
  <c r="D11" s="1"/>
  <c r="R5" i="2"/>
  <c r="R8"/>
  <c r="C5" i="63"/>
  <c r="D5" s="1"/>
  <c r="C7"/>
  <c r="D7" s="1"/>
  <c r="E8" i="81"/>
  <c r="J8" i="65" l="1"/>
  <c r="J12"/>
  <c r="J7"/>
  <c r="J9"/>
  <c r="J6"/>
  <c r="J10"/>
  <c r="N14" i="2"/>
  <c r="R14" s="1"/>
  <c r="E12" i="81" l="1"/>
  <c r="C12" i="63"/>
  <c r="D12" s="1"/>
  <c r="S14" i="76"/>
  <c r="H12" i="82"/>
  <c r="J15" i="65" l="1"/>
  <c r="C6" i="5" l="1"/>
  <c r="C7" l="1"/>
  <c r="G3" i="63"/>
  <c r="I6" i="5"/>
  <c r="D6"/>
  <c r="E6"/>
  <c r="J6" l="1"/>
  <c r="L2" i="81" s="1"/>
  <c r="K2"/>
  <c r="E7" i="5"/>
  <c r="G4" i="63"/>
  <c r="D7" i="5"/>
  <c r="I7"/>
  <c r="C8"/>
  <c r="J7" l="1"/>
  <c r="L3" i="81" s="1"/>
  <c r="K3"/>
  <c r="C9" i="5"/>
  <c r="I8"/>
  <c r="D8"/>
  <c r="E8"/>
  <c r="G5" i="63"/>
  <c r="C10" i="5" l="1"/>
  <c r="D9"/>
  <c r="G6" i="63"/>
  <c r="I9" i="5"/>
  <c r="E9"/>
  <c r="J8"/>
  <c r="L4" i="81" s="1"/>
  <c r="K4"/>
  <c r="K5" l="1"/>
  <c r="J9" i="5"/>
  <c r="L5" i="81" s="1"/>
  <c r="C11" i="5"/>
  <c r="E10"/>
  <c r="I10"/>
  <c r="D10"/>
  <c r="G7" i="63"/>
  <c r="J10" i="5" l="1"/>
  <c r="L6" i="81" s="1"/>
  <c r="K6"/>
  <c r="C12" i="5"/>
  <c r="E11"/>
  <c r="G8" i="63"/>
  <c r="D11" i="5"/>
  <c r="I11"/>
  <c r="K7" i="81" l="1"/>
  <c r="J11" i="5"/>
  <c r="L7" i="81" s="1"/>
  <c r="D12" i="5"/>
  <c r="I12"/>
  <c r="E12"/>
  <c r="G9" i="63"/>
  <c r="C13" i="5"/>
  <c r="K8" i="81" l="1"/>
  <c r="J12" i="5"/>
  <c r="L8" i="81" s="1"/>
  <c r="C14" i="5"/>
  <c r="E13"/>
  <c r="G10" i="63"/>
  <c r="D13" i="5"/>
  <c r="I13"/>
  <c r="J13" l="1"/>
  <c r="L9" i="81" s="1"/>
  <c r="K9"/>
  <c r="C15" i="5"/>
  <c r="E14"/>
  <c r="G11" i="63"/>
  <c r="D14" i="5"/>
  <c r="I14"/>
  <c r="D15" l="1"/>
  <c r="E15"/>
  <c r="I15"/>
  <c r="G12" i="63"/>
  <c r="K10" i="81"/>
  <c r="J14" i="5"/>
  <c r="L10" i="81" s="1"/>
  <c r="C16" i="5"/>
  <c r="C17" l="1"/>
  <c r="J15"/>
  <c r="L11" i="81" s="1"/>
  <c r="K11"/>
  <c r="G13" i="63"/>
  <c r="I16" i="5"/>
  <c r="E16"/>
  <c r="D16"/>
  <c r="C18" l="1"/>
  <c r="D17"/>
  <c r="I17"/>
  <c r="G14" i="63"/>
  <c r="E17" i="5"/>
  <c r="J16"/>
  <c r="L12" i="81" s="1"/>
  <c r="K12"/>
  <c r="J17" i="5" l="1"/>
  <c r="L13" i="81" s="1"/>
  <c r="K13"/>
  <c r="D18" i="5"/>
  <c r="E18"/>
  <c r="G15" i="63"/>
  <c r="I18" i="5"/>
  <c r="C19"/>
  <c r="J18" l="1"/>
  <c r="L14" i="81" s="1"/>
  <c r="K14"/>
  <c r="D19" i="5"/>
  <c r="I19"/>
  <c r="G16" i="63"/>
  <c r="E19" i="5"/>
  <c r="C20"/>
  <c r="G2" i="63"/>
  <c r="E20" i="5" l="1"/>
  <c r="I20"/>
  <c r="G17" i="63"/>
  <c r="D20" i="5"/>
  <c r="K15" i="81"/>
  <c r="J19" i="5"/>
  <c r="L15" i="81" s="1"/>
  <c r="C21" i="5"/>
  <c r="J20" l="1"/>
  <c r="L16" i="81" s="1"/>
  <c r="K16"/>
  <c r="C22" i="5"/>
  <c r="G18" i="63"/>
  <c r="I21" i="5"/>
  <c r="E21"/>
  <c r="D21"/>
  <c r="J21" l="1"/>
  <c r="L17" i="81" s="1"/>
  <c r="K17"/>
  <c r="C23" i="5"/>
  <c r="D22"/>
  <c r="E22"/>
  <c r="I22"/>
  <c r="G19" i="63"/>
  <c r="G20" l="1"/>
  <c r="I23" i="5"/>
  <c r="D23"/>
  <c r="E23"/>
  <c r="C24"/>
  <c r="J22"/>
  <c r="L18" i="81" s="1"/>
  <c r="K18"/>
  <c r="C25" i="5" l="1"/>
  <c r="K19" i="81"/>
  <c r="J23" i="5"/>
  <c r="L19" i="81" s="1"/>
  <c r="I24" i="5"/>
  <c r="D24"/>
  <c r="E24"/>
  <c r="G21" i="63"/>
  <c r="G22" l="1"/>
  <c r="I25" i="5"/>
  <c r="E25"/>
  <c r="D25"/>
  <c r="C26"/>
  <c r="J24"/>
  <c r="L20" i="81" s="1"/>
  <c r="K20"/>
  <c r="D26" i="5" l="1"/>
  <c r="E26"/>
  <c r="I26"/>
  <c r="G23" i="63"/>
  <c r="C27" i="5"/>
  <c r="J25"/>
  <c r="L21" i="81" s="1"/>
  <c r="K21"/>
  <c r="K22" l="1"/>
  <c r="J26" i="5"/>
  <c r="L22" i="81" s="1"/>
  <c r="E27" i="5"/>
  <c r="I27"/>
  <c r="D27"/>
  <c r="G24" i="63"/>
  <c r="C28" i="5"/>
  <c r="E28" l="1"/>
  <c r="I28"/>
  <c r="D28"/>
  <c r="G25" i="63"/>
  <c r="C29" i="5"/>
  <c r="K23" i="81"/>
  <c r="J27" i="5"/>
  <c r="L23" i="81" s="1"/>
  <c r="D29" i="5" l="1"/>
  <c r="G26" i="63"/>
  <c r="I29" i="5"/>
  <c r="E29"/>
  <c r="C30"/>
  <c r="J28"/>
  <c r="L24" i="81" s="1"/>
  <c r="K24"/>
  <c r="J29" i="5" l="1"/>
  <c r="L25" i="81" s="1"/>
  <c r="K25"/>
  <c r="C31" i="5"/>
  <c r="G27" i="63"/>
  <c r="D30" i="5"/>
  <c r="E30"/>
  <c r="I30"/>
  <c r="K26" i="81" l="1"/>
  <c r="J30" i="5"/>
  <c r="L26" i="81" s="1"/>
  <c r="I31" i="5"/>
  <c r="D31"/>
  <c r="G28" i="63"/>
  <c r="E31" i="5"/>
  <c r="C32"/>
  <c r="C34" l="1"/>
  <c r="C33"/>
  <c r="J31"/>
  <c r="L27" i="81" s="1"/>
  <c r="K27"/>
  <c r="I32" i="5"/>
  <c r="D32"/>
  <c r="G29" i="63"/>
  <c r="E32" i="5"/>
  <c r="I34" l="1"/>
  <c r="E34"/>
  <c r="D34"/>
  <c r="C36"/>
  <c r="C35"/>
  <c r="K28" i="81"/>
  <c r="J32" i="5"/>
  <c r="L28" i="81" s="1"/>
  <c r="I33" i="5"/>
  <c r="E33"/>
  <c r="E38" s="1"/>
  <c r="G30" i="63"/>
  <c r="I30" s="1"/>
  <c r="D33" i="5"/>
  <c r="D36" l="1"/>
  <c r="I36"/>
  <c r="E36"/>
  <c r="E35"/>
  <c r="D35"/>
  <c r="I35"/>
  <c r="J34"/>
  <c r="L30" i="81" s="1"/>
  <c r="K30"/>
  <c r="J33" i="5"/>
  <c r="L29" i="81" s="1"/>
  <c r="K29"/>
  <c r="J35" i="5" l="1"/>
  <c r="L31" i="81" s="1"/>
  <c r="K31"/>
  <c r="J36" i="5"/>
  <c r="C37"/>
  <c r="D39"/>
  <c r="D37" l="1"/>
  <c r="I37"/>
  <c r="C38"/>
  <c r="B6" i="77"/>
  <c r="AJ39" i="5" l="1"/>
  <c r="AM39" s="1"/>
  <c r="H39"/>
  <c r="D6" i="77"/>
  <c r="E6" s="1"/>
  <c r="G6"/>
  <c r="G39" i="5"/>
  <c r="I38"/>
  <c r="K39" l="1"/>
  <c r="F6" i="77"/>
  <c r="B36" i="74" l="1"/>
  <c r="B39"/>
  <c r="AJ6" i="5" l="1"/>
  <c r="K2" i="82" s="1"/>
  <c r="AA6" i="5"/>
  <c r="AJ7" l="1"/>
  <c r="K3" i="82" s="1"/>
  <c r="AA7" i="5"/>
  <c r="AJ8" l="1"/>
  <c r="K4" i="82" s="1"/>
  <c r="AA8" i="5"/>
  <c r="AJ9" l="1"/>
  <c r="K5" i="82" s="1"/>
  <c r="AA9" i="5"/>
  <c r="AA10" l="1"/>
  <c r="AJ10"/>
  <c r="K6" i="82" s="1"/>
  <c r="AJ11" i="5" l="1"/>
  <c r="K7" i="82" s="1"/>
  <c r="AA11" i="5"/>
  <c r="AA12" l="1"/>
  <c r="AJ12"/>
  <c r="K8" i="82" s="1"/>
  <c r="AA13" i="5" l="1"/>
  <c r="AJ13"/>
  <c r="K9" i="82" s="1"/>
  <c r="AJ14" i="5" l="1"/>
  <c r="K10" i="82" s="1"/>
  <c r="AA14" i="5"/>
  <c r="AA15" l="1"/>
  <c r="AJ15"/>
  <c r="K11" i="82" s="1"/>
  <c r="AJ16" i="5" l="1"/>
  <c r="K12" i="82" s="1"/>
  <c r="AA16" i="5"/>
  <c r="AA17" l="1"/>
  <c r="AJ17"/>
  <c r="K13" i="82" s="1"/>
  <c r="AJ18" i="5" l="1"/>
  <c r="K14" i="82" s="1"/>
  <c r="AA18" i="5"/>
  <c r="AA19" l="1"/>
  <c r="AJ19"/>
  <c r="K15" i="82" s="1"/>
  <c r="AA20" i="5" l="1"/>
  <c r="AJ20"/>
  <c r="K16" i="82" s="1"/>
  <c r="AJ21" i="5" l="1"/>
  <c r="K17" i="82" s="1"/>
  <c r="AA21" i="5"/>
  <c r="AA22" l="1"/>
  <c r="AJ22"/>
  <c r="K18" i="82" s="1"/>
  <c r="AJ23" i="5" l="1"/>
  <c r="K19" i="82" s="1"/>
  <c r="AA23" i="5"/>
  <c r="AJ24" l="1"/>
  <c r="K20" i="82" s="1"/>
  <c r="AA24" i="5"/>
  <c r="AJ25" l="1"/>
  <c r="K21" i="82" s="1"/>
  <c r="AA25" i="5"/>
  <c r="AA26" l="1"/>
  <c r="AJ26"/>
  <c r="K22" i="82" s="1"/>
  <c r="AJ27" i="5" l="1"/>
  <c r="K23" i="82" s="1"/>
  <c r="AA27" i="5"/>
  <c r="AA28" l="1"/>
  <c r="AJ28"/>
  <c r="K24" i="82" s="1"/>
  <c r="AA29" i="5" l="1"/>
  <c r="AJ29"/>
  <c r="K25" i="82" s="1"/>
  <c r="AA30" i="5" l="1"/>
  <c r="AJ30"/>
  <c r="K26" i="82" s="1"/>
  <c r="AJ31" i="5" l="1"/>
  <c r="K27" i="82" s="1"/>
  <c r="AA31" i="5"/>
  <c r="AJ32" l="1"/>
  <c r="K28" i="82" s="1"/>
  <c r="AA32" i="5"/>
  <c r="AA34" l="1"/>
  <c r="AJ34"/>
  <c r="K30" i="82" s="1"/>
  <c r="AA33" i="5"/>
  <c r="AJ33"/>
  <c r="AJ35" l="1"/>
  <c r="K31" i="82" s="1"/>
  <c r="AA35" i="5"/>
  <c r="K29" i="82"/>
  <c r="AJ36" i="5" l="1"/>
  <c r="AA36"/>
  <c r="AJ37" l="1"/>
  <c r="Z38" s="1"/>
  <c r="AG6" l="1"/>
  <c r="AC5" i="1"/>
  <c r="AF5" l="1"/>
  <c r="AH5" s="1"/>
  <c r="AC6"/>
  <c r="AD5"/>
  <c r="AG7" i="5"/>
  <c r="AH6"/>
  <c r="F5" i="75"/>
  <c r="G5" s="1"/>
  <c r="C5" i="65" l="1"/>
  <c r="E5" s="1"/>
  <c r="AI5" i="1"/>
  <c r="AC7"/>
  <c r="AD6"/>
  <c r="AH7" i="5"/>
  <c r="AG8"/>
  <c r="AG9" s="1"/>
  <c r="AG10" s="1"/>
  <c r="AG11" s="1"/>
  <c r="AG12" s="1"/>
  <c r="AG13" s="1"/>
  <c r="AG14" s="1"/>
  <c r="AG15" s="1"/>
  <c r="AG16" s="1"/>
  <c r="AG17" s="1"/>
  <c r="AG18" s="1"/>
  <c r="AG19" s="1"/>
  <c r="AG20" s="1"/>
  <c r="AG21" s="1"/>
  <c r="AG22" s="1"/>
  <c r="AG23" s="1"/>
  <c r="AG24" s="1"/>
  <c r="AG25" s="1"/>
  <c r="AG26" s="1"/>
  <c r="AG27" s="1"/>
  <c r="AG28" s="1"/>
  <c r="AG29" s="1"/>
  <c r="AG30" s="1"/>
  <c r="AG31" s="1"/>
  <c r="AG32" s="1"/>
  <c r="AG33" s="1"/>
  <c r="AG34" s="1"/>
  <c r="AG35" s="1"/>
  <c r="AG36" s="1"/>
  <c r="AG5" i="1"/>
  <c r="AM5"/>
  <c r="AF6"/>
  <c r="AH6" s="1"/>
  <c r="AH8" i="5" l="1"/>
  <c r="AC8" i="1"/>
  <c r="AD7"/>
  <c r="AF7"/>
  <c r="AH7" s="1"/>
  <c r="C6" i="65"/>
  <c r="E6" s="1"/>
  <c r="AI6" i="1"/>
  <c r="AW7" i="7" s="1"/>
  <c r="AW6"/>
  <c r="F6" i="75"/>
  <c r="G6" s="1"/>
  <c r="AM6" i="1"/>
  <c r="F7" i="75" s="1"/>
  <c r="G7" s="1"/>
  <c r="AG6" i="1"/>
  <c r="AF8" l="1"/>
  <c r="AH8" s="1"/>
  <c r="AI7"/>
  <c r="AW8" i="7" s="1"/>
  <c r="C7" i="65"/>
  <c r="E7" s="1"/>
  <c r="AH9" i="5"/>
  <c r="AD8" i="1"/>
  <c r="AC9"/>
  <c r="AJ6"/>
  <c r="AK6" s="1"/>
  <c r="G3" i="81"/>
  <c r="AX7" i="7"/>
  <c r="AX6"/>
  <c r="Q4" i="76" s="1"/>
  <c r="G2" i="81"/>
  <c r="AJ5" i="1"/>
  <c r="AK5" s="1"/>
  <c r="AM7"/>
  <c r="AG7"/>
  <c r="AG8" l="1"/>
  <c r="AM8"/>
  <c r="F9" i="75" s="1"/>
  <c r="G9" s="1"/>
  <c r="AH10" i="5"/>
  <c r="AF9" i="1"/>
  <c r="AH9" s="1"/>
  <c r="C8" i="65"/>
  <c r="E8" s="1"/>
  <c r="AI8" i="1"/>
  <c r="F8" i="75"/>
  <c r="G8" s="1"/>
  <c r="BJ7" i="7"/>
  <c r="AY7"/>
  <c r="Q5" i="76"/>
  <c r="G4" i="81"/>
  <c r="AJ7" i="1"/>
  <c r="AK7" s="1"/>
  <c r="AX8" i="7"/>
  <c r="AC10" i="1"/>
  <c r="AD9"/>
  <c r="BJ6" i="7"/>
  <c r="AY6"/>
  <c r="C9" i="65" l="1"/>
  <c r="E9" s="1"/>
  <c r="AI9" i="1"/>
  <c r="AW10" i="7" s="1"/>
  <c r="AW9"/>
  <c r="AD10" i="1"/>
  <c r="AH11" i="5"/>
  <c r="AF10" i="1"/>
  <c r="AH10" s="1"/>
  <c r="Q6" i="76"/>
  <c r="BJ8" i="7"/>
  <c r="AY8"/>
  <c r="AG9" i="1"/>
  <c r="AM9"/>
  <c r="F10" i="75" s="1"/>
  <c r="G10" s="1"/>
  <c r="AI10" i="1" l="1"/>
  <c r="C10" i="65"/>
  <c r="E10" s="1"/>
  <c r="AJ9" i="1"/>
  <c r="AK9" s="1"/>
  <c r="AX10" i="7"/>
  <c r="G6" i="81"/>
  <c r="AD11" i="1"/>
  <c r="AC12"/>
  <c r="AG10"/>
  <c r="AM10"/>
  <c r="F11" i="75" s="1"/>
  <c r="G11" s="1"/>
  <c r="AH12" i="5"/>
  <c r="AF11" i="1"/>
  <c r="AH11" s="1"/>
  <c r="AJ8"/>
  <c r="AK8" s="1"/>
  <c r="AX9" i="7"/>
  <c r="G5" i="81"/>
  <c r="AW11" i="7" l="1"/>
  <c r="AI11" i="1"/>
  <c r="AW12" i="7" s="1"/>
  <c r="C11" i="65"/>
  <c r="E11" s="1"/>
  <c r="AF12" i="1"/>
  <c r="AH12" s="1"/>
  <c r="AM11"/>
  <c r="AG11"/>
  <c r="Q8" i="76"/>
  <c r="BJ10" i="7"/>
  <c r="AY10"/>
  <c r="AY9"/>
  <c r="Q7" i="76"/>
  <c r="BJ9" i="7"/>
  <c r="AC13" i="1"/>
  <c r="AD12"/>
  <c r="AH13" i="5"/>
  <c r="AG12" i="1" l="1"/>
  <c r="AM12"/>
  <c r="F13" i="75" s="1"/>
  <c r="G13" s="1"/>
  <c r="AX11" i="7"/>
  <c r="AJ10" i="1"/>
  <c r="AK10" s="1"/>
  <c r="G7" i="81"/>
  <c r="AJ11" i="1"/>
  <c r="AK11" s="1"/>
  <c r="AX12" i="7"/>
  <c r="G8" i="81"/>
  <c r="F12" i="75"/>
  <c r="G12" s="1"/>
  <c r="AF13" i="1"/>
  <c r="AH13" s="1"/>
  <c r="AI12"/>
  <c r="C12" i="65"/>
  <c r="E12" s="1"/>
  <c r="AH14" i="5"/>
  <c r="AC14" i="1"/>
  <c r="AD13"/>
  <c r="AF14" l="1"/>
  <c r="AH14" s="1"/>
  <c r="C13" i="65"/>
  <c r="E13" s="1"/>
  <c r="AI13" i="1"/>
  <c r="AW14" i="7" s="1"/>
  <c r="AH15" i="5"/>
  <c r="AW13" i="7"/>
  <c r="Q9" i="76"/>
  <c r="AY11" i="7"/>
  <c r="BJ11"/>
  <c r="BJ12"/>
  <c r="Q10" i="76"/>
  <c r="AY12" i="7"/>
  <c r="AD14" i="1"/>
  <c r="AC15"/>
  <c r="AG13"/>
  <c r="AM13"/>
  <c r="F14" i="75" s="1"/>
  <c r="G14" s="1"/>
  <c r="AI14" i="1" l="1"/>
  <c r="AW15" i="7" s="1"/>
  <c r="C14" i="65"/>
  <c r="E14" s="1"/>
  <c r="AG14" i="1"/>
  <c r="AM14"/>
  <c r="F15" i="75" s="1"/>
  <c r="G15" s="1"/>
  <c r="AC16" i="1"/>
  <c r="AD15"/>
  <c r="AX14" i="7"/>
  <c r="AJ13" i="1"/>
  <c r="AK13" s="1"/>
  <c r="G10" i="81"/>
  <c r="AH16" i="5"/>
  <c r="AF15" i="1"/>
  <c r="AH15" s="1"/>
  <c r="AX13" i="7"/>
  <c r="Q11" i="76" s="1"/>
  <c r="AJ12" i="1"/>
  <c r="AK12" s="1"/>
  <c r="G9" i="81"/>
  <c r="AD16" i="1" l="1"/>
  <c r="AC17"/>
  <c r="Q12" i="76"/>
  <c r="AY14" i="7"/>
  <c r="BJ14"/>
  <c r="C15" i="65"/>
  <c r="E15" s="1"/>
  <c r="AI15" i="1"/>
  <c r="AW16" i="7" s="1"/>
  <c r="AM15" i="1"/>
  <c r="F16" i="75" s="1"/>
  <c r="G16" s="1"/>
  <c r="AG15" i="1"/>
  <c r="G11" i="81"/>
  <c r="AJ14" i="1"/>
  <c r="AK14" s="1"/>
  <c r="AX15" i="7"/>
  <c r="Q13" i="76" s="1"/>
  <c r="AH17" i="5"/>
  <c r="BJ13" i="7"/>
  <c r="AY13"/>
  <c r="AF16" i="1"/>
  <c r="AH16" s="1"/>
  <c r="AM16" l="1"/>
  <c r="F17" i="75" s="1"/>
  <c r="G17" s="1"/>
  <c r="AG16" i="1"/>
  <c r="C16" i="65"/>
  <c r="E16" s="1"/>
  <c r="AI16" i="1"/>
  <c r="AW17" i="7" s="1"/>
  <c r="AH18" i="5"/>
  <c r="AC18" i="1"/>
  <c r="AD17"/>
  <c r="AF17"/>
  <c r="AH17" s="1"/>
  <c r="BJ15" i="7"/>
  <c r="AY15"/>
  <c r="AX16"/>
  <c r="AJ15" i="1"/>
  <c r="AK15" s="1"/>
  <c r="G12" i="81"/>
  <c r="AC19" i="1" l="1"/>
  <c r="AD18"/>
  <c r="AY16" i="7"/>
  <c r="BJ16"/>
  <c r="Q14" i="76"/>
  <c r="AM17" i="1"/>
  <c r="F18" i="75" s="1"/>
  <c r="G18" s="1"/>
  <c r="AG17" i="1"/>
  <c r="AX17" i="7"/>
  <c r="AJ16" i="1"/>
  <c r="AK16" s="1"/>
  <c r="G13" i="81"/>
  <c r="AI17" i="1"/>
  <c r="AW18" i="7" s="1"/>
  <c r="C17" i="65"/>
  <c r="E17" s="1"/>
  <c r="AF18" i="1"/>
  <c r="AH18" s="1"/>
  <c r="AH19" i="5"/>
  <c r="AC20" i="1" l="1"/>
  <c r="AD19"/>
  <c r="AH20" i="5"/>
  <c r="G14" i="81"/>
  <c r="AJ17" i="1"/>
  <c r="AK17" s="1"/>
  <c r="AX18" i="7"/>
  <c r="BJ17"/>
  <c r="Q15" i="76"/>
  <c r="AY17" i="7"/>
  <c r="AG18" i="1"/>
  <c r="AM18"/>
  <c r="F19" i="75" s="1"/>
  <c r="G19" s="1"/>
  <c r="AF19" i="1"/>
  <c r="AH19" s="1"/>
  <c r="AI18"/>
  <c r="AW19" i="7" s="1"/>
  <c r="C18" i="65"/>
  <c r="E18" s="1"/>
  <c r="AX19" i="7" l="1"/>
  <c r="G15" i="81"/>
  <c r="AJ18" i="1"/>
  <c r="AK18" s="1"/>
  <c r="AG19"/>
  <c r="AM19"/>
  <c r="F20" i="75" s="1"/>
  <c r="G20" s="1"/>
  <c r="AF20" i="1"/>
  <c r="AH20" s="1"/>
  <c r="AD20"/>
  <c r="AC21"/>
  <c r="BJ18" i="7"/>
  <c r="Q16" i="76"/>
  <c r="AY18" i="7"/>
  <c r="C19" i="65"/>
  <c r="E19" s="1"/>
  <c r="AI19" i="1"/>
  <c r="AW20" i="7" s="1"/>
  <c r="AX20" s="1"/>
  <c r="AH21" i="5"/>
  <c r="AF21" i="1" l="1"/>
  <c r="AH21" s="1"/>
  <c r="AY19" i="7"/>
  <c r="BJ19"/>
  <c r="Q17" i="76"/>
  <c r="AG20" i="1"/>
  <c r="AM20"/>
  <c r="F21" i="75" s="1"/>
  <c r="G21" s="1"/>
  <c r="AD21" i="1"/>
  <c r="AC22"/>
  <c r="AH22" i="5"/>
  <c r="C20" i="65"/>
  <c r="E20" s="1"/>
  <c r="AI20" i="1"/>
  <c r="AW21" i="7" s="1"/>
  <c r="AJ19" i="1"/>
  <c r="AK19" s="1"/>
  <c r="G16" i="81"/>
  <c r="AD22" i="1" l="1"/>
  <c r="AC23"/>
  <c r="AX21" i="7"/>
  <c r="G17" i="81"/>
  <c r="AJ20" i="1"/>
  <c r="AK20" s="1"/>
  <c r="AF22"/>
  <c r="AH22" s="1"/>
  <c r="AH23" i="5"/>
  <c r="AI21" i="1"/>
  <c r="AW22" i="7" s="1"/>
  <c r="AX22" s="1"/>
  <c r="C21" i="65"/>
  <c r="E21" s="1"/>
  <c r="AY20" i="7"/>
  <c r="Q18" i="76"/>
  <c r="BJ20" i="7"/>
  <c r="AM21" i="1"/>
  <c r="F22" i="75" s="1"/>
  <c r="G22" s="1"/>
  <c r="AG21" i="1"/>
  <c r="AH24" i="5" l="1"/>
  <c r="C22" i="65"/>
  <c r="E22" s="1"/>
  <c r="AI22" i="1"/>
  <c r="AW23" i="7" s="1"/>
  <c r="Q19" i="76"/>
  <c r="AY21" i="7"/>
  <c r="BJ21"/>
  <c r="AF23" i="1"/>
  <c r="AH23" s="1"/>
  <c r="AG22"/>
  <c r="AM22"/>
  <c r="F23" i="75" s="1"/>
  <c r="G23" s="1"/>
  <c r="AJ21" i="1"/>
  <c r="AK21" s="1"/>
  <c r="G18" i="81"/>
  <c r="AD23" i="1"/>
  <c r="AC24"/>
  <c r="AF24" l="1"/>
  <c r="AH24" s="1"/>
  <c r="AM23"/>
  <c r="F24" i="75" s="1"/>
  <c r="G24" s="1"/>
  <c r="AG23" i="1"/>
  <c r="AY22" i="7"/>
  <c r="Q20" i="76"/>
  <c r="BJ22" i="7"/>
  <c r="AX23"/>
  <c r="AJ22" i="1"/>
  <c r="AK22" s="1"/>
  <c r="G19" i="81"/>
  <c r="AH25" i="5"/>
  <c r="AD24" i="1"/>
  <c r="AI23"/>
  <c r="AW24" i="7" s="1"/>
  <c r="C23" i="65"/>
  <c r="E23" s="1"/>
  <c r="AF25" i="1" l="1"/>
  <c r="AH25" s="1"/>
  <c r="AI24"/>
  <c r="AW25" i="7" s="1"/>
  <c r="C24" i="65"/>
  <c r="E24" s="1"/>
  <c r="AY23" i="7"/>
  <c r="Q21" i="76"/>
  <c r="BJ23" i="7"/>
  <c r="AD25" i="1"/>
  <c r="AC26"/>
  <c r="AG24"/>
  <c r="AM24"/>
  <c r="F25" i="75" s="1"/>
  <c r="G25" s="1"/>
  <c r="AH26" i="5"/>
  <c r="AX24" i="7"/>
  <c r="AJ23" i="1"/>
  <c r="AK23" s="1"/>
  <c r="G20" i="81"/>
  <c r="AF26" i="1" l="1"/>
  <c r="AH26" s="1"/>
  <c r="AC27"/>
  <c r="AD26"/>
  <c r="AG25"/>
  <c r="AM25"/>
  <c r="F26" i="75" s="1"/>
  <c r="G26" s="1"/>
  <c r="AX25" i="7"/>
  <c r="G21" i="81"/>
  <c r="AJ24" i="1"/>
  <c r="AK24" s="1"/>
  <c r="AH27" i="5"/>
  <c r="AI25" i="1"/>
  <c r="AW26" i="7" s="1"/>
  <c r="C25" i="65"/>
  <c r="E25" s="1"/>
  <c r="AY24" i="7"/>
  <c r="Q22" i="76"/>
  <c r="BJ24" i="7"/>
  <c r="AD27" i="1" l="1"/>
  <c r="AC28"/>
  <c r="AF27"/>
  <c r="AH27" s="1"/>
  <c r="AG26"/>
  <c r="AM26"/>
  <c r="F27" i="75" s="1"/>
  <c r="G27" s="1"/>
  <c r="C26" i="65"/>
  <c r="E26" s="1"/>
  <c r="AI26" i="1"/>
  <c r="AW27" i="7" s="1"/>
  <c r="AX26"/>
  <c r="AJ25" i="1"/>
  <c r="AK25" s="1"/>
  <c r="G22" i="81"/>
  <c r="AH28" i="5"/>
  <c r="AY25" i="7"/>
  <c r="BJ25"/>
  <c r="Q23" i="76"/>
  <c r="AC29" i="1" l="1"/>
  <c r="AD28"/>
  <c r="AH29" i="5"/>
  <c r="BJ26" i="7"/>
  <c r="Q24" i="76"/>
  <c r="AY26" i="7"/>
  <c r="AX27"/>
  <c r="G23" i="81"/>
  <c r="AJ26" i="1"/>
  <c r="AK26" s="1"/>
  <c r="AI27"/>
  <c r="AW28" i="7" s="1"/>
  <c r="C27" i="65"/>
  <c r="E27" s="1"/>
  <c r="AF28" i="1"/>
  <c r="AH28" s="1"/>
  <c r="AM27"/>
  <c r="F28" i="75" s="1"/>
  <c r="G28" s="1"/>
  <c r="AG27" i="1"/>
  <c r="W6" i="5"/>
  <c r="AL6" s="1"/>
  <c r="AH30" l="1"/>
  <c r="AX28" i="7"/>
  <c r="G24" i="81"/>
  <c r="AJ27" i="1"/>
  <c r="AK27" s="1"/>
  <c r="AY27" i="7"/>
  <c r="Q25" i="76"/>
  <c r="BJ27" i="7"/>
  <c r="AI28" i="1"/>
  <c r="AW29" i="7" s="1"/>
  <c r="C28" i="65"/>
  <c r="E28" s="1"/>
  <c r="AD29" i="1"/>
  <c r="AC30"/>
  <c r="W7" i="5"/>
  <c r="AL7" s="1"/>
  <c r="AF29" i="1"/>
  <c r="AH29" s="1"/>
  <c r="AG28"/>
  <c r="AM28"/>
  <c r="F29" i="75" s="1"/>
  <c r="G29" s="1"/>
  <c r="AF30" i="1" l="1"/>
  <c r="AH30" s="1"/>
  <c r="Q26" i="76"/>
  <c r="AY28" i="7"/>
  <c r="BJ28"/>
  <c r="AI29" i="1"/>
  <c r="AW30" i="7" s="1"/>
  <c r="C29" i="65"/>
  <c r="E29" s="1"/>
  <c r="AH31" i="5"/>
  <c r="AG29" i="1"/>
  <c r="AM29"/>
  <c r="F30" i="75" s="1"/>
  <c r="G30" s="1"/>
  <c r="AC31" i="1"/>
  <c r="AD30"/>
  <c r="W8" i="5"/>
  <c r="AL8" s="1"/>
  <c r="AJ28" i="1"/>
  <c r="AK28" s="1"/>
  <c r="AX29" i="7"/>
  <c r="G25" i="81"/>
  <c r="AI30" i="1" l="1"/>
  <c r="AW31" i="7" s="1"/>
  <c r="C30" i="65"/>
  <c r="E30" s="1"/>
  <c r="AF31" i="1"/>
  <c r="AH31" s="1"/>
  <c r="AJ29"/>
  <c r="AK29" s="1"/>
  <c r="AX30" i="7"/>
  <c r="G26" i="81"/>
  <c r="AD31" i="1"/>
  <c r="AC32"/>
  <c r="W9" i="5"/>
  <c r="AL9" s="1"/>
  <c r="AH32"/>
  <c r="BJ29" i="7"/>
  <c r="AY29"/>
  <c r="Q27" i="76"/>
  <c r="AM30" i="1"/>
  <c r="F31" i="75" s="1"/>
  <c r="G31" s="1"/>
  <c r="AG30" i="1"/>
  <c r="AH33" i="5" l="1"/>
  <c r="AD32" i="1"/>
  <c r="AG32" s="1"/>
  <c r="AC33"/>
  <c r="AF32"/>
  <c r="AH32" s="1"/>
  <c r="C32" i="65" s="1"/>
  <c r="E32" s="1"/>
  <c r="AX31" i="7"/>
  <c r="G27" i="81"/>
  <c r="AJ30" i="1"/>
  <c r="AK30" s="1"/>
  <c r="W10" i="5"/>
  <c r="AL10" s="1"/>
  <c r="BJ30" i="7"/>
  <c r="Q28" i="76"/>
  <c r="AY30" i="7"/>
  <c r="AG31" i="1"/>
  <c r="AM31"/>
  <c r="F32" i="75" s="1"/>
  <c r="G32" s="1"/>
  <c r="AI31" i="1"/>
  <c r="AW32" i="7" s="1"/>
  <c r="C31" i="65"/>
  <c r="E31" s="1"/>
  <c r="AI32" i="1" l="1"/>
  <c r="AW33" i="7" s="1"/>
  <c r="AH34" i="5"/>
  <c r="AD33" i="1"/>
  <c r="AC34"/>
  <c r="AF33"/>
  <c r="AH33" s="1"/>
  <c r="AI33" s="1"/>
  <c r="AM32"/>
  <c r="F33" i="75" s="1"/>
  <c r="G33" s="1"/>
  <c r="AY31" i="7"/>
  <c r="Q29" i="76"/>
  <c r="BJ31" i="7"/>
  <c r="G28" i="81"/>
  <c r="AJ31" i="1"/>
  <c r="AK31" s="1"/>
  <c r="AX32" i="7"/>
  <c r="W11" i="5"/>
  <c r="AL11" s="1"/>
  <c r="AW34" i="7" l="1"/>
  <c r="AH36" i="5"/>
  <c r="AH35"/>
  <c r="AG33" i="1"/>
  <c r="AM33"/>
  <c r="AD34"/>
  <c r="AC35"/>
  <c r="AD35" s="1"/>
  <c r="AF35"/>
  <c r="AH35" s="1"/>
  <c r="AI35" s="1"/>
  <c r="AF34"/>
  <c r="AH34" s="1"/>
  <c r="W12" i="5"/>
  <c r="AL12" s="1"/>
  <c r="G29" i="81"/>
  <c r="AX33" i="7"/>
  <c r="AJ32" i="1"/>
  <c r="AK32" s="1"/>
  <c r="BJ32" i="7"/>
  <c r="Q30" i="76"/>
  <c r="AY32" i="7"/>
  <c r="AW36" l="1"/>
  <c r="AJ33" i="1"/>
  <c r="AK33" s="1"/>
  <c r="G30" i="81"/>
  <c r="AX34" i="7"/>
  <c r="AG34" i="1"/>
  <c r="AM34"/>
  <c r="AG35"/>
  <c r="AM35"/>
  <c r="AI34"/>
  <c r="AW35" i="7" s="1"/>
  <c r="AH36" i="1"/>
  <c r="W13" i="5"/>
  <c r="AL13" s="1"/>
  <c r="BJ33" i="7"/>
  <c r="AY33"/>
  <c r="Q31" i="76"/>
  <c r="AM36" i="1" l="1"/>
  <c r="G31" i="81"/>
  <c r="AJ34" i="1"/>
  <c r="AK34" s="1"/>
  <c r="AX35" i="7"/>
  <c r="AJ35" i="1"/>
  <c r="AK35" s="1"/>
  <c r="AX36" i="7"/>
  <c r="AY34"/>
  <c r="BJ34"/>
  <c r="Q32" i="76"/>
  <c r="AI37" i="1"/>
  <c r="W14" i="5"/>
  <c r="AL14" s="1"/>
  <c r="AX37" i="7" l="1"/>
  <c r="AX42" s="1"/>
  <c r="AY35"/>
  <c r="BJ35"/>
  <c r="Q33" i="76"/>
  <c r="BJ36" i="7"/>
  <c r="AY36"/>
  <c r="Q34" i="76"/>
  <c r="W15" i="5"/>
  <c r="AL15" s="1"/>
  <c r="AY37" i="7" l="1"/>
  <c r="W16" i="5"/>
  <c r="AL16" s="1"/>
  <c r="K3" i="3" l="1"/>
  <c r="W17" i="5"/>
  <c r="AL17" s="1"/>
  <c r="F2" i="63"/>
  <c r="W18" i="5" l="1"/>
  <c r="AL18" s="1"/>
  <c r="K4" i="3"/>
  <c r="Z3"/>
  <c r="W19" i="5" l="1"/>
  <c r="AL19" s="1"/>
  <c r="K5" i="3"/>
  <c r="F3" i="63"/>
  <c r="AK3" i="3"/>
  <c r="AE3"/>
  <c r="AF3" s="1"/>
  <c r="H5" i="75"/>
  <c r="AL3" i="3"/>
  <c r="Z4"/>
  <c r="AL4" l="1"/>
  <c r="AK4"/>
  <c r="AE4"/>
  <c r="AF4" s="1"/>
  <c r="F4" i="63"/>
  <c r="Z5" i="3"/>
  <c r="AG3"/>
  <c r="K6"/>
  <c r="W20" i="5"/>
  <c r="AL20" s="1"/>
  <c r="AG4" i="3" l="1"/>
  <c r="W21" i="5"/>
  <c r="AL21" s="1"/>
  <c r="F5" i="63"/>
  <c r="AE5" i="3"/>
  <c r="AF5" s="1"/>
  <c r="AK5"/>
  <c r="AL5"/>
  <c r="Z6"/>
  <c r="K8" l="1"/>
  <c r="Z7"/>
  <c r="W22" i="5"/>
  <c r="AL22" s="1"/>
  <c r="BK8" i="7"/>
  <c r="AG5" i="3"/>
  <c r="AE6"/>
  <c r="AF6" s="1"/>
  <c r="F6" i="63"/>
  <c r="AK6" i="3"/>
  <c r="AL6"/>
  <c r="AG6" l="1"/>
  <c r="BK9" i="7"/>
  <c r="K9" i="3"/>
  <c r="AE7"/>
  <c r="AF7" s="1"/>
  <c r="AK7"/>
  <c r="AL7"/>
  <c r="F7" i="63"/>
  <c r="Z8" i="3"/>
  <c r="W23" i="5"/>
  <c r="AL23" s="1"/>
  <c r="W24" l="1"/>
  <c r="AL24" s="1"/>
  <c r="BK10" i="7"/>
  <c r="AG7" i="3"/>
  <c r="AK8"/>
  <c r="F8" i="63"/>
  <c r="AL8" i="3"/>
  <c r="AE8"/>
  <c r="AF8" s="1"/>
  <c r="K10"/>
  <c r="Z9"/>
  <c r="K11" l="1"/>
  <c r="AE9"/>
  <c r="AF9" s="1"/>
  <c r="F9" i="63"/>
  <c r="AK9" i="3"/>
  <c r="AL9"/>
  <c r="Z10"/>
  <c r="W25" i="5"/>
  <c r="AL25" s="1"/>
  <c r="AG8" i="3"/>
  <c r="K12" l="1"/>
  <c r="W26" i="5"/>
  <c r="AL26" s="1"/>
  <c r="AL10" i="3"/>
  <c r="AK10"/>
  <c r="F10" i="63"/>
  <c r="AE10" i="3"/>
  <c r="AF10" s="1"/>
  <c r="Z11"/>
  <c r="AG9"/>
  <c r="W27" i="5" l="1"/>
  <c r="AL27" s="1"/>
  <c r="AE11" i="3"/>
  <c r="AF11" s="1"/>
  <c r="F11" i="63"/>
  <c r="AL11" i="3"/>
  <c r="AK11"/>
  <c r="AG10"/>
  <c r="BK13" i="7"/>
  <c r="Z12" i="3"/>
  <c r="W28" i="5" l="1"/>
  <c r="AL28" s="1"/>
  <c r="BK14" i="7"/>
  <c r="AG11" i="3"/>
  <c r="Z13"/>
  <c r="AL12"/>
  <c r="AK12"/>
  <c r="AE12"/>
  <c r="AF12" s="1"/>
  <c r="F12" i="63"/>
  <c r="K15" i="3" l="1"/>
  <c r="F13" i="63"/>
  <c r="AL13" i="3"/>
  <c r="AK13"/>
  <c r="AE13"/>
  <c r="AF13" s="1"/>
  <c r="W29" i="5"/>
  <c r="AL29" s="1"/>
  <c r="AG12" i="3"/>
  <c r="BK15" i="7"/>
  <c r="Z14" i="3"/>
  <c r="AG13" l="1"/>
  <c r="BK16" i="7"/>
  <c r="K16" i="3"/>
  <c r="AL14"/>
  <c r="AE14"/>
  <c r="AF14" s="1"/>
  <c r="F14" i="63"/>
  <c r="AK14" i="3"/>
  <c r="W30" i="5"/>
  <c r="AL30" s="1"/>
  <c r="Z15" i="3"/>
  <c r="W31" i="5" l="1"/>
  <c r="AL31" s="1"/>
  <c r="BK17" i="7"/>
  <c r="AG14" i="3"/>
  <c r="F15" i="63"/>
  <c r="AK15" i="3"/>
  <c r="AL15"/>
  <c r="AE15"/>
  <c r="AF15" s="1"/>
  <c r="Z16"/>
  <c r="K17"/>
  <c r="AG15" l="1"/>
  <c r="AK16"/>
  <c r="AL16"/>
  <c r="AE16"/>
  <c r="AF16" s="1"/>
  <c r="F16" i="63"/>
  <c r="W32" i="5"/>
  <c r="AL32" s="1"/>
  <c r="Z17" i="3"/>
  <c r="K18"/>
  <c r="W33" i="5" l="1"/>
  <c r="AL33" s="1"/>
  <c r="AK17" i="3"/>
  <c r="AE17"/>
  <c r="AF17" s="1"/>
  <c r="F17" i="63"/>
  <c r="AL17" i="3"/>
  <c r="AG16"/>
  <c r="K19"/>
  <c r="Z18"/>
  <c r="W34" i="5" l="1"/>
  <c r="AL34" s="1"/>
  <c r="K20" i="3"/>
  <c r="Z19"/>
  <c r="AE18"/>
  <c r="AF18" s="1"/>
  <c r="AL18"/>
  <c r="F18" i="63"/>
  <c r="AK18" i="3"/>
  <c r="BK20" i="7"/>
  <c r="AG17" i="3"/>
  <c r="W36" i="5" l="1"/>
  <c r="AL36" s="1"/>
  <c r="W35"/>
  <c r="AL35" s="1"/>
  <c r="Z20" i="3"/>
  <c r="K21"/>
  <c r="F19" i="63"/>
  <c r="AE19" i="3"/>
  <c r="AF19" s="1"/>
  <c r="AL19"/>
  <c r="AK19"/>
  <c r="BK21" i="7"/>
  <c r="AG18" i="3"/>
  <c r="AL37" i="5" l="1"/>
  <c r="BK22" i="7"/>
  <c r="AG19" i="3"/>
  <c r="AE20"/>
  <c r="AF20" s="1"/>
  <c r="F20" i="63"/>
  <c r="AK20" i="3"/>
  <c r="AL20"/>
  <c r="K22"/>
  <c r="Z21"/>
  <c r="F21" i="63" l="1"/>
  <c r="AE21" i="3"/>
  <c r="AF21" s="1"/>
  <c r="AK21"/>
  <c r="AL21"/>
  <c r="BK23" i="7"/>
  <c r="AG20" i="3"/>
  <c r="K23"/>
  <c r="AB22"/>
  <c r="Z22"/>
  <c r="Z23" l="1"/>
  <c r="AB23"/>
  <c r="K24"/>
  <c r="BK24" i="7"/>
  <c r="AG21" i="3"/>
  <c r="AL22"/>
  <c r="F22" i="63"/>
  <c r="AE22" i="3"/>
  <c r="AF22" s="1"/>
  <c r="AK22"/>
  <c r="Z24" l="1"/>
  <c r="K26"/>
  <c r="F23" i="63"/>
  <c r="AL23" i="3"/>
  <c r="AE23"/>
  <c r="AF23" s="1"/>
  <c r="AK23"/>
  <c r="AG22"/>
  <c r="AG23" l="1"/>
  <c r="AL24"/>
  <c r="AK24"/>
  <c r="F24" i="63"/>
  <c r="AE24" i="3"/>
  <c r="AF24" s="1"/>
  <c r="K27"/>
  <c r="Z25"/>
  <c r="K28" l="1"/>
  <c r="Z26"/>
  <c r="F25" i="63"/>
  <c r="AK25" i="3"/>
  <c r="AE25"/>
  <c r="AF25" s="1"/>
  <c r="AL25"/>
  <c r="BK27" i="7"/>
  <c r="AG24" i="3"/>
  <c r="K29" l="1"/>
  <c r="Z27"/>
  <c r="F26" i="63"/>
  <c r="AE26" i="3"/>
  <c r="AF26" s="1"/>
  <c r="AK26"/>
  <c r="AL26"/>
  <c r="BK28" i="7"/>
  <c r="AG25" i="3"/>
  <c r="Z28" l="1"/>
  <c r="BK29" i="7"/>
  <c r="AG26" i="3"/>
  <c r="AK27"/>
  <c r="F27" i="63"/>
  <c r="AE27" i="3"/>
  <c r="AF27" s="1"/>
  <c r="AL27"/>
  <c r="K31" l="1"/>
  <c r="K30"/>
  <c r="Z29"/>
  <c r="BK30" i="7"/>
  <c r="AG27" i="3"/>
  <c r="AK28"/>
  <c r="F28" i="63"/>
  <c r="AE28" i="3"/>
  <c r="AF28" s="1"/>
  <c r="AL28"/>
  <c r="K32" l="1"/>
  <c r="Z31"/>
  <c r="F29" i="63"/>
  <c r="AE29" i="3"/>
  <c r="AF29" s="1"/>
  <c r="AL29"/>
  <c r="AK29"/>
  <c r="Z30"/>
  <c r="BK31" i="7"/>
  <c r="AG28" i="3"/>
  <c r="AL31" l="1"/>
  <c r="AE31"/>
  <c r="AF31" s="1"/>
  <c r="AK31"/>
  <c r="K33"/>
  <c r="Z32"/>
  <c r="BK32" i="7"/>
  <c r="AG29" i="3"/>
  <c r="AL30"/>
  <c r="F30" i="63"/>
  <c r="AK30" i="3"/>
  <c r="AE30"/>
  <c r="AF30" s="1"/>
  <c r="K35" l="1"/>
  <c r="U34" s="1"/>
  <c r="AG31"/>
  <c r="BK34" i="7"/>
  <c r="AL32" i="3"/>
  <c r="AE32"/>
  <c r="AF32" s="1"/>
  <c r="AK32"/>
  <c r="Z33"/>
  <c r="BK33" i="7"/>
  <c r="AG30" i="3"/>
  <c r="Z34" l="1"/>
  <c r="B18" i="77" s="1"/>
  <c r="W32" i="76" s="1"/>
  <c r="AL33" i="3"/>
  <c r="AL34" s="1"/>
  <c r="B19" i="77" s="1"/>
  <c r="AE33" i="3"/>
  <c r="AF33" s="1"/>
  <c r="AK33"/>
  <c r="AG32"/>
  <c r="BK35" i="7"/>
  <c r="AG33" i="3" l="1"/>
  <c r="BK36" i="7"/>
  <c r="F18" i="77"/>
  <c r="X32" i="76"/>
  <c r="Y32" s="1"/>
  <c r="B20" i="77"/>
  <c r="AE6" i="5" l="1"/>
  <c r="AF6" l="1"/>
  <c r="AI6" s="1"/>
  <c r="AE7"/>
  <c r="AE8" l="1"/>
  <c r="AE9" s="1"/>
  <c r="AE10" s="1"/>
  <c r="AE11" s="1"/>
  <c r="AE12" s="1"/>
  <c r="AE13" s="1"/>
  <c r="AE14" s="1"/>
  <c r="AE15" s="1"/>
  <c r="AE16" s="1"/>
  <c r="AE17" s="1"/>
  <c r="AE18" s="1"/>
  <c r="AE19" s="1"/>
  <c r="AE20" s="1"/>
  <c r="AE21" s="1"/>
  <c r="AE22" s="1"/>
  <c r="AE23" s="1"/>
  <c r="AE24" s="1"/>
  <c r="AE25" s="1"/>
  <c r="AE26" s="1"/>
  <c r="AE27" s="1"/>
  <c r="AE28" s="1"/>
  <c r="AE29" s="1"/>
  <c r="AE30" s="1"/>
  <c r="AE31" s="1"/>
  <c r="AE32" s="1"/>
  <c r="AE33" s="1"/>
  <c r="AE34" s="1"/>
  <c r="AE35" s="1"/>
  <c r="AE36" s="1"/>
  <c r="AF7"/>
  <c r="AI7" s="1"/>
  <c r="AF8" l="1"/>
  <c r="AI8" s="1"/>
  <c r="AF9" l="1"/>
  <c r="AI9" s="1"/>
  <c r="AF10" l="1"/>
  <c r="AI10" s="1"/>
  <c r="AF11" l="1"/>
  <c r="AI11" s="1"/>
  <c r="AF12" l="1"/>
  <c r="AI12" s="1"/>
  <c r="AF13" l="1"/>
  <c r="AI13" s="1"/>
  <c r="AF14" l="1"/>
  <c r="AI14" s="1"/>
  <c r="AF15" l="1"/>
  <c r="AI15" s="1"/>
  <c r="AF16" l="1"/>
  <c r="AI16" s="1"/>
  <c r="AF17" l="1"/>
  <c r="AI17" s="1"/>
  <c r="AF18" l="1"/>
  <c r="AI18" s="1"/>
  <c r="AF19" l="1"/>
  <c r="AI19" s="1"/>
  <c r="AF20" l="1"/>
  <c r="AI20" s="1"/>
  <c r="AF21" l="1"/>
  <c r="AI21" s="1"/>
  <c r="AF22" l="1"/>
  <c r="AI22" s="1"/>
  <c r="AF23" l="1"/>
  <c r="AI23" s="1"/>
  <c r="AF24" l="1"/>
  <c r="AI24" s="1"/>
  <c r="AF25" l="1"/>
  <c r="AI25" s="1"/>
  <c r="AF26" l="1"/>
  <c r="AI26" s="1"/>
  <c r="AF27" l="1"/>
  <c r="AI27" s="1"/>
  <c r="AF28" l="1"/>
  <c r="AI28" s="1"/>
  <c r="AF29" l="1"/>
  <c r="AI29" s="1"/>
  <c r="AF30" l="1"/>
  <c r="AI30" s="1"/>
  <c r="AF31" l="1"/>
  <c r="AI31" s="1"/>
  <c r="AF32" l="1"/>
  <c r="AI32" s="1"/>
  <c r="AF33" l="1"/>
  <c r="AI33" s="1"/>
  <c r="AF34" l="1"/>
  <c r="AI34" s="1"/>
  <c r="AF36" l="1"/>
  <c r="AI36" s="1"/>
  <c r="AF35"/>
  <c r="AI35" s="1"/>
  <c r="W4" i="2" l="1"/>
  <c r="Y4"/>
  <c r="AA4"/>
  <c r="AB4" l="1"/>
  <c r="AA5"/>
  <c r="Z4"/>
  <c r="Y5"/>
  <c r="X4"/>
  <c r="W5"/>
  <c r="AB5" l="1"/>
  <c r="AA6"/>
  <c r="X5"/>
  <c r="W6"/>
  <c r="Z5"/>
  <c r="Y6"/>
  <c r="X6" l="1"/>
  <c r="W7"/>
  <c r="Z6"/>
  <c r="Y7"/>
  <c r="AB6"/>
  <c r="AB7" l="1"/>
  <c r="AA8"/>
  <c r="X7"/>
  <c r="W8"/>
  <c r="Z7"/>
  <c r="Y8"/>
  <c r="Z8" l="1"/>
  <c r="Y9"/>
  <c r="AB8"/>
  <c r="AA9"/>
  <c r="X8"/>
  <c r="W9"/>
  <c r="AB9" l="1"/>
  <c r="AA10"/>
  <c r="X9"/>
  <c r="W10"/>
  <c r="Z9"/>
  <c r="Y10"/>
  <c r="Z10" l="1"/>
  <c r="Y11"/>
  <c r="AB10"/>
  <c r="AA11"/>
  <c r="X10"/>
  <c r="W11"/>
  <c r="AB11" l="1"/>
  <c r="AA12"/>
  <c r="X11"/>
  <c r="W12"/>
  <c r="Z11"/>
  <c r="Y12"/>
  <c r="Z12" l="1"/>
  <c r="Y13"/>
  <c r="AB12"/>
  <c r="AA13"/>
  <c r="X12"/>
  <c r="W13"/>
  <c r="AB13" l="1"/>
  <c r="AA14"/>
  <c r="X13"/>
  <c r="W14"/>
  <c r="Z13"/>
  <c r="Y14"/>
  <c r="Z14" l="1"/>
  <c r="Y15"/>
  <c r="AB14"/>
  <c r="AA15"/>
  <c r="X14"/>
  <c r="W15"/>
  <c r="AB15" l="1"/>
  <c r="AA16"/>
  <c r="X15"/>
  <c r="W16"/>
  <c r="Z15"/>
  <c r="Y16"/>
  <c r="Z16" l="1"/>
  <c r="Y17"/>
  <c r="AB16"/>
  <c r="AA17"/>
  <c r="X16"/>
  <c r="W17"/>
  <c r="Y18" l="1"/>
  <c r="Z17"/>
  <c r="AB17"/>
  <c r="AA18"/>
  <c r="X17"/>
  <c r="W18"/>
  <c r="Z18" l="1"/>
  <c r="Y19"/>
  <c r="X18"/>
  <c r="W19"/>
  <c r="AB18"/>
  <c r="AA19"/>
  <c r="Z19" l="1"/>
  <c r="Y20"/>
  <c r="AB19"/>
  <c r="AA20"/>
  <c r="X19"/>
  <c r="W20"/>
  <c r="X20" l="1"/>
  <c r="W21"/>
  <c r="AB20"/>
  <c r="AA21"/>
  <c r="Z20"/>
  <c r="Y21"/>
  <c r="Z21" l="1"/>
  <c r="Y22"/>
  <c r="X21"/>
  <c r="W22"/>
  <c r="AB21"/>
  <c r="AA22"/>
  <c r="AB22" l="1"/>
  <c r="AA23"/>
  <c r="Z22"/>
  <c r="Y23"/>
  <c r="X22"/>
  <c r="W23"/>
  <c r="X23" l="1"/>
  <c r="W24"/>
  <c r="AB23"/>
  <c r="AA24"/>
  <c r="Z23"/>
  <c r="Y24"/>
  <c r="AB24" l="1"/>
  <c r="AA25"/>
  <c r="Z24"/>
  <c r="Y25"/>
  <c r="X24"/>
  <c r="W25"/>
  <c r="X25" l="1"/>
  <c r="W26"/>
  <c r="AB25"/>
  <c r="AA26"/>
  <c r="Z25"/>
  <c r="Y26"/>
  <c r="Y27" l="1"/>
  <c r="Z26"/>
  <c r="X26"/>
  <c r="W27"/>
  <c r="AB26"/>
  <c r="AA27"/>
  <c r="Z27" l="1"/>
  <c r="Y28"/>
  <c r="AB27"/>
  <c r="AA28"/>
  <c r="X27"/>
  <c r="W28"/>
  <c r="X28" l="1"/>
  <c r="W29"/>
  <c r="Z28"/>
  <c r="Y29"/>
  <c r="AB28"/>
  <c r="AA29"/>
  <c r="AB29" l="1"/>
  <c r="AA30"/>
  <c r="X29"/>
  <c r="W30"/>
  <c r="Z29"/>
  <c r="Y30"/>
  <c r="AB30" l="1"/>
  <c r="AA31"/>
  <c r="Z30"/>
  <c r="Y31"/>
  <c r="X30"/>
  <c r="W31"/>
  <c r="Z31" l="1"/>
  <c r="Y32"/>
  <c r="X31"/>
  <c r="W32"/>
  <c r="AB31"/>
  <c r="AA32"/>
  <c r="AA33" l="1"/>
  <c r="AB32"/>
  <c r="Z32"/>
  <c r="Y33"/>
  <c r="X32"/>
  <c r="W33"/>
  <c r="AB33" l="1"/>
  <c r="AA34"/>
  <c r="AB34" s="1"/>
  <c r="W34"/>
  <c r="X34" s="1"/>
  <c r="X33"/>
  <c r="Y34"/>
  <c r="Z34" s="1"/>
  <c r="Z33"/>
  <c r="T3" i="3" l="1"/>
  <c r="T4" s="1"/>
  <c r="T5" s="1"/>
  <c r="T6" l="1"/>
  <c r="T7" s="1"/>
  <c r="T8" s="1"/>
  <c r="T9" s="1"/>
  <c r="T10" s="1"/>
  <c r="T11" s="1"/>
  <c r="AB6" i="5"/>
  <c r="AB8" s="1"/>
  <c r="AB9" s="1"/>
  <c r="AB10" s="1"/>
  <c r="AB11" s="1"/>
  <c r="AB12" s="1"/>
  <c r="AB13" s="1"/>
  <c r="AB15" s="1"/>
  <c r="AB16" s="1"/>
  <c r="AB17" s="1"/>
  <c r="AB18" s="1"/>
  <c r="AB19" s="1"/>
  <c r="AB20" s="1"/>
  <c r="AB21" s="1"/>
  <c r="AB22" s="1"/>
  <c r="AB23" s="1"/>
  <c r="AB24" s="1"/>
  <c r="AB25" s="1"/>
  <c r="AB26" s="1"/>
  <c r="AB27" s="1"/>
  <c r="AB28" s="1"/>
  <c r="AB29" s="1"/>
  <c r="AB30" s="1"/>
  <c r="AB31" s="1"/>
  <c r="AB32" s="1"/>
  <c r="AB33" s="1"/>
  <c r="AB34" s="1"/>
  <c r="AB35" s="1"/>
  <c r="AB36" s="1"/>
  <c r="T12" i="3" l="1"/>
  <c r="T13" s="1"/>
  <c r="T14" s="1"/>
  <c r="T15" s="1"/>
  <c r="T16" s="1"/>
  <c r="T17" s="1"/>
  <c r="T18" s="1"/>
  <c r="T19" s="1"/>
  <c r="T20" s="1"/>
  <c r="T21" s="1"/>
  <c r="T22" s="1"/>
  <c r="T23" s="1"/>
  <c r="T24" s="1"/>
  <c r="T25" s="1"/>
  <c r="T26" s="1"/>
  <c r="T27" s="1"/>
  <c r="T28" s="1"/>
  <c r="T29" s="1"/>
  <c r="T30" s="1"/>
  <c r="T31" s="1"/>
  <c r="T32" s="1"/>
  <c r="T33" s="1"/>
  <c r="AC27" i="76"/>
  <c r="AC28"/>
  <c r="AC26"/>
  <c r="AC29" l="1"/>
  <c r="O29" s="1"/>
  <c r="P29" s="1"/>
  <c r="R29" s="1"/>
  <c r="T29" s="1"/>
  <c r="F27" i="81" s="1"/>
  <c r="O30" i="76" l="1"/>
  <c r="P30" s="1"/>
  <c r="R30" s="1"/>
  <c r="T30" s="1"/>
  <c r="F28" i="81" s="1"/>
  <c r="O27" i="76"/>
  <c r="P27" s="1"/>
  <c r="R27" s="1"/>
  <c r="T27" s="1"/>
  <c r="F25" i="81" s="1"/>
  <c r="O5" i="76"/>
  <c r="P5" s="1"/>
  <c r="R5" s="1"/>
  <c r="T5" s="1"/>
  <c r="F3" i="81" s="1"/>
  <c r="O33" i="76"/>
  <c r="P33" s="1"/>
  <c r="R33" s="1"/>
  <c r="T33" s="1"/>
  <c r="F31" i="81" s="1"/>
  <c r="O20" i="76"/>
  <c r="P20" s="1"/>
  <c r="R20" s="1"/>
  <c r="T20" s="1"/>
  <c r="F18" i="81" s="1"/>
  <c r="AC33" i="76"/>
  <c r="O10"/>
  <c r="P10" s="1"/>
  <c r="R10" s="1"/>
  <c r="T10" s="1"/>
  <c r="F8" i="81" s="1"/>
  <c r="O28" i="76"/>
  <c r="P28" s="1"/>
  <c r="R28" s="1"/>
  <c r="T28" s="1"/>
  <c r="F26" i="81" s="1"/>
  <c r="AB30" i="76"/>
  <c r="AB36" s="1"/>
  <c r="AB38" s="1"/>
  <c r="O19"/>
  <c r="P19" s="1"/>
  <c r="R19" s="1"/>
  <c r="T19" s="1"/>
  <c r="F17" i="81" s="1"/>
  <c r="O12" i="76"/>
  <c r="P12" s="1"/>
  <c r="R12" s="1"/>
  <c r="T12" s="1"/>
  <c r="F10" i="81" s="1"/>
  <c r="O25" i="76"/>
  <c r="P25" s="1"/>
  <c r="R25" s="1"/>
  <c r="T25" s="1"/>
  <c r="F23" i="81" s="1"/>
  <c r="O13" i="76"/>
  <c r="P13" s="1"/>
  <c r="R13" s="1"/>
  <c r="T13" s="1"/>
  <c r="F11" i="81" s="1"/>
  <c r="O24" i="76"/>
  <c r="P24" s="1"/>
  <c r="R24" s="1"/>
  <c r="T24" s="1"/>
  <c r="F22" i="81" s="1"/>
  <c r="O23" i="76"/>
  <c r="P23" s="1"/>
  <c r="R23" s="1"/>
  <c r="T23" s="1"/>
  <c r="F21" i="81" s="1"/>
  <c r="O34" i="76"/>
  <c r="P34" s="1"/>
  <c r="R34" s="1"/>
  <c r="O11"/>
  <c r="P11" s="1"/>
  <c r="R11" s="1"/>
  <c r="T11" s="1"/>
  <c r="F9" i="81" s="1"/>
  <c r="O15" i="76"/>
  <c r="P15" s="1"/>
  <c r="R15" s="1"/>
  <c r="T15" s="1"/>
  <c r="F13" i="81" s="1"/>
  <c r="O18" i="76"/>
  <c r="P18" s="1"/>
  <c r="R18" s="1"/>
  <c r="T18" s="1"/>
  <c r="F16" i="81" s="1"/>
  <c r="O4" i="76"/>
  <c r="P4" s="1"/>
  <c r="R4" s="1"/>
  <c r="T4" s="1"/>
  <c r="F2" i="81" s="1"/>
  <c r="O9" i="76"/>
  <c r="P9" s="1"/>
  <c r="R9" s="1"/>
  <c r="T9" s="1"/>
  <c r="F7" i="81" s="1"/>
  <c r="O16" i="76"/>
  <c r="P16" s="1"/>
  <c r="R16" s="1"/>
  <c r="T16" s="1"/>
  <c r="F14" i="81" s="1"/>
  <c r="O17" i="76"/>
  <c r="P17" s="1"/>
  <c r="R17" s="1"/>
  <c r="T17" s="1"/>
  <c r="F15" i="81" s="1"/>
  <c r="O26" i="76"/>
  <c r="P26" s="1"/>
  <c r="R26" s="1"/>
  <c r="T26" s="1"/>
  <c r="F24" i="81" s="1"/>
  <c r="O21" i="76"/>
  <c r="P21" s="1"/>
  <c r="R21" s="1"/>
  <c r="T21" s="1"/>
  <c r="F19" i="81" s="1"/>
  <c r="O14" i="76"/>
  <c r="P14" s="1"/>
  <c r="R14" s="1"/>
  <c r="T14" s="1"/>
  <c r="F12" i="81" s="1"/>
  <c r="O31" i="76"/>
  <c r="P31" s="1"/>
  <c r="R31" s="1"/>
  <c r="T31" s="1"/>
  <c r="F29" i="81" s="1"/>
  <c r="O8" i="76"/>
  <c r="P8" s="1"/>
  <c r="R8" s="1"/>
  <c r="T8" s="1"/>
  <c r="F6" i="81" s="1"/>
  <c r="O32" i="76"/>
  <c r="P32" s="1"/>
  <c r="R32" s="1"/>
  <c r="T32" s="1"/>
  <c r="F30" i="81" s="1"/>
  <c r="O22" i="76"/>
  <c r="P22" s="1"/>
  <c r="R22" s="1"/>
  <c r="T22" s="1"/>
  <c r="F20" i="81" s="1"/>
  <c r="O7" i="76"/>
  <c r="P7" s="1"/>
  <c r="R7" s="1"/>
  <c r="T7" s="1"/>
  <c r="F5" i="81" s="1"/>
  <c r="O6" i="76"/>
  <c r="P6" s="1"/>
  <c r="R6" s="1"/>
  <c r="T6" s="1"/>
  <c r="F4" i="81" s="1"/>
  <c r="D10" i="77" l="1"/>
  <c r="E10" s="1"/>
  <c r="E12" s="1"/>
  <c r="O35" i="76"/>
  <c r="AB33"/>
  <c r="AB34" s="1"/>
  <c r="F10" i="77" l="1"/>
  <c r="F12" s="1"/>
  <c r="G10"/>
  <c r="G12" s="1"/>
  <c r="I14" s="1"/>
  <c r="H14" l="1"/>
  <c r="AC6" i="5"/>
  <c r="AC7" s="1"/>
  <c r="AD7" l="1"/>
  <c r="AC8"/>
  <c r="AC9" s="1"/>
  <c r="AC10" s="1"/>
  <c r="AC11" s="1"/>
  <c r="AC12" s="1"/>
  <c r="AC13" s="1"/>
  <c r="AC14" s="1"/>
  <c r="AC15" s="1"/>
  <c r="AC16" s="1"/>
  <c r="AC17" s="1"/>
  <c r="AC18" s="1"/>
  <c r="AC19" s="1"/>
  <c r="AC20" s="1"/>
  <c r="AC21" s="1"/>
  <c r="AC22" s="1"/>
  <c r="AC23" s="1"/>
  <c r="AC24" s="1"/>
  <c r="AC25" s="1"/>
  <c r="AC26" s="1"/>
  <c r="AC27" s="1"/>
  <c r="AC28" s="1"/>
  <c r="AC29" s="1"/>
  <c r="AC30" s="1"/>
  <c r="AC31" s="1"/>
  <c r="AC32" s="1"/>
  <c r="AC33" s="1"/>
  <c r="AC34" s="1"/>
  <c r="AC35" s="1"/>
  <c r="AC36" s="1"/>
  <c r="AD8" l="1"/>
  <c r="S4" i="2"/>
  <c r="AC4"/>
  <c r="U4"/>
  <c r="U5" l="1"/>
  <c r="V4"/>
  <c r="T4"/>
  <c r="S5"/>
  <c r="AD9" i="5"/>
  <c r="AC5" i="2"/>
  <c r="AD4"/>
  <c r="AD10" i="5" l="1"/>
  <c r="AF4" i="2"/>
  <c r="V5"/>
  <c r="U6"/>
  <c r="A2" i="63"/>
  <c r="AE4" i="2"/>
  <c r="AG4" s="1"/>
  <c r="AC6"/>
  <c r="AD5"/>
  <c r="S6"/>
  <c r="T5"/>
  <c r="U7" l="1"/>
  <c r="V6"/>
  <c r="S7"/>
  <c r="T6"/>
  <c r="AD11" i="5"/>
  <c r="A3" i="63"/>
  <c r="AE5" i="2"/>
  <c r="AG5" s="1"/>
  <c r="B2" i="63"/>
  <c r="H5" i="65"/>
  <c r="AD6" i="2"/>
  <c r="AF5"/>
  <c r="V7" l="1"/>
  <c r="U8"/>
  <c r="AD7"/>
  <c r="AC8"/>
  <c r="AD12" i="5"/>
  <c r="AF6" i="2"/>
  <c r="B3" i="63"/>
  <c r="H6" i="65"/>
  <c r="T7" i="2"/>
  <c r="S8"/>
  <c r="A4" i="63"/>
  <c r="AE6" i="2"/>
  <c r="AG6" s="1"/>
  <c r="AF7" l="1"/>
  <c r="B5" i="63" s="1"/>
  <c r="T8" i="2"/>
  <c r="S9"/>
  <c r="AD13" i="5"/>
  <c r="V8" i="2"/>
  <c r="U9"/>
  <c r="H7" i="65"/>
  <c r="B4" i="63"/>
  <c r="A5"/>
  <c r="AE7" i="2"/>
  <c r="AG7" s="1"/>
  <c r="AD8"/>
  <c r="AC9"/>
  <c r="H8" i="65" l="1"/>
  <c r="AD14" i="5"/>
  <c r="A6" i="63"/>
  <c r="AE8" i="2"/>
  <c r="AG8" s="1"/>
  <c r="T9"/>
  <c r="S10"/>
  <c r="AF8"/>
  <c r="AD9"/>
  <c r="AC10"/>
  <c r="V9"/>
  <c r="U10"/>
  <c r="V10" l="1"/>
  <c r="U11"/>
  <c r="B6" i="63"/>
  <c r="H9" i="65"/>
  <c r="AD10" i="2"/>
  <c r="AC11"/>
  <c r="A7" i="63"/>
  <c r="AE9" i="2"/>
  <c r="AG9" s="1"/>
  <c r="AD15" i="5"/>
  <c r="T10" i="2"/>
  <c r="S11"/>
  <c r="AF9"/>
  <c r="H10" i="65" l="1"/>
  <c r="B7" i="63"/>
  <c r="AF10" i="2"/>
  <c r="AD16" i="5"/>
  <c r="AC12" i="2"/>
  <c r="AD11"/>
  <c r="V11"/>
  <c r="U12"/>
  <c r="A8" i="63"/>
  <c r="AE10" i="2"/>
  <c r="AG10" s="1"/>
  <c r="T11"/>
  <c r="S12"/>
  <c r="T12" l="1"/>
  <c r="S13"/>
  <c r="U13"/>
  <c r="V12"/>
  <c r="AC13"/>
  <c r="AD12"/>
  <c r="B8" i="63"/>
  <c r="H11" i="65"/>
  <c r="A9" i="63"/>
  <c r="AE11" i="2"/>
  <c r="AG11" s="1"/>
  <c r="AD17" i="5"/>
  <c r="AF11" i="2"/>
  <c r="B9" i="63" l="1"/>
  <c r="H12" i="65"/>
  <c r="AC14" i="2"/>
  <c r="AD13"/>
  <c r="A10" i="63"/>
  <c r="AE12" i="2"/>
  <c r="AG12" s="1"/>
  <c r="T13"/>
  <c r="S14"/>
  <c r="U14"/>
  <c r="V13"/>
  <c r="AD18" i="5"/>
  <c r="AF12" i="2"/>
  <c r="AF13" l="1"/>
  <c r="H14" i="65" s="1"/>
  <c r="H13"/>
  <c r="B10" i="63"/>
  <c r="V14" i="2"/>
  <c r="U15"/>
  <c r="AD19" i="5"/>
  <c r="A11" i="63"/>
  <c r="AE13" i="2"/>
  <c r="AG13" s="1"/>
  <c r="AC15"/>
  <c r="AD14"/>
  <c r="T14"/>
  <c r="S15"/>
  <c r="B11" i="63" l="1"/>
  <c r="AF14" i="2"/>
  <c r="H15" i="65" s="1"/>
  <c r="A12" i="63"/>
  <c r="AE14" i="2"/>
  <c r="AG14" s="1"/>
  <c r="T15"/>
  <c r="S16"/>
  <c r="AC16"/>
  <c r="AD15"/>
  <c r="AD20" i="5"/>
  <c r="V15" i="2"/>
  <c r="U16"/>
  <c r="B12" i="63" l="1"/>
  <c r="AD16" i="2"/>
  <c r="AC17"/>
  <c r="AD21" i="5"/>
  <c r="A13" i="63"/>
  <c r="AE15" i="2"/>
  <c r="AG15" s="1"/>
  <c r="AF15"/>
  <c r="U17"/>
  <c r="V16"/>
  <c r="T16"/>
  <c r="S17"/>
  <c r="AF16" l="1"/>
  <c r="B14" i="63" s="1"/>
  <c r="A14"/>
  <c r="AE16" i="2"/>
  <c r="AG16" s="1"/>
  <c r="AC18"/>
  <c r="AD17"/>
  <c r="S18"/>
  <c r="T17"/>
  <c r="B13" i="63"/>
  <c r="H16" i="65"/>
  <c r="U18" i="2"/>
  <c r="V17"/>
  <c r="AD22" i="5"/>
  <c r="H17" i="65" l="1"/>
  <c r="AC19" i="2"/>
  <c r="AD18"/>
  <c r="AD23" i="5"/>
  <c r="V18" i="2"/>
  <c r="U19"/>
  <c r="T18"/>
  <c r="S19"/>
  <c r="A15" i="63"/>
  <c r="AE17" i="2"/>
  <c r="AG17" s="1"/>
  <c r="AF17"/>
  <c r="AF18" l="1"/>
  <c r="H19" i="65" s="1"/>
  <c r="AD19" i="2"/>
  <c r="AC20"/>
  <c r="V19"/>
  <c r="U20"/>
  <c r="B15" i="63"/>
  <c r="H18" i="65"/>
  <c r="A16" i="63"/>
  <c r="AE18" i="2"/>
  <c r="AG18" s="1"/>
  <c r="S20"/>
  <c r="T19"/>
  <c r="AD24" i="5"/>
  <c r="B16" i="63" l="1"/>
  <c r="AF19" i="2"/>
  <c r="B17" i="63" s="1"/>
  <c r="AD25" i="5"/>
  <c r="U21" i="2"/>
  <c r="V20"/>
  <c r="S21"/>
  <c r="T20"/>
  <c r="A17" i="63"/>
  <c r="AE19" i="2"/>
  <c r="AG19" s="1"/>
  <c r="AC21"/>
  <c r="AD20"/>
  <c r="H20" i="65" l="1"/>
  <c r="AF20" i="2"/>
  <c r="B18" i="63" s="1"/>
  <c r="V21" i="2"/>
  <c r="U22"/>
  <c r="AD21"/>
  <c r="AC22"/>
  <c r="T21"/>
  <c r="S22"/>
  <c r="AD26" i="5"/>
  <c r="A18" i="63"/>
  <c r="AE20" i="2"/>
  <c r="AG20" s="1"/>
  <c r="H21" i="65" l="1"/>
  <c r="AF21" i="2"/>
  <c r="AD27" i="5"/>
  <c r="AC23" i="2"/>
  <c r="AD22"/>
  <c r="U23"/>
  <c r="V22"/>
  <c r="A19" i="63"/>
  <c r="AE21" i="2"/>
  <c r="AG21" s="1"/>
  <c r="T22"/>
  <c r="S23"/>
  <c r="AS6" i="5"/>
  <c r="B19" i="63" l="1"/>
  <c r="H22" i="65"/>
  <c r="A20" i="63"/>
  <c r="AE22" i="2"/>
  <c r="AG22" s="1"/>
  <c r="V23"/>
  <c r="U24"/>
  <c r="AD28" i="5"/>
  <c r="S24" i="2"/>
  <c r="T23"/>
  <c r="AF22"/>
  <c r="AY6" i="5"/>
  <c r="AS7"/>
  <c r="AC24" i="2"/>
  <c r="AD23"/>
  <c r="AF23" l="1"/>
  <c r="H24" i="65" s="1"/>
  <c r="AY7" i="5"/>
  <c r="BB7" s="1"/>
  <c r="BE7" s="1"/>
  <c r="AS8"/>
  <c r="S25" i="2"/>
  <c r="T24"/>
  <c r="AD24"/>
  <c r="AC25"/>
  <c r="A21" i="63"/>
  <c r="AE23" i="2"/>
  <c r="AG23" s="1"/>
  <c r="V24"/>
  <c r="U25"/>
  <c r="B20" i="63"/>
  <c r="H23" i="65"/>
  <c r="AD29" i="5"/>
  <c r="BB6"/>
  <c r="BE6" s="1"/>
  <c r="AF24" i="2" l="1"/>
  <c r="H25" i="65" s="1"/>
  <c r="B21" i="63"/>
  <c r="I2"/>
  <c r="BF6" i="5"/>
  <c r="BG6" s="1"/>
  <c r="G6" i="65" s="1"/>
  <c r="I3" i="63"/>
  <c r="BF7" i="5"/>
  <c r="BG7" s="1"/>
  <c r="G7" i="65" s="1"/>
  <c r="AS9" i="5"/>
  <c r="AY8"/>
  <c r="BB8" s="1"/>
  <c r="BE8" s="1"/>
  <c r="AD30"/>
  <c r="S26" i="2"/>
  <c r="T25"/>
  <c r="V25"/>
  <c r="U26"/>
  <c r="AC26"/>
  <c r="AD25"/>
  <c r="A22" i="63"/>
  <c r="AE24" i="2"/>
  <c r="AG24" s="1"/>
  <c r="M6" i="5"/>
  <c r="O6"/>
  <c r="B22" i="63" l="1"/>
  <c r="AF25" i="2"/>
  <c r="H26" i="65" s="1"/>
  <c r="O7" i="5"/>
  <c r="P6"/>
  <c r="AY9"/>
  <c r="BB9" s="1"/>
  <c r="BE9" s="1"/>
  <c r="AS10"/>
  <c r="V26" i="2"/>
  <c r="U27"/>
  <c r="I4" i="63"/>
  <c r="BF8" i="5"/>
  <c r="BG8" s="1"/>
  <c r="G8" i="65" s="1"/>
  <c r="AD26" i="2"/>
  <c r="AC27"/>
  <c r="S27"/>
  <c r="T26"/>
  <c r="M7" i="5"/>
  <c r="N6"/>
  <c r="A23" i="63"/>
  <c r="AE25" i="2"/>
  <c r="AG25" s="1"/>
  <c r="AD31" i="5"/>
  <c r="G5" i="65"/>
  <c r="B23" i="63" l="1"/>
  <c r="Q6" i="5"/>
  <c r="M2" i="81" s="1"/>
  <c r="T27" i="2"/>
  <c r="S28"/>
  <c r="I5" i="63"/>
  <c r="BF9" i="5"/>
  <c r="BG9" s="1"/>
  <c r="G9" i="65" s="1"/>
  <c r="P7" i="5"/>
  <c r="O8"/>
  <c r="AY10"/>
  <c r="BB10" s="1"/>
  <c r="BE10" s="1"/>
  <c r="AS11"/>
  <c r="N7"/>
  <c r="M8"/>
  <c r="AF26" i="2"/>
  <c r="A24" i="63"/>
  <c r="AE26" i="2"/>
  <c r="AG26" s="1"/>
  <c r="AD32" i="5"/>
  <c r="AD27" i="2"/>
  <c r="AC28"/>
  <c r="V27"/>
  <c r="U28"/>
  <c r="V28" l="1"/>
  <c r="U29"/>
  <c r="AD33" i="5"/>
  <c r="B24" i="63"/>
  <c r="H27" i="65"/>
  <c r="A25" i="63"/>
  <c r="AE27" i="2"/>
  <c r="AG27" s="1"/>
  <c r="Q7" i="5"/>
  <c r="O9"/>
  <c r="P8"/>
  <c r="T28" i="2"/>
  <c r="S29"/>
  <c r="I6" i="63"/>
  <c r="BF10" i="5"/>
  <c r="BG10" s="1"/>
  <c r="G10" i="65" s="1"/>
  <c r="AC29" i="2"/>
  <c r="AD28"/>
  <c r="N8" i="5"/>
  <c r="M9"/>
  <c r="AY11"/>
  <c r="BB11" s="1"/>
  <c r="BE11" s="1"/>
  <c r="AS12"/>
  <c r="AF27" i="2"/>
  <c r="AS13" i="5" l="1"/>
  <c r="AY12"/>
  <c r="BB12" s="1"/>
  <c r="BE12" s="1"/>
  <c r="S30" i="2"/>
  <c r="T29"/>
  <c r="M3" i="81"/>
  <c r="AF28" i="2"/>
  <c r="H28" i="65"/>
  <c r="B25" i="63"/>
  <c r="P9" i="5"/>
  <c r="O10"/>
  <c r="U30" i="2"/>
  <c r="V29"/>
  <c r="N9" i="5"/>
  <c r="M10"/>
  <c r="AD34"/>
  <c r="Q8"/>
  <c r="M4" i="81" s="1"/>
  <c r="I7" i="63"/>
  <c r="BF11" i="5"/>
  <c r="BG11" s="1"/>
  <c r="G11" i="65" s="1"/>
  <c r="AC30" i="2"/>
  <c r="AD29"/>
  <c r="A26" i="63"/>
  <c r="AE28" i="2"/>
  <c r="AG28" s="1"/>
  <c r="AC31" l="1"/>
  <c r="AD30"/>
  <c r="AY13" i="5"/>
  <c r="BB13" s="1"/>
  <c r="BE13" s="1"/>
  <c r="AS14"/>
  <c r="AF29" i="2"/>
  <c r="I8" i="63"/>
  <c r="BF12" i="5"/>
  <c r="BG12" s="1"/>
  <c r="G12" i="65" s="1"/>
  <c r="Q9" i="5"/>
  <c r="M5" i="81" s="1"/>
  <c r="M11" i="5"/>
  <c r="N10"/>
  <c r="O11"/>
  <c r="P10"/>
  <c r="H29" i="65"/>
  <c r="B26" i="63"/>
  <c r="S31" i="2"/>
  <c r="T30"/>
  <c r="AD35" i="5"/>
  <c r="AD36"/>
  <c r="V30" i="2"/>
  <c r="U31"/>
  <c r="A27" i="63"/>
  <c r="AE29" i="2"/>
  <c r="AG29" s="1"/>
  <c r="Q10" i="5" l="1"/>
  <c r="M6" i="81" s="1"/>
  <c r="V31" i="2"/>
  <c r="U32"/>
  <c r="A28" i="63"/>
  <c r="AE30" i="2"/>
  <c r="AG30" s="1"/>
  <c r="H30" i="65"/>
  <c r="B27" i="63"/>
  <c r="AC32" i="2"/>
  <c r="AD31"/>
  <c r="M12" i="5"/>
  <c r="N11"/>
  <c r="I9" i="63"/>
  <c r="BF13" i="5"/>
  <c r="BG13" s="1"/>
  <c r="G13" i="65" s="1"/>
  <c r="S32" i="2"/>
  <c r="T31"/>
  <c r="P11" i="5"/>
  <c r="O12"/>
  <c r="AS15"/>
  <c r="AY14"/>
  <c r="BB14" s="1"/>
  <c r="BE14" s="1"/>
  <c r="AF30" i="2"/>
  <c r="AF31" l="1"/>
  <c r="H32" i="65" s="1"/>
  <c r="AS16" i="5"/>
  <c r="AY15"/>
  <c r="BB15" s="1"/>
  <c r="BE15" s="1"/>
  <c r="S33" i="2"/>
  <c r="T32"/>
  <c r="AE32" s="1"/>
  <c r="AG32" s="1"/>
  <c r="N12" i="5"/>
  <c r="M13"/>
  <c r="U33" i="2"/>
  <c r="V32"/>
  <c r="P12" i="5"/>
  <c r="O13"/>
  <c r="I10" i="63"/>
  <c r="BF14" i="5"/>
  <c r="BG14" s="1"/>
  <c r="G14" i="65" s="1"/>
  <c r="A29" i="63"/>
  <c r="AE31" i="2"/>
  <c r="AG31" s="1"/>
  <c r="AD32"/>
  <c r="AC33"/>
  <c r="B28" i="63"/>
  <c r="H31" i="65"/>
  <c r="Q11" i="5"/>
  <c r="Q12" l="1"/>
  <c r="M8" i="81" s="1"/>
  <c r="B29" i="63"/>
  <c r="AF32" i="2"/>
  <c r="M7" i="81"/>
  <c r="U34" i="2"/>
  <c r="V34" s="1"/>
  <c r="V33"/>
  <c r="S34"/>
  <c r="T34" s="1"/>
  <c r="AE34" s="1"/>
  <c r="AG34" s="1"/>
  <c r="T33"/>
  <c r="AE33" s="1"/>
  <c r="AG33" s="1"/>
  <c r="AC34"/>
  <c r="AD34" s="1"/>
  <c r="AD33"/>
  <c r="AS17" i="5"/>
  <c r="AY16"/>
  <c r="BB16" s="1"/>
  <c r="BE16" s="1"/>
  <c r="O14"/>
  <c r="P13"/>
  <c r="M14"/>
  <c r="N13"/>
  <c r="I11" i="63"/>
  <c r="BF15" i="5"/>
  <c r="BG15" s="1"/>
  <c r="G15" i="65" s="1"/>
  <c r="N14" i="5" l="1"/>
  <c r="M15"/>
  <c r="AY17"/>
  <c r="BB17" s="1"/>
  <c r="BE17" s="1"/>
  <c r="AS18"/>
  <c r="BF16"/>
  <c r="BG16" s="1"/>
  <c r="G16" i="65" s="1"/>
  <c r="I12" i="63"/>
  <c r="AF34" i="2"/>
  <c r="P14" i="5"/>
  <c r="O15"/>
  <c r="Q13"/>
  <c r="M9" i="81" s="1"/>
  <c r="AF33" i="2"/>
  <c r="Q14" i="5" l="1"/>
  <c r="M10" i="81" s="1"/>
  <c r="O16" i="5"/>
  <c r="P15"/>
  <c r="M16"/>
  <c r="N15"/>
  <c r="BF17"/>
  <c r="BG17" s="1"/>
  <c r="G17" i="65" s="1"/>
  <c r="I13" i="63"/>
  <c r="AS19" i="5"/>
  <c r="AY18"/>
  <c r="BB18" s="1"/>
  <c r="BE18" s="1"/>
  <c r="Q15" l="1"/>
  <c r="M11" i="81" s="1"/>
  <c r="P16" i="5"/>
  <c r="O17"/>
  <c r="AY19"/>
  <c r="BB19" s="1"/>
  <c r="BE19" s="1"/>
  <c r="AS20"/>
  <c r="N16"/>
  <c r="M17"/>
  <c r="I14" i="63"/>
  <c r="BF18" i="5"/>
  <c r="BG18" s="1"/>
  <c r="G18" i="65" s="1"/>
  <c r="Q16" i="5" l="1"/>
  <c r="M12" i="81" s="1"/>
  <c r="N17" i="5"/>
  <c r="M18"/>
  <c r="P17"/>
  <c r="O18"/>
  <c r="BF19"/>
  <c r="BG19" s="1"/>
  <c r="G19" i="65" s="1"/>
  <c r="I15" i="63"/>
  <c r="AY20" i="5"/>
  <c r="BB20" s="1"/>
  <c r="BE20" s="1"/>
  <c r="AS21"/>
  <c r="AY21" l="1"/>
  <c r="BB21" s="1"/>
  <c r="BE21" s="1"/>
  <c r="AS22"/>
  <c r="O19"/>
  <c r="P18"/>
  <c r="N18"/>
  <c r="M19"/>
  <c r="BF20"/>
  <c r="BG20" s="1"/>
  <c r="G20" i="65" s="1"/>
  <c r="I16" i="63"/>
  <c r="Q17" i="5"/>
  <c r="M13" i="81" s="1"/>
  <c r="L3" i="3"/>
  <c r="I17" i="63" l="1"/>
  <c r="BF21" i="5"/>
  <c r="BG21" s="1"/>
  <c r="G21" i="65" s="1"/>
  <c r="L4" i="3"/>
  <c r="M3"/>
  <c r="N19" i="5"/>
  <c r="M20"/>
  <c r="AY22"/>
  <c r="BB22" s="1"/>
  <c r="BE22" s="1"/>
  <c r="AS23"/>
  <c r="O20"/>
  <c r="P19"/>
  <c r="Q18"/>
  <c r="M14" i="81" s="1"/>
  <c r="I18" i="63" l="1"/>
  <c r="BF22" i="5"/>
  <c r="BG22" s="1"/>
  <c r="G22" i="65" s="1"/>
  <c r="L5" i="3"/>
  <c r="M4"/>
  <c r="O21" i="5"/>
  <c r="P20"/>
  <c r="M21"/>
  <c r="N20"/>
  <c r="AS24"/>
  <c r="AY23"/>
  <c r="BB23" s="1"/>
  <c r="BE23" s="1"/>
  <c r="Q19"/>
  <c r="M15" i="81" s="1"/>
  <c r="M5" i="3" l="1"/>
  <c r="L6"/>
  <c r="L7" s="1"/>
  <c r="Q20" i="5"/>
  <c r="M16" i="81" s="1"/>
  <c r="M22" i="5"/>
  <c r="N21"/>
  <c r="AS25"/>
  <c r="AY24"/>
  <c r="BB24" s="1"/>
  <c r="BE24" s="1"/>
  <c r="P21"/>
  <c r="O22"/>
  <c r="BF23"/>
  <c r="BG23" s="1"/>
  <c r="G23" i="65" s="1"/>
  <c r="I19" i="63"/>
  <c r="L8" i="3" l="1"/>
  <c r="M7"/>
  <c r="M23" i="5"/>
  <c r="N22"/>
  <c r="BF24"/>
  <c r="BG24" s="1"/>
  <c r="G24" i="65" s="1"/>
  <c r="I20" i="63"/>
  <c r="M6" i="3"/>
  <c r="Q21" i="5"/>
  <c r="M17" i="81" s="1"/>
  <c r="AS26" i="5"/>
  <c r="AY25"/>
  <c r="BB25" s="1"/>
  <c r="BE25" s="1"/>
  <c r="O23"/>
  <c r="P22"/>
  <c r="L9" i="3" l="1"/>
  <c r="M8"/>
  <c r="M24" i="5"/>
  <c r="N23"/>
  <c r="Q22"/>
  <c r="M18" i="81" s="1"/>
  <c r="I21" i="63"/>
  <c r="BF25" i="5"/>
  <c r="BG25" s="1"/>
  <c r="G25" i="65" s="1"/>
  <c r="O24" i="5"/>
  <c r="P23"/>
  <c r="AY26"/>
  <c r="BB26" s="1"/>
  <c r="BE26" s="1"/>
  <c r="AS27"/>
  <c r="L10" i="3" l="1"/>
  <c r="M9"/>
  <c r="Q23" i="5"/>
  <c r="M19" i="81" s="1"/>
  <c r="BF26" i="5"/>
  <c r="BG26" s="1"/>
  <c r="G26" i="65" s="1"/>
  <c r="I22" i="63"/>
  <c r="N24" i="5"/>
  <c r="M25"/>
  <c r="AS28"/>
  <c r="AY27"/>
  <c r="BB27" s="1"/>
  <c r="BE27" s="1"/>
  <c r="O25"/>
  <c r="P24"/>
  <c r="L11" i="3" l="1"/>
  <c r="M10"/>
  <c r="Q24" i="5"/>
  <c r="M20" i="81" s="1"/>
  <c r="AY28" i="5"/>
  <c r="BB28" s="1"/>
  <c r="BE28" s="1"/>
  <c r="AS29"/>
  <c r="P25"/>
  <c r="O26"/>
  <c r="I23" i="63"/>
  <c r="BF27" i="5"/>
  <c r="BG27" s="1"/>
  <c r="G27" i="65" s="1"/>
  <c r="N25" i="5"/>
  <c r="M26"/>
  <c r="L12" i="3" l="1"/>
  <c r="M11"/>
  <c r="P26" i="5"/>
  <c r="O27"/>
  <c r="I24" i="63"/>
  <c r="BF28" i="5"/>
  <c r="BG28" s="1"/>
  <c r="G28" i="65" s="1"/>
  <c r="Q25" i="5"/>
  <c r="M21" i="81" s="1"/>
  <c r="N26" i="5"/>
  <c r="M27"/>
  <c r="AS30"/>
  <c r="AY29"/>
  <c r="BB29" s="1"/>
  <c r="BE29" s="1"/>
  <c r="L13" i="3" l="1"/>
  <c r="M12"/>
  <c r="Q26" i="5"/>
  <c r="M22" i="81" s="1"/>
  <c r="I25" i="63"/>
  <c r="BF29" i="5"/>
  <c r="BG29" s="1"/>
  <c r="G29" i="65" s="1"/>
  <c r="N27" i="5"/>
  <c r="M28"/>
  <c r="AS31"/>
  <c r="AY30"/>
  <c r="BB30" s="1"/>
  <c r="BE30" s="1"/>
  <c r="O28"/>
  <c r="P27"/>
  <c r="L14" i="3" l="1"/>
  <c r="M13"/>
  <c r="Q27" i="5"/>
  <c r="M23" i="81" s="1"/>
  <c r="P28" i="5"/>
  <c r="O29"/>
  <c r="AS32"/>
  <c r="AY31"/>
  <c r="BB31" s="1"/>
  <c r="BE31" s="1"/>
  <c r="BF30"/>
  <c r="BG30" s="1"/>
  <c r="G30" i="65" s="1"/>
  <c r="I26" i="63"/>
  <c r="M29" i="5"/>
  <c r="N28"/>
  <c r="L15" i="3" l="1"/>
  <c r="M14"/>
  <c r="Q28" i="5"/>
  <c r="M24" i="81" s="1"/>
  <c r="O30" i="5"/>
  <c r="P29"/>
  <c r="AS33"/>
  <c r="AY32"/>
  <c r="BB32" s="1"/>
  <c r="BE32" s="1"/>
  <c r="N29"/>
  <c r="M30"/>
  <c r="BF31"/>
  <c r="BG31" s="1"/>
  <c r="G31" i="65" s="1"/>
  <c r="I27" i="63"/>
  <c r="L16" i="3" l="1"/>
  <c r="M15"/>
  <c r="Q29" i="5"/>
  <c r="M25" i="81" s="1"/>
  <c r="O31" i="5"/>
  <c r="P30"/>
  <c r="AS34"/>
  <c r="AY33"/>
  <c r="BB33" s="1"/>
  <c r="BE33" s="1"/>
  <c r="BF32"/>
  <c r="BG32" s="1"/>
  <c r="G32" i="65" s="1"/>
  <c r="I28" i="63"/>
  <c r="M31" i="5"/>
  <c r="N30"/>
  <c r="L17" i="3" l="1"/>
  <c r="M16"/>
  <c r="AS35" i="5"/>
  <c r="AY34"/>
  <c r="BB34" s="1"/>
  <c r="BE34" s="1"/>
  <c r="BF34" s="1"/>
  <c r="BG34" s="1"/>
  <c r="P31"/>
  <c r="O32"/>
  <c r="N31"/>
  <c r="M32"/>
  <c r="I29" i="63"/>
  <c r="BF33" i="5"/>
  <c r="BG33" s="1"/>
  <c r="G33" i="65" s="1"/>
  <c r="Q30" i="5"/>
  <c r="M26" i="81" s="1"/>
  <c r="L18" i="3" l="1"/>
  <c r="M17"/>
  <c r="N32" i="5"/>
  <c r="M33"/>
  <c r="Q31"/>
  <c r="M27" i="81" s="1"/>
  <c r="AY35" i="5"/>
  <c r="BB35" s="1"/>
  <c r="BE35" s="1"/>
  <c r="BF35" s="1"/>
  <c r="BG35" s="1"/>
  <c r="AS36"/>
  <c r="AY36" s="1"/>
  <c r="O33"/>
  <c r="P32"/>
  <c r="L19" i="3" l="1"/>
  <c r="M18"/>
  <c r="Q32" i="5"/>
  <c r="M28" i="81" s="1"/>
  <c r="BB36" i="5"/>
  <c r="BE36" s="1"/>
  <c r="BF36" s="1"/>
  <c r="BG36" s="1"/>
  <c r="P33"/>
  <c r="O34"/>
  <c r="N33"/>
  <c r="M34"/>
  <c r="L20" i="3" l="1"/>
  <c r="M19"/>
  <c r="P34" i="5"/>
  <c r="O35"/>
  <c r="N34"/>
  <c r="M35"/>
  <c r="Q33"/>
  <c r="M29" i="81" s="1"/>
  <c r="L21" i="3" l="1"/>
  <c r="M20"/>
  <c r="N35" i="5"/>
  <c r="M36"/>
  <c r="N36" s="1"/>
  <c r="Q34"/>
  <c r="M30" i="81" s="1"/>
  <c r="O36" i="5"/>
  <c r="P36" s="1"/>
  <c r="P35"/>
  <c r="L22" i="3" l="1"/>
  <c r="M21"/>
  <c r="Q36" i="5"/>
  <c r="Q35"/>
  <c r="M31" i="81" s="1"/>
  <c r="L23" i="3" l="1"/>
  <c r="M22"/>
  <c r="Q37" i="5"/>
  <c r="O38" s="1"/>
  <c r="L24" i="3" l="1"/>
  <c r="M23"/>
  <c r="AA22"/>
  <c r="AC22" s="1"/>
  <c r="AH22" s="1"/>
  <c r="L25" l="1"/>
  <c r="M24"/>
  <c r="AA23"/>
  <c r="AC23" s="1"/>
  <c r="AH23" s="1"/>
  <c r="L26" l="1"/>
  <c r="M25"/>
  <c r="D3"/>
  <c r="D4" s="1"/>
  <c r="D5" l="1"/>
  <c r="D6" s="1"/>
  <c r="L27"/>
  <c r="M26"/>
  <c r="E3"/>
  <c r="AA3" l="1"/>
  <c r="AC3" s="1"/>
  <c r="AH3" s="1"/>
  <c r="F3"/>
  <c r="AB3" s="1"/>
  <c r="I6"/>
  <c r="D7"/>
  <c r="I7"/>
  <c r="L28"/>
  <c r="M27"/>
  <c r="E4"/>
  <c r="AA4" l="1"/>
  <c r="AC4" s="1"/>
  <c r="AH4" s="1"/>
  <c r="F4"/>
  <c r="AB4" s="1"/>
  <c r="D8"/>
  <c r="D9" s="1"/>
  <c r="I8"/>
  <c r="L29"/>
  <c r="M28"/>
  <c r="E5"/>
  <c r="D10" l="1"/>
  <c r="I9"/>
  <c r="AA5"/>
  <c r="AC5" s="1"/>
  <c r="AH5" s="1"/>
  <c r="F5"/>
  <c r="AB5" s="1"/>
  <c r="L30"/>
  <c r="M29"/>
  <c r="E6"/>
  <c r="F6" s="1"/>
  <c r="D11" l="1"/>
  <c r="I10"/>
  <c r="L31"/>
  <c r="M30"/>
  <c r="AA6"/>
  <c r="AC6" s="1"/>
  <c r="AH6" s="1"/>
  <c r="AB6"/>
  <c r="E7"/>
  <c r="F7" s="1"/>
  <c r="AB7" s="1"/>
  <c r="D12" l="1"/>
  <c r="I11"/>
  <c r="L32"/>
  <c r="M31"/>
  <c r="AA7"/>
  <c r="AC7" s="1"/>
  <c r="AH7" s="1"/>
  <c r="E8"/>
  <c r="D13" l="1"/>
  <c r="I12"/>
  <c r="AA8"/>
  <c r="AC8" s="1"/>
  <c r="AH8" s="1"/>
  <c r="F8"/>
  <c r="AB8" s="1"/>
  <c r="L33"/>
  <c r="M33" s="1"/>
  <c r="M32"/>
  <c r="E9"/>
  <c r="AA9" l="1"/>
  <c r="AC9" s="1"/>
  <c r="AH9" s="1"/>
  <c r="F9"/>
  <c r="AB9" s="1"/>
  <c r="D14"/>
  <c r="I13"/>
  <c r="E10"/>
  <c r="D15" l="1"/>
  <c r="I14"/>
  <c r="AA10"/>
  <c r="AC10" s="1"/>
  <c r="AH10" s="1"/>
  <c r="F10"/>
  <c r="AB10" s="1"/>
  <c r="E11"/>
  <c r="D16" l="1"/>
  <c r="I15"/>
  <c r="AA11"/>
  <c r="AC11" s="1"/>
  <c r="AH11" s="1"/>
  <c r="F11"/>
  <c r="AB11" s="1"/>
  <c r="E12"/>
  <c r="D17" l="1"/>
  <c r="I16"/>
  <c r="AA12"/>
  <c r="AC12" s="1"/>
  <c r="AH12" s="1"/>
  <c r="F12"/>
  <c r="AB12" s="1"/>
  <c r="E13"/>
  <c r="D18" l="1"/>
  <c r="I17"/>
  <c r="AA13"/>
  <c r="AC13" s="1"/>
  <c r="AH13" s="1"/>
  <c r="F13"/>
  <c r="AB13" s="1"/>
  <c r="E14"/>
  <c r="D19" l="1"/>
  <c r="I18"/>
  <c r="AA14"/>
  <c r="AC14" s="1"/>
  <c r="AH14" s="1"/>
  <c r="F14"/>
  <c r="AB14" s="1"/>
  <c r="E15"/>
  <c r="AA15" l="1"/>
  <c r="AC15" s="1"/>
  <c r="AH15" s="1"/>
  <c r="F15"/>
  <c r="AB15" s="1"/>
  <c r="D20"/>
  <c r="I19"/>
  <c r="E16"/>
  <c r="AA16" l="1"/>
  <c r="AC16" s="1"/>
  <c r="AH16" s="1"/>
  <c r="F16"/>
  <c r="AB16" s="1"/>
  <c r="D21"/>
  <c r="I20"/>
  <c r="E17"/>
  <c r="AA17" l="1"/>
  <c r="AC17" s="1"/>
  <c r="AH17" s="1"/>
  <c r="F17"/>
  <c r="AB17" s="1"/>
  <c r="D22"/>
  <c r="I21"/>
  <c r="E18"/>
  <c r="AA18" l="1"/>
  <c r="AC18" s="1"/>
  <c r="AH18" s="1"/>
  <c r="F18"/>
  <c r="AB18" s="1"/>
  <c r="D23"/>
  <c r="I22"/>
  <c r="E19"/>
  <c r="AA19" l="1"/>
  <c r="AC19" s="1"/>
  <c r="AH19" s="1"/>
  <c r="F19"/>
  <c r="AB19" s="1"/>
  <c r="D24"/>
  <c r="I23"/>
  <c r="E20"/>
  <c r="AA20" l="1"/>
  <c r="AC20" s="1"/>
  <c r="AH20" s="1"/>
  <c r="F20"/>
  <c r="AB20" s="1"/>
  <c r="D25"/>
  <c r="I24"/>
  <c r="E21"/>
  <c r="AA21" l="1"/>
  <c r="AC21" s="1"/>
  <c r="AH21" s="1"/>
  <c r="F21"/>
  <c r="AB21" s="1"/>
  <c r="D26"/>
  <c r="I25"/>
  <c r="E24"/>
  <c r="AA24" l="1"/>
  <c r="AC24" s="1"/>
  <c r="AH24" s="1"/>
  <c r="F24"/>
  <c r="AB24" s="1"/>
  <c r="D27"/>
  <c r="I26"/>
  <c r="E25"/>
  <c r="AA25" l="1"/>
  <c r="AC25" s="1"/>
  <c r="AH25" s="1"/>
  <c r="F25"/>
  <c r="AB25" s="1"/>
  <c r="D28"/>
  <c r="I27"/>
  <c r="E26"/>
  <c r="AA26" l="1"/>
  <c r="AC26" s="1"/>
  <c r="AH26" s="1"/>
  <c r="F26"/>
  <c r="AB26" s="1"/>
  <c r="D29"/>
  <c r="I28"/>
  <c r="E27"/>
  <c r="AA27" l="1"/>
  <c r="AC27" s="1"/>
  <c r="AH27" s="1"/>
  <c r="F27"/>
  <c r="AB27" s="1"/>
  <c r="D30"/>
  <c r="I29"/>
  <c r="E28"/>
  <c r="AA28" l="1"/>
  <c r="AC28" s="1"/>
  <c r="AH28" s="1"/>
  <c r="F28"/>
  <c r="AB28" s="1"/>
  <c r="D31"/>
  <c r="I30"/>
  <c r="E29"/>
  <c r="AA29" l="1"/>
  <c r="AC29" s="1"/>
  <c r="AH29" s="1"/>
  <c r="F29"/>
  <c r="AB29" s="1"/>
  <c r="D32"/>
  <c r="I31"/>
  <c r="E30"/>
  <c r="AA30" l="1"/>
  <c r="AC30" s="1"/>
  <c r="AH30" s="1"/>
  <c r="F30"/>
  <c r="AB30" s="1"/>
  <c r="D33"/>
  <c r="I32"/>
  <c r="E31"/>
  <c r="AA31" l="1"/>
  <c r="AC31" s="1"/>
  <c r="AH31" s="1"/>
  <c r="F31"/>
  <c r="AB31" s="1"/>
  <c r="I33"/>
  <c r="E33"/>
  <c r="E32"/>
  <c r="AP5" i="1"/>
  <c r="AN5"/>
  <c r="AR5"/>
  <c r="AA33" i="3" l="1"/>
  <c r="AC33" s="1"/>
  <c r="AH33" s="1"/>
  <c r="F33"/>
  <c r="AB33" s="1"/>
  <c r="AA32"/>
  <c r="AC32" s="1"/>
  <c r="AH32" s="1"/>
  <c r="F32"/>
  <c r="AB32" s="1"/>
  <c r="AP6" i="1"/>
  <c r="AQ5"/>
  <c r="AR6"/>
  <c r="AS5"/>
  <c r="AN6"/>
  <c r="AO5"/>
  <c r="AT5" l="1"/>
  <c r="AU5" s="1"/>
  <c r="I2" i="81" s="1"/>
  <c r="AN7" i="1"/>
  <c r="AO6"/>
  <c r="AQ6"/>
  <c r="AP7"/>
  <c r="AR7"/>
  <c r="AS6"/>
  <c r="P3" i="3"/>
  <c r="AT6" i="1" l="1"/>
  <c r="AU6" s="1"/>
  <c r="I3" i="81" s="1"/>
  <c r="Q3" i="3"/>
  <c r="P4"/>
  <c r="AR8" i="1"/>
  <c r="AS7"/>
  <c r="AO7"/>
  <c r="AN8"/>
  <c r="AQ7"/>
  <c r="AP8"/>
  <c r="AT7" l="1"/>
  <c r="AU7" s="1"/>
  <c r="I4" i="81" s="1"/>
  <c r="AN9" i="1"/>
  <c r="AO8"/>
  <c r="Q4" i="3"/>
  <c r="P5"/>
  <c r="AS8" i="1"/>
  <c r="AR9"/>
  <c r="AP9"/>
  <c r="AQ8"/>
  <c r="AP10" l="1"/>
  <c r="AQ9"/>
  <c r="P6" i="3"/>
  <c r="Q5"/>
  <c r="AN10" i="1"/>
  <c r="AO9"/>
  <c r="AR10"/>
  <c r="AS9"/>
  <c r="AT8"/>
  <c r="AU8" s="1"/>
  <c r="I5" i="81" s="1"/>
  <c r="AT9" i="1" l="1"/>
  <c r="AU9" s="1"/>
  <c r="I6" i="81" s="1"/>
  <c r="AO10" i="1"/>
  <c r="AQ10"/>
  <c r="AP11"/>
  <c r="AS10"/>
  <c r="P7" i="3"/>
  <c r="Q7" s="1"/>
  <c r="Q6"/>
  <c r="AT10" i="1" l="1"/>
  <c r="AU10" s="1"/>
  <c r="I7" i="81" s="1"/>
  <c r="AO11" i="1"/>
  <c r="AN12"/>
  <c r="AR12"/>
  <c r="AS11"/>
  <c r="P8" i="3"/>
  <c r="AP12" i="1"/>
  <c r="AQ11"/>
  <c r="AT11" l="1"/>
  <c r="AU11" s="1"/>
  <c r="I8" i="81" s="1"/>
  <c r="Q8" i="3"/>
  <c r="P9"/>
  <c r="AO12" i="1"/>
  <c r="AN13"/>
  <c r="AP13"/>
  <c r="AQ12"/>
  <c r="AS12"/>
  <c r="AQ13" l="1"/>
  <c r="AP14"/>
  <c r="P10" i="3"/>
  <c r="Q9"/>
  <c r="AS13" i="1"/>
  <c r="AR14"/>
  <c r="AN14"/>
  <c r="AO13"/>
  <c r="AT12"/>
  <c r="AU12" s="1"/>
  <c r="I9" i="81" s="1"/>
  <c r="AN15" i="1" l="1"/>
  <c r="AO14"/>
  <c r="P11" i="3"/>
  <c r="Q10"/>
  <c r="AR15" i="1"/>
  <c r="AS14"/>
  <c r="AQ14"/>
  <c r="AP15"/>
  <c r="AT13"/>
  <c r="AU13" s="1"/>
  <c r="I10" i="81" s="1"/>
  <c r="AR16" i="1" l="1"/>
  <c r="AS15"/>
  <c r="AO15"/>
  <c r="AN16"/>
  <c r="Q11" i="3"/>
  <c r="P12"/>
  <c r="AP16" i="1"/>
  <c r="AQ15"/>
  <c r="AT14"/>
  <c r="AU14" s="1"/>
  <c r="I11" i="81" s="1"/>
  <c r="AS16" i="1" l="1"/>
  <c r="AR17"/>
  <c r="P13" i="3"/>
  <c r="Q12"/>
  <c r="AQ16" i="1"/>
  <c r="AP17"/>
  <c r="AN17"/>
  <c r="AO16"/>
  <c r="AT15"/>
  <c r="AU15" s="1"/>
  <c r="I12" i="81" s="1"/>
  <c r="AQ17" i="1" l="1"/>
  <c r="AO17"/>
  <c r="AN18"/>
  <c r="AS17"/>
  <c r="Q13" i="3"/>
  <c r="P14"/>
  <c r="AT16" i="1"/>
  <c r="AU16" s="1"/>
  <c r="I13" i="81" s="1"/>
  <c r="AP19" i="1" l="1"/>
  <c r="AQ18"/>
  <c r="AR19"/>
  <c r="AS18"/>
  <c r="Q14" i="3"/>
  <c r="Q18"/>
  <c r="P15"/>
  <c r="AO18" i="1"/>
  <c r="AN19"/>
  <c r="AT17"/>
  <c r="AU17" s="1"/>
  <c r="I14" i="81" s="1"/>
  <c r="AP20" i="1" l="1"/>
  <c r="AQ19"/>
  <c r="AO19"/>
  <c r="AN20"/>
  <c r="P16" i="3"/>
  <c r="Q15"/>
  <c r="AR20" i="1"/>
  <c r="AS19"/>
  <c r="AT18"/>
  <c r="P17" i="3" l="1"/>
  <c r="Q16"/>
  <c r="AP21" i="1"/>
  <c r="AQ20"/>
  <c r="AU18"/>
  <c r="I15" i="81" s="1"/>
  <c r="AS20" i="1"/>
  <c r="AR21"/>
  <c r="AO20"/>
  <c r="AN21"/>
  <c r="AT19"/>
  <c r="AU19" s="1"/>
  <c r="I16" i="81" s="1"/>
  <c r="AT20" i="1" l="1"/>
  <c r="AU20" s="1"/>
  <c r="I17" i="81" s="1"/>
  <c r="Q17" i="3"/>
  <c r="P18"/>
  <c r="P19" s="1"/>
  <c r="AO21" i="1"/>
  <c r="AN22"/>
  <c r="AQ21"/>
  <c r="AP22"/>
  <c r="AS21"/>
  <c r="AR22"/>
  <c r="AO22" l="1"/>
  <c r="AN23"/>
  <c r="AT21"/>
  <c r="AU21" s="1"/>
  <c r="I18" i="81" s="1"/>
  <c r="AS22" i="1"/>
  <c r="AR23"/>
  <c r="Q19" i="3"/>
  <c r="P20"/>
  <c r="AP23" i="1"/>
  <c r="AQ22"/>
  <c r="AT22" l="1"/>
  <c r="AR24"/>
  <c r="AS23"/>
  <c r="AN24"/>
  <c r="AO23"/>
  <c r="P21" i="3"/>
  <c r="Q20"/>
  <c r="AP24" i="1"/>
  <c r="AQ23"/>
  <c r="AT23" l="1"/>
  <c r="AU23" s="1"/>
  <c r="I20" i="81" s="1"/>
  <c r="AU22" i="1"/>
  <c r="I19" i="81" s="1"/>
  <c r="Q21" i="3"/>
  <c r="P22"/>
  <c r="AS24" i="1"/>
  <c r="AR25"/>
  <c r="AQ24"/>
  <c r="AP25"/>
  <c r="AN25"/>
  <c r="AO24"/>
  <c r="AT24" l="1"/>
  <c r="AU24" s="1"/>
  <c r="I21" i="81" s="1"/>
  <c r="AO25" i="1"/>
  <c r="AS25"/>
  <c r="AQ25"/>
  <c r="P23" i="3"/>
  <c r="Q22"/>
  <c r="AT25" i="1" l="1"/>
  <c r="AU25" s="1"/>
  <c r="I22" i="81" s="1"/>
  <c r="AP27" i="1"/>
  <c r="AQ26"/>
  <c r="AO26"/>
  <c r="AN27"/>
  <c r="P24" i="3"/>
  <c r="Q23"/>
  <c r="AR27" i="1"/>
  <c r="AS26"/>
  <c r="P25" i="3" l="1"/>
  <c r="Q24"/>
  <c r="AP28" i="1"/>
  <c r="AQ27"/>
  <c r="AR28"/>
  <c r="AS27"/>
  <c r="AO27"/>
  <c r="AN28"/>
  <c r="AT26"/>
  <c r="AU26" s="1"/>
  <c r="I23" i="81" s="1"/>
  <c r="AR29" i="1" l="1"/>
  <c r="AS28"/>
  <c r="P26" i="3"/>
  <c r="Q25"/>
  <c r="AQ28" i="1"/>
  <c r="AP29"/>
  <c r="AN29"/>
  <c r="AO28"/>
  <c r="AT27"/>
  <c r="AU27" s="1"/>
  <c r="I24" i="81" s="1"/>
  <c r="AS29" i="1" l="1"/>
  <c r="AR30"/>
  <c r="AQ29"/>
  <c r="AP30"/>
  <c r="AO29"/>
  <c r="AN30"/>
  <c r="P27" i="3"/>
  <c r="Q26"/>
  <c r="AT28" i="1"/>
  <c r="AU28" s="1"/>
  <c r="I25" i="81" s="1"/>
  <c r="AT29" i="1" l="1"/>
  <c r="AU29" s="1"/>
  <c r="I26" i="81" s="1"/>
  <c r="AN31" i="1"/>
  <c r="AO30"/>
  <c r="AS30"/>
  <c r="AR31"/>
  <c r="P28" i="3"/>
  <c r="Q27"/>
  <c r="AQ30" i="1"/>
  <c r="AP31"/>
  <c r="AT30" l="1"/>
  <c r="AU30" s="1"/>
  <c r="I27" i="81" s="1"/>
  <c r="Q28" i="3"/>
  <c r="P29"/>
  <c r="AN32" i="1"/>
  <c r="AO31"/>
  <c r="AP32"/>
  <c r="AQ31"/>
  <c r="AR32"/>
  <c r="AS31"/>
  <c r="AQ32" l="1"/>
  <c r="AP33"/>
  <c r="Q29" i="3"/>
  <c r="P30"/>
  <c r="AS32" i="1"/>
  <c r="AR33"/>
  <c r="AO32"/>
  <c r="AN33"/>
  <c r="AT31"/>
  <c r="AT32" l="1"/>
  <c r="AU32" s="1"/>
  <c r="I29" i="81" s="1"/>
  <c r="AU31" i="1"/>
  <c r="I28" i="81" s="1"/>
  <c r="AS33" i="1"/>
  <c r="AR34"/>
  <c r="AP34"/>
  <c r="AQ33"/>
  <c r="AO33"/>
  <c r="AN34"/>
  <c r="Q30" i="3"/>
  <c r="P31"/>
  <c r="AN35" i="1" l="1"/>
  <c r="AO35" s="1"/>
  <c r="AO34"/>
  <c r="AP35"/>
  <c r="AQ35" s="1"/>
  <c r="AQ34"/>
  <c r="P32" i="3"/>
  <c r="Q31"/>
  <c r="AS34" i="1"/>
  <c r="AR35"/>
  <c r="AS35" s="1"/>
  <c r="AT33"/>
  <c r="AX5"/>
  <c r="AT34" l="1"/>
  <c r="AT35"/>
  <c r="AU33"/>
  <c r="I30" i="81" s="1"/>
  <c r="P33" i="3"/>
  <c r="Q33" s="1"/>
  <c r="Q32"/>
  <c r="AX6" i="1"/>
  <c r="J2" i="81"/>
  <c r="AU35" i="1" l="1"/>
  <c r="AU34"/>
  <c r="I31" i="81" s="1"/>
  <c r="AX7" i="1"/>
  <c r="J3" i="81"/>
  <c r="AU36" i="1" l="1"/>
  <c r="AU38" s="1"/>
  <c r="AX8"/>
  <c r="J4" i="81"/>
  <c r="AX9" i="1" l="1"/>
  <c r="J5" i="81"/>
  <c r="AX10" i="1" l="1"/>
  <c r="J6" i="81"/>
  <c r="AX11" i="1" l="1"/>
  <c r="J7" i="81"/>
  <c r="J8" l="1"/>
  <c r="AX12" i="1"/>
  <c r="AX13" l="1"/>
  <c r="J9" i="81"/>
  <c r="J10" l="1"/>
  <c r="AX14" i="1"/>
  <c r="J11" i="81" l="1"/>
  <c r="AX15" i="1"/>
  <c r="AX16" l="1"/>
  <c r="J12" i="81"/>
  <c r="J13" l="1"/>
  <c r="AX17" i="1"/>
  <c r="AX18" l="1"/>
  <c r="J14" i="81"/>
  <c r="AX19" i="1" l="1"/>
  <c r="J15" i="81"/>
  <c r="AX20" i="1" l="1"/>
  <c r="J16" i="81"/>
  <c r="J17" l="1"/>
  <c r="AX21" i="1"/>
  <c r="AX22" l="1"/>
  <c r="J18" i="81"/>
  <c r="AX23" i="1" l="1"/>
  <c r="J19" i="81"/>
  <c r="J20" l="1"/>
  <c r="AX24" i="1"/>
  <c r="J21" i="81" l="1"/>
  <c r="AX25" i="1"/>
  <c r="AX26" l="1"/>
  <c r="J22" i="81"/>
  <c r="AX27" i="1" l="1"/>
  <c r="J23" i="81"/>
  <c r="J24" l="1"/>
  <c r="AX28" i="1"/>
  <c r="J25" i="81" l="1"/>
  <c r="AX29" i="1"/>
  <c r="J26" i="81" l="1"/>
  <c r="AX30" i="1"/>
  <c r="AX31" l="1"/>
  <c r="J27" i="81"/>
  <c r="J28" l="1"/>
  <c r="AX32" i="1"/>
  <c r="AX33" l="1"/>
  <c r="J29" i="81"/>
  <c r="AV6" i="7"/>
  <c r="J30" i="81" l="1"/>
  <c r="AX34" i="1"/>
  <c r="AV7" i="7"/>
  <c r="H2" i="81"/>
  <c r="J31" l="1"/>
  <c r="AX35" i="1"/>
  <c r="AV8" i="7"/>
  <c r="H3" i="81"/>
  <c r="AV9" i="7" l="1"/>
  <c r="H4" i="81"/>
  <c r="AV10" i="7" l="1"/>
  <c r="H5" i="81"/>
  <c r="AV11" i="7" l="1"/>
  <c r="H6" i="81"/>
  <c r="AV12" i="7" l="1"/>
  <c r="H7" i="81"/>
  <c r="AV13" i="7" l="1"/>
  <c r="H8" i="81"/>
  <c r="AV14" i="7" l="1"/>
  <c r="H9" i="81"/>
  <c r="AV15" i="7" l="1"/>
  <c r="H10" i="81"/>
  <c r="AV16" i="7" l="1"/>
  <c r="H11" i="81"/>
  <c r="AV17" i="7" l="1"/>
  <c r="H12" i="81"/>
  <c r="AV18" i="7" l="1"/>
  <c r="H13" i="81"/>
  <c r="AV19" i="7" l="1"/>
  <c r="H14" i="81"/>
  <c r="AV20" i="7" l="1"/>
  <c r="H15" i="81"/>
  <c r="AV21" i="7" l="1"/>
  <c r="H16" i="81"/>
  <c r="AV22" i="7" l="1"/>
  <c r="H17" i="81"/>
  <c r="AV23" i="7" l="1"/>
  <c r="H18" i="81"/>
  <c r="AV24" i="7" l="1"/>
  <c r="H19" i="81"/>
  <c r="AV25" i="7" l="1"/>
  <c r="H20" i="81"/>
  <c r="AV26" i="7" l="1"/>
  <c r="H21" i="81"/>
  <c r="H22" l="1"/>
  <c r="AV28" i="7" l="1"/>
  <c r="H23" i="81"/>
  <c r="AV29" i="7" l="1"/>
  <c r="H24" i="81"/>
  <c r="AV30" i="7" l="1"/>
  <c r="H25" i="81"/>
  <c r="AV31" i="7" l="1"/>
  <c r="H26" i="81"/>
  <c r="AV32" i="7" l="1"/>
  <c r="H27" i="81"/>
  <c r="AV33" i="7" l="1"/>
  <c r="H28" i="81"/>
  <c r="AV34" i="7" l="1"/>
  <c r="H29" i="81"/>
  <c r="AV35" i="7" l="1"/>
  <c r="H30" i="81"/>
  <c r="AV36" i="7" l="1"/>
  <c r="H31" i="81"/>
  <c r="E18" i="77" l="1"/>
</calcChain>
</file>

<file path=xl/comments1.xml><?xml version="1.0" encoding="utf-8"?>
<comments xmlns="http://schemas.openxmlformats.org/spreadsheetml/2006/main">
  <authors>
    <author>Amjad Abou Hassan</author>
  </authors>
  <commentList>
    <comment ref="B2" authorId="0">
      <text>
        <r>
          <rPr>
            <b/>
            <sz val="9"/>
            <color indexed="81"/>
            <rFont val="Tahoma"/>
            <charset val="1"/>
          </rPr>
          <t>Amjad Abou Hassan:</t>
        </r>
        <r>
          <rPr>
            <sz val="9"/>
            <color indexed="81"/>
            <rFont val="Tahoma"/>
            <charset val="1"/>
          </rPr>
          <t xml:space="preserve">
Reset counter on 9/6/2022 numbers added as per last report
</t>
        </r>
      </text>
    </comment>
  </commentList>
</comments>
</file>

<file path=xl/comments2.xml><?xml version="1.0" encoding="utf-8"?>
<comments xmlns="http://schemas.openxmlformats.org/spreadsheetml/2006/main">
  <authors>
    <author>Starwood Mgt Cooperation</author>
  </authors>
  <commentList>
    <comment ref="A7" authorId="0">
      <text>
        <r>
          <rPr>
            <b/>
            <sz val="11"/>
            <color indexed="81"/>
            <rFont val="Tahoma"/>
            <family val="2"/>
          </rPr>
          <t>Insert property name</t>
        </r>
      </text>
    </comment>
  </commentList>
</comments>
</file>

<file path=xl/sharedStrings.xml><?xml version="1.0" encoding="utf-8"?>
<sst xmlns="http://schemas.openxmlformats.org/spreadsheetml/2006/main" count="666" uniqueCount="418">
  <si>
    <t>Daily Cons Bo.</t>
  </si>
  <si>
    <t>Boiler litter</t>
  </si>
  <si>
    <t>Boiler A</t>
  </si>
  <si>
    <t>Run Hr a</t>
  </si>
  <si>
    <t>Boiler B</t>
  </si>
  <si>
    <t>Run Hrb</t>
  </si>
  <si>
    <t>Boiler C</t>
  </si>
  <si>
    <t>Run C</t>
  </si>
  <si>
    <t>SteamA</t>
  </si>
  <si>
    <t>Run SA</t>
  </si>
  <si>
    <t>SteamB</t>
  </si>
  <si>
    <t>Run SteamB</t>
  </si>
  <si>
    <t>GAS1 %</t>
  </si>
  <si>
    <t>GAS1/L</t>
  </si>
  <si>
    <t>GAS2%</t>
  </si>
  <si>
    <t>Gas2/L</t>
  </si>
  <si>
    <t>GAS3%</t>
  </si>
  <si>
    <t>GAS3/L</t>
  </si>
  <si>
    <t>Gas Cons</t>
  </si>
  <si>
    <t>OOC</t>
  </si>
  <si>
    <t>MDB3</t>
  </si>
  <si>
    <t>MDB3/day</t>
  </si>
  <si>
    <t>EMDB2</t>
  </si>
  <si>
    <t>EMDB2/day</t>
  </si>
  <si>
    <t>EMDB1</t>
  </si>
  <si>
    <t>EMDB1/day</t>
  </si>
  <si>
    <t>MDB2</t>
  </si>
  <si>
    <t>mdb2/day</t>
  </si>
  <si>
    <t>MDB1</t>
  </si>
  <si>
    <t>MDB1/Day</t>
  </si>
  <si>
    <t>Total KWH</t>
  </si>
  <si>
    <t>Gen/Day KWH</t>
  </si>
  <si>
    <t>EDL KWH</t>
  </si>
  <si>
    <t>RH</t>
  </si>
  <si>
    <t>C1h1 power</t>
  </si>
  <si>
    <t>CH1 Con KWH</t>
  </si>
  <si>
    <t>CH2 RH</t>
  </si>
  <si>
    <t>Ch2 power</t>
  </si>
  <si>
    <t>CH2 Con KWH</t>
  </si>
  <si>
    <t>CH3 RH</t>
  </si>
  <si>
    <t>CH3 Con KWH</t>
  </si>
  <si>
    <t>RH total</t>
  </si>
  <si>
    <t>KWH total</t>
  </si>
  <si>
    <t>Time</t>
  </si>
  <si>
    <t>GEN1</t>
  </si>
  <si>
    <t>RUN HR</t>
  </si>
  <si>
    <t>next service</t>
  </si>
  <si>
    <t>GEN2</t>
  </si>
  <si>
    <t>GEN3</t>
  </si>
  <si>
    <t>ALARM</t>
  </si>
  <si>
    <t xml:space="preserve">RH total </t>
  </si>
  <si>
    <t>Date</t>
  </si>
  <si>
    <t>Truck</t>
  </si>
  <si>
    <t>Truck M3/day</t>
  </si>
  <si>
    <t>N0. Trucks</t>
  </si>
  <si>
    <t>City</t>
  </si>
  <si>
    <t>City/day</t>
  </si>
  <si>
    <t xml:space="preserve">Kitchen and Laundry  </t>
  </si>
  <si>
    <t>Main</t>
  </si>
  <si>
    <t xml:space="preserve">Guest </t>
  </si>
  <si>
    <t>Tank 1</t>
  </si>
  <si>
    <t>Tank 2</t>
  </si>
  <si>
    <t>Tank 3</t>
  </si>
  <si>
    <t>Tank 4</t>
  </si>
  <si>
    <t>Tank 5</t>
  </si>
  <si>
    <t>Tank 6</t>
  </si>
  <si>
    <t>Tank 7</t>
  </si>
  <si>
    <t>Tank 8</t>
  </si>
  <si>
    <t>Tank 9</t>
  </si>
  <si>
    <t>Tank 10</t>
  </si>
  <si>
    <t>Tank 11</t>
  </si>
  <si>
    <t>Delivery</t>
  </si>
  <si>
    <t>Genset Co</t>
  </si>
  <si>
    <t xml:space="preserve">Steam </t>
  </si>
  <si>
    <t>Boil</t>
  </si>
  <si>
    <t>Water Consumption</t>
  </si>
  <si>
    <t xml:space="preserve">Outdoor temperature </t>
  </si>
  <si>
    <t>Ch3 power</t>
  </si>
  <si>
    <t>Boiler A fuel</t>
  </si>
  <si>
    <t xml:space="preserve">Daily consumption </t>
  </si>
  <si>
    <t xml:space="preserve">REQ. # of
trucks </t>
  </si>
  <si>
    <t>Steam B Conter</t>
  </si>
  <si>
    <t>SB Litters</t>
  </si>
  <si>
    <t>TOTAL CH RH</t>
  </si>
  <si>
    <t>TOTAL EDL</t>
  </si>
  <si>
    <t>TOTAL CT</t>
  </si>
  <si>
    <t>TOTAL WATER</t>
  </si>
  <si>
    <t>TOTAL CH cons KW</t>
  </si>
  <si>
    <t>TOTAL ELIC KW</t>
  </si>
  <si>
    <t>GEN HR</t>
  </si>
  <si>
    <t>TOTAL GEN KW</t>
  </si>
  <si>
    <t>WATER IN</t>
  </si>
  <si>
    <t>Entrance</t>
  </si>
  <si>
    <t xml:space="preserve">Main Tank </t>
  </si>
  <si>
    <t>MainI</t>
  </si>
  <si>
    <t xml:space="preserve">Level </t>
  </si>
  <si>
    <t>Quantity CM3</t>
  </si>
  <si>
    <t xml:space="preserve">Hotel Consumption </t>
  </si>
  <si>
    <t xml:space="preserve">Var </t>
  </si>
  <si>
    <t>Total VAR</t>
  </si>
  <si>
    <t xml:space="preserve">Total water delivery </t>
  </si>
  <si>
    <t>index Run H</t>
  </si>
  <si>
    <t>AVG</t>
  </si>
  <si>
    <t xml:space="preserve">Total Fuel </t>
  </si>
  <si>
    <t>Boiler</t>
  </si>
  <si>
    <t>Steam</t>
  </si>
  <si>
    <t>Level Tank Gen</t>
  </si>
  <si>
    <t>Level tank Boiler</t>
  </si>
  <si>
    <t>Total sotck</t>
  </si>
  <si>
    <t xml:space="preserve">Boiler+Steam </t>
  </si>
  <si>
    <t>Generator</t>
  </si>
  <si>
    <t>H /L</t>
  </si>
  <si>
    <t>TOAL KW GEN</t>
  </si>
  <si>
    <t>GEN FUEL</t>
  </si>
  <si>
    <t>FUEL TOTAL</t>
  </si>
  <si>
    <t>Chiller KW</t>
  </si>
  <si>
    <t>GEN KW</t>
  </si>
  <si>
    <t>EDL KW</t>
  </si>
  <si>
    <t>Steam Fuel</t>
  </si>
  <si>
    <t>Boiler Fuel</t>
  </si>
  <si>
    <r>
      <t>CT/m</t>
    </r>
    <r>
      <rPr>
        <b/>
        <sz val="12"/>
        <color indexed="8"/>
        <rFont val="Calibri"/>
        <family val="2"/>
      </rPr>
      <t>ᶾ</t>
    </r>
  </si>
  <si>
    <t>occ</t>
  </si>
  <si>
    <t>covers</t>
  </si>
  <si>
    <r>
      <t>temp. C</t>
    </r>
    <r>
      <rPr>
        <sz val="11"/>
        <color indexed="8"/>
        <rFont val="Calibri"/>
        <family val="2"/>
      </rPr>
      <t>⁰</t>
    </r>
  </si>
  <si>
    <t>RH %</t>
  </si>
  <si>
    <t>Avg Outside Temp</t>
  </si>
  <si>
    <t>Banquet Activity</t>
  </si>
  <si>
    <t>Avg</t>
  </si>
  <si>
    <t>Boiler &amp; steam</t>
  </si>
  <si>
    <t>Ball R</t>
  </si>
  <si>
    <t xml:space="preserve">Meeting </t>
  </si>
  <si>
    <t>Cooling Tower</t>
  </si>
  <si>
    <r>
      <t xml:space="preserve">AVG </t>
    </r>
    <r>
      <rPr>
        <sz val="8"/>
        <color indexed="8"/>
        <rFont val="Calibri"/>
        <family val="2"/>
      </rPr>
      <t>chiller KW/Hr</t>
    </r>
  </si>
  <si>
    <t>Total Boiler Runing H</t>
  </si>
  <si>
    <t>Total Steam Runing H</t>
  </si>
  <si>
    <t>Total Boiler
running   H</t>
  </si>
  <si>
    <t>Total Steam
running   H</t>
  </si>
  <si>
    <t>AVE CONSUM</t>
  </si>
  <si>
    <t>Total GEN
running  H</t>
  </si>
  <si>
    <t xml:space="preserve">Actual Diesel
Consumption </t>
  </si>
  <si>
    <t xml:space="preserve">Actual Gas
Consumption </t>
  </si>
  <si>
    <t>Total ELEC
power</t>
  </si>
  <si>
    <t>Gen ELEC
power</t>
  </si>
  <si>
    <t>EDL ELEC
power</t>
  </si>
  <si>
    <t>Chillers
running   H</t>
  </si>
  <si>
    <t>Total Water
delivery</t>
  </si>
  <si>
    <t xml:space="preserve">Total water
consumption </t>
  </si>
  <si>
    <t xml:space="preserve">Total water
in tanks </t>
  </si>
  <si>
    <t xml:space="preserve">Occupancy </t>
  </si>
  <si>
    <t>AVE
TEPM</t>
  </si>
  <si>
    <t>AVE
Humidity</t>
  </si>
  <si>
    <t>Outdoor conditions</t>
  </si>
  <si>
    <t xml:space="preserve">Date </t>
  </si>
  <si>
    <t>AVE TEPM</t>
  </si>
  <si>
    <t>AVE Humidity</t>
  </si>
  <si>
    <t>Room OCC</t>
  </si>
  <si>
    <t>KWH/Rooc</t>
  </si>
  <si>
    <t>outlet</t>
  </si>
  <si>
    <t xml:space="preserve">MIN TEMP </t>
  </si>
  <si>
    <t xml:space="preserve">AVE Humidity </t>
  </si>
  <si>
    <t xml:space="preserve">AVE TEMP </t>
  </si>
  <si>
    <t>Four Seasons Hotel Beirut</t>
  </si>
  <si>
    <t xml:space="preserve">Annual Utility consumption report </t>
  </si>
  <si>
    <t>LOCATION:</t>
  </si>
  <si>
    <t>Four Seasons Beirut</t>
  </si>
  <si>
    <t>Jan</t>
  </si>
  <si>
    <t>Max (A)</t>
  </si>
  <si>
    <t>Min (B)</t>
  </si>
  <si>
    <t>(A+B)/2     -18.3=(C)</t>
  </si>
  <si>
    <t>Feb</t>
  </si>
  <si>
    <t>Mar</t>
  </si>
  <si>
    <t>Apr</t>
  </si>
  <si>
    <t>May</t>
  </si>
  <si>
    <t>Jun</t>
  </si>
  <si>
    <t>Heating degree days</t>
  </si>
  <si>
    <t>Cooling degree days</t>
  </si>
  <si>
    <t>Jul</t>
  </si>
  <si>
    <t>Aug</t>
  </si>
  <si>
    <t>Sep</t>
  </si>
  <si>
    <t>Oct</t>
  </si>
  <si>
    <t>Nov</t>
  </si>
  <si>
    <t>Dec</t>
  </si>
  <si>
    <t>ANNUAL DEGREE DAYS</t>
  </si>
  <si>
    <t>Accurate when inputting is complete</t>
  </si>
  <si>
    <t xml:space="preserve">AVE OCC </t>
  </si>
  <si>
    <t xml:space="preserve"># of OCC Rooms </t>
  </si>
  <si>
    <t>Ball room</t>
  </si>
  <si>
    <t xml:space="preserve">Meeting rooms </t>
  </si>
  <si>
    <t xml:space="preserve">Outlets </t>
  </si>
  <si>
    <t>Total covers</t>
  </si>
  <si>
    <t># of permenant Emp</t>
  </si>
  <si>
    <t xml:space="preserve"># of casuals </t>
  </si>
  <si>
    <t>Total # of EMP</t>
  </si>
  <si>
    <t xml:space="preserve">GENERAL &amp; HOTEL'S INFORMATION SHEET </t>
  </si>
  <si>
    <t># of EMP/OCC Room</t>
  </si>
  <si>
    <t>http://www.accuweather.com/en/lb/beirut</t>
  </si>
  <si>
    <t>EDL</t>
  </si>
  <si>
    <t>Peak</t>
  </si>
  <si>
    <t>Day</t>
  </si>
  <si>
    <t>Night</t>
  </si>
  <si>
    <t xml:space="preserve">EDL </t>
  </si>
  <si>
    <t xml:space="preserve">Subscription </t>
  </si>
  <si>
    <t>KVA</t>
  </si>
  <si>
    <t xml:space="preserve">Electricity consumption </t>
  </si>
  <si>
    <t>Price LL</t>
  </si>
  <si>
    <t xml:space="preserve">Index in </t>
  </si>
  <si>
    <t>Index Out</t>
  </si>
  <si>
    <t>Kwh Cost</t>
  </si>
  <si>
    <t>K</t>
  </si>
  <si>
    <t>Kwh</t>
  </si>
  <si>
    <t>Total cost LL</t>
  </si>
  <si>
    <t>Fees</t>
  </si>
  <si>
    <t>day</t>
  </si>
  <si>
    <t xml:space="preserve">VAT </t>
  </si>
  <si>
    <t xml:space="preserve">Utility Expense </t>
  </si>
  <si>
    <t>Water Truck</t>
  </si>
  <si>
    <t>City Water</t>
  </si>
  <si>
    <t xml:space="preserve">Diesel </t>
  </si>
  <si>
    <t>Electricity</t>
  </si>
  <si>
    <t>Cost /L</t>
  </si>
  <si>
    <t>Rate</t>
  </si>
  <si>
    <t>Cost/L</t>
  </si>
  <si>
    <t xml:space="preserve">Nb Delivery </t>
  </si>
  <si>
    <t xml:space="preserve">NB delivery </t>
  </si>
  <si>
    <t>MTD</t>
  </si>
  <si>
    <t>Cost</t>
  </si>
  <si>
    <t>Total LLP</t>
  </si>
  <si>
    <t>Total per day</t>
  </si>
  <si>
    <t>Qt</t>
  </si>
  <si>
    <t xml:space="preserve">Utility  </t>
  </si>
  <si>
    <t>Budget</t>
  </si>
  <si>
    <t>Diesel Cons Per day</t>
  </si>
  <si>
    <t>ATS-4</t>
  </si>
  <si>
    <t>descriptions</t>
  </si>
  <si>
    <t>STATUS</t>
  </si>
  <si>
    <t>Sensors</t>
  </si>
  <si>
    <t xml:space="preserve">Trip/switching   </t>
  </si>
  <si>
    <t>location</t>
  </si>
  <si>
    <t>Load</t>
  </si>
  <si>
    <t>MDB-3</t>
  </si>
  <si>
    <t>NW 20 H1</t>
  </si>
  <si>
    <t>Main Distribution Board -3</t>
  </si>
  <si>
    <t>DP-MCP</t>
  </si>
  <si>
    <t>NS400A</t>
  </si>
  <si>
    <t>MCC-5B-2</t>
  </si>
  <si>
    <t>NS1000N</t>
  </si>
  <si>
    <t>CHILLER-3</t>
  </si>
  <si>
    <t xml:space="preserve">MCC-5-B1 </t>
  </si>
  <si>
    <t>ATS-5</t>
  </si>
  <si>
    <t>sensors</t>
  </si>
  <si>
    <t xml:space="preserve">Trip/switching  </t>
  </si>
  <si>
    <t>EMDB-2</t>
  </si>
  <si>
    <t>EDP-1F</t>
  </si>
  <si>
    <t>NS630B</t>
  </si>
  <si>
    <t>EDP-1B</t>
  </si>
  <si>
    <t>EDP-2F</t>
  </si>
  <si>
    <t>EDP-R-LIFTS</t>
  </si>
  <si>
    <t>NS800</t>
  </si>
  <si>
    <t>LVBUSBAR -2</t>
  </si>
  <si>
    <t>Bus bar</t>
  </si>
  <si>
    <t>ATS-3</t>
  </si>
  <si>
    <t>Descriptions</t>
  </si>
  <si>
    <t>Status</t>
  </si>
  <si>
    <t>Sensor</t>
  </si>
  <si>
    <t xml:space="preserve">Trip/switching </t>
  </si>
  <si>
    <t>EMDB-1</t>
  </si>
  <si>
    <t>EDP-GF</t>
  </si>
  <si>
    <t>Electrical Panel GF</t>
  </si>
  <si>
    <t>EDP-5B</t>
  </si>
  <si>
    <t>Electrical Panel B5</t>
  </si>
  <si>
    <t>EDP-LAN</t>
  </si>
  <si>
    <t>Electrical Panel laundry</t>
  </si>
  <si>
    <t>EDP-TF1</t>
  </si>
  <si>
    <t>Electrical Panel lower technical</t>
  </si>
  <si>
    <t>EDP-1B-LIFTS</t>
  </si>
  <si>
    <t>Lift B1</t>
  </si>
  <si>
    <t>EDP-14</t>
  </si>
  <si>
    <t>EP 14th floor</t>
  </si>
  <si>
    <t>LV BUSBAR 1</t>
  </si>
  <si>
    <t>ATS-2</t>
  </si>
  <si>
    <t>MDB-2</t>
  </si>
  <si>
    <t>EMCP-CT</t>
  </si>
  <si>
    <t>M</t>
  </si>
  <si>
    <t>EMCP-TF1</t>
  </si>
  <si>
    <t>MCC-5B-3</t>
  </si>
  <si>
    <t>CHILLER-2</t>
  </si>
  <si>
    <t>CHILLER-1</t>
  </si>
  <si>
    <t>ATS1</t>
  </si>
  <si>
    <t>DP-2F</t>
  </si>
  <si>
    <t>Electrical 2nd floor</t>
  </si>
  <si>
    <t xml:space="preserve">DP-1B </t>
  </si>
  <si>
    <t>Electrical B1</t>
  </si>
  <si>
    <t>DP-1F</t>
  </si>
  <si>
    <t>Electrical F1</t>
  </si>
  <si>
    <t>DP-GF</t>
  </si>
  <si>
    <t>Electrical GF</t>
  </si>
  <si>
    <t>DP-LAN</t>
  </si>
  <si>
    <t>JAN</t>
  </si>
  <si>
    <t xml:space="preserve">fuel Consuption </t>
  </si>
  <si>
    <t>Diesel Delivery</t>
  </si>
  <si>
    <t>Cooling Deg</t>
  </si>
  <si>
    <t>Heating Deg</t>
  </si>
  <si>
    <t>Av temp deg C</t>
  </si>
  <si>
    <t>Mechanical panel B1</t>
  </si>
  <si>
    <t>Mechanical B5</t>
  </si>
  <si>
    <t>indicator</t>
  </si>
  <si>
    <t>Emergency Main Distribution Board -2</t>
  </si>
  <si>
    <t>Power panel 1st floor</t>
  </si>
  <si>
    <t>Power panel 1st Basement</t>
  </si>
  <si>
    <t>Power panel 2nnd floor</t>
  </si>
  <si>
    <t>Emergency Main Distribution Board -1</t>
  </si>
  <si>
    <t>Mechanical panel lower technical</t>
  </si>
  <si>
    <t>Mechanical panel B5</t>
  </si>
  <si>
    <t>http://www.accuweather.com/en/lb/lebanon-weather</t>
  </si>
  <si>
    <t>Occ %</t>
  </si>
  <si>
    <t>Gen RH</t>
  </si>
  <si>
    <t>Swimming Pool</t>
  </si>
  <si>
    <t>Jacuzzi</t>
  </si>
  <si>
    <t>1.0-1.5</t>
  </si>
  <si>
    <t>7.2-7.4</t>
  </si>
  <si>
    <t>PH</t>
  </si>
  <si>
    <t>Water meter SW Pool</t>
  </si>
  <si>
    <t>Cons  M3</t>
  </si>
  <si>
    <t>Gen MHW</t>
  </si>
  <si>
    <t>Cosum SW/day</t>
  </si>
  <si>
    <t>Chl</t>
  </si>
  <si>
    <t>T C</t>
  </si>
  <si>
    <t>Per G</t>
  </si>
  <si>
    <t xml:space="preserve">Steam Boiler </t>
  </si>
  <si>
    <t xml:space="preserve">Steam Boiler/day </t>
  </si>
  <si>
    <t>Forecast MTD</t>
  </si>
  <si>
    <t xml:space="preserve"> Estimation MTD</t>
  </si>
  <si>
    <t>Softener Guest</t>
  </si>
  <si>
    <t xml:space="preserve">Guest Sotf/day </t>
  </si>
  <si>
    <t>Softener K&amp;L</t>
  </si>
  <si>
    <t xml:space="preserve">K&amp;L Sotf/day </t>
  </si>
  <si>
    <t xml:space="preserve">K&amp;L /day </t>
  </si>
  <si>
    <t>Guest / day</t>
  </si>
  <si>
    <t>Site Name</t>
  </si>
  <si>
    <t>Month</t>
  </si>
  <si>
    <t>Year</t>
  </si>
  <si>
    <t xml:space="preserve">Room Nights </t>
  </si>
  <si>
    <t>Beirut</t>
  </si>
  <si>
    <t>ATS2 Kwh</t>
  </si>
  <si>
    <t>ATS4 Kwh</t>
  </si>
  <si>
    <t>Guest  (m3)</t>
  </si>
  <si>
    <t>Kitchen &amp; Laundry (m3)</t>
  </si>
  <si>
    <t>ATS1 Kwh</t>
  </si>
  <si>
    <t>ATS3 Kwh</t>
  </si>
  <si>
    <t>ATS5 Kwh</t>
  </si>
  <si>
    <t>Total Electricity Kwh</t>
  </si>
  <si>
    <t>Electricity Tariff ($/Kwh)</t>
  </si>
  <si>
    <t>Fuel Oil  $/Liter</t>
  </si>
  <si>
    <t xml:space="preserve">LPG (Kg) </t>
  </si>
  <si>
    <t>LPG $/Kg</t>
  </si>
  <si>
    <t>Water Utility Supply (m3) m3</t>
  </si>
  <si>
    <t>Water Utility Supply (m3) $/m3</t>
  </si>
  <si>
    <t>CH1 RH</t>
  </si>
  <si>
    <t>P</t>
  </si>
  <si>
    <t>D</t>
  </si>
  <si>
    <t>N</t>
  </si>
  <si>
    <t>fee</t>
  </si>
  <si>
    <t>T EDL</t>
  </si>
  <si>
    <t xml:space="preserve">Gen </t>
  </si>
  <si>
    <t>Elc C</t>
  </si>
  <si>
    <t>Fuel Counter Index</t>
  </si>
  <si>
    <t>Diesel L/H</t>
  </si>
  <si>
    <t>Cons /day</t>
  </si>
  <si>
    <t>Total Deisel Cons/day</t>
  </si>
  <si>
    <t>Gen Con /day</t>
  </si>
  <si>
    <t>AVG KW/h</t>
  </si>
  <si>
    <t xml:space="preserve">                                                                                                    </t>
  </si>
  <si>
    <t xml:space="preserve">Boiler B Fuel </t>
  </si>
  <si>
    <t>Steam A Conter</t>
  </si>
  <si>
    <t xml:space="preserve">Liters </t>
  </si>
  <si>
    <t>Geothermal</t>
  </si>
  <si>
    <t>RO water counter</t>
  </si>
  <si>
    <t xml:space="preserve">Total RH </t>
  </si>
  <si>
    <t>RO Cons m3</t>
  </si>
  <si>
    <t>.</t>
  </si>
  <si>
    <t>Last Year MTD</t>
  </si>
  <si>
    <t>Diff MTD /last Y MDT</t>
  </si>
  <si>
    <t xml:space="preserve">Generator RH </t>
  </si>
  <si>
    <t>Max Temp</t>
  </si>
  <si>
    <t>Budget MTD</t>
  </si>
  <si>
    <t>Counter 1</t>
  </si>
  <si>
    <t>Counter 2</t>
  </si>
  <si>
    <t>Total</t>
  </si>
  <si>
    <t>SW</t>
  </si>
  <si>
    <t xml:space="preserve">Fire Tank Counter </t>
  </si>
  <si>
    <t xml:space="preserve">Fire Tank  Level </t>
  </si>
  <si>
    <t>K&amp;L Soft/Day</t>
  </si>
  <si>
    <t>TOTAL RO Production</t>
  </si>
  <si>
    <t>RO 2 RH</t>
  </si>
  <si>
    <t>RO 1  RH</t>
  </si>
  <si>
    <t>RO Guest/ Liter</t>
  </si>
  <si>
    <t>RO  K&amp;L/ Liter</t>
  </si>
  <si>
    <t>Irrigation Water (m3) m3</t>
  </si>
  <si>
    <t>Irrigation water  $/m3</t>
  </si>
  <si>
    <t>Laundry Hot Water Counter</t>
  </si>
  <si>
    <t>Hot Water Cons/day</t>
  </si>
  <si>
    <t>Laundry Cold Water Counter</t>
  </si>
  <si>
    <t>Cold Water Cons/day</t>
  </si>
  <si>
    <t>Laundry Water Total Cons</t>
  </si>
  <si>
    <t>( Heating Degree Days / Cooling Degree Days ) 2020</t>
  </si>
  <si>
    <t xml:space="preserve">Diff MTD /Budget </t>
  </si>
  <si>
    <t xml:space="preserve">RH/DAY </t>
  </si>
  <si>
    <t xml:space="preserve">  </t>
  </si>
  <si>
    <t xml:space="preserve">Gas </t>
  </si>
  <si>
    <t>2:00:00AM</t>
  </si>
  <si>
    <t>Consu EDL KW</t>
  </si>
  <si>
    <t xml:space="preserve">Total Fuel Oil  (Liter) </t>
  </si>
  <si>
    <t>Generator RD</t>
  </si>
  <si>
    <t>H Deg</t>
  </si>
  <si>
    <t>C Deg</t>
  </si>
  <si>
    <t>VAT</t>
  </si>
  <si>
    <t>$ without VAT</t>
  </si>
  <si>
    <t>EMPTY</t>
  </si>
</sst>
</file>

<file path=xl/styles.xml><?xml version="1.0" encoding="utf-8"?>
<styleSheet xmlns="http://schemas.openxmlformats.org/spreadsheetml/2006/main">
  <numFmts count="21"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-* #,##0.00_-;\-* #,##0.00_-;_-* &quot;-&quot;??_-;_-@_-"/>
    <numFmt numFmtId="165" formatCode="[$-409]d\-mmm\-yy;@"/>
    <numFmt numFmtId="166" formatCode="0.00_);\(0.00\)"/>
    <numFmt numFmtId="167" formatCode="_(* #,##0_);_(* \(#,##0\);_(* &quot;-&quot;??_);_(@_)"/>
    <numFmt numFmtId="168" formatCode="[$-409]d/mmm;@"/>
    <numFmt numFmtId="169" formatCode="0.0"/>
    <numFmt numFmtId="170" formatCode="0.00_ ;[Red]\-0.00\ "/>
    <numFmt numFmtId="171" formatCode="0_ ;[Red]\-0\ "/>
    <numFmt numFmtId="172" formatCode="[$-409]d\-mmm\-yyyy;@"/>
    <numFmt numFmtId="173" formatCode="0.000"/>
    <numFmt numFmtId="174" formatCode="#,##0.0;[Red]#,##0.0"/>
    <numFmt numFmtId="175" formatCode="_(* #,##0.0000_);_(* \(#,##0.0000\);_(* &quot;-&quot;??_);_(@_)"/>
    <numFmt numFmtId="176" formatCode="0.0000"/>
    <numFmt numFmtId="177" formatCode="0.0000_);\(0.0000\)"/>
    <numFmt numFmtId="178" formatCode="_(* #,##0.000_);_(* \(#,##0.000\);_(* &quot;-&quot;??_);_(@_)"/>
    <numFmt numFmtId="179" formatCode="[$-F800]dddd\,\ mmmm\ dd\,\ yyyy"/>
    <numFmt numFmtId="180" formatCode="[$-F400]h:mm:ss\ AM/PM"/>
    <numFmt numFmtId="181" formatCode="_(&quot;$&quot;* #,##0.0_);_(&quot;$&quot;* \(#,##0.0\);_(&quot;$&quot;* &quot;-&quot;??_);_(@_)"/>
  </numFmts>
  <fonts count="36"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b/>
      <sz val="12"/>
      <color indexed="8"/>
      <name val="Calibri"/>
      <family val="2"/>
    </font>
    <font>
      <sz val="8"/>
      <color indexed="8"/>
      <name val="Calibri"/>
      <family val="2"/>
    </font>
    <font>
      <b/>
      <sz val="16"/>
      <name val="ＭＳ Ｐゴシック"/>
      <family val="3"/>
      <charset val="128"/>
    </font>
    <font>
      <b/>
      <sz val="11"/>
      <name val="ＭＳ Ｐゴシック"/>
      <charset val="128"/>
    </font>
    <font>
      <sz val="11"/>
      <name val="ＭＳ Ｐゴシック"/>
      <charset val="128"/>
    </font>
    <font>
      <b/>
      <sz val="11"/>
      <name val="ＭＳ Ｐゴシック"/>
    </font>
    <font>
      <b/>
      <sz val="12"/>
      <name val="ＭＳ Ｐゴシック"/>
      <family val="3"/>
      <charset val="128"/>
    </font>
    <font>
      <sz val="9"/>
      <name val="ＭＳ Ｐゴシック"/>
      <family val="3"/>
      <charset val="128"/>
    </font>
    <font>
      <sz val="8"/>
      <name val="ＭＳ Ｐゴシック"/>
      <family val="3"/>
      <charset val="128"/>
    </font>
    <font>
      <b/>
      <sz val="10"/>
      <name val="ＭＳ Ｐゴシック"/>
      <family val="3"/>
      <charset val="128"/>
    </font>
    <font>
      <sz val="16"/>
      <name val="ＭＳ Ｐゴシック"/>
      <charset val="128"/>
    </font>
    <font>
      <sz val="14"/>
      <name val="ＭＳ Ｐゴシック"/>
      <family val="3"/>
      <charset val="128"/>
    </font>
    <font>
      <sz val="12"/>
      <name val="ＭＳ Ｐゴシック"/>
      <charset val="128"/>
    </font>
    <font>
      <b/>
      <sz val="11"/>
      <color indexed="81"/>
      <name val="Tahoma"/>
      <family val="2"/>
    </font>
    <font>
      <sz val="11"/>
      <color theme="1"/>
      <name val="Calibri"/>
      <family val="2"/>
      <scheme val="minor"/>
    </font>
    <font>
      <u/>
      <sz val="8.8000000000000007"/>
      <color theme="10"/>
      <name val="Calibri"/>
      <family val="2"/>
    </font>
    <font>
      <b/>
      <sz val="12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theme="3" tint="0.59999389629810485"/>
      <name val="Calibri"/>
      <family val="2"/>
      <scheme val="minor"/>
    </font>
    <font>
      <sz val="1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color rgb="FFFF0000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1"/>
      <color theme="6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2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0"/>
      <color rgb="FF000000"/>
      <name val="Arial"/>
      <family val="2"/>
    </font>
    <font>
      <sz val="9"/>
      <color indexed="81"/>
      <name val="Tahoma"/>
      <charset val="1"/>
    </font>
    <font>
      <b/>
      <sz val="9"/>
      <color indexed="81"/>
      <name val="Tahoma"/>
      <charset val="1"/>
    </font>
  </fonts>
  <fills count="30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1" tint="0.34998626667073579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rgb="FFFFFF66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4" tint="0.59999389629810485"/>
        <bgColor indexed="64"/>
      </patternFill>
    </fill>
  </fills>
  <borders count="7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thick">
        <color indexed="64"/>
      </left>
      <right style="medium">
        <color indexed="64"/>
      </right>
      <top style="medium">
        <color indexed="64"/>
      </top>
      <bottom/>
      <diagonal/>
    </border>
    <border>
      <left style="thick">
        <color indexed="64"/>
      </left>
      <right style="medium">
        <color indexed="64"/>
      </right>
      <top/>
      <bottom/>
      <diagonal/>
    </border>
    <border>
      <left style="thick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ck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rgb="FF000000"/>
      </bottom>
      <diagonal/>
    </border>
    <border>
      <left/>
      <right/>
      <top style="medium">
        <color indexed="64"/>
      </top>
      <bottom style="medium">
        <color rgb="FF000000"/>
      </bottom>
      <diagonal/>
    </border>
    <border>
      <left/>
      <right style="medium">
        <color rgb="FF000000"/>
      </right>
      <top style="medium">
        <color indexed="64"/>
      </top>
      <bottom style="medium">
        <color rgb="FF000000"/>
      </bottom>
      <diagonal/>
    </border>
    <border>
      <left style="medium">
        <color rgb="FF000000"/>
      </left>
      <right style="thin">
        <color indexed="64"/>
      </right>
      <top style="medium">
        <color indexed="64"/>
      </top>
      <bottom style="medium">
        <color rgb="FF000000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/>
      <right style="medium">
        <color rgb="FF000000"/>
      </right>
      <top/>
      <bottom/>
      <diagonal/>
    </border>
    <border>
      <left/>
      <right/>
      <top/>
      <bottom style="medium">
        <color rgb="FF000000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5">
    <xf numFmtId="0" fontId="0" fillId="0" borderId="0"/>
    <xf numFmtId="43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0" fontId="17" fillId="0" borderId="0" applyNumberFormat="0" applyFill="0" applyBorder="0" applyAlignment="0" applyProtection="0">
      <alignment vertical="top"/>
      <protection locked="0"/>
    </xf>
    <xf numFmtId="9" fontId="16" fillId="0" borderId="0" applyFont="0" applyFill="0" applyBorder="0" applyAlignment="0" applyProtection="0"/>
  </cellStyleXfs>
  <cellXfs count="715">
    <xf numFmtId="0" fontId="0" fillId="0" borderId="0" xfId="0"/>
    <xf numFmtId="0" fontId="0" fillId="0" borderId="0" xfId="0" applyAlignment="1">
      <alignment horizontal="center"/>
    </xf>
    <xf numFmtId="0" fontId="0" fillId="2" borderId="1" xfId="0" applyFill="1" applyBorder="1"/>
    <xf numFmtId="0" fontId="0" fillId="0" borderId="1" xfId="0" applyBorder="1"/>
    <xf numFmtId="16" fontId="0" fillId="0" borderId="1" xfId="0" applyNumberFormat="1" applyBorder="1"/>
    <xf numFmtId="0" fontId="0" fillId="3" borderId="1" xfId="0" applyFill="1" applyBorder="1" applyAlignment="1">
      <alignment horizontal="center"/>
    </xf>
    <xf numFmtId="16" fontId="0" fillId="3" borderId="0" xfId="0" applyNumberFormat="1" applyFill="1"/>
    <xf numFmtId="0" fontId="0" fillId="4" borderId="0" xfId="0" applyFill="1"/>
    <xf numFmtId="0" fontId="0" fillId="5" borderId="0" xfId="0" applyFill="1"/>
    <xf numFmtId="14" fontId="0" fillId="0" borderId="0" xfId="0" applyNumberFormat="1"/>
    <xf numFmtId="2" fontId="0" fillId="0" borderId="0" xfId="0" applyNumberFormat="1"/>
    <xf numFmtId="0" fontId="0" fillId="6" borderId="1" xfId="0" applyFill="1" applyBorder="1"/>
    <xf numFmtId="0" fontId="0" fillId="7" borderId="1" xfId="0" applyFill="1" applyBorder="1"/>
    <xf numFmtId="0" fontId="0" fillId="8" borderId="1" xfId="0" applyFill="1" applyBorder="1"/>
    <xf numFmtId="0" fontId="0" fillId="9" borderId="1" xfId="0" applyFill="1" applyBorder="1"/>
    <xf numFmtId="43" fontId="0" fillId="0" borderId="1" xfId="0" applyNumberFormat="1" applyBorder="1"/>
    <xf numFmtId="0" fontId="0" fillId="10" borderId="1" xfId="0" applyFill="1" applyBorder="1"/>
    <xf numFmtId="0" fontId="0" fillId="0" borderId="0" xfId="0" applyBorder="1"/>
    <xf numFmtId="0" fontId="18" fillId="0" borderId="0" xfId="0" applyFont="1" applyBorder="1" applyAlignment="1">
      <alignment vertical="top" wrapText="1"/>
    </xf>
    <xf numFmtId="3" fontId="19" fillId="0" borderId="0" xfId="0" applyNumberFormat="1" applyFont="1" applyBorder="1" applyAlignment="1">
      <alignment horizontal="left" vertical="top" wrapText="1" indent="1"/>
    </xf>
    <xf numFmtId="0" fontId="0" fillId="0" borderId="0" xfId="0" applyAlignment="1">
      <alignment wrapText="1"/>
    </xf>
    <xf numFmtId="43" fontId="0" fillId="11" borderId="2" xfId="0" applyNumberFormat="1" applyFill="1" applyBorder="1"/>
    <xf numFmtId="0" fontId="0" fillId="0" borderId="3" xfId="0" applyBorder="1"/>
    <xf numFmtId="0" fontId="20" fillId="12" borderId="4" xfId="0" applyFont="1" applyFill="1" applyBorder="1"/>
    <xf numFmtId="43" fontId="21" fillId="12" borderId="5" xfId="0" applyNumberFormat="1" applyFont="1" applyFill="1" applyBorder="1"/>
    <xf numFmtId="0" fontId="0" fillId="2" borderId="1" xfId="0" applyFill="1" applyBorder="1" applyAlignment="1">
      <alignment wrapText="1"/>
    </xf>
    <xf numFmtId="0" fontId="22" fillId="0" borderId="1" xfId="0" applyFont="1" applyBorder="1"/>
    <xf numFmtId="0" fontId="0" fillId="11" borderId="6" xfId="0" applyFill="1" applyBorder="1" applyAlignment="1">
      <alignment horizontal="center" vertical="center" wrapText="1"/>
    </xf>
    <xf numFmtId="0" fontId="0" fillId="0" borderId="2" xfId="0" applyBorder="1"/>
    <xf numFmtId="0" fontId="0" fillId="5" borderId="4" xfId="0" applyFill="1" applyBorder="1"/>
    <xf numFmtId="0" fontId="0" fillId="5" borderId="3" xfId="0" applyFill="1" applyBorder="1"/>
    <xf numFmtId="0" fontId="23" fillId="5" borderId="0" xfId="0" applyFont="1" applyFill="1"/>
    <xf numFmtId="9" fontId="23" fillId="5" borderId="0" xfId="4" applyFont="1" applyFill="1"/>
    <xf numFmtId="0" fontId="22" fillId="4" borderId="0" xfId="0" applyFont="1" applyFill="1"/>
    <xf numFmtId="9" fontId="22" fillId="4" borderId="0" xfId="4" applyFont="1" applyFill="1"/>
    <xf numFmtId="9" fontId="22" fillId="0" borderId="0" xfId="4" applyFont="1"/>
    <xf numFmtId="1" fontId="22" fillId="0" borderId="0" xfId="0" applyNumberFormat="1" applyFont="1"/>
    <xf numFmtId="1" fontId="0" fillId="0" borderId="1" xfId="0" applyNumberFormat="1" applyBorder="1"/>
    <xf numFmtId="1" fontId="22" fillId="0" borderId="1" xfId="0" applyNumberFormat="1" applyFont="1" applyBorder="1"/>
    <xf numFmtId="167" fontId="0" fillId="0" borderId="1" xfId="0" applyNumberFormat="1" applyBorder="1"/>
    <xf numFmtId="167" fontId="0" fillId="0" borderId="0" xfId="0" applyNumberFormat="1"/>
    <xf numFmtId="165" fontId="0" fillId="0" borderId="0" xfId="0" applyNumberFormat="1" applyAlignment="1">
      <alignment horizontal="right"/>
    </xf>
    <xf numFmtId="0" fontId="0" fillId="0" borderId="0" xfId="0" applyAlignment="1">
      <alignment horizontal="right"/>
    </xf>
    <xf numFmtId="165" fontId="0" fillId="0" borderId="1" xfId="0" applyNumberFormat="1" applyBorder="1" applyAlignment="1">
      <alignment horizontal="right"/>
    </xf>
    <xf numFmtId="0" fontId="0" fillId="13" borderId="1" xfId="0" applyFill="1" applyBorder="1" applyAlignment="1">
      <alignment horizontal="right"/>
    </xf>
    <xf numFmtId="0" fontId="0" fillId="0" borderId="1" xfId="0" applyBorder="1" applyAlignment="1">
      <alignment horizontal="right"/>
    </xf>
    <xf numFmtId="0" fontId="0" fillId="5" borderId="7" xfId="0" applyFill="1" applyBorder="1" applyAlignment="1">
      <alignment horizontal="right"/>
    </xf>
    <xf numFmtId="0" fontId="0" fillId="5" borderId="8" xfId="0" applyFill="1" applyBorder="1" applyAlignment="1">
      <alignment horizontal="right"/>
    </xf>
    <xf numFmtId="0" fontId="0" fillId="5" borderId="9" xfId="0" applyFill="1" applyBorder="1" applyAlignment="1">
      <alignment horizontal="right"/>
    </xf>
    <xf numFmtId="0" fontId="0" fillId="5" borderId="10" xfId="0" applyFill="1" applyBorder="1" applyAlignment="1">
      <alignment horizontal="right"/>
    </xf>
    <xf numFmtId="43" fontId="16" fillId="5" borderId="11" xfId="1" applyFont="1" applyFill="1" applyBorder="1" applyAlignment="1">
      <alignment horizontal="right"/>
    </xf>
    <xf numFmtId="0" fontId="0" fillId="5" borderId="2" xfId="0" applyFill="1" applyBorder="1" applyAlignment="1">
      <alignment horizontal="right"/>
    </xf>
    <xf numFmtId="0" fontId="0" fillId="5" borderId="1" xfId="0" applyFill="1" applyBorder="1" applyAlignment="1">
      <alignment horizontal="right"/>
    </xf>
    <xf numFmtId="167" fontId="0" fillId="5" borderId="12" xfId="0" applyNumberFormat="1" applyFill="1" applyBorder="1" applyAlignment="1">
      <alignment horizontal="right"/>
    </xf>
    <xf numFmtId="167" fontId="0" fillId="11" borderId="13" xfId="0" applyNumberFormat="1" applyFill="1" applyBorder="1" applyAlignment="1">
      <alignment horizontal="right"/>
    </xf>
    <xf numFmtId="0" fontId="0" fillId="5" borderId="14" xfId="0" applyFill="1" applyBorder="1" applyAlignment="1">
      <alignment horizontal="right"/>
    </xf>
    <xf numFmtId="0" fontId="0" fillId="0" borderId="7" xfId="0" applyBorder="1" applyAlignment="1">
      <alignment horizontal="right"/>
    </xf>
    <xf numFmtId="1" fontId="0" fillId="0" borderId="7" xfId="0" applyNumberFormat="1" applyBorder="1" applyAlignment="1">
      <alignment horizontal="right"/>
    </xf>
    <xf numFmtId="0" fontId="0" fillId="0" borderId="11" xfId="0" applyBorder="1" applyAlignment="1">
      <alignment horizontal="right"/>
    </xf>
    <xf numFmtId="167" fontId="0" fillId="11" borderId="9" xfId="0" applyNumberFormat="1" applyFill="1" applyBorder="1" applyAlignment="1">
      <alignment horizontal="right"/>
    </xf>
    <xf numFmtId="1" fontId="0" fillId="14" borderId="1" xfId="0" applyNumberFormat="1" applyFill="1" applyBorder="1" applyAlignment="1">
      <alignment horizontal="right"/>
    </xf>
    <xf numFmtId="0" fontId="0" fillId="0" borderId="15" xfId="0" applyBorder="1" applyAlignment="1">
      <alignment horizontal="right"/>
    </xf>
    <xf numFmtId="167" fontId="16" fillId="11" borderId="5" xfId="1" applyNumberFormat="1" applyFont="1" applyFill="1" applyBorder="1" applyAlignment="1">
      <alignment horizontal="right"/>
    </xf>
    <xf numFmtId="165" fontId="0" fillId="14" borderId="1" xfId="0" applyNumberFormat="1" applyFill="1" applyBorder="1" applyAlignment="1">
      <alignment horizontal="right"/>
    </xf>
    <xf numFmtId="0" fontId="21" fillId="14" borderId="1" xfId="0" applyFont="1" applyFill="1" applyBorder="1" applyAlignment="1">
      <alignment horizontal="right"/>
    </xf>
    <xf numFmtId="0" fontId="0" fillId="5" borderId="12" xfId="0" applyFill="1" applyBorder="1" applyAlignment="1">
      <alignment horizontal="right"/>
    </xf>
    <xf numFmtId="1" fontId="0" fillId="5" borderId="5" xfId="0" applyNumberFormat="1" applyFill="1" applyBorder="1" applyAlignment="1">
      <alignment horizontal="right"/>
    </xf>
    <xf numFmtId="167" fontId="16" fillId="5" borderId="12" xfId="1" applyNumberFormat="1" applyFont="1" applyFill="1" applyBorder="1" applyAlignment="1">
      <alignment horizontal="right"/>
    </xf>
    <xf numFmtId="43" fontId="16" fillId="0" borderId="0" xfId="1" applyFont="1" applyAlignment="1">
      <alignment horizontal="right"/>
    </xf>
    <xf numFmtId="0" fontId="0" fillId="0" borderId="0" xfId="0" applyNumberFormat="1" applyAlignment="1">
      <alignment horizontal="right"/>
    </xf>
    <xf numFmtId="167" fontId="0" fillId="0" borderId="0" xfId="0" applyNumberFormat="1" applyAlignment="1">
      <alignment horizontal="right"/>
    </xf>
    <xf numFmtId="1" fontId="0" fillId="0" borderId="0" xfId="0" applyNumberFormat="1" applyAlignment="1">
      <alignment horizontal="right"/>
    </xf>
    <xf numFmtId="0" fontId="0" fillId="2" borderId="0" xfId="0" applyFill="1" applyBorder="1" applyAlignment="1">
      <alignment wrapText="1"/>
    </xf>
    <xf numFmtId="167" fontId="16" fillId="0" borderId="0" xfId="1" applyNumberFormat="1" applyFont="1" applyBorder="1"/>
    <xf numFmtId="0" fontId="0" fillId="0" borderId="0" xfId="0" applyAlignment="1">
      <alignment vertical="center"/>
    </xf>
    <xf numFmtId="0" fontId="0" fillId="15" borderId="1" xfId="0" applyFill="1" applyBorder="1"/>
    <xf numFmtId="0" fontId="0" fillId="16" borderId="1" xfId="0" applyFill="1" applyBorder="1"/>
    <xf numFmtId="0" fontId="0" fillId="17" borderId="1" xfId="0" applyFill="1" applyBorder="1"/>
    <xf numFmtId="0" fontId="0" fillId="15" borderId="1" xfId="0" applyFill="1" applyBorder="1" applyAlignment="1">
      <alignment vertical="center"/>
    </xf>
    <xf numFmtId="0" fontId="0" fillId="18" borderId="1" xfId="0" applyFill="1" applyBorder="1"/>
    <xf numFmtId="0" fontId="0" fillId="0" borderId="1" xfId="0" applyBorder="1" applyAlignment="1">
      <alignment horizontal="center" vertical="center"/>
    </xf>
    <xf numFmtId="0" fontId="0" fillId="0" borderId="0" xfId="0" applyFill="1"/>
    <xf numFmtId="43" fontId="0" fillId="0" borderId="0" xfId="0" applyNumberFormat="1"/>
    <xf numFmtId="0" fontId="0" fillId="3" borderId="12" xfId="0" applyFill="1" applyBorder="1" applyAlignment="1">
      <alignment horizontal="center"/>
    </xf>
    <xf numFmtId="0" fontId="0" fillId="3" borderId="5" xfId="0" applyFill="1" applyBorder="1" applyAlignment="1">
      <alignment horizontal="center"/>
    </xf>
    <xf numFmtId="0" fontId="0" fillId="11" borderId="16" xfId="0" applyFill="1" applyBorder="1" applyAlignment="1">
      <alignment horizontal="center" wrapText="1"/>
    </xf>
    <xf numFmtId="3" fontId="0" fillId="0" borderId="0" xfId="0" applyNumberFormat="1" applyBorder="1"/>
    <xf numFmtId="14" fontId="0" fillId="3" borderId="0" xfId="0" applyNumberFormat="1" applyFill="1"/>
    <xf numFmtId="0" fontId="0" fillId="3" borderId="6" xfId="0" applyFill="1" applyBorder="1" applyAlignment="1">
      <alignment horizontal="center"/>
    </xf>
    <xf numFmtId="0" fontId="18" fillId="0" borderId="17" xfId="0" applyFont="1" applyBorder="1" applyAlignment="1">
      <alignment vertical="top" wrapText="1"/>
    </xf>
    <xf numFmtId="0" fontId="18" fillId="0" borderId="18" xfId="0" applyFont="1" applyBorder="1" applyAlignment="1">
      <alignment vertical="top" wrapText="1"/>
    </xf>
    <xf numFmtId="0" fontId="18" fillId="0" borderId="19" xfId="0" applyFont="1" applyBorder="1" applyAlignment="1">
      <alignment vertical="top" wrapText="1"/>
    </xf>
    <xf numFmtId="0" fontId="18" fillId="11" borderId="20" xfId="0" applyFont="1" applyFill="1" applyBorder="1" applyAlignment="1">
      <alignment vertical="top" wrapText="1"/>
    </xf>
    <xf numFmtId="0" fontId="18" fillId="11" borderId="21" xfId="0" applyFont="1" applyFill="1" applyBorder="1" applyAlignment="1">
      <alignment vertical="top" wrapText="1"/>
    </xf>
    <xf numFmtId="0" fontId="18" fillId="11" borderId="16" xfId="0" applyFont="1" applyFill="1" applyBorder="1" applyAlignment="1">
      <alignment vertical="top" wrapText="1"/>
    </xf>
    <xf numFmtId="0" fontId="24" fillId="0" borderId="0" xfId="0" applyFont="1" applyFill="1"/>
    <xf numFmtId="43" fontId="0" fillId="0" borderId="0" xfId="0" applyNumberFormat="1" applyFill="1"/>
    <xf numFmtId="0" fontId="0" fillId="0" borderId="1" xfId="0" applyBorder="1" applyAlignment="1">
      <alignment wrapText="1"/>
    </xf>
    <xf numFmtId="0" fontId="0" fillId="0" borderId="2" xfId="0" applyBorder="1" applyAlignment="1">
      <alignment wrapText="1"/>
    </xf>
    <xf numFmtId="14" fontId="0" fillId="0" borderId="1" xfId="0" applyNumberFormat="1" applyBorder="1"/>
    <xf numFmtId="10" fontId="0" fillId="0" borderId="1" xfId="0" applyNumberFormat="1" applyBorder="1"/>
    <xf numFmtId="43" fontId="16" fillId="0" borderId="0" xfId="1" applyFont="1"/>
    <xf numFmtId="0" fontId="0" fillId="19" borderId="1" xfId="0" applyFill="1" applyBorder="1"/>
    <xf numFmtId="2" fontId="4" fillId="0" borderId="0" xfId="0" applyNumberFormat="1" applyFont="1" applyAlignment="1">
      <alignment horizontal="center"/>
    </xf>
    <xf numFmtId="0" fontId="6" fillId="0" borderId="0" xfId="0" applyFont="1" applyAlignment="1">
      <alignment horizontal="center"/>
    </xf>
    <xf numFmtId="0" fontId="5" fillId="0" borderId="22" xfId="0" applyFont="1" applyBorder="1" applyAlignment="1">
      <alignment horizontal="center"/>
    </xf>
    <xf numFmtId="0" fontId="8" fillId="0" borderId="22" xfId="0" applyFont="1" applyBorder="1"/>
    <xf numFmtId="0" fontId="5" fillId="0" borderId="22" xfId="0" applyFont="1" applyBorder="1"/>
    <xf numFmtId="2" fontId="0" fillId="0" borderId="22" xfId="0" applyNumberFormat="1" applyBorder="1"/>
    <xf numFmtId="0" fontId="5" fillId="0" borderId="22" xfId="0" applyFont="1" applyBorder="1" applyAlignment="1">
      <alignment horizontal="right"/>
    </xf>
    <xf numFmtId="2" fontId="5" fillId="0" borderId="22" xfId="0" applyNumberFormat="1" applyFont="1" applyBorder="1"/>
    <xf numFmtId="0" fontId="6" fillId="0" borderId="22" xfId="0" applyFont="1" applyBorder="1" applyAlignment="1">
      <alignment horizontal="center"/>
    </xf>
    <xf numFmtId="0" fontId="5" fillId="0" borderId="7" xfId="0" applyFont="1" applyBorder="1" applyAlignment="1">
      <alignment horizontal="center"/>
    </xf>
    <xf numFmtId="0" fontId="9" fillId="0" borderId="7" xfId="0" applyFont="1" applyBorder="1" applyAlignment="1">
      <alignment wrapText="1"/>
    </xf>
    <xf numFmtId="2" fontId="9" fillId="0" borderId="7" xfId="0" applyNumberFormat="1" applyFont="1" applyBorder="1" applyAlignment="1">
      <alignment wrapText="1"/>
    </xf>
    <xf numFmtId="2" fontId="10" fillId="0" borderId="7" xfId="0" applyNumberFormat="1" applyFont="1" applyBorder="1" applyAlignment="1">
      <alignment wrapText="1"/>
    </xf>
    <xf numFmtId="0" fontId="9" fillId="0" borderId="0" xfId="0" applyFont="1"/>
    <xf numFmtId="0" fontId="6" fillId="0" borderId="1" xfId="0" applyFont="1" applyBorder="1" applyAlignment="1">
      <alignment horizontal="center"/>
    </xf>
    <xf numFmtId="169" fontId="0" fillId="0" borderId="1" xfId="0" applyNumberFormat="1" applyBorder="1"/>
    <xf numFmtId="170" fontId="0" fillId="0" borderId="1" xfId="0" applyNumberFormat="1" applyBorder="1"/>
    <xf numFmtId="0" fontId="6" fillId="0" borderId="23" xfId="0" applyFont="1" applyBorder="1" applyAlignment="1">
      <alignment horizontal="center"/>
    </xf>
    <xf numFmtId="170" fontId="0" fillId="0" borderId="24" xfId="0" applyNumberFormat="1" applyBorder="1"/>
    <xf numFmtId="170" fontId="0" fillId="0" borderId="23" xfId="0" applyNumberFormat="1" applyBorder="1"/>
    <xf numFmtId="0" fontId="6" fillId="0" borderId="25" xfId="0" applyFont="1" applyBorder="1" applyAlignment="1">
      <alignment horizontal="center"/>
    </xf>
    <xf numFmtId="169" fontId="0" fillId="0" borderId="26" xfId="0" applyNumberFormat="1" applyBorder="1"/>
    <xf numFmtId="0" fontId="10" fillId="0" borderId="27" xfId="0" applyFont="1" applyBorder="1" applyAlignment="1">
      <alignment horizontal="center" wrapText="1"/>
    </xf>
    <xf numFmtId="169" fontId="10" fillId="0" borderId="1" xfId="0" applyNumberFormat="1" applyFont="1" applyBorder="1" applyAlignment="1">
      <alignment wrapText="1"/>
    </xf>
    <xf numFmtId="170" fontId="10" fillId="0" borderId="28" xfId="0" applyNumberFormat="1" applyFont="1" applyBorder="1" applyAlignment="1">
      <alignment wrapText="1"/>
    </xf>
    <xf numFmtId="0" fontId="10" fillId="0" borderId="0" xfId="0" applyFont="1" applyAlignment="1">
      <alignment wrapText="1"/>
    </xf>
    <xf numFmtId="0" fontId="6" fillId="0" borderId="27" xfId="0" applyFont="1" applyBorder="1" applyAlignment="1">
      <alignment horizontal="center"/>
    </xf>
    <xf numFmtId="170" fontId="0" fillId="0" borderId="28" xfId="0" applyNumberFormat="1" applyBorder="1"/>
    <xf numFmtId="0" fontId="6" fillId="0" borderId="8" xfId="0" applyFont="1" applyBorder="1" applyAlignment="1">
      <alignment horizontal="center"/>
    </xf>
    <xf numFmtId="0" fontId="0" fillId="0" borderId="22" xfId="0" applyBorder="1"/>
    <xf numFmtId="170" fontId="0" fillId="0" borderId="14" xfId="0" applyNumberFormat="1" applyBorder="1"/>
    <xf numFmtId="170" fontId="0" fillId="0" borderId="0" xfId="0" applyNumberFormat="1"/>
    <xf numFmtId="170" fontId="0" fillId="0" borderId="22" xfId="0" applyNumberFormat="1" applyBorder="1"/>
    <xf numFmtId="170" fontId="5" fillId="0" borderId="22" xfId="0" applyNumberFormat="1" applyFont="1" applyBorder="1"/>
    <xf numFmtId="0" fontId="11" fillId="0" borderId="7" xfId="0" applyFont="1" applyBorder="1" applyAlignment="1">
      <alignment horizontal="center"/>
    </xf>
    <xf numFmtId="170" fontId="10" fillId="0" borderId="7" xfId="0" applyNumberFormat="1" applyFont="1" applyBorder="1" applyAlignment="1">
      <alignment wrapText="1"/>
    </xf>
    <xf numFmtId="2" fontId="0" fillId="0" borderId="14" xfId="0" applyNumberFormat="1" applyBorder="1"/>
    <xf numFmtId="170" fontId="0" fillId="0" borderId="0" xfId="0" applyNumberFormat="1" applyBorder="1"/>
    <xf numFmtId="0" fontId="6" fillId="0" borderId="0" xfId="0" applyFont="1" applyBorder="1" applyAlignment="1">
      <alignment horizontal="center"/>
    </xf>
    <xf numFmtId="171" fontId="5" fillId="0" borderId="6" xfId="0" applyNumberFormat="1" applyFont="1" applyBorder="1"/>
    <xf numFmtId="0" fontId="11" fillId="0" borderId="0" xfId="0" applyFont="1" applyBorder="1" applyAlignment="1">
      <alignment horizontal="center" wrapText="1"/>
    </xf>
    <xf numFmtId="170" fontId="13" fillId="0" borderId="0" xfId="0" applyNumberFormat="1" applyFont="1" applyBorder="1" applyAlignment="1">
      <alignment horizontal="center"/>
    </xf>
    <xf numFmtId="0" fontId="13" fillId="0" borderId="0" xfId="0" applyFont="1" applyBorder="1" applyAlignment="1">
      <alignment horizontal="center"/>
    </xf>
    <xf numFmtId="2" fontId="13" fillId="0" borderId="0" xfId="0" applyNumberFormat="1" applyFont="1" applyBorder="1" applyAlignment="1">
      <alignment horizontal="center"/>
    </xf>
    <xf numFmtId="0" fontId="0" fillId="0" borderId="29" xfId="0" applyBorder="1"/>
    <xf numFmtId="0" fontId="22" fillId="0" borderId="29" xfId="0" applyFont="1" applyBorder="1"/>
    <xf numFmtId="0" fontId="25" fillId="0" borderId="23" xfId="0" applyFont="1" applyBorder="1"/>
    <xf numFmtId="0" fontId="25" fillId="0" borderId="25" xfId="0" applyFont="1" applyBorder="1"/>
    <xf numFmtId="0" fontId="0" fillId="0" borderId="24" xfId="0" applyBorder="1"/>
    <xf numFmtId="0" fontId="25" fillId="0" borderId="24" xfId="0" applyFont="1" applyBorder="1"/>
    <xf numFmtId="0" fontId="0" fillId="14" borderId="0" xfId="0" applyFill="1"/>
    <xf numFmtId="0" fontId="0" fillId="0" borderId="30" xfId="0" applyFont="1" applyBorder="1"/>
    <xf numFmtId="0" fontId="22" fillId="0" borderId="12" xfId="0" applyFont="1" applyBorder="1"/>
    <xf numFmtId="0" fontId="0" fillId="0" borderId="29" xfId="0" applyFont="1" applyFill="1" applyBorder="1"/>
    <xf numFmtId="0" fontId="0" fillId="0" borderId="0" xfId="0" applyAlignment="1">
      <alignment horizontal="center"/>
    </xf>
    <xf numFmtId="0" fontId="9" fillId="0" borderId="0" xfId="0" applyFont="1" applyAlignment="1">
      <alignment wrapText="1"/>
    </xf>
    <xf numFmtId="170" fontId="17" fillId="0" borderId="0" xfId="3" applyNumberFormat="1" applyAlignment="1" applyProtection="1"/>
    <xf numFmtId="0" fontId="0" fillId="16" borderId="1" xfId="0" applyFill="1" applyBorder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14" fontId="0" fillId="0" borderId="1" xfId="0" applyNumberFormat="1" applyBorder="1" applyAlignment="1">
      <alignment horizontal="center" vertical="center"/>
    </xf>
    <xf numFmtId="0" fontId="22" fillId="14" borderId="1" xfId="0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22" fillId="0" borderId="31" xfId="0" applyFont="1" applyBorder="1" applyAlignment="1">
      <alignment horizontal="center" vertical="center" wrapText="1"/>
    </xf>
    <xf numFmtId="17" fontId="22" fillId="0" borderId="32" xfId="0" applyNumberFormat="1" applyFont="1" applyBorder="1" applyAlignment="1">
      <alignment horizontal="center" vertical="center" wrapText="1"/>
    </xf>
    <xf numFmtId="0" fontId="0" fillId="0" borderId="32" xfId="0" applyBorder="1"/>
    <xf numFmtId="0" fontId="22" fillId="0" borderId="32" xfId="0" applyFont="1" applyBorder="1"/>
    <xf numFmtId="0" fontId="0" fillId="0" borderId="1" xfId="0" applyBorder="1" applyAlignment="1">
      <alignment horizontal="center"/>
    </xf>
    <xf numFmtId="0" fontId="23" fillId="0" borderId="15" xfId="0" applyFont="1" applyBorder="1" applyAlignment="1">
      <alignment horizontal="center" vertical="center" wrapText="1"/>
    </xf>
    <xf numFmtId="43" fontId="16" fillId="0" borderId="1" xfId="1" applyFont="1" applyBorder="1"/>
    <xf numFmtId="43" fontId="0" fillId="3" borderId="0" xfId="0" applyNumberFormat="1" applyFill="1" applyBorder="1" applyAlignment="1">
      <alignment horizontal="center" vertical="center"/>
    </xf>
    <xf numFmtId="44" fontId="16" fillId="0" borderId="0" xfId="2" applyFont="1"/>
    <xf numFmtId="0" fontId="0" fillId="0" borderId="1" xfId="0" applyBorder="1" applyAlignment="1">
      <alignment horizontal="center" vertical="center" wrapText="1"/>
    </xf>
    <xf numFmtId="0" fontId="0" fillId="20" borderId="1" xfId="0" applyFill="1" applyBorder="1" applyAlignment="1">
      <alignment horizontal="right"/>
    </xf>
    <xf numFmtId="0" fontId="22" fillId="0" borderId="1" xfId="0" applyFont="1" applyBorder="1" applyAlignment="1">
      <alignment horizontal="center" wrapText="1"/>
    </xf>
    <xf numFmtId="0" fontId="0" fillId="0" borderId="0" xfId="0" applyAlignment="1">
      <alignment horizontal="center"/>
    </xf>
    <xf numFmtId="44" fontId="22" fillId="0" borderId="1" xfId="0" applyNumberFormat="1" applyFont="1" applyBorder="1"/>
    <xf numFmtId="44" fontId="26" fillId="0" borderId="1" xfId="2" applyFont="1" applyBorder="1"/>
    <xf numFmtId="0" fontId="0" fillId="21" borderId="1" xfId="0" applyFill="1" applyBorder="1"/>
    <xf numFmtId="44" fontId="16" fillId="21" borderId="1" xfId="2" applyFont="1" applyFill="1" applyBorder="1"/>
    <xf numFmtId="43" fontId="0" fillId="21" borderId="1" xfId="0" applyNumberFormat="1" applyFill="1" applyBorder="1"/>
    <xf numFmtId="0" fontId="0" fillId="3" borderId="1" xfId="0" applyFill="1" applyBorder="1"/>
    <xf numFmtId="44" fontId="16" fillId="3" borderId="1" xfId="2" applyFont="1" applyFill="1" applyBorder="1"/>
    <xf numFmtId="44" fontId="0" fillId="3" borderId="1" xfId="0" applyNumberFormat="1" applyFill="1" applyBorder="1"/>
    <xf numFmtId="43" fontId="16" fillId="3" borderId="1" xfId="1" applyFont="1" applyFill="1" applyBorder="1"/>
    <xf numFmtId="43" fontId="16" fillId="2" borderId="1" xfId="1" applyFont="1" applyFill="1" applyBorder="1"/>
    <xf numFmtId="44" fontId="16" fillId="2" borderId="1" xfId="2" applyFont="1" applyFill="1" applyBorder="1"/>
    <xf numFmtId="0" fontId="0" fillId="22" borderId="1" xfId="0" applyFill="1" applyBorder="1"/>
    <xf numFmtId="43" fontId="16" fillId="22" borderId="1" xfId="1" applyFont="1" applyFill="1" applyBorder="1"/>
    <xf numFmtId="44" fontId="16" fillId="22" borderId="1" xfId="2" applyFont="1" applyFill="1" applyBorder="1"/>
    <xf numFmtId="17" fontId="0" fillId="0" borderId="1" xfId="0" applyNumberFormat="1" applyBorder="1" applyAlignment="1">
      <alignment horizontal="center" vertical="center" wrapText="1"/>
    </xf>
    <xf numFmtId="0" fontId="22" fillId="0" borderId="1" xfId="0" applyFont="1" applyFill="1" applyBorder="1" applyAlignment="1">
      <alignment horizontal="center" vertical="center" wrapText="1"/>
    </xf>
    <xf numFmtId="0" fontId="0" fillId="0" borderId="1" xfId="0" applyFont="1" applyBorder="1"/>
    <xf numFmtId="167" fontId="16" fillId="0" borderId="1" xfId="1" applyNumberFormat="1" applyFont="1" applyBorder="1"/>
    <xf numFmtId="1" fontId="22" fillId="0" borderId="1" xfId="0" applyNumberFormat="1" applyFont="1" applyBorder="1" applyAlignment="1">
      <alignment horizontal="center"/>
    </xf>
    <xf numFmtId="0" fontId="0" fillId="23" borderId="17" xfId="0" applyFill="1" applyBorder="1" applyAlignment="1">
      <alignment horizontal="center"/>
    </xf>
    <xf numFmtId="0" fontId="0" fillId="23" borderId="18" xfId="0" applyFill="1" applyBorder="1" applyAlignment="1">
      <alignment horizontal="center"/>
    </xf>
    <xf numFmtId="0" fontId="0" fillId="24" borderId="7" xfId="0" applyFill="1" applyBorder="1" applyAlignment="1">
      <alignment horizontal="center"/>
    </xf>
    <xf numFmtId="0" fontId="0" fillId="24" borderId="1" xfId="0" applyFill="1" applyBorder="1" applyAlignment="1">
      <alignment horizontal="center"/>
    </xf>
    <xf numFmtId="0" fontId="0" fillId="24" borderId="23" xfId="0" applyFill="1" applyBorder="1" applyAlignment="1">
      <alignment horizontal="center"/>
    </xf>
    <xf numFmtId="1" fontId="0" fillId="0" borderId="0" xfId="0" applyNumberFormat="1"/>
    <xf numFmtId="9" fontId="16" fillId="0" borderId="1" xfId="4" applyFont="1" applyBorder="1"/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43" fontId="16" fillId="6" borderId="0" xfId="1" applyFont="1" applyFill="1" applyBorder="1" applyAlignment="1">
      <alignment horizontal="center" wrapText="1"/>
    </xf>
    <xf numFmtId="43" fontId="16" fillId="0" borderId="22" xfId="1" applyFont="1" applyBorder="1" applyAlignment="1">
      <alignment horizontal="right"/>
    </xf>
    <xf numFmtId="43" fontId="16" fillId="0" borderId="35" xfId="1" applyFont="1" applyBorder="1" applyAlignment="1">
      <alignment horizontal="right"/>
    </xf>
    <xf numFmtId="1" fontId="0" fillId="0" borderId="0" xfId="0" applyNumberFormat="1" applyFill="1" applyBorder="1" applyAlignment="1">
      <alignment horizontal="center" vertical="center"/>
    </xf>
    <xf numFmtId="9" fontId="16" fillId="0" borderId="0" xfId="4" applyFont="1"/>
    <xf numFmtId="10" fontId="0" fillId="0" borderId="0" xfId="0" applyNumberFormat="1"/>
    <xf numFmtId="0" fontId="0" fillId="0" borderId="36" xfId="0" applyBorder="1" applyAlignment="1"/>
    <xf numFmtId="0" fontId="0" fillId="0" borderId="26" xfId="0" applyBorder="1" applyAlignment="1"/>
    <xf numFmtId="0" fontId="0" fillId="0" borderId="24" xfId="0" applyBorder="1" applyAlignment="1"/>
    <xf numFmtId="0" fontId="0" fillId="0" borderId="37" xfId="0" applyBorder="1" applyAlignment="1"/>
    <xf numFmtId="0" fontId="0" fillId="0" borderId="0" xfId="0" applyBorder="1" applyAlignment="1"/>
    <xf numFmtId="0" fontId="0" fillId="0" borderId="28" xfId="0" applyBorder="1" applyAlignment="1"/>
    <xf numFmtId="0" fontId="0" fillId="0" borderId="38" xfId="0" applyBorder="1" applyAlignment="1"/>
    <xf numFmtId="0" fontId="0" fillId="0" borderId="39" xfId="0" applyBorder="1" applyAlignment="1"/>
    <xf numFmtId="44" fontId="0" fillId="0" borderId="1" xfId="0" applyNumberFormat="1" applyBorder="1"/>
    <xf numFmtId="167" fontId="16" fillId="0" borderId="0" xfId="1" applyNumberFormat="1" applyFont="1" applyBorder="1" applyAlignment="1"/>
    <xf numFmtId="9" fontId="16" fillId="0" borderId="1" xfId="4" applyNumberFormat="1" applyFont="1" applyBorder="1" applyAlignment="1">
      <alignment horizontal="center" vertical="center"/>
    </xf>
    <xf numFmtId="9" fontId="16" fillId="4" borderId="0" xfId="4" applyFont="1" applyFill="1"/>
    <xf numFmtId="10" fontId="16" fillId="16" borderId="0" xfId="4" applyNumberFormat="1" applyFont="1" applyFill="1" applyBorder="1" applyAlignment="1">
      <alignment horizontal="center" vertical="center"/>
    </xf>
    <xf numFmtId="0" fontId="0" fillId="0" borderId="40" xfId="0" applyBorder="1"/>
    <xf numFmtId="0" fontId="0" fillId="0" borderId="38" xfId="0" applyBorder="1"/>
    <xf numFmtId="0" fontId="18" fillId="0" borderId="60" xfId="0" applyFont="1" applyBorder="1" applyAlignment="1">
      <alignment vertical="top" wrapText="1"/>
    </xf>
    <xf numFmtId="0" fontId="18" fillId="0" borderId="61" xfId="0" applyFont="1" applyBorder="1" applyAlignment="1">
      <alignment vertical="top" wrapText="1"/>
    </xf>
    <xf numFmtId="0" fontId="18" fillId="0" borderId="62" xfId="0" applyFont="1" applyBorder="1" applyAlignment="1">
      <alignment vertical="top" wrapText="1"/>
    </xf>
    <xf numFmtId="0" fontId="18" fillId="0" borderId="63" xfId="0" applyFont="1" applyBorder="1" applyAlignment="1">
      <alignment vertical="top" wrapText="1"/>
    </xf>
    <xf numFmtId="0" fontId="27" fillId="0" borderId="0" xfId="0" applyFont="1" applyBorder="1"/>
    <xf numFmtId="0" fontId="27" fillId="0" borderId="41" xfId="0" applyFont="1" applyBorder="1" applyAlignment="1">
      <alignment horizontal="center" vertical="center"/>
    </xf>
    <xf numFmtId="0" fontId="27" fillId="0" borderId="20" xfId="0" applyFont="1" applyBorder="1"/>
    <xf numFmtId="0" fontId="27" fillId="0" borderId="42" xfId="0" applyFont="1" applyBorder="1" applyAlignment="1">
      <alignment horizontal="center"/>
    </xf>
    <xf numFmtId="0" fontId="27" fillId="0" borderId="4" xfId="0" applyFont="1" applyBorder="1" applyAlignment="1">
      <alignment horizontal="center"/>
    </xf>
    <xf numFmtId="0" fontId="27" fillId="0" borderId="0" xfId="0" applyFont="1" applyBorder="1" applyAlignment="1">
      <alignment horizontal="center"/>
    </xf>
    <xf numFmtId="1" fontId="22" fillId="0" borderId="7" xfId="0" applyNumberFormat="1" applyFont="1" applyBorder="1"/>
    <xf numFmtId="43" fontId="16" fillId="17" borderId="1" xfId="1" applyFont="1" applyFill="1" applyBorder="1"/>
    <xf numFmtId="0" fontId="0" fillId="0" borderId="1" xfId="0" applyBorder="1" applyAlignment="1">
      <alignment horizontal="center" vertical="center"/>
    </xf>
    <xf numFmtId="0" fontId="22" fillId="0" borderId="1" xfId="0" applyFont="1" applyBorder="1" applyAlignment="1">
      <alignment horizontal="center" vertical="center" wrapText="1"/>
    </xf>
    <xf numFmtId="0" fontId="22" fillId="0" borderId="43" xfId="0" applyFont="1" applyBorder="1" applyAlignment="1">
      <alignment horizontal="center" vertical="center" wrapText="1"/>
    </xf>
    <xf numFmtId="0" fontId="22" fillId="0" borderId="1" xfId="0" applyFont="1" applyBorder="1" applyAlignment="1">
      <alignment horizontal="center" vertical="center" wrapText="1"/>
    </xf>
    <xf numFmtId="167" fontId="16" fillId="0" borderId="15" xfId="1" applyNumberFormat="1" applyFont="1" applyBorder="1"/>
    <xf numFmtId="0" fontId="22" fillId="0" borderId="0" xfId="0" applyFont="1"/>
    <xf numFmtId="0" fontId="0" fillId="0" borderId="43" xfId="0" applyBorder="1" applyAlignment="1">
      <alignment horizontal="center"/>
    </xf>
    <xf numFmtId="0" fontId="27" fillId="0" borderId="16" xfId="0" applyFont="1" applyBorder="1" applyAlignment="1">
      <alignment wrapText="1"/>
    </xf>
    <xf numFmtId="0" fontId="27" fillId="0" borderId="6" xfId="0" applyFont="1" applyBorder="1" applyAlignment="1">
      <alignment wrapText="1"/>
    </xf>
    <xf numFmtId="0" fontId="27" fillId="0" borderId="0" xfId="0" applyFont="1" applyBorder="1" applyAlignment="1">
      <alignment wrapText="1"/>
    </xf>
    <xf numFmtId="43" fontId="0" fillId="0" borderId="28" xfId="0" applyNumberFormat="1" applyBorder="1" applyAlignment="1"/>
    <xf numFmtId="0" fontId="22" fillId="0" borderId="44" xfId="0" applyFont="1" applyFill="1" applyBorder="1"/>
    <xf numFmtId="0" fontId="0" fillId="14" borderId="1" xfId="0" applyNumberFormat="1" applyFill="1" applyBorder="1" applyAlignment="1">
      <alignment horizontal="right"/>
    </xf>
    <xf numFmtId="2" fontId="22" fillId="0" borderId="7" xfId="0" applyNumberFormat="1" applyFont="1" applyBorder="1"/>
    <xf numFmtId="0" fontId="0" fillId="0" borderId="1" xfId="0" applyNumberFormat="1" applyBorder="1" applyAlignment="1">
      <alignment horizontal="center" vertical="center"/>
    </xf>
    <xf numFmtId="0" fontId="0" fillId="0" borderId="0" xfId="0" applyAlignment="1">
      <alignment horizontal="center"/>
    </xf>
    <xf numFmtId="166" fontId="0" fillId="3" borderId="1" xfId="0" applyNumberFormat="1" applyFill="1" applyBorder="1" applyAlignment="1">
      <alignment horizontal="center" vertical="center"/>
    </xf>
    <xf numFmtId="167" fontId="16" fillId="24" borderId="0" xfId="1" applyNumberFormat="1" applyFont="1" applyFill="1" applyBorder="1"/>
    <xf numFmtId="0" fontId="0" fillId="0" borderId="0" xfId="0" applyAlignment="1">
      <alignment horizontal="center"/>
    </xf>
    <xf numFmtId="0" fontId="0" fillId="24" borderId="1" xfId="0" applyFill="1" applyBorder="1" applyAlignment="1">
      <alignment horizontal="right"/>
    </xf>
    <xf numFmtId="41" fontId="0" fillId="0" borderId="1" xfId="0" applyNumberFormat="1" applyBorder="1"/>
    <xf numFmtId="174" fontId="0" fillId="0" borderId="1" xfId="0" applyNumberFormat="1" applyBorder="1"/>
    <xf numFmtId="0" fontId="0" fillId="0" borderId="0" xfId="0" applyFont="1" applyAlignment="1">
      <alignment wrapText="1"/>
    </xf>
    <xf numFmtId="0" fontId="21" fillId="3" borderId="12" xfId="0" applyFont="1" applyFill="1" applyBorder="1" applyAlignment="1">
      <alignment horizontal="center"/>
    </xf>
    <xf numFmtId="0" fontId="0" fillId="0" borderId="40" xfId="0" applyBorder="1" applyAlignment="1"/>
    <xf numFmtId="44" fontId="0" fillId="0" borderId="0" xfId="0" applyNumberFormat="1"/>
    <xf numFmtId="14" fontId="0" fillId="24" borderId="1" xfId="0" applyNumberFormat="1" applyFill="1" applyBorder="1" applyAlignment="1">
      <alignment horizontal="center"/>
    </xf>
    <xf numFmtId="44" fontId="16" fillId="21" borderId="1" xfId="2" applyFont="1" applyFill="1" applyBorder="1"/>
    <xf numFmtId="0" fontId="22" fillId="0" borderId="7" xfId="0" applyFont="1" applyBorder="1"/>
    <xf numFmtId="9" fontId="16" fillId="0" borderId="1" xfId="4" applyFont="1" applyBorder="1"/>
    <xf numFmtId="1" fontId="28" fillId="5" borderId="8" xfId="0" applyNumberFormat="1" applyFont="1" applyFill="1" applyBorder="1" applyAlignment="1">
      <alignment horizontal="right"/>
    </xf>
    <xf numFmtId="1" fontId="28" fillId="0" borderId="6" xfId="0" applyNumberFormat="1" applyFont="1" applyFill="1" applyBorder="1" applyAlignment="1">
      <alignment horizontal="right" wrapText="1"/>
    </xf>
    <xf numFmtId="1" fontId="22" fillId="0" borderId="0" xfId="0" applyNumberFormat="1" applyFont="1" applyAlignment="1">
      <alignment horizontal="right"/>
    </xf>
    <xf numFmtId="1" fontId="0" fillId="5" borderId="12" xfId="0" applyNumberFormat="1" applyFill="1" applyBorder="1" applyAlignment="1">
      <alignment horizontal="right"/>
    </xf>
    <xf numFmtId="167" fontId="16" fillId="0" borderId="1" xfId="1" applyNumberFormat="1" applyFont="1" applyBorder="1"/>
    <xf numFmtId="0" fontId="0" fillId="2" borderId="12" xfId="0" applyFill="1" applyBorder="1" applyAlignment="1">
      <alignment wrapText="1"/>
    </xf>
    <xf numFmtId="167" fontId="16" fillId="25" borderId="1" xfId="1" applyNumberFormat="1" applyFont="1" applyFill="1" applyBorder="1"/>
    <xf numFmtId="41" fontId="21" fillId="25" borderId="1" xfId="0" applyNumberFormat="1" applyFont="1" applyFill="1" applyBorder="1"/>
    <xf numFmtId="173" fontId="0" fillId="0" borderId="0" xfId="0" applyNumberFormat="1"/>
    <xf numFmtId="1" fontId="0" fillId="25" borderId="1" xfId="0" applyNumberFormat="1" applyFill="1" applyBorder="1"/>
    <xf numFmtId="43" fontId="16" fillId="0" borderId="1" xfId="1" applyFont="1" applyBorder="1" applyAlignment="1">
      <alignment horizontal="center" vertical="center"/>
    </xf>
    <xf numFmtId="43" fontId="16" fillId="0" borderId="0" xfId="1" applyFont="1"/>
    <xf numFmtId="44" fontId="16" fillId="0" borderId="0" xfId="2" applyFont="1"/>
    <xf numFmtId="167" fontId="16" fillId="0" borderId="0" xfId="1" applyNumberFormat="1" applyFont="1"/>
    <xf numFmtId="44" fontId="16" fillId="3" borderId="1" xfId="2" applyFont="1" applyFill="1" applyBorder="1" applyAlignment="1">
      <alignment horizontal="center" vertical="center"/>
    </xf>
    <xf numFmtId="44" fontId="0" fillId="3" borderId="1" xfId="0" applyNumberFormat="1" applyFill="1" applyBorder="1" applyAlignment="1">
      <alignment horizontal="center" vertical="center"/>
    </xf>
    <xf numFmtId="43" fontId="22" fillId="14" borderId="1" xfId="1" applyFont="1" applyFill="1" applyBorder="1" applyAlignment="1">
      <alignment horizontal="center" vertical="center"/>
    </xf>
    <xf numFmtId="43" fontId="16" fillId="3" borderId="1" xfId="1" applyFont="1" applyFill="1" applyBorder="1" applyAlignment="1">
      <alignment horizontal="center" vertical="center"/>
    </xf>
    <xf numFmtId="43" fontId="16" fillId="3" borderId="0" xfId="1" applyFont="1" applyFill="1" applyBorder="1" applyAlignment="1">
      <alignment horizontal="center" vertical="center"/>
    </xf>
    <xf numFmtId="43" fontId="16" fillId="16" borderId="0" xfId="1" applyFont="1" applyFill="1" applyBorder="1" applyAlignment="1">
      <alignment horizontal="center" vertical="center"/>
    </xf>
    <xf numFmtId="175" fontId="16" fillId="0" borderId="0" xfId="1" applyNumberFormat="1" applyFont="1"/>
    <xf numFmtId="175" fontId="16" fillId="0" borderId="2" xfId="1" applyNumberFormat="1" applyFont="1" applyBorder="1" applyAlignment="1">
      <alignment horizontal="center" vertical="center"/>
    </xf>
    <xf numFmtId="175" fontId="16" fillId="0" borderId="1" xfId="1" applyNumberFormat="1" applyFont="1" applyBorder="1"/>
    <xf numFmtId="1" fontId="0" fillId="0" borderId="15" xfId="0" applyNumberFormat="1" applyBorder="1" applyAlignment="1">
      <alignment horizontal="right"/>
    </xf>
    <xf numFmtId="167" fontId="16" fillId="0" borderId="1" xfId="1" applyNumberFormat="1" applyFont="1" applyBorder="1"/>
    <xf numFmtId="0" fontId="0" fillId="12" borderId="1" xfId="0" applyFill="1" applyBorder="1" applyAlignment="1">
      <alignment horizontal="center" vertical="center"/>
    </xf>
    <xf numFmtId="2" fontId="16" fillId="0" borderId="0" xfId="1" applyNumberFormat="1" applyFont="1"/>
    <xf numFmtId="2" fontId="0" fillId="14" borderId="1" xfId="0" applyNumberFormat="1" applyFill="1" applyBorder="1" applyAlignment="1">
      <alignment horizontal="left" indent="2"/>
    </xf>
    <xf numFmtId="2" fontId="0" fillId="0" borderId="0" xfId="0" applyNumberFormat="1" applyAlignment="1">
      <alignment horizontal="right"/>
    </xf>
    <xf numFmtId="1" fontId="0" fillId="0" borderId="0" xfId="0" applyNumberFormat="1" applyFill="1" applyBorder="1" applyAlignment="1">
      <alignment horizontal="right" wrapText="1"/>
    </xf>
    <xf numFmtId="1" fontId="0" fillId="0" borderId="0" xfId="0" applyNumberFormat="1" applyFill="1" applyBorder="1" applyAlignment="1">
      <alignment horizontal="right"/>
    </xf>
    <xf numFmtId="1" fontId="0" fillId="20" borderId="44" xfId="0" applyNumberFormat="1" applyFill="1" applyBorder="1" applyAlignment="1">
      <alignment horizontal="right"/>
    </xf>
    <xf numFmtId="1" fontId="0" fillId="20" borderId="1" xfId="0" applyNumberFormat="1" applyFill="1" applyBorder="1" applyAlignment="1">
      <alignment horizontal="right"/>
    </xf>
    <xf numFmtId="1" fontId="16" fillId="0" borderId="35" xfId="1" applyNumberFormat="1" applyFont="1" applyFill="1" applyBorder="1" applyAlignment="1">
      <alignment horizontal="right"/>
    </xf>
    <xf numFmtId="1" fontId="16" fillId="0" borderId="0" xfId="1" applyNumberFormat="1" applyFont="1" applyFill="1" applyBorder="1" applyAlignment="1">
      <alignment horizontal="right"/>
    </xf>
    <xf numFmtId="1" fontId="0" fillId="0" borderId="1" xfId="0" applyNumberFormat="1" applyBorder="1" applyAlignment="1">
      <alignment horizontal="right"/>
    </xf>
    <xf numFmtId="1" fontId="0" fillId="0" borderId="0" xfId="0" applyNumberFormat="1" applyFill="1" applyAlignment="1">
      <alignment horizontal="right"/>
    </xf>
    <xf numFmtId="1" fontId="0" fillId="0" borderId="0" xfId="0" applyNumberFormat="1" applyAlignment="1">
      <alignment horizontal="center"/>
    </xf>
    <xf numFmtId="1" fontId="0" fillId="3" borderId="43" xfId="0" applyNumberFormat="1" applyFill="1" applyBorder="1" applyAlignment="1">
      <alignment horizontal="center"/>
    </xf>
    <xf numFmtId="1" fontId="0" fillId="3" borderId="15" xfId="0" applyNumberFormat="1" applyFill="1" applyBorder="1" applyAlignment="1">
      <alignment horizontal="center"/>
    </xf>
    <xf numFmtId="1" fontId="0" fillId="3" borderId="2" xfId="0" applyNumberFormat="1" applyFill="1" applyBorder="1" applyAlignment="1">
      <alignment horizontal="center"/>
    </xf>
    <xf numFmtId="1" fontId="0" fillId="3" borderId="12" xfId="0" applyNumberFormat="1" applyFill="1" applyBorder="1" applyAlignment="1">
      <alignment horizontal="center"/>
    </xf>
    <xf numFmtId="1" fontId="0" fillId="3" borderId="1" xfId="0" applyNumberFormat="1" applyFill="1" applyBorder="1" applyAlignment="1">
      <alignment horizontal="center"/>
    </xf>
    <xf numFmtId="1" fontId="0" fillId="3" borderId="45" xfId="0" applyNumberFormat="1" applyFill="1" applyBorder="1" applyAlignment="1">
      <alignment horizontal="center"/>
    </xf>
    <xf numFmtId="176" fontId="0" fillId="3" borderId="1" xfId="0" applyNumberFormat="1" applyFill="1" applyBorder="1"/>
    <xf numFmtId="176" fontId="0" fillId="0" borderId="0" xfId="0" applyNumberFormat="1"/>
    <xf numFmtId="176" fontId="16" fillId="0" borderId="0" xfId="1" applyNumberFormat="1" applyFont="1"/>
    <xf numFmtId="176" fontId="0" fillId="0" borderId="0" xfId="0" applyNumberFormat="1" applyAlignment="1">
      <alignment horizontal="center"/>
    </xf>
    <xf numFmtId="176" fontId="0" fillId="3" borderId="1" xfId="0" applyNumberFormat="1" applyFill="1" applyBorder="1" applyAlignment="1">
      <alignment horizontal="center" vertical="center"/>
    </xf>
    <xf numFmtId="176" fontId="0" fillId="3" borderId="1" xfId="0" applyNumberFormat="1" applyFill="1" applyBorder="1" applyAlignment="1">
      <alignment horizontal="center"/>
    </xf>
    <xf numFmtId="177" fontId="22" fillId="14" borderId="1" xfId="0" applyNumberFormat="1" applyFont="1" applyFill="1" applyBorder="1"/>
    <xf numFmtId="177" fontId="0" fillId="0" borderId="1" xfId="0" applyNumberFormat="1" applyBorder="1"/>
    <xf numFmtId="177" fontId="0" fillId="0" borderId="0" xfId="0" applyNumberFormat="1"/>
    <xf numFmtId="167" fontId="16" fillId="0" borderId="1" xfId="1" applyNumberFormat="1" applyFont="1" applyBorder="1"/>
    <xf numFmtId="0" fontId="0" fillId="24" borderId="0" xfId="0" applyFill="1" applyAlignment="1">
      <alignment horizontal="right"/>
    </xf>
    <xf numFmtId="9" fontId="16" fillId="0" borderId="1" xfId="4" applyFont="1" applyBorder="1"/>
    <xf numFmtId="9" fontId="16" fillId="0" borderId="7" xfId="4" applyFont="1" applyBorder="1"/>
    <xf numFmtId="9" fontId="16" fillId="0" borderId="7" xfId="4" applyFont="1" applyBorder="1"/>
    <xf numFmtId="10" fontId="16" fillId="0" borderId="1" xfId="4" applyNumberFormat="1" applyFont="1" applyBorder="1"/>
    <xf numFmtId="43" fontId="22" fillId="0" borderId="0" xfId="0" applyNumberFormat="1" applyFont="1" applyAlignment="1">
      <alignment horizontal="right"/>
    </xf>
    <xf numFmtId="43" fontId="21" fillId="0" borderId="0" xfId="0" applyNumberFormat="1" applyFont="1" applyFill="1"/>
    <xf numFmtId="9" fontId="16" fillId="0" borderId="0" xfId="4" applyFont="1" applyAlignment="1">
      <alignment horizontal="center"/>
    </xf>
    <xf numFmtId="0" fontId="27" fillId="20" borderId="0" xfId="1" applyNumberFormat="1" applyFont="1" applyFill="1"/>
    <xf numFmtId="0" fontId="22" fillId="0" borderId="0" xfId="1" applyNumberFormat="1" applyFont="1"/>
    <xf numFmtId="2" fontId="0" fillId="2" borderId="1" xfId="0" applyNumberFormat="1" applyFill="1" applyBorder="1"/>
    <xf numFmtId="1" fontId="0" fillId="3" borderId="1" xfId="0" applyNumberFormat="1" applyFill="1" applyBorder="1"/>
    <xf numFmtId="1" fontId="0" fillId="22" borderId="1" xfId="0" applyNumberFormat="1" applyFill="1" applyBorder="1"/>
    <xf numFmtId="1" fontId="0" fillId="2" borderId="1" xfId="0" applyNumberFormat="1" applyFill="1" applyBorder="1"/>
    <xf numFmtId="1" fontId="0" fillId="21" borderId="1" xfId="0" applyNumberFormat="1" applyFill="1" applyBorder="1"/>
    <xf numFmtId="9" fontId="16" fillId="0" borderId="1" xfId="4" applyFont="1" applyBorder="1"/>
    <xf numFmtId="1" fontId="0" fillId="24" borderId="1" xfId="0" applyNumberFormat="1" applyFill="1" applyBorder="1"/>
    <xf numFmtId="43" fontId="16" fillId="0" borderId="0" xfId="1" applyFont="1" applyAlignment="1">
      <alignment horizontal="right"/>
    </xf>
    <xf numFmtId="0" fontId="18" fillId="0" borderId="0" xfId="0" applyFont="1" applyAlignment="1"/>
    <xf numFmtId="0" fontId="0" fillId="0" borderId="0" xfId="0" applyProtection="1">
      <protection locked="0"/>
    </xf>
    <xf numFmtId="0" fontId="0" fillId="0" borderId="0" xfId="0" applyAlignment="1" applyProtection="1">
      <alignment horizontal="center"/>
      <protection locked="0"/>
    </xf>
    <xf numFmtId="176" fontId="0" fillId="0" borderId="0" xfId="0" applyNumberFormat="1" applyAlignment="1" applyProtection="1">
      <alignment horizontal="center"/>
      <protection locked="0"/>
    </xf>
    <xf numFmtId="1" fontId="0" fillId="0" borderId="0" xfId="0" applyNumberFormat="1" applyAlignment="1" applyProtection="1">
      <alignment horizontal="center"/>
      <protection locked="0"/>
    </xf>
    <xf numFmtId="0" fontId="0" fillId="0" borderId="20" xfId="0" applyBorder="1" applyProtection="1">
      <protection locked="0"/>
    </xf>
    <xf numFmtId="0" fontId="0" fillId="0" borderId="21" xfId="0" applyBorder="1" applyProtection="1">
      <protection locked="0"/>
    </xf>
    <xf numFmtId="0" fontId="0" fillId="0" borderId="16" xfId="0" applyBorder="1" applyProtection="1">
      <protection locked="0"/>
    </xf>
    <xf numFmtId="0" fontId="20" fillId="12" borderId="4" xfId="0" applyFont="1" applyFill="1" applyBorder="1" applyProtection="1">
      <protection locked="0"/>
    </xf>
    <xf numFmtId="0" fontId="0" fillId="0" borderId="0" xfId="0" applyFill="1" applyProtection="1">
      <protection locked="0"/>
    </xf>
    <xf numFmtId="0" fontId="0" fillId="3" borderId="0" xfId="0" applyFill="1" applyProtection="1">
      <protection locked="0"/>
    </xf>
    <xf numFmtId="0" fontId="0" fillId="3" borderId="1" xfId="0" applyFill="1" applyBorder="1" applyAlignment="1" applyProtection="1">
      <alignment horizontal="center" wrapText="1"/>
      <protection locked="0"/>
    </xf>
    <xf numFmtId="176" fontId="0" fillId="3" borderId="1" xfId="0" applyNumberFormat="1" applyFill="1" applyBorder="1" applyAlignment="1" applyProtection="1">
      <alignment horizontal="center" wrapText="1"/>
      <protection locked="0"/>
    </xf>
    <xf numFmtId="49" fontId="0" fillId="3" borderId="1" xfId="0" applyNumberFormat="1" applyFill="1" applyBorder="1" applyAlignment="1" applyProtection="1">
      <alignment horizontal="center" wrapText="1"/>
      <protection locked="0"/>
    </xf>
    <xf numFmtId="0" fontId="0" fillId="3" borderId="12" xfId="0" applyFill="1" applyBorder="1" applyAlignment="1" applyProtection="1">
      <alignment horizontal="center" wrapText="1"/>
      <protection locked="0"/>
    </xf>
    <xf numFmtId="1" fontId="0" fillId="3" borderId="31" xfId="0" applyNumberFormat="1" applyFill="1" applyBorder="1" applyAlignment="1" applyProtection="1">
      <alignment horizontal="center" wrapText="1"/>
      <protection locked="0"/>
    </xf>
    <xf numFmtId="1" fontId="0" fillId="3" borderId="46" xfId="0" applyNumberFormat="1" applyFill="1" applyBorder="1" applyAlignment="1" applyProtection="1">
      <alignment horizontal="center" wrapText="1"/>
      <protection locked="0"/>
    </xf>
    <xf numFmtId="1" fontId="0" fillId="3" borderId="2" xfId="0" applyNumberFormat="1" applyFill="1" applyBorder="1" applyAlignment="1" applyProtection="1">
      <alignment horizontal="center" wrapText="1"/>
      <protection locked="0"/>
    </xf>
    <xf numFmtId="1" fontId="0" fillId="3" borderId="12" xfId="0" applyNumberFormat="1" applyFill="1" applyBorder="1" applyAlignment="1" applyProtection="1">
      <alignment horizontal="center" wrapText="1"/>
      <protection locked="0"/>
    </xf>
    <xf numFmtId="1" fontId="0" fillId="3" borderId="1" xfId="0" applyNumberFormat="1" applyFill="1" applyBorder="1" applyAlignment="1" applyProtection="1">
      <alignment horizontal="center" wrapText="1"/>
      <protection locked="0"/>
    </xf>
    <xf numFmtId="1" fontId="0" fillId="3" borderId="16" xfId="0" applyNumberFormat="1" applyFill="1" applyBorder="1" applyAlignment="1" applyProtection="1">
      <alignment horizontal="center" wrapText="1"/>
      <protection locked="0"/>
    </xf>
    <xf numFmtId="0" fontId="18" fillId="0" borderId="6" xfId="0" applyFont="1" applyBorder="1" applyAlignment="1" applyProtection="1">
      <alignment vertical="top" wrapText="1"/>
      <protection locked="0"/>
    </xf>
    <xf numFmtId="0" fontId="18" fillId="0" borderId="21" xfId="0" applyFont="1" applyBorder="1" applyAlignment="1" applyProtection="1">
      <alignment vertical="top" wrapText="1"/>
      <protection locked="0"/>
    </xf>
    <xf numFmtId="0" fontId="18" fillId="0" borderId="64" xfId="0" applyFont="1" applyBorder="1" applyAlignment="1" applyProtection="1">
      <alignment vertical="top" wrapText="1"/>
      <protection locked="0"/>
    </xf>
    <xf numFmtId="0" fontId="18" fillId="0" borderId="65" xfId="0" applyFont="1" applyBorder="1" applyAlignment="1" applyProtection="1">
      <alignment vertical="top" wrapText="1"/>
      <protection locked="0"/>
    </xf>
    <xf numFmtId="0" fontId="18" fillId="0" borderId="66" xfId="0" applyFont="1" applyBorder="1" applyAlignment="1" applyProtection="1">
      <alignment vertical="top" wrapText="1"/>
      <protection locked="0"/>
    </xf>
    <xf numFmtId="0" fontId="18" fillId="0" borderId="16" xfId="0" applyFont="1" applyBorder="1" applyAlignment="1" applyProtection="1">
      <alignment vertical="top" wrapText="1"/>
      <protection locked="0"/>
    </xf>
    <xf numFmtId="0" fontId="18" fillId="11" borderId="67" xfId="0" applyFont="1" applyFill="1" applyBorder="1" applyAlignment="1" applyProtection="1">
      <alignment vertical="top" wrapText="1"/>
      <protection locked="0"/>
    </xf>
    <xf numFmtId="0" fontId="18" fillId="11" borderId="0" xfId="0" applyFont="1" applyFill="1" applyBorder="1" applyAlignment="1" applyProtection="1">
      <alignment vertical="top" wrapText="1"/>
      <protection locked="0"/>
    </xf>
    <xf numFmtId="0" fontId="29" fillId="12" borderId="6" xfId="0" applyFont="1" applyFill="1" applyBorder="1" applyAlignment="1" applyProtection="1">
      <alignment vertical="top" wrapText="1"/>
      <protection locked="0"/>
    </xf>
    <xf numFmtId="0" fontId="18" fillId="0" borderId="0" xfId="0" applyFont="1" applyFill="1" applyBorder="1" applyAlignment="1" applyProtection="1">
      <alignment vertical="top" wrapText="1"/>
      <protection locked="0"/>
    </xf>
    <xf numFmtId="0" fontId="0" fillId="0" borderId="0" xfId="0" applyBorder="1" applyProtection="1">
      <protection locked="0"/>
    </xf>
    <xf numFmtId="1" fontId="0" fillId="5" borderId="7" xfId="0" applyNumberFormat="1" applyFill="1" applyBorder="1" applyAlignment="1">
      <alignment horizontal="right"/>
    </xf>
    <xf numFmtId="0" fontId="0" fillId="5" borderId="11" xfId="0" applyFill="1" applyBorder="1" applyAlignment="1">
      <alignment horizontal="right"/>
    </xf>
    <xf numFmtId="1" fontId="0" fillId="24" borderId="1" xfId="0" applyNumberFormat="1" applyFill="1" applyBorder="1" applyAlignment="1">
      <alignment horizontal="right"/>
    </xf>
    <xf numFmtId="1" fontId="0" fillId="0" borderId="1" xfId="0" applyNumberFormat="1" applyFill="1" applyBorder="1" applyAlignment="1">
      <alignment horizontal="right"/>
    </xf>
    <xf numFmtId="9" fontId="16" fillId="0" borderId="1" xfId="4" applyFont="1" applyBorder="1"/>
    <xf numFmtId="0" fontId="21" fillId="24" borderId="1" xfId="0" applyFont="1" applyFill="1" applyBorder="1" applyAlignment="1">
      <alignment horizontal="right"/>
    </xf>
    <xf numFmtId="0" fontId="0" fillId="24" borderId="12" xfId="0" applyFill="1" applyBorder="1" applyAlignment="1">
      <alignment horizontal="right"/>
    </xf>
    <xf numFmtId="0" fontId="0" fillId="26" borderId="16" xfId="0" applyFill="1" applyBorder="1" applyAlignment="1">
      <alignment horizontal="center" wrapText="1"/>
    </xf>
    <xf numFmtId="0" fontId="0" fillId="11" borderId="20" xfId="0" applyFill="1" applyBorder="1" applyAlignment="1">
      <alignment horizontal="center" vertical="center" wrapText="1"/>
    </xf>
    <xf numFmtId="167" fontId="0" fillId="11" borderId="22" xfId="0" applyNumberFormat="1" applyFill="1" applyBorder="1" applyAlignment="1">
      <alignment horizontal="right"/>
    </xf>
    <xf numFmtId="167" fontId="16" fillId="11" borderId="35" xfId="1" applyNumberFormat="1" applyFont="1" applyFill="1" applyBorder="1" applyAlignment="1">
      <alignment horizontal="right"/>
    </xf>
    <xf numFmtId="167" fontId="0" fillId="5" borderId="22" xfId="0" applyNumberFormat="1" applyFill="1" applyBorder="1" applyAlignment="1">
      <alignment horizontal="right"/>
    </xf>
    <xf numFmtId="167" fontId="16" fillId="5" borderId="35" xfId="1" applyNumberFormat="1" applyFont="1" applyFill="1" applyBorder="1" applyAlignment="1">
      <alignment horizontal="right"/>
    </xf>
    <xf numFmtId="9" fontId="16" fillId="0" borderId="0" xfId="4" applyFont="1" applyBorder="1"/>
    <xf numFmtId="2" fontId="16" fillId="0" borderId="0" xfId="4" applyNumberFormat="1" applyFont="1" applyBorder="1"/>
    <xf numFmtId="0" fontId="25" fillId="24" borderId="23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30" fillId="2" borderId="1" xfId="0" applyFont="1" applyFill="1" applyBorder="1" applyAlignment="1">
      <alignment wrapText="1"/>
    </xf>
    <xf numFmtId="0" fontId="0" fillId="0" borderId="0" xfId="0" applyAlignment="1">
      <alignment horizontal="center"/>
    </xf>
    <xf numFmtId="0" fontId="0" fillId="27" borderId="1" xfId="0" applyFill="1" applyBorder="1" applyAlignment="1">
      <alignment horizontal="center"/>
    </xf>
    <xf numFmtId="0" fontId="17" fillId="0" borderId="0" xfId="3" applyAlignment="1" applyProtection="1"/>
    <xf numFmtId="0" fontId="28" fillId="0" borderId="0" xfId="0" applyFont="1" applyAlignment="1">
      <alignment horizontal="center"/>
    </xf>
    <xf numFmtId="178" fontId="16" fillId="0" borderId="0" xfId="1" applyNumberFormat="1" applyFont="1" applyAlignment="1">
      <alignment horizontal="center"/>
    </xf>
    <xf numFmtId="2" fontId="0" fillId="0" borderId="0" xfId="0" applyNumberFormat="1" applyAlignment="1">
      <alignment horizontal="center"/>
    </xf>
    <xf numFmtId="43" fontId="16" fillId="0" borderId="0" xfId="1" applyFont="1" applyAlignment="1">
      <alignment horizontal="center"/>
    </xf>
    <xf numFmtId="2" fontId="0" fillId="0" borderId="0" xfId="0" applyNumberFormat="1" applyAlignment="1" applyProtection="1">
      <alignment horizontal="center"/>
      <protection locked="0"/>
    </xf>
    <xf numFmtId="167" fontId="16" fillId="0" borderId="0" xfId="1" applyNumberFormat="1" applyFont="1" applyAlignment="1">
      <alignment horizontal="center"/>
    </xf>
    <xf numFmtId="169" fontId="0" fillId="3" borderId="1" xfId="0" applyNumberFormat="1" applyFill="1" applyBorder="1" applyAlignment="1">
      <alignment horizontal="center"/>
    </xf>
    <xf numFmtId="2" fontId="0" fillId="3" borderId="1" xfId="0" applyNumberFormat="1" applyFill="1" applyBorder="1" applyAlignment="1">
      <alignment horizontal="center" vertical="center"/>
    </xf>
    <xf numFmtId="0" fontId="0" fillId="0" borderId="1" xfId="0" applyBorder="1" applyAlignment="1">
      <alignment horizontal="center" wrapText="1"/>
    </xf>
    <xf numFmtId="41" fontId="0" fillId="0" borderId="0" xfId="0" applyNumberFormat="1"/>
    <xf numFmtId="44" fontId="16" fillId="0" borderId="0" xfId="2" applyFont="1" applyBorder="1"/>
    <xf numFmtId="44" fontId="28" fillId="0" borderId="0" xfId="0" applyNumberFormat="1" applyFont="1" applyBorder="1"/>
    <xf numFmtId="0" fontId="19" fillId="3" borderId="68" xfId="0" applyNumberFormat="1" applyFont="1" applyFill="1" applyBorder="1" applyAlignment="1">
      <alignment vertical="top" wrapText="1"/>
    </xf>
    <xf numFmtId="4" fontId="19" fillId="3" borderId="68" xfId="0" applyNumberFormat="1" applyFont="1" applyFill="1" applyBorder="1" applyAlignment="1">
      <alignment horizontal="center" vertical="top" wrapText="1"/>
    </xf>
    <xf numFmtId="2" fontId="0" fillId="3" borderId="43" xfId="0" applyNumberFormat="1" applyFill="1" applyBorder="1"/>
    <xf numFmtId="9" fontId="16" fillId="0" borderId="44" xfId="4" applyFont="1" applyFill="1" applyBorder="1"/>
    <xf numFmtId="44" fontId="28" fillId="0" borderId="1" xfId="0" applyNumberFormat="1" applyFont="1" applyBorder="1"/>
    <xf numFmtId="0" fontId="22" fillId="0" borderId="0" xfId="0" applyFont="1" applyFill="1" applyBorder="1" applyAlignment="1">
      <alignment horizontal="center" vertical="center" wrapText="1"/>
    </xf>
    <xf numFmtId="169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" fontId="0" fillId="0" borderId="1" xfId="0" applyNumberFormat="1" applyBorder="1" applyAlignment="1">
      <alignment horizontal="center"/>
    </xf>
    <xf numFmtId="169" fontId="0" fillId="0" borderId="1" xfId="0" applyNumberFormat="1" applyBorder="1" applyAlignment="1">
      <alignment horizontal="center"/>
    </xf>
    <xf numFmtId="9" fontId="16" fillId="0" borderId="0" xfId="4" applyFont="1"/>
    <xf numFmtId="0" fontId="16" fillId="3" borderId="1" xfId="2" applyNumberFormat="1" applyFont="1" applyFill="1" applyBorder="1"/>
    <xf numFmtId="0" fontId="18" fillId="0" borderId="0" xfId="0" applyFont="1" applyAlignment="1">
      <alignment horizontal="center"/>
    </xf>
    <xf numFmtId="1" fontId="0" fillId="3" borderId="35" xfId="0" applyNumberFormat="1" applyFill="1" applyBorder="1" applyAlignment="1" applyProtection="1">
      <alignment horizontal="center" wrapText="1"/>
      <protection locked="0"/>
    </xf>
    <xf numFmtId="1" fontId="0" fillId="3" borderId="35" xfId="0" applyNumberFormat="1" applyFill="1" applyBorder="1" applyAlignment="1">
      <alignment horizontal="center"/>
    </xf>
    <xf numFmtId="1" fontId="0" fillId="3" borderId="13" xfId="0" applyNumberFormat="1" applyFill="1" applyBorder="1" applyAlignment="1" applyProtection="1">
      <alignment horizontal="center" wrapText="1"/>
      <protection locked="0"/>
    </xf>
    <xf numFmtId="1" fontId="0" fillId="3" borderId="5" xfId="0" applyNumberFormat="1" applyFill="1" applyBorder="1" applyAlignment="1">
      <alignment horizontal="center"/>
    </xf>
    <xf numFmtId="9" fontId="0" fillId="0" borderId="1" xfId="0" applyNumberFormat="1" applyBorder="1" applyAlignment="1">
      <alignment horizontal="center"/>
    </xf>
    <xf numFmtId="179" fontId="0" fillId="14" borderId="1" xfId="0" applyNumberFormat="1" applyFill="1" applyBorder="1" applyAlignment="1">
      <alignment wrapText="1"/>
    </xf>
    <xf numFmtId="1" fontId="0" fillId="2" borderId="7" xfId="0" applyNumberFormat="1" applyFill="1" applyBorder="1" applyAlignment="1">
      <alignment horizontal="left"/>
    </xf>
    <xf numFmtId="2" fontId="0" fillId="14" borderId="7" xfId="0" applyNumberFormat="1" applyFill="1" applyBorder="1" applyAlignment="1">
      <alignment horizontal="left" indent="2"/>
    </xf>
    <xf numFmtId="0" fontId="0" fillId="0" borderId="1" xfId="0" applyBorder="1" applyAlignment="1">
      <alignment horizontal="left"/>
    </xf>
    <xf numFmtId="0" fontId="0" fillId="0" borderId="0" xfId="0" applyAlignment="1">
      <alignment horizontal="left" wrapText="1"/>
    </xf>
    <xf numFmtId="2" fontId="16" fillId="0" borderId="0" xfId="1" applyNumberFormat="1" applyFont="1" applyAlignment="1">
      <alignment horizontal="left" wrapText="1"/>
    </xf>
    <xf numFmtId="17" fontId="0" fillId="14" borderId="23" xfId="0" applyNumberFormat="1" applyFill="1" applyBorder="1" applyAlignment="1">
      <alignment horizontal="left" wrapText="1"/>
    </xf>
    <xf numFmtId="1" fontId="0" fillId="2" borderId="23" xfId="0" applyNumberFormat="1" applyFill="1" applyBorder="1" applyAlignment="1">
      <alignment horizontal="left" wrapText="1"/>
    </xf>
    <xf numFmtId="0" fontId="0" fillId="2" borderId="23" xfId="0" applyFill="1" applyBorder="1" applyAlignment="1">
      <alignment horizontal="left" wrapText="1"/>
    </xf>
    <xf numFmtId="3" fontId="16" fillId="2" borderId="23" xfId="1" applyNumberFormat="1" applyFont="1" applyFill="1" applyBorder="1" applyAlignment="1">
      <alignment horizontal="left" wrapText="1"/>
    </xf>
    <xf numFmtId="0" fontId="0" fillId="2" borderId="23" xfId="0" applyFill="1" applyBorder="1" applyAlignment="1">
      <alignment horizontal="left"/>
    </xf>
    <xf numFmtId="10" fontId="0" fillId="0" borderId="0" xfId="0" applyNumberFormat="1" applyAlignment="1">
      <alignment horizontal="left" wrapText="1"/>
    </xf>
    <xf numFmtId="168" fontId="0" fillId="14" borderId="7" xfId="0" applyNumberFormat="1" applyFill="1" applyBorder="1" applyAlignment="1">
      <alignment horizontal="left" wrapText="1"/>
    </xf>
    <xf numFmtId="2" fontId="16" fillId="14" borderId="7" xfId="1" applyNumberFormat="1" applyFont="1" applyFill="1" applyBorder="1" applyAlignment="1">
      <alignment horizontal="left"/>
    </xf>
    <xf numFmtId="0" fontId="0" fillId="0" borderId="7" xfId="0" applyBorder="1" applyAlignment="1">
      <alignment horizontal="left"/>
    </xf>
    <xf numFmtId="0" fontId="0" fillId="0" borderId="7" xfId="0" applyBorder="1" applyAlignment="1">
      <alignment horizontal="left" vertical="center"/>
    </xf>
    <xf numFmtId="1" fontId="0" fillId="24" borderId="7" xfId="0" applyNumberFormat="1" applyFill="1" applyBorder="1" applyAlignment="1">
      <alignment horizontal="left"/>
    </xf>
    <xf numFmtId="0" fontId="0" fillId="27" borderId="7" xfId="0" applyFill="1" applyBorder="1" applyAlignment="1">
      <alignment horizontal="left"/>
    </xf>
    <xf numFmtId="2" fontId="0" fillId="0" borderId="0" xfId="0" applyNumberFormat="1" applyAlignment="1">
      <alignment horizontal="left"/>
    </xf>
    <xf numFmtId="0" fontId="0" fillId="0" borderId="0" xfId="0" applyAlignment="1">
      <alignment horizontal="left"/>
    </xf>
    <xf numFmtId="2" fontId="16" fillId="14" borderId="1" xfId="1" applyNumberFormat="1" applyFont="1" applyFill="1" applyBorder="1" applyAlignment="1">
      <alignment horizontal="left"/>
    </xf>
    <xf numFmtId="0" fontId="0" fillId="0" borderId="1" xfId="0" applyFont="1" applyBorder="1" applyAlignment="1">
      <alignment horizontal="left"/>
    </xf>
    <xf numFmtId="0" fontId="0" fillId="0" borderId="1" xfId="0" applyBorder="1" applyAlignment="1">
      <alignment horizontal="left" vertical="center"/>
    </xf>
    <xf numFmtId="0" fontId="0" fillId="24" borderId="1" xfId="0" applyFill="1" applyBorder="1" applyAlignment="1">
      <alignment horizontal="left"/>
    </xf>
    <xf numFmtId="1" fontId="0" fillId="0" borderId="1" xfId="0" applyNumberFormat="1" applyBorder="1" applyAlignment="1">
      <alignment horizontal="left"/>
    </xf>
    <xf numFmtId="0" fontId="0" fillId="27" borderId="1" xfId="0" applyFill="1" applyBorder="1" applyAlignment="1">
      <alignment horizontal="left"/>
    </xf>
    <xf numFmtId="0" fontId="0" fillId="2" borderId="1" xfId="0" applyFill="1" applyBorder="1" applyAlignment="1">
      <alignment horizontal="left"/>
    </xf>
    <xf numFmtId="2" fontId="16" fillId="0" borderId="0" xfId="1" applyNumberFormat="1" applyFont="1" applyAlignment="1">
      <alignment horizontal="left"/>
    </xf>
    <xf numFmtId="1" fontId="0" fillId="0" borderId="0" xfId="0" applyNumberFormat="1" applyAlignment="1">
      <alignment horizontal="left"/>
    </xf>
    <xf numFmtId="3" fontId="16" fillId="0" borderId="0" xfId="1" applyNumberFormat="1" applyFont="1" applyAlignment="1">
      <alignment horizontal="left"/>
    </xf>
    <xf numFmtId="10" fontId="16" fillId="0" borderId="1" xfId="4" applyNumberFormat="1" applyFont="1" applyBorder="1" applyAlignment="1">
      <alignment horizontal="center"/>
    </xf>
    <xf numFmtId="0" fontId="0" fillId="0" borderId="7" xfId="0" applyBorder="1" applyAlignment="1">
      <alignment horizontal="center" vertical="center" wrapText="1"/>
    </xf>
    <xf numFmtId="165" fontId="0" fillId="14" borderId="0" xfId="0" applyNumberFormat="1" applyFill="1"/>
    <xf numFmtId="165" fontId="0" fillId="14" borderId="1" xfId="0" applyNumberFormat="1" applyFill="1" applyBorder="1"/>
    <xf numFmtId="165" fontId="0" fillId="0" borderId="1" xfId="0" applyNumberFormat="1" applyBorder="1"/>
    <xf numFmtId="165" fontId="0" fillId="0" borderId="0" xfId="0" applyNumberFormat="1"/>
    <xf numFmtId="0" fontId="0" fillId="0" borderId="7" xfId="0" applyBorder="1" applyAlignment="1">
      <alignment horizontal="center" vertical="center"/>
    </xf>
    <xf numFmtId="180" fontId="0" fillId="0" borderId="15" xfId="0" applyNumberFormat="1" applyBorder="1"/>
    <xf numFmtId="180" fontId="0" fillId="0" borderId="15" xfId="0" applyNumberFormat="1" applyFill="1" applyBorder="1"/>
    <xf numFmtId="180" fontId="0" fillId="0" borderId="0" xfId="0" applyNumberFormat="1"/>
    <xf numFmtId="0" fontId="0" fillId="0" borderId="0" xfId="0" applyAlignment="1">
      <alignment horizontal="center"/>
    </xf>
    <xf numFmtId="176" fontId="0" fillId="22" borderId="1" xfId="0" applyNumberFormat="1" applyFill="1" applyBorder="1"/>
    <xf numFmtId="0" fontId="0" fillId="0" borderId="0" xfId="0" applyAlignment="1">
      <alignment horizontal="center"/>
    </xf>
    <xf numFmtId="0" fontId="28" fillId="0" borderId="0" xfId="0" applyFont="1" applyAlignment="1">
      <alignment wrapText="1"/>
    </xf>
    <xf numFmtId="176" fontId="24" fillId="0" borderId="0" xfId="1" applyNumberFormat="1" applyFont="1"/>
    <xf numFmtId="43" fontId="24" fillId="0" borderId="0" xfId="1" applyFont="1"/>
    <xf numFmtId="9" fontId="16" fillId="5" borderId="0" xfId="4" applyFont="1" applyFill="1"/>
    <xf numFmtId="9" fontId="16" fillId="0" borderId="0" xfId="4" applyFont="1"/>
    <xf numFmtId="169" fontId="0" fillId="24" borderId="1" xfId="0" applyNumberFormat="1" applyFill="1" applyBorder="1" applyAlignment="1">
      <alignment horizontal="right"/>
    </xf>
    <xf numFmtId="9" fontId="16" fillId="0" borderId="25" xfId="4" applyFont="1" applyBorder="1"/>
    <xf numFmtId="2" fontId="16" fillId="0" borderId="0" xfId="4" applyNumberFormat="1" applyFont="1" applyBorder="1"/>
    <xf numFmtId="9" fontId="0" fillId="0" borderId="0" xfId="4" applyFont="1"/>
    <xf numFmtId="0" fontId="0" fillId="0" borderId="1" xfId="0" applyBorder="1" applyAlignment="1"/>
    <xf numFmtId="181" fontId="0" fillId="3" borderId="1" xfId="0" applyNumberFormat="1" applyFill="1" applyBorder="1"/>
    <xf numFmtId="0" fontId="0" fillId="27" borderId="1" xfId="0" applyFill="1" applyBorder="1" applyAlignment="1" applyProtection="1">
      <alignment horizontal="center" wrapText="1"/>
      <protection locked="0"/>
    </xf>
    <xf numFmtId="0" fontId="0" fillId="27" borderId="2" xfId="0" applyFill="1" applyBorder="1" applyAlignment="1" applyProtection="1">
      <alignment horizontal="center" wrapText="1"/>
      <protection locked="0"/>
    </xf>
    <xf numFmtId="1" fontId="0" fillId="27" borderId="2" xfId="0" applyNumberFormat="1" applyFill="1" applyBorder="1" applyAlignment="1" applyProtection="1">
      <alignment horizontal="center" wrapText="1"/>
      <protection locked="0"/>
    </xf>
    <xf numFmtId="0" fontId="0" fillId="27" borderId="12" xfId="0" applyFill="1" applyBorder="1" applyAlignment="1">
      <alignment horizontal="center"/>
    </xf>
    <xf numFmtId="2" fontId="16" fillId="27" borderId="12" xfId="1" applyNumberFormat="1" applyFont="1" applyFill="1" applyBorder="1" applyAlignment="1">
      <alignment horizontal="center"/>
    </xf>
    <xf numFmtId="0" fontId="21" fillId="27" borderId="12" xfId="0" applyFont="1" applyFill="1" applyBorder="1" applyAlignment="1">
      <alignment horizontal="center"/>
    </xf>
    <xf numFmtId="176" fontId="16" fillId="25" borderId="1" xfId="4" applyNumberFormat="1" applyFont="1" applyFill="1" applyBorder="1"/>
    <xf numFmtId="9" fontId="0" fillId="0" borderId="0" xfId="4" applyNumberFormat="1" applyFont="1"/>
    <xf numFmtId="164" fontId="0" fillId="0" borderId="1" xfId="0" applyNumberFormat="1" applyBorder="1" applyAlignment="1">
      <alignment wrapText="1"/>
    </xf>
    <xf numFmtId="0" fontId="0" fillId="0" borderId="1" xfId="0" applyFill="1" applyBorder="1" applyAlignment="1">
      <alignment horizontal="left"/>
    </xf>
    <xf numFmtId="0" fontId="0" fillId="0" borderId="1" xfId="0" applyFill="1" applyBorder="1" applyAlignment="1">
      <alignment horizontal="left" vertical="center" wrapText="1"/>
    </xf>
    <xf numFmtId="9" fontId="0" fillId="0" borderId="1" xfId="4" applyFont="1" applyBorder="1" applyAlignment="1">
      <alignment horizontal="center"/>
    </xf>
    <xf numFmtId="9" fontId="0" fillId="0" borderId="1" xfId="0" applyNumberFormat="1" applyBorder="1" applyAlignment="1">
      <alignment wrapText="1"/>
    </xf>
    <xf numFmtId="0" fontId="0" fillId="0" borderId="1" xfId="4" applyNumberFormat="1" applyFont="1" applyBorder="1" applyAlignment="1">
      <alignment horizontal="center"/>
    </xf>
    <xf numFmtId="41" fontId="0" fillId="0" borderId="1" xfId="0" applyNumberFormat="1" applyBorder="1" applyAlignment="1">
      <alignment wrapText="1"/>
    </xf>
    <xf numFmtId="10" fontId="22" fillId="0" borderId="1" xfId="4" applyNumberFormat="1" applyFont="1" applyBorder="1" applyAlignment="1"/>
    <xf numFmtId="41" fontId="22" fillId="0" borderId="1" xfId="0" applyNumberFormat="1" applyFont="1" applyBorder="1" applyAlignment="1"/>
    <xf numFmtId="1" fontId="0" fillId="0" borderId="1" xfId="0" applyNumberFormat="1" applyBorder="1" applyAlignment="1"/>
    <xf numFmtId="10" fontId="16" fillId="0" borderId="0" xfId="4" applyNumberFormat="1" applyFont="1"/>
    <xf numFmtId="0" fontId="0" fillId="0" borderId="1" xfId="0" applyNumberFormat="1" applyBorder="1"/>
    <xf numFmtId="169" fontId="0" fillId="0" borderId="0" xfId="0" applyNumberFormat="1"/>
    <xf numFmtId="172" fontId="0" fillId="0" borderId="1" xfId="0" applyNumberFormat="1" applyBorder="1" applyAlignment="1"/>
    <xf numFmtId="0" fontId="16" fillId="2" borderId="7" xfId="1" applyNumberFormat="1" applyFont="1" applyFill="1" applyBorder="1" applyAlignment="1">
      <alignment horizontal="center" vertical="center"/>
    </xf>
    <xf numFmtId="41" fontId="0" fillId="8" borderId="32" xfId="0" applyNumberFormat="1" applyFill="1" applyBorder="1"/>
    <xf numFmtId="41" fontId="0" fillId="0" borderId="32" xfId="0" applyNumberFormat="1" applyBorder="1"/>
    <xf numFmtId="167" fontId="16" fillId="2" borderId="1" xfId="1" applyNumberFormat="1" applyFont="1" applyFill="1" applyBorder="1"/>
    <xf numFmtId="164" fontId="0" fillId="0" borderId="0" xfId="0" applyNumberFormat="1"/>
    <xf numFmtId="0" fontId="22" fillId="0" borderId="0" xfId="0" applyFont="1" applyBorder="1" applyAlignment="1">
      <alignment horizontal="center" vertical="center" wrapText="1"/>
    </xf>
    <xf numFmtId="17" fontId="22" fillId="0" borderId="0" xfId="0" applyNumberFormat="1" applyFont="1" applyBorder="1" applyAlignment="1">
      <alignment horizontal="center" vertical="center" wrapText="1"/>
    </xf>
    <xf numFmtId="0" fontId="22" fillId="0" borderId="0" xfId="0" applyFont="1" applyBorder="1"/>
    <xf numFmtId="0" fontId="0" fillId="0" borderId="0" xfId="0" applyBorder="1" applyAlignment="1">
      <alignment horizontal="center"/>
    </xf>
    <xf numFmtId="0" fontId="23" fillId="0" borderId="0" xfId="0" applyFont="1" applyBorder="1" applyAlignment="1">
      <alignment horizontal="center" vertical="center" wrapText="1"/>
    </xf>
    <xf numFmtId="43" fontId="16" fillId="0" borderId="0" xfId="1" applyFont="1" applyBorder="1"/>
    <xf numFmtId="167" fontId="0" fillId="0" borderId="0" xfId="0" applyNumberFormat="1" applyBorder="1"/>
    <xf numFmtId="43" fontId="0" fillId="0" borderId="0" xfId="0" applyNumberFormat="1" applyBorder="1"/>
    <xf numFmtId="9" fontId="0" fillId="0" borderId="0" xfId="0" applyNumberFormat="1" applyBorder="1" applyAlignment="1">
      <alignment horizontal="center"/>
    </xf>
    <xf numFmtId="43" fontId="0" fillId="0" borderId="0" xfId="0" applyNumberFormat="1" applyBorder="1" applyAlignment="1"/>
    <xf numFmtId="9" fontId="16" fillId="0" borderId="0" xfId="4" applyFont="1" applyBorder="1" applyAlignment="1">
      <alignment horizontal="center" vertical="center"/>
    </xf>
    <xf numFmtId="43" fontId="16" fillId="0" borderId="0" xfId="1" applyFont="1" applyBorder="1" applyAlignment="1">
      <alignment horizontal="center" vertical="center"/>
    </xf>
    <xf numFmtId="0" fontId="16" fillId="0" borderId="0" xfId="4" applyNumberFormat="1" applyFont="1" applyBorder="1" applyAlignment="1">
      <alignment horizontal="center" vertical="center"/>
    </xf>
    <xf numFmtId="0" fontId="0" fillId="0" borderId="0" xfId="0" applyBorder="1" applyAlignment="1">
      <alignment horizontal="right"/>
    </xf>
    <xf numFmtId="43" fontId="22" fillId="0" borderId="0" xfId="0" applyNumberFormat="1" applyFont="1" applyBorder="1"/>
    <xf numFmtId="43" fontId="16" fillId="0" borderId="0" xfId="1" applyFont="1" applyBorder="1" applyAlignment="1">
      <alignment horizontal="right"/>
    </xf>
    <xf numFmtId="0" fontId="22" fillId="0" borderId="0" xfId="1" applyNumberFormat="1" applyFont="1" applyBorder="1"/>
    <xf numFmtId="44" fontId="0" fillId="0" borderId="0" xfId="0" applyNumberFormat="1" applyBorder="1"/>
    <xf numFmtId="0" fontId="27" fillId="24" borderId="0" xfId="1" applyNumberFormat="1" applyFont="1" applyFill="1" applyBorder="1"/>
    <xf numFmtId="1" fontId="0" fillId="0" borderId="3" xfId="0" applyNumberFormat="1" applyBorder="1"/>
    <xf numFmtId="1" fontId="0" fillId="0" borderId="1" xfId="0" applyNumberFormat="1" applyFont="1" applyBorder="1" applyAlignment="1">
      <alignment wrapText="1"/>
    </xf>
    <xf numFmtId="0" fontId="0" fillId="0" borderId="7" xfId="0" applyNumberFormat="1" applyBorder="1" applyAlignment="1">
      <alignment horizontal="center" vertical="center"/>
    </xf>
    <xf numFmtId="0" fontId="0" fillId="0" borderId="69" xfId="0" applyBorder="1"/>
    <xf numFmtId="43" fontId="22" fillId="0" borderId="69" xfId="0" applyNumberFormat="1" applyFont="1" applyBorder="1"/>
    <xf numFmtId="0" fontId="0" fillId="0" borderId="70" xfId="0" applyBorder="1"/>
    <xf numFmtId="0" fontId="16" fillId="0" borderId="15" xfId="4" applyNumberFormat="1" applyFont="1" applyBorder="1" applyAlignment="1">
      <alignment horizontal="center" vertical="center"/>
    </xf>
    <xf numFmtId="43" fontId="16" fillId="0" borderId="33" xfId="1" applyFont="1" applyBorder="1" applyAlignment="1">
      <alignment horizontal="center" vertical="center"/>
    </xf>
    <xf numFmtId="0" fontId="16" fillId="0" borderId="34" xfId="4" applyNumberFormat="1" applyFont="1" applyBorder="1" applyAlignment="1">
      <alignment horizontal="center" vertical="center"/>
    </xf>
    <xf numFmtId="44" fontId="0" fillId="3" borderId="1" xfId="2" applyFont="1" applyFill="1" applyBorder="1"/>
    <xf numFmtId="180" fontId="0" fillId="0" borderId="15" xfId="0" applyNumberFormat="1" applyBorder="1" applyAlignment="1">
      <alignment horizontal="right"/>
    </xf>
    <xf numFmtId="0" fontId="0" fillId="0" borderId="1" xfId="0" applyBorder="1" applyAlignment="1">
      <alignment horizontal="center" vertical="center"/>
    </xf>
    <xf numFmtId="0" fontId="21" fillId="14" borderId="1" xfId="0" applyFont="1" applyFill="1" applyBorder="1" applyAlignment="1">
      <alignment horizontal="right" vertical="center"/>
    </xf>
    <xf numFmtId="9" fontId="0" fillId="0" borderId="0" xfId="0" applyNumberFormat="1"/>
    <xf numFmtId="0" fontId="0" fillId="0" borderId="1" xfId="0" applyBorder="1" applyAlignment="1">
      <alignment horizontal="center" vertical="center"/>
    </xf>
    <xf numFmtId="41" fontId="0" fillId="0" borderId="0" xfId="0" applyNumberFormat="1" applyBorder="1" applyAlignment="1"/>
    <xf numFmtId="10" fontId="0" fillId="0" borderId="0" xfId="4" applyNumberFormat="1" applyFont="1"/>
    <xf numFmtId="10" fontId="0" fillId="0" borderId="0" xfId="4" applyNumberFormat="1" applyFont="1" applyBorder="1"/>
    <xf numFmtId="14" fontId="0" fillId="27" borderId="1" xfId="0" applyNumberFormat="1" applyFill="1" applyBorder="1" applyAlignment="1">
      <alignment horizontal="center"/>
    </xf>
    <xf numFmtId="0" fontId="0" fillId="0" borderId="0" xfId="0" applyNumberFormat="1"/>
    <xf numFmtId="14" fontId="0" fillId="0" borderId="0" xfId="0" applyNumberFormat="1" applyAlignment="1">
      <alignment horizontal="left"/>
    </xf>
    <xf numFmtId="0" fontId="0" fillId="0" borderId="0" xfId="0" applyBorder="1" applyAlignment="1">
      <alignment horizontal="left"/>
    </xf>
    <xf numFmtId="2" fontId="21" fillId="24" borderId="7" xfId="0" applyNumberFormat="1" applyFont="1" applyFill="1" applyBorder="1" applyAlignment="1">
      <alignment horizontal="left"/>
    </xf>
    <xf numFmtId="178" fontId="0" fillId="24" borderId="1" xfId="1" applyNumberFormat="1" applyFont="1" applyFill="1" applyBorder="1"/>
    <xf numFmtId="178" fontId="0" fillId="24" borderId="1" xfId="2" applyNumberFormat="1" applyFont="1" applyFill="1" applyBorder="1"/>
    <xf numFmtId="0" fontId="0" fillId="0" borderId="0" xfId="0" applyAlignment="1">
      <alignment horizontal="center"/>
    </xf>
    <xf numFmtId="0" fontId="0" fillId="24" borderId="0" xfId="0" applyFill="1" applyBorder="1" applyAlignment="1">
      <alignment horizontal="left"/>
    </xf>
    <xf numFmtId="10" fontId="0" fillId="24" borderId="0" xfId="0" applyNumberFormat="1" applyFill="1" applyAlignment="1">
      <alignment horizontal="left" wrapText="1"/>
    </xf>
    <xf numFmtId="2" fontId="16" fillId="24" borderId="0" xfId="1" applyNumberFormat="1" applyFont="1" applyFill="1" applyAlignment="1">
      <alignment horizontal="left" wrapText="1"/>
    </xf>
    <xf numFmtId="168" fontId="0" fillId="24" borderId="0" xfId="0" applyNumberFormat="1" applyFill="1" applyBorder="1" applyAlignment="1">
      <alignment horizontal="left" wrapText="1"/>
    </xf>
    <xf numFmtId="1" fontId="0" fillId="24" borderId="0" xfId="0" applyNumberFormat="1" applyFill="1" applyBorder="1" applyAlignment="1">
      <alignment horizontal="left"/>
    </xf>
    <xf numFmtId="1" fontId="0" fillId="24" borderId="0" xfId="0" applyNumberFormat="1" applyFill="1" applyBorder="1" applyAlignment="1">
      <alignment horizontal="left" indent="2"/>
    </xf>
    <xf numFmtId="2" fontId="0" fillId="24" borderId="0" xfId="0" applyNumberFormat="1" applyFill="1" applyBorder="1" applyAlignment="1">
      <alignment horizontal="left" indent="2"/>
    </xf>
    <xf numFmtId="2" fontId="16" fillId="24" borderId="0" xfId="1" applyNumberFormat="1" applyFont="1" applyFill="1" applyBorder="1" applyAlignment="1">
      <alignment horizontal="left"/>
    </xf>
    <xf numFmtId="173" fontId="0" fillId="24" borderId="0" xfId="0" applyNumberFormat="1" applyFill="1" applyBorder="1" applyAlignment="1">
      <alignment horizontal="left"/>
    </xf>
    <xf numFmtId="0" fontId="0" fillId="24" borderId="0" xfId="0" applyFill="1" applyBorder="1" applyAlignment="1">
      <alignment horizontal="left" vertical="center"/>
    </xf>
    <xf numFmtId="2" fontId="0" fillId="24" borderId="0" xfId="0" applyNumberFormat="1" applyFill="1" applyAlignment="1">
      <alignment horizontal="left"/>
    </xf>
    <xf numFmtId="0" fontId="0" fillId="24" borderId="0" xfId="0" applyFill="1" applyAlignment="1">
      <alignment horizontal="left"/>
    </xf>
    <xf numFmtId="173" fontId="0" fillId="2" borderId="7" xfId="0" applyNumberFormat="1" applyFill="1" applyBorder="1" applyAlignment="1">
      <alignment horizontal="left"/>
    </xf>
    <xf numFmtId="0" fontId="0" fillId="3" borderId="0" xfId="0" applyNumberFormat="1" applyFill="1" applyBorder="1" applyAlignment="1">
      <alignment horizontal="center" vertical="center"/>
    </xf>
    <xf numFmtId="4" fontId="19" fillId="24" borderId="0" xfId="0" applyNumberFormat="1" applyFont="1" applyFill="1" applyBorder="1" applyAlignment="1">
      <alignment horizontal="center" vertical="top" wrapText="1"/>
    </xf>
    <xf numFmtId="2" fontId="0" fillId="24" borderId="0" xfId="0" applyNumberFormat="1" applyFill="1" applyBorder="1"/>
    <xf numFmtId="0" fontId="0" fillId="24" borderId="0" xfId="0" applyFill="1" applyBorder="1"/>
    <xf numFmtId="0" fontId="0" fillId="24" borderId="0" xfId="0" applyFill="1"/>
    <xf numFmtId="1" fontId="21" fillId="2" borderId="7" xfId="0" applyNumberFormat="1" applyFont="1" applyFill="1" applyBorder="1" applyAlignment="1">
      <alignment horizontal="left"/>
    </xf>
    <xf numFmtId="0" fontId="0" fillId="3" borderId="1" xfId="0" applyNumberFormat="1" applyFill="1" applyBorder="1"/>
    <xf numFmtId="1" fontId="0" fillId="0" borderId="0" xfId="4" applyNumberFormat="1" applyFont="1"/>
    <xf numFmtId="0" fontId="27" fillId="0" borderId="51" xfId="0" applyFont="1" applyBorder="1" applyAlignment="1">
      <alignment vertical="center" wrapText="1"/>
    </xf>
    <xf numFmtId="0" fontId="27" fillId="0" borderId="51" xfId="0" applyFont="1" applyBorder="1" applyAlignment="1">
      <alignment horizontal="center" vertical="center" wrapText="1"/>
    </xf>
    <xf numFmtId="180" fontId="27" fillId="0" borderId="42" xfId="0" applyNumberFormat="1" applyFont="1" applyBorder="1" applyAlignment="1">
      <alignment horizontal="center" vertical="center"/>
    </xf>
    <xf numFmtId="0" fontId="0" fillId="0" borderId="1" xfId="0" applyNumberFormat="1" applyBorder="1" applyAlignment="1">
      <alignment horizontal="center"/>
    </xf>
    <xf numFmtId="0" fontId="19" fillId="0" borderId="0" xfId="0" applyFont="1"/>
    <xf numFmtId="0" fontId="19" fillId="0" borderId="0" xfId="0" applyFont="1" applyAlignment="1">
      <alignment wrapText="1"/>
    </xf>
    <xf numFmtId="0" fontId="32" fillId="0" borderId="0" xfId="0" applyFont="1" applyAlignment="1">
      <alignment wrapText="1"/>
    </xf>
    <xf numFmtId="1" fontId="0" fillId="0" borderId="1" xfId="0" applyNumberFormat="1" applyBorder="1" applyAlignment="1">
      <alignment horizontal="left" vertical="center"/>
    </xf>
    <xf numFmtId="1" fontId="0" fillId="0" borderId="7" xfId="0" applyNumberFormat="1" applyBorder="1" applyAlignment="1">
      <alignment horizontal="left"/>
    </xf>
    <xf numFmtId="0" fontId="27" fillId="0" borderId="4" xfId="0" applyFont="1" applyBorder="1" applyAlignment="1">
      <alignment horizontal="center" vertical="center"/>
    </xf>
    <xf numFmtId="0" fontId="0" fillId="0" borderId="49" xfId="0" applyBorder="1"/>
    <xf numFmtId="9" fontId="0" fillId="0" borderId="1" xfId="0" applyNumberFormat="1" applyBorder="1"/>
    <xf numFmtId="43" fontId="16" fillId="2" borderId="1" xfId="1" applyNumberFormat="1" applyFont="1" applyFill="1" applyBorder="1"/>
    <xf numFmtId="0" fontId="0" fillId="0" borderId="1" xfId="0" applyBorder="1" applyAlignment="1">
      <alignment horizontal="center" vertical="center"/>
    </xf>
    <xf numFmtId="0" fontId="27" fillId="0" borderId="16" xfId="0" applyFont="1" applyBorder="1" applyAlignment="1">
      <alignment horizontal="center"/>
    </xf>
    <xf numFmtId="0" fontId="27" fillId="0" borderId="6" xfId="0" applyFont="1" applyBorder="1" applyAlignment="1">
      <alignment horizontal="center" vertical="center"/>
    </xf>
    <xf numFmtId="0" fontId="27" fillId="0" borderId="6" xfId="0" applyFont="1" applyBorder="1" applyAlignment="1">
      <alignment horizontal="center"/>
    </xf>
    <xf numFmtId="0" fontId="27" fillId="0" borderId="38" xfId="0" applyFont="1" applyBorder="1" applyAlignment="1">
      <alignment horizontal="center"/>
    </xf>
    <xf numFmtId="1" fontId="0" fillId="2" borderId="7" xfId="0" applyNumberFormat="1" applyFont="1" applyFill="1" applyBorder="1" applyAlignment="1">
      <alignment horizontal="left"/>
    </xf>
    <xf numFmtId="1" fontId="0" fillId="2" borderId="7" xfId="0" applyNumberFormat="1" applyFont="1" applyFill="1" applyBorder="1" applyAlignment="1">
      <alignment horizontal="left" vertical="center"/>
    </xf>
    <xf numFmtId="2" fontId="0" fillId="0" borderId="1" xfId="0" applyNumberFormat="1" applyBorder="1" applyAlignment="1">
      <alignment horizontal="left"/>
    </xf>
    <xf numFmtId="180" fontId="0" fillId="0" borderId="11" xfId="0" applyNumberFormat="1" applyBorder="1"/>
    <xf numFmtId="180" fontId="0" fillId="0" borderId="19" xfId="0" applyNumberFormat="1" applyBorder="1" applyAlignment="1"/>
    <xf numFmtId="1" fontId="0" fillId="24" borderId="1" xfId="0" applyNumberFormat="1" applyFill="1" applyBorder="1" applyAlignment="1">
      <alignment horizontal="left"/>
    </xf>
    <xf numFmtId="0" fontId="33" fillId="0" borderId="0" xfId="0" applyFont="1"/>
    <xf numFmtId="9" fontId="0" fillId="0" borderId="43" xfId="4" applyFont="1" applyBorder="1" applyAlignment="1">
      <alignment horizontal="center"/>
    </xf>
    <xf numFmtId="0" fontId="0" fillId="0" borderId="10" xfId="0" applyBorder="1" applyAlignment="1">
      <alignment horizontal="center"/>
    </xf>
    <xf numFmtId="172" fontId="0" fillId="0" borderId="9" xfId="0" applyNumberFormat="1" applyBorder="1" applyAlignment="1">
      <alignment horizontal="center" vertical="center"/>
    </xf>
    <xf numFmtId="172" fontId="0" fillId="0" borderId="5" xfId="0" applyNumberFormat="1" applyBorder="1" applyAlignment="1">
      <alignment horizontal="center" vertical="center"/>
    </xf>
    <xf numFmtId="172" fontId="0" fillId="0" borderId="71" xfId="0" applyNumberFormat="1" applyBorder="1" applyAlignment="1">
      <alignment horizontal="center" vertical="center"/>
    </xf>
    <xf numFmtId="0" fontId="0" fillId="0" borderId="33" xfId="0" applyBorder="1" applyAlignment="1"/>
    <xf numFmtId="180" fontId="0" fillId="0" borderId="34" xfId="0" applyNumberFormat="1" applyBorder="1"/>
    <xf numFmtId="0" fontId="0" fillId="0" borderId="7" xfId="0" applyBorder="1" applyAlignment="1"/>
    <xf numFmtId="172" fontId="0" fillId="0" borderId="6" xfId="0" applyNumberFormat="1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0" fillId="0" borderId="18" xfId="0" applyBorder="1" applyAlignment="1">
      <alignment horizontal="right"/>
    </xf>
    <xf numFmtId="43" fontId="0" fillId="0" borderId="43" xfId="1" applyFont="1" applyBorder="1" applyAlignment="1">
      <alignment horizontal="center"/>
    </xf>
    <xf numFmtId="0" fontId="0" fillId="0" borderId="1" xfId="0" applyBorder="1" applyAlignment="1">
      <alignment horizontal="center" vertical="center"/>
    </xf>
    <xf numFmtId="2" fontId="0" fillId="0" borderId="0" xfId="4" applyNumberFormat="1" applyFont="1"/>
    <xf numFmtId="0" fontId="0" fillId="5" borderId="48" xfId="0" applyFill="1" applyBorder="1" applyAlignment="1">
      <alignment horizontal="center"/>
    </xf>
    <xf numFmtId="0" fontId="0" fillId="5" borderId="49" xfId="0" applyFill="1" applyBorder="1" applyAlignment="1">
      <alignment horizontal="center"/>
    </xf>
    <xf numFmtId="0" fontId="0" fillId="26" borderId="20" xfId="0" applyFill="1" applyBorder="1" applyAlignment="1">
      <alignment horizontal="center" wrapText="1"/>
    </xf>
    <xf numFmtId="0" fontId="0" fillId="26" borderId="21" xfId="0" applyFill="1" applyBorder="1" applyAlignment="1">
      <alignment horizontal="center" wrapText="1"/>
    </xf>
    <xf numFmtId="0" fontId="0" fillId="26" borderId="16" xfId="0" applyFill="1" applyBorder="1" applyAlignment="1">
      <alignment horizontal="center" wrapText="1"/>
    </xf>
    <xf numFmtId="0" fontId="0" fillId="6" borderId="20" xfId="0" applyFill="1" applyBorder="1" applyAlignment="1">
      <alignment horizontal="center" wrapText="1"/>
    </xf>
    <xf numFmtId="0" fontId="0" fillId="6" borderId="21" xfId="0" applyFill="1" applyBorder="1" applyAlignment="1">
      <alignment horizontal="center" wrapText="1"/>
    </xf>
    <xf numFmtId="0" fontId="0" fillId="6" borderId="16" xfId="0" applyFill="1" applyBorder="1" applyAlignment="1">
      <alignment horizontal="center" wrapText="1"/>
    </xf>
    <xf numFmtId="0" fontId="0" fillId="26" borderId="20" xfId="0" applyFill="1" applyBorder="1" applyAlignment="1">
      <alignment horizontal="center" vertical="center" wrapText="1"/>
    </xf>
    <xf numFmtId="0" fontId="0" fillId="26" borderId="21" xfId="0" applyFill="1" applyBorder="1" applyAlignment="1">
      <alignment horizontal="center" vertical="center" wrapText="1"/>
    </xf>
    <xf numFmtId="0" fontId="0" fillId="26" borderId="16" xfId="0" applyFill="1" applyBorder="1" applyAlignment="1">
      <alignment horizontal="center" vertical="center" wrapText="1"/>
    </xf>
    <xf numFmtId="0" fontId="0" fillId="6" borderId="20" xfId="0" applyFill="1" applyBorder="1" applyAlignment="1">
      <alignment horizontal="center" vertical="center" wrapText="1"/>
    </xf>
    <xf numFmtId="0" fontId="0" fillId="6" borderId="21" xfId="0" applyFill="1" applyBorder="1" applyAlignment="1">
      <alignment horizontal="center" vertical="center" wrapText="1"/>
    </xf>
    <xf numFmtId="0" fontId="0" fillId="6" borderId="16" xfId="0" applyFill="1" applyBorder="1" applyAlignment="1">
      <alignment horizontal="center" vertical="center" wrapText="1"/>
    </xf>
    <xf numFmtId="0" fontId="0" fillId="3" borderId="20" xfId="0" applyFill="1" applyBorder="1" applyAlignment="1" applyProtection="1">
      <alignment horizontal="center" vertical="center" wrapText="1"/>
      <protection locked="0"/>
    </xf>
    <xf numFmtId="0" fontId="0" fillId="3" borderId="21" xfId="0" applyFill="1" applyBorder="1" applyAlignment="1" applyProtection="1">
      <alignment horizontal="center" vertical="center" wrapText="1"/>
      <protection locked="0"/>
    </xf>
    <xf numFmtId="0" fontId="0" fillId="3" borderId="16" xfId="0" applyFill="1" applyBorder="1" applyAlignment="1" applyProtection="1">
      <alignment horizontal="center" vertical="center" wrapText="1"/>
      <protection locked="0"/>
    </xf>
    <xf numFmtId="0" fontId="0" fillId="0" borderId="20" xfId="0" applyBorder="1" applyAlignment="1" applyProtection="1">
      <alignment horizontal="center" wrapText="1"/>
      <protection locked="0"/>
    </xf>
    <xf numFmtId="0" fontId="0" fillId="0" borderId="21" xfId="0" applyBorder="1" applyAlignment="1" applyProtection="1">
      <alignment horizontal="center" wrapText="1"/>
      <protection locked="0"/>
    </xf>
    <xf numFmtId="0" fontId="0" fillId="0" borderId="16" xfId="0" applyBorder="1" applyAlignment="1" applyProtection="1">
      <alignment horizontal="center" wrapText="1"/>
      <protection locked="0"/>
    </xf>
    <xf numFmtId="0" fontId="0" fillId="0" borderId="12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23" xfId="0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22" fillId="0" borderId="47" xfId="0" applyFont="1" applyBorder="1" applyAlignment="1">
      <alignment horizontal="center" vertical="center" wrapText="1"/>
    </xf>
    <xf numFmtId="0" fontId="22" fillId="0" borderId="2" xfId="0" applyFont="1" applyBorder="1" applyAlignment="1">
      <alignment horizontal="center" vertical="center" wrapText="1"/>
    </xf>
    <xf numFmtId="0" fontId="22" fillId="0" borderId="12" xfId="0" applyFont="1" applyBorder="1" applyAlignment="1">
      <alignment horizontal="center" vertical="center"/>
    </xf>
    <xf numFmtId="0" fontId="22" fillId="0" borderId="35" xfId="0" applyFont="1" applyBorder="1" applyAlignment="1">
      <alignment horizontal="center" vertical="center"/>
    </xf>
    <xf numFmtId="0" fontId="22" fillId="0" borderId="2" xfId="0" applyFont="1" applyBorder="1" applyAlignment="1">
      <alignment horizontal="center" vertical="center"/>
    </xf>
    <xf numFmtId="0" fontId="0" fillId="0" borderId="36" xfId="0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24" xfId="0" applyBorder="1" applyAlignment="1">
      <alignment horizontal="center"/>
    </xf>
    <xf numFmtId="0" fontId="0" fillId="0" borderId="53" xfId="0" applyBorder="1" applyAlignment="1">
      <alignment horizontal="center"/>
    </xf>
    <xf numFmtId="0" fontId="0" fillId="0" borderId="22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54" xfId="0" applyBorder="1" applyAlignment="1">
      <alignment horizontal="center"/>
    </xf>
    <xf numFmtId="0" fontId="0" fillId="0" borderId="42" xfId="0" applyBorder="1" applyAlignment="1">
      <alignment horizontal="center"/>
    </xf>
    <xf numFmtId="0" fontId="0" fillId="0" borderId="27" xfId="0" applyBorder="1" applyAlignment="1">
      <alignment horizontal="center"/>
    </xf>
    <xf numFmtId="0" fontId="0" fillId="0" borderId="55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45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0" xfId="0" applyBorder="1" applyAlignment="1">
      <alignment horizontal="center"/>
    </xf>
    <xf numFmtId="0" fontId="22" fillId="0" borderId="0" xfId="0" applyFont="1" applyBorder="1" applyAlignment="1">
      <alignment horizontal="center" vertical="center" wrapText="1"/>
    </xf>
    <xf numFmtId="0" fontId="22" fillId="0" borderId="0" xfId="0" applyFont="1" applyBorder="1" applyAlignment="1">
      <alignment horizontal="center" vertical="center"/>
    </xf>
    <xf numFmtId="0" fontId="31" fillId="0" borderId="50" xfId="0" applyFont="1" applyBorder="1" applyAlignment="1">
      <alignment horizontal="center" vertical="center"/>
    </xf>
    <xf numFmtId="0" fontId="31" fillId="0" borderId="51" xfId="0" applyFont="1" applyBorder="1" applyAlignment="1">
      <alignment horizontal="center" vertical="center"/>
    </xf>
    <xf numFmtId="0" fontId="31" fillId="0" borderId="42" xfId="0" applyFont="1" applyBorder="1" applyAlignment="1">
      <alignment horizontal="center" vertical="center"/>
    </xf>
    <xf numFmtId="0" fontId="31" fillId="0" borderId="40" xfId="0" applyFont="1" applyBorder="1" applyAlignment="1">
      <alignment horizontal="center" vertical="center"/>
    </xf>
    <xf numFmtId="0" fontId="31" fillId="0" borderId="38" xfId="0" applyFont="1" applyBorder="1" applyAlignment="1">
      <alignment horizontal="center" vertical="center"/>
    </xf>
    <xf numFmtId="0" fontId="31" fillId="0" borderId="52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8" fillId="2" borderId="1" xfId="0" applyFont="1" applyFill="1" applyBorder="1" applyAlignment="1">
      <alignment horizontal="center" vertical="center"/>
    </xf>
    <xf numFmtId="0" fontId="18" fillId="2" borderId="23" xfId="0" applyFont="1" applyFill="1" applyBorder="1" applyAlignment="1">
      <alignment horizontal="center" vertical="center"/>
    </xf>
    <xf numFmtId="0" fontId="18" fillId="2" borderId="7" xfId="0" applyFont="1" applyFill="1" applyBorder="1" applyAlignment="1">
      <alignment horizontal="center" vertical="center"/>
    </xf>
    <xf numFmtId="0" fontId="18" fillId="28" borderId="23" xfId="0" applyFont="1" applyFill="1" applyBorder="1" applyAlignment="1">
      <alignment horizontal="center" vertical="center"/>
    </xf>
    <xf numFmtId="0" fontId="18" fillId="28" borderId="7" xfId="0" applyFont="1" applyFill="1" applyBorder="1" applyAlignment="1">
      <alignment horizontal="center" vertical="center"/>
    </xf>
    <xf numFmtId="165" fontId="18" fillId="28" borderId="23" xfId="0" applyNumberFormat="1" applyFont="1" applyFill="1" applyBorder="1" applyAlignment="1">
      <alignment horizontal="center" vertical="center"/>
    </xf>
    <xf numFmtId="165" fontId="18" fillId="28" borderId="7" xfId="0" applyNumberFormat="1" applyFont="1" applyFill="1" applyBorder="1" applyAlignment="1">
      <alignment horizontal="center" vertical="center"/>
    </xf>
    <xf numFmtId="0" fontId="18" fillId="28" borderId="1" xfId="0" applyFont="1" applyFill="1" applyBorder="1" applyAlignment="1">
      <alignment horizontal="center" vertical="center"/>
    </xf>
    <xf numFmtId="0" fontId="18" fillId="29" borderId="1" xfId="0" applyFont="1" applyFill="1" applyBorder="1" applyAlignment="1">
      <alignment horizontal="center" vertical="center"/>
    </xf>
    <xf numFmtId="0" fontId="18" fillId="29" borderId="1" xfId="0" applyFont="1" applyFill="1" applyBorder="1" applyAlignment="1">
      <alignment vertical="center"/>
    </xf>
    <xf numFmtId="0" fontId="0" fillId="0" borderId="0" xfId="0" applyAlignment="1">
      <alignment horizontal="center"/>
    </xf>
    <xf numFmtId="0" fontId="0" fillId="0" borderId="50" xfId="0" applyBorder="1" applyAlignment="1">
      <alignment horizontal="center" vertical="center"/>
    </xf>
    <xf numFmtId="0" fontId="0" fillId="0" borderId="51" xfId="0" applyBorder="1" applyAlignment="1">
      <alignment horizontal="center" vertical="center"/>
    </xf>
    <xf numFmtId="0" fontId="0" fillId="0" borderId="42" xfId="0" applyBorder="1" applyAlignment="1">
      <alignment horizontal="center" vertical="center"/>
    </xf>
    <xf numFmtId="0" fontId="0" fillId="0" borderId="37" xfId="0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0" borderId="55" xfId="0" applyBorder="1" applyAlignment="1">
      <alignment horizontal="center" vertical="center"/>
    </xf>
    <xf numFmtId="0" fontId="0" fillId="0" borderId="40" xfId="0" applyBorder="1" applyAlignment="1">
      <alignment horizontal="center" vertical="center"/>
    </xf>
    <xf numFmtId="0" fontId="0" fillId="0" borderId="38" xfId="0" applyBorder="1" applyAlignment="1">
      <alignment horizontal="center" vertical="center"/>
    </xf>
    <xf numFmtId="0" fontId="0" fillId="0" borderId="52" xfId="0" applyBorder="1" applyAlignment="1">
      <alignment horizontal="center" vertical="center"/>
    </xf>
    <xf numFmtId="0" fontId="27" fillId="0" borderId="4" xfId="0" applyFont="1" applyBorder="1" applyAlignment="1">
      <alignment horizontal="center" vertical="center"/>
    </xf>
    <xf numFmtId="0" fontId="27" fillId="0" borderId="3" xfId="0" applyFont="1" applyBorder="1" applyAlignment="1">
      <alignment horizontal="center" vertical="center"/>
    </xf>
    <xf numFmtId="0" fontId="27" fillId="0" borderId="41" xfId="0" applyFont="1" applyBorder="1" applyAlignment="1">
      <alignment horizontal="center" vertical="center"/>
    </xf>
    <xf numFmtId="180" fontId="27" fillId="0" borderId="4" xfId="0" applyNumberFormat="1" applyFont="1" applyBorder="1" applyAlignment="1">
      <alignment horizontal="center" vertical="center"/>
    </xf>
    <xf numFmtId="180" fontId="27" fillId="0" borderId="3" xfId="0" applyNumberFormat="1" applyFont="1" applyBorder="1" applyAlignment="1">
      <alignment horizontal="center" vertical="center"/>
    </xf>
    <xf numFmtId="180" fontId="27" fillId="0" borderId="41" xfId="0" applyNumberFormat="1" applyFont="1" applyBorder="1" applyAlignment="1">
      <alignment horizontal="center" vertical="center"/>
    </xf>
    <xf numFmtId="0" fontId="27" fillId="0" borderId="4" xfId="0" applyFont="1" applyBorder="1" applyAlignment="1">
      <alignment horizontal="center" vertical="top" wrapText="1"/>
    </xf>
    <xf numFmtId="0" fontId="27" fillId="0" borderId="3" xfId="0" applyFont="1" applyBorder="1" applyAlignment="1">
      <alignment horizontal="center" vertical="top" wrapText="1"/>
    </xf>
    <xf numFmtId="0" fontId="27" fillId="0" borderId="41" xfId="0" applyFont="1" applyBorder="1" applyAlignment="1">
      <alignment horizontal="center" vertical="top" wrapText="1"/>
    </xf>
    <xf numFmtId="0" fontId="27" fillId="0" borderId="56" xfId="0" applyFont="1" applyBorder="1" applyAlignment="1">
      <alignment vertical="center" wrapText="1"/>
    </xf>
    <xf numFmtId="0" fontId="27" fillId="0" borderId="57" xfId="0" applyFont="1" applyBorder="1" applyAlignment="1">
      <alignment vertical="center" wrapText="1"/>
    </xf>
    <xf numFmtId="0" fontId="27" fillId="0" borderId="58" xfId="0" applyFont="1" applyBorder="1" applyAlignment="1">
      <alignment vertical="center" wrapText="1"/>
    </xf>
    <xf numFmtId="0" fontId="27" fillId="0" borderId="20" xfId="0" applyFont="1" applyBorder="1" applyAlignment="1">
      <alignment horizontal="center"/>
    </xf>
    <xf numFmtId="0" fontId="27" fillId="0" borderId="21" xfId="0" applyFont="1" applyBorder="1" applyAlignment="1">
      <alignment horizontal="center"/>
    </xf>
    <xf numFmtId="0" fontId="27" fillId="0" borderId="59" xfId="0" applyFont="1" applyBorder="1" applyAlignment="1">
      <alignment horizontal="center"/>
    </xf>
    <xf numFmtId="0" fontId="27" fillId="0" borderId="16" xfId="0" applyFont="1" applyBorder="1" applyAlignment="1">
      <alignment horizontal="center"/>
    </xf>
    <xf numFmtId="0" fontId="14" fillId="0" borderId="0" xfId="0" applyFont="1" applyAlignment="1">
      <alignment horizontal="left"/>
    </xf>
    <xf numFmtId="0" fontId="5" fillId="0" borderId="20" xfId="0" applyFont="1" applyBorder="1" applyAlignment="1">
      <alignment horizontal="center"/>
    </xf>
    <xf numFmtId="0" fontId="6" fillId="0" borderId="16" xfId="0" applyFont="1" applyBorder="1" applyAlignment="1">
      <alignment horizontal="center"/>
    </xf>
    <xf numFmtId="0" fontId="7" fillId="0" borderId="20" xfId="0" applyFont="1" applyBorder="1" applyAlignment="1">
      <alignment horizontal="center"/>
    </xf>
    <xf numFmtId="0" fontId="7" fillId="0" borderId="21" xfId="0" applyFont="1" applyBorder="1" applyAlignment="1">
      <alignment horizontal="center"/>
    </xf>
    <xf numFmtId="0" fontId="7" fillId="0" borderId="16" xfId="0" applyFont="1" applyBorder="1" applyAlignment="1">
      <alignment horizontal="center"/>
    </xf>
    <xf numFmtId="169" fontId="10" fillId="0" borderId="4" xfId="0" applyNumberFormat="1" applyFont="1" applyBorder="1" applyAlignment="1">
      <alignment horizontal="center" wrapText="1"/>
    </xf>
    <xf numFmtId="169" fontId="10" fillId="0" borderId="41" xfId="0" applyNumberFormat="1" applyFont="1" applyBorder="1" applyAlignment="1">
      <alignment horizontal="center" wrapText="1"/>
    </xf>
    <xf numFmtId="0" fontId="4" fillId="0" borderId="0" xfId="0" applyFont="1" applyAlignment="1">
      <alignment horizontal="center"/>
    </xf>
    <xf numFmtId="0" fontId="12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2" fontId="4" fillId="0" borderId="0" xfId="0" applyNumberFormat="1" applyFont="1" applyAlignment="1">
      <alignment horizontal="center" vertical="center" wrapText="1"/>
    </xf>
    <xf numFmtId="2" fontId="4" fillId="0" borderId="0" xfId="0" applyNumberFormat="1" applyFont="1" applyAlignment="1">
      <alignment horizontal="center"/>
    </xf>
    <xf numFmtId="2" fontId="5" fillId="0" borderId="0" xfId="0" applyNumberFormat="1" applyFont="1" applyAlignment="1">
      <alignment horizontal="left"/>
    </xf>
    <xf numFmtId="0" fontId="22" fillId="28" borderId="1" xfId="0" applyFont="1" applyFill="1" applyBorder="1" applyAlignment="1">
      <alignment horizontal="center" wrapText="1"/>
    </xf>
  </cellXfs>
  <cellStyles count="5">
    <cellStyle name="Comma" xfId="1" builtinId="3"/>
    <cellStyle name="Currency" xfId="2" builtinId="4"/>
    <cellStyle name="Hyperlink" xfId="3" builtinId="8"/>
    <cellStyle name="Normal" xfId="0" builtinId="0"/>
    <cellStyle name="Percent" xfId="4" builtinId="5"/>
  </cellStyles>
  <dxfs count="7">
    <dxf>
      <font>
        <condense val="0"/>
        <extend val="0"/>
        <color rgb="FF9C0006"/>
      </font>
    </dxf>
    <dxf>
      <font>
        <condense val="0"/>
        <extend val="0"/>
        <color rgb="FF9C0006"/>
      </font>
    </dxf>
    <dxf>
      <fill>
        <patternFill>
          <bgColor rgb="FFFFFF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externalLink" Target="externalLinks/externalLink8.xml"/><Relationship Id="rId3" Type="http://schemas.openxmlformats.org/officeDocument/2006/relationships/worksheet" Target="worksheets/sheet3.xml"/><Relationship Id="rId21" Type="http://schemas.openxmlformats.org/officeDocument/2006/relationships/externalLink" Target="externalLinks/externalLink3.xml"/><Relationship Id="rId34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externalLink" Target="externalLinks/externalLink7.xml"/><Relationship Id="rId33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externalLink" Target="externalLinks/externalLink2.xml"/><Relationship Id="rId29" Type="http://schemas.openxmlformats.org/officeDocument/2006/relationships/externalLink" Target="externalLinks/externalLink1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externalLink" Target="externalLinks/externalLink6.xml"/><Relationship Id="rId32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externalLink" Target="externalLinks/externalLink5.xml"/><Relationship Id="rId28" Type="http://schemas.openxmlformats.org/officeDocument/2006/relationships/externalLink" Target="externalLinks/externalLink10.xml"/><Relationship Id="rId10" Type="http://schemas.openxmlformats.org/officeDocument/2006/relationships/worksheet" Target="worksheets/sheet10.xml"/><Relationship Id="rId19" Type="http://schemas.openxmlformats.org/officeDocument/2006/relationships/externalLink" Target="externalLinks/externalLink1.xml"/><Relationship Id="rId31" Type="http://schemas.openxmlformats.org/officeDocument/2006/relationships/externalLink" Target="externalLinks/externalLink13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externalLink" Target="externalLinks/externalLink4.xml"/><Relationship Id="rId27" Type="http://schemas.openxmlformats.org/officeDocument/2006/relationships/externalLink" Target="externalLinks/externalLink9.xml"/><Relationship Id="rId30" Type="http://schemas.openxmlformats.org/officeDocument/2006/relationships/externalLink" Target="externalLinks/externalLink12.xml"/><Relationship Id="rId35" Type="http://schemas.openxmlformats.org/officeDocument/2006/relationships/calcChain" Target="calcChain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ELEC!$N$2</c:f>
              <c:strCache>
                <c:ptCount val="1"/>
                <c:pt idx="0">
                  <c:v>Total KWH</c:v>
                </c:pt>
              </c:strCache>
            </c:strRef>
          </c:tx>
          <c:marker>
            <c:symbol val="none"/>
          </c:marker>
          <c:val>
            <c:numRef>
              <c:f>ELEC!$N$3:$N$31</c:f>
              <c:numCache>
                <c:formatCode>0.00</c:formatCode>
                <c:ptCount val="29"/>
                <c:pt idx="0" formatCode="0">
                  <c:v>4238</c:v>
                </c:pt>
                <c:pt idx="1">
                  <c:v>3033</c:v>
                </c:pt>
                <c:pt idx="2">
                  <c:v>3021</c:v>
                </c:pt>
                <c:pt idx="3">
                  <c:v>0</c:v>
                </c:pt>
                <c:pt idx="4">
                  <c:v>0</c:v>
                </c:pt>
                <c:pt idx="5">
                  <c:v>3034.1999999992549</c:v>
                </c:pt>
                <c:pt idx="6">
                  <c:v>3098.8000000007451</c:v>
                </c:pt>
                <c:pt idx="7">
                  <c:v>2865</c:v>
                </c:pt>
                <c:pt idx="8">
                  <c:v>2797</c:v>
                </c:pt>
                <c:pt idx="9">
                  <c:v>2912</c:v>
                </c:pt>
                <c:pt idx="10">
                  <c:v>0</c:v>
                </c:pt>
                <c:pt idx="11">
                  <c:v>0</c:v>
                </c:pt>
                <c:pt idx="12">
                  <c:v>2686</c:v>
                </c:pt>
                <c:pt idx="13">
                  <c:v>2997</c:v>
                </c:pt>
                <c:pt idx="14">
                  <c:v>3188</c:v>
                </c:pt>
                <c:pt idx="15">
                  <c:v>3113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81EF-45DA-A3B9-818C99E1C072}"/>
            </c:ext>
          </c:extLst>
        </c:ser>
        <c:marker val="1"/>
        <c:axId val="109110400"/>
        <c:axId val="109111936"/>
      </c:lineChart>
      <c:catAx>
        <c:axId val="10911040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9111936"/>
        <c:crosses val="autoZero"/>
        <c:auto val="1"/>
        <c:lblAlgn val="ctr"/>
        <c:lblOffset val="100"/>
      </c:catAx>
      <c:valAx>
        <c:axId val="109111936"/>
        <c:scaling>
          <c:orientation val="minMax"/>
        </c:scaling>
        <c:axPos val="l"/>
        <c:majorGridlines/>
        <c:numFmt formatCode="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911040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847591903772769"/>
          <c:y val="0.62975887529635965"/>
          <c:w val="0.11899800868449698"/>
          <c:h val="4.498269896195010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'EDl log'!$C$1</c:f>
              <c:strCache>
                <c:ptCount val="1"/>
                <c:pt idx="0">
                  <c:v>Consu EDL KW</c:v>
                </c:pt>
              </c:strCache>
            </c:strRef>
          </c:tx>
          <c:marker>
            <c:symbol val="none"/>
          </c:marker>
          <c:val>
            <c:numRef>
              <c:f>'EDl log'!$C$3:$C$33</c:f>
              <c:numCache>
                <c:formatCode>General</c:formatCode>
                <c:ptCount val="31"/>
                <c:pt idx="0">
                  <c:v>168</c:v>
                </c:pt>
                <c:pt idx="1">
                  <c:v>141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465</c:v>
                </c:pt>
                <c:pt idx="8">
                  <c:v>186</c:v>
                </c:pt>
                <c:pt idx="9">
                  <c:v>116</c:v>
                </c:pt>
                <c:pt idx="10">
                  <c:v>125</c:v>
                </c:pt>
                <c:pt idx="11">
                  <c:v>0</c:v>
                </c:pt>
                <c:pt idx="12">
                  <c:v>112</c:v>
                </c:pt>
                <c:pt idx="13">
                  <c:v>0</c:v>
                </c:pt>
                <c:pt idx="14">
                  <c:v>125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B20D-47B3-9F8A-04E47E43C605}"/>
            </c:ext>
          </c:extLst>
        </c:ser>
        <c:marker val="1"/>
        <c:axId val="108407808"/>
        <c:axId val="108417792"/>
      </c:lineChart>
      <c:catAx>
        <c:axId val="10840780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8417792"/>
        <c:crosses val="autoZero"/>
        <c:auto val="1"/>
        <c:lblAlgn val="ctr"/>
        <c:lblOffset val="100"/>
      </c:catAx>
      <c:valAx>
        <c:axId val="108417792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840780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7407531836325003"/>
          <c:y val="0.61111329833770778"/>
          <c:w val="9.6296451832409855E-2"/>
          <c:h val="4.5138888888888853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0.12259683982455213"/>
          <c:y val="0.19412945354149538"/>
          <c:w val="0.77663126001869198"/>
          <c:h val="0.69029198339826903"/>
        </c:manualLayout>
      </c:layout>
      <c:lineChart>
        <c:grouping val="standard"/>
        <c:ser>
          <c:idx val="0"/>
          <c:order val="0"/>
          <c:tx>
            <c:strRef>
              <c:f>ELEC!$A$2</c:f>
              <c:strCache>
                <c:ptCount val="1"/>
                <c:pt idx="0">
                  <c:v>OOC</c:v>
                </c:pt>
              </c:strCache>
            </c:strRef>
          </c:tx>
          <c:marker>
            <c:symbol val="none"/>
          </c:marker>
          <c:val>
            <c:numRef>
              <c:f>ELEC!$A$4:$A$31</c:f>
              <c:numCache>
                <c:formatCode>0.00%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B10A-4AD4-A22E-CE09BDE5E558}"/>
            </c:ext>
          </c:extLst>
        </c:ser>
        <c:marker val="1"/>
        <c:axId val="108438272"/>
        <c:axId val="108439808"/>
      </c:lineChart>
      <c:catAx>
        <c:axId val="10843827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8439808"/>
        <c:crosses val="autoZero"/>
        <c:auto val="1"/>
        <c:lblAlgn val="ctr"/>
        <c:lblOffset val="100"/>
      </c:catAx>
      <c:valAx>
        <c:axId val="108439808"/>
        <c:scaling>
          <c:orientation val="minMax"/>
        </c:scaling>
        <c:axPos val="l"/>
        <c:majorGridlines/>
        <c:numFmt formatCode="0.00%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843827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90404181800522065"/>
          <c:y val="0.62975887529635965"/>
          <c:w val="7.9124755870162669E-2"/>
          <c:h val="4.498269896195010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0.76234708722191202"/>
          <c:y val="0.87969634004082864"/>
        </c:manualLayout>
      </c:layout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ELEC!$B$2</c:f>
              <c:strCache>
                <c:ptCount val="1"/>
                <c:pt idx="0">
                  <c:v>Room OCC</c:v>
                </c:pt>
              </c:strCache>
            </c:strRef>
          </c:tx>
          <c:marker>
            <c:symbol val="none"/>
          </c:marker>
          <c:val>
            <c:numRef>
              <c:f>ELEC!$B$4:$B$31</c:f>
              <c:numCache>
                <c:formatCode>0.00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8245-4AD6-9CB7-B9C5CFCEBCEF}"/>
            </c:ext>
          </c:extLst>
        </c:ser>
        <c:marker val="1"/>
        <c:axId val="108501248"/>
        <c:axId val="108662784"/>
      </c:lineChart>
      <c:catAx>
        <c:axId val="10850124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8662784"/>
        <c:crosses val="autoZero"/>
        <c:auto val="1"/>
        <c:lblAlgn val="ctr"/>
        <c:lblOffset val="100"/>
      </c:catAx>
      <c:valAx>
        <c:axId val="108662784"/>
        <c:scaling>
          <c:orientation val="minMax"/>
        </c:scaling>
        <c:axPos val="l"/>
        <c:majorGridlines/>
        <c:numFmt formatCode="0.0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850124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90593403755066071"/>
          <c:y val="0.60764107611585927"/>
          <c:w val="8.5383502170766998E-2"/>
          <c:h val="4.5138888888888853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 orientation="portrait"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ELEC!$AG$2</c:f>
              <c:strCache>
                <c:ptCount val="1"/>
                <c:pt idx="0">
                  <c:v>AVG chiller KW/Hr</c:v>
                </c:pt>
              </c:strCache>
            </c:strRef>
          </c:tx>
          <c:marker>
            <c:symbol val="none"/>
          </c:marker>
          <c:val>
            <c:numRef>
              <c:f>ELEC!$AG$4:$AG$31</c:f>
              <c:numCache>
                <c:formatCode>0.00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6784-437F-AC6D-5988C01C53F7}"/>
            </c:ext>
          </c:extLst>
        </c:ser>
        <c:marker val="1"/>
        <c:axId val="109158400"/>
        <c:axId val="109159936"/>
      </c:lineChart>
      <c:catAx>
        <c:axId val="10915840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9159936"/>
        <c:crosses val="autoZero"/>
        <c:auto val="1"/>
        <c:lblAlgn val="ctr"/>
        <c:lblOffset val="100"/>
      </c:catAx>
      <c:valAx>
        <c:axId val="109159936"/>
        <c:scaling>
          <c:orientation val="minMax"/>
        </c:scaling>
        <c:axPos val="l"/>
        <c:majorGridlines/>
        <c:numFmt formatCode="0.0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915840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515769944341377"/>
          <c:y val="0.62975900739703661"/>
          <c:w val="0.1317254174397032"/>
          <c:h val="4.498283868362610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WATER!$L$3</c:f>
              <c:strCache>
                <c:ptCount val="1"/>
                <c:pt idx="0">
                  <c:v>Cosum SW/day</c:v>
                </c:pt>
              </c:strCache>
            </c:strRef>
          </c:tx>
          <c:marker>
            <c:symbol val="none"/>
          </c:marker>
          <c:val>
            <c:numRef>
              <c:f>WATER!$L$6:$L$33</c:f>
              <c:numCache>
                <c:formatCode>General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8884-445E-AE9B-E0CF8603A03F}"/>
            </c:ext>
          </c:extLst>
        </c:ser>
        <c:marker val="1"/>
        <c:axId val="110159744"/>
        <c:axId val="110161280"/>
      </c:lineChart>
      <c:catAx>
        <c:axId val="11015974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10161280"/>
        <c:crosses val="autoZero"/>
        <c:auto val="1"/>
        <c:lblAlgn val="ctr"/>
        <c:lblOffset val="100"/>
      </c:catAx>
      <c:valAx>
        <c:axId val="110161280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1015974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7578748411165552"/>
          <c:y val="0.60416885389326369"/>
          <c:w val="0.10534607702339092"/>
          <c:h val="4.5138888888888729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WATER!$C$3</c:f>
              <c:strCache>
                <c:ptCount val="1"/>
                <c:pt idx="0">
                  <c:v>Truck M3/day</c:v>
                </c:pt>
              </c:strCache>
            </c:strRef>
          </c:tx>
          <c:marker>
            <c:symbol val="none"/>
          </c:marker>
          <c:val>
            <c:numRef>
              <c:f>WATER!$C$6:$C$33</c:f>
              <c:numCache>
                <c:formatCode>General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2E81-4153-A9C7-FC5269E85096}"/>
            </c:ext>
          </c:extLst>
        </c:ser>
        <c:marker val="1"/>
        <c:axId val="110169472"/>
        <c:axId val="110171264"/>
      </c:lineChart>
      <c:catAx>
        <c:axId val="11016947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10171264"/>
        <c:crosses val="autoZero"/>
        <c:auto val="1"/>
        <c:lblAlgn val="ctr"/>
        <c:lblOffset val="100"/>
      </c:catAx>
      <c:valAx>
        <c:axId val="110171264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1016947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94188682166941562"/>
          <c:y val="0.60416885389326369"/>
          <c:w val="5.4339623476268833E-2"/>
          <c:h val="4.5138888888888729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WATER!$H$3</c:f>
              <c:strCache>
                <c:ptCount val="1"/>
                <c:pt idx="0">
                  <c:v>City/day</c:v>
                </c:pt>
              </c:strCache>
            </c:strRef>
          </c:tx>
          <c:marker>
            <c:symbol val="none"/>
          </c:marker>
          <c:val>
            <c:numRef>
              <c:f>WATER!$H$6:$H$33</c:f>
              <c:numCache>
                <c:formatCode>General</c:formatCode>
                <c:ptCount val="28"/>
                <c:pt idx="0">
                  <c:v>0</c:v>
                </c:pt>
                <c:pt idx="1">
                  <c:v>118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71</c:v>
                </c:pt>
                <c:pt idx="6">
                  <c:v>25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147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2AFD-4932-BD2E-17735F95E4B6}"/>
            </c:ext>
          </c:extLst>
        </c:ser>
        <c:marker val="1"/>
        <c:axId val="110215936"/>
        <c:axId val="110217472"/>
      </c:lineChart>
      <c:catAx>
        <c:axId val="11021593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10217472"/>
        <c:crosses val="autoZero"/>
        <c:auto val="1"/>
        <c:lblAlgn val="ctr"/>
        <c:lblOffset val="100"/>
      </c:catAx>
      <c:valAx>
        <c:axId val="110217472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1021593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7451145077453563"/>
          <c:y val="0.60416885389326369"/>
          <c:w val="0.10784334311152242"/>
          <c:h val="4.5138888888888506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WATER!$AM$3</c:f>
              <c:strCache>
                <c:ptCount val="1"/>
                <c:pt idx="0">
                  <c:v>Avg Outside Temp</c:v>
                </c:pt>
              </c:strCache>
            </c:strRef>
          </c:tx>
          <c:marker>
            <c:symbol val="none"/>
          </c:marker>
          <c:val>
            <c:numRef>
              <c:f>WATER!$AM$6:$AM$33</c:f>
              <c:numCache>
                <c:formatCode>0</c:formatCode>
                <c:ptCount val="28"/>
                <c:pt idx="0">
                  <c:v>23</c:v>
                </c:pt>
                <c:pt idx="1">
                  <c:v>23.5</c:v>
                </c:pt>
                <c:pt idx="2">
                  <c:v>0</c:v>
                </c:pt>
                <c:pt idx="3">
                  <c:v>0</c:v>
                </c:pt>
                <c:pt idx="4">
                  <c:v>24</c:v>
                </c:pt>
                <c:pt idx="5">
                  <c:v>23.5</c:v>
                </c:pt>
                <c:pt idx="6">
                  <c:v>24.5</c:v>
                </c:pt>
                <c:pt idx="7">
                  <c:v>25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25</c:v>
                </c:pt>
                <c:pt idx="14">
                  <c:v>25.5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606E-47C9-9879-8AA78276F215}"/>
            </c:ext>
          </c:extLst>
        </c:ser>
        <c:marker val="1"/>
        <c:axId val="109918464"/>
        <c:axId val="109944832"/>
      </c:lineChart>
      <c:catAx>
        <c:axId val="10991846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9944832"/>
        <c:crosses val="autoZero"/>
        <c:auto val="1"/>
        <c:lblAlgn val="ctr"/>
        <c:lblOffset val="100"/>
      </c:catAx>
      <c:valAx>
        <c:axId val="109944832"/>
        <c:scaling>
          <c:orientation val="minMax"/>
        </c:scaling>
        <c:axPos val="l"/>
        <c:majorGridlines/>
        <c:numFmt formatCode="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991846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5304810017028065"/>
          <c:y val="0.60069663167124165"/>
          <c:w val="0.1272403315177727"/>
          <c:h val="4.5138888888888853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>
        <c:manualLayout>
          <c:layoutTarget val="inner"/>
          <c:xMode val="edge"/>
          <c:yMode val="edge"/>
          <c:x val="4.4016185476815413E-2"/>
          <c:y val="7.4647453926180413E-2"/>
          <c:w val="0.72880818022747162"/>
          <c:h val="0.83239784623212965"/>
        </c:manualLayout>
      </c:layout>
      <c:lineChart>
        <c:grouping val="standard"/>
        <c:ser>
          <c:idx val="0"/>
          <c:order val="0"/>
          <c:marker>
            <c:symbol val="none"/>
          </c:marker>
          <c:val>
            <c:numRef>
              <c:f>WATER!$U$6:$U$33</c:f>
              <c:numCache>
                <c:formatCode>General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-1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D487-43C6-9E0D-64157EADDC55}"/>
            </c:ext>
          </c:extLst>
        </c:ser>
        <c:marker val="1"/>
        <c:axId val="109957120"/>
        <c:axId val="109958656"/>
      </c:lineChart>
      <c:catAx>
        <c:axId val="10995712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9958656"/>
        <c:crosses val="autoZero"/>
        <c:auto val="1"/>
        <c:lblAlgn val="ctr"/>
        <c:lblOffset val="100"/>
      </c:catAx>
      <c:valAx>
        <c:axId val="109958656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995712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1481660946227852"/>
          <c:y val="0.46026490066226688"/>
          <c:w val="0.17211387038158688"/>
          <c:h val="8.2781456953645013E-2"/>
        </c:manualLayout>
      </c:layout>
      <c:txPr>
        <a:bodyPr/>
        <a:lstStyle/>
        <a:p>
          <a:pPr>
            <a:defRPr sz="50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8.3682008368201263E-2"/>
          <c:y val="0.19444444444451744"/>
          <c:w val="0.68410041841004265"/>
          <c:h val="0.6875"/>
        </c:manualLayout>
      </c:layout>
      <c:lineChart>
        <c:grouping val="standard"/>
        <c:ser>
          <c:idx val="0"/>
          <c:order val="0"/>
          <c:tx>
            <c:strRef>
              <c:f>GEN!$Z$1</c:f>
              <c:strCache>
                <c:ptCount val="1"/>
                <c:pt idx="0">
                  <c:v>RH total </c:v>
                </c:pt>
              </c:strCache>
            </c:strRef>
          </c:tx>
          <c:marker>
            <c:symbol val="none"/>
          </c:marker>
          <c:val>
            <c:numRef>
              <c:f>GEN!$Z$3:$Z$30</c:f>
              <c:numCache>
                <c:formatCode>_(* #,##0_);_(* \(#,##0\);_(* "-"??_);_(@_)</c:formatCode>
                <c:ptCount val="28"/>
                <c:pt idx="0">
                  <c:v>10</c:v>
                </c:pt>
                <c:pt idx="1">
                  <c:v>10</c:v>
                </c:pt>
                <c:pt idx="2">
                  <c:v>0</c:v>
                </c:pt>
                <c:pt idx="3">
                  <c:v>0</c:v>
                </c:pt>
                <c:pt idx="4">
                  <c:v>9</c:v>
                </c:pt>
                <c:pt idx="5">
                  <c:v>9</c:v>
                </c:pt>
                <c:pt idx="6">
                  <c:v>10</c:v>
                </c:pt>
                <c:pt idx="7">
                  <c:v>9</c:v>
                </c:pt>
                <c:pt idx="8">
                  <c:v>7</c:v>
                </c:pt>
                <c:pt idx="9">
                  <c:v>0</c:v>
                </c:pt>
                <c:pt idx="10">
                  <c:v>0</c:v>
                </c:pt>
                <c:pt idx="11">
                  <c:v>10</c:v>
                </c:pt>
                <c:pt idx="12">
                  <c:v>10</c:v>
                </c:pt>
                <c:pt idx="13">
                  <c:v>10</c:v>
                </c:pt>
                <c:pt idx="14">
                  <c:v>10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A0A8-4348-9FC9-3A5CC768C741}"/>
            </c:ext>
          </c:extLst>
        </c:ser>
        <c:marker val="1"/>
        <c:axId val="110310912"/>
        <c:axId val="110312448"/>
      </c:lineChart>
      <c:catAx>
        <c:axId val="11031091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10312448"/>
        <c:crosses val="autoZero"/>
        <c:auto val="1"/>
        <c:lblAlgn val="ctr"/>
        <c:lblOffset val="100"/>
      </c:catAx>
      <c:valAx>
        <c:axId val="110312448"/>
        <c:scaling>
          <c:orientation val="minMax"/>
        </c:scaling>
        <c:axPos val="l"/>
        <c:majorGridlines/>
        <c:numFmt formatCode="_(* #,##0_);_(* \(#,##0\);_(* &quot;-&quot;??_);_(@_)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1031091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61096651621476"/>
          <c:y val="0.53819626713327495"/>
          <c:w val="0.11506298114409297"/>
          <c:h val="4.513888888888862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'EDl log'!$C$1</c:f>
              <c:strCache>
                <c:ptCount val="1"/>
                <c:pt idx="0">
                  <c:v>Consu EDL KW</c:v>
                </c:pt>
              </c:strCache>
            </c:strRef>
          </c:tx>
          <c:marker>
            <c:symbol val="none"/>
          </c:marker>
          <c:val>
            <c:numRef>
              <c:f>'EDl log'!$C$4:$C$34</c:f>
              <c:numCache>
                <c:formatCode>General</c:formatCode>
                <c:ptCount val="31"/>
                <c:pt idx="0">
                  <c:v>141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465</c:v>
                </c:pt>
                <c:pt idx="7">
                  <c:v>186</c:v>
                </c:pt>
                <c:pt idx="8">
                  <c:v>116</c:v>
                </c:pt>
                <c:pt idx="9">
                  <c:v>125</c:v>
                </c:pt>
                <c:pt idx="10">
                  <c:v>0</c:v>
                </c:pt>
                <c:pt idx="11">
                  <c:v>112</c:v>
                </c:pt>
                <c:pt idx="12">
                  <c:v>0</c:v>
                </c:pt>
                <c:pt idx="13">
                  <c:v>125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0D7F-45EE-8D0C-190525F21B53}"/>
            </c:ext>
          </c:extLst>
        </c:ser>
        <c:marker val="1"/>
        <c:axId val="110812544"/>
        <c:axId val="109585536"/>
      </c:lineChart>
      <c:catAx>
        <c:axId val="11081254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9585536"/>
        <c:crosses val="autoZero"/>
        <c:auto val="1"/>
        <c:lblAlgn val="ctr"/>
        <c:lblOffset val="100"/>
      </c:catAx>
      <c:valAx>
        <c:axId val="109585536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1081254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94090592474866197"/>
          <c:y val="0.61774744027328199"/>
          <c:w val="5.1419800460475666E-2"/>
          <c:h val="4.436860068259393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Boiler &amp; Steam per Liter Diesel</a:t>
            </a:r>
          </a:p>
        </c:rich>
      </c:tx>
    </c:title>
    <c:plotArea>
      <c:layout/>
      <c:lineChart>
        <c:grouping val="standard"/>
        <c:ser>
          <c:idx val="0"/>
          <c:order val="0"/>
          <c:tx>
            <c:strRef>
              <c:f>'B5'!$AI$1</c:f>
              <c:strCache>
                <c:ptCount val="1"/>
                <c:pt idx="0">
                  <c:v>Boiler &amp; steam</c:v>
                </c:pt>
              </c:strCache>
            </c:strRef>
          </c:tx>
          <c:marker>
            <c:symbol val="none"/>
          </c:marker>
          <c:val>
            <c:numRef>
              <c:f>'B5'!$AI$4:$AI$32</c:f>
              <c:numCache>
                <c:formatCode>0</c:formatCode>
                <c:ptCount val="29"/>
                <c:pt idx="0" formatCode="General">
                  <c:v>118</c:v>
                </c:pt>
                <c:pt idx="1">
                  <c:v>227</c:v>
                </c:pt>
                <c:pt idx="2">
                  <c:v>31</c:v>
                </c:pt>
                <c:pt idx="3">
                  <c:v>0</c:v>
                </c:pt>
                <c:pt idx="4">
                  <c:v>0</c:v>
                </c:pt>
                <c:pt idx="5">
                  <c:v>157</c:v>
                </c:pt>
                <c:pt idx="6">
                  <c:v>112</c:v>
                </c:pt>
                <c:pt idx="7">
                  <c:v>123</c:v>
                </c:pt>
                <c:pt idx="8">
                  <c:v>146</c:v>
                </c:pt>
                <c:pt idx="9">
                  <c:v>44</c:v>
                </c:pt>
                <c:pt idx="10">
                  <c:v>0</c:v>
                </c:pt>
                <c:pt idx="11">
                  <c:v>0</c:v>
                </c:pt>
                <c:pt idx="12">
                  <c:v>116</c:v>
                </c:pt>
                <c:pt idx="13">
                  <c:v>224</c:v>
                </c:pt>
                <c:pt idx="14">
                  <c:v>72</c:v>
                </c:pt>
                <c:pt idx="15">
                  <c:v>233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8E76-4245-B90E-DBF8B04D3707}"/>
            </c:ext>
          </c:extLst>
        </c:ser>
        <c:marker val="1"/>
        <c:axId val="110396928"/>
        <c:axId val="110398464"/>
      </c:lineChart>
      <c:catAx>
        <c:axId val="11039692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10398464"/>
        <c:crosses val="autoZero"/>
        <c:auto val="1"/>
        <c:lblAlgn val="ctr"/>
        <c:lblOffset val="100"/>
      </c:catAx>
      <c:valAx>
        <c:axId val="110398464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1039692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2291841644794395"/>
          <c:y val="0.60069663167124165"/>
          <c:w val="0.13541688538938426"/>
          <c:h val="4.5138888888888729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Gas per Liter Diesel</a:t>
            </a:r>
          </a:p>
        </c:rich>
      </c:tx>
    </c:title>
    <c:plotArea>
      <c:layout/>
      <c:lineChart>
        <c:grouping val="standard"/>
        <c:ser>
          <c:idx val="0"/>
          <c:order val="0"/>
          <c:tx>
            <c:strRef>
              <c:f>'B5'!$AU$1</c:f>
              <c:strCache>
                <c:ptCount val="1"/>
                <c:pt idx="0">
                  <c:v>Gas Cons</c:v>
                </c:pt>
              </c:strCache>
            </c:strRef>
          </c:tx>
          <c:marker>
            <c:symbol val="none"/>
          </c:marker>
          <c:val>
            <c:numRef>
              <c:f>'B5'!$AU$5:$AU$32</c:f>
              <c:numCache>
                <c:formatCode>0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60</c:v>
                </c:pt>
                <c:pt idx="7">
                  <c:v>0</c:v>
                </c:pt>
                <c:pt idx="8">
                  <c:v>30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30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-120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D625-4740-A7CD-C3332EFEC7D1}"/>
            </c:ext>
          </c:extLst>
        </c:ser>
        <c:marker val="1"/>
        <c:axId val="110726144"/>
        <c:axId val="109007616"/>
      </c:lineChart>
      <c:catAx>
        <c:axId val="11072614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9007616"/>
        <c:crosses val="autoZero"/>
        <c:auto val="1"/>
        <c:lblAlgn val="ctr"/>
        <c:lblOffset val="100"/>
      </c:catAx>
      <c:valAx>
        <c:axId val="109007616"/>
        <c:scaling>
          <c:orientation val="minMax"/>
        </c:scaling>
        <c:axPos val="l"/>
        <c:majorGridlines/>
        <c:numFmt formatCode="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1072614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875174978127723"/>
          <c:y val="0.60069663167124165"/>
          <c:w val="0.11458355205599259"/>
          <c:h val="4.5138888888888729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ELEC!$N$2</c:f>
              <c:strCache>
                <c:ptCount val="1"/>
                <c:pt idx="0">
                  <c:v>Total KWH</c:v>
                </c:pt>
              </c:strCache>
            </c:strRef>
          </c:tx>
          <c:marker>
            <c:symbol val="none"/>
          </c:marker>
          <c:val>
            <c:numRef>
              <c:f>ELEC!$N$3:$N$31</c:f>
              <c:numCache>
                <c:formatCode>0.00</c:formatCode>
                <c:ptCount val="29"/>
                <c:pt idx="0" formatCode="0">
                  <c:v>4238</c:v>
                </c:pt>
                <c:pt idx="1">
                  <c:v>3033</c:v>
                </c:pt>
                <c:pt idx="2">
                  <c:v>3021</c:v>
                </c:pt>
                <c:pt idx="3">
                  <c:v>0</c:v>
                </c:pt>
                <c:pt idx="4">
                  <c:v>0</c:v>
                </c:pt>
                <c:pt idx="5">
                  <c:v>3034.1999999992549</c:v>
                </c:pt>
                <c:pt idx="6">
                  <c:v>3098.8000000007451</c:v>
                </c:pt>
                <c:pt idx="7">
                  <c:v>2865</c:v>
                </c:pt>
                <c:pt idx="8">
                  <c:v>2797</c:v>
                </c:pt>
                <c:pt idx="9">
                  <c:v>2912</c:v>
                </c:pt>
                <c:pt idx="10">
                  <c:v>0</c:v>
                </c:pt>
                <c:pt idx="11">
                  <c:v>0</c:v>
                </c:pt>
                <c:pt idx="12">
                  <c:v>2686</c:v>
                </c:pt>
                <c:pt idx="13">
                  <c:v>2997</c:v>
                </c:pt>
                <c:pt idx="14">
                  <c:v>3188</c:v>
                </c:pt>
                <c:pt idx="15">
                  <c:v>3113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268D-42D8-B8B3-7C864B7EBF7B}"/>
            </c:ext>
          </c:extLst>
        </c:ser>
        <c:marker val="1"/>
        <c:axId val="109044864"/>
        <c:axId val="109046400"/>
      </c:lineChart>
      <c:catAx>
        <c:axId val="10904486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9046400"/>
        <c:crosses val="autoZero"/>
        <c:auto val="1"/>
        <c:lblAlgn val="ctr"/>
        <c:lblOffset val="100"/>
      </c:catAx>
      <c:valAx>
        <c:axId val="109046400"/>
        <c:scaling>
          <c:orientation val="minMax"/>
        </c:scaling>
        <c:axPos val="l"/>
        <c:majorGridlines/>
        <c:numFmt formatCode="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904486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458508311461069"/>
          <c:y val="0.62975887529635965"/>
          <c:w val="0.12291688538932598"/>
          <c:h val="4.498269896195010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'EDl log'!$C$1</c:f>
              <c:strCache>
                <c:ptCount val="1"/>
                <c:pt idx="0">
                  <c:v>Consu EDL KW</c:v>
                </c:pt>
              </c:strCache>
            </c:strRef>
          </c:tx>
          <c:marker>
            <c:symbol val="none"/>
          </c:marker>
          <c:val>
            <c:numRef>
              <c:f>'EDl log'!$C$3:$C$33</c:f>
              <c:numCache>
                <c:formatCode>General</c:formatCode>
                <c:ptCount val="31"/>
                <c:pt idx="0">
                  <c:v>168</c:v>
                </c:pt>
                <c:pt idx="1">
                  <c:v>141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465</c:v>
                </c:pt>
                <c:pt idx="8">
                  <c:v>186</c:v>
                </c:pt>
                <c:pt idx="9">
                  <c:v>116</c:v>
                </c:pt>
                <c:pt idx="10">
                  <c:v>125</c:v>
                </c:pt>
                <c:pt idx="11">
                  <c:v>0</c:v>
                </c:pt>
                <c:pt idx="12">
                  <c:v>112</c:v>
                </c:pt>
                <c:pt idx="13">
                  <c:v>0</c:v>
                </c:pt>
                <c:pt idx="14">
                  <c:v>125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2605-4DBB-96F7-9A24833AC17D}"/>
            </c:ext>
          </c:extLst>
        </c:ser>
        <c:marker val="1"/>
        <c:axId val="110869120"/>
        <c:axId val="110870912"/>
      </c:lineChart>
      <c:catAx>
        <c:axId val="11086912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10870912"/>
        <c:crosses val="autoZero"/>
        <c:auto val="1"/>
        <c:lblAlgn val="ctr"/>
        <c:lblOffset val="100"/>
      </c:catAx>
      <c:valAx>
        <c:axId val="110870912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1086912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4583508311461064"/>
          <c:y val="0.60069663167124165"/>
          <c:w val="0.13541688538938426"/>
          <c:h val="4.5138888888888729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Gen H Running per day</a:t>
            </a:r>
          </a:p>
        </c:rich>
      </c:tx>
    </c:title>
    <c:plotArea>
      <c:layout>
        <c:manualLayout>
          <c:layoutTarget val="inner"/>
          <c:xMode val="edge"/>
          <c:yMode val="edge"/>
          <c:x val="8.3333333333333343E-2"/>
          <c:y val="0.19377162629757017"/>
          <c:w val="0.68541666666666656"/>
          <c:h val="0.68858131487889274"/>
        </c:manualLayout>
      </c:layout>
      <c:lineChart>
        <c:grouping val="standard"/>
        <c:ser>
          <c:idx val="0"/>
          <c:order val="0"/>
          <c:tx>
            <c:strRef>
              <c:f>GEN!$Z$1</c:f>
              <c:strCache>
                <c:ptCount val="1"/>
                <c:pt idx="0">
                  <c:v>RH total </c:v>
                </c:pt>
              </c:strCache>
            </c:strRef>
          </c:tx>
          <c:marker>
            <c:symbol val="none"/>
          </c:marker>
          <c:val>
            <c:numRef>
              <c:f>GEN!$Z$3:$Z$30</c:f>
              <c:numCache>
                <c:formatCode>_(* #,##0_);_(* \(#,##0\);_(* "-"??_);_(@_)</c:formatCode>
                <c:ptCount val="28"/>
                <c:pt idx="0">
                  <c:v>10</c:v>
                </c:pt>
                <c:pt idx="1">
                  <c:v>10</c:v>
                </c:pt>
                <c:pt idx="2">
                  <c:v>0</c:v>
                </c:pt>
                <c:pt idx="3">
                  <c:v>0</c:v>
                </c:pt>
                <c:pt idx="4">
                  <c:v>9</c:v>
                </c:pt>
                <c:pt idx="5">
                  <c:v>9</c:v>
                </c:pt>
                <c:pt idx="6">
                  <c:v>10</c:v>
                </c:pt>
                <c:pt idx="7">
                  <c:v>9</c:v>
                </c:pt>
                <c:pt idx="8">
                  <c:v>7</c:v>
                </c:pt>
                <c:pt idx="9">
                  <c:v>0</c:v>
                </c:pt>
                <c:pt idx="10">
                  <c:v>0</c:v>
                </c:pt>
                <c:pt idx="11">
                  <c:v>10</c:v>
                </c:pt>
                <c:pt idx="12">
                  <c:v>10</c:v>
                </c:pt>
                <c:pt idx="13">
                  <c:v>10</c:v>
                </c:pt>
                <c:pt idx="14">
                  <c:v>10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E1D1-43AF-9F34-713C579F847F}"/>
            </c:ext>
          </c:extLst>
        </c:ser>
        <c:marker val="1"/>
        <c:axId val="110899584"/>
        <c:axId val="110901120"/>
      </c:lineChart>
      <c:catAx>
        <c:axId val="11089958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10901120"/>
        <c:crosses val="autoZero"/>
        <c:auto val="1"/>
        <c:lblAlgn val="ctr"/>
        <c:lblOffset val="100"/>
      </c:catAx>
      <c:valAx>
        <c:axId val="110901120"/>
        <c:scaling>
          <c:orientation val="minMax"/>
        </c:scaling>
        <c:axPos val="l"/>
        <c:majorGridlines/>
        <c:numFmt formatCode="_(* #,##0_);_(* \(#,##0\);_(* &quot;-&quot;??_);_(@_)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1089958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666841644826653"/>
          <c:y val="0.54325368498487869"/>
          <c:w val="0.11458355205599259"/>
          <c:h val="4.498269896195010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tanks!$AS$3</c:f>
              <c:strCache>
                <c:ptCount val="1"/>
                <c:pt idx="0">
                  <c:v>Diesel Cons Per day</c:v>
                </c:pt>
              </c:strCache>
            </c:strRef>
          </c:tx>
          <c:marker>
            <c:symbol val="none"/>
          </c:marker>
          <c:val>
            <c:numRef>
              <c:f>tanks!$AS$6:$AS$33</c:f>
              <c:numCache>
                <c:formatCode>0</c:formatCode>
                <c:ptCount val="28"/>
                <c:pt idx="0">
                  <c:v>-1060.0322580645443</c:v>
                </c:pt>
                <c:pt idx="1">
                  <c:v>-850.03225806450064</c:v>
                </c:pt>
                <c:pt idx="2">
                  <c:v>0</c:v>
                </c:pt>
                <c:pt idx="3">
                  <c:v>0</c:v>
                </c:pt>
                <c:pt idx="4">
                  <c:v>-920.03225806451519</c:v>
                </c:pt>
                <c:pt idx="5">
                  <c:v>-1533.3870967741823</c:v>
                </c:pt>
                <c:pt idx="6">
                  <c:v>-613.3548387096962</c:v>
                </c:pt>
                <c:pt idx="7">
                  <c:v>-1346.5483870967728</c:v>
                </c:pt>
                <c:pt idx="8">
                  <c:v>-280</c:v>
                </c:pt>
                <c:pt idx="9">
                  <c:v>0</c:v>
                </c:pt>
                <c:pt idx="10">
                  <c:v>0</c:v>
                </c:pt>
                <c:pt idx="11">
                  <c:v>-683.35483870966709</c:v>
                </c:pt>
                <c:pt idx="12">
                  <c:v>-1463.3870967741823</c:v>
                </c:pt>
                <c:pt idx="13">
                  <c:v>11.838709677424049</c:v>
                </c:pt>
                <c:pt idx="14">
                  <c:v>-1533.3870967742259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EBED-403E-AA46-99D877611C12}"/>
            </c:ext>
          </c:extLst>
        </c:ser>
        <c:marker val="1"/>
        <c:axId val="110921600"/>
        <c:axId val="110923136"/>
      </c:lineChart>
      <c:catAx>
        <c:axId val="11092160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10923136"/>
        <c:crosses val="autoZero"/>
        <c:auto val="1"/>
        <c:lblAlgn val="ctr"/>
        <c:lblOffset val="100"/>
      </c:catAx>
      <c:valAx>
        <c:axId val="110923136"/>
        <c:scaling>
          <c:orientation val="minMax"/>
        </c:scaling>
        <c:axPos val="l"/>
        <c:majorGridlines/>
        <c:numFmt formatCode="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1092160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270850831146106"/>
          <c:y val="0.56250182268895565"/>
          <c:w val="0.15208355205599344"/>
          <c:h val="4.5138888888888951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WATER!$L$3</c:f>
              <c:strCache>
                <c:ptCount val="1"/>
                <c:pt idx="0">
                  <c:v>Cosum SW/day</c:v>
                </c:pt>
              </c:strCache>
            </c:strRef>
          </c:tx>
          <c:marker>
            <c:symbol val="none"/>
          </c:marker>
          <c:val>
            <c:numRef>
              <c:f>WATER!$L$6:$L$33</c:f>
              <c:numCache>
                <c:formatCode>General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E098-4723-A254-F39C995E2F61}"/>
            </c:ext>
          </c:extLst>
        </c:ser>
        <c:marker val="1"/>
        <c:axId val="111038464"/>
        <c:axId val="111040000"/>
      </c:lineChart>
      <c:catAx>
        <c:axId val="11103846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11040000"/>
        <c:crosses val="autoZero"/>
        <c:auto val="1"/>
        <c:lblAlgn val="ctr"/>
        <c:lblOffset val="100"/>
      </c:catAx>
      <c:valAx>
        <c:axId val="111040000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1103846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1250174978119949"/>
          <c:y val="0.62975887529635965"/>
          <c:w val="0.13541688538938454"/>
          <c:h val="4.498269896195010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ELEC!$A$2</c:f>
              <c:strCache>
                <c:ptCount val="1"/>
                <c:pt idx="0">
                  <c:v>OOC</c:v>
                </c:pt>
              </c:strCache>
            </c:strRef>
          </c:tx>
          <c:marker>
            <c:symbol val="none"/>
          </c:marker>
          <c:val>
            <c:numRef>
              <c:f>ELEC!$A$4:$A$31</c:f>
              <c:numCache>
                <c:formatCode>0.00%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9EF6-4DFF-9849-A72724D3434D}"/>
            </c:ext>
          </c:extLst>
        </c:ser>
        <c:marker val="1"/>
        <c:axId val="111080960"/>
        <c:axId val="111082496"/>
      </c:lineChart>
      <c:catAx>
        <c:axId val="11108096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11082496"/>
        <c:crosses val="autoZero"/>
        <c:auto val="1"/>
        <c:lblAlgn val="ctr"/>
        <c:lblOffset val="100"/>
      </c:catAx>
      <c:valAx>
        <c:axId val="111082496"/>
        <c:scaling>
          <c:orientation val="minMax"/>
        </c:scaling>
        <c:axPos val="l"/>
        <c:majorGridlines/>
        <c:numFmt formatCode="0.00%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1108096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9027089005178695"/>
          <c:y val="0.62975887529635965"/>
          <c:w val="9.730870597697025E-2"/>
          <c:h val="4.498269896195010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0.28456931519931788"/>
          <c:y val="4.6204760737087777E-2"/>
        </c:manualLayout>
      </c:layout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ELEC!$B$2</c:f>
              <c:strCache>
                <c:ptCount val="1"/>
                <c:pt idx="0">
                  <c:v>Room OCC</c:v>
                </c:pt>
              </c:strCache>
            </c:strRef>
          </c:tx>
          <c:marker>
            <c:symbol val="none"/>
          </c:marker>
          <c:val>
            <c:numRef>
              <c:f>ELEC!$B$4:$B$31</c:f>
              <c:numCache>
                <c:formatCode>0.00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BC8E-45BE-90A2-2B8697F78B53}"/>
            </c:ext>
          </c:extLst>
        </c:ser>
        <c:marker val="1"/>
        <c:axId val="110976000"/>
        <c:axId val="110981888"/>
      </c:lineChart>
      <c:catAx>
        <c:axId val="11097600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10981888"/>
        <c:crosses val="autoZero"/>
        <c:auto val="1"/>
        <c:lblAlgn val="ctr"/>
        <c:lblOffset val="100"/>
      </c:catAx>
      <c:valAx>
        <c:axId val="110981888"/>
        <c:scaling>
          <c:orientation val="minMax"/>
        </c:scaling>
        <c:axPos val="l"/>
        <c:majorGridlines/>
        <c:numFmt formatCode="0.0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1097600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157111559403265"/>
          <c:y val="0.61591804484647061"/>
          <c:w val="0.12190104336131879"/>
          <c:h val="4.498269896195010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WATER!$C$3</c:f>
              <c:strCache>
                <c:ptCount val="1"/>
                <c:pt idx="0">
                  <c:v>Truck M3/day</c:v>
                </c:pt>
              </c:strCache>
            </c:strRef>
          </c:tx>
          <c:marker>
            <c:symbol val="none"/>
          </c:marker>
          <c:val>
            <c:numRef>
              <c:f>WATER!$C$6:$C$33</c:f>
              <c:numCache>
                <c:formatCode>General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6DFE-4174-B61A-8AFE65CAC483}"/>
            </c:ext>
          </c:extLst>
        </c:ser>
        <c:marker val="1"/>
        <c:axId val="111002368"/>
        <c:axId val="111003904"/>
      </c:lineChart>
      <c:catAx>
        <c:axId val="11100236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11003904"/>
        <c:crosses val="autoZero"/>
        <c:auto val="1"/>
        <c:lblAlgn val="ctr"/>
        <c:lblOffset val="100"/>
      </c:catAx>
      <c:valAx>
        <c:axId val="111003904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1100236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5507420268139778"/>
          <c:y val="0.62975887529635965"/>
          <c:w val="0.13250539334757044"/>
          <c:h val="4.498269896195010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WATER!$H$3</c:f>
              <c:strCache>
                <c:ptCount val="1"/>
                <c:pt idx="0">
                  <c:v>City/day</c:v>
                </c:pt>
              </c:strCache>
            </c:strRef>
          </c:tx>
          <c:marker>
            <c:symbol val="none"/>
          </c:marker>
          <c:val>
            <c:numRef>
              <c:f>WATER!$H$6:$H$33</c:f>
              <c:numCache>
                <c:formatCode>General</c:formatCode>
                <c:ptCount val="28"/>
                <c:pt idx="0">
                  <c:v>0</c:v>
                </c:pt>
                <c:pt idx="1">
                  <c:v>118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71</c:v>
                </c:pt>
                <c:pt idx="6">
                  <c:v>25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147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8C1E-4FE1-9408-134DF63070A3}"/>
            </c:ext>
          </c:extLst>
        </c:ser>
        <c:marker val="1"/>
        <c:axId val="111110400"/>
        <c:axId val="111116288"/>
      </c:lineChart>
      <c:catAx>
        <c:axId val="11111040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11116288"/>
        <c:crosses val="autoZero"/>
        <c:auto val="1"/>
        <c:lblAlgn val="ctr"/>
        <c:lblOffset val="100"/>
      </c:catAx>
      <c:valAx>
        <c:axId val="111116288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1111040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7810004121385665"/>
          <c:y val="0.60069663167124165"/>
          <c:w val="0.11363658055139769"/>
          <c:h val="4.5138888888888729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'General information '!$D$4</c:f>
              <c:strCache>
                <c:ptCount val="1"/>
                <c:pt idx="0">
                  <c:v>AVE TEMP </c:v>
                </c:pt>
              </c:strCache>
            </c:strRef>
          </c:tx>
          <c:marker>
            <c:symbol val="none"/>
          </c:marker>
          <c:val>
            <c:numRef>
              <c:f>'General information '!$D$5:$D$32</c:f>
              <c:numCache>
                <c:formatCode>General</c:formatCode>
                <c:ptCount val="28"/>
                <c:pt idx="0">
                  <c:v>23</c:v>
                </c:pt>
                <c:pt idx="1">
                  <c:v>23.5</c:v>
                </c:pt>
                <c:pt idx="2">
                  <c:v>0</c:v>
                </c:pt>
                <c:pt idx="3">
                  <c:v>0</c:v>
                </c:pt>
                <c:pt idx="4">
                  <c:v>24</c:v>
                </c:pt>
                <c:pt idx="5">
                  <c:v>23.5</c:v>
                </c:pt>
                <c:pt idx="6">
                  <c:v>24.5</c:v>
                </c:pt>
                <c:pt idx="7">
                  <c:v>25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25</c:v>
                </c:pt>
                <c:pt idx="14">
                  <c:v>25.5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A3CD-4BB9-BD8A-859EFB3F6AC2}"/>
            </c:ext>
          </c:extLst>
        </c:ser>
        <c:marker val="1"/>
        <c:axId val="111214592"/>
        <c:axId val="111216128"/>
      </c:lineChart>
      <c:catAx>
        <c:axId val="11121459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11216128"/>
        <c:crosses val="autoZero"/>
        <c:auto val="1"/>
        <c:lblAlgn val="ctr"/>
        <c:lblOffset val="100"/>
      </c:catAx>
      <c:valAx>
        <c:axId val="111216128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1121459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401761495294249"/>
          <c:y val="0.60764107611585927"/>
          <c:w val="0.12343118198094687"/>
          <c:h val="4.5138888888888402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>
        <c:manualLayout>
          <c:layoutTarget val="inner"/>
          <c:xMode val="edge"/>
          <c:yMode val="edge"/>
          <c:x val="0.13598326359835144"/>
          <c:y val="4.8611111111111112E-2"/>
          <c:w val="0.502092050209205"/>
          <c:h val="0.8958333333333337"/>
        </c:manualLayout>
      </c:layout>
      <c:lineChart>
        <c:grouping val="standard"/>
        <c:ser>
          <c:idx val="0"/>
          <c:order val="0"/>
          <c:tx>
            <c:strRef>
              <c:f>'Degree Days 2022'!$AA$9</c:f>
              <c:strCache>
                <c:ptCount val="1"/>
                <c:pt idx="0">
                  <c:v>Heating degree days</c:v>
                </c:pt>
              </c:strCache>
            </c:strRef>
          </c:tx>
          <c:marker>
            <c:symbol val="none"/>
          </c:marker>
          <c:cat>
            <c:strRef>
              <c:f>'Degree Days 2022'!$Z$10:$Z$21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'Degree Days 2022'!$AA$10:$AA$21</c:f>
              <c:numCache>
                <c:formatCode>#,##0.0;[Red]#,##0.0</c:formatCode>
                <c:ptCount val="12"/>
                <c:pt idx="0">
                  <c:v>-92.59999999999998</c:v>
                </c:pt>
                <c:pt idx="1">
                  <c:v>-75.899999999999977</c:v>
                </c:pt>
                <c:pt idx="2">
                  <c:v>-56.899999999999991</c:v>
                </c:pt>
                <c:pt idx="3">
                  <c:v>-220.20000000000007</c:v>
                </c:pt>
                <c:pt idx="4">
                  <c:v>-201.30000000000004</c:v>
                </c:pt>
                <c:pt idx="11" formatCode="0.00_ ;[Red]\-0.00\ 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CECA-4D82-9025-F31FC405CE3B}"/>
            </c:ext>
          </c:extLst>
        </c:ser>
        <c:ser>
          <c:idx val="1"/>
          <c:order val="1"/>
          <c:tx>
            <c:strRef>
              <c:f>'Degree Days 2022'!$AB$9</c:f>
              <c:strCache>
                <c:ptCount val="1"/>
                <c:pt idx="0">
                  <c:v>Cooling degree days</c:v>
                </c:pt>
              </c:strCache>
            </c:strRef>
          </c:tx>
          <c:marker>
            <c:symbol val="none"/>
          </c:marker>
          <c:cat>
            <c:strRef>
              <c:f>'Degree Days 2022'!$Z$10:$Z$21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'Degree Days 2022'!$AB$10:$AB$21</c:f>
              <c:numCache>
                <c:formatCode>#,##0.0;[Red]#,##0.0</c:formatCode>
                <c:ptCount val="12"/>
                <c:pt idx="0">
                  <c:v>2.7999999999999936</c:v>
                </c:pt>
                <c:pt idx="1">
                  <c:v>6.4999999999999964</c:v>
                </c:pt>
                <c:pt idx="2">
                  <c:v>11.499999999999996</c:v>
                </c:pt>
                <c:pt idx="3">
                  <c:v>34.299999999999997</c:v>
                </c:pt>
                <c:pt idx="4">
                  <c:v>43.399999999999991</c:v>
                </c:pt>
                <c:pt idx="11" formatCode="0.00_ ;[Red]\-0.00\ 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CECA-4D82-9025-F31FC405CE3B}"/>
            </c:ext>
          </c:extLst>
        </c:ser>
        <c:marker val="1"/>
        <c:axId val="111258240"/>
        <c:axId val="111260032"/>
      </c:lineChart>
      <c:catAx>
        <c:axId val="111258240"/>
        <c:scaling>
          <c:orientation val="minMax"/>
        </c:scaling>
        <c:axPos val="b"/>
        <c:numFmt formatCode="General" sourceLinked="0"/>
        <c:tickLblPos val="nextTo"/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11260032"/>
        <c:crosses val="autoZero"/>
        <c:auto val="1"/>
        <c:lblAlgn val="ctr"/>
        <c:lblOffset val="100"/>
      </c:catAx>
      <c:valAx>
        <c:axId val="111260032"/>
        <c:scaling>
          <c:orientation val="minMax"/>
        </c:scaling>
        <c:axPos val="l"/>
        <c:majorGridlines/>
        <c:numFmt formatCode="#,##0.0;[Red]#,##0.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1125824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2845276139640756"/>
          <c:y val="0.45486256926233576"/>
          <c:w val="0.15690398532824848"/>
          <c:h val="9.0278142315543708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ELEC!$AG$2</c:f>
              <c:strCache>
                <c:ptCount val="1"/>
                <c:pt idx="0">
                  <c:v>AVG chiller KW/Hr</c:v>
                </c:pt>
              </c:strCache>
            </c:strRef>
          </c:tx>
          <c:marker>
            <c:symbol val="none"/>
          </c:marker>
          <c:val>
            <c:numRef>
              <c:f>ELEC!$AG$4:$AG$31</c:f>
              <c:numCache>
                <c:formatCode>0.00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8351-4B0E-89D4-E8DE1041F0E7}"/>
            </c:ext>
          </c:extLst>
        </c:ser>
        <c:marker val="1"/>
        <c:axId val="111349760"/>
        <c:axId val="111351296"/>
      </c:lineChart>
      <c:catAx>
        <c:axId val="11134976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11351296"/>
        <c:crosses val="autoZero"/>
        <c:auto val="1"/>
        <c:lblAlgn val="ctr"/>
        <c:lblOffset val="100"/>
      </c:catAx>
      <c:valAx>
        <c:axId val="111351296"/>
        <c:scaling>
          <c:orientation val="minMax"/>
        </c:scaling>
        <c:axPos val="l"/>
        <c:majorGridlines/>
        <c:numFmt formatCode="0.0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1134976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3263686181486729"/>
          <c:y val="0.62975887529635965"/>
          <c:w val="0.14853578449144819"/>
          <c:h val="4.498269896195010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'General information '!$D$4</c:f>
              <c:strCache>
                <c:ptCount val="1"/>
                <c:pt idx="0">
                  <c:v>AVE TEMP </c:v>
                </c:pt>
              </c:strCache>
            </c:strRef>
          </c:tx>
          <c:marker>
            <c:symbol val="none"/>
          </c:marker>
          <c:val>
            <c:numRef>
              <c:f>'General information '!$D$5:$D$32</c:f>
              <c:numCache>
                <c:formatCode>General</c:formatCode>
                <c:ptCount val="28"/>
                <c:pt idx="0">
                  <c:v>23</c:v>
                </c:pt>
                <c:pt idx="1">
                  <c:v>23.5</c:v>
                </c:pt>
                <c:pt idx="2">
                  <c:v>0</c:v>
                </c:pt>
                <c:pt idx="3">
                  <c:v>0</c:v>
                </c:pt>
                <c:pt idx="4">
                  <c:v>24</c:v>
                </c:pt>
                <c:pt idx="5">
                  <c:v>23.5</c:v>
                </c:pt>
                <c:pt idx="6">
                  <c:v>24.5</c:v>
                </c:pt>
                <c:pt idx="7">
                  <c:v>25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25</c:v>
                </c:pt>
                <c:pt idx="14">
                  <c:v>25.5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0015-4A29-86C7-E796F996464F}"/>
            </c:ext>
          </c:extLst>
        </c:ser>
        <c:marker val="1"/>
        <c:axId val="111327104"/>
        <c:axId val="111328640"/>
      </c:lineChart>
      <c:catAx>
        <c:axId val="11132710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11328640"/>
        <c:crosses val="autoZero"/>
        <c:auto val="1"/>
        <c:lblAlgn val="ctr"/>
        <c:lblOffset val="100"/>
      </c:catAx>
      <c:valAx>
        <c:axId val="111328640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1132710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804123711378001"/>
          <c:y val="0.62975887529635965"/>
          <c:w val="0.12164948453608219"/>
          <c:h val="4.498269896195010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>
        <c:manualLayout>
          <c:layoutTarget val="inner"/>
          <c:xMode val="edge"/>
          <c:yMode val="edge"/>
          <c:x val="0.13485477178423236"/>
          <c:y val="4.8611111111111112E-2"/>
          <c:w val="0.50207468879668049"/>
          <c:h val="0.8958333333333337"/>
        </c:manualLayout>
      </c:layout>
      <c:lineChart>
        <c:grouping val="standard"/>
        <c:ser>
          <c:idx val="0"/>
          <c:order val="0"/>
          <c:tx>
            <c:strRef>
              <c:f>'Degree Days 2022'!$AA$9</c:f>
              <c:strCache>
                <c:ptCount val="1"/>
                <c:pt idx="0">
                  <c:v>Heating degree days</c:v>
                </c:pt>
              </c:strCache>
            </c:strRef>
          </c:tx>
          <c:marker>
            <c:symbol val="none"/>
          </c:marker>
          <c:cat>
            <c:strRef>
              <c:f>'Degree Days 2022'!$Z$10:$Z$21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'Degree Days 2022'!$AA$10:$AA$21</c:f>
              <c:numCache>
                <c:formatCode>#,##0.0;[Red]#,##0.0</c:formatCode>
                <c:ptCount val="12"/>
                <c:pt idx="0">
                  <c:v>-92.59999999999998</c:v>
                </c:pt>
                <c:pt idx="1">
                  <c:v>-75.899999999999977</c:v>
                </c:pt>
                <c:pt idx="2">
                  <c:v>-56.899999999999991</c:v>
                </c:pt>
                <c:pt idx="3">
                  <c:v>-220.20000000000007</c:v>
                </c:pt>
                <c:pt idx="4">
                  <c:v>-201.30000000000004</c:v>
                </c:pt>
                <c:pt idx="11" formatCode="0.00_ ;[Red]\-0.00\ 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D46F-4FF5-B9A5-F39AF86E9E2A}"/>
            </c:ext>
          </c:extLst>
        </c:ser>
        <c:ser>
          <c:idx val="1"/>
          <c:order val="1"/>
          <c:tx>
            <c:strRef>
              <c:f>'Degree Days 2022'!$AB$9</c:f>
              <c:strCache>
                <c:ptCount val="1"/>
                <c:pt idx="0">
                  <c:v>Cooling degree days</c:v>
                </c:pt>
              </c:strCache>
            </c:strRef>
          </c:tx>
          <c:marker>
            <c:symbol val="none"/>
          </c:marker>
          <c:cat>
            <c:strRef>
              <c:f>'Degree Days 2022'!$Z$10:$Z$21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'Degree Days 2022'!$AB$10:$AB$21</c:f>
              <c:numCache>
                <c:formatCode>#,##0.0;[Red]#,##0.0</c:formatCode>
                <c:ptCount val="12"/>
                <c:pt idx="0">
                  <c:v>2.7999999999999936</c:v>
                </c:pt>
                <c:pt idx="1">
                  <c:v>6.4999999999999964</c:v>
                </c:pt>
                <c:pt idx="2">
                  <c:v>11.499999999999996</c:v>
                </c:pt>
                <c:pt idx="3">
                  <c:v>34.299999999999997</c:v>
                </c:pt>
                <c:pt idx="4">
                  <c:v>43.399999999999991</c:v>
                </c:pt>
                <c:pt idx="11" formatCode="0.00_ ;[Red]\-0.00\ 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D46F-4FF5-B9A5-F39AF86E9E2A}"/>
            </c:ext>
          </c:extLst>
        </c:ser>
        <c:marker val="1"/>
        <c:axId val="111883392"/>
        <c:axId val="111884928"/>
      </c:lineChart>
      <c:catAx>
        <c:axId val="111883392"/>
        <c:scaling>
          <c:orientation val="minMax"/>
        </c:scaling>
        <c:axPos val="b"/>
        <c:numFmt formatCode="General" sourceLinked="0"/>
        <c:tickLblPos val="nextTo"/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11884928"/>
        <c:crosses val="autoZero"/>
        <c:auto val="1"/>
        <c:lblAlgn val="ctr"/>
        <c:lblOffset val="100"/>
      </c:catAx>
      <c:valAx>
        <c:axId val="111884928"/>
        <c:scaling>
          <c:orientation val="minMax"/>
        </c:scaling>
        <c:axPos val="l"/>
        <c:majorGridlines/>
        <c:numFmt formatCode="#,##0.0;[Red]#,##0.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1188339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2780082987551862"/>
          <c:y val="0.45486256926233576"/>
          <c:w val="0.15560165975103471"/>
          <c:h val="9.0278142315542265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8.xml"/><Relationship Id="rId2" Type="http://schemas.openxmlformats.org/officeDocument/2006/relationships/chart" Target="../charts/chart7.xml"/><Relationship Id="rId1" Type="http://schemas.openxmlformats.org/officeDocument/2006/relationships/chart" Target="../charts/chart6.xml"/><Relationship Id="rId5" Type="http://schemas.openxmlformats.org/officeDocument/2006/relationships/chart" Target="../charts/chart10.xml"/><Relationship Id="rId4" Type="http://schemas.openxmlformats.org/officeDocument/2006/relationships/chart" Target="../charts/chart9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1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2.xml"/></Relationships>
</file>

<file path=xl/drawings/_rels/drawing5.xml.rels><?xml version="1.0" encoding="UTF-8" standalone="yes"?>
<Relationships xmlns="http://schemas.openxmlformats.org/package/2006/relationships"><Relationship Id="rId8" Type="http://schemas.openxmlformats.org/officeDocument/2006/relationships/chart" Target="../charts/chart20.xml"/><Relationship Id="rId13" Type="http://schemas.openxmlformats.org/officeDocument/2006/relationships/chart" Target="../charts/chart25.xml"/><Relationship Id="rId3" Type="http://schemas.openxmlformats.org/officeDocument/2006/relationships/chart" Target="../charts/chart15.xml"/><Relationship Id="rId7" Type="http://schemas.openxmlformats.org/officeDocument/2006/relationships/chart" Target="../charts/chart19.xml"/><Relationship Id="rId12" Type="http://schemas.openxmlformats.org/officeDocument/2006/relationships/chart" Target="../charts/chart24.xml"/><Relationship Id="rId2" Type="http://schemas.openxmlformats.org/officeDocument/2006/relationships/chart" Target="../charts/chart14.xml"/><Relationship Id="rId1" Type="http://schemas.openxmlformats.org/officeDocument/2006/relationships/chart" Target="../charts/chart13.xml"/><Relationship Id="rId6" Type="http://schemas.openxmlformats.org/officeDocument/2006/relationships/chart" Target="../charts/chart18.xml"/><Relationship Id="rId11" Type="http://schemas.openxmlformats.org/officeDocument/2006/relationships/chart" Target="../charts/chart23.xml"/><Relationship Id="rId5" Type="http://schemas.openxmlformats.org/officeDocument/2006/relationships/chart" Target="../charts/chart17.xml"/><Relationship Id="rId10" Type="http://schemas.openxmlformats.org/officeDocument/2006/relationships/chart" Target="../charts/chart22.xml"/><Relationship Id="rId4" Type="http://schemas.openxmlformats.org/officeDocument/2006/relationships/chart" Target="../charts/chart16.xml"/><Relationship Id="rId9" Type="http://schemas.openxmlformats.org/officeDocument/2006/relationships/chart" Target="../charts/chart21.xml"/><Relationship Id="rId14" Type="http://schemas.openxmlformats.org/officeDocument/2006/relationships/chart" Target="../charts/chart26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7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617764</xdr:colOff>
      <xdr:row>35</xdr:row>
      <xdr:rowOff>133991</xdr:rowOff>
    </xdr:from>
    <xdr:to>
      <xdr:col>6</xdr:col>
      <xdr:colOff>636814</xdr:colOff>
      <xdr:row>50</xdr:row>
      <xdr:rowOff>29216</xdr:rowOff>
    </xdr:to>
    <xdr:graphicFrame macro="">
      <xdr:nvGraphicFramePr>
        <xdr:cNvPr id="18433" name="Chart 1">
          <a:extLst>
            <a:ext uri="{FF2B5EF4-FFF2-40B4-BE49-F238E27FC236}">
              <a16:creationId xmlns:a16="http://schemas.microsoft.com/office/drawing/2014/main" xmlns="" id="{00000000-0008-0000-0200-00000148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773206</xdr:colOff>
      <xdr:row>35</xdr:row>
      <xdr:rowOff>183776</xdr:rowOff>
    </xdr:from>
    <xdr:to>
      <xdr:col>14</xdr:col>
      <xdr:colOff>125506</xdr:colOff>
      <xdr:row>50</xdr:row>
      <xdr:rowOff>69476</xdr:rowOff>
    </xdr:to>
    <xdr:graphicFrame macro="">
      <xdr:nvGraphicFramePr>
        <xdr:cNvPr id="18434" name="Chart 2">
          <a:extLst>
            <a:ext uri="{FF2B5EF4-FFF2-40B4-BE49-F238E27FC236}">
              <a16:creationId xmlns:a16="http://schemas.microsoft.com/office/drawing/2014/main" xmlns="" id="{00000000-0008-0000-0200-00000248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14</xdr:col>
      <xdr:colOff>476890</xdr:colOff>
      <xdr:row>35</xdr:row>
      <xdr:rowOff>46505</xdr:rowOff>
    </xdr:from>
    <xdr:to>
      <xdr:col>21</xdr:col>
      <xdr:colOff>248290</xdr:colOff>
      <xdr:row>49</xdr:row>
      <xdr:rowOff>132230</xdr:rowOff>
    </xdr:to>
    <xdr:graphicFrame macro="">
      <xdr:nvGraphicFramePr>
        <xdr:cNvPr id="18435" name="Chart 4">
          <a:extLst>
            <a:ext uri="{FF2B5EF4-FFF2-40B4-BE49-F238E27FC236}">
              <a16:creationId xmlns:a16="http://schemas.microsoft.com/office/drawing/2014/main" xmlns="" id="{00000000-0008-0000-0200-00000348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22</xdr:col>
      <xdr:colOff>30256</xdr:colOff>
      <xdr:row>35</xdr:row>
      <xdr:rowOff>131669</xdr:rowOff>
    </xdr:from>
    <xdr:to>
      <xdr:col>30</xdr:col>
      <xdr:colOff>230281</xdr:colOff>
      <xdr:row>50</xdr:row>
      <xdr:rowOff>17369</xdr:rowOff>
    </xdr:to>
    <xdr:graphicFrame macro="">
      <xdr:nvGraphicFramePr>
        <xdr:cNvPr id="18436" name="Chart 5">
          <a:extLst>
            <a:ext uri="{FF2B5EF4-FFF2-40B4-BE49-F238E27FC236}">
              <a16:creationId xmlns:a16="http://schemas.microsoft.com/office/drawing/2014/main" xmlns="" id="{00000000-0008-0000-0200-00000448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30</xdr:col>
      <xdr:colOff>752475</xdr:colOff>
      <xdr:row>33</xdr:row>
      <xdr:rowOff>180975</xdr:rowOff>
    </xdr:from>
    <xdr:to>
      <xdr:col>38</xdr:col>
      <xdr:colOff>295275</xdr:colOff>
      <xdr:row>49</xdr:row>
      <xdr:rowOff>47625</xdr:rowOff>
    </xdr:to>
    <xdr:graphicFrame macro="">
      <xdr:nvGraphicFramePr>
        <xdr:cNvPr id="18437" name="Chart 6">
          <a:extLst>
            <a:ext uri="{FF2B5EF4-FFF2-40B4-BE49-F238E27FC236}">
              <a16:creationId xmlns:a16="http://schemas.microsoft.com/office/drawing/2014/main" xmlns="" id="{00000000-0008-0000-0200-00000548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76200</xdr:colOff>
      <xdr:row>39</xdr:row>
      <xdr:rowOff>0</xdr:rowOff>
    </xdr:from>
    <xdr:to>
      <xdr:col>7</xdr:col>
      <xdr:colOff>523875</xdr:colOff>
      <xdr:row>53</xdr:row>
      <xdr:rowOff>66675</xdr:rowOff>
    </xdr:to>
    <xdr:graphicFrame macro="">
      <xdr:nvGraphicFramePr>
        <xdr:cNvPr id="13063" name="Chart 1">
          <a:extLst>
            <a:ext uri="{FF2B5EF4-FFF2-40B4-BE49-F238E27FC236}">
              <a16:creationId xmlns:a16="http://schemas.microsoft.com/office/drawing/2014/main" xmlns="" id="{00000000-0008-0000-0400-00000733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57150</xdr:colOff>
      <xdr:row>39</xdr:row>
      <xdr:rowOff>57150</xdr:rowOff>
    </xdr:from>
    <xdr:to>
      <xdr:col>39</xdr:col>
      <xdr:colOff>295275</xdr:colOff>
      <xdr:row>53</xdr:row>
      <xdr:rowOff>123825</xdr:rowOff>
    </xdr:to>
    <xdr:graphicFrame macro="">
      <xdr:nvGraphicFramePr>
        <xdr:cNvPr id="13064" name="Chart 2">
          <a:extLst>
            <a:ext uri="{FF2B5EF4-FFF2-40B4-BE49-F238E27FC236}">
              <a16:creationId xmlns:a16="http://schemas.microsoft.com/office/drawing/2014/main" xmlns="" id="{00000000-0008-0000-0400-00000833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40</xdr:col>
      <xdr:colOff>28575</xdr:colOff>
      <xdr:row>40</xdr:row>
      <xdr:rowOff>114300</xdr:rowOff>
    </xdr:from>
    <xdr:to>
      <xdr:col>47</xdr:col>
      <xdr:colOff>152400</xdr:colOff>
      <xdr:row>54</xdr:row>
      <xdr:rowOff>180975</xdr:rowOff>
    </xdr:to>
    <xdr:graphicFrame macro="">
      <xdr:nvGraphicFramePr>
        <xdr:cNvPr id="13065" name="Chart 3">
          <a:extLst>
            <a:ext uri="{FF2B5EF4-FFF2-40B4-BE49-F238E27FC236}">
              <a16:creationId xmlns:a16="http://schemas.microsoft.com/office/drawing/2014/main" xmlns="" id="{00000000-0008-0000-0400-00000933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47</xdr:col>
      <xdr:colOff>352425</xdr:colOff>
      <xdr:row>38</xdr:row>
      <xdr:rowOff>180975</xdr:rowOff>
    </xdr:from>
    <xdr:to>
      <xdr:col>55</xdr:col>
      <xdr:colOff>123825</xdr:colOff>
      <xdr:row>53</xdr:row>
      <xdr:rowOff>57150</xdr:rowOff>
    </xdr:to>
    <xdr:graphicFrame macro="">
      <xdr:nvGraphicFramePr>
        <xdr:cNvPr id="13066" name="Chart 4">
          <a:extLst>
            <a:ext uri="{FF2B5EF4-FFF2-40B4-BE49-F238E27FC236}">
              <a16:creationId xmlns:a16="http://schemas.microsoft.com/office/drawing/2014/main" xmlns="" id="{00000000-0008-0000-0400-00000A33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19</xdr:col>
      <xdr:colOff>676275</xdr:colOff>
      <xdr:row>54</xdr:row>
      <xdr:rowOff>161925</xdr:rowOff>
    </xdr:from>
    <xdr:to>
      <xdr:col>23</xdr:col>
      <xdr:colOff>276225</xdr:colOff>
      <xdr:row>69</xdr:row>
      <xdr:rowOff>180975</xdr:rowOff>
    </xdr:to>
    <xdr:graphicFrame macro="">
      <xdr:nvGraphicFramePr>
        <xdr:cNvPr id="13067" name="Chart 6">
          <a:extLst>
            <a:ext uri="{FF2B5EF4-FFF2-40B4-BE49-F238E27FC236}">
              <a16:creationId xmlns:a16="http://schemas.microsoft.com/office/drawing/2014/main" xmlns="" id="{00000000-0008-0000-0400-00000B33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39</xdr:col>
      <xdr:colOff>57150</xdr:colOff>
      <xdr:row>2</xdr:row>
      <xdr:rowOff>28575</xdr:rowOff>
    </xdr:from>
    <xdr:to>
      <xdr:col>46</xdr:col>
      <xdr:colOff>342900</xdr:colOff>
      <xdr:row>16</xdr:row>
      <xdr:rowOff>104775</xdr:rowOff>
    </xdr:to>
    <xdr:graphicFrame macro="">
      <xdr:nvGraphicFramePr>
        <xdr:cNvPr id="47105" name="Chart 1">
          <a:extLst>
            <a:ext uri="{FF2B5EF4-FFF2-40B4-BE49-F238E27FC236}">
              <a16:creationId xmlns:a16="http://schemas.microsoft.com/office/drawing/2014/main" xmlns="" id="{00000000-0008-0000-0B00-000001B8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549728</xdr:colOff>
      <xdr:row>90</xdr:row>
      <xdr:rowOff>38100</xdr:rowOff>
    </xdr:from>
    <xdr:to>
      <xdr:col>20</xdr:col>
      <xdr:colOff>59871</xdr:colOff>
      <xdr:row>104</xdr:row>
      <xdr:rowOff>168728</xdr:rowOff>
    </xdr:to>
    <xdr:graphicFrame macro="">
      <xdr:nvGraphicFramePr>
        <xdr:cNvPr id="49153" name="Chart 1">
          <a:extLst>
            <a:ext uri="{FF2B5EF4-FFF2-40B4-BE49-F238E27FC236}">
              <a16:creationId xmlns:a16="http://schemas.microsoft.com/office/drawing/2014/main" xmlns="" id="{00000000-0008-0000-0C00-000001C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</xdr:row>
      <xdr:rowOff>0</xdr:rowOff>
    </xdr:from>
    <xdr:to>
      <xdr:col>8</xdr:col>
      <xdr:colOff>304800</xdr:colOff>
      <xdr:row>15</xdr:row>
      <xdr:rowOff>76200</xdr:rowOff>
    </xdr:to>
    <xdr:graphicFrame macro="">
      <xdr:nvGraphicFramePr>
        <xdr:cNvPr id="29697" name="Chart 5">
          <a:extLst>
            <a:ext uri="{FF2B5EF4-FFF2-40B4-BE49-F238E27FC236}">
              <a16:creationId xmlns:a16="http://schemas.microsoft.com/office/drawing/2014/main" xmlns="" id="{00000000-0008-0000-0500-000001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0</xdr:colOff>
      <xdr:row>17</xdr:row>
      <xdr:rowOff>0</xdr:rowOff>
    </xdr:from>
    <xdr:to>
      <xdr:col>8</xdr:col>
      <xdr:colOff>304800</xdr:colOff>
      <xdr:row>31</xdr:row>
      <xdr:rowOff>76200</xdr:rowOff>
    </xdr:to>
    <xdr:graphicFrame macro="">
      <xdr:nvGraphicFramePr>
        <xdr:cNvPr id="29698" name="Chart 6">
          <a:extLst>
            <a:ext uri="{FF2B5EF4-FFF2-40B4-BE49-F238E27FC236}">
              <a16:creationId xmlns:a16="http://schemas.microsoft.com/office/drawing/2014/main" xmlns="" id="{00000000-0008-0000-0500-000002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9</xdr:col>
      <xdr:colOff>0</xdr:colOff>
      <xdr:row>1</xdr:row>
      <xdr:rowOff>0</xdr:rowOff>
    </xdr:from>
    <xdr:to>
      <xdr:col>16</xdr:col>
      <xdr:colOff>304800</xdr:colOff>
      <xdr:row>15</xdr:row>
      <xdr:rowOff>85725</xdr:rowOff>
    </xdr:to>
    <xdr:graphicFrame macro="">
      <xdr:nvGraphicFramePr>
        <xdr:cNvPr id="29699" name="Chart 7">
          <a:extLst>
            <a:ext uri="{FF2B5EF4-FFF2-40B4-BE49-F238E27FC236}">
              <a16:creationId xmlns:a16="http://schemas.microsoft.com/office/drawing/2014/main" xmlns="" id="{00000000-0008-0000-0500-000003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9</xdr:col>
      <xdr:colOff>0</xdr:colOff>
      <xdr:row>17</xdr:row>
      <xdr:rowOff>0</xdr:rowOff>
    </xdr:from>
    <xdr:to>
      <xdr:col>16</xdr:col>
      <xdr:colOff>304800</xdr:colOff>
      <xdr:row>31</xdr:row>
      <xdr:rowOff>76200</xdr:rowOff>
    </xdr:to>
    <xdr:graphicFrame macro="">
      <xdr:nvGraphicFramePr>
        <xdr:cNvPr id="29700" name="Chart 8">
          <a:extLst>
            <a:ext uri="{FF2B5EF4-FFF2-40B4-BE49-F238E27FC236}">
              <a16:creationId xmlns:a16="http://schemas.microsoft.com/office/drawing/2014/main" xmlns="" id="{00000000-0008-0000-0500-000004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17</xdr:col>
      <xdr:colOff>0</xdr:colOff>
      <xdr:row>1</xdr:row>
      <xdr:rowOff>0</xdr:rowOff>
    </xdr:from>
    <xdr:to>
      <xdr:col>24</xdr:col>
      <xdr:colOff>304800</xdr:colOff>
      <xdr:row>15</xdr:row>
      <xdr:rowOff>85725</xdr:rowOff>
    </xdr:to>
    <xdr:graphicFrame macro="">
      <xdr:nvGraphicFramePr>
        <xdr:cNvPr id="29701" name="Chart 9">
          <a:extLst>
            <a:ext uri="{FF2B5EF4-FFF2-40B4-BE49-F238E27FC236}">
              <a16:creationId xmlns:a16="http://schemas.microsoft.com/office/drawing/2014/main" xmlns="" id="{00000000-0008-0000-0500-000005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17</xdr:col>
      <xdr:colOff>0</xdr:colOff>
      <xdr:row>17</xdr:row>
      <xdr:rowOff>0</xdr:rowOff>
    </xdr:from>
    <xdr:to>
      <xdr:col>24</xdr:col>
      <xdr:colOff>304800</xdr:colOff>
      <xdr:row>31</xdr:row>
      <xdr:rowOff>76200</xdr:rowOff>
    </xdr:to>
    <xdr:graphicFrame macro="">
      <xdr:nvGraphicFramePr>
        <xdr:cNvPr id="29702" name="Chart 10">
          <a:extLst>
            <a:ext uri="{FF2B5EF4-FFF2-40B4-BE49-F238E27FC236}">
              <a16:creationId xmlns:a16="http://schemas.microsoft.com/office/drawing/2014/main" xmlns="" id="{00000000-0008-0000-0500-000006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</xdr:col>
      <xdr:colOff>0</xdr:colOff>
      <xdr:row>32</xdr:row>
      <xdr:rowOff>0</xdr:rowOff>
    </xdr:from>
    <xdr:to>
      <xdr:col>8</xdr:col>
      <xdr:colOff>304800</xdr:colOff>
      <xdr:row>46</xdr:row>
      <xdr:rowOff>85725</xdr:rowOff>
    </xdr:to>
    <xdr:graphicFrame macro="">
      <xdr:nvGraphicFramePr>
        <xdr:cNvPr id="29703" name="Chart 11">
          <a:extLst>
            <a:ext uri="{FF2B5EF4-FFF2-40B4-BE49-F238E27FC236}">
              <a16:creationId xmlns:a16="http://schemas.microsoft.com/office/drawing/2014/main" xmlns="" id="{00000000-0008-0000-0500-000007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24</xdr:col>
      <xdr:colOff>571500</xdr:colOff>
      <xdr:row>0</xdr:row>
      <xdr:rowOff>161925</xdr:rowOff>
    </xdr:from>
    <xdr:to>
      <xdr:col>32</xdr:col>
      <xdr:colOff>295275</xdr:colOff>
      <xdr:row>15</xdr:row>
      <xdr:rowOff>57150</xdr:rowOff>
    </xdr:to>
    <xdr:graphicFrame macro="">
      <xdr:nvGraphicFramePr>
        <xdr:cNvPr id="29704" name="Chart 14">
          <a:extLst>
            <a:ext uri="{FF2B5EF4-FFF2-40B4-BE49-F238E27FC236}">
              <a16:creationId xmlns:a16="http://schemas.microsoft.com/office/drawing/2014/main" xmlns="" id="{00000000-0008-0000-0500-000008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24</xdr:col>
      <xdr:colOff>571500</xdr:colOff>
      <xdr:row>17</xdr:row>
      <xdr:rowOff>9525</xdr:rowOff>
    </xdr:from>
    <xdr:to>
      <xdr:col>32</xdr:col>
      <xdr:colOff>304800</xdr:colOff>
      <xdr:row>31</xdr:row>
      <xdr:rowOff>95250</xdr:rowOff>
    </xdr:to>
    <xdr:graphicFrame macro="">
      <xdr:nvGraphicFramePr>
        <xdr:cNvPr id="29705" name="Chart 15">
          <a:extLst>
            <a:ext uri="{FF2B5EF4-FFF2-40B4-BE49-F238E27FC236}">
              <a16:creationId xmlns:a16="http://schemas.microsoft.com/office/drawing/2014/main" xmlns="" id="{00000000-0008-0000-0500-000009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8</xdr:col>
      <xdr:colOff>581025</xdr:colOff>
      <xdr:row>32</xdr:row>
      <xdr:rowOff>19050</xdr:rowOff>
    </xdr:from>
    <xdr:to>
      <xdr:col>16</xdr:col>
      <xdr:colOff>304800</xdr:colOff>
      <xdr:row>46</xdr:row>
      <xdr:rowOff>104775</xdr:rowOff>
    </xdr:to>
    <xdr:graphicFrame macro="">
      <xdr:nvGraphicFramePr>
        <xdr:cNvPr id="29706" name="Chart 17">
          <a:extLst>
            <a:ext uri="{FF2B5EF4-FFF2-40B4-BE49-F238E27FC236}">
              <a16:creationId xmlns:a16="http://schemas.microsoft.com/office/drawing/2014/main" xmlns="" id="{00000000-0008-0000-0500-00000A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16</xdr:col>
      <xdr:colOff>590550</xdr:colOff>
      <xdr:row>32</xdr:row>
      <xdr:rowOff>47625</xdr:rowOff>
    </xdr:from>
    <xdr:to>
      <xdr:col>24</xdr:col>
      <xdr:colOff>323850</xdr:colOff>
      <xdr:row>46</xdr:row>
      <xdr:rowOff>123825</xdr:rowOff>
    </xdr:to>
    <xdr:graphicFrame macro="">
      <xdr:nvGraphicFramePr>
        <xdr:cNvPr id="29707" name="Chart 18">
          <a:extLst>
            <a:ext uri="{FF2B5EF4-FFF2-40B4-BE49-F238E27FC236}">
              <a16:creationId xmlns:a16="http://schemas.microsoft.com/office/drawing/2014/main" xmlns="" id="{00000000-0008-0000-0500-00000B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24</xdr:col>
      <xdr:colOff>600075</xdr:colOff>
      <xdr:row>32</xdr:row>
      <xdr:rowOff>57150</xdr:rowOff>
    </xdr:from>
    <xdr:to>
      <xdr:col>32</xdr:col>
      <xdr:colOff>276225</xdr:colOff>
      <xdr:row>46</xdr:row>
      <xdr:rowOff>133350</xdr:rowOff>
    </xdr:to>
    <xdr:graphicFrame macro="">
      <xdr:nvGraphicFramePr>
        <xdr:cNvPr id="29708" name="Chart 19">
          <a:extLst>
            <a:ext uri="{FF2B5EF4-FFF2-40B4-BE49-F238E27FC236}">
              <a16:creationId xmlns:a16="http://schemas.microsoft.com/office/drawing/2014/main" xmlns="" id="{00000000-0008-0000-0500-00000C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33</xdr:col>
      <xdr:colOff>0</xdr:colOff>
      <xdr:row>1</xdr:row>
      <xdr:rowOff>0</xdr:rowOff>
    </xdr:from>
    <xdr:to>
      <xdr:col>40</xdr:col>
      <xdr:colOff>285750</xdr:colOff>
      <xdr:row>15</xdr:row>
      <xdr:rowOff>76200</xdr:rowOff>
    </xdr:to>
    <xdr:graphicFrame macro="">
      <xdr:nvGraphicFramePr>
        <xdr:cNvPr id="29709" name="Chart 20">
          <a:extLst>
            <a:ext uri="{FF2B5EF4-FFF2-40B4-BE49-F238E27FC236}">
              <a16:creationId xmlns:a16="http://schemas.microsoft.com/office/drawing/2014/main" xmlns="" id="{00000000-0008-0000-0500-00000D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33</xdr:col>
      <xdr:colOff>0</xdr:colOff>
      <xdr:row>17</xdr:row>
      <xdr:rowOff>0</xdr:rowOff>
    </xdr:from>
    <xdr:to>
      <xdr:col>40</xdr:col>
      <xdr:colOff>285750</xdr:colOff>
      <xdr:row>31</xdr:row>
      <xdr:rowOff>85725</xdr:rowOff>
    </xdr:to>
    <xdr:graphicFrame macro="">
      <xdr:nvGraphicFramePr>
        <xdr:cNvPr id="29710" name="Chart 16">
          <a:extLst>
            <a:ext uri="{FF2B5EF4-FFF2-40B4-BE49-F238E27FC236}">
              <a16:creationId xmlns:a16="http://schemas.microsoft.com/office/drawing/2014/main" xmlns="" id="{00000000-0008-0000-0500-00000E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200025</xdr:colOff>
      <xdr:row>43</xdr:row>
      <xdr:rowOff>161925</xdr:rowOff>
    </xdr:from>
    <xdr:to>
      <xdr:col>6</xdr:col>
      <xdr:colOff>638175</xdr:colOff>
      <xdr:row>58</xdr:row>
      <xdr:rowOff>57150</xdr:rowOff>
    </xdr:to>
    <xdr:graphicFrame macro="">
      <xdr:nvGraphicFramePr>
        <xdr:cNvPr id="45057" name="Chart 1">
          <a:extLst>
            <a:ext uri="{FF2B5EF4-FFF2-40B4-BE49-F238E27FC236}">
              <a16:creationId xmlns:a16="http://schemas.microsoft.com/office/drawing/2014/main" xmlns="" id="{00000000-0008-0000-0600-000001B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24</xdr:col>
      <xdr:colOff>571500</xdr:colOff>
      <xdr:row>24</xdr:row>
      <xdr:rowOff>9525</xdr:rowOff>
    </xdr:from>
    <xdr:to>
      <xdr:col>32</xdr:col>
      <xdr:colOff>285750</xdr:colOff>
      <xdr:row>37</xdr:row>
      <xdr:rowOff>0</xdr:rowOff>
    </xdr:to>
    <xdr:graphicFrame macro="">
      <xdr:nvGraphicFramePr>
        <xdr:cNvPr id="5123" name="Chart 3">
          <a:extLst>
            <a:ext uri="{FF2B5EF4-FFF2-40B4-BE49-F238E27FC236}">
              <a16:creationId xmlns:a16="http://schemas.microsoft.com/office/drawing/2014/main" xmlns="" id="{00000000-0008-0000-0E00-0000031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Amjad.abouhassan\AppData\Roaming\Microsoft\Excel\AUG%202021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Engineering%20Management/Daily%20Reports%20(utility)/2022/MAY%202022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Engineering%20Management\Daily%20Reports%20(utility)\HE%20Portal%20utilities%20management\2021\JAN%202021\20.01.2021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SUZAN~1.ABO\AppData\Local\Temp\notesA2CAC6\April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Amjad.abouhassan\AppData\Roaming\Microsoft\Excel\JAN%202022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/Engineering%20Management/Daily%20Reports%20(utility)/2022/MARCH%202022.xlsx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/Engineering%20Management/Daily%20Reports%20(utility)/2022/APRIL%202022.xlsx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Souzi\Desktop\MARCH%202021.xlsx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/Engineering%20Management/Daily%20Reports%20(utility)/2022/FEB%202022.xlsx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rami.bezri\AppData\Local\Packages\microsoft.windowscommunicationsapps_8wekyb3d8bbwe\LocalState\Files\S0\5\Attachments\JUNE%202020.xlsx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suzan.abousleiman\Desktop\Utility%20Budget%202021%20Zero%20Occupancy.xlsx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/Engineering%20Management/Daily%20Reports%20(utility)/2021/MAY%202021.xlsx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Purchasing%20,%20stock%20&amp;%20logistics\Budget\Budget%202021\Utility%20Budget%202021%20Zero%20Occupancy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EN"/>
      <sheetName val="tanks"/>
      <sheetName val="EDl log"/>
      <sheetName val="graphic"/>
      <sheetName val="General information "/>
      <sheetName val="Sheet1"/>
      <sheetName val="Report"/>
      <sheetName val="Sheet5"/>
      <sheetName val="Swimming Pool quality check "/>
      <sheetName val="Degree Days 2020"/>
      <sheetName val="Utility Cost "/>
      <sheetName val="MDB"/>
      <sheetName val="Sheet2"/>
    </sheetNames>
    <sheetDataSet>
      <sheetData sheetId="0"/>
      <sheetData sheetId="1"/>
      <sheetData sheetId="2">
        <row r="34">
          <cell r="A34">
            <v>0</v>
          </cell>
          <cell r="B34">
            <v>0</v>
          </cell>
        </row>
      </sheetData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>
        <row r="48">
          <cell r="F48">
            <v>31</v>
          </cell>
        </row>
      </sheetData>
      <sheetData sheetId="15"/>
      <sheetData sheetId="16"/>
      <sheetData sheetId="17"/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EN"/>
      <sheetName val="tanks"/>
      <sheetName val="EDl log"/>
      <sheetName val="graphic"/>
      <sheetName val="General information "/>
      <sheetName val="Sheet1"/>
      <sheetName val="Report"/>
      <sheetName val="Sheet5"/>
      <sheetName val="Swimming Pool quality check "/>
      <sheetName val="Degree Days 2022"/>
      <sheetName val="Utility Cost "/>
      <sheetName val="MDB"/>
      <sheetName val="Sheet2"/>
    </sheetNames>
    <sheetDataSet>
      <sheetData sheetId="0"/>
      <sheetData sheetId="1"/>
      <sheetData sheetId="2">
        <row r="34">
          <cell r="C34">
            <v>44712</v>
          </cell>
          <cell r="D34">
            <v>306770</v>
          </cell>
          <cell r="E34">
            <v>1340</v>
          </cell>
          <cell r="F34">
            <v>4137040</v>
          </cell>
          <cell r="G34">
            <v>390</v>
          </cell>
          <cell r="H34">
            <v>18047918</v>
          </cell>
          <cell r="I34">
            <v>516</v>
          </cell>
          <cell r="J34">
            <v>29801236</v>
          </cell>
          <cell r="K34">
            <v>848</v>
          </cell>
          <cell r="L34">
            <v>24596106</v>
          </cell>
          <cell r="M34">
            <v>1144</v>
          </cell>
          <cell r="N34">
            <v>4238</v>
          </cell>
          <cell r="O34">
            <v>0</v>
          </cell>
          <cell r="P34">
            <v>19269.245999999999</v>
          </cell>
          <cell r="Q34">
            <v>4345.9999999977299</v>
          </cell>
          <cell r="R34">
            <v>-107.9999999977299</v>
          </cell>
          <cell r="S34">
            <v>10175</v>
          </cell>
          <cell r="T34">
            <v>0</v>
          </cell>
          <cell r="U34">
            <v>429166</v>
          </cell>
          <cell r="V34">
            <v>0</v>
          </cell>
          <cell r="W34">
            <v>33484</v>
          </cell>
          <cell r="X34">
            <v>0</v>
          </cell>
          <cell r="Y34">
            <v>996900</v>
          </cell>
          <cell r="Z34">
            <v>0</v>
          </cell>
          <cell r="AA34">
            <v>36796</v>
          </cell>
          <cell r="AB34">
            <v>0</v>
          </cell>
          <cell r="AC34">
            <v>1170516</v>
          </cell>
          <cell r="AD34">
            <v>0</v>
          </cell>
          <cell r="AE34">
            <v>0</v>
          </cell>
          <cell r="AF34">
            <v>0</v>
          </cell>
          <cell r="AG34">
            <v>0</v>
          </cell>
        </row>
      </sheetData>
      <sheetData sheetId="3">
        <row r="35">
          <cell r="A35">
            <v>44712</v>
          </cell>
          <cell r="B35">
            <v>240</v>
          </cell>
          <cell r="C35">
            <v>247</v>
          </cell>
          <cell r="D35">
            <v>5</v>
          </cell>
          <cell r="E35">
            <v>41.900000000000006</v>
          </cell>
          <cell r="F35">
            <v>2243</v>
          </cell>
          <cell r="G35">
            <v>1</v>
          </cell>
          <cell r="H35">
            <v>43560</v>
          </cell>
          <cell r="I35">
            <v>66</v>
          </cell>
          <cell r="J35">
            <v>66</v>
          </cell>
          <cell r="K35">
            <v>2431</v>
          </cell>
          <cell r="L35">
            <v>0</v>
          </cell>
          <cell r="M35">
            <v>180347</v>
          </cell>
          <cell r="N35">
            <v>0</v>
          </cell>
          <cell r="O35">
            <v>1869</v>
          </cell>
          <cell r="P35">
            <v>2209</v>
          </cell>
          <cell r="Q35">
            <v>184800</v>
          </cell>
          <cell r="R35">
            <v>0</v>
          </cell>
          <cell r="S35">
            <v>0</v>
          </cell>
          <cell r="T35">
            <v>0</v>
          </cell>
          <cell r="U35">
            <v>1</v>
          </cell>
          <cell r="V35">
            <v>66</v>
          </cell>
          <cell r="W35">
            <v>0</v>
          </cell>
          <cell r="X35">
            <v>2481</v>
          </cell>
          <cell r="Y35">
            <v>0</v>
          </cell>
          <cell r="Z35">
            <v>140010</v>
          </cell>
          <cell r="AA35">
            <v>3</v>
          </cell>
          <cell r="AB35">
            <v>0</v>
          </cell>
          <cell r="AC35">
            <v>1945</v>
          </cell>
          <cell r="AD35">
            <v>1</v>
          </cell>
          <cell r="AE35">
            <v>366385</v>
          </cell>
          <cell r="AF35">
            <v>49</v>
          </cell>
          <cell r="AG35">
            <v>49</v>
          </cell>
          <cell r="AH35">
            <v>52</v>
          </cell>
          <cell r="AI35">
            <v>118</v>
          </cell>
          <cell r="AJ35">
            <v>118</v>
          </cell>
          <cell r="AK35">
            <v>0</v>
          </cell>
          <cell r="AL35">
            <v>1</v>
          </cell>
          <cell r="AM35">
            <v>1</v>
          </cell>
          <cell r="AN35">
            <v>67</v>
          </cell>
          <cell r="AO35">
            <v>2010.0000000000002</v>
          </cell>
          <cell r="AP35">
            <v>32</v>
          </cell>
          <cell r="AQ35">
            <v>960</v>
          </cell>
          <cell r="AR35">
            <v>75</v>
          </cell>
          <cell r="AS35">
            <v>2250</v>
          </cell>
          <cell r="AT35">
            <v>5220</v>
          </cell>
          <cell r="AU35">
            <v>0</v>
          </cell>
          <cell r="AV35">
            <v>0</v>
          </cell>
          <cell r="AW35">
            <v>0</v>
          </cell>
          <cell r="AX35">
            <v>0.8</v>
          </cell>
        </row>
      </sheetData>
      <sheetData sheetId="4">
        <row r="36">
          <cell r="A36">
            <v>44712</v>
          </cell>
          <cell r="B36">
            <v>109443</v>
          </cell>
          <cell r="C36">
            <v>0</v>
          </cell>
          <cell r="D36">
            <v>0</v>
          </cell>
          <cell r="E36">
            <v>241.93548387096774</v>
          </cell>
          <cell r="F36">
            <v>0</v>
          </cell>
          <cell r="G36">
            <v>628947</v>
          </cell>
          <cell r="H36">
            <v>21</v>
          </cell>
          <cell r="I36">
            <v>21</v>
          </cell>
          <cell r="J36">
            <v>11.52073732718894</v>
          </cell>
          <cell r="K36">
            <v>7089</v>
          </cell>
          <cell r="L36">
            <v>0</v>
          </cell>
          <cell r="M36">
            <v>457.44</v>
          </cell>
          <cell r="N36">
            <v>0</v>
          </cell>
          <cell r="O36">
            <v>529.52</v>
          </cell>
          <cell r="P36">
            <v>0</v>
          </cell>
          <cell r="Q36">
            <v>0</v>
          </cell>
          <cell r="R36">
            <v>0</v>
          </cell>
          <cell r="S36">
            <v>0</v>
          </cell>
          <cell r="T36">
            <v>5187</v>
          </cell>
          <cell r="U36">
            <v>1</v>
          </cell>
          <cell r="V36">
            <v>494</v>
          </cell>
          <cell r="W36">
            <v>1</v>
          </cell>
          <cell r="X36">
            <v>155524</v>
          </cell>
          <cell r="Y36">
            <v>0</v>
          </cell>
          <cell r="Z36">
            <v>99465</v>
          </cell>
          <cell r="AA36">
            <v>0</v>
          </cell>
          <cell r="AB36">
            <v>243</v>
          </cell>
          <cell r="AC36">
            <v>790</v>
          </cell>
          <cell r="AD36">
            <v>0</v>
          </cell>
          <cell r="AE36">
            <v>244.4</v>
          </cell>
          <cell r="AF36">
            <v>0</v>
          </cell>
          <cell r="AG36">
            <v>2247.41</v>
          </cell>
          <cell r="AH36">
            <v>0</v>
          </cell>
          <cell r="AI36">
            <v>0</v>
          </cell>
          <cell r="AJ36">
            <v>0</v>
          </cell>
          <cell r="AK36">
            <v>0</v>
          </cell>
          <cell r="AL36">
            <v>-1</v>
          </cell>
          <cell r="AM36">
            <v>24</v>
          </cell>
          <cell r="AN36">
            <v>0</v>
          </cell>
          <cell r="AO36">
            <v>0</v>
          </cell>
          <cell r="AP36">
            <v>0</v>
          </cell>
          <cell r="AR36">
            <v>44712</v>
          </cell>
          <cell r="AS36">
            <v>0.9</v>
          </cell>
          <cell r="AT36">
            <v>102</v>
          </cell>
          <cell r="AU36">
            <v>1.1000000000000001</v>
          </cell>
          <cell r="AV36">
            <v>125</v>
          </cell>
          <cell r="AW36">
            <v>2.9</v>
          </cell>
          <cell r="AX36">
            <v>128</v>
          </cell>
          <cell r="AY36">
            <v>91.8</v>
          </cell>
          <cell r="AZ36">
            <v>137.5</v>
          </cell>
          <cell r="BA36">
            <v>371.2</v>
          </cell>
          <cell r="BB36">
            <v>-2.7000000000000028</v>
          </cell>
          <cell r="BC36">
            <v>8.7999999999999829</v>
          </cell>
          <cell r="BD36">
            <v>-5.8000000000000114</v>
          </cell>
          <cell r="BE36">
            <v>0.29999999999996874</v>
          </cell>
          <cell r="BF36">
            <v>20.700000000000031</v>
          </cell>
          <cell r="BG36">
            <v>0.29999999999996874</v>
          </cell>
        </row>
      </sheetData>
      <sheetData sheetId="5">
        <row r="33">
          <cell r="A33">
            <v>44712</v>
          </cell>
          <cell r="C33">
            <v>14</v>
          </cell>
          <cell r="D33">
            <v>686926</v>
          </cell>
          <cell r="E33">
            <v>1190</v>
          </cell>
          <cell r="F33">
            <v>85</v>
          </cell>
          <cell r="G33">
            <v>0</v>
          </cell>
          <cell r="H33">
            <v>12231</v>
          </cell>
          <cell r="I33" t="str">
            <v>ok</v>
          </cell>
          <cell r="K33">
            <v>0</v>
          </cell>
          <cell r="L33">
            <v>382691</v>
          </cell>
          <cell r="M33">
            <v>0</v>
          </cell>
          <cell r="N33">
            <v>250</v>
          </cell>
          <cell r="O33">
            <v>0</v>
          </cell>
          <cell r="P33">
            <v>10873</v>
          </cell>
          <cell r="Q33" t="str">
            <v>ok</v>
          </cell>
          <cell r="R33">
            <v>13907</v>
          </cell>
          <cell r="S33">
            <v>2</v>
          </cell>
          <cell r="T33">
            <v>416262</v>
          </cell>
          <cell r="U33">
            <v>500</v>
          </cell>
          <cell r="V33">
            <v>250</v>
          </cell>
          <cell r="W33">
            <v>0</v>
          </cell>
          <cell r="X33">
            <v>14053</v>
          </cell>
          <cell r="Y33" t="str">
            <v>ok</v>
          </cell>
          <cell r="Z33">
            <v>16</v>
          </cell>
          <cell r="AA33">
            <v>1690</v>
          </cell>
          <cell r="AB33">
            <v>585</v>
          </cell>
          <cell r="AC33">
            <v>105.625</v>
          </cell>
          <cell r="AD33">
            <v>4345.9999999977299</v>
          </cell>
          <cell r="AE33">
            <v>271.62499999985812</v>
          </cell>
          <cell r="AF33">
            <v>0.16976562499991132</v>
          </cell>
          <cell r="AG33">
            <v>1.0610351562494458E-4</v>
          </cell>
          <cell r="AH33">
            <v>105.62489389648438</v>
          </cell>
          <cell r="AI33">
            <v>1118.5907172989939</v>
          </cell>
          <cell r="AJ33">
            <v>0.25738396624472576</v>
          </cell>
          <cell r="AK33">
            <v>69.91191983118712</v>
          </cell>
          <cell r="AL33">
            <v>1</v>
          </cell>
        </row>
      </sheetData>
      <sheetData sheetId="6">
        <row r="36">
          <cell r="A36">
            <v>44712</v>
          </cell>
          <cell r="B36">
            <v>240</v>
          </cell>
          <cell r="C36">
            <v>5163.8709677419356</v>
          </cell>
          <cell r="D36">
            <v>240</v>
          </cell>
          <cell r="E36">
            <v>5163.8709677419356</v>
          </cell>
          <cell r="F36">
            <v>240</v>
          </cell>
          <cell r="G36">
            <v>5163.8709677419356</v>
          </cell>
          <cell r="H36">
            <v>240</v>
          </cell>
          <cell r="I36">
            <v>5163.8709677419356</v>
          </cell>
          <cell r="J36">
            <v>240</v>
          </cell>
          <cell r="K36">
            <v>5163.8709677419356</v>
          </cell>
          <cell r="L36">
            <v>240</v>
          </cell>
          <cell r="M36">
            <v>5163.8709677419356</v>
          </cell>
          <cell r="N36">
            <v>240</v>
          </cell>
          <cell r="O36">
            <v>5163.8709677419356</v>
          </cell>
          <cell r="P36">
            <v>240</v>
          </cell>
          <cell r="Q36">
            <v>5163.8709677419356</v>
          </cell>
          <cell r="R36">
            <v>240</v>
          </cell>
          <cell r="S36">
            <v>5163.8709677419356</v>
          </cell>
          <cell r="T36">
            <v>240</v>
          </cell>
          <cell r="U36">
            <v>5163.8709677419356</v>
          </cell>
          <cell r="V36">
            <v>240</v>
          </cell>
          <cell r="W36">
            <v>5163.8709677419356</v>
          </cell>
          <cell r="X36">
            <v>0.77419354838709697</v>
          </cell>
          <cell r="Y36">
            <v>56802.580645161303</v>
          </cell>
          <cell r="Z36">
            <v>247</v>
          </cell>
          <cell r="AA36">
            <v>2470</v>
          </cell>
          <cell r="AB36">
            <v>247</v>
          </cell>
          <cell r="AC36">
            <v>2470</v>
          </cell>
          <cell r="AD36">
            <v>247</v>
          </cell>
          <cell r="AE36">
            <v>2470</v>
          </cell>
          <cell r="AF36">
            <v>247</v>
          </cell>
          <cell r="AG36">
            <v>2470</v>
          </cell>
          <cell r="AH36">
            <v>247</v>
          </cell>
          <cell r="AI36">
            <v>2470</v>
          </cell>
          <cell r="AJ36">
            <v>247</v>
          </cell>
          <cell r="AK36">
            <v>2470</v>
          </cell>
          <cell r="AL36">
            <v>247</v>
          </cell>
          <cell r="AM36">
            <v>2470</v>
          </cell>
          <cell r="AN36">
            <v>0.88214285714285712</v>
          </cell>
          <cell r="AO36">
            <v>17290</v>
          </cell>
          <cell r="AQ36">
            <v>0.79695149666732601</v>
          </cell>
          <cell r="AR36">
            <v>74092.580645161303</v>
          </cell>
          <cell r="AS36">
            <v>-1770.0645161290304</v>
          </cell>
          <cell r="AT36">
            <v>0</v>
          </cell>
          <cell r="AU36">
            <v>0</v>
          </cell>
          <cell r="AV36">
            <v>1.04</v>
          </cell>
          <cell r="AW36">
            <v>-118</v>
          </cell>
          <cell r="AX36">
            <v>-1652.0645161290304</v>
          </cell>
          <cell r="AY36">
            <v>-1770.0645161290304</v>
          </cell>
          <cell r="AZ36">
            <v>0</v>
          </cell>
          <cell r="BA36">
            <v>24</v>
          </cell>
          <cell r="BB36">
            <v>0.77</v>
          </cell>
          <cell r="BC36">
            <v>0</v>
          </cell>
          <cell r="BD36">
            <v>19225</v>
          </cell>
          <cell r="BE36" t="e">
            <v>#REF!</v>
          </cell>
          <cell r="BF36">
            <v>0</v>
          </cell>
          <cell r="BG36" t="e">
            <v>#REF!</v>
          </cell>
          <cell r="BH36">
            <v>0</v>
          </cell>
        </row>
      </sheetData>
      <sheetData sheetId="7">
        <row r="21">
          <cell r="W21">
            <v>44703</v>
          </cell>
        </row>
        <row r="26">
          <cell r="V26">
            <v>401437</v>
          </cell>
          <cell r="W26">
            <v>401730</v>
          </cell>
          <cell r="X26" t="str">
            <v>Night</v>
          </cell>
          <cell r="Y26">
            <v>80</v>
          </cell>
          <cell r="Z26">
            <v>1</v>
          </cell>
          <cell r="AA26">
            <v>293</v>
          </cell>
          <cell r="AB26">
            <v>23440</v>
          </cell>
          <cell r="AC26">
            <v>1033333</v>
          </cell>
          <cell r="AD26">
            <v>0.11127990884922141</v>
          </cell>
        </row>
        <row r="27">
          <cell r="V27">
            <v>555135</v>
          </cell>
          <cell r="W27">
            <v>557476</v>
          </cell>
          <cell r="X27" t="str">
            <v>day</v>
          </cell>
          <cell r="Y27">
            <v>112</v>
          </cell>
          <cell r="Z27">
            <v>1</v>
          </cell>
          <cell r="AA27">
            <v>2341</v>
          </cell>
          <cell r="AB27">
            <v>262192</v>
          </cell>
          <cell r="AC27">
            <v>6200000</v>
          </cell>
          <cell r="AD27">
            <v>0.88909988606152668</v>
          </cell>
        </row>
        <row r="28">
          <cell r="V28">
            <v>161410</v>
          </cell>
          <cell r="W28">
            <v>161410</v>
          </cell>
          <cell r="X28" t="str">
            <v>Peak</v>
          </cell>
          <cell r="Y28">
            <v>320</v>
          </cell>
          <cell r="Z28">
            <v>1</v>
          </cell>
          <cell r="AA28">
            <v>0</v>
          </cell>
          <cell r="AB28">
            <v>0</v>
          </cell>
          <cell r="AC28">
            <v>1000</v>
          </cell>
          <cell r="AD28">
            <v>0</v>
          </cell>
          <cell r="AE28">
            <v>0</v>
          </cell>
          <cell r="AF28">
            <v>0</v>
          </cell>
        </row>
        <row r="29">
          <cell r="W29">
            <v>0</v>
          </cell>
          <cell r="AA29">
            <v>2634</v>
          </cell>
          <cell r="AB29">
            <v>285632</v>
          </cell>
          <cell r="AC29">
            <v>7234333</v>
          </cell>
        </row>
        <row r="30">
          <cell r="AA30">
            <v>0</v>
          </cell>
          <cell r="AB30">
            <v>7519965</v>
          </cell>
          <cell r="AC30">
            <v>0</v>
          </cell>
        </row>
        <row r="31">
          <cell r="AA31">
            <v>0</v>
          </cell>
          <cell r="AB31">
            <v>0</v>
          </cell>
          <cell r="AC31">
            <v>0</v>
          </cell>
        </row>
        <row r="32">
          <cell r="W32">
            <v>227</v>
          </cell>
          <cell r="X32">
            <v>20.636363636363637</v>
          </cell>
          <cell r="Y32">
            <v>20.636363636363637</v>
          </cell>
          <cell r="AA32">
            <v>0</v>
          </cell>
          <cell r="AB32">
            <v>0</v>
          </cell>
          <cell r="AC32">
            <v>0</v>
          </cell>
        </row>
        <row r="33">
          <cell r="AA33">
            <v>0.11</v>
          </cell>
          <cell r="AB33">
            <v>827196.15</v>
          </cell>
          <cell r="AC33">
            <v>7234333</v>
          </cell>
        </row>
        <row r="34">
          <cell r="A34">
            <v>44712</v>
          </cell>
          <cell r="B34">
            <v>1120614</v>
          </cell>
          <cell r="C34">
            <v>168</v>
          </cell>
          <cell r="D34">
            <v>170</v>
          </cell>
          <cell r="E34">
            <v>1120616</v>
          </cell>
          <cell r="F34">
            <v>161410</v>
          </cell>
          <cell r="G34">
            <v>0</v>
          </cell>
          <cell r="H34">
            <v>557476</v>
          </cell>
          <cell r="I34">
            <v>170</v>
          </cell>
          <cell r="J34">
            <v>401730</v>
          </cell>
          <cell r="K34">
            <v>0</v>
          </cell>
          <cell r="L34">
            <v>0</v>
          </cell>
          <cell r="M34">
            <v>12.630182421227197</v>
          </cell>
          <cell r="N34">
            <v>0</v>
          </cell>
          <cell r="O34">
            <v>154.80303857058792</v>
          </cell>
          <cell r="P34">
            <v>167.43322099181512</v>
          </cell>
          <cell r="Q34">
            <v>1397.6465806451599</v>
          </cell>
          <cell r="R34">
            <v>1565.0798016369749</v>
          </cell>
          <cell r="S34">
            <v>4238</v>
          </cell>
          <cell r="T34">
            <v>0.3692967913253834</v>
          </cell>
          <cell r="AA34">
            <v>0</v>
          </cell>
          <cell r="AB34">
            <v>8347161.1500000004</v>
          </cell>
          <cell r="AC34">
            <v>0</v>
          </cell>
        </row>
        <row r="35">
          <cell r="AA35">
            <v>0</v>
          </cell>
          <cell r="AB35">
            <v>0</v>
          </cell>
          <cell r="AC35">
            <v>0</v>
          </cell>
        </row>
        <row r="36">
          <cell r="AB36">
            <v>4988.3681592039802</v>
          </cell>
        </row>
      </sheetData>
      <sheetData sheetId="8"/>
      <sheetData sheetId="9"/>
      <sheetData sheetId="10"/>
      <sheetData sheetId="11"/>
      <sheetData sheetId="12"/>
      <sheetData sheetId="13"/>
      <sheetData sheetId="14">
        <row r="10">
          <cell r="R10">
            <v>0</v>
          </cell>
          <cell r="S10">
            <v>0</v>
          </cell>
        </row>
        <row r="11">
          <cell r="R11">
            <v>0</v>
          </cell>
          <cell r="S11">
            <v>0</v>
          </cell>
        </row>
        <row r="12">
          <cell r="R12">
            <v>0</v>
          </cell>
          <cell r="S12">
            <v>0</v>
          </cell>
        </row>
        <row r="13">
          <cell r="R13">
            <v>23</v>
          </cell>
          <cell r="S13">
            <v>19</v>
          </cell>
        </row>
        <row r="14">
          <cell r="R14">
            <v>22</v>
          </cell>
          <cell r="S14">
            <v>18</v>
          </cell>
        </row>
        <row r="15">
          <cell r="R15">
            <v>0</v>
          </cell>
          <cell r="S15">
            <v>0</v>
          </cell>
        </row>
        <row r="16">
          <cell r="R16">
            <v>0</v>
          </cell>
          <cell r="S16">
            <v>0</v>
          </cell>
        </row>
        <row r="17">
          <cell r="R17">
            <v>22</v>
          </cell>
          <cell r="S17">
            <v>17</v>
          </cell>
        </row>
        <row r="18">
          <cell r="R18">
            <v>23</v>
          </cell>
          <cell r="S18">
            <v>18</v>
          </cell>
        </row>
        <row r="19">
          <cell r="R19">
            <v>23</v>
          </cell>
          <cell r="S19">
            <v>17</v>
          </cell>
        </row>
        <row r="20">
          <cell r="R20">
            <v>23</v>
          </cell>
          <cell r="S20">
            <v>17</v>
          </cell>
        </row>
        <row r="21">
          <cell r="R21">
            <v>22</v>
          </cell>
          <cell r="S21">
            <v>17</v>
          </cell>
        </row>
        <row r="22">
          <cell r="R22">
            <v>0</v>
          </cell>
          <cell r="S22">
            <v>0</v>
          </cell>
        </row>
        <row r="23">
          <cell r="R23">
            <v>0</v>
          </cell>
          <cell r="S23">
            <v>0</v>
          </cell>
        </row>
        <row r="24">
          <cell r="R24">
            <v>22</v>
          </cell>
          <cell r="S24">
            <v>18</v>
          </cell>
        </row>
        <row r="25">
          <cell r="R25">
            <v>22</v>
          </cell>
          <cell r="S25">
            <v>18</v>
          </cell>
        </row>
        <row r="26">
          <cell r="R26">
            <v>23</v>
          </cell>
          <cell r="S26">
            <v>18</v>
          </cell>
        </row>
        <row r="27">
          <cell r="R27">
            <v>23</v>
          </cell>
          <cell r="S27">
            <v>17</v>
          </cell>
        </row>
        <row r="28">
          <cell r="R28">
            <v>24</v>
          </cell>
          <cell r="S28">
            <v>19</v>
          </cell>
        </row>
        <row r="29">
          <cell r="R29">
            <v>0</v>
          </cell>
          <cell r="S29">
            <v>0</v>
          </cell>
        </row>
        <row r="30">
          <cell r="R30">
            <v>0</v>
          </cell>
          <cell r="S30">
            <v>0</v>
          </cell>
        </row>
        <row r="31">
          <cell r="R31">
            <v>24</v>
          </cell>
          <cell r="S31">
            <v>21</v>
          </cell>
        </row>
        <row r="32">
          <cell r="R32">
            <v>24</v>
          </cell>
          <cell r="S32">
            <v>20</v>
          </cell>
        </row>
        <row r="33">
          <cell r="R33">
            <v>24</v>
          </cell>
          <cell r="S33">
            <v>20</v>
          </cell>
        </row>
        <row r="34">
          <cell r="R34">
            <v>24</v>
          </cell>
          <cell r="S34">
            <v>20</v>
          </cell>
        </row>
        <row r="35">
          <cell r="R35">
            <v>28</v>
          </cell>
          <cell r="S35">
            <v>19</v>
          </cell>
        </row>
        <row r="36">
          <cell r="R36">
            <v>0</v>
          </cell>
          <cell r="S36">
            <v>0</v>
          </cell>
        </row>
        <row r="37">
          <cell r="R37">
            <v>0</v>
          </cell>
          <cell r="S37">
            <v>0</v>
          </cell>
        </row>
        <row r="38">
          <cell r="R38">
            <v>0</v>
          </cell>
          <cell r="S38">
            <v>0</v>
          </cell>
        </row>
        <row r="39">
          <cell r="R39">
            <v>27</v>
          </cell>
          <cell r="S39">
            <v>22</v>
          </cell>
        </row>
        <row r="40">
          <cell r="R40">
            <v>26</v>
          </cell>
          <cell r="S40">
            <v>22</v>
          </cell>
        </row>
      </sheetData>
      <sheetData sheetId="15"/>
      <sheetData sheetId="16"/>
      <sheetData sheetId="17"/>
    </sheetDataSet>
  </externalBook>
</externalLink>
</file>

<file path=xl/externalLinks/externalLink3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raphic"/>
      <sheetName val="General information "/>
      <sheetName val="tanks"/>
      <sheetName val="Sheet1"/>
      <sheetName val="Report"/>
      <sheetName val="Sheet5"/>
      <sheetName val="GEN"/>
      <sheetName val="EDl log"/>
      <sheetName val="Swimming Pool quality check "/>
      <sheetName val="Degree Days 2020"/>
      <sheetName val="Utility Cost "/>
      <sheetName val="MDB"/>
      <sheetName val="Sheet2"/>
    </sheetNames>
    <sheetDataSet>
      <sheetData sheetId="0" refreshError="1"/>
      <sheetData sheetId="1" refreshError="1"/>
      <sheetData sheetId="2">
        <row r="21">
          <cell r="C21">
            <v>44215</v>
          </cell>
        </row>
      </sheetData>
      <sheetData sheetId="3" refreshError="1"/>
      <sheetData sheetId="4" refreshError="1"/>
      <sheetData sheetId="5" refreshError="1"/>
      <sheetData sheetId="6">
        <row r="24">
          <cell r="D24">
            <v>13.5</v>
          </cell>
          <cell r="H24">
            <v>0</v>
          </cell>
          <cell r="J24">
            <v>0</v>
          </cell>
        </row>
      </sheetData>
      <sheetData sheetId="7">
        <row r="24">
          <cell r="AW24">
            <v>-231</v>
          </cell>
        </row>
      </sheetData>
      <sheetData sheetId="8" refreshError="1"/>
      <sheetData sheetId="9" refreshError="1"/>
      <sheetData sheetId="10" refreshError="1"/>
      <sheetData sheetId="11" refreshError="1"/>
      <sheetData sheetId="12">
        <row r="37">
          <cell r="A37">
            <v>31</v>
          </cell>
        </row>
      </sheetData>
      <sheetData sheetId="13">
        <row r="24">
          <cell r="H24">
            <v>6713</v>
          </cell>
        </row>
      </sheetData>
      <sheetData sheetId="14" refreshError="1"/>
      <sheetData sheetId="15" refreshError="1"/>
      <sheetData sheetId="16" refreshError="1"/>
      <sheetData sheetId="17" refreshError="1"/>
    </sheetDataSet>
  </externalBook>
</externalLink>
</file>

<file path=xl/externalLinks/externalLink4.xml><?xml version="1.0" encoding="utf-8"?>
<externalLink xmlns="http://schemas.openxmlformats.org/spreadsheetml/2006/main">
  <externalBook xmlns:r="http://schemas.openxmlformats.org/officeDocument/2006/relationships" r:id="rId1">
    <sheetNames>
      <sheetName val="Sheet3"/>
      <sheetName val="Sheet4"/>
      <sheetName val="ELEC"/>
      <sheetName val="B5"/>
      <sheetName val="WATER"/>
      <sheetName val="graphic"/>
      <sheetName val="GEN"/>
      <sheetName val="tanks"/>
      <sheetName val="Sheet1"/>
      <sheetName val="Report"/>
      <sheetName val="General information "/>
      <sheetName val="Sheet5"/>
      <sheetName val="EDl log"/>
      <sheetName val="Degree days 2016"/>
      <sheetName val="Utility Cost "/>
      <sheetName val="MDB"/>
      <sheetName val="Swimming Pool quality check "/>
      <sheetName val="Sheet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>
        <row r="29">
          <cell r="AA29">
            <v>314436</v>
          </cell>
        </row>
      </sheetData>
      <sheetData sheetId="13">
        <row r="10">
          <cell r="N10">
            <v>22</v>
          </cell>
        </row>
      </sheetData>
      <sheetData sheetId="14"/>
      <sheetData sheetId="15"/>
      <sheetData sheetId="16"/>
      <sheetData sheetId="17"/>
    </sheetDataSet>
  </externalBook>
</externalLink>
</file>

<file path=xl/externalLinks/externalLink5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EN"/>
      <sheetName val="tanks"/>
      <sheetName val="EDl log"/>
      <sheetName val="graphic"/>
      <sheetName val="General information "/>
      <sheetName val="Sheet1"/>
      <sheetName val="Report"/>
      <sheetName val="Sheet5"/>
      <sheetName val="Swimming Pool quality check "/>
      <sheetName val="Degree Days 2022"/>
      <sheetName val="Utility Cost "/>
      <sheetName val="MDB"/>
      <sheetName val="Sheet2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>
        <row r="36">
          <cell r="A36">
            <v>44592</v>
          </cell>
          <cell r="BI36">
            <v>23</v>
          </cell>
        </row>
      </sheetData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>
        <row r="10">
          <cell r="B10">
            <v>0</v>
          </cell>
        </row>
        <row r="11">
          <cell r="B11">
            <v>0</v>
          </cell>
        </row>
        <row r="12">
          <cell r="B12">
            <v>0</v>
          </cell>
        </row>
        <row r="13">
          <cell r="B13">
            <v>18</v>
          </cell>
        </row>
        <row r="14">
          <cell r="B14">
            <v>19</v>
          </cell>
        </row>
        <row r="15">
          <cell r="B15">
            <v>21</v>
          </cell>
        </row>
        <row r="16">
          <cell r="B16">
            <v>0</v>
          </cell>
        </row>
        <row r="17">
          <cell r="B17">
            <v>0</v>
          </cell>
        </row>
        <row r="18">
          <cell r="B18">
            <v>23</v>
          </cell>
        </row>
        <row r="19">
          <cell r="B19">
            <v>18</v>
          </cell>
        </row>
        <row r="20">
          <cell r="B20">
            <v>19</v>
          </cell>
        </row>
        <row r="21">
          <cell r="B21">
            <v>0</v>
          </cell>
        </row>
        <row r="22">
          <cell r="B22">
            <v>16</v>
          </cell>
        </row>
        <row r="23">
          <cell r="B23">
            <v>0</v>
          </cell>
        </row>
        <row r="24">
          <cell r="B24">
            <v>0</v>
          </cell>
        </row>
        <row r="25">
          <cell r="B25">
            <v>14</v>
          </cell>
        </row>
        <row r="26">
          <cell r="B26">
            <v>12</v>
          </cell>
        </row>
        <row r="27">
          <cell r="B27">
            <v>15</v>
          </cell>
        </row>
        <row r="28">
          <cell r="B28">
            <v>14</v>
          </cell>
        </row>
        <row r="29">
          <cell r="B29">
            <v>11</v>
          </cell>
        </row>
        <row r="30">
          <cell r="B30">
            <v>0</v>
          </cell>
        </row>
        <row r="31">
          <cell r="B31">
            <v>0</v>
          </cell>
        </row>
        <row r="32">
          <cell r="B32">
            <v>0</v>
          </cell>
        </row>
        <row r="33">
          <cell r="B33">
            <v>13</v>
          </cell>
        </row>
        <row r="34">
          <cell r="B34">
            <v>16</v>
          </cell>
        </row>
        <row r="35">
          <cell r="B35">
            <v>12</v>
          </cell>
        </row>
        <row r="36">
          <cell r="B36">
            <v>14</v>
          </cell>
        </row>
        <row r="37">
          <cell r="B37">
            <v>0</v>
          </cell>
        </row>
        <row r="38">
          <cell r="B38">
            <v>0</v>
          </cell>
        </row>
        <row r="39">
          <cell r="B39">
            <v>17</v>
          </cell>
        </row>
        <row r="40">
          <cell r="B40">
            <v>17</v>
          </cell>
        </row>
      </sheetData>
      <sheetData sheetId="15" refreshError="1"/>
      <sheetData sheetId="16" refreshError="1"/>
      <sheetData sheetId="17" refreshError="1"/>
    </sheetDataSet>
  </externalBook>
</externalLink>
</file>

<file path=xl/externalLinks/externalLink6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EN"/>
      <sheetName val="tanks"/>
      <sheetName val="EDl log"/>
      <sheetName val="graphic"/>
      <sheetName val="General information "/>
      <sheetName val="Sheet1"/>
      <sheetName val="Report"/>
      <sheetName val="Sheet5"/>
      <sheetName val="Swimming Pool quality check "/>
      <sheetName val="Degree Days 2022"/>
      <sheetName val="Utility Cost "/>
      <sheetName val="MDB"/>
      <sheetName val="Sheet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>
        <row r="36">
          <cell r="AA36" t="str">
            <v>$ without VAT</v>
          </cell>
        </row>
      </sheetData>
      <sheetData sheetId="8"/>
      <sheetData sheetId="9"/>
      <sheetData sheetId="10"/>
      <sheetData sheetId="11"/>
      <sheetData sheetId="12"/>
      <sheetData sheetId="13"/>
      <sheetData sheetId="14">
        <row r="10">
          <cell r="J10">
            <v>17</v>
          </cell>
          <cell r="K10">
            <v>14</v>
          </cell>
        </row>
        <row r="11">
          <cell r="J11">
            <v>24</v>
          </cell>
          <cell r="K11">
            <v>15</v>
          </cell>
        </row>
        <row r="12">
          <cell r="J12">
            <v>20</v>
          </cell>
          <cell r="K12">
            <v>13</v>
          </cell>
        </row>
        <row r="13">
          <cell r="J13">
            <v>0</v>
          </cell>
          <cell r="K13">
            <v>0</v>
          </cell>
        </row>
        <row r="14">
          <cell r="J14">
            <v>0</v>
          </cell>
          <cell r="K14">
            <v>0</v>
          </cell>
        </row>
        <row r="15">
          <cell r="J15">
            <v>22</v>
          </cell>
          <cell r="K15">
            <v>13</v>
          </cell>
        </row>
        <row r="16">
          <cell r="J16">
            <v>17</v>
          </cell>
          <cell r="K16">
            <v>13</v>
          </cell>
        </row>
        <row r="17">
          <cell r="J17">
            <v>8</v>
          </cell>
          <cell r="K17">
            <v>13</v>
          </cell>
        </row>
        <row r="18">
          <cell r="J18">
            <v>16</v>
          </cell>
          <cell r="K18">
            <v>14</v>
          </cell>
        </row>
        <row r="19">
          <cell r="J19">
            <v>14</v>
          </cell>
          <cell r="K19">
            <v>11</v>
          </cell>
        </row>
        <row r="20">
          <cell r="J20">
            <v>14</v>
          </cell>
          <cell r="K20">
            <v>9</v>
          </cell>
        </row>
        <row r="21">
          <cell r="J21">
            <v>0</v>
          </cell>
          <cell r="K21">
            <v>0</v>
          </cell>
        </row>
        <row r="22">
          <cell r="J22">
            <v>13</v>
          </cell>
          <cell r="K22">
            <v>9</v>
          </cell>
        </row>
        <row r="23">
          <cell r="J23">
            <v>12</v>
          </cell>
          <cell r="K23">
            <v>8</v>
          </cell>
        </row>
        <row r="24">
          <cell r="J24">
            <v>10</v>
          </cell>
          <cell r="K24">
            <v>5</v>
          </cell>
        </row>
        <row r="25">
          <cell r="J25">
            <v>0</v>
          </cell>
          <cell r="K25">
            <v>0</v>
          </cell>
        </row>
        <row r="26">
          <cell r="J26">
            <v>16</v>
          </cell>
          <cell r="K26">
            <v>9</v>
          </cell>
        </row>
        <row r="27">
          <cell r="J27">
            <v>0</v>
          </cell>
          <cell r="K27">
            <v>0</v>
          </cell>
        </row>
        <row r="28">
          <cell r="J28">
            <v>0</v>
          </cell>
          <cell r="K28">
            <v>0</v>
          </cell>
        </row>
        <row r="29">
          <cell r="J29">
            <v>11</v>
          </cell>
          <cell r="K29">
            <v>9</v>
          </cell>
        </row>
        <row r="30">
          <cell r="J30">
            <v>14</v>
          </cell>
          <cell r="K30">
            <v>8</v>
          </cell>
        </row>
        <row r="31">
          <cell r="J31">
            <v>15</v>
          </cell>
          <cell r="K31">
            <v>11</v>
          </cell>
        </row>
        <row r="32">
          <cell r="J32">
            <v>15</v>
          </cell>
          <cell r="K32">
            <v>9</v>
          </cell>
        </row>
        <row r="33">
          <cell r="J33">
            <v>13</v>
          </cell>
          <cell r="K33">
            <v>9</v>
          </cell>
        </row>
        <row r="34">
          <cell r="J34">
            <v>0</v>
          </cell>
          <cell r="K34">
            <v>0</v>
          </cell>
        </row>
        <row r="35">
          <cell r="J35">
            <v>0</v>
          </cell>
          <cell r="K35">
            <v>0</v>
          </cell>
        </row>
        <row r="36">
          <cell r="J36">
            <v>18</v>
          </cell>
          <cell r="K36">
            <v>11</v>
          </cell>
        </row>
        <row r="37">
          <cell r="J37">
            <v>18</v>
          </cell>
          <cell r="K37">
            <v>11</v>
          </cell>
        </row>
        <row r="38">
          <cell r="J38">
            <v>22</v>
          </cell>
          <cell r="K38">
            <v>12</v>
          </cell>
        </row>
        <row r="39">
          <cell r="J39">
            <v>19</v>
          </cell>
          <cell r="K39">
            <v>15</v>
          </cell>
        </row>
        <row r="40">
          <cell r="J40">
            <v>21</v>
          </cell>
          <cell r="K40">
            <v>13</v>
          </cell>
        </row>
      </sheetData>
      <sheetData sheetId="15"/>
      <sheetData sheetId="16"/>
      <sheetData sheetId="17"/>
    </sheetDataSet>
  </externalBook>
</externalLink>
</file>

<file path=xl/externalLinks/externalLink7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EN"/>
      <sheetName val="tanks"/>
      <sheetName val="EDl log"/>
      <sheetName val="graphic"/>
      <sheetName val="General information "/>
      <sheetName val="Sheet1"/>
      <sheetName val="Report"/>
      <sheetName val="Sheet5"/>
      <sheetName val="Swimming Pool quality check "/>
      <sheetName val="Degree Days 2022"/>
      <sheetName val="Utility Cost "/>
      <sheetName val="MDB"/>
      <sheetName val="Sheet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>
        <row r="36">
          <cell r="AC36">
            <v>0</v>
          </cell>
        </row>
      </sheetData>
      <sheetData sheetId="8"/>
      <sheetData sheetId="9"/>
      <sheetData sheetId="10"/>
      <sheetData sheetId="11"/>
      <sheetData sheetId="12"/>
      <sheetData sheetId="13"/>
      <sheetData sheetId="14">
        <row r="10">
          <cell r="N10">
            <v>0</v>
          </cell>
          <cell r="O10">
            <v>0</v>
          </cell>
        </row>
        <row r="11">
          <cell r="N11">
            <v>0</v>
          </cell>
          <cell r="O11">
            <v>0</v>
          </cell>
        </row>
        <row r="12">
          <cell r="N12">
            <v>24</v>
          </cell>
          <cell r="O12">
            <v>17</v>
          </cell>
        </row>
        <row r="13">
          <cell r="N13">
            <v>24</v>
          </cell>
          <cell r="O13">
            <v>16</v>
          </cell>
        </row>
        <row r="14">
          <cell r="N14">
            <v>30</v>
          </cell>
          <cell r="O14">
            <v>16</v>
          </cell>
        </row>
        <row r="15">
          <cell r="N15">
            <v>34</v>
          </cell>
          <cell r="O15">
            <v>18</v>
          </cell>
        </row>
        <row r="16">
          <cell r="N16">
            <v>21</v>
          </cell>
          <cell r="O16">
            <v>16</v>
          </cell>
        </row>
        <row r="17">
          <cell r="N17">
            <v>0</v>
          </cell>
          <cell r="O17">
            <v>0</v>
          </cell>
        </row>
        <row r="18">
          <cell r="N18">
            <v>0</v>
          </cell>
          <cell r="O18">
            <v>0</v>
          </cell>
        </row>
        <row r="19">
          <cell r="N19">
            <v>22</v>
          </cell>
          <cell r="O19">
            <v>15</v>
          </cell>
        </row>
        <row r="20">
          <cell r="N20">
            <v>21</v>
          </cell>
          <cell r="O20">
            <v>16</v>
          </cell>
        </row>
        <row r="21">
          <cell r="N21">
            <v>20</v>
          </cell>
          <cell r="O21">
            <v>16</v>
          </cell>
        </row>
        <row r="22">
          <cell r="N22">
            <v>20</v>
          </cell>
          <cell r="O22">
            <v>17</v>
          </cell>
        </row>
        <row r="23">
          <cell r="N23">
            <v>0</v>
          </cell>
          <cell r="O23">
            <v>0</v>
          </cell>
        </row>
        <row r="24">
          <cell r="N24">
            <v>0</v>
          </cell>
          <cell r="O24">
            <v>0</v>
          </cell>
        </row>
        <row r="25">
          <cell r="N25">
            <v>0</v>
          </cell>
          <cell r="O25">
            <v>0</v>
          </cell>
        </row>
        <row r="26">
          <cell r="N26">
            <v>0</v>
          </cell>
          <cell r="O26">
            <v>0</v>
          </cell>
        </row>
        <row r="27">
          <cell r="N27">
            <v>35</v>
          </cell>
          <cell r="O27">
            <v>19</v>
          </cell>
        </row>
        <row r="28">
          <cell r="N28">
            <v>21</v>
          </cell>
          <cell r="O28">
            <v>16</v>
          </cell>
        </row>
        <row r="29">
          <cell r="N29">
            <v>20</v>
          </cell>
          <cell r="O29">
            <v>16</v>
          </cell>
        </row>
        <row r="30">
          <cell r="N30">
            <v>0</v>
          </cell>
          <cell r="O30">
            <v>0</v>
          </cell>
        </row>
        <row r="31">
          <cell r="N31">
            <v>0</v>
          </cell>
          <cell r="O31">
            <v>0</v>
          </cell>
        </row>
        <row r="32">
          <cell r="N32">
            <v>0</v>
          </cell>
          <cell r="O32">
            <v>0</v>
          </cell>
        </row>
        <row r="33">
          <cell r="N33">
            <v>0</v>
          </cell>
          <cell r="O33">
            <v>0</v>
          </cell>
        </row>
        <row r="34">
          <cell r="N34">
            <v>23</v>
          </cell>
          <cell r="O34">
            <v>18</v>
          </cell>
        </row>
        <row r="35">
          <cell r="N35">
            <v>25</v>
          </cell>
          <cell r="O35">
            <v>16</v>
          </cell>
        </row>
        <row r="36">
          <cell r="N36">
            <v>23</v>
          </cell>
          <cell r="O36">
            <v>17</v>
          </cell>
        </row>
        <row r="37">
          <cell r="N37">
            <v>22</v>
          </cell>
          <cell r="O37">
            <v>19</v>
          </cell>
        </row>
        <row r="38">
          <cell r="N38">
            <v>0</v>
          </cell>
          <cell r="O38">
            <v>0</v>
          </cell>
        </row>
        <row r="39">
          <cell r="N39">
            <v>0</v>
          </cell>
          <cell r="O39">
            <v>0</v>
          </cell>
        </row>
      </sheetData>
      <sheetData sheetId="15"/>
      <sheetData sheetId="16"/>
      <sheetData sheetId="17"/>
    </sheetDataSet>
  </externalBook>
</externalLink>
</file>

<file path=xl/externalLinks/externalLink8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raphic"/>
      <sheetName val="General information "/>
      <sheetName val="tanks"/>
      <sheetName val="Sheet1"/>
      <sheetName val="Report"/>
      <sheetName val="Sheet5"/>
      <sheetName val="GEN"/>
      <sheetName val="EDl log"/>
      <sheetName val="Swimming Pool quality check "/>
      <sheetName val="Degree Days 2020"/>
      <sheetName val="Utility Cost "/>
      <sheetName val="MDB"/>
      <sheetName val="Sheet2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>
        <row r="10">
          <cell r="B10">
            <v>20</v>
          </cell>
          <cell r="D10">
            <v>-0.80000000000000071</v>
          </cell>
          <cell r="H10">
            <v>0.19999999999999929</v>
          </cell>
          <cell r="I10">
            <v>1</v>
          </cell>
          <cell r="L10">
            <v>-2.3000000000000007</v>
          </cell>
          <cell r="AA10">
            <v>-92.59999999999998</v>
          </cell>
          <cell r="AB10">
            <v>2.7999999999999936</v>
          </cell>
        </row>
        <row r="11">
          <cell r="D11">
            <v>-0.30000000000000071</v>
          </cell>
          <cell r="H11">
            <v>1.6999999999999993</v>
          </cell>
          <cell r="I11">
            <v>2</v>
          </cell>
          <cell r="L11">
            <v>-2.8000000000000007</v>
          </cell>
          <cell r="AA11">
            <v>-75.899999999999977</v>
          </cell>
          <cell r="AB11">
            <v>6.4999999999999964</v>
          </cell>
        </row>
        <row r="12">
          <cell r="D12">
            <v>0.19999999999999929</v>
          </cell>
          <cell r="H12">
            <v>-0.80000000000000071</v>
          </cell>
          <cell r="I12">
            <v>3</v>
          </cell>
          <cell r="L12">
            <v>-2.8000000000000007</v>
          </cell>
          <cell r="AA12">
            <v>-56.899999999999991</v>
          </cell>
          <cell r="AB12">
            <v>11.499999999999996</v>
          </cell>
        </row>
        <row r="13">
          <cell r="D13">
            <v>0.19999999999999929</v>
          </cell>
          <cell r="E13">
            <v>4</v>
          </cell>
          <cell r="H13">
            <v>-0.80000000000000071</v>
          </cell>
          <cell r="I13">
            <v>4</v>
          </cell>
          <cell r="L13">
            <v>-2.8000000000000007</v>
          </cell>
        </row>
        <row r="14">
          <cell r="D14">
            <v>0.69999999999999929</v>
          </cell>
          <cell r="E14">
            <v>5</v>
          </cell>
          <cell r="H14">
            <v>-0.80000000000000071</v>
          </cell>
          <cell r="I14">
            <v>5</v>
          </cell>
          <cell r="L14">
            <v>-2.8000000000000007</v>
          </cell>
        </row>
        <row r="15">
          <cell r="D15">
            <v>0.19999999999999929</v>
          </cell>
          <cell r="E15">
            <v>6</v>
          </cell>
          <cell r="H15">
            <v>-1.3000000000000007</v>
          </cell>
          <cell r="I15">
            <v>6</v>
          </cell>
          <cell r="L15">
            <v>-2.3000000000000007</v>
          </cell>
        </row>
        <row r="16">
          <cell r="D16">
            <v>-1.3000000000000007</v>
          </cell>
          <cell r="E16">
            <v>7</v>
          </cell>
          <cell r="H16">
            <v>0.69999999999999929</v>
          </cell>
          <cell r="I16">
            <v>7</v>
          </cell>
          <cell r="L16">
            <v>-1.8000000000000007</v>
          </cell>
        </row>
        <row r="17">
          <cell r="D17">
            <v>-0.80000000000000071</v>
          </cell>
          <cell r="E17">
            <v>8</v>
          </cell>
          <cell r="H17">
            <v>2.6999999999999993</v>
          </cell>
          <cell r="I17">
            <v>8</v>
          </cell>
          <cell r="L17">
            <v>-0.30000000000000071</v>
          </cell>
        </row>
        <row r="18">
          <cell r="D18">
            <v>0.19999999999999929</v>
          </cell>
          <cell r="E18">
            <v>9</v>
          </cell>
          <cell r="H18">
            <v>1.1999999999999993</v>
          </cell>
          <cell r="I18">
            <v>9</v>
          </cell>
          <cell r="L18">
            <v>1.6999999999999993</v>
          </cell>
        </row>
        <row r="19">
          <cell r="D19">
            <v>0.19999999999999929</v>
          </cell>
          <cell r="E19">
            <v>10</v>
          </cell>
          <cell r="H19">
            <v>-1.8000000000000007</v>
          </cell>
          <cell r="I19">
            <v>10</v>
          </cell>
          <cell r="L19">
            <v>-2.3000000000000007</v>
          </cell>
        </row>
        <row r="20">
          <cell r="D20">
            <v>0.69999999999999929</v>
          </cell>
          <cell r="E20">
            <v>11</v>
          </cell>
          <cell r="H20">
            <v>-2.8000000000000007</v>
          </cell>
          <cell r="I20">
            <v>11</v>
          </cell>
          <cell r="L20">
            <v>-3.8000000000000007</v>
          </cell>
        </row>
        <row r="21">
          <cell r="D21">
            <v>0.19999999999999929</v>
          </cell>
          <cell r="E21">
            <v>12</v>
          </cell>
          <cell r="H21">
            <v>-2.8000000000000007</v>
          </cell>
          <cell r="I21">
            <v>12</v>
          </cell>
          <cell r="L21">
            <v>-2.8000000000000007</v>
          </cell>
        </row>
        <row r="22">
          <cell r="D22">
            <v>-3.3000000000000007</v>
          </cell>
          <cell r="E22">
            <v>13</v>
          </cell>
          <cell r="H22">
            <v>-1.8000000000000007</v>
          </cell>
          <cell r="I22">
            <v>13</v>
          </cell>
          <cell r="L22">
            <v>-1.3000000000000007</v>
          </cell>
        </row>
        <row r="23">
          <cell r="D23">
            <v>-3.8000000000000007</v>
          </cell>
          <cell r="E23">
            <v>14</v>
          </cell>
          <cell r="H23">
            <v>-2.8000000000000007</v>
          </cell>
          <cell r="I23">
            <v>14</v>
          </cell>
          <cell r="L23">
            <v>-1.3000000000000007</v>
          </cell>
        </row>
        <row r="24">
          <cell r="D24">
            <v>-2.3000000000000007</v>
          </cell>
          <cell r="E24">
            <v>15</v>
          </cell>
          <cell r="H24">
            <v>-3.3000000000000007</v>
          </cell>
          <cell r="I24">
            <v>15</v>
          </cell>
          <cell r="L24">
            <v>-1.3000000000000007</v>
          </cell>
        </row>
        <row r="25">
          <cell r="D25">
            <v>-6.3000000000000007</v>
          </cell>
          <cell r="E25">
            <v>16</v>
          </cell>
          <cell r="H25">
            <v>-9.3000000000000007</v>
          </cell>
          <cell r="I25">
            <v>16</v>
          </cell>
          <cell r="L25">
            <v>-1.8000000000000007</v>
          </cell>
        </row>
        <row r="26">
          <cell r="D26">
            <v>-4.8000000000000007</v>
          </cell>
          <cell r="E26">
            <v>17</v>
          </cell>
          <cell r="H26">
            <v>-8.3000000000000007</v>
          </cell>
          <cell r="I26">
            <v>17</v>
          </cell>
          <cell r="L26">
            <v>-0.80000000000000071</v>
          </cell>
        </row>
        <row r="27">
          <cell r="D27">
            <v>-7.3000000000000007</v>
          </cell>
          <cell r="E27">
            <v>18</v>
          </cell>
          <cell r="H27">
            <v>-8.3000000000000007</v>
          </cell>
          <cell r="I27">
            <v>18</v>
          </cell>
          <cell r="L27">
            <v>-0.80000000000000071</v>
          </cell>
        </row>
        <row r="28">
          <cell r="D28">
            <v>-4.8000000000000007</v>
          </cell>
          <cell r="E28">
            <v>19</v>
          </cell>
          <cell r="H28">
            <v>-7.8000000000000007</v>
          </cell>
          <cell r="I28">
            <v>19</v>
          </cell>
          <cell r="L28">
            <v>-0.30000000000000071</v>
          </cell>
        </row>
        <row r="29">
          <cell r="D29">
            <v>-4.8000000000000007</v>
          </cell>
          <cell r="E29">
            <v>20</v>
          </cell>
          <cell r="H29">
            <v>-1.8000000000000007</v>
          </cell>
          <cell r="I29">
            <v>20</v>
          </cell>
          <cell r="L29">
            <v>1.1999999999999993</v>
          </cell>
        </row>
        <row r="30">
          <cell r="D30">
            <v>-5.8000000000000007</v>
          </cell>
          <cell r="E30">
            <v>21</v>
          </cell>
          <cell r="H30">
            <v>-2.8000000000000007</v>
          </cell>
          <cell r="I30">
            <v>21</v>
          </cell>
          <cell r="L30">
            <v>0.19999999999999929</v>
          </cell>
        </row>
        <row r="31">
          <cell r="D31">
            <v>-4.8000000000000007</v>
          </cell>
          <cell r="E31">
            <v>22</v>
          </cell>
          <cell r="H31">
            <v>-1.8000000000000007</v>
          </cell>
          <cell r="I31">
            <v>22</v>
          </cell>
          <cell r="L31">
            <v>1.6999999999999993</v>
          </cell>
        </row>
        <row r="32">
          <cell r="D32">
            <v>-3.3000000000000007</v>
          </cell>
          <cell r="E32">
            <v>23</v>
          </cell>
          <cell r="H32">
            <v>-2.3000000000000007</v>
          </cell>
          <cell r="I32">
            <v>23</v>
          </cell>
          <cell r="L32">
            <v>6.6999999999999993</v>
          </cell>
        </row>
        <row r="33">
          <cell r="D33">
            <v>-4.3000000000000007</v>
          </cell>
          <cell r="E33">
            <v>24</v>
          </cell>
          <cell r="H33">
            <v>-2.8000000000000007</v>
          </cell>
          <cell r="I33">
            <v>24</v>
          </cell>
          <cell r="L33">
            <v>-4.8000000000000007</v>
          </cell>
        </row>
        <row r="34">
          <cell r="D34">
            <v>-1.8000000000000007</v>
          </cell>
          <cell r="E34">
            <v>25</v>
          </cell>
          <cell r="H34">
            <v>-2.8000000000000007</v>
          </cell>
          <cell r="I34">
            <v>25</v>
          </cell>
          <cell r="L34">
            <v>-4.8000000000000007</v>
          </cell>
        </row>
        <row r="35">
          <cell r="D35">
            <v>-3.8000000000000007</v>
          </cell>
          <cell r="E35">
            <v>26</v>
          </cell>
          <cell r="H35">
            <v>-2.8000000000000007</v>
          </cell>
          <cell r="I35">
            <v>26</v>
          </cell>
          <cell r="L35">
            <v>-5.3000000000000007</v>
          </cell>
        </row>
        <row r="36">
          <cell r="D36">
            <v>-6.3000000000000007</v>
          </cell>
          <cell r="E36">
            <v>27</v>
          </cell>
          <cell r="H36">
            <v>-2.8000000000000007</v>
          </cell>
          <cell r="I36">
            <v>27</v>
          </cell>
          <cell r="L36">
            <v>-4.3000000000000007</v>
          </cell>
        </row>
        <row r="37">
          <cell r="D37">
            <v>-6.3000000000000007</v>
          </cell>
          <cell r="E37">
            <v>28</v>
          </cell>
          <cell r="H37">
            <v>-3.3000000000000007</v>
          </cell>
          <cell r="I37">
            <v>28</v>
          </cell>
          <cell r="L37">
            <v>-3.3000000000000007</v>
          </cell>
        </row>
        <row r="38">
          <cell r="D38">
            <v>-4.3000000000000007</v>
          </cell>
          <cell r="I38">
            <v>29</v>
          </cell>
          <cell r="L38">
            <v>-2.8000000000000007</v>
          </cell>
        </row>
        <row r="39">
          <cell r="D39">
            <v>-11.3</v>
          </cell>
          <cell r="I39">
            <v>30</v>
          </cell>
          <cell r="L39">
            <v>-2.3000000000000007</v>
          </cell>
        </row>
        <row r="40">
          <cell r="D40">
            <v>0.19999999999999929</v>
          </cell>
          <cell r="I40">
            <v>31</v>
          </cell>
          <cell r="L40">
            <v>-2.8000000000000007</v>
          </cell>
        </row>
      </sheetData>
      <sheetData sheetId="15" refreshError="1"/>
      <sheetData sheetId="16" refreshError="1"/>
      <sheetData sheetId="17" refreshError="1"/>
    </sheetDataSet>
  </externalBook>
</externalLink>
</file>

<file path=xl/externalLinks/externalLink9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EN"/>
      <sheetName val="tanks"/>
      <sheetName val="EDl log"/>
      <sheetName val="graphic"/>
      <sheetName val="General information "/>
      <sheetName val="Sheet1"/>
      <sheetName val="Report"/>
      <sheetName val="Sheet5"/>
      <sheetName val="Swimming Pool quality check "/>
      <sheetName val="Degree Days 2022"/>
      <sheetName val="Utility Cost "/>
      <sheetName val="MDB"/>
      <sheetName val="Sheet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>
        <row r="10">
          <cell r="F10">
            <v>17</v>
          </cell>
          <cell r="G10">
            <v>12</v>
          </cell>
        </row>
        <row r="11">
          <cell r="F11">
            <v>19</v>
          </cell>
          <cell r="G11">
            <v>11</v>
          </cell>
        </row>
        <row r="12">
          <cell r="F12">
            <v>19</v>
          </cell>
          <cell r="G12">
            <v>11</v>
          </cell>
        </row>
        <row r="13">
          <cell r="F13">
            <v>0</v>
          </cell>
          <cell r="G13">
            <v>0</v>
          </cell>
        </row>
        <row r="14">
          <cell r="F14">
            <v>0</v>
          </cell>
          <cell r="G14">
            <v>0</v>
          </cell>
        </row>
        <row r="15">
          <cell r="F15">
            <v>17</v>
          </cell>
          <cell r="G15">
            <v>12</v>
          </cell>
        </row>
        <row r="16">
          <cell r="F16">
            <v>17</v>
          </cell>
          <cell r="G16">
            <v>13</v>
          </cell>
        </row>
        <row r="17">
          <cell r="F17">
            <v>0</v>
          </cell>
          <cell r="G17">
            <v>0</v>
          </cell>
        </row>
        <row r="18">
          <cell r="F18">
            <v>21</v>
          </cell>
          <cell r="G18">
            <v>10</v>
          </cell>
        </row>
        <row r="19">
          <cell r="F19">
            <v>0</v>
          </cell>
          <cell r="G19">
            <v>0</v>
          </cell>
        </row>
        <row r="20">
          <cell r="F20">
            <v>0</v>
          </cell>
          <cell r="G20">
            <v>0</v>
          </cell>
        </row>
        <row r="21">
          <cell r="F21">
            <v>0</v>
          </cell>
          <cell r="G21">
            <v>0</v>
          </cell>
        </row>
        <row r="22">
          <cell r="F22">
            <v>17</v>
          </cell>
          <cell r="G22">
            <v>12</v>
          </cell>
        </row>
        <row r="23">
          <cell r="F23">
            <v>18</v>
          </cell>
          <cell r="G23">
            <v>12</v>
          </cell>
        </row>
        <row r="24">
          <cell r="F24">
            <v>17</v>
          </cell>
          <cell r="G24">
            <v>14</v>
          </cell>
        </row>
        <row r="25">
          <cell r="F25">
            <v>17</v>
          </cell>
          <cell r="G25">
            <v>13</v>
          </cell>
        </row>
        <row r="26">
          <cell r="F26">
            <v>18</v>
          </cell>
          <cell r="G26">
            <v>12</v>
          </cell>
        </row>
        <row r="27">
          <cell r="F27">
            <v>0</v>
          </cell>
          <cell r="G27">
            <v>0</v>
          </cell>
        </row>
        <row r="28">
          <cell r="F28">
            <v>0</v>
          </cell>
          <cell r="G28">
            <v>0</v>
          </cell>
        </row>
        <row r="29">
          <cell r="F29">
            <v>18</v>
          </cell>
          <cell r="G29">
            <v>13</v>
          </cell>
        </row>
        <row r="30">
          <cell r="F30">
            <v>19</v>
          </cell>
          <cell r="G30">
            <v>13</v>
          </cell>
        </row>
        <row r="31">
          <cell r="F31">
            <v>23</v>
          </cell>
          <cell r="G31">
            <v>14</v>
          </cell>
        </row>
        <row r="32">
          <cell r="F32">
            <v>25</v>
          </cell>
          <cell r="G32">
            <v>14</v>
          </cell>
        </row>
        <row r="33">
          <cell r="F33">
            <v>26</v>
          </cell>
          <cell r="G33">
            <v>12</v>
          </cell>
        </row>
        <row r="34">
          <cell r="F34">
            <v>0</v>
          </cell>
          <cell r="G34">
            <v>0</v>
          </cell>
        </row>
        <row r="35">
          <cell r="F35">
            <v>0</v>
          </cell>
          <cell r="G35">
            <v>0</v>
          </cell>
        </row>
        <row r="36">
          <cell r="F36">
            <v>18</v>
          </cell>
          <cell r="G36">
            <v>14</v>
          </cell>
        </row>
        <row r="37">
          <cell r="F37">
            <v>17</v>
          </cell>
          <cell r="G37">
            <v>12</v>
          </cell>
        </row>
      </sheetData>
      <sheetData sheetId="15"/>
      <sheetData sheetId="16"/>
      <sheetData sheetId="17"/>
    </sheetDataSet>
  </externalBook>
</externalLink>
</file>

<file path=xl/externalLinks/externalLink10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raphic"/>
      <sheetName val="General information "/>
      <sheetName val="tanks"/>
      <sheetName val="GEN"/>
      <sheetName val="Sheet1"/>
      <sheetName val="Report"/>
      <sheetName val="Sheet5"/>
      <sheetName val="EDl log"/>
      <sheetName val="Swimming Pool quality check "/>
      <sheetName val="Degree Days 2020"/>
      <sheetName val="Utility Cost "/>
      <sheetName val="MDB"/>
      <sheetName val="Sheet7"/>
      <sheetName val="Sheet6"/>
      <sheetName val="Sheet2"/>
      <sheetName val="Sheet3"/>
      <sheetName val="Sheet4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>
        <row r="10">
          <cell r="B10">
            <v>16</v>
          </cell>
          <cell r="M10">
            <v>1</v>
          </cell>
        </row>
        <row r="11">
          <cell r="M11">
            <v>2</v>
          </cell>
        </row>
        <row r="12">
          <cell r="M12">
            <v>3</v>
          </cell>
        </row>
        <row r="13">
          <cell r="M13">
            <v>4</v>
          </cell>
        </row>
        <row r="14">
          <cell r="M14">
            <v>5</v>
          </cell>
        </row>
        <row r="15">
          <cell r="M15">
            <v>6</v>
          </cell>
        </row>
        <row r="16">
          <cell r="M16">
            <v>7</v>
          </cell>
        </row>
        <row r="17">
          <cell r="M17">
            <v>8</v>
          </cell>
        </row>
        <row r="18">
          <cell r="M18">
            <v>9</v>
          </cell>
        </row>
        <row r="19">
          <cell r="M19">
            <v>10</v>
          </cell>
        </row>
        <row r="20">
          <cell r="M20">
            <v>11</v>
          </cell>
        </row>
        <row r="21">
          <cell r="M21">
            <v>12</v>
          </cell>
        </row>
        <row r="22">
          <cell r="M22">
            <v>13</v>
          </cell>
        </row>
        <row r="23">
          <cell r="M23">
            <v>14</v>
          </cell>
        </row>
        <row r="24">
          <cell r="M24">
            <v>15</v>
          </cell>
        </row>
        <row r="25">
          <cell r="M25">
            <v>16</v>
          </cell>
        </row>
        <row r="26">
          <cell r="M26">
            <v>17</v>
          </cell>
        </row>
        <row r="27">
          <cell r="M27">
            <v>18</v>
          </cell>
        </row>
        <row r="28">
          <cell r="M28">
            <v>19</v>
          </cell>
        </row>
        <row r="29">
          <cell r="M29">
            <v>20</v>
          </cell>
        </row>
        <row r="30">
          <cell r="M30">
            <v>21</v>
          </cell>
        </row>
        <row r="31">
          <cell r="M31">
            <v>22</v>
          </cell>
        </row>
        <row r="32">
          <cell r="M32">
            <v>23</v>
          </cell>
        </row>
        <row r="33">
          <cell r="M33">
            <v>24</v>
          </cell>
        </row>
        <row r="34">
          <cell r="M34">
            <v>25</v>
          </cell>
        </row>
        <row r="35">
          <cell r="M35">
            <v>26</v>
          </cell>
        </row>
        <row r="36">
          <cell r="M36">
            <v>27</v>
          </cell>
        </row>
        <row r="37">
          <cell r="M37">
            <v>28</v>
          </cell>
        </row>
        <row r="38">
          <cell r="M38">
            <v>29</v>
          </cell>
        </row>
        <row r="39">
          <cell r="M39">
            <v>30</v>
          </cell>
        </row>
      </sheetData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</sheetDataSet>
  </externalBook>
</externalLink>
</file>

<file path=xl/externalLinks/externalLink11.xml><?xml version="1.0" encoding="utf-8"?>
<externalLink xmlns="http://schemas.openxmlformats.org/spreadsheetml/2006/main">
  <externalBook xmlns:r="http://schemas.openxmlformats.org/officeDocument/2006/relationships" r:id="rId1">
    <sheetNames>
      <sheetName val="Total Operating Expenses"/>
      <sheetName val="Electricity"/>
      <sheetName val="Gas"/>
      <sheetName val="Other Fuels"/>
      <sheetName val="Water"/>
      <sheetName val="Budget 2021"/>
      <sheetName val="Water prod Calculation2021"/>
      <sheetName val="Electrical Calculation2021"/>
      <sheetName val="Gas calculation 2021"/>
      <sheetName val="Other Fuel Calculation 2021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>
        <row r="14">
          <cell r="I14">
            <v>25186.497311827956</v>
          </cell>
          <cell r="L14">
            <v>23542.919720430109</v>
          </cell>
        </row>
        <row r="15">
          <cell r="I15">
            <v>8701</v>
          </cell>
        </row>
      </sheetData>
      <sheetData sheetId="6" refreshError="1"/>
      <sheetData sheetId="7" refreshError="1"/>
      <sheetData sheetId="8" refreshError="1"/>
      <sheetData sheetId="9" refreshError="1"/>
      <sheetData sheetId="10" refreshError="1"/>
    </sheetDataSet>
  </externalBook>
</externalLink>
</file>

<file path=xl/externalLinks/externalLink12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EN"/>
      <sheetName val="tanks"/>
      <sheetName val="EDl log"/>
      <sheetName val="graphic"/>
      <sheetName val="General information "/>
      <sheetName val="Sheet1"/>
      <sheetName val="Report"/>
      <sheetName val="Sheet5"/>
      <sheetName val="Swimming Pool quality check "/>
      <sheetName val="Degree Days 2020"/>
      <sheetName val="Utility Cost "/>
      <sheetName val="MDB"/>
      <sheetName val="Sheet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>
        <row r="14">
          <cell r="D14">
            <v>157.19999999999999</v>
          </cell>
        </row>
        <row r="15">
          <cell r="D15">
            <v>0</v>
          </cell>
        </row>
        <row r="16">
          <cell r="D16">
            <v>20.951612903225808</v>
          </cell>
        </row>
        <row r="17">
          <cell r="D17">
            <v>0</v>
          </cell>
        </row>
        <row r="18">
          <cell r="D18">
            <v>172.73885330486587</v>
          </cell>
        </row>
      </sheetData>
      <sheetData sheetId="16"/>
      <sheetData sheetId="17"/>
    </sheetDataSet>
  </externalBook>
</externalLink>
</file>

<file path=xl/externalLinks/externalLink13.xml><?xml version="1.0" encoding="utf-8"?>
<externalLink xmlns="http://schemas.openxmlformats.org/spreadsheetml/2006/main">
  <externalBook xmlns:r="http://schemas.openxmlformats.org/officeDocument/2006/relationships" r:id="rId1">
    <sheetNames>
      <sheetName val="Total Operating Expenses"/>
      <sheetName val="Electricity"/>
      <sheetName val="Gas"/>
      <sheetName val="Other Fuels"/>
      <sheetName val="Water"/>
      <sheetName val="Budget 2021"/>
      <sheetName val="Water prod Calculation2021"/>
      <sheetName val="Electrical Calculation2021"/>
      <sheetName val="Gas calculation 2021"/>
      <sheetName val="Other Fuel Calculation 2021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>
        <row r="12">
          <cell r="B12">
            <v>19000</v>
          </cell>
        </row>
      </sheetData>
      <sheetData sheetId="6" refreshError="1"/>
      <sheetData sheetId="7" refreshError="1"/>
      <sheetData sheetId="8" refreshError="1"/>
      <sheetData sheetId="9">
        <row r="116">
          <cell r="G116">
            <v>202.66666666666666</v>
          </cell>
        </row>
      </sheetData>
      <sheetData sheetId="1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E1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>
          <a:outerShdw dist="35921" dir="2700000" algn="ctr" rotWithShape="0">
            <a:srgbClr val="000000"/>
          </a:outerShdw>
        </a:effec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E1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>
          <a:outerShdw dist="35921" dir="2700000" algn="ctr" rotWithShape="0">
            <a:srgbClr val="000000"/>
          </a:outerShdw>
        </a:effectLst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6.bin"/><Relationship Id="rId4" Type="http://schemas.openxmlformats.org/officeDocument/2006/relationships/comments" Target="../comments1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6.xml"/><Relationship Id="rId2" Type="http://schemas.openxmlformats.org/officeDocument/2006/relationships/printerSettings" Target="../printerSettings/printerSettings10.bin"/><Relationship Id="rId1" Type="http://schemas.openxmlformats.org/officeDocument/2006/relationships/hyperlink" Target="http://www.accuweather.com/en/lb/lebanon-weather" TargetMode="Externa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7.xml"/><Relationship Id="rId2" Type="http://schemas.openxmlformats.org/officeDocument/2006/relationships/printerSettings" Target="../printerSettings/printerSettings15.bin"/><Relationship Id="rId1" Type="http://schemas.openxmlformats.org/officeDocument/2006/relationships/hyperlink" Target="http://www.accuweather.com/en/lb/beirut" TargetMode="External"/><Relationship Id="rId5" Type="http://schemas.openxmlformats.org/officeDocument/2006/relationships/comments" Target="../comments2.xml"/><Relationship Id="rId4" Type="http://schemas.openxmlformats.org/officeDocument/2006/relationships/vmlDrawing" Target="../drawings/vmlDrawing2.v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O32"/>
  <sheetViews>
    <sheetView workbookViewId="0">
      <selection activeCell="B32" sqref="B32:O32"/>
    </sheetView>
  </sheetViews>
  <sheetFormatPr defaultColWidth="11.5703125" defaultRowHeight="15"/>
  <cols>
    <col min="1" max="1" width="10.140625" bestFit="1" customWidth="1"/>
    <col min="2" max="2" width="4.28515625" bestFit="1" customWidth="1"/>
    <col min="3" max="3" width="6.7109375" bestFit="1" customWidth="1"/>
    <col min="4" max="4" width="6" bestFit="1" customWidth="1"/>
    <col min="5" max="5" width="10.5703125" bestFit="1" customWidth="1"/>
    <col min="6" max="6" width="9.7109375" bestFit="1" customWidth="1"/>
    <col min="7" max="10" width="11.7109375" bestFit="1" customWidth="1"/>
    <col min="11" max="11" width="14.28515625" bestFit="1" customWidth="1"/>
    <col min="12" max="12" width="12.28515625" style="281" bestFit="1" customWidth="1"/>
    <col min="13" max="13" width="12.28515625" style="281" customWidth="1"/>
    <col min="14" max="14" width="12.28515625" style="470" customWidth="1"/>
    <col min="15" max="15" width="11.7109375" bestFit="1" customWidth="1"/>
  </cols>
  <sheetData>
    <row r="1" spans="1:15" ht="45">
      <c r="A1" s="576" t="s">
        <v>338</v>
      </c>
      <c r="B1" s="576" t="s">
        <v>198</v>
      </c>
      <c r="C1" s="576" t="s">
        <v>339</v>
      </c>
      <c r="D1" s="576" t="s">
        <v>340</v>
      </c>
      <c r="E1" s="577" t="s">
        <v>350</v>
      </c>
      <c r="F1" s="577" t="s">
        <v>351</v>
      </c>
      <c r="G1" s="577" t="s">
        <v>411</v>
      </c>
      <c r="H1" s="577" t="s">
        <v>352</v>
      </c>
      <c r="I1" s="577" t="s">
        <v>353</v>
      </c>
      <c r="J1" s="577" t="s">
        <v>354</v>
      </c>
      <c r="K1" s="577" t="s">
        <v>355</v>
      </c>
      <c r="L1" s="577" t="s">
        <v>356</v>
      </c>
      <c r="M1" s="578" t="s">
        <v>397</v>
      </c>
      <c r="N1" s="468" t="s">
        <v>398</v>
      </c>
      <c r="O1" s="577" t="s">
        <v>341</v>
      </c>
    </row>
    <row r="2" spans="1:15">
      <c r="A2" t="s">
        <v>342</v>
      </c>
      <c r="B2">
        <v>1</v>
      </c>
      <c r="C2">
        <v>6</v>
      </c>
      <c r="D2">
        <v>2022</v>
      </c>
      <c r="E2" s="203">
        <f>ELEC!N4</f>
        <v>3033</v>
      </c>
      <c r="F2" s="315">
        <f>SUM('EDl log'!T4)</f>
        <v>0.38793047778020601</v>
      </c>
      <c r="G2" s="203">
        <f>-tanks!AW6</f>
        <v>227</v>
      </c>
      <c r="H2" s="315">
        <f>tanks!AV6</f>
        <v>1.04</v>
      </c>
      <c r="I2" s="10">
        <f>('B5'!AU5)*0.51</f>
        <v>0</v>
      </c>
      <c r="J2" s="296">
        <f>'B5'!AX5/0.51</f>
        <v>1.5686274509803921</v>
      </c>
      <c r="K2" s="203">
        <f>WATER!I6</f>
        <v>0</v>
      </c>
      <c r="L2" s="316">
        <f>SUM(WATER!J6)</f>
        <v>0</v>
      </c>
      <c r="M2" s="316">
        <f>WATER!Q6</f>
        <v>0</v>
      </c>
      <c r="N2" s="469">
        <v>0.6</v>
      </c>
      <c r="O2" s="10">
        <f>ELEC!B4</f>
        <v>0</v>
      </c>
    </row>
    <row r="3" spans="1:15">
      <c r="A3" t="s">
        <v>342</v>
      </c>
      <c r="B3">
        <f>B2+1</f>
        <v>2</v>
      </c>
      <c r="C3">
        <v>6</v>
      </c>
      <c r="D3">
        <f>D2</f>
        <v>2022</v>
      </c>
      <c r="E3" s="203">
        <f>ELEC!N5</f>
        <v>3021</v>
      </c>
      <c r="F3" s="315">
        <f>SUM('EDl log'!T5)</f>
        <v>0.38045485190274442</v>
      </c>
      <c r="G3" s="203">
        <f>-tanks!AW7</f>
        <v>31</v>
      </c>
      <c r="H3" s="315">
        <f>tanks!AV7</f>
        <v>1.04</v>
      </c>
      <c r="I3" s="10">
        <f>('B5'!AU6)*0.51</f>
        <v>0</v>
      </c>
      <c r="J3" s="296">
        <f>'B5'!AX6/0.51</f>
        <v>1.5686274509803921</v>
      </c>
      <c r="K3" s="203">
        <f>WATER!I7</f>
        <v>118</v>
      </c>
      <c r="L3" s="316">
        <f>SUM(WATER!J7)</f>
        <v>2.1186440677966103</v>
      </c>
      <c r="M3" s="316">
        <f>WATER!Q7</f>
        <v>0</v>
      </c>
      <c r="N3" s="469">
        <v>0.6</v>
      </c>
      <c r="O3" s="10">
        <f>ELEC!B5</f>
        <v>0</v>
      </c>
    </row>
    <row r="4" spans="1:15">
      <c r="A4" t="s">
        <v>342</v>
      </c>
      <c r="B4">
        <f t="shared" ref="B4:B31" si="0">B3+1</f>
        <v>3</v>
      </c>
      <c r="C4">
        <v>6</v>
      </c>
      <c r="D4">
        <f t="shared" ref="D4:D31" si="1">D3</f>
        <v>2022</v>
      </c>
      <c r="E4" s="203">
        <f>ELEC!N6</f>
        <v>0</v>
      </c>
      <c r="F4" s="315">
        <f>SUM('EDl log'!T6)</f>
        <v>0</v>
      </c>
      <c r="G4" s="203">
        <f>-tanks!AW8</f>
        <v>0</v>
      </c>
      <c r="H4" s="315">
        <f>tanks!AV8</f>
        <v>1.04</v>
      </c>
      <c r="I4" s="10">
        <f>('B5'!AU7)*0.51</f>
        <v>0</v>
      </c>
      <c r="J4" s="296">
        <f>'B5'!AX7/0.51</f>
        <v>1.5686274509803921</v>
      </c>
      <c r="K4" s="203">
        <f>WATER!I8</f>
        <v>0</v>
      </c>
      <c r="L4" s="316">
        <f>SUM(WATER!J8)</f>
        <v>0</v>
      </c>
      <c r="M4" s="316">
        <f>WATER!Q8</f>
        <v>0</v>
      </c>
      <c r="N4" s="469">
        <v>0.6</v>
      </c>
      <c r="O4" s="10">
        <f>ELEC!B6</f>
        <v>0</v>
      </c>
    </row>
    <row r="5" spans="1:15">
      <c r="A5" t="s">
        <v>342</v>
      </c>
      <c r="B5">
        <f t="shared" si="0"/>
        <v>4</v>
      </c>
      <c r="C5">
        <v>6</v>
      </c>
      <c r="D5">
        <f t="shared" si="1"/>
        <v>2022</v>
      </c>
      <c r="E5" s="203">
        <f>ELEC!N7</f>
        <v>0</v>
      </c>
      <c r="F5" s="315">
        <f>SUM('EDl log'!T7)</f>
        <v>0</v>
      </c>
      <c r="G5" s="203">
        <f>-tanks!AW9</f>
        <v>0</v>
      </c>
      <c r="H5" s="315">
        <f>tanks!AV9</f>
        <v>1.04</v>
      </c>
      <c r="I5" s="10">
        <f>('B5'!AU8)*0.51</f>
        <v>0</v>
      </c>
      <c r="J5" s="296">
        <f>'B5'!AX8/0.51</f>
        <v>1.5686274509803921</v>
      </c>
      <c r="K5" s="203">
        <f>WATER!I9</f>
        <v>0</v>
      </c>
      <c r="L5" s="316">
        <f>SUM(WATER!J9)</f>
        <v>0</v>
      </c>
      <c r="M5" s="316">
        <f>WATER!Q9</f>
        <v>0</v>
      </c>
      <c r="N5" s="469">
        <v>0.6</v>
      </c>
      <c r="O5" s="10">
        <f>ELEC!B7</f>
        <v>0</v>
      </c>
    </row>
    <row r="6" spans="1:15">
      <c r="A6" t="s">
        <v>342</v>
      </c>
      <c r="B6">
        <f t="shared" si="0"/>
        <v>5</v>
      </c>
      <c r="C6">
        <v>6</v>
      </c>
      <c r="D6">
        <f t="shared" si="1"/>
        <v>2022</v>
      </c>
      <c r="E6" s="203">
        <f>ELEC!N8</f>
        <v>3034.1999999992549</v>
      </c>
      <c r="F6" s="315">
        <f>SUM('EDl log'!T8)</f>
        <v>0.35650455065535369</v>
      </c>
      <c r="G6" s="203">
        <f>-tanks!AW10</f>
        <v>157</v>
      </c>
      <c r="H6" s="315">
        <f>tanks!AV10</f>
        <v>1.04</v>
      </c>
      <c r="I6" s="10">
        <f>('B5'!AU9)*0.51</f>
        <v>0</v>
      </c>
      <c r="J6" s="296">
        <f>'B5'!AX9/0.51</f>
        <v>1.5686274509803921</v>
      </c>
      <c r="K6" s="203">
        <f>WATER!I10</f>
        <v>0</v>
      </c>
      <c r="L6" s="316">
        <f>SUM(WATER!J10)</f>
        <v>0</v>
      </c>
      <c r="M6" s="316">
        <f>WATER!Q10</f>
        <v>0</v>
      </c>
      <c r="N6" s="469">
        <v>0.6</v>
      </c>
      <c r="O6" s="10">
        <f>ELEC!B8</f>
        <v>0</v>
      </c>
    </row>
    <row r="7" spans="1:15">
      <c r="A7" t="s">
        <v>342</v>
      </c>
      <c r="B7">
        <f t="shared" si="0"/>
        <v>6</v>
      </c>
      <c r="C7">
        <v>6</v>
      </c>
      <c r="D7">
        <f t="shared" si="1"/>
        <v>2022</v>
      </c>
      <c r="E7" s="203">
        <f>ELEC!N9</f>
        <v>3098.8000000007451</v>
      </c>
      <c r="F7" s="315">
        <f>SUM('EDl log'!T9)</f>
        <v>0.6057179400926278</v>
      </c>
      <c r="G7" s="203">
        <f>-tanks!AW11</f>
        <v>112</v>
      </c>
      <c r="H7" s="315">
        <f>tanks!AV11</f>
        <v>1.04</v>
      </c>
      <c r="I7" s="10">
        <f>('B5'!AU10)*0.51</f>
        <v>0</v>
      </c>
      <c r="J7" s="296">
        <f>'B5'!AX10/0.51</f>
        <v>1.5686274509803921</v>
      </c>
      <c r="K7" s="203">
        <f>WATER!I11</f>
        <v>71</v>
      </c>
      <c r="L7" s="316">
        <f>SUM(WATER!J11)</f>
        <v>3.5211267605633805</v>
      </c>
      <c r="M7" s="316">
        <f>WATER!Q11</f>
        <v>0</v>
      </c>
      <c r="N7" s="469">
        <v>0.6</v>
      </c>
      <c r="O7" s="10">
        <f>ELEC!B9</f>
        <v>0</v>
      </c>
    </row>
    <row r="8" spans="1:15">
      <c r="A8" t="s">
        <v>342</v>
      </c>
      <c r="B8">
        <f t="shared" si="0"/>
        <v>7</v>
      </c>
      <c r="C8">
        <v>6</v>
      </c>
      <c r="D8">
        <f t="shared" si="1"/>
        <v>2022</v>
      </c>
      <c r="E8" s="203">
        <f>ELEC!N10</f>
        <v>2865</v>
      </c>
      <c r="F8" s="315">
        <f>SUM('EDl log'!T10)</f>
        <v>0.27464539221611844</v>
      </c>
      <c r="G8" s="203">
        <f>-tanks!AW12</f>
        <v>123</v>
      </c>
      <c r="H8" s="315">
        <f>tanks!AV12</f>
        <v>1.04</v>
      </c>
      <c r="I8" s="10">
        <f>('B5'!AU11)*0.51</f>
        <v>30.6</v>
      </c>
      <c r="J8" s="296">
        <f>'B5'!AX11/0.51</f>
        <v>1.5686274509803921</v>
      </c>
      <c r="K8" s="203">
        <f>WATER!I12</f>
        <v>25</v>
      </c>
      <c r="L8" s="316">
        <f>SUM(WATER!J12)</f>
        <v>10</v>
      </c>
      <c r="M8" s="316">
        <f>WATER!Q12</f>
        <v>0</v>
      </c>
      <c r="N8" s="469">
        <v>0.6</v>
      </c>
      <c r="O8" s="10">
        <f>ELEC!B10</f>
        <v>0</v>
      </c>
    </row>
    <row r="9" spans="1:15">
      <c r="A9" t="s">
        <v>342</v>
      </c>
      <c r="B9">
        <f t="shared" si="0"/>
        <v>8</v>
      </c>
      <c r="C9">
        <v>6</v>
      </c>
      <c r="D9">
        <f t="shared" si="1"/>
        <v>2022</v>
      </c>
      <c r="E9" s="203">
        <f>ELEC!N11</f>
        <v>2797</v>
      </c>
      <c r="F9" s="315">
        <f>SUM('EDl log'!T11)</f>
        <v>0.5806911288248976</v>
      </c>
      <c r="G9" s="203">
        <f>-tanks!AW13</f>
        <v>146</v>
      </c>
      <c r="H9" s="315">
        <f>tanks!AV13</f>
        <v>1.147</v>
      </c>
      <c r="I9" s="10">
        <f>('B5'!AU12)*0.51</f>
        <v>0</v>
      </c>
      <c r="J9" s="296">
        <f>'B5'!AX12/0.51</f>
        <v>1.5686274509803921</v>
      </c>
      <c r="K9" s="203">
        <f>WATER!I13</f>
        <v>0</v>
      </c>
      <c r="L9" s="316">
        <f>SUM(WATER!J13)</f>
        <v>0</v>
      </c>
      <c r="M9" s="316">
        <f>WATER!Q13</f>
        <v>0</v>
      </c>
      <c r="N9" s="469">
        <v>0.6</v>
      </c>
      <c r="O9" s="10">
        <f>ELEC!B11</f>
        <v>0</v>
      </c>
    </row>
    <row r="10" spans="1:15">
      <c r="A10" t="s">
        <v>342</v>
      </c>
      <c r="B10">
        <f t="shared" si="0"/>
        <v>9</v>
      </c>
      <c r="C10">
        <v>6</v>
      </c>
      <c r="D10">
        <f t="shared" si="1"/>
        <v>2022</v>
      </c>
      <c r="E10" s="203">
        <f>ELEC!N12</f>
        <v>2912</v>
      </c>
      <c r="F10" s="315">
        <f>SUM('EDl log'!T12)</f>
        <v>0.1557420300815823</v>
      </c>
      <c r="G10" s="203">
        <f>-tanks!AW14</f>
        <v>44</v>
      </c>
      <c r="H10" s="315">
        <f>tanks!AV14</f>
        <v>1.147</v>
      </c>
      <c r="I10" s="10">
        <f>('B5'!AU13)*0.51</f>
        <v>15.3</v>
      </c>
      <c r="J10" s="296">
        <f>'B5'!AX13/0.51</f>
        <v>1.5686274509803921</v>
      </c>
      <c r="K10" s="203">
        <f>WATER!I14</f>
        <v>0</v>
      </c>
      <c r="L10" s="316">
        <f>SUM(WATER!J14)</f>
        <v>0</v>
      </c>
      <c r="M10" s="316">
        <f>WATER!Q14</f>
        <v>0</v>
      </c>
      <c r="N10" s="469">
        <v>0.6</v>
      </c>
      <c r="O10" s="10">
        <f>ELEC!B12</f>
        <v>0</v>
      </c>
    </row>
    <row r="11" spans="1:15">
      <c r="A11" t="s">
        <v>342</v>
      </c>
      <c r="B11">
        <f t="shared" si="0"/>
        <v>10</v>
      </c>
      <c r="C11">
        <v>6</v>
      </c>
      <c r="D11">
        <f t="shared" si="1"/>
        <v>2022</v>
      </c>
      <c r="E11" s="203">
        <f>ELEC!N13</f>
        <v>0</v>
      </c>
      <c r="F11" s="315">
        <f>SUM('EDl log'!T13)</f>
        <v>0</v>
      </c>
      <c r="G11" s="203">
        <f>-tanks!AW15</f>
        <v>0</v>
      </c>
      <c r="H11" s="315">
        <f>tanks!AV15</f>
        <v>1.147</v>
      </c>
      <c r="I11" s="10">
        <f>('B5'!AU14)*0.51</f>
        <v>0</v>
      </c>
      <c r="J11" s="296">
        <f>'B5'!AX14/0.51</f>
        <v>1.5686274509803921</v>
      </c>
      <c r="K11" s="203">
        <f>WATER!I15</f>
        <v>0</v>
      </c>
      <c r="L11" s="316">
        <f>SUM(WATER!J15)</f>
        <v>0</v>
      </c>
      <c r="M11" s="316">
        <f>WATER!Q15</f>
        <v>0</v>
      </c>
      <c r="N11" s="469">
        <v>0.6</v>
      </c>
      <c r="O11" s="10">
        <f>ELEC!B13</f>
        <v>0</v>
      </c>
    </row>
    <row r="12" spans="1:15">
      <c r="A12" t="s">
        <v>342</v>
      </c>
      <c r="B12">
        <f t="shared" si="0"/>
        <v>11</v>
      </c>
      <c r="C12">
        <v>6</v>
      </c>
      <c r="D12">
        <f t="shared" si="1"/>
        <v>2022</v>
      </c>
      <c r="E12" s="203">
        <f>ELEC!N14</f>
        <v>0</v>
      </c>
      <c r="F12" s="315">
        <f>SUM('EDl log'!T14)</f>
        <v>0</v>
      </c>
      <c r="G12" s="203">
        <f>-tanks!AW16</f>
        <v>0</v>
      </c>
      <c r="H12" s="315">
        <f>tanks!AV16</f>
        <v>1.147</v>
      </c>
      <c r="I12" s="10">
        <f>('B5'!AU15)*0.51</f>
        <v>0</v>
      </c>
      <c r="J12" s="296">
        <f>'B5'!AX15/0.51</f>
        <v>1.5686274509803921</v>
      </c>
      <c r="K12" s="203">
        <f>WATER!I16</f>
        <v>0</v>
      </c>
      <c r="L12" s="316">
        <f>SUM(WATER!J16)</f>
        <v>0</v>
      </c>
      <c r="M12" s="316">
        <f>WATER!Q16</f>
        <v>0</v>
      </c>
      <c r="N12" s="469">
        <v>0.6</v>
      </c>
      <c r="O12" s="10">
        <f>ELEC!B14</f>
        <v>0</v>
      </c>
    </row>
    <row r="13" spans="1:15">
      <c r="A13" t="s">
        <v>342</v>
      </c>
      <c r="B13">
        <f t="shared" si="0"/>
        <v>12</v>
      </c>
      <c r="C13">
        <v>6</v>
      </c>
      <c r="D13">
        <f t="shared" si="1"/>
        <v>2022</v>
      </c>
      <c r="E13" s="203">
        <f>ELEC!N15</f>
        <v>2686</v>
      </c>
      <c r="F13" s="315">
        <f>SUM('EDl log'!T15)</f>
        <v>0.31784182485783036</v>
      </c>
      <c r="G13" s="203">
        <f>-tanks!AW17</f>
        <v>116</v>
      </c>
      <c r="H13" s="315">
        <f>tanks!AV17</f>
        <v>1.147</v>
      </c>
      <c r="I13" s="10">
        <f>('B5'!AU16)*0.51</f>
        <v>0</v>
      </c>
      <c r="J13" s="296">
        <f>'B5'!AX16/0.51</f>
        <v>1.5686274509803921</v>
      </c>
      <c r="K13" s="203">
        <f>WATER!I17</f>
        <v>0</v>
      </c>
      <c r="L13" s="316">
        <f>SUM(WATER!J17)</f>
        <v>0</v>
      </c>
      <c r="M13" s="316">
        <f>WATER!Q17</f>
        <v>0</v>
      </c>
      <c r="N13" s="469">
        <v>0.6</v>
      </c>
      <c r="O13" s="10">
        <f>ELEC!B15</f>
        <v>0</v>
      </c>
    </row>
    <row r="14" spans="1:15">
      <c r="A14" t="s">
        <v>342</v>
      </c>
      <c r="B14">
        <f t="shared" si="0"/>
        <v>13</v>
      </c>
      <c r="C14">
        <v>6</v>
      </c>
      <c r="D14">
        <f t="shared" si="1"/>
        <v>2022</v>
      </c>
      <c r="E14" s="203">
        <f>ELEC!N16</f>
        <v>2997</v>
      </c>
      <c r="F14" s="315">
        <f>SUM('EDl log'!T16)</f>
        <v>0.55293385143793339</v>
      </c>
      <c r="G14" s="203">
        <f>-tanks!AW18</f>
        <v>224</v>
      </c>
      <c r="H14" s="315">
        <f>tanks!AV18</f>
        <v>1.147</v>
      </c>
      <c r="I14" s="10">
        <f>('B5'!AU17)*0.51</f>
        <v>0</v>
      </c>
      <c r="J14" s="296">
        <f>'B5'!AX17/0.51</f>
        <v>1.5686274509803921</v>
      </c>
      <c r="K14" s="203">
        <f>WATER!I18</f>
        <v>0</v>
      </c>
      <c r="L14" s="316">
        <f>SUM(WATER!J18)</f>
        <v>0</v>
      </c>
      <c r="M14" s="316">
        <f>WATER!Q18</f>
        <v>0</v>
      </c>
      <c r="N14" s="469">
        <v>0.6</v>
      </c>
      <c r="O14" s="10">
        <f>ELEC!B16</f>
        <v>0</v>
      </c>
    </row>
    <row r="15" spans="1:15">
      <c r="A15" t="s">
        <v>342</v>
      </c>
      <c r="B15">
        <f t="shared" si="0"/>
        <v>14</v>
      </c>
      <c r="C15">
        <v>6</v>
      </c>
      <c r="D15">
        <f t="shared" si="1"/>
        <v>2022</v>
      </c>
      <c r="E15" s="203">
        <f>ELEC!N17</f>
        <v>3188</v>
      </c>
      <c r="F15" s="315">
        <f>SUM('EDl log'!T17)</f>
        <v>2.1274870459114609E-2</v>
      </c>
      <c r="G15" s="203">
        <f>-tanks!AW19</f>
        <v>72</v>
      </c>
      <c r="H15" s="315">
        <f>tanks!AV19</f>
        <v>1.2689999999999999</v>
      </c>
      <c r="I15" s="10">
        <f>('B5'!AU18)*0.51</f>
        <v>15.3</v>
      </c>
      <c r="J15" s="296">
        <f>'B5'!AX18/0.51</f>
        <v>1.5686274509803921</v>
      </c>
      <c r="K15" s="203">
        <f>WATER!I19</f>
        <v>147</v>
      </c>
      <c r="L15" s="316">
        <f>SUM(WATER!J19)</f>
        <v>1.7006802721088434</v>
      </c>
      <c r="M15" s="316">
        <f>WATER!Q19</f>
        <v>0</v>
      </c>
      <c r="N15" s="469">
        <v>0.6</v>
      </c>
      <c r="O15" s="10">
        <f>ELEC!B17</f>
        <v>0</v>
      </c>
    </row>
    <row r="16" spans="1:15">
      <c r="A16" t="s">
        <v>342</v>
      </c>
      <c r="B16">
        <f t="shared" si="0"/>
        <v>15</v>
      </c>
      <c r="C16">
        <v>6</v>
      </c>
      <c r="D16">
        <f t="shared" si="1"/>
        <v>2022</v>
      </c>
      <c r="E16" s="203">
        <f>ELEC!N18</f>
        <v>3113</v>
      </c>
      <c r="F16" s="315">
        <f>SUM('EDl log'!T18)</f>
        <v>0.55600088427868266</v>
      </c>
      <c r="G16" s="203">
        <f>-tanks!AW20</f>
        <v>233</v>
      </c>
      <c r="H16" s="315">
        <f>tanks!AV20</f>
        <v>1.2689999999999999</v>
      </c>
      <c r="I16" s="10">
        <f>('B5'!AU19)*0.51</f>
        <v>0</v>
      </c>
      <c r="J16" s="296">
        <f>'B5'!AX19/0.51</f>
        <v>1.5686274509803921</v>
      </c>
      <c r="K16" s="203">
        <f>WATER!I20</f>
        <v>0</v>
      </c>
      <c r="L16" s="316">
        <f>SUM(WATER!J20)</f>
        <v>0</v>
      </c>
      <c r="M16" s="316">
        <f>WATER!Q20</f>
        <v>0</v>
      </c>
      <c r="N16" s="469">
        <v>0.6</v>
      </c>
      <c r="O16" s="10">
        <f>ELEC!B18</f>
        <v>0</v>
      </c>
    </row>
    <row r="17" spans="1:15">
      <c r="A17" t="s">
        <v>342</v>
      </c>
      <c r="B17">
        <f t="shared" si="0"/>
        <v>16</v>
      </c>
      <c r="C17">
        <v>6</v>
      </c>
      <c r="D17">
        <f t="shared" si="1"/>
        <v>2022</v>
      </c>
      <c r="E17" s="203">
        <f>ELEC!N19</f>
        <v>0</v>
      </c>
      <c r="F17" s="315">
        <f>SUM('EDl log'!T19)</f>
        <v>0</v>
      </c>
      <c r="G17" s="203">
        <f>-tanks!AW21</f>
        <v>0</v>
      </c>
      <c r="H17" s="315">
        <f>tanks!AV21</f>
        <v>1.2689999999999999</v>
      </c>
      <c r="I17" s="10">
        <f>('B5'!AU20)*0.51</f>
        <v>0</v>
      </c>
      <c r="J17" s="296">
        <f>'B5'!AX20/0.51</f>
        <v>1.5686274509803921</v>
      </c>
      <c r="K17" s="203">
        <f>WATER!I21</f>
        <v>0</v>
      </c>
      <c r="L17" s="316">
        <f>SUM(WATER!J21)</f>
        <v>0</v>
      </c>
      <c r="M17" s="316">
        <f>WATER!Q21</f>
        <v>0</v>
      </c>
      <c r="N17" s="469">
        <v>0.6</v>
      </c>
      <c r="O17" s="10">
        <f>ELEC!B19</f>
        <v>0</v>
      </c>
    </row>
    <row r="18" spans="1:15">
      <c r="A18" t="s">
        <v>342</v>
      </c>
      <c r="B18">
        <f t="shared" si="0"/>
        <v>17</v>
      </c>
      <c r="C18">
        <v>6</v>
      </c>
      <c r="D18">
        <f t="shared" si="1"/>
        <v>2022</v>
      </c>
      <c r="E18" s="203">
        <f>ELEC!N20</f>
        <v>0</v>
      </c>
      <c r="F18" s="315">
        <f>SUM('EDl log'!T20)</f>
        <v>0</v>
      </c>
      <c r="G18" s="203">
        <f>-tanks!AW22</f>
        <v>0</v>
      </c>
      <c r="H18" s="315">
        <f>tanks!AV22</f>
        <v>1.2689999999999999</v>
      </c>
      <c r="I18" s="10">
        <f>('B5'!AU21)*0.51</f>
        <v>0</v>
      </c>
      <c r="J18" s="296">
        <f>'B5'!AX21/0.51</f>
        <v>1.5686274509803921</v>
      </c>
      <c r="K18" s="203">
        <f>WATER!I22</f>
        <v>0</v>
      </c>
      <c r="L18" s="316">
        <f>SUM(WATER!J22)</f>
        <v>0</v>
      </c>
      <c r="M18" s="316">
        <f>WATER!Q22</f>
        <v>0</v>
      </c>
      <c r="N18" s="469">
        <v>0.6</v>
      </c>
      <c r="O18" s="10">
        <f>ELEC!B20</f>
        <v>0</v>
      </c>
    </row>
    <row r="19" spans="1:15">
      <c r="A19" t="s">
        <v>342</v>
      </c>
      <c r="B19">
        <f t="shared" si="0"/>
        <v>18</v>
      </c>
      <c r="C19">
        <v>6</v>
      </c>
      <c r="D19">
        <f t="shared" si="1"/>
        <v>2022</v>
      </c>
      <c r="E19" s="203">
        <f>ELEC!N21</f>
        <v>0</v>
      </c>
      <c r="F19" s="315">
        <f>SUM('EDl log'!T21)</f>
        <v>0</v>
      </c>
      <c r="G19" s="203">
        <f>-tanks!AW23</f>
        <v>0</v>
      </c>
      <c r="H19" s="315">
        <f>tanks!AV23</f>
        <v>1.2689999999999999</v>
      </c>
      <c r="I19" s="10">
        <f>('B5'!AU22)*0.51</f>
        <v>0</v>
      </c>
      <c r="J19" s="296">
        <f>'B5'!AX22/0.51</f>
        <v>1.5686274509803921</v>
      </c>
      <c r="K19" s="203">
        <f>WATER!I23</f>
        <v>0</v>
      </c>
      <c r="L19" s="316">
        <f>SUM(WATER!J23)</f>
        <v>0</v>
      </c>
      <c r="M19" s="316">
        <f>WATER!Q23</f>
        <v>0</v>
      </c>
      <c r="N19" s="469">
        <v>0.6</v>
      </c>
      <c r="O19" s="10">
        <f>ELEC!B21</f>
        <v>0</v>
      </c>
    </row>
    <row r="20" spans="1:15">
      <c r="A20" t="s">
        <v>342</v>
      </c>
      <c r="B20">
        <f t="shared" si="0"/>
        <v>19</v>
      </c>
      <c r="C20">
        <v>6</v>
      </c>
      <c r="D20">
        <f t="shared" si="1"/>
        <v>2022</v>
      </c>
      <c r="E20" s="203">
        <f>ELEC!N22</f>
        <v>0</v>
      </c>
      <c r="F20" s="315">
        <f>SUM('EDl log'!T22)</f>
        <v>0</v>
      </c>
      <c r="G20" s="203">
        <f>-tanks!AW24</f>
        <v>0</v>
      </c>
      <c r="H20" s="315">
        <f>tanks!AV24</f>
        <v>1.2689999999999999</v>
      </c>
      <c r="I20" s="10">
        <f>('B5'!AU23)*0.51</f>
        <v>0</v>
      </c>
      <c r="J20" s="296">
        <f>'B5'!AX23/0.51</f>
        <v>1.5686274509803921</v>
      </c>
      <c r="K20" s="203">
        <f>WATER!I24</f>
        <v>0</v>
      </c>
      <c r="L20" s="316">
        <f>SUM(WATER!J24)</f>
        <v>0</v>
      </c>
      <c r="M20" s="316">
        <f>WATER!Q24</f>
        <v>0</v>
      </c>
      <c r="N20" s="469">
        <v>0.6</v>
      </c>
      <c r="O20" s="10">
        <f>ELEC!B22</f>
        <v>0</v>
      </c>
    </row>
    <row r="21" spans="1:15">
      <c r="A21" t="s">
        <v>342</v>
      </c>
      <c r="B21">
        <f t="shared" si="0"/>
        <v>20</v>
      </c>
      <c r="C21">
        <v>6</v>
      </c>
      <c r="D21">
        <f t="shared" si="1"/>
        <v>2022</v>
      </c>
      <c r="E21" s="203">
        <f>ELEC!N23</f>
        <v>0</v>
      </c>
      <c r="F21" s="315">
        <f>SUM('EDl log'!T23)</f>
        <v>0</v>
      </c>
      <c r="G21" s="203">
        <f>-tanks!AW25</f>
        <v>0</v>
      </c>
      <c r="H21" s="315">
        <f>tanks!AV25</f>
        <v>1.2689999999999999</v>
      </c>
      <c r="I21" s="10">
        <f>('B5'!AU24)*0.51</f>
        <v>0</v>
      </c>
      <c r="J21" s="296">
        <f>'B5'!AX24/0.51</f>
        <v>1.5686274509803921</v>
      </c>
      <c r="K21" s="203">
        <f>WATER!I25</f>
        <v>0</v>
      </c>
      <c r="L21" s="316">
        <f>SUM(WATER!J25)</f>
        <v>0</v>
      </c>
      <c r="M21" s="316">
        <f>WATER!Q25</f>
        <v>0</v>
      </c>
      <c r="N21" s="469">
        <v>0.6</v>
      </c>
      <c r="O21" s="10">
        <f>ELEC!B23</f>
        <v>0</v>
      </c>
    </row>
    <row r="22" spans="1:15">
      <c r="A22" t="s">
        <v>342</v>
      </c>
      <c r="B22">
        <f t="shared" si="0"/>
        <v>21</v>
      </c>
      <c r="C22">
        <v>6</v>
      </c>
      <c r="D22">
        <f t="shared" si="1"/>
        <v>2022</v>
      </c>
      <c r="E22" s="203">
        <f>ELEC!N24</f>
        <v>0</v>
      </c>
      <c r="F22" s="315">
        <f>SUM('EDl log'!T24)</f>
        <v>0</v>
      </c>
      <c r="G22" s="203">
        <f>-tanks!AW26</f>
        <v>0</v>
      </c>
      <c r="H22" s="315">
        <f>tanks!AV26</f>
        <v>1.2689999999999999</v>
      </c>
      <c r="I22" s="10">
        <f>('B5'!AU25)*0.51</f>
        <v>0</v>
      </c>
      <c r="J22" s="296">
        <f>'B5'!AX25/0.51</f>
        <v>1.5686274509803921</v>
      </c>
      <c r="K22" s="203">
        <f>WATER!I26</f>
        <v>0</v>
      </c>
      <c r="L22" s="316">
        <f>SUM(WATER!J26)</f>
        <v>0</v>
      </c>
      <c r="M22" s="316">
        <f>WATER!Q26</f>
        <v>0</v>
      </c>
      <c r="N22" s="469">
        <v>0.6</v>
      </c>
      <c r="O22" s="10">
        <f>ELEC!B24</f>
        <v>0</v>
      </c>
    </row>
    <row r="23" spans="1:15">
      <c r="A23" t="s">
        <v>342</v>
      </c>
      <c r="B23">
        <f t="shared" si="0"/>
        <v>22</v>
      </c>
      <c r="C23">
        <v>6</v>
      </c>
      <c r="D23">
        <f t="shared" si="1"/>
        <v>2022</v>
      </c>
      <c r="E23" s="203">
        <f>ELEC!N25</f>
        <v>0</v>
      </c>
      <c r="F23" s="315">
        <f>SUM('EDl log'!T25)</f>
        <v>0</v>
      </c>
      <c r="G23" s="203">
        <f>-tanks!AW27</f>
        <v>0</v>
      </c>
      <c r="H23" s="315">
        <f>tanks!AV27</f>
        <v>0</v>
      </c>
      <c r="I23" s="10">
        <f>('B5'!AU26)*0.51</f>
        <v>-61.2</v>
      </c>
      <c r="J23" s="296">
        <f>'B5'!AX26/0.51</f>
        <v>1.5686274509803921</v>
      </c>
      <c r="K23" s="203">
        <f>WATER!I27</f>
        <v>0</v>
      </c>
      <c r="L23" s="316">
        <f>SUM(WATER!J27)</f>
        <v>0</v>
      </c>
      <c r="M23" s="316">
        <f>WATER!Q27</f>
        <v>0</v>
      </c>
      <c r="N23" s="469">
        <v>0.6</v>
      </c>
      <c r="O23" s="10">
        <f>ELEC!B25</f>
        <v>0</v>
      </c>
    </row>
    <row r="24" spans="1:15">
      <c r="A24" t="s">
        <v>342</v>
      </c>
      <c r="B24">
        <f t="shared" si="0"/>
        <v>23</v>
      </c>
      <c r="C24">
        <v>6</v>
      </c>
      <c r="D24">
        <f t="shared" si="1"/>
        <v>2022</v>
      </c>
      <c r="E24" s="203">
        <f>ELEC!N26</f>
        <v>0</v>
      </c>
      <c r="F24" s="315">
        <f>SUM('EDl log'!T26)</f>
        <v>0</v>
      </c>
      <c r="G24" s="203">
        <f>-tanks!AW28</f>
        <v>0</v>
      </c>
      <c r="H24" s="315">
        <f>tanks!AV28</f>
        <v>0</v>
      </c>
      <c r="I24" s="10">
        <f>('B5'!AU27)*0.51</f>
        <v>0</v>
      </c>
      <c r="J24" s="296">
        <f>'B5'!AX27/0.51</f>
        <v>1.5686274509803921</v>
      </c>
      <c r="K24" s="203">
        <f>WATER!I28</f>
        <v>0</v>
      </c>
      <c r="L24" s="316">
        <f>SUM(WATER!J28)</f>
        <v>0</v>
      </c>
      <c r="M24" s="316">
        <f>WATER!Q28</f>
        <v>0</v>
      </c>
      <c r="N24" s="469">
        <v>0.6</v>
      </c>
      <c r="O24" s="10">
        <f>ELEC!B26</f>
        <v>0</v>
      </c>
    </row>
    <row r="25" spans="1:15">
      <c r="A25" t="s">
        <v>342</v>
      </c>
      <c r="B25">
        <f t="shared" si="0"/>
        <v>24</v>
      </c>
      <c r="C25">
        <v>6</v>
      </c>
      <c r="D25">
        <f t="shared" si="1"/>
        <v>2022</v>
      </c>
      <c r="E25" s="203">
        <f>ELEC!N27</f>
        <v>0</v>
      </c>
      <c r="F25" s="315">
        <f>SUM('EDl log'!T27)</f>
        <v>0</v>
      </c>
      <c r="G25" s="203">
        <f>-tanks!AW29</f>
        <v>0</v>
      </c>
      <c r="H25" s="315">
        <f>tanks!AV29</f>
        <v>0</v>
      </c>
      <c r="I25" s="10">
        <f>('B5'!AU28)*0.51</f>
        <v>0</v>
      </c>
      <c r="J25" s="296">
        <f>'B5'!AX28/0.51</f>
        <v>1.5686274509803921</v>
      </c>
      <c r="K25" s="203">
        <f>WATER!I29</f>
        <v>0</v>
      </c>
      <c r="L25" s="316">
        <f>SUM(WATER!J29)</f>
        <v>0</v>
      </c>
      <c r="M25" s="316">
        <f>WATER!Q29</f>
        <v>0</v>
      </c>
      <c r="N25" s="469">
        <v>0.6</v>
      </c>
      <c r="O25" s="10">
        <f>ELEC!B27</f>
        <v>0</v>
      </c>
    </row>
    <row r="26" spans="1:15">
      <c r="A26" t="s">
        <v>342</v>
      </c>
      <c r="B26">
        <f>B25+1</f>
        <v>25</v>
      </c>
      <c r="C26">
        <v>6</v>
      </c>
      <c r="D26">
        <f t="shared" si="1"/>
        <v>2022</v>
      </c>
      <c r="E26" s="203">
        <f>ELEC!N28</f>
        <v>0</v>
      </c>
      <c r="F26" s="315">
        <f>SUM('EDl log'!T28)</f>
        <v>0</v>
      </c>
      <c r="G26" s="203">
        <f>-tanks!AW30</f>
        <v>0</v>
      </c>
      <c r="H26" s="315">
        <f>tanks!AV30</f>
        <v>0</v>
      </c>
      <c r="I26" s="10">
        <f>('B5'!AU29)*0.51</f>
        <v>0</v>
      </c>
      <c r="J26" s="296">
        <f>'B5'!AX29/0.51</f>
        <v>1.5686274509803921</v>
      </c>
      <c r="K26" s="203">
        <f>WATER!I30</f>
        <v>0</v>
      </c>
      <c r="L26" s="316">
        <f>SUM(WATER!J30)</f>
        <v>0</v>
      </c>
      <c r="M26" s="316">
        <f>WATER!Q30</f>
        <v>0</v>
      </c>
      <c r="N26" s="469">
        <v>0.6</v>
      </c>
      <c r="O26" s="10">
        <f>ELEC!B28</f>
        <v>0</v>
      </c>
    </row>
    <row r="27" spans="1:15">
      <c r="A27" t="s">
        <v>342</v>
      </c>
      <c r="B27">
        <f t="shared" si="0"/>
        <v>26</v>
      </c>
      <c r="C27">
        <v>6</v>
      </c>
      <c r="D27">
        <f t="shared" si="1"/>
        <v>2022</v>
      </c>
      <c r="E27" s="203">
        <f>ELEC!N29</f>
        <v>0</v>
      </c>
      <c r="F27" s="315">
        <f>SUM('EDl log'!T29)</f>
        <v>0</v>
      </c>
      <c r="G27" s="203">
        <f>-tanks!AW31</f>
        <v>0</v>
      </c>
      <c r="H27" s="315">
        <f>tanks!AV31</f>
        <v>0</v>
      </c>
      <c r="I27" s="10">
        <f>('B5'!AU30)*0.51</f>
        <v>0</v>
      </c>
      <c r="J27" s="296">
        <f>'B5'!AX30/0.51</f>
        <v>1.5686274509803921</v>
      </c>
      <c r="K27" s="203">
        <f>WATER!I31</f>
        <v>0</v>
      </c>
      <c r="L27" s="316">
        <f>SUM(WATER!J31)</f>
        <v>0</v>
      </c>
      <c r="M27" s="316">
        <f>WATER!Q31</f>
        <v>0</v>
      </c>
      <c r="N27" s="469">
        <v>0.6</v>
      </c>
      <c r="O27" s="10">
        <f>ELEC!B29</f>
        <v>0</v>
      </c>
    </row>
    <row r="28" spans="1:15">
      <c r="A28" t="s">
        <v>342</v>
      </c>
      <c r="B28">
        <f t="shared" si="0"/>
        <v>27</v>
      </c>
      <c r="C28">
        <v>6</v>
      </c>
      <c r="D28">
        <f t="shared" si="1"/>
        <v>2022</v>
      </c>
      <c r="E28" s="203">
        <f>ELEC!N30</f>
        <v>0</v>
      </c>
      <c r="F28" s="315">
        <f>SUM('EDl log'!T30)</f>
        <v>0</v>
      </c>
      <c r="G28" s="203">
        <f>-tanks!AW32</f>
        <v>0</v>
      </c>
      <c r="H28" s="315">
        <f>tanks!AV32</f>
        <v>0</v>
      </c>
      <c r="I28" s="10">
        <f>('B5'!AU31)*0.51</f>
        <v>0</v>
      </c>
      <c r="J28" s="296">
        <f>'B5'!AX31/0.51</f>
        <v>1.5686274509803921</v>
      </c>
      <c r="K28" s="203">
        <f>WATER!I32</f>
        <v>0</v>
      </c>
      <c r="L28" s="316">
        <f>SUM(WATER!J32)</f>
        <v>0</v>
      </c>
      <c r="M28" s="316">
        <f>WATER!Q32</f>
        <v>0</v>
      </c>
      <c r="N28" s="469">
        <v>0.6</v>
      </c>
      <c r="O28" s="10">
        <f>ELEC!B30</f>
        <v>0</v>
      </c>
    </row>
    <row r="29" spans="1:15">
      <c r="A29" t="s">
        <v>342</v>
      </c>
      <c r="B29">
        <f t="shared" si="0"/>
        <v>28</v>
      </c>
      <c r="C29">
        <v>6</v>
      </c>
      <c r="D29">
        <f t="shared" si="1"/>
        <v>2022</v>
      </c>
      <c r="E29" s="203">
        <f>ELEC!N31</f>
        <v>0</v>
      </c>
      <c r="F29" s="315">
        <f>SUM('EDl log'!T31)</f>
        <v>0</v>
      </c>
      <c r="G29" s="203">
        <f>-tanks!AW33</f>
        <v>0</v>
      </c>
      <c r="H29" s="315">
        <f>tanks!AV33</f>
        <v>0</v>
      </c>
      <c r="I29" s="10">
        <f>('B5'!AU32)*0.51</f>
        <v>0</v>
      </c>
      <c r="J29" s="296">
        <f>'B5'!AX32/0.51</f>
        <v>1.5686274509803921</v>
      </c>
      <c r="K29" s="203">
        <f>WATER!I33</f>
        <v>0</v>
      </c>
      <c r="L29" s="316">
        <f>SUM(WATER!J33)</f>
        <v>0</v>
      </c>
      <c r="M29" s="316">
        <f>WATER!Q33</f>
        <v>0</v>
      </c>
      <c r="N29" s="469">
        <v>0.6</v>
      </c>
      <c r="O29" s="10">
        <f>ELEC!B31</f>
        <v>0</v>
      </c>
    </row>
    <row r="30" spans="1:15">
      <c r="A30" t="s">
        <v>342</v>
      </c>
      <c r="B30">
        <f t="shared" si="0"/>
        <v>29</v>
      </c>
      <c r="C30">
        <v>6</v>
      </c>
      <c r="D30">
        <f t="shared" si="1"/>
        <v>2022</v>
      </c>
      <c r="E30" s="203">
        <f>ELEC!N32</f>
        <v>0</v>
      </c>
      <c r="F30" s="315">
        <f>SUM('EDl log'!T32)</f>
        <v>0</v>
      </c>
      <c r="G30" s="203">
        <f>-tanks!AW34</f>
        <v>0</v>
      </c>
      <c r="H30" s="315">
        <f>tanks!AV34</f>
        <v>0</v>
      </c>
      <c r="I30" s="10">
        <f>('B5'!AU33)*0.51</f>
        <v>0</v>
      </c>
      <c r="J30" s="296">
        <f>'B5'!AX33/0.51</f>
        <v>1.5686274509803921</v>
      </c>
      <c r="K30" s="203">
        <f>WATER!I34</f>
        <v>0</v>
      </c>
      <c r="L30" s="316">
        <f>SUM(WATER!J34)</f>
        <v>0</v>
      </c>
      <c r="M30" s="316">
        <f>WATER!Q34</f>
        <v>0</v>
      </c>
      <c r="N30" s="469">
        <v>0.6</v>
      </c>
      <c r="O30" s="10">
        <f>ELEC!B32</f>
        <v>0</v>
      </c>
    </row>
    <row r="31" spans="1:15">
      <c r="A31" t="s">
        <v>342</v>
      </c>
      <c r="B31">
        <f t="shared" si="0"/>
        <v>30</v>
      </c>
      <c r="C31">
        <v>6</v>
      </c>
      <c r="D31">
        <f t="shared" si="1"/>
        <v>2022</v>
      </c>
      <c r="E31" s="203">
        <f>ELEC!N33</f>
        <v>0</v>
      </c>
      <c r="F31" s="315">
        <f>SUM('EDl log'!T33)</f>
        <v>0</v>
      </c>
      <c r="G31" s="203">
        <f>-tanks!AW35</f>
        <v>0</v>
      </c>
      <c r="H31" s="315">
        <f>tanks!AV35</f>
        <v>0</v>
      </c>
      <c r="I31" s="10">
        <f>('B5'!AU34)*0.51</f>
        <v>0</v>
      </c>
      <c r="J31" s="296">
        <f>'B5'!AX34/0.51</f>
        <v>1.5686274509803921</v>
      </c>
      <c r="K31" s="203">
        <f>WATER!I35</f>
        <v>0</v>
      </c>
      <c r="L31" s="316">
        <f>SUM(WATER!J35)</f>
        <v>0</v>
      </c>
      <c r="M31" s="316">
        <f>WATER!Q35</f>
        <v>0</v>
      </c>
      <c r="N31" s="469">
        <v>0.6</v>
      </c>
      <c r="O31" s="10">
        <f>ELEC!B33</f>
        <v>0</v>
      </c>
    </row>
    <row r="32" spans="1:15">
      <c r="A32" t="s">
        <v>342</v>
      </c>
      <c r="E32" s="203"/>
      <c r="F32" s="315"/>
      <c r="G32" s="203"/>
      <c r="H32" s="315"/>
      <c r="I32" s="10"/>
      <c r="J32" s="296"/>
      <c r="K32" s="203"/>
      <c r="L32" s="316"/>
      <c r="M32" s="316"/>
      <c r="N32" s="469"/>
      <c r="O32" s="10"/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M71"/>
  <sheetViews>
    <sheetView tabSelected="1" workbookViewId="0">
      <selection activeCell="B32" sqref="B32:L32"/>
    </sheetView>
  </sheetViews>
  <sheetFormatPr defaultRowHeight="15"/>
  <cols>
    <col min="1" max="1" width="9.7109375" customWidth="1"/>
    <col min="2" max="2" width="4.5703125" customWidth="1"/>
    <col min="3" max="3" width="7" customWidth="1"/>
    <col min="4" max="4" width="7.42578125" customWidth="1"/>
    <col min="5" max="6" width="10.5703125" bestFit="1" customWidth="1"/>
    <col min="7" max="7" width="9.7109375" bestFit="1" customWidth="1"/>
    <col min="8" max="9" width="9.5703125" bestFit="1" customWidth="1"/>
    <col min="10" max="10" width="11.42578125" bestFit="1" customWidth="1"/>
    <col min="11" max="12" width="9.28515625" bestFit="1" customWidth="1"/>
  </cols>
  <sheetData>
    <row r="1" spans="1:13" ht="60">
      <c r="A1" t="s">
        <v>338</v>
      </c>
      <c r="B1" t="s">
        <v>198</v>
      </c>
      <c r="C1" t="s">
        <v>339</v>
      </c>
      <c r="D1" t="s">
        <v>340</v>
      </c>
      <c r="E1" s="20" t="s">
        <v>347</v>
      </c>
      <c r="F1" s="20" t="s">
        <v>343</v>
      </c>
      <c r="G1" s="20" t="s">
        <v>348</v>
      </c>
      <c r="H1" s="20" t="s">
        <v>344</v>
      </c>
      <c r="I1" s="20" t="s">
        <v>349</v>
      </c>
      <c r="J1" s="20" t="s">
        <v>345</v>
      </c>
      <c r="K1" s="20" t="s">
        <v>346</v>
      </c>
      <c r="L1" s="262" t="s">
        <v>341</v>
      </c>
    </row>
    <row r="2" spans="1:13">
      <c r="A2" t="s">
        <v>342</v>
      </c>
      <c r="B2">
        <v>1</v>
      </c>
      <c r="C2">
        <v>6</v>
      </c>
      <c r="D2">
        <v>2022</v>
      </c>
      <c r="E2" s="203">
        <f>ELEC!M4</f>
        <v>868</v>
      </c>
      <c r="F2" s="203">
        <f>ELEC!K4</f>
        <v>606</v>
      </c>
      <c r="G2" s="203">
        <f>ELEC!I4</f>
        <v>468</v>
      </c>
      <c r="H2" s="203">
        <f>ELEC!E4</f>
        <v>770</v>
      </c>
      <c r="I2" s="203">
        <f>ELEC!G4</f>
        <v>321</v>
      </c>
      <c r="J2" s="203">
        <f>WATER!Y6</f>
        <v>0</v>
      </c>
      <c r="K2" s="203">
        <f>WATER!AJ6</f>
        <v>0</v>
      </c>
      <c r="L2" s="10">
        <f>ELEC!B4</f>
        <v>0</v>
      </c>
      <c r="M2" s="10"/>
    </row>
    <row r="3" spans="1:13">
      <c r="A3" t="s">
        <v>342</v>
      </c>
      <c r="B3">
        <f>B2+1</f>
        <v>2</v>
      </c>
      <c r="C3">
        <v>6</v>
      </c>
      <c r="D3">
        <v>2022</v>
      </c>
      <c r="E3" s="203">
        <f>ELEC!M5</f>
        <v>940</v>
      </c>
      <c r="F3" s="203">
        <f>ELEC!K5</f>
        <v>572</v>
      </c>
      <c r="G3" s="203">
        <f>ELEC!I5</f>
        <v>450</v>
      </c>
      <c r="H3" s="203">
        <f>ELEC!E5</f>
        <v>750</v>
      </c>
      <c r="I3" s="203">
        <f>ELEC!G5</f>
        <v>309</v>
      </c>
      <c r="J3" s="203">
        <f>WATER!Y7</f>
        <v>0</v>
      </c>
      <c r="K3" s="203">
        <f>WATER!AJ7</f>
        <v>0</v>
      </c>
      <c r="L3" s="10">
        <f>ELEC!B5</f>
        <v>0</v>
      </c>
      <c r="M3" s="10"/>
    </row>
    <row r="4" spans="1:13">
      <c r="A4" t="s">
        <v>342</v>
      </c>
      <c r="B4">
        <f t="shared" ref="B4:B31" si="0">B3+1</f>
        <v>3</v>
      </c>
      <c r="C4">
        <v>6</v>
      </c>
      <c r="D4">
        <v>2022</v>
      </c>
      <c r="E4" s="203">
        <f>ELEC!M6</f>
        <v>0</v>
      </c>
      <c r="F4" s="203">
        <f>ELEC!K6</f>
        <v>0</v>
      </c>
      <c r="G4" s="203">
        <f>ELEC!I6</f>
        <v>0</v>
      </c>
      <c r="H4" s="203">
        <f>ELEC!E6</f>
        <v>0</v>
      </c>
      <c r="I4" s="203">
        <f>ELEC!G6</f>
        <v>0</v>
      </c>
      <c r="J4" s="203">
        <f>WATER!Y8</f>
        <v>0</v>
      </c>
      <c r="K4" s="203">
        <f>WATER!AJ8</f>
        <v>0</v>
      </c>
      <c r="L4" s="10">
        <f>ELEC!B6</f>
        <v>0</v>
      </c>
      <c r="M4" s="10"/>
    </row>
    <row r="5" spans="1:13">
      <c r="A5" t="s">
        <v>342</v>
      </c>
      <c r="B5">
        <f t="shared" si="0"/>
        <v>4</v>
      </c>
      <c r="C5">
        <v>6</v>
      </c>
      <c r="D5">
        <v>2022</v>
      </c>
      <c r="E5" s="203">
        <f>ELEC!M7</f>
        <v>0</v>
      </c>
      <c r="F5" s="203">
        <f>ELEC!K7</f>
        <v>0</v>
      </c>
      <c r="G5" s="203">
        <f>ELEC!I7</f>
        <v>0</v>
      </c>
      <c r="H5" s="203">
        <f>ELEC!E7</f>
        <v>0</v>
      </c>
      <c r="I5" s="203">
        <f>ELEC!G7</f>
        <v>0</v>
      </c>
      <c r="J5" s="203">
        <f>WATER!Y9</f>
        <v>0</v>
      </c>
      <c r="K5" s="203">
        <f>WATER!AJ9</f>
        <v>0</v>
      </c>
      <c r="L5" s="10">
        <f>ELEC!B7</f>
        <v>0</v>
      </c>
      <c r="M5" s="10"/>
    </row>
    <row r="6" spans="1:13">
      <c r="A6" t="s">
        <v>342</v>
      </c>
      <c r="B6">
        <f t="shared" si="0"/>
        <v>5</v>
      </c>
      <c r="C6">
        <v>6</v>
      </c>
      <c r="D6">
        <v>2022</v>
      </c>
      <c r="E6" s="203">
        <f>ELEC!M8</f>
        <v>826</v>
      </c>
      <c r="F6" s="203">
        <f>ELEC!K8</f>
        <v>654</v>
      </c>
      <c r="G6" s="203">
        <f>ELEC!I8</f>
        <v>430.19999999925494</v>
      </c>
      <c r="H6" s="203">
        <f>ELEC!E8</f>
        <v>820</v>
      </c>
      <c r="I6" s="203">
        <f>ELEC!G8</f>
        <v>304</v>
      </c>
      <c r="J6" s="203">
        <f>WATER!Y10</f>
        <v>0</v>
      </c>
      <c r="K6" s="203">
        <f>WATER!AJ10</f>
        <v>0</v>
      </c>
      <c r="L6" s="10">
        <f>ELEC!B8</f>
        <v>0</v>
      </c>
      <c r="M6" s="10"/>
    </row>
    <row r="7" spans="1:13">
      <c r="A7" t="s">
        <v>342</v>
      </c>
      <c r="B7">
        <f t="shared" si="0"/>
        <v>6</v>
      </c>
      <c r="C7">
        <v>6</v>
      </c>
      <c r="D7">
        <v>2022</v>
      </c>
      <c r="E7" s="203">
        <f>ELEC!M9</f>
        <v>830</v>
      </c>
      <c r="F7" s="203">
        <f>ELEC!K9</f>
        <v>542</v>
      </c>
      <c r="G7" s="203">
        <f>ELEC!I9</f>
        <v>403.80000000074506</v>
      </c>
      <c r="H7" s="203">
        <f>ELEC!E9</f>
        <v>1030</v>
      </c>
      <c r="I7" s="203">
        <f>ELEC!G9</f>
        <v>293</v>
      </c>
      <c r="J7" s="203">
        <f>WATER!Y11</f>
        <v>104</v>
      </c>
      <c r="K7" s="203">
        <f>WATER!AJ11</f>
        <v>0</v>
      </c>
      <c r="L7" s="10">
        <f>ELEC!B9</f>
        <v>0</v>
      </c>
      <c r="M7" s="10"/>
    </row>
    <row r="8" spans="1:13">
      <c r="A8" t="s">
        <v>342</v>
      </c>
      <c r="B8">
        <f t="shared" si="0"/>
        <v>7</v>
      </c>
      <c r="C8">
        <v>6</v>
      </c>
      <c r="D8">
        <v>2022</v>
      </c>
      <c r="E8" s="203">
        <f>ELEC!M10</f>
        <v>680</v>
      </c>
      <c r="F8" s="203">
        <f>ELEC!K10</f>
        <v>440</v>
      </c>
      <c r="G8" s="203">
        <f>ELEC!I10</f>
        <v>434</v>
      </c>
      <c r="H8" s="203">
        <f>ELEC!E10</f>
        <v>1000</v>
      </c>
      <c r="I8" s="203">
        <f>ELEC!G10</f>
        <v>311</v>
      </c>
      <c r="J8" s="203">
        <f>WATER!Y12</f>
        <v>0</v>
      </c>
      <c r="K8" s="203">
        <f>WATER!AJ12</f>
        <v>0</v>
      </c>
      <c r="L8" s="10">
        <f>ELEC!B10</f>
        <v>0</v>
      </c>
      <c r="M8" s="10"/>
    </row>
    <row r="9" spans="1:13">
      <c r="A9" t="s">
        <v>342</v>
      </c>
      <c r="B9">
        <f t="shared" si="0"/>
        <v>8</v>
      </c>
      <c r="C9">
        <v>6</v>
      </c>
      <c r="D9">
        <v>2022</v>
      </c>
      <c r="E9" s="203">
        <f>ELEC!M11</f>
        <v>616</v>
      </c>
      <c r="F9" s="203">
        <f>ELEC!K11</f>
        <v>428</v>
      </c>
      <c r="G9" s="203">
        <f>ELEC!I11</f>
        <v>418</v>
      </c>
      <c r="H9" s="203">
        <f>ELEC!E11</f>
        <v>1030</v>
      </c>
      <c r="I9" s="203">
        <f>ELEC!G11</f>
        <v>305</v>
      </c>
      <c r="J9" s="203">
        <f>WATER!Y13</f>
        <v>0</v>
      </c>
      <c r="K9" s="203">
        <f>WATER!AJ13</f>
        <v>0</v>
      </c>
      <c r="L9" s="10">
        <f>ELEC!B11</f>
        <v>0</v>
      </c>
      <c r="M9" s="10"/>
    </row>
    <row r="10" spans="1:13">
      <c r="A10" t="s">
        <v>342</v>
      </c>
      <c r="B10">
        <f t="shared" si="0"/>
        <v>9</v>
      </c>
      <c r="C10">
        <v>6</v>
      </c>
      <c r="D10">
        <v>2022</v>
      </c>
      <c r="E10" s="203">
        <f>ELEC!M12</f>
        <v>800</v>
      </c>
      <c r="F10" s="203">
        <f>ELEC!K12</f>
        <v>432</v>
      </c>
      <c r="G10" s="203">
        <f>ELEC!I12</f>
        <v>412</v>
      </c>
      <c r="H10" s="203">
        <f>ELEC!E12</f>
        <v>950</v>
      </c>
      <c r="I10" s="203">
        <f>ELEC!G12</f>
        <v>318</v>
      </c>
      <c r="J10" s="203">
        <f>WATER!Y14</f>
        <v>0</v>
      </c>
      <c r="K10" s="203">
        <f>WATER!AJ14</f>
        <v>0</v>
      </c>
      <c r="L10" s="10">
        <f>ELEC!B12</f>
        <v>0</v>
      </c>
      <c r="M10" s="10"/>
    </row>
    <row r="11" spans="1:13">
      <c r="A11" t="s">
        <v>342</v>
      </c>
      <c r="B11">
        <f t="shared" si="0"/>
        <v>10</v>
      </c>
      <c r="C11">
        <v>6</v>
      </c>
      <c r="D11">
        <v>2022</v>
      </c>
      <c r="E11" s="203">
        <f>ELEC!M13</f>
        <v>0</v>
      </c>
      <c r="F11" s="203">
        <f>ELEC!K13</f>
        <v>0</v>
      </c>
      <c r="G11" s="203">
        <f>ELEC!I13</f>
        <v>0</v>
      </c>
      <c r="H11" s="203">
        <f>ELEC!E13</f>
        <v>0</v>
      </c>
      <c r="I11" s="203">
        <f>ELEC!G13</f>
        <v>0</v>
      </c>
      <c r="J11" s="203">
        <f>WATER!Y15</f>
        <v>0</v>
      </c>
      <c r="K11" s="203">
        <f>WATER!AJ15</f>
        <v>0</v>
      </c>
      <c r="L11" s="10">
        <f>ELEC!B13</f>
        <v>0</v>
      </c>
      <c r="M11" s="10"/>
    </row>
    <row r="12" spans="1:13">
      <c r="A12" t="s">
        <v>342</v>
      </c>
      <c r="B12">
        <f t="shared" si="0"/>
        <v>11</v>
      </c>
      <c r="C12">
        <v>6</v>
      </c>
      <c r="D12">
        <v>2022</v>
      </c>
      <c r="E12" s="203">
        <f>ELEC!M14</f>
        <v>0</v>
      </c>
      <c r="F12" s="203">
        <f>ELEC!K14</f>
        <v>0</v>
      </c>
      <c r="G12" s="203">
        <f>ELEC!I14</f>
        <v>0</v>
      </c>
      <c r="H12" s="203">
        <f>ELEC!E14</f>
        <v>0</v>
      </c>
      <c r="I12" s="203">
        <f>ELEC!G14</f>
        <v>0</v>
      </c>
      <c r="J12" s="203">
        <f>WATER!Y16</f>
        <v>0</v>
      </c>
      <c r="K12" s="203">
        <f>WATER!AJ16</f>
        <v>0</v>
      </c>
      <c r="L12" s="10">
        <f>ELEC!B14</f>
        <v>0</v>
      </c>
      <c r="M12" s="10"/>
    </row>
    <row r="13" spans="1:13">
      <c r="A13" t="s">
        <v>342</v>
      </c>
      <c r="B13">
        <f t="shared" si="0"/>
        <v>12</v>
      </c>
      <c r="C13">
        <v>6</v>
      </c>
      <c r="D13">
        <v>2022</v>
      </c>
      <c r="E13" s="203">
        <f>ELEC!M15</f>
        <v>816</v>
      </c>
      <c r="F13" s="203">
        <f>ELEC!K15</f>
        <v>488</v>
      </c>
      <c r="G13" s="203">
        <f>ELEC!I15</f>
        <v>398</v>
      </c>
      <c r="H13" s="203">
        <f>ELEC!E15</f>
        <v>700</v>
      </c>
      <c r="I13" s="203">
        <f>ELEC!G15</f>
        <v>284</v>
      </c>
      <c r="J13" s="203">
        <f>WATER!Y17</f>
        <v>0</v>
      </c>
      <c r="K13" s="203">
        <f>WATER!AJ17</f>
        <v>0</v>
      </c>
      <c r="L13" s="10">
        <f>ELEC!B15</f>
        <v>0</v>
      </c>
      <c r="M13" s="10"/>
    </row>
    <row r="14" spans="1:13">
      <c r="A14" t="s">
        <v>342</v>
      </c>
      <c r="B14">
        <f t="shared" si="0"/>
        <v>13</v>
      </c>
      <c r="C14">
        <v>6</v>
      </c>
      <c r="D14">
        <v>2022</v>
      </c>
      <c r="E14" s="203">
        <f>ELEC!M16</f>
        <v>776</v>
      </c>
      <c r="F14" s="203">
        <f>ELEC!K16</f>
        <v>354</v>
      </c>
      <c r="G14" s="203">
        <f>ELEC!I16</f>
        <v>410</v>
      </c>
      <c r="H14" s="203">
        <f>ELEC!E16</f>
        <v>1140</v>
      </c>
      <c r="I14" s="203">
        <f>ELEC!G16</f>
        <v>317</v>
      </c>
      <c r="J14" s="203">
        <f>WATER!Y18</f>
        <v>0</v>
      </c>
      <c r="K14" s="203">
        <f>WATER!AJ18</f>
        <v>0</v>
      </c>
      <c r="L14" s="10">
        <f>ELEC!B16</f>
        <v>0</v>
      </c>
      <c r="M14" s="10"/>
    </row>
    <row r="15" spans="1:13">
      <c r="A15" t="s">
        <v>342</v>
      </c>
      <c r="B15">
        <f t="shared" si="0"/>
        <v>14</v>
      </c>
      <c r="C15">
        <v>6</v>
      </c>
      <c r="D15">
        <v>2022</v>
      </c>
      <c r="E15" s="203">
        <f>ELEC!M17</f>
        <v>862</v>
      </c>
      <c r="F15" s="203">
        <f>ELEC!K17</f>
        <v>838</v>
      </c>
      <c r="G15" s="203">
        <f>ELEC!I17</f>
        <v>428</v>
      </c>
      <c r="H15" s="203">
        <f>ELEC!E17</f>
        <v>750</v>
      </c>
      <c r="I15" s="203">
        <f>ELEC!G17</f>
        <v>310</v>
      </c>
      <c r="J15" s="203">
        <f>WATER!Y19</f>
        <v>0</v>
      </c>
      <c r="K15" s="203">
        <f>WATER!AJ19</f>
        <v>0</v>
      </c>
      <c r="L15" s="10">
        <f>ELEC!B17</f>
        <v>0</v>
      </c>
      <c r="M15" s="10"/>
    </row>
    <row r="16" spans="1:13">
      <c r="A16" t="s">
        <v>342</v>
      </c>
      <c r="B16">
        <f t="shared" si="0"/>
        <v>15</v>
      </c>
      <c r="C16">
        <v>6</v>
      </c>
      <c r="D16">
        <v>2022</v>
      </c>
      <c r="E16" s="203">
        <f>ELEC!M18</f>
        <v>762</v>
      </c>
      <c r="F16" s="203">
        <f>ELEC!K18</f>
        <v>808</v>
      </c>
      <c r="G16" s="203">
        <f>ELEC!I18</f>
        <v>440</v>
      </c>
      <c r="H16" s="203">
        <f>ELEC!E18</f>
        <v>800</v>
      </c>
      <c r="I16" s="203">
        <f>ELEC!G18</f>
        <v>303</v>
      </c>
      <c r="J16" s="203">
        <f>WATER!Y20</f>
        <v>0</v>
      </c>
      <c r="K16" s="203">
        <f>WATER!AJ20</f>
        <v>0</v>
      </c>
      <c r="L16" s="10">
        <f>ELEC!B18</f>
        <v>0</v>
      </c>
      <c r="M16" s="10"/>
    </row>
    <row r="17" spans="1:13">
      <c r="A17" t="s">
        <v>342</v>
      </c>
      <c r="B17">
        <f t="shared" si="0"/>
        <v>16</v>
      </c>
      <c r="C17">
        <v>6</v>
      </c>
      <c r="D17">
        <v>2022</v>
      </c>
      <c r="E17" s="203">
        <f>ELEC!M19</f>
        <v>0</v>
      </c>
      <c r="F17" s="203">
        <f>ELEC!K19</f>
        <v>0</v>
      </c>
      <c r="G17" s="203">
        <f>ELEC!I19</f>
        <v>0</v>
      </c>
      <c r="H17" s="203">
        <f>ELEC!E19</f>
        <v>0</v>
      </c>
      <c r="I17" s="203">
        <f>ELEC!G19</f>
        <v>0</v>
      </c>
      <c r="J17" s="203">
        <f>WATER!Y21</f>
        <v>0</v>
      </c>
      <c r="K17" s="203">
        <f>WATER!AJ21</f>
        <v>0</v>
      </c>
      <c r="L17" s="10">
        <f>ELEC!B19</f>
        <v>0</v>
      </c>
      <c r="M17" s="10"/>
    </row>
    <row r="18" spans="1:13">
      <c r="A18" t="s">
        <v>342</v>
      </c>
      <c r="B18">
        <f t="shared" si="0"/>
        <v>17</v>
      </c>
      <c r="C18">
        <v>6</v>
      </c>
      <c r="D18">
        <v>2022</v>
      </c>
      <c r="E18" s="203">
        <f>ELEC!M20</f>
        <v>0</v>
      </c>
      <c r="F18" s="203">
        <f>ELEC!K20</f>
        <v>0</v>
      </c>
      <c r="G18" s="203">
        <f>ELEC!I20</f>
        <v>0</v>
      </c>
      <c r="H18" s="203">
        <f>ELEC!E20</f>
        <v>0</v>
      </c>
      <c r="I18" s="203">
        <f>ELEC!G20</f>
        <v>0</v>
      </c>
      <c r="J18" s="203">
        <f>WATER!Y22</f>
        <v>0</v>
      </c>
      <c r="K18" s="203">
        <f>WATER!AJ22</f>
        <v>0</v>
      </c>
      <c r="L18" s="10">
        <f>ELEC!B20</f>
        <v>0</v>
      </c>
      <c r="M18" s="10"/>
    </row>
    <row r="19" spans="1:13">
      <c r="A19" t="s">
        <v>342</v>
      </c>
      <c r="B19">
        <f t="shared" si="0"/>
        <v>18</v>
      </c>
      <c r="C19">
        <v>6</v>
      </c>
      <c r="D19">
        <v>2022</v>
      </c>
      <c r="E19" s="203">
        <f>ELEC!M21</f>
        <v>0</v>
      </c>
      <c r="F19" s="203">
        <f>ELEC!K21</f>
        <v>0</v>
      </c>
      <c r="G19" s="203">
        <f>ELEC!I21</f>
        <v>0</v>
      </c>
      <c r="H19" s="203">
        <f>ELEC!E21</f>
        <v>0</v>
      </c>
      <c r="I19" s="203">
        <f>ELEC!G21</f>
        <v>0</v>
      </c>
      <c r="J19" s="203">
        <f>WATER!Y23</f>
        <v>0</v>
      </c>
      <c r="K19" s="203">
        <f>WATER!AJ23</f>
        <v>0</v>
      </c>
      <c r="L19" s="10">
        <f>ELEC!B21</f>
        <v>0</v>
      </c>
      <c r="M19" s="10"/>
    </row>
    <row r="20" spans="1:13">
      <c r="A20" t="s">
        <v>342</v>
      </c>
      <c r="B20">
        <f t="shared" si="0"/>
        <v>19</v>
      </c>
      <c r="C20">
        <v>6</v>
      </c>
      <c r="D20">
        <v>2022</v>
      </c>
      <c r="E20" s="203">
        <f>ELEC!M22</f>
        <v>0</v>
      </c>
      <c r="F20" s="203">
        <f>ELEC!K22</f>
        <v>0</v>
      </c>
      <c r="G20" s="203">
        <f>ELEC!I22</f>
        <v>0</v>
      </c>
      <c r="H20" s="203">
        <f>ELEC!E22</f>
        <v>0</v>
      </c>
      <c r="I20" s="203">
        <f>ELEC!G22</f>
        <v>0</v>
      </c>
      <c r="J20" s="203">
        <f>WATER!Y24</f>
        <v>0</v>
      </c>
      <c r="K20" s="203">
        <f>WATER!AJ24</f>
        <v>0</v>
      </c>
      <c r="L20" s="10">
        <f>ELEC!B22</f>
        <v>0</v>
      </c>
      <c r="M20" s="10"/>
    </row>
    <row r="21" spans="1:13">
      <c r="A21" t="s">
        <v>342</v>
      </c>
      <c r="B21">
        <f t="shared" si="0"/>
        <v>20</v>
      </c>
      <c r="C21">
        <v>6</v>
      </c>
      <c r="D21">
        <v>2022</v>
      </c>
      <c r="E21" s="203">
        <f>ELEC!M23</f>
        <v>0</v>
      </c>
      <c r="F21" s="203">
        <f>ELEC!K23</f>
        <v>0</v>
      </c>
      <c r="G21" s="203">
        <f>ELEC!I23</f>
        <v>0</v>
      </c>
      <c r="H21" s="203">
        <f>ELEC!E23</f>
        <v>0</v>
      </c>
      <c r="I21" s="203">
        <f>ELEC!G23</f>
        <v>0</v>
      </c>
      <c r="J21" s="203">
        <f>WATER!Y25</f>
        <v>0</v>
      </c>
      <c r="K21" s="203">
        <f>WATER!AJ25</f>
        <v>0</v>
      </c>
      <c r="L21" s="10">
        <f>ELEC!B23</f>
        <v>0</v>
      </c>
      <c r="M21" s="10"/>
    </row>
    <row r="22" spans="1:13">
      <c r="A22" t="s">
        <v>342</v>
      </c>
      <c r="B22">
        <f t="shared" si="0"/>
        <v>21</v>
      </c>
      <c r="C22">
        <v>6</v>
      </c>
      <c r="D22">
        <v>2022</v>
      </c>
      <c r="E22" s="203">
        <f>ELEC!M24</f>
        <v>0</v>
      </c>
      <c r="F22" s="203">
        <f>ELEC!K24</f>
        <v>0</v>
      </c>
      <c r="G22" s="203">
        <f>ELEC!I24</f>
        <v>0</v>
      </c>
      <c r="H22" s="203">
        <f>ELEC!E24</f>
        <v>0</v>
      </c>
      <c r="I22" s="203">
        <f>ELEC!G24</f>
        <v>0</v>
      </c>
      <c r="J22" s="203">
        <f>WATER!Y26</f>
        <v>0</v>
      </c>
      <c r="K22" s="203">
        <f>WATER!AJ26</f>
        <v>0</v>
      </c>
      <c r="L22" s="10">
        <f>ELEC!B24</f>
        <v>0</v>
      </c>
      <c r="M22" s="10"/>
    </row>
    <row r="23" spans="1:13">
      <c r="A23" t="s">
        <v>342</v>
      </c>
      <c r="B23">
        <f t="shared" si="0"/>
        <v>22</v>
      </c>
      <c r="C23">
        <v>6</v>
      </c>
      <c r="D23">
        <v>2022</v>
      </c>
      <c r="E23" s="203">
        <f>ELEC!M25</f>
        <v>0</v>
      </c>
      <c r="F23" s="203">
        <f>ELEC!K25</f>
        <v>0</v>
      </c>
      <c r="G23" s="203">
        <f>ELEC!I25</f>
        <v>0</v>
      </c>
      <c r="H23" s="203">
        <f>ELEC!E25</f>
        <v>0</v>
      </c>
      <c r="I23" s="203">
        <f>ELEC!G25</f>
        <v>0</v>
      </c>
      <c r="J23" s="203">
        <f>WATER!Y27</f>
        <v>0</v>
      </c>
      <c r="K23" s="203">
        <f>WATER!AJ27</f>
        <v>0</v>
      </c>
      <c r="L23" s="10">
        <f>ELEC!B25</f>
        <v>0</v>
      </c>
      <c r="M23" s="10"/>
    </row>
    <row r="24" spans="1:13">
      <c r="A24" t="s">
        <v>342</v>
      </c>
      <c r="B24">
        <f t="shared" si="0"/>
        <v>23</v>
      </c>
      <c r="C24">
        <v>6</v>
      </c>
      <c r="D24">
        <v>2022</v>
      </c>
      <c r="E24" s="203">
        <f>ELEC!M26</f>
        <v>0</v>
      </c>
      <c r="F24" s="203">
        <f>ELEC!K26</f>
        <v>0</v>
      </c>
      <c r="G24" s="203">
        <f>ELEC!I26</f>
        <v>0</v>
      </c>
      <c r="H24" s="203">
        <f>ELEC!E26</f>
        <v>0</v>
      </c>
      <c r="I24" s="203">
        <f>ELEC!G26</f>
        <v>0</v>
      </c>
      <c r="J24" s="203">
        <f>WATER!Y28</f>
        <v>0</v>
      </c>
      <c r="K24" s="203">
        <f>WATER!AJ28</f>
        <v>0</v>
      </c>
      <c r="L24" s="10">
        <f>ELEC!B26</f>
        <v>0</v>
      </c>
      <c r="M24" s="10"/>
    </row>
    <row r="25" spans="1:13">
      <c r="A25" t="s">
        <v>342</v>
      </c>
      <c r="B25">
        <f t="shared" si="0"/>
        <v>24</v>
      </c>
      <c r="C25">
        <v>6</v>
      </c>
      <c r="D25">
        <v>2022</v>
      </c>
      <c r="E25" s="203">
        <f>ELEC!M27</f>
        <v>0</v>
      </c>
      <c r="F25" s="203">
        <f>ELEC!K27</f>
        <v>0</v>
      </c>
      <c r="G25" s="203">
        <f>ELEC!I27</f>
        <v>0</v>
      </c>
      <c r="H25" s="203">
        <f>ELEC!E27</f>
        <v>0</v>
      </c>
      <c r="I25" s="203">
        <f>ELEC!G27</f>
        <v>0</v>
      </c>
      <c r="J25" s="203">
        <f>WATER!Y29</f>
        <v>0</v>
      </c>
      <c r="K25" s="203">
        <f>WATER!AJ29</f>
        <v>0</v>
      </c>
      <c r="L25" s="10">
        <f>ELEC!B27</f>
        <v>0</v>
      </c>
      <c r="M25" s="10"/>
    </row>
    <row r="26" spans="1:13">
      <c r="A26" t="s">
        <v>342</v>
      </c>
      <c r="B26">
        <f>B25+1</f>
        <v>25</v>
      </c>
      <c r="C26">
        <v>6</v>
      </c>
      <c r="D26">
        <v>2022</v>
      </c>
      <c r="E26" s="203">
        <f>ELEC!M28</f>
        <v>0</v>
      </c>
      <c r="F26" s="203">
        <f>ELEC!K28</f>
        <v>0</v>
      </c>
      <c r="G26" s="203">
        <f>ELEC!I28</f>
        <v>0</v>
      </c>
      <c r="H26" s="203">
        <f>ELEC!E28</f>
        <v>0</v>
      </c>
      <c r="I26" s="203">
        <f>ELEC!G28</f>
        <v>0</v>
      </c>
      <c r="J26" s="203">
        <f>WATER!Y30</f>
        <v>0</v>
      </c>
      <c r="K26" s="203">
        <f>WATER!AJ30</f>
        <v>0</v>
      </c>
      <c r="L26" s="10">
        <f>ELEC!B28</f>
        <v>0</v>
      </c>
      <c r="M26" s="10"/>
    </row>
    <row r="27" spans="1:13">
      <c r="A27" t="s">
        <v>342</v>
      </c>
      <c r="B27">
        <f t="shared" si="0"/>
        <v>26</v>
      </c>
      <c r="C27">
        <v>6</v>
      </c>
      <c r="D27">
        <v>2022</v>
      </c>
      <c r="E27" s="203">
        <f>ELEC!M29</f>
        <v>0</v>
      </c>
      <c r="F27" s="203">
        <f>ELEC!K29</f>
        <v>0</v>
      </c>
      <c r="G27" s="203">
        <f>ELEC!I29</f>
        <v>0</v>
      </c>
      <c r="H27" s="203">
        <f>ELEC!E29</f>
        <v>0</v>
      </c>
      <c r="I27" s="203">
        <f>ELEC!G29</f>
        <v>0</v>
      </c>
      <c r="J27" s="203">
        <f>WATER!Y31</f>
        <v>0</v>
      </c>
      <c r="K27" s="203">
        <f>WATER!AJ31</f>
        <v>0</v>
      </c>
      <c r="L27" s="10">
        <f>ELEC!B29</f>
        <v>0</v>
      </c>
      <c r="M27" s="10"/>
    </row>
    <row r="28" spans="1:13">
      <c r="A28" t="s">
        <v>342</v>
      </c>
      <c r="B28">
        <f t="shared" si="0"/>
        <v>27</v>
      </c>
      <c r="C28">
        <v>6</v>
      </c>
      <c r="D28">
        <v>2022</v>
      </c>
      <c r="E28" s="203">
        <f>ELEC!M30</f>
        <v>0</v>
      </c>
      <c r="F28" s="203">
        <f>ELEC!K30</f>
        <v>0</v>
      </c>
      <c r="G28" s="203">
        <f>ELEC!I30</f>
        <v>0</v>
      </c>
      <c r="H28" s="203">
        <f>ELEC!E30</f>
        <v>0</v>
      </c>
      <c r="I28" s="203">
        <f>ELEC!G30</f>
        <v>0</v>
      </c>
      <c r="J28" s="203">
        <f>WATER!Y32</f>
        <v>0</v>
      </c>
      <c r="K28" s="203">
        <f>WATER!AJ32</f>
        <v>0</v>
      </c>
      <c r="L28" s="10">
        <f>ELEC!B30</f>
        <v>0</v>
      </c>
      <c r="M28" s="10"/>
    </row>
    <row r="29" spans="1:13">
      <c r="A29" t="s">
        <v>342</v>
      </c>
      <c r="B29">
        <f t="shared" si="0"/>
        <v>28</v>
      </c>
      <c r="C29">
        <v>6</v>
      </c>
      <c r="D29">
        <v>2022</v>
      </c>
      <c r="E29" s="203">
        <f>ELEC!M31</f>
        <v>0</v>
      </c>
      <c r="F29" s="203">
        <f>ELEC!K31</f>
        <v>0</v>
      </c>
      <c r="G29" s="203">
        <f>ELEC!I31</f>
        <v>0</v>
      </c>
      <c r="H29" s="203">
        <f>ELEC!E31</f>
        <v>0</v>
      </c>
      <c r="I29" s="203">
        <f>ELEC!G31</f>
        <v>0</v>
      </c>
      <c r="J29" s="203">
        <f>WATER!Y33</f>
        <v>0</v>
      </c>
      <c r="K29" s="203">
        <f>WATER!AJ33</f>
        <v>0</v>
      </c>
      <c r="L29" s="10">
        <f>ELEC!B31</f>
        <v>0</v>
      </c>
      <c r="M29" s="10"/>
    </row>
    <row r="30" spans="1:13">
      <c r="A30" t="s">
        <v>342</v>
      </c>
      <c r="B30">
        <f t="shared" si="0"/>
        <v>29</v>
      </c>
      <c r="C30">
        <v>6</v>
      </c>
      <c r="D30">
        <v>2022</v>
      </c>
      <c r="E30" s="203">
        <f>ELEC!M32</f>
        <v>0</v>
      </c>
      <c r="F30" s="203">
        <f>ELEC!K32</f>
        <v>0</v>
      </c>
      <c r="G30" s="203">
        <f>ELEC!I32</f>
        <v>0</v>
      </c>
      <c r="H30" s="203">
        <f>ELEC!E32</f>
        <v>0</v>
      </c>
      <c r="I30" s="203">
        <f>ELEC!G32</f>
        <v>0</v>
      </c>
      <c r="J30" s="203">
        <f>WATER!Y34</f>
        <v>0</v>
      </c>
      <c r="K30" s="203">
        <f>WATER!AJ34</f>
        <v>0</v>
      </c>
      <c r="L30" s="10">
        <f>ELEC!B32</f>
        <v>0</v>
      </c>
    </row>
    <row r="31" spans="1:13">
      <c r="A31" t="s">
        <v>342</v>
      </c>
      <c r="B31">
        <f t="shared" si="0"/>
        <v>30</v>
      </c>
      <c r="C31">
        <v>6</v>
      </c>
      <c r="D31">
        <v>2022</v>
      </c>
      <c r="E31" s="203">
        <f>ELEC!M33</f>
        <v>0</v>
      </c>
      <c r="F31" s="203">
        <f>ELEC!K33</f>
        <v>0</v>
      </c>
      <c r="G31" s="203">
        <f>ELEC!I33</f>
        <v>0</v>
      </c>
      <c r="H31" s="203">
        <f>ELEC!E33</f>
        <v>0</v>
      </c>
      <c r="I31" s="203">
        <f>ELEC!G33</f>
        <v>0</v>
      </c>
      <c r="J31" s="203">
        <f>WATER!Y35</f>
        <v>0</v>
      </c>
      <c r="K31" s="203">
        <f>WATER!AJ35</f>
        <v>0</v>
      </c>
      <c r="L31" s="10">
        <f>ELEC!B33</f>
        <v>0</v>
      </c>
    </row>
    <row r="32" spans="1:13">
      <c r="A32" t="s">
        <v>342</v>
      </c>
      <c r="E32" s="203"/>
      <c r="F32" s="203"/>
      <c r="G32" s="203"/>
      <c r="H32" s="203"/>
      <c r="I32" s="203"/>
      <c r="J32" s="203"/>
      <c r="K32" s="203"/>
      <c r="L32" s="10"/>
    </row>
    <row r="45" spans="4:4">
      <c r="D45" t="s">
        <v>379</v>
      </c>
    </row>
    <row r="71" ht="7.5" customHeight="1"/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2:AN35"/>
  <sheetViews>
    <sheetView topLeftCell="G1" zoomScale="70" zoomScaleNormal="70" zoomScaleSheetLayoutView="100" workbookViewId="0">
      <pane ySplit="2" topLeftCell="A3" activePane="bottomLeft" state="frozen"/>
      <selection activeCell="C1" sqref="C1"/>
      <selection pane="bottomLeft" activeCell="Q18" sqref="Q18"/>
    </sheetView>
  </sheetViews>
  <sheetFormatPr defaultColWidth="9.28515625" defaultRowHeight="15"/>
  <cols>
    <col min="1" max="1" width="7.7109375" style="444" bestFit="1" customWidth="1"/>
    <col min="2" max="2" width="10.28515625" style="452" bestFit="1" customWidth="1"/>
    <col min="3" max="3" width="11.5703125" style="444" customWidth="1"/>
    <col min="4" max="4" width="18" style="453" bestFit="1" customWidth="1"/>
    <col min="5" max="5" width="14.85546875" style="453" bestFit="1" customWidth="1"/>
    <col min="6" max="6" width="15.28515625" style="453" bestFit="1" customWidth="1"/>
    <col min="7" max="7" width="24" style="453" customWidth="1"/>
    <col min="8" max="8" width="18" style="453" bestFit="1" customWidth="1"/>
    <col min="9" max="9" width="13.140625" style="453" bestFit="1" customWidth="1"/>
    <col min="10" max="10" width="18" style="453" bestFit="1" customWidth="1"/>
    <col min="11" max="11" width="11.7109375" style="453" customWidth="1"/>
    <col min="12" max="12" width="18" style="453" bestFit="1" customWidth="1"/>
    <col min="13" max="13" width="13.140625" style="453" bestFit="1" customWidth="1"/>
    <col min="14" max="14" width="15.42578125" style="444" bestFit="1" customWidth="1"/>
    <col min="15" max="15" width="13.28515625" style="454" bestFit="1" customWidth="1"/>
    <col min="16" max="16" width="14.28515625" style="444" bestFit="1" customWidth="1"/>
    <col min="17" max="17" width="13.7109375" style="444" bestFit="1" customWidth="1"/>
    <col min="18" max="18" width="12.42578125" style="444" bestFit="1" customWidth="1"/>
    <col min="19" max="21" width="11.5703125" style="444" bestFit="1" customWidth="1"/>
    <col min="22" max="22" width="13.28515625" style="444" bestFit="1" customWidth="1"/>
    <col min="23" max="25" width="11.5703125" style="444" bestFit="1" customWidth="1"/>
    <col min="26" max="26" width="13.28515625" style="444" bestFit="1" customWidth="1"/>
    <col min="27" max="29" width="11.5703125" style="444" bestFit="1" customWidth="1"/>
    <col min="30" max="30" width="13.28515625" style="444" bestFit="1" customWidth="1"/>
    <col min="31" max="32" width="11.5703125" style="444" bestFit="1" customWidth="1"/>
    <col min="33" max="33" width="15.7109375" style="444" customWidth="1"/>
    <col min="34" max="34" width="9.28515625" style="444"/>
    <col min="35" max="35" width="9.7109375" style="444" bestFit="1" customWidth="1"/>
    <col min="36" max="36" width="11.5703125" style="444" bestFit="1" customWidth="1"/>
    <col min="37" max="37" width="12.42578125" style="444" customWidth="1"/>
    <col min="38" max="38" width="11.42578125" style="444" customWidth="1"/>
    <col min="39" max="39" width="10" style="444" bestFit="1" customWidth="1"/>
    <col min="40" max="40" width="10.7109375" style="444" bestFit="1" customWidth="1"/>
    <col min="41" max="16384" width="9.28515625" style="444"/>
  </cols>
  <sheetData>
    <row r="2" spans="1:40" s="429" customFormat="1" ht="18.75" customHeight="1">
      <c r="A2" s="429" t="s">
        <v>19</v>
      </c>
      <c r="B2" s="430" t="s">
        <v>155</v>
      </c>
      <c r="C2" s="431"/>
      <c r="D2" s="432" t="s">
        <v>20</v>
      </c>
      <c r="E2" s="432" t="s">
        <v>21</v>
      </c>
      <c r="F2" s="432" t="s">
        <v>22</v>
      </c>
      <c r="G2" s="432" t="s">
        <v>23</v>
      </c>
      <c r="H2" s="432" t="s">
        <v>24</v>
      </c>
      <c r="I2" s="432" t="s">
        <v>25</v>
      </c>
      <c r="J2" s="432" t="s">
        <v>26</v>
      </c>
      <c r="K2" s="432" t="s">
        <v>27</v>
      </c>
      <c r="L2" s="432" t="s">
        <v>28</v>
      </c>
      <c r="M2" s="432" t="s">
        <v>29</v>
      </c>
      <c r="N2" s="433" t="s">
        <v>30</v>
      </c>
      <c r="O2" s="434" t="s">
        <v>156</v>
      </c>
      <c r="P2" s="435" t="s">
        <v>323</v>
      </c>
      <c r="Q2" s="433" t="s">
        <v>31</v>
      </c>
      <c r="R2" s="433" t="s">
        <v>32</v>
      </c>
      <c r="S2" s="433" t="s">
        <v>357</v>
      </c>
      <c r="T2" s="433" t="s">
        <v>33</v>
      </c>
      <c r="U2" s="433" t="s">
        <v>34</v>
      </c>
      <c r="V2" s="433" t="s">
        <v>35</v>
      </c>
      <c r="W2" s="433" t="s">
        <v>36</v>
      </c>
      <c r="X2" s="433" t="s">
        <v>33</v>
      </c>
      <c r="Y2" s="433" t="s">
        <v>37</v>
      </c>
      <c r="Z2" s="433" t="s">
        <v>38</v>
      </c>
      <c r="AA2" s="433" t="s">
        <v>39</v>
      </c>
      <c r="AB2" s="433" t="s">
        <v>33</v>
      </c>
      <c r="AC2" s="433" t="s">
        <v>77</v>
      </c>
      <c r="AD2" s="433" t="s">
        <v>40</v>
      </c>
      <c r="AE2" s="433" t="s">
        <v>41</v>
      </c>
      <c r="AF2" s="433" t="s">
        <v>42</v>
      </c>
      <c r="AG2" s="429" t="s">
        <v>132</v>
      </c>
    </row>
    <row r="3" spans="1:40">
      <c r="A3" s="436">
        <f>[1]ELEC!$A$34</f>
        <v>0</v>
      </c>
      <c r="B3" s="430">
        <f>[1]ELEC!$B$34</f>
        <v>0</v>
      </c>
      <c r="C3" s="437">
        <f>[2]ELEC!$C$34</f>
        <v>44712</v>
      </c>
      <c r="D3" s="590">
        <f>[2]ELEC!D34</f>
        <v>306770</v>
      </c>
      <c r="E3" s="590">
        <f>[2]ELEC!E34</f>
        <v>1340</v>
      </c>
      <c r="F3" s="590">
        <f>[2]ELEC!F34</f>
        <v>4137040</v>
      </c>
      <c r="G3" s="590">
        <f>[2]ELEC!G34</f>
        <v>390</v>
      </c>
      <c r="H3" s="590">
        <f>[2]ELEC!H34</f>
        <v>18047918</v>
      </c>
      <c r="I3" s="590">
        <f>[2]ELEC!I34</f>
        <v>516</v>
      </c>
      <c r="J3" s="590">
        <f>[2]ELEC!J34</f>
        <v>29801236</v>
      </c>
      <c r="K3" s="590">
        <f>[2]ELEC!K34</f>
        <v>848</v>
      </c>
      <c r="L3" s="590">
        <f>[2]ELEC!L34</f>
        <v>24596106</v>
      </c>
      <c r="M3" s="590">
        <f>[2]ELEC!M34</f>
        <v>1144</v>
      </c>
      <c r="N3" s="590">
        <f>[2]ELEC!N34</f>
        <v>4238</v>
      </c>
      <c r="O3" s="590">
        <f>[2]ELEC!O34</f>
        <v>0</v>
      </c>
      <c r="P3" s="590">
        <f>[2]ELEC!P34</f>
        <v>19269.245999999999</v>
      </c>
      <c r="Q3" s="590">
        <f>[2]ELEC!Q34</f>
        <v>4345.9999999977299</v>
      </c>
      <c r="R3" s="590">
        <f>[2]ELEC!R34</f>
        <v>-107.9999999977299</v>
      </c>
      <c r="S3" s="590">
        <f>[2]ELEC!S34</f>
        <v>10175</v>
      </c>
      <c r="T3" s="590">
        <f>[2]ELEC!T34</f>
        <v>0</v>
      </c>
      <c r="U3" s="590">
        <f>[2]ELEC!U34</f>
        <v>429166</v>
      </c>
      <c r="V3" s="590">
        <f>[2]ELEC!V34</f>
        <v>0</v>
      </c>
      <c r="W3" s="590">
        <f>[2]ELEC!W34</f>
        <v>33484</v>
      </c>
      <c r="X3" s="590">
        <f>[2]ELEC!X34</f>
        <v>0</v>
      </c>
      <c r="Y3" s="590">
        <f>[2]ELEC!Y34</f>
        <v>996900</v>
      </c>
      <c r="Z3" s="590">
        <f>[2]ELEC!Z34</f>
        <v>0</v>
      </c>
      <c r="AA3" s="590">
        <f>[2]ELEC!AA34</f>
        <v>36796</v>
      </c>
      <c r="AB3" s="590">
        <f>[2]ELEC!AB34</f>
        <v>0</v>
      </c>
      <c r="AC3" s="590">
        <f>[2]ELEC!AC34</f>
        <v>1170516</v>
      </c>
      <c r="AD3" s="590">
        <f>[2]ELEC!AD34</f>
        <v>0</v>
      </c>
      <c r="AE3" s="590">
        <f>[2]ELEC!AE34</f>
        <v>0</v>
      </c>
      <c r="AF3" s="590">
        <f>[2]ELEC!AF34</f>
        <v>0</v>
      </c>
      <c r="AG3" s="590">
        <f>[2]ELEC!AG34</f>
        <v>0</v>
      </c>
      <c r="AJ3" s="545"/>
      <c r="AK3" s="546"/>
      <c r="AL3" s="546"/>
      <c r="AM3" s="546"/>
      <c r="AN3" s="546"/>
    </row>
    <row r="4" spans="1:40">
      <c r="A4" s="436">
        <f>'General information '!F5</f>
        <v>0</v>
      </c>
      <c r="B4" s="430">
        <f>SUM(230*A4)</f>
        <v>0</v>
      </c>
      <c r="C4" s="437">
        <v>44713</v>
      </c>
      <c r="D4" s="591">
        <v>307540</v>
      </c>
      <c r="E4" s="579">
        <f>D4-D3</f>
        <v>770</v>
      </c>
      <c r="F4" s="569">
        <v>4137361</v>
      </c>
      <c r="G4" s="580">
        <f>F4-F3</f>
        <v>321</v>
      </c>
      <c r="H4" s="426">
        <v>18048386</v>
      </c>
      <c r="I4" s="580">
        <f>H4-H3</f>
        <v>468</v>
      </c>
      <c r="J4" s="426">
        <v>29801842</v>
      </c>
      <c r="K4" s="580">
        <f>J4-J3</f>
        <v>606</v>
      </c>
      <c r="L4" s="426">
        <v>24596974</v>
      </c>
      <c r="M4" s="580">
        <f>L4-L3</f>
        <v>868</v>
      </c>
      <c r="N4" s="427">
        <f>M4+K4+I4+G4+E4</f>
        <v>3033</v>
      </c>
      <c r="O4" s="438">
        <f t="shared" ref="O4:O10" si="0">IF(B4&gt;0,N4/B4,0)</f>
        <v>0</v>
      </c>
      <c r="P4" s="563">
        <v>19272.129000000001</v>
      </c>
      <c r="Q4" s="446">
        <f t="shared" ref="Q4:Q31" si="1">(P4-P3)*1000</f>
        <v>2883.0000000016298</v>
      </c>
      <c r="R4" s="547">
        <f>+N4-Q4</f>
        <v>149.99999999837019</v>
      </c>
      <c r="S4" s="426">
        <f>S3</f>
        <v>10175</v>
      </c>
      <c r="T4" s="440">
        <f t="shared" ref="T4:T34" si="2">S4-S3</f>
        <v>0</v>
      </c>
      <c r="U4" s="426">
        <f>U3</f>
        <v>429166</v>
      </c>
      <c r="V4" s="439">
        <f>U4-U3</f>
        <v>0</v>
      </c>
      <c r="W4" s="426">
        <f>W3</f>
        <v>33484</v>
      </c>
      <c r="X4" s="439">
        <f t="shared" ref="X4:X9" si="3">W4-W3</f>
        <v>0</v>
      </c>
      <c r="Y4" s="426">
        <f>Y3</f>
        <v>996900</v>
      </c>
      <c r="Z4" s="439">
        <f>Y4-Y3</f>
        <v>0</v>
      </c>
      <c r="AA4" s="426">
        <f>AA3</f>
        <v>36796</v>
      </c>
      <c r="AB4" s="439">
        <f>AA4-AA3</f>
        <v>0</v>
      </c>
      <c r="AC4" s="426">
        <f>AC3</f>
        <v>1170516</v>
      </c>
      <c r="AD4" s="441">
        <f>AC4-AC3</f>
        <v>0</v>
      </c>
      <c r="AE4" s="442">
        <f>AB4+X4+T4</f>
        <v>0</v>
      </c>
      <c r="AF4" s="451">
        <f t="shared" ref="AF4:AF31" si="4">V4+Z4+AD4</f>
        <v>0</v>
      </c>
      <c r="AG4" s="443">
        <f t="shared" ref="AG4:AG10" si="5">IF(AE4&gt;0,AF4/AE4,0)</f>
        <v>0</v>
      </c>
      <c r="AJ4" s="545"/>
      <c r="AK4" s="546"/>
      <c r="AL4" s="546"/>
      <c r="AM4" s="546"/>
      <c r="AN4" s="546"/>
    </row>
    <row r="5" spans="1:40">
      <c r="A5" s="436">
        <f>'General information '!F6</f>
        <v>0</v>
      </c>
      <c r="B5" s="430">
        <f t="shared" ref="B5:B31" si="6">SUM(230*A5)</f>
        <v>0</v>
      </c>
      <c r="C5" s="437">
        <v>44714</v>
      </c>
      <c r="D5" s="591">
        <v>308290</v>
      </c>
      <c r="E5" s="579">
        <f t="shared" ref="E5:E34" si="7">D5-D4</f>
        <v>750</v>
      </c>
      <c r="F5" s="569">
        <v>4137670</v>
      </c>
      <c r="G5" s="449">
        <f>F5-F4</f>
        <v>309</v>
      </c>
      <c r="H5" s="426">
        <v>18048836</v>
      </c>
      <c r="I5" s="449">
        <f>H5-H4</f>
        <v>450</v>
      </c>
      <c r="J5" s="426">
        <v>29802414</v>
      </c>
      <c r="K5" s="449">
        <f>J5-J4</f>
        <v>572</v>
      </c>
      <c r="L5" s="426">
        <v>24597914</v>
      </c>
      <c r="M5" s="449">
        <f>L5-L4</f>
        <v>940</v>
      </c>
      <c r="N5" s="297">
        <f>M5+K5+I5+G5+E5</f>
        <v>3021</v>
      </c>
      <c r="O5" s="445">
        <f t="shared" si="0"/>
        <v>0</v>
      </c>
      <c r="P5" s="563">
        <v>19274.805</v>
      </c>
      <c r="Q5" s="446">
        <f t="shared" si="1"/>
        <v>2675.9999999994761</v>
      </c>
      <c r="R5" s="428">
        <f>N5-Q5</f>
        <v>345.00000000052387</v>
      </c>
      <c r="S5" s="426">
        <f t="shared" ref="S5:S34" si="8">S4</f>
        <v>10175</v>
      </c>
      <c r="T5" s="447">
        <f t="shared" si="2"/>
        <v>0</v>
      </c>
      <c r="U5" s="426">
        <f t="shared" ref="U5:U34" si="9">U4</f>
        <v>429166</v>
      </c>
      <c r="V5" s="428">
        <f>U5-U4</f>
        <v>0</v>
      </c>
      <c r="W5" s="426">
        <f t="shared" ref="W5:W34" si="10">W4</f>
        <v>33484</v>
      </c>
      <c r="X5" s="428">
        <f t="shared" si="3"/>
        <v>0</v>
      </c>
      <c r="Y5" s="426">
        <f t="shared" ref="Y5:Y34" si="11">Y4</f>
        <v>996900</v>
      </c>
      <c r="Z5" s="428">
        <f>Y5-Y4</f>
        <v>0</v>
      </c>
      <c r="AA5" s="426">
        <f t="shared" ref="AA5:AA34" si="12">AA4</f>
        <v>36796</v>
      </c>
      <c r="AB5" s="448">
        <f>AA5-AA4</f>
        <v>0</v>
      </c>
      <c r="AC5" s="426">
        <f t="shared" ref="AC5:AC34" si="13">AC4</f>
        <v>1170516</v>
      </c>
      <c r="AD5" s="449">
        <f>AC5-AC4</f>
        <v>0</v>
      </c>
      <c r="AE5" s="450">
        <f t="shared" ref="AE5:AE31" si="14">AB5+X5+T5</f>
        <v>0</v>
      </c>
      <c r="AF5" s="451">
        <f t="shared" si="4"/>
        <v>0</v>
      </c>
      <c r="AG5" s="443">
        <f t="shared" si="5"/>
        <v>0</v>
      </c>
      <c r="AJ5" s="545"/>
      <c r="AK5" s="546"/>
      <c r="AL5" s="546"/>
      <c r="AM5" s="546"/>
      <c r="AN5" s="546"/>
    </row>
    <row r="6" spans="1:40">
      <c r="A6" s="436">
        <f>'General information '!F7</f>
        <v>0</v>
      </c>
      <c r="B6" s="430">
        <f>SUM(230*A6)</f>
        <v>0</v>
      </c>
      <c r="C6" s="437">
        <v>44715</v>
      </c>
      <c r="D6" s="591">
        <f t="shared" ref="D6:D34" si="15">D5</f>
        <v>308290</v>
      </c>
      <c r="E6" s="579">
        <f t="shared" ref="E6:E7" si="16">D6-D5</f>
        <v>0</v>
      </c>
      <c r="F6" s="569">
        <f t="shared" ref="F6:F34" si="17">F5</f>
        <v>4137670</v>
      </c>
      <c r="G6" s="449">
        <f t="shared" ref="G6:G7" si="18">F6-F5</f>
        <v>0</v>
      </c>
      <c r="H6" s="426">
        <f t="shared" ref="H6:H34" si="19">H5</f>
        <v>18048836</v>
      </c>
      <c r="I6" s="449">
        <f t="shared" ref="I6:I7" si="20">H6-H5</f>
        <v>0</v>
      </c>
      <c r="J6" s="426">
        <f t="shared" ref="J6:J34" si="21">J5</f>
        <v>29802414</v>
      </c>
      <c r="K6" s="449">
        <f t="shared" ref="K6:K7" si="22">J6-J5</f>
        <v>0</v>
      </c>
      <c r="L6" s="426">
        <f t="shared" ref="L6:L34" si="23">L5</f>
        <v>24597914</v>
      </c>
      <c r="M6" s="449">
        <f t="shared" ref="M6:M7" si="24">L6-L5</f>
        <v>0</v>
      </c>
      <c r="N6" s="297">
        <f t="shared" ref="N6:N7" si="25">M6+K6+I6+G6+E6</f>
        <v>0</v>
      </c>
      <c r="O6" s="445">
        <f t="shared" ref="O6:O7" si="26">IF(B6&gt;0,N6/B6,0)</f>
        <v>0</v>
      </c>
      <c r="P6" s="563">
        <f t="shared" ref="P6:P34" si="27">P5</f>
        <v>19274.805</v>
      </c>
      <c r="Q6" s="446">
        <f t="shared" ref="Q6:Q7" si="28">(P6-P5)*1000</f>
        <v>0</v>
      </c>
      <c r="R6" s="428">
        <f>N6-Q6</f>
        <v>0</v>
      </c>
      <c r="S6" s="426">
        <f t="shared" si="8"/>
        <v>10175</v>
      </c>
      <c r="T6" s="447">
        <f t="shared" si="2"/>
        <v>0</v>
      </c>
      <c r="U6" s="426">
        <f t="shared" si="9"/>
        <v>429166</v>
      </c>
      <c r="V6" s="428">
        <f t="shared" ref="V6:V30" si="29">U6-U5</f>
        <v>0</v>
      </c>
      <c r="W6" s="426">
        <f t="shared" si="10"/>
        <v>33484</v>
      </c>
      <c r="X6" s="428">
        <f t="shared" si="3"/>
        <v>0</v>
      </c>
      <c r="Y6" s="426">
        <f t="shared" si="11"/>
        <v>996900</v>
      </c>
      <c r="Z6" s="428">
        <f>Y6-Y5</f>
        <v>0</v>
      </c>
      <c r="AA6" s="426">
        <f t="shared" si="12"/>
        <v>36796</v>
      </c>
      <c r="AB6" s="428">
        <f t="shared" ref="AB6:AB31" si="30">AA6-AA5</f>
        <v>0</v>
      </c>
      <c r="AC6" s="426">
        <f t="shared" si="13"/>
        <v>1170516</v>
      </c>
      <c r="AD6" s="428">
        <f t="shared" ref="AD6:AD17" si="31">AC6-AC5</f>
        <v>0</v>
      </c>
      <c r="AE6" s="450">
        <f t="shared" si="14"/>
        <v>0</v>
      </c>
      <c r="AF6" s="451">
        <f t="shared" si="4"/>
        <v>0</v>
      </c>
      <c r="AG6" s="443">
        <f t="shared" si="5"/>
        <v>0</v>
      </c>
      <c r="AJ6" s="545"/>
      <c r="AK6" s="546"/>
      <c r="AL6" s="546"/>
      <c r="AM6" s="546"/>
      <c r="AN6" s="546"/>
    </row>
    <row r="7" spans="1:40">
      <c r="A7" s="436">
        <f>'General information '!F8</f>
        <v>0</v>
      </c>
      <c r="B7" s="430">
        <f t="shared" si="6"/>
        <v>0</v>
      </c>
      <c r="C7" s="437">
        <v>44716</v>
      </c>
      <c r="D7" s="591">
        <f t="shared" si="15"/>
        <v>308290</v>
      </c>
      <c r="E7" s="579">
        <f t="shared" si="16"/>
        <v>0</v>
      </c>
      <c r="F7" s="569">
        <f t="shared" si="17"/>
        <v>4137670</v>
      </c>
      <c r="G7" s="449">
        <f t="shared" si="18"/>
        <v>0</v>
      </c>
      <c r="H7" s="426">
        <f t="shared" si="19"/>
        <v>18048836</v>
      </c>
      <c r="I7" s="449">
        <f t="shared" si="20"/>
        <v>0</v>
      </c>
      <c r="J7" s="426">
        <f t="shared" si="21"/>
        <v>29802414</v>
      </c>
      <c r="K7" s="449">
        <f t="shared" si="22"/>
        <v>0</v>
      </c>
      <c r="L7" s="426">
        <f t="shared" si="23"/>
        <v>24597914</v>
      </c>
      <c r="M7" s="449">
        <f t="shared" si="24"/>
        <v>0</v>
      </c>
      <c r="N7" s="297">
        <f t="shared" si="25"/>
        <v>0</v>
      </c>
      <c r="O7" s="445">
        <f t="shared" si="26"/>
        <v>0</v>
      </c>
      <c r="P7" s="563">
        <f t="shared" si="27"/>
        <v>19274.805</v>
      </c>
      <c r="Q7" s="446">
        <f t="shared" si="28"/>
        <v>0</v>
      </c>
      <c r="R7" s="428">
        <f t="shared" ref="R7:R18" si="32">N7-Q7</f>
        <v>0</v>
      </c>
      <c r="S7" s="426">
        <f t="shared" si="8"/>
        <v>10175</v>
      </c>
      <c r="T7" s="447">
        <f t="shared" si="2"/>
        <v>0</v>
      </c>
      <c r="U7" s="426">
        <f t="shared" si="9"/>
        <v>429166</v>
      </c>
      <c r="V7" s="428">
        <f t="shared" si="29"/>
        <v>0</v>
      </c>
      <c r="W7" s="426">
        <f t="shared" si="10"/>
        <v>33484</v>
      </c>
      <c r="X7" s="428">
        <f t="shared" si="3"/>
        <v>0</v>
      </c>
      <c r="Y7" s="426">
        <f t="shared" si="11"/>
        <v>996900</v>
      </c>
      <c r="Z7" s="428">
        <f t="shared" ref="Z7:Z31" si="33">Y7-Y6</f>
        <v>0</v>
      </c>
      <c r="AA7" s="426">
        <v>36796</v>
      </c>
      <c r="AB7" s="428">
        <f t="shared" si="30"/>
        <v>0</v>
      </c>
      <c r="AC7" s="426">
        <v>1170516</v>
      </c>
      <c r="AD7" s="428">
        <f t="shared" si="31"/>
        <v>0</v>
      </c>
      <c r="AE7" s="450">
        <f t="shared" si="14"/>
        <v>0</v>
      </c>
      <c r="AF7" s="451">
        <f t="shared" si="4"/>
        <v>0</v>
      </c>
      <c r="AG7" s="443">
        <f t="shared" si="5"/>
        <v>0</v>
      </c>
      <c r="AJ7" s="545"/>
      <c r="AK7" s="546"/>
      <c r="AL7" s="546"/>
      <c r="AM7" s="546"/>
      <c r="AN7" s="546"/>
    </row>
    <row r="8" spans="1:40">
      <c r="A8" s="436">
        <f>'General information '!F9</f>
        <v>0</v>
      </c>
      <c r="B8" s="430">
        <f t="shared" si="6"/>
        <v>0</v>
      </c>
      <c r="C8" s="437">
        <v>44717</v>
      </c>
      <c r="D8" s="591">
        <v>309110</v>
      </c>
      <c r="E8" s="579">
        <f t="shared" si="7"/>
        <v>820</v>
      </c>
      <c r="F8" s="569">
        <v>4137974</v>
      </c>
      <c r="G8" s="449">
        <f t="shared" ref="G8:G34" si="34">F8-F7</f>
        <v>304</v>
      </c>
      <c r="H8" s="426">
        <v>18049266.199999999</v>
      </c>
      <c r="I8" s="449">
        <f t="shared" ref="I8:I34" si="35">H8-H7</f>
        <v>430.19999999925494</v>
      </c>
      <c r="J8" s="426">
        <v>29803068</v>
      </c>
      <c r="K8" s="449">
        <f t="shared" ref="K8:K34" si="36">J8-J7</f>
        <v>654</v>
      </c>
      <c r="L8" s="426">
        <v>24598740</v>
      </c>
      <c r="M8" s="449">
        <f t="shared" ref="M8:M31" si="37">L8-L7</f>
        <v>826</v>
      </c>
      <c r="N8" s="297">
        <f t="shared" ref="N8:N31" si="38">M8+K8+I8+G8+E8</f>
        <v>3034.1999999992549</v>
      </c>
      <c r="O8" s="445">
        <f t="shared" si="0"/>
        <v>0</v>
      </c>
      <c r="P8" s="563">
        <v>19277.644</v>
      </c>
      <c r="Q8" s="446">
        <f t="shared" si="1"/>
        <v>2838.9999999999418</v>
      </c>
      <c r="R8" s="428">
        <f t="shared" si="32"/>
        <v>195.19999999931315</v>
      </c>
      <c r="S8" s="426">
        <f t="shared" si="8"/>
        <v>10175</v>
      </c>
      <c r="T8" s="447">
        <f t="shared" si="2"/>
        <v>0</v>
      </c>
      <c r="U8" s="426">
        <f t="shared" si="9"/>
        <v>429166</v>
      </c>
      <c r="V8" s="428">
        <f t="shared" si="29"/>
        <v>0</v>
      </c>
      <c r="W8" s="426">
        <f t="shared" si="10"/>
        <v>33484</v>
      </c>
      <c r="X8" s="428">
        <f t="shared" si="3"/>
        <v>0</v>
      </c>
      <c r="Y8" s="426">
        <f t="shared" si="11"/>
        <v>996900</v>
      </c>
      <c r="Z8" s="428">
        <f t="shared" si="33"/>
        <v>0</v>
      </c>
      <c r="AA8" s="426">
        <f t="shared" si="12"/>
        <v>36796</v>
      </c>
      <c r="AB8" s="428">
        <f t="shared" si="30"/>
        <v>0</v>
      </c>
      <c r="AC8" s="426">
        <f t="shared" si="13"/>
        <v>1170516</v>
      </c>
      <c r="AD8" s="428">
        <f t="shared" si="31"/>
        <v>0</v>
      </c>
      <c r="AE8" s="450">
        <f t="shared" si="14"/>
        <v>0</v>
      </c>
      <c r="AF8" s="451">
        <f t="shared" si="4"/>
        <v>0</v>
      </c>
      <c r="AG8" s="443">
        <f t="shared" si="5"/>
        <v>0</v>
      </c>
      <c r="AJ8" s="545"/>
      <c r="AK8" s="546"/>
      <c r="AL8" s="546"/>
      <c r="AM8" s="546"/>
      <c r="AN8" s="546"/>
    </row>
    <row r="9" spans="1:40">
      <c r="A9" s="436">
        <f>'General information '!F10</f>
        <v>0</v>
      </c>
      <c r="B9" s="430">
        <f t="shared" si="6"/>
        <v>0</v>
      </c>
      <c r="C9" s="437">
        <v>44718</v>
      </c>
      <c r="D9" s="591">
        <v>310140</v>
      </c>
      <c r="E9" s="579">
        <f t="shared" si="7"/>
        <v>1030</v>
      </c>
      <c r="F9" s="569">
        <v>4138267</v>
      </c>
      <c r="G9" s="449">
        <f t="shared" si="34"/>
        <v>293</v>
      </c>
      <c r="H9" s="426">
        <v>18049670</v>
      </c>
      <c r="I9" s="449">
        <f t="shared" si="35"/>
        <v>403.80000000074506</v>
      </c>
      <c r="J9" s="426">
        <v>29803610</v>
      </c>
      <c r="K9" s="449">
        <f t="shared" si="36"/>
        <v>542</v>
      </c>
      <c r="L9" s="426">
        <v>24599570</v>
      </c>
      <c r="M9" s="449">
        <f t="shared" si="37"/>
        <v>830</v>
      </c>
      <c r="N9" s="297">
        <f t="shared" si="38"/>
        <v>3098.8000000007451</v>
      </c>
      <c r="O9" s="445">
        <f t="shared" si="0"/>
        <v>0</v>
      </c>
      <c r="P9" s="563">
        <v>19280.466</v>
      </c>
      <c r="Q9" s="446">
        <f t="shared" si="1"/>
        <v>2822.0000000001164</v>
      </c>
      <c r="R9" s="428">
        <f t="shared" si="32"/>
        <v>276.80000000062864</v>
      </c>
      <c r="S9" s="426">
        <f t="shared" si="8"/>
        <v>10175</v>
      </c>
      <c r="T9" s="447">
        <f t="shared" si="2"/>
        <v>0</v>
      </c>
      <c r="U9" s="426">
        <f t="shared" si="9"/>
        <v>429166</v>
      </c>
      <c r="V9" s="428">
        <f t="shared" si="29"/>
        <v>0</v>
      </c>
      <c r="W9" s="426">
        <f t="shared" si="10"/>
        <v>33484</v>
      </c>
      <c r="X9" s="428">
        <f t="shared" si="3"/>
        <v>0</v>
      </c>
      <c r="Y9" s="426">
        <f t="shared" si="11"/>
        <v>996900</v>
      </c>
      <c r="Z9" s="428">
        <f t="shared" si="33"/>
        <v>0</v>
      </c>
      <c r="AA9" s="426">
        <f t="shared" si="12"/>
        <v>36796</v>
      </c>
      <c r="AB9" s="428">
        <f t="shared" si="30"/>
        <v>0</v>
      </c>
      <c r="AC9" s="426">
        <f t="shared" si="13"/>
        <v>1170516</v>
      </c>
      <c r="AD9" s="428">
        <f t="shared" si="31"/>
        <v>0</v>
      </c>
      <c r="AE9" s="450">
        <f t="shared" si="14"/>
        <v>0</v>
      </c>
      <c r="AF9" s="451">
        <f t="shared" si="4"/>
        <v>0</v>
      </c>
      <c r="AG9" s="443">
        <f>IF(AE9&gt;0,AF9/AE9,0)</f>
        <v>0</v>
      </c>
      <c r="AJ9" s="545"/>
      <c r="AK9" s="546"/>
      <c r="AL9" s="546"/>
      <c r="AM9" s="546"/>
      <c r="AN9" s="546"/>
    </row>
    <row r="10" spans="1:40">
      <c r="A10" s="436">
        <f>'General information '!F11</f>
        <v>0</v>
      </c>
      <c r="B10" s="430">
        <f t="shared" si="6"/>
        <v>0</v>
      </c>
      <c r="C10" s="437">
        <v>44719</v>
      </c>
      <c r="D10" s="591">
        <v>311140</v>
      </c>
      <c r="E10" s="579">
        <f t="shared" si="7"/>
        <v>1000</v>
      </c>
      <c r="F10" s="569">
        <v>4138578</v>
      </c>
      <c r="G10" s="449">
        <f t="shared" si="34"/>
        <v>311</v>
      </c>
      <c r="H10" s="426">
        <v>18050104</v>
      </c>
      <c r="I10" s="449">
        <f t="shared" si="35"/>
        <v>434</v>
      </c>
      <c r="J10" s="426">
        <v>29804050</v>
      </c>
      <c r="K10" s="449">
        <f t="shared" si="36"/>
        <v>440</v>
      </c>
      <c r="L10" s="426">
        <v>24600250</v>
      </c>
      <c r="M10" s="449">
        <f t="shared" si="37"/>
        <v>680</v>
      </c>
      <c r="N10" s="297">
        <f t="shared" si="38"/>
        <v>2865</v>
      </c>
      <c r="O10" s="445">
        <f t="shared" si="0"/>
        <v>0</v>
      </c>
      <c r="P10" s="563">
        <v>19283.165000000001</v>
      </c>
      <c r="Q10" s="446">
        <f t="shared" si="1"/>
        <v>2699.0000000005239</v>
      </c>
      <c r="R10" s="428">
        <f t="shared" si="32"/>
        <v>165.99999999947613</v>
      </c>
      <c r="S10" s="426">
        <f t="shared" si="8"/>
        <v>10175</v>
      </c>
      <c r="T10" s="447">
        <f t="shared" si="2"/>
        <v>0</v>
      </c>
      <c r="U10" s="426">
        <f t="shared" si="9"/>
        <v>429166</v>
      </c>
      <c r="V10" s="428">
        <f t="shared" si="29"/>
        <v>0</v>
      </c>
      <c r="W10" s="426">
        <f t="shared" si="10"/>
        <v>33484</v>
      </c>
      <c r="X10" s="428">
        <f t="shared" ref="X10:X31" si="39">W10-W9</f>
        <v>0</v>
      </c>
      <c r="Y10" s="426">
        <f t="shared" si="11"/>
        <v>996900</v>
      </c>
      <c r="Z10" s="428">
        <f t="shared" si="33"/>
        <v>0</v>
      </c>
      <c r="AA10" s="426">
        <f t="shared" si="12"/>
        <v>36796</v>
      </c>
      <c r="AB10" s="428">
        <f t="shared" si="30"/>
        <v>0</v>
      </c>
      <c r="AC10" s="426">
        <f t="shared" si="13"/>
        <v>1170516</v>
      </c>
      <c r="AD10" s="428">
        <f t="shared" si="31"/>
        <v>0</v>
      </c>
      <c r="AE10" s="450">
        <f t="shared" si="14"/>
        <v>0</v>
      </c>
      <c r="AF10" s="451">
        <f t="shared" si="4"/>
        <v>0</v>
      </c>
      <c r="AG10" s="443">
        <f t="shared" si="5"/>
        <v>0</v>
      </c>
      <c r="AJ10" s="545"/>
      <c r="AK10" s="546"/>
      <c r="AL10" s="546"/>
      <c r="AM10" s="546"/>
      <c r="AN10" s="546"/>
    </row>
    <row r="11" spans="1:40">
      <c r="A11" s="436">
        <f>'General information '!F12</f>
        <v>0</v>
      </c>
      <c r="B11" s="430">
        <f t="shared" si="6"/>
        <v>0</v>
      </c>
      <c r="C11" s="437">
        <v>44720</v>
      </c>
      <c r="D11" s="591">
        <v>312170</v>
      </c>
      <c r="E11" s="579">
        <f t="shared" si="7"/>
        <v>1030</v>
      </c>
      <c r="F11" s="569">
        <v>4138883</v>
      </c>
      <c r="G11" s="449">
        <f t="shared" si="34"/>
        <v>305</v>
      </c>
      <c r="H11" s="426">
        <v>18050522</v>
      </c>
      <c r="I11" s="449">
        <f t="shared" si="35"/>
        <v>418</v>
      </c>
      <c r="J11" s="426">
        <v>29804478</v>
      </c>
      <c r="K11" s="449">
        <f t="shared" si="36"/>
        <v>428</v>
      </c>
      <c r="L11" s="426">
        <v>24600866</v>
      </c>
      <c r="M11" s="449">
        <f t="shared" si="37"/>
        <v>616</v>
      </c>
      <c r="N11" s="297">
        <f t="shared" si="38"/>
        <v>2797</v>
      </c>
      <c r="O11" s="445">
        <f t="shared" ref="O11:O31" si="40">IF(B11&gt;0,N11/B11,0)</f>
        <v>0</v>
      </c>
      <c r="P11" s="563">
        <v>19285.774000000001</v>
      </c>
      <c r="Q11" s="446">
        <f t="shared" si="1"/>
        <v>2609.0000000003783</v>
      </c>
      <c r="R11" s="428">
        <f t="shared" si="32"/>
        <v>187.99999999962165</v>
      </c>
      <c r="S11" s="426">
        <f t="shared" si="8"/>
        <v>10175</v>
      </c>
      <c r="T11" s="447">
        <f t="shared" si="2"/>
        <v>0</v>
      </c>
      <c r="U11" s="426">
        <f t="shared" si="9"/>
        <v>429166</v>
      </c>
      <c r="V11" s="428">
        <f t="shared" si="29"/>
        <v>0</v>
      </c>
      <c r="W11" s="426">
        <f t="shared" si="10"/>
        <v>33484</v>
      </c>
      <c r="X11" s="428">
        <f t="shared" si="39"/>
        <v>0</v>
      </c>
      <c r="Y11" s="426">
        <f t="shared" si="11"/>
        <v>996900</v>
      </c>
      <c r="Z11" s="428">
        <f t="shared" si="33"/>
        <v>0</v>
      </c>
      <c r="AA11" s="426">
        <f t="shared" si="12"/>
        <v>36796</v>
      </c>
      <c r="AB11" s="428">
        <f t="shared" si="30"/>
        <v>0</v>
      </c>
      <c r="AC11" s="426">
        <f t="shared" si="13"/>
        <v>1170516</v>
      </c>
      <c r="AD11" s="428">
        <f t="shared" si="31"/>
        <v>0</v>
      </c>
      <c r="AE11" s="450">
        <f t="shared" si="14"/>
        <v>0</v>
      </c>
      <c r="AF11" s="451">
        <f t="shared" si="4"/>
        <v>0</v>
      </c>
      <c r="AG11" s="443">
        <f t="shared" ref="AG11:AG32" si="41">IF(AE11&gt;0,AF11/AE11,0)</f>
        <v>0</v>
      </c>
      <c r="AJ11" s="545"/>
      <c r="AK11" s="546"/>
      <c r="AL11" s="546"/>
      <c r="AM11" s="546"/>
      <c r="AN11" s="546"/>
    </row>
    <row r="12" spans="1:40">
      <c r="A12" s="436">
        <f>'General information '!F13</f>
        <v>0</v>
      </c>
      <c r="B12" s="430">
        <f>SUM(230*A12)</f>
        <v>0</v>
      </c>
      <c r="C12" s="437">
        <v>44721</v>
      </c>
      <c r="D12" s="591">
        <v>313120</v>
      </c>
      <c r="E12" s="579">
        <f>D12-D11</f>
        <v>950</v>
      </c>
      <c r="F12" s="569">
        <v>4139201</v>
      </c>
      <c r="G12" s="449">
        <f t="shared" si="34"/>
        <v>318</v>
      </c>
      <c r="H12" s="426">
        <v>18050934</v>
      </c>
      <c r="I12" s="449">
        <f t="shared" si="35"/>
        <v>412</v>
      </c>
      <c r="J12" s="426">
        <v>29804910</v>
      </c>
      <c r="K12" s="449">
        <f t="shared" si="36"/>
        <v>432</v>
      </c>
      <c r="L12" s="426">
        <v>24601666</v>
      </c>
      <c r="M12" s="449">
        <f t="shared" si="37"/>
        <v>800</v>
      </c>
      <c r="N12" s="297">
        <f>M12+K12+I12+G12+E12</f>
        <v>2912</v>
      </c>
      <c r="O12" s="445">
        <f t="shared" si="40"/>
        <v>0</v>
      </c>
      <c r="P12" s="563">
        <v>19288.61</v>
      </c>
      <c r="Q12" s="446">
        <f t="shared" si="1"/>
        <v>2835.9999999993306</v>
      </c>
      <c r="R12" s="592">
        <f>N12-Q12</f>
        <v>76.000000000669388</v>
      </c>
      <c r="S12" s="426">
        <f t="shared" si="8"/>
        <v>10175</v>
      </c>
      <c r="T12" s="447">
        <f t="shared" si="2"/>
        <v>0</v>
      </c>
      <c r="U12" s="426">
        <f t="shared" si="9"/>
        <v>429166</v>
      </c>
      <c r="V12" s="428">
        <f t="shared" si="29"/>
        <v>0</v>
      </c>
      <c r="W12" s="426">
        <f t="shared" si="10"/>
        <v>33484</v>
      </c>
      <c r="X12" s="428">
        <f t="shared" si="39"/>
        <v>0</v>
      </c>
      <c r="Y12" s="426">
        <f t="shared" si="11"/>
        <v>996900</v>
      </c>
      <c r="Z12" s="428">
        <f t="shared" si="33"/>
        <v>0</v>
      </c>
      <c r="AA12" s="426">
        <f t="shared" si="12"/>
        <v>36796</v>
      </c>
      <c r="AB12" s="428">
        <f t="shared" si="30"/>
        <v>0</v>
      </c>
      <c r="AC12" s="426">
        <f t="shared" si="13"/>
        <v>1170516</v>
      </c>
      <c r="AD12" s="428">
        <f t="shared" si="31"/>
        <v>0</v>
      </c>
      <c r="AE12" s="450">
        <f t="shared" si="14"/>
        <v>0</v>
      </c>
      <c r="AF12" s="451">
        <f t="shared" si="4"/>
        <v>0</v>
      </c>
      <c r="AG12" s="443">
        <f t="shared" si="41"/>
        <v>0</v>
      </c>
      <c r="AJ12" s="545"/>
      <c r="AK12" s="546"/>
      <c r="AL12" s="546"/>
      <c r="AM12" s="546"/>
      <c r="AN12" s="546"/>
    </row>
    <row r="13" spans="1:40">
      <c r="A13" s="436">
        <f>'General information '!F14</f>
        <v>0</v>
      </c>
      <c r="B13" s="430">
        <f t="shared" si="6"/>
        <v>0</v>
      </c>
      <c r="C13" s="437">
        <v>44722</v>
      </c>
      <c r="D13" s="591">
        <f t="shared" si="15"/>
        <v>313120</v>
      </c>
      <c r="E13" s="579">
        <f t="shared" si="7"/>
        <v>0</v>
      </c>
      <c r="F13" s="569">
        <f t="shared" si="17"/>
        <v>4139201</v>
      </c>
      <c r="G13" s="449">
        <f t="shared" si="34"/>
        <v>0</v>
      </c>
      <c r="H13" s="426">
        <f t="shared" si="19"/>
        <v>18050934</v>
      </c>
      <c r="I13" s="449">
        <f t="shared" si="35"/>
        <v>0</v>
      </c>
      <c r="J13" s="426">
        <f t="shared" si="21"/>
        <v>29804910</v>
      </c>
      <c r="K13" s="449">
        <f t="shared" si="36"/>
        <v>0</v>
      </c>
      <c r="L13" s="426">
        <f t="shared" si="23"/>
        <v>24601666</v>
      </c>
      <c r="M13" s="449">
        <f t="shared" si="37"/>
        <v>0</v>
      </c>
      <c r="N13" s="297">
        <f>M13+K13+I13+G13+E13</f>
        <v>0</v>
      </c>
      <c r="O13" s="445">
        <f t="shared" si="40"/>
        <v>0</v>
      </c>
      <c r="P13" s="563">
        <f t="shared" si="27"/>
        <v>19288.61</v>
      </c>
      <c r="Q13" s="446">
        <f t="shared" si="1"/>
        <v>0</v>
      </c>
      <c r="R13" s="428">
        <f t="shared" si="32"/>
        <v>0</v>
      </c>
      <c r="S13" s="426">
        <f t="shared" si="8"/>
        <v>10175</v>
      </c>
      <c r="T13" s="447">
        <f t="shared" si="2"/>
        <v>0</v>
      </c>
      <c r="U13" s="426">
        <f t="shared" si="9"/>
        <v>429166</v>
      </c>
      <c r="V13" s="428">
        <f t="shared" si="29"/>
        <v>0</v>
      </c>
      <c r="W13" s="426">
        <f t="shared" si="10"/>
        <v>33484</v>
      </c>
      <c r="X13" s="428">
        <f t="shared" si="39"/>
        <v>0</v>
      </c>
      <c r="Y13" s="426">
        <f t="shared" si="11"/>
        <v>996900</v>
      </c>
      <c r="Z13" s="428">
        <f t="shared" si="33"/>
        <v>0</v>
      </c>
      <c r="AA13" s="426">
        <f t="shared" si="12"/>
        <v>36796</v>
      </c>
      <c r="AB13" s="428">
        <f t="shared" si="30"/>
        <v>0</v>
      </c>
      <c r="AC13" s="426">
        <f t="shared" si="13"/>
        <v>1170516</v>
      </c>
      <c r="AD13" s="428">
        <f t="shared" si="31"/>
        <v>0</v>
      </c>
      <c r="AE13" s="450">
        <f t="shared" si="14"/>
        <v>0</v>
      </c>
      <c r="AF13" s="451">
        <f t="shared" si="4"/>
        <v>0</v>
      </c>
      <c r="AG13" s="443">
        <f t="shared" si="41"/>
        <v>0</v>
      </c>
      <c r="AJ13" s="545"/>
      <c r="AK13" s="546"/>
      <c r="AL13" s="546"/>
      <c r="AM13" s="546"/>
      <c r="AN13" s="546"/>
    </row>
    <row r="14" spans="1:40">
      <c r="A14" s="436">
        <f>'General information '!F15</f>
        <v>0</v>
      </c>
      <c r="B14" s="430">
        <f t="shared" si="6"/>
        <v>0</v>
      </c>
      <c r="C14" s="437">
        <v>44723</v>
      </c>
      <c r="D14" s="591">
        <f t="shared" si="15"/>
        <v>313120</v>
      </c>
      <c r="E14" s="579">
        <f t="shared" si="7"/>
        <v>0</v>
      </c>
      <c r="F14" s="569">
        <f t="shared" si="17"/>
        <v>4139201</v>
      </c>
      <c r="G14" s="449">
        <f t="shared" si="34"/>
        <v>0</v>
      </c>
      <c r="H14" s="426">
        <f t="shared" si="19"/>
        <v>18050934</v>
      </c>
      <c r="I14" s="449">
        <f t="shared" si="35"/>
        <v>0</v>
      </c>
      <c r="J14" s="426">
        <f t="shared" si="21"/>
        <v>29804910</v>
      </c>
      <c r="K14" s="449">
        <f t="shared" si="36"/>
        <v>0</v>
      </c>
      <c r="L14" s="426">
        <f t="shared" si="23"/>
        <v>24601666</v>
      </c>
      <c r="M14" s="449">
        <f t="shared" si="37"/>
        <v>0</v>
      </c>
      <c r="N14" s="297">
        <f t="shared" si="38"/>
        <v>0</v>
      </c>
      <c r="O14" s="445">
        <f t="shared" si="40"/>
        <v>0</v>
      </c>
      <c r="P14" s="563">
        <f t="shared" si="27"/>
        <v>19288.61</v>
      </c>
      <c r="Q14" s="446">
        <f t="shared" si="1"/>
        <v>0</v>
      </c>
      <c r="R14" s="428">
        <f t="shared" si="32"/>
        <v>0</v>
      </c>
      <c r="S14" s="426">
        <f t="shared" si="8"/>
        <v>10175</v>
      </c>
      <c r="T14" s="447">
        <f t="shared" si="2"/>
        <v>0</v>
      </c>
      <c r="U14" s="426">
        <f t="shared" si="9"/>
        <v>429166</v>
      </c>
      <c r="V14" s="428">
        <f t="shared" si="29"/>
        <v>0</v>
      </c>
      <c r="W14" s="426">
        <f t="shared" si="10"/>
        <v>33484</v>
      </c>
      <c r="X14" s="428">
        <f t="shared" si="39"/>
        <v>0</v>
      </c>
      <c r="Y14" s="426">
        <f t="shared" si="11"/>
        <v>996900</v>
      </c>
      <c r="Z14" s="428">
        <f t="shared" si="33"/>
        <v>0</v>
      </c>
      <c r="AA14" s="426">
        <f t="shared" si="12"/>
        <v>36796</v>
      </c>
      <c r="AB14" s="428">
        <f t="shared" si="30"/>
        <v>0</v>
      </c>
      <c r="AC14" s="426">
        <f t="shared" si="13"/>
        <v>1170516</v>
      </c>
      <c r="AD14" s="428">
        <f t="shared" si="31"/>
        <v>0</v>
      </c>
      <c r="AE14" s="450">
        <f t="shared" si="14"/>
        <v>0</v>
      </c>
      <c r="AF14" s="451">
        <f t="shared" si="4"/>
        <v>0</v>
      </c>
      <c r="AG14" s="443">
        <f t="shared" si="41"/>
        <v>0</v>
      </c>
      <c r="AJ14" s="545"/>
      <c r="AK14" s="546"/>
      <c r="AL14" s="546"/>
      <c r="AM14" s="546"/>
      <c r="AN14" s="546"/>
    </row>
    <row r="15" spans="1:40">
      <c r="A15" s="436">
        <f>'General information '!F16</f>
        <v>0</v>
      </c>
      <c r="B15" s="430">
        <f t="shared" si="6"/>
        <v>0</v>
      </c>
      <c r="C15" s="437">
        <v>44724</v>
      </c>
      <c r="D15" s="591">
        <v>313820</v>
      </c>
      <c r="E15" s="579">
        <f t="shared" si="7"/>
        <v>700</v>
      </c>
      <c r="F15" s="569">
        <v>4139485</v>
      </c>
      <c r="G15" s="449">
        <f t="shared" si="34"/>
        <v>284</v>
      </c>
      <c r="H15" s="426">
        <v>18051332</v>
      </c>
      <c r="I15" s="449">
        <f t="shared" si="35"/>
        <v>398</v>
      </c>
      <c r="J15" s="426">
        <v>29805398</v>
      </c>
      <c r="K15" s="449">
        <f t="shared" si="36"/>
        <v>488</v>
      </c>
      <c r="L15" s="426">
        <v>24602482</v>
      </c>
      <c r="M15" s="449">
        <f t="shared" si="37"/>
        <v>816</v>
      </c>
      <c r="N15" s="297">
        <f t="shared" si="38"/>
        <v>2686</v>
      </c>
      <c r="O15" s="445">
        <f t="shared" si="40"/>
        <v>0</v>
      </c>
      <c r="P15" s="563">
        <v>19291.120999999999</v>
      </c>
      <c r="Q15" s="446">
        <f t="shared" si="1"/>
        <v>2510.999999998603</v>
      </c>
      <c r="R15" s="592">
        <f>N15-Q15</f>
        <v>175.00000000139698</v>
      </c>
      <c r="S15" s="426">
        <f t="shared" si="8"/>
        <v>10175</v>
      </c>
      <c r="T15" s="447">
        <f t="shared" si="2"/>
        <v>0</v>
      </c>
      <c r="U15" s="426">
        <f t="shared" si="9"/>
        <v>429166</v>
      </c>
      <c r="V15" s="428">
        <f t="shared" si="29"/>
        <v>0</v>
      </c>
      <c r="W15" s="426">
        <f t="shared" si="10"/>
        <v>33484</v>
      </c>
      <c r="X15" s="428">
        <f t="shared" si="39"/>
        <v>0</v>
      </c>
      <c r="Y15" s="426">
        <f t="shared" si="11"/>
        <v>996900</v>
      </c>
      <c r="Z15" s="428">
        <f t="shared" si="33"/>
        <v>0</v>
      </c>
      <c r="AA15" s="426">
        <f t="shared" si="12"/>
        <v>36796</v>
      </c>
      <c r="AB15" s="428">
        <f t="shared" si="30"/>
        <v>0</v>
      </c>
      <c r="AC15" s="426">
        <f t="shared" si="13"/>
        <v>1170516</v>
      </c>
      <c r="AD15" s="428">
        <f t="shared" si="31"/>
        <v>0</v>
      </c>
      <c r="AE15" s="450">
        <f t="shared" si="14"/>
        <v>0</v>
      </c>
      <c r="AF15" s="451">
        <f t="shared" si="4"/>
        <v>0</v>
      </c>
      <c r="AG15" s="443">
        <f t="shared" si="41"/>
        <v>0</v>
      </c>
      <c r="AJ15" s="545"/>
      <c r="AK15" s="546"/>
      <c r="AL15" s="546"/>
      <c r="AM15" s="546"/>
      <c r="AN15" s="546"/>
    </row>
    <row r="16" spans="1:40">
      <c r="A16" s="436">
        <f>'General information '!F17</f>
        <v>0</v>
      </c>
      <c r="B16" s="430">
        <f t="shared" si="6"/>
        <v>0</v>
      </c>
      <c r="C16" s="437">
        <v>44725</v>
      </c>
      <c r="D16" s="591">
        <v>314960</v>
      </c>
      <c r="E16" s="579">
        <f t="shared" si="7"/>
        <v>1140</v>
      </c>
      <c r="F16" s="569">
        <v>4139802</v>
      </c>
      <c r="G16" s="449">
        <f t="shared" si="34"/>
        <v>317</v>
      </c>
      <c r="H16" s="426">
        <v>18051742</v>
      </c>
      <c r="I16" s="449">
        <f t="shared" si="35"/>
        <v>410</v>
      </c>
      <c r="J16" s="426">
        <v>29805752</v>
      </c>
      <c r="K16" s="449">
        <f t="shared" si="36"/>
        <v>354</v>
      </c>
      <c r="L16" s="426">
        <v>24603258</v>
      </c>
      <c r="M16" s="449">
        <f t="shared" si="37"/>
        <v>776</v>
      </c>
      <c r="N16" s="297">
        <f t="shared" si="38"/>
        <v>2997</v>
      </c>
      <c r="O16" s="445">
        <f t="shared" si="40"/>
        <v>0</v>
      </c>
      <c r="P16" s="563">
        <v>19293.940999999999</v>
      </c>
      <c r="Q16" s="446">
        <f t="shared" si="1"/>
        <v>2819.999999999709</v>
      </c>
      <c r="R16" s="428">
        <f t="shared" si="32"/>
        <v>177.00000000029104</v>
      </c>
      <c r="S16" s="426">
        <f t="shared" si="8"/>
        <v>10175</v>
      </c>
      <c r="T16" s="447">
        <f t="shared" si="2"/>
        <v>0</v>
      </c>
      <c r="U16" s="426">
        <f t="shared" si="9"/>
        <v>429166</v>
      </c>
      <c r="V16" s="428">
        <f t="shared" si="29"/>
        <v>0</v>
      </c>
      <c r="W16" s="426">
        <f t="shared" si="10"/>
        <v>33484</v>
      </c>
      <c r="X16" s="428">
        <f t="shared" si="39"/>
        <v>0</v>
      </c>
      <c r="Y16" s="426">
        <f t="shared" si="11"/>
        <v>996900</v>
      </c>
      <c r="Z16" s="428">
        <f t="shared" si="33"/>
        <v>0</v>
      </c>
      <c r="AA16" s="426">
        <f t="shared" si="12"/>
        <v>36796</v>
      </c>
      <c r="AB16" s="428">
        <f t="shared" si="30"/>
        <v>0</v>
      </c>
      <c r="AC16" s="426">
        <f t="shared" si="13"/>
        <v>1170516</v>
      </c>
      <c r="AD16" s="428">
        <f t="shared" si="31"/>
        <v>0</v>
      </c>
      <c r="AE16" s="450">
        <f t="shared" si="14"/>
        <v>0</v>
      </c>
      <c r="AF16" s="451">
        <f t="shared" si="4"/>
        <v>0</v>
      </c>
      <c r="AG16" s="443">
        <f t="shared" si="41"/>
        <v>0</v>
      </c>
      <c r="AJ16" s="545"/>
      <c r="AK16" s="546"/>
      <c r="AL16" s="546"/>
      <c r="AM16" s="546"/>
      <c r="AN16" s="546"/>
    </row>
    <row r="17" spans="1:40">
      <c r="A17" s="436">
        <f>'General information '!F18</f>
        <v>0</v>
      </c>
      <c r="B17" s="430">
        <f t="shared" si="6"/>
        <v>0</v>
      </c>
      <c r="C17" s="437">
        <v>44726</v>
      </c>
      <c r="D17" s="591">
        <v>315710</v>
      </c>
      <c r="E17" s="579">
        <f t="shared" si="7"/>
        <v>750</v>
      </c>
      <c r="F17" s="569">
        <v>4140112</v>
      </c>
      <c r="G17" s="449">
        <f t="shared" si="34"/>
        <v>310</v>
      </c>
      <c r="H17" s="426">
        <v>18052170</v>
      </c>
      <c r="I17" s="449">
        <f t="shared" si="35"/>
        <v>428</v>
      </c>
      <c r="J17" s="426">
        <v>29806590</v>
      </c>
      <c r="K17" s="449">
        <f t="shared" si="36"/>
        <v>838</v>
      </c>
      <c r="L17" s="426">
        <v>24604120</v>
      </c>
      <c r="M17" s="449">
        <f t="shared" si="37"/>
        <v>862</v>
      </c>
      <c r="N17" s="297">
        <f t="shared" si="38"/>
        <v>3188</v>
      </c>
      <c r="O17" s="445">
        <f t="shared" si="40"/>
        <v>0</v>
      </c>
      <c r="P17" s="563">
        <v>19297.005000000001</v>
      </c>
      <c r="Q17" s="446">
        <f t="shared" si="1"/>
        <v>3064.0000000021246</v>
      </c>
      <c r="R17" s="428">
        <f t="shared" si="32"/>
        <v>123.99999999787542</v>
      </c>
      <c r="S17" s="426">
        <f t="shared" si="8"/>
        <v>10175</v>
      </c>
      <c r="T17" s="447">
        <f t="shared" si="2"/>
        <v>0</v>
      </c>
      <c r="U17" s="426">
        <f t="shared" si="9"/>
        <v>429166</v>
      </c>
      <c r="V17" s="428">
        <f t="shared" si="29"/>
        <v>0</v>
      </c>
      <c r="W17" s="426">
        <f t="shared" si="10"/>
        <v>33484</v>
      </c>
      <c r="X17" s="428">
        <f>W17-W16</f>
        <v>0</v>
      </c>
      <c r="Y17" s="426">
        <f t="shared" si="11"/>
        <v>996900</v>
      </c>
      <c r="Z17" s="428">
        <f>Y17-Y16</f>
        <v>0</v>
      </c>
      <c r="AA17" s="426">
        <f t="shared" si="12"/>
        <v>36796</v>
      </c>
      <c r="AB17" s="428">
        <f>AA17-AA16</f>
        <v>0</v>
      </c>
      <c r="AC17" s="426">
        <f t="shared" si="13"/>
        <v>1170516</v>
      </c>
      <c r="AD17" s="428">
        <f t="shared" si="31"/>
        <v>0</v>
      </c>
      <c r="AE17" s="450">
        <f t="shared" si="14"/>
        <v>0</v>
      </c>
      <c r="AF17" s="451">
        <f t="shared" si="4"/>
        <v>0</v>
      </c>
      <c r="AG17" s="443">
        <f t="shared" si="41"/>
        <v>0</v>
      </c>
      <c r="AJ17" s="545"/>
      <c r="AK17" s="546"/>
      <c r="AL17" s="546"/>
      <c r="AM17" s="546"/>
      <c r="AN17" s="546"/>
    </row>
    <row r="18" spans="1:40">
      <c r="A18" s="436">
        <f>'General information '!F19</f>
        <v>0</v>
      </c>
      <c r="B18" s="430">
        <f t="shared" si="6"/>
        <v>0</v>
      </c>
      <c r="C18" s="437">
        <v>44727</v>
      </c>
      <c r="D18" s="591">
        <v>316510</v>
      </c>
      <c r="E18" s="579">
        <f t="shared" si="7"/>
        <v>800</v>
      </c>
      <c r="F18" s="569">
        <v>4140415</v>
      </c>
      <c r="G18" s="449">
        <f t="shared" si="34"/>
        <v>303</v>
      </c>
      <c r="H18" s="426">
        <v>18052610</v>
      </c>
      <c r="I18" s="449">
        <f t="shared" si="35"/>
        <v>440</v>
      </c>
      <c r="J18" s="426">
        <v>29807398</v>
      </c>
      <c r="K18" s="449">
        <f t="shared" si="36"/>
        <v>808</v>
      </c>
      <c r="L18" s="426">
        <v>24604882</v>
      </c>
      <c r="M18" s="449">
        <f t="shared" si="37"/>
        <v>762</v>
      </c>
      <c r="N18" s="297">
        <f>M18+K18+I18+G18+E18</f>
        <v>3113</v>
      </c>
      <c r="O18" s="445">
        <f t="shared" si="40"/>
        <v>0</v>
      </c>
      <c r="P18" s="563">
        <v>19299.973000000002</v>
      </c>
      <c r="Q18" s="446">
        <f t="shared" si="1"/>
        <v>2968.0000000007567</v>
      </c>
      <c r="R18" s="428">
        <f t="shared" si="32"/>
        <v>144.9999999992433</v>
      </c>
      <c r="S18" s="426">
        <f t="shared" si="8"/>
        <v>10175</v>
      </c>
      <c r="T18" s="447">
        <f t="shared" si="2"/>
        <v>0</v>
      </c>
      <c r="U18" s="426">
        <f t="shared" si="9"/>
        <v>429166</v>
      </c>
      <c r="V18" s="428">
        <f t="shared" si="29"/>
        <v>0</v>
      </c>
      <c r="W18" s="426">
        <f t="shared" si="10"/>
        <v>33484</v>
      </c>
      <c r="X18" s="428">
        <f t="shared" si="39"/>
        <v>0</v>
      </c>
      <c r="Y18" s="426">
        <f t="shared" si="11"/>
        <v>996900</v>
      </c>
      <c r="Z18" s="428">
        <f t="shared" si="33"/>
        <v>0</v>
      </c>
      <c r="AA18" s="426">
        <f t="shared" si="12"/>
        <v>36796</v>
      </c>
      <c r="AB18" s="428">
        <f t="shared" si="30"/>
        <v>0</v>
      </c>
      <c r="AC18" s="426">
        <f t="shared" si="13"/>
        <v>1170516</v>
      </c>
      <c r="AD18" s="428">
        <f t="shared" ref="AD18:AD31" si="42">AC18-AC17</f>
        <v>0</v>
      </c>
      <c r="AE18" s="450">
        <f t="shared" si="14"/>
        <v>0</v>
      </c>
      <c r="AF18" s="451">
        <f t="shared" si="4"/>
        <v>0</v>
      </c>
      <c r="AG18" s="443">
        <f t="shared" si="41"/>
        <v>0</v>
      </c>
      <c r="AJ18" s="545"/>
      <c r="AK18" s="546"/>
      <c r="AL18" s="546"/>
      <c r="AM18" s="546"/>
      <c r="AN18" s="546"/>
    </row>
    <row r="19" spans="1:40">
      <c r="A19" s="436">
        <f>'General information '!F20</f>
        <v>0</v>
      </c>
      <c r="B19" s="430">
        <f t="shared" si="6"/>
        <v>0</v>
      </c>
      <c r="C19" s="437">
        <v>44728</v>
      </c>
      <c r="D19" s="591">
        <f t="shared" si="15"/>
        <v>316510</v>
      </c>
      <c r="E19" s="579">
        <f t="shared" si="7"/>
        <v>0</v>
      </c>
      <c r="F19" s="569">
        <f t="shared" si="17"/>
        <v>4140415</v>
      </c>
      <c r="G19" s="449">
        <f t="shared" si="34"/>
        <v>0</v>
      </c>
      <c r="H19" s="426">
        <f t="shared" si="19"/>
        <v>18052610</v>
      </c>
      <c r="I19" s="449">
        <f t="shared" si="35"/>
        <v>0</v>
      </c>
      <c r="J19" s="426">
        <f t="shared" si="21"/>
        <v>29807398</v>
      </c>
      <c r="K19" s="449">
        <f t="shared" si="36"/>
        <v>0</v>
      </c>
      <c r="L19" s="426">
        <f t="shared" si="23"/>
        <v>24604882</v>
      </c>
      <c r="M19" s="449">
        <f t="shared" si="37"/>
        <v>0</v>
      </c>
      <c r="N19" s="297">
        <f t="shared" si="38"/>
        <v>0</v>
      </c>
      <c r="O19" s="445">
        <f t="shared" si="40"/>
        <v>0</v>
      </c>
      <c r="P19" s="563">
        <f t="shared" si="27"/>
        <v>19299.973000000002</v>
      </c>
      <c r="Q19" s="446">
        <f>(P19-P18)*1000</f>
        <v>0</v>
      </c>
      <c r="R19" s="592">
        <f>N19-Q19</f>
        <v>0</v>
      </c>
      <c r="S19" s="426">
        <f t="shared" si="8"/>
        <v>10175</v>
      </c>
      <c r="T19" s="447">
        <f t="shared" si="2"/>
        <v>0</v>
      </c>
      <c r="U19" s="426">
        <f t="shared" si="9"/>
        <v>429166</v>
      </c>
      <c r="V19" s="428">
        <f t="shared" si="29"/>
        <v>0</v>
      </c>
      <c r="W19" s="426">
        <f t="shared" si="10"/>
        <v>33484</v>
      </c>
      <c r="X19" s="428">
        <f t="shared" si="39"/>
        <v>0</v>
      </c>
      <c r="Y19" s="426">
        <f t="shared" si="11"/>
        <v>996900</v>
      </c>
      <c r="Z19" s="428">
        <f t="shared" si="33"/>
        <v>0</v>
      </c>
      <c r="AA19" s="426">
        <f t="shared" si="12"/>
        <v>36796</v>
      </c>
      <c r="AB19" s="428">
        <f t="shared" si="30"/>
        <v>0</v>
      </c>
      <c r="AC19" s="426">
        <f t="shared" si="13"/>
        <v>1170516</v>
      </c>
      <c r="AD19" s="428">
        <f t="shared" si="42"/>
        <v>0</v>
      </c>
      <c r="AE19" s="450">
        <f t="shared" si="14"/>
        <v>0</v>
      </c>
      <c r="AF19" s="451">
        <f t="shared" si="4"/>
        <v>0</v>
      </c>
      <c r="AG19" s="443">
        <f t="shared" si="41"/>
        <v>0</v>
      </c>
      <c r="AJ19" s="545"/>
      <c r="AK19" s="546"/>
      <c r="AL19" s="546"/>
      <c r="AM19" s="546"/>
      <c r="AN19" s="546"/>
    </row>
    <row r="20" spans="1:40">
      <c r="A20" s="436">
        <f>'General information '!F21</f>
        <v>0</v>
      </c>
      <c r="B20" s="430">
        <f t="shared" si="6"/>
        <v>0</v>
      </c>
      <c r="C20" s="437">
        <v>44729</v>
      </c>
      <c r="D20" s="591">
        <f t="shared" si="15"/>
        <v>316510</v>
      </c>
      <c r="E20" s="579">
        <f t="shared" si="7"/>
        <v>0</v>
      </c>
      <c r="F20" s="569">
        <f t="shared" si="17"/>
        <v>4140415</v>
      </c>
      <c r="G20" s="449">
        <f t="shared" si="34"/>
        <v>0</v>
      </c>
      <c r="H20" s="426">
        <f t="shared" si="19"/>
        <v>18052610</v>
      </c>
      <c r="I20" s="449">
        <f t="shared" si="35"/>
        <v>0</v>
      </c>
      <c r="J20" s="426">
        <f t="shared" si="21"/>
        <v>29807398</v>
      </c>
      <c r="K20" s="449">
        <f t="shared" si="36"/>
        <v>0</v>
      </c>
      <c r="L20" s="426">
        <f t="shared" si="23"/>
        <v>24604882</v>
      </c>
      <c r="M20" s="449">
        <f t="shared" si="37"/>
        <v>0</v>
      </c>
      <c r="N20" s="297">
        <f t="shared" si="38"/>
        <v>0</v>
      </c>
      <c r="O20" s="445">
        <f t="shared" si="40"/>
        <v>0</v>
      </c>
      <c r="P20" s="563">
        <f t="shared" si="27"/>
        <v>19299.973000000002</v>
      </c>
      <c r="Q20" s="446">
        <f>(P20-P19)*1000</f>
        <v>0</v>
      </c>
      <c r="R20" s="592">
        <f>N20-Q20</f>
        <v>0</v>
      </c>
      <c r="S20" s="426">
        <f t="shared" si="8"/>
        <v>10175</v>
      </c>
      <c r="T20" s="447">
        <f t="shared" si="2"/>
        <v>0</v>
      </c>
      <c r="U20" s="426">
        <f t="shared" si="9"/>
        <v>429166</v>
      </c>
      <c r="V20" s="428">
        <f t="shared" si="29"/>
        <v>0</v>
      </c>
      <c r="W20" s="426">
        <f t="shared" si="10"/>
        <v>33484</v>
      </c>
      <c r="X20" s="428">
        <f t="shared" si="39"/>
        <v>0</v>
      </c>
      <c r="Y20" s="426">
        <f t="shared" si="11"/>
        <v>996900</v>
      </c>
      <c r="Z20" s="428">
        <f t="shared" si="33"/>
        <v>0</v>
      </c>
      <c r="AA20" s="426">
        <f t="shared" si="12"/>
        <v>36796</v>
      </c>
      <c r="AB20" s="428">
        <f t="shared" si="30"/>
        <v>0</v>
      </c>
      <c r="AC20" s="426">
        <f t="shared" si="13"/>
        <v>1170516</v>
      </c>
      <c r="AD20" s="428">
        <f t="shared" si="42"/>
        <v>0</v>
      </c>
      <c r="AE20" s="450">
        <f t="shared" si="14"/>
        <v>0</v>
      </c>
      <c r="AF20" s="451">
        <f t="shared" si="4"/>
        <v>0</v>
      </c>
      <c r="AG20" s="443">
        <f t="shared" si="41"/>
        <v>0</v>
      </c>
      <c r="AJ20" s="545"/>
      <c r="AK20" s="546"/>
      <c r="AL20" s="546"/>
      <c r="AM20" s="546"/>
      <c r="AN20" s="546"/>
    </row>
    <row r="21" spans="1:40">
      <c r="A21" s="436">
        <f>'General information '!F22</f>
        <v>0</v>
      </c>
      <c r="B21" s="430">
        <f t="shared" si="6"/>
        <v>0</v>
      </c>
      <c r="C21" s="437">
        <v>44730</v>
      </c>
      <c r="D21" s="591">
        <f t="shared" si="15"/>
        <v>316510</v>
      </c>
      <c r="E21" s="579">
        <f t="shared" si="7"/>
        <v>0</v>
      </c>
      <c r="F21" s="569">
        <f t="shared" si="17"/>
        <v>4140415</v>
      </c>
      <c r="G21" s="449">
        <f t="shared" si="34"/>
        <v>0</v>
      </c>
      <c r="H21" s="426">
        <f t="shared" si="19"/>
        <v>18052610</v>
      </c>
      <c r="I21" s="449">
        <f t="shared" si="35"/>
        <v>0</v>
      </c>
      <c r="J21" s="426">
        <f t="shared" si="21"/>
        <v>29807398</v>
      </c>
      <c r="K21" s="449">
        <f t="shared" si="36"/>
        <v>0</v>
      </c>
      <c r="L21" s="426">
        <f t="shared" si="23"/>
        <v>24604882</v>
      </c>
      <c r="M21" s="449">
        <f t="shared" si="37"/>
        <v>0</v>
      </c>
      <c r="N21" s="297">
        <f t="shared" si="38"/>
        <v>0</v>
      </c>
      <c r="O21" s="445">
        <f t="shared" si="40"/>
        <v>0</v>
      </c>
      <c r="P21" s="563">
        <f t="shared" si="27"/>
        <v>19299.973000000002</v>
      </c>
      <c r="Q21" s="446">
        <f t="shared" si="1"/>
        <v>0</v>
      </c>
      <c r="R21" s="592">
        <f t="shared" ref="R21:R31" si="43">N21-Q21</f>
        <v>0</v>
      </c>
      <c r="S21" s="426">
        <f t="shared" si="8"/>
        <v>10175</v>
      </c>
      <c r="T21" s="447">
        <f t="shared" si="2"/>
        <v>0</v>
      </c>
      <c r="U21" s="426">
        <f t="shared" si="9"/>
        <v>429166</v>
      </c>
      <c r="V21" s="428">
        <f t="shared" si="29"/>
        <v>0</v>
      </c>
      <c r="W21" s="426">
        <f t="shared" si="10"/>
        <v>33484</v>
      </c>
      <c r="X21" s="428">
        <f t="shared" si="39"/>
        <v>0</v>
      </c>
      <c r="Y21" s="426">
        <f t="shared" si="11"/>
        <v>996900</v>
      </c>
      <c r="Z21" s="428">
        <f t="shared" si="33"/>
        <v>0</v>
      </c>
      <c r="AA21" s="426">
        <f t="shared" si="12"/>
        <v>36796</v>
      </c>
      <c r="AB21" s="428">
        <f t="shared" si="30"/>
        <v>0</v>
      </c>
      <c r="AC21" s="426">
        <f t="shared" si="13"/>
        <v>1170516</v>
      </c>
      <c r="AD21" s="428">
        <f t="shared" si="42"/>
        <v>0</v>
      </c>
      <c r="AE21" s="450">
        <f t="shared" si="14"/>
        <v>0</v>
      </c>
      <c r="AF21" s="451">
        <f t="shared" si="4"/>
        <v>0</v>
      </c>
      <c r="AG21" s="443">
        <f t="shared" si="41"/>
        <v>0</v>
      </c>
      <c r="AJ21" s="545"/>
      <c r="AK21" s="546"/>
      <c r="AL21" s="546"/>
      <c r="AM21" s="546"/>
      <c r="AN21" s="546"/>
    </row>
    <row r="22" spans="1:40">
      <c r="A22" s="436">
        <f>'General information '!F23</f>
        <v>0</v>
      </c>
      <c r="B22" s="430">
        <f t="shared" si="6"/>
        <v>0</v>
      </c>
      <c r="C22" s="437">
        <v>44731</v>
      </c>
      <c r="D22" s="591">
        <f t="shared" si="15"/>
        <v>316510</v>
      </c>
      <c r="E22" s="579">
        <f t="shared" ref="E22" si="44">D22-D21</f>
        <v>0</v>
      </c>
      <c r="F22" s="569">
        <f t="shared" si="17"/>
        <v>4140415</v>
      </c>
      <c r="G22" s="449">
        <f t="shared" ref="G22" si="45">F22-F21</f>
        <v>0</v>
      </c>
      <c r="H22" s="426">
        <f t="shared" si="19"/>
        <v>18052610</v>
      </c>
      <c r="I22" s="449">
        <f t="shared" ref="I22" si="46">H22-H21</f>
        <v>0</v>
      </c>
      <c r="J22" s="426">
        <f t="shared" si="21"/>
        <v>29807398</v>
      </c>
      <c r="K22" s="449">
        <f t="shared" ref="K22" si="47">J22-J21</f>
        <v>0</v>
      </c>
      <c r="L22" s="426">
        <f t="shared" si="23"/>
        <v>24604882</v>
      </c>
      <c r="M22" s="449">
        <f t="shared" ref="M22" si="48">L22-L21</f>
        <v>0</v>
      </c>
      <c r="N22" s="297">
        <f t="shared" ref="N22" si="49">M22+K22+I22+G22+E22</f>
        <v>0</v>
      </c>
      <c r="O22" s="445">
        <f t="shared" ref="O22" si="50">IF(B22&gt;0,N22/B22,0)</f>
        <v>0</v>
      </c>
      <c r="P22" s="563">
        <f t="shared" si="27"/>
        <v>19299.973000000002</v>
      </c>
      <c r="Q22" s="446">
        <f t="shared" ref="Q22" si="51">(P22-P21)*1000</f>
        <v>0</v>
      </c>
      <c r="R22" s="592">
        <f t="shared" ref="R22" si="52">N22-Q22</f>
        <v>0</v>
      </c>
      <c r="S22" s="426">
        <f t="shared" si="8"/>
        <v>10175</v>
      </c>
      <c r="T22" s="447">
        <f t="shared" si="2"/>
        <v>0</v>
      </c>
      <c r="U22" s="426">
        <f t="shared" si="9"/>
        <v>429166</v>
      </c>
      <c r="V22" s="428">
        <f t="shared" si="29"/>
        <v>0</v>
      </c>
      <c r="W22" s="426">
        <f t="shared" si="10"/>
        <v>33484</v>
      </c>
      <c r="X22" s="428">
        <f t="shared" si="39"/>
        <v>0</v>
      </c>
      <c r="Y22" s="426">
        <f t="shared" si="11"/>
        <v>996900</v>
      </c>
      <c r="Z22" s="428">
        <f t="shared" si="33"/>
        <v>0</v>
      </c>
      <c r="AA22" s="426">
        <f t="shared" si="12"/>
        <v>36796</v>
      </c>
      <c r="AB22" s="428">
        <f t="shared" si="30"/>
        <v>0</v>
      </c>
      <c r="AC22" s="426">
        <f t="shared" si="13"/>
        <v>1170516</v>
      </c>
      <c r="AD22" s="449">
        <f>AC22-AC21</f>
        <v>0</v>
      </c>
      <c r="AE22" s="450">
        <f t="shared" si="14"/>
        <v>0</v>
      </c>
      <c r="AF22" s="451">
        <f t="shared" si="4"/>
        <v>0</v>
      </c>
      <c r="AG22" s="443">
        <f t="shared" si="41"/>
        <v>0</v>
      </c>
      <c r="AJ22" s="545"/>
      <c r="AK22" s="546"/>
      <c r="AL22" s="546"/>
      <c r="AM22" s="546"/>
      <c r="AN22" s="546"/>
    </row>
    <row r="23" spans="1:40">
      <c r="A23" s="436">
        <f>'General information '!F24</f>
        <v>0</v>
      </c>
      <c r="B23" s="430">
        <f t="shared" si="6"/>
        <v>0</v>
      </c>
      <c r="C23" s="437">
        <v>44732</v>
      </c>
      <c r="D23" s="591">
        <f t="shared" si="15"/>
        <v>316510</v>
      </c>
      <c r="E23" s="579">
        <f t="shared" si="7"/>
        <v>0</v>
      </c>
      <c r="F23" s="569">
        <f t="shared" si="17"/>
        <v>4140415</v>
      </c>
      <c r="G23" s="449">
        <f t="shared" si="34"/>
        <v>0</v>
      </c>
      <c r="H23" s="426">
        <f t="shared" si="19"/>
        <v>18052610</v>
      </c>
      <c r="I23" s="449">
        <f t="shared" si="35"/>
        <v>0</v>
      </c>
      <c r="J23" s="426">
        <f t="shared" si="21"/>
        <v>29807398</v>
      </c>
      <c r="K23" s="449">
        <f t="shared" si="36"/>
        <v>0</v>
      </c>
      <c r="L23" s="426">
        <f t="shared" si="23"/>
        <v>24604882</v>
      </c>
      <c r="M23" s="449">
        <f t="shared" si="37"/>
        <v>0</v>
      </c>
      <c r="N23" s="297">
        <f t="shared" si="38"/>
        <v>0</v>
      </c>
      <c r="O23" s="445">
        <f t="shared" si="40"/>
        <v>0</v>
      </c>
      <c r="P23" s="563">
        <f t="shared" si="27"/>
        <v>19299.973000000002</v>
      </c>
      <c r="Q23" s="446">
        <f t="shared" si="1"/>
        <v>0</v>
      </c>
      <c r="R23" s="592">
        <f t="shared" si="43"/>
        <v>0</v>
      </c>
      <c r="S23" s="426">
        <f t="shared" si="8"/>
        <v>10175</v>
      </c>
      <c r="T23" s="447">
        <f t="shared" si="2"/>
        <v>0</v>
      </c>
      <c r="U23" s="426">
        <f t="shared" si="9"/>
        <v>429166</v>
      </c>
      <c r="V23" s="428">
        <f t="shared" si="29"/>
        <v>0</v>
      </c>
      <c r="W23" s="426">
        <f t="shared" si="10"/>
        <v>33484</v>
      </c>
      <c r="X23" s="428">
        <f t="shared" si="39"/>
        <v>0</v>
      </c>
      <c r="Y23" s="426">
        <f t="shared" si="11"/>
        <v>996900</v>
      </c>
      <c r="Z23" s="428">
        <f t="shared" si="33"/>
        <v>0</v>
      </c>
      <c r="AA23" s="426">
        <f t="shared" si="12"/>
        <v>36796</v>
      </c>
      <c r="AB23" s="428">
        <f t="shared" si="30"/>
        <v>0</v>
      </c>
      <c r="AC23" s="426">
        <f t="shared" si="13"/>
        <v>1170516</v>
      </c>
      <c r="AD23" s="428">
        <f t="shared" si="42"/>
        <v>0</v>
      </c>
      <c r="AE23" s="450">
        <f t="shared" si="14"/>
        <v>0</v>
      </c>
      <c r="AF23" s="451">
        <f t="shared" si="4"/>
        <v>0</v>
      </c>
      <c r="AG23" s="443">
        <f t="shared" si="41"/>
        <v>0</v>
      </c>
      <c r="AJ23" s="545"/>
      <c r="AK23" s="546"/>
      <c r="AL23" s="546"/>
      <c r="AM23" s="546"/>
      <c r="AN23" s="546"/>
    </row>
    <row r="24" spans="1:40">
      <c r="A24" s="436">
        <f>'General information '!F25</f>
        <v>0</v>
      </c>
      <c r="B24" s="430">
        <f t="shared" si="6"/>
        <v>0</v>
      </c>
      <c r="C24" s="437">
        <v>44733</v>
      </c>
      <c r="D24" s="591">
        <f t="shared" si="15"/>
        <v>316510</v>
      </c>
      <c r="E24" s="579">
        <f t="shared" si="7"/>
        <v>0</v>
      </c>
      <c r="F24" s="569">
        <f t="shared" si="17"/>
        <v>4140415</v>
      </c>
      <c r="G24" s="449">
        <f t="shared" si="34"/>
        <v>0</v>
      </c>
      <c r="H24" s="426">
        <f t="shared" si="19"/>
        <v>18052610</v>
      </c>
      <c r="I24" s="595">
        <f t="shared" si="35"/>
        <v>0</v>
      </c>
      <c r="J24" s="426">
        <f t="shared" si="21"/>
        <v>29807398</v>
      </c>
      <c r="K24" s="449">
        <f t="shared" si="36"/>
        <v>0</v>
      </c>
      <c r="L24" s="426">
        <f t="shared" si="23"/>
        <v>24604882</v>
      </c>
      <c r="M24" s="449">
        <f t="shared" si="37"/>
        <v>0</v>
      </c>
      <c r="N24" s="297">
        <f t="shared" si="38"/>
        <v>0</v>
      </c>
      <c r="O24" s="445">
        <f t="shared" si="40"/>
        <v>0</v>
      </c>
      <c r="P24" s="563">
        <f t="shared" si="27"/>
        <v>19299.973000000002</v>
      </c>
      <c r="Q24" s="446">
        <f t="shared" si="1"/>
        <v>0</v>
      </c>
      <c r="R24" s="592">
        <f t="shared" si="43"/>
        <v>0</v>
      </c>
      <c r="S24" s="426">
        <f t="shared" si="8"/>
        <v>10175</v>
      </c>
      <c r="T24" s="447">
        <f t="shared" si="2"/>
        <v>0</v>
      </c>
      <c r="U24" s="426">
        <f t="shared" si="9"/>
        <v>429166</v>
      </c>
      <c r="V24" s="428">
        <f t="shared" si="29"/>
        <v>0</v>
      </c>
      <c r="W24" s="426">
        <f t="shared" si="10"/>
        <v>33484</v>
      </c>
      <c r="X24" s="428">
        <f t="shared" si="39"/>
        <v>0</v>
      </c>
      <c r="Y24" s="426">
        <f t="shared" si="11"/>
        <v>996900</v>
      </c>
      <c r="Z24" s="428">
        <f t="shared" si="33"/>
        <v>0</v>
      </c>
      <c r="AA24" s="426">
        <f t="shared" si="12"/>
        <v>36796</v>
      </c>
      <c r="AB24" s="428">
        <f t="shared" si="30"/>
        <v>0</v>
      </c>
      <c r="AC24" s="426">
        <f t="shared" si="13"/>
        <v>1170516</v>
      </c>
      <c r="AD24" s="428">
        <f t="shared" si="42"/>
        <v>0</v>
      </c>
      <c r="AE24" s="450">
        <f t="shared" si="14"/>
        <v>0</v>
      </c>
      <c r="AF24" s="451">
        <f t="shared" si="4"/>
        <v>0</v>
      </c>
      <c r="AG24" s="443">
        <f t="shared" si="41"/>
        <v>0</v>
      </c>
      <c r="AJ24" s="545"/>
      <c r="AK24" s="546"/>
      <c r="AL24" s="546"/>
      <c r="AM24" s="546"/>
      <c r="AN24" s="546"/>
    </row>
    <row r="25" spans="1:40">
      <c r="A25" s="436">
        <f>'General information '!F26</f>
        <v>0</v>
      </c>
      <c r="B25" s="430">
        <f t="shared" si="6"/>
        <v>0</v>
      </c>
      <c r="C25" s="437">
        <v>44734</v>
      </c>
      <c r="D25" s="591">
        <f t="shared" si="15"/>
        <v>316510</v>
      </c>
      <c r="E25" s="579">
        <f t="shared" si="7"/>
        <v>0</v>
      </c>
      <c r="F25" s="569">
        <f t="shared" si="17"/>
        <v>4140415</v>
      </c>
      <c r="G25" s="449">
        <f t="shared" si="34"/>
        <v>0</v>
      </c>
      <c r="H25" s="426">
        <f t="shared" si="19"/>
        <v>18052610</v>
      </c>
      <c r="I25" s="449">
        <f t="shared" si="35"/>
        <v>0</v>
      </c>
      <c r="J25" s="426">
        <f t="shared" si="21"/>
        <v>29807398</v>
      </c>
      <c r="K25" s="449">
        <f t="shared" si="36"/>
        <v>0</v>
      </c>
      <c r="L25" s="426">
        <f t="shared" si="23"/>
        <v>24604882</v>
      </c>
      <c r="M25" s="449">
        <f t="shared" si="37"/>
        <v>0</v>
      </c>
      <c r="N25" s="297">
        <f t="shared" si="38"/>
        <v>0</v>
      </c>
      <c r="O25" s="445">
        <f t="shared" si="40"/>
        <v>0</v>
      </c>
      <c r="P25" s="563">
        <f t="shared" si="27"/>
        <v>19299.973000000002</v>
      </c>
      <c r="Q25" s="446">
        <f t="shared" si="1"/>
        <v>0</v>
      </c>
      <c r="R25" s="592">
        <f t="shared" si="43"/>
        <v>0</v>
      </c>
      <c r="S25" s="426">
        <f t="shared" si="8"/>
        <v>10175</v>
      </c>
      <c r="T25" s="447">
        <f t="shared" si="2"/>
        <v>0</v>
      </c>
      <c r="U25" s="426">
        <f t="shared" si="9"/>
        <v>429166</v>
      </c>
      <c r="V25" s="428">
        <f t="shared" si="29"/>
        <v>0</v>
      </c>
      <c r="W25" s="426">
        <f t="shared" si="10"/>
        <v>33484</v>
      </c>
      <c r="X25" s="428">
        <f t="shared" si="39"/>
        <v>0</v>
      </c>
      <c r="Y25" s="426">
        <f t="shared" si="11"/>
        <v>996900</v>
      </c>
      <c r="Z25" s="428">
        <f t="shared" si="33"/>
        <v>0</v>
      </c>
      <c r="AA25" s="426">
        <f t="shared" si="12"/>
        <v>36796</v>
      </c>
      <c r="AB25" s="428">
        <f t="shared" si="30"/>
        <v>0</v>
      </c>
      <c r="AC25" s="426">
        <f t="shared" si="13"/>
        <v>1170516</v>
      </c>
      <c r="AD25" s="428">
        <f t="shared" si="42"/>
        <v>0</v>
      </c>
      <c r="AE25" s="450">
        <f t="shared" si="14"/>
        <v>0</v>
      </c>
      <c r="AF25" s="451">
        <f t="shared" si="4"/>
        <v>0</v>
      </c>
      <c r="AG25" s="443">
        <f t="shared" si="41"/>
        <v>0</v>
      </c>
      <c r="AJ25" s="545"/>
      <c r="AK25" s="546"/>
      <c r="AL25" s="546"/>
      <c r="AM25" s="546"/>
      <c r="AN25" s="546"/>
    </row>
    <row r="26" spans="1:40">
      <c r="A26" s="436">
        <f>'General information '!F27</f>
        <v>0</v>
      </c>
      <c r="B26" s="430">
        <f t="shared" si="6"/>
        <v>0</v>
      </c>
      <c r="C26" s="437">
        <v>44735</v>
      </c>
      <c r="D26" s="591">
        <f t="shared" si="15"/>
        <v>316510</v>
      </c>
      <c r="E26" s="579">
        <f t="shared" si="7"/>
        <v>0</v>
      </c>
      <c r="F26" s="569">
        <f t="shared" si="17"/>
        <v>4140415</v>
      </c>
      <c r="G26" s="449">
        <f t="shared" si="34"/>
        <v>0</v>
      </c>
      <c r="H26" s="426">
        <f t="shared" si="19"/>
        <v>18052610</v>
      </c>
      <c r="I26" s="449">
        <f t="shared" si="35"/>
        <v>0</v>
      </c>
      <c r="J26" s="426">
        <f t="shared" si="21"/>
        <v>29807398</v>
      </c>
      <c r="K26" s="449">
        <f t="shared" si="36"/>
        <v>0</v>
      </c>
      <c r="L26" s="426">
        <f t="shared" si="23"/>
        <v>24604882</v>
      </c>
      <c r="M26" s="449">
        <f t="shared" si="37"/>
        <v>0</v>
      </c>
      <c r="N26" s="297">
        <f t="shared" si="38"/>
        <v>0</v>
      </c>
      <c r="O26" s="445">
        <f t="shared" si="40"/>
        <v>0</v>
      </c>
      <c r="P26" s="563">
        <f t="shared" si="27"/>
        <v>19299.973000000002</v>
      </c>
      <c r="Q26" s="446">
        <f t="shared" si="1"/>
        <v>0</v>
      </c>
      <c r="R26" s="592">
        <f t="shared" si="43"/>
        <v>0</v>
      </c>
      <c r="S26" s="426">
        <f t="shared" si="8"/>
        <v>10175</v>
      </c>
      <c r="T26" s="447">
        <f t="shared" si="2"/>
        <v>0</v>
      </c>
      <c r="U26" s="426">
        <f t="shared" si="9"/>
        <v>429166</v>
      </c>
      <c r="V26" s="428">
        <f t="shared" si="29"/>
        <v>0</v>
      </c>
      <c r="W26" s="426">
        <f t="shared" si="10"/>
        <v>33484</v>
      </c>
      <c r="X26" s="428">
        <f t="shared" si="39"/>
        <v>0</v>
      </c>
      <c r="Y26" s="426">
        <f t="shared" si="11"/>
        <v>996900</v>
      </c>
      <c r="Z26" s="428">
        <f t="shared" si="33"/>
        <v>0</v>
      </c>
      <c r="AA26" s="426">
        <f t="shared" si="12"/>
        <v>36796</v>
      </c>
      <c r="AB26" s="428">
        <f t="shared" si="30"/>
        <v>0</v>
      </c>
      <c r="AC26" s="426">
        <f t="shared" si="13"/>
        <v>1170516</v>
      </c>
      <c r="AD26" s="428">
        <f t="shared" si="42"/>
        <v>0</v>
      </c>
      <c r="AE26" s="450">
        <f t="shared" si="14"/>
        <v>0</v>
      </c>
      <c r="AF26" s="451">
        <f t="shared" si="4"/>
        <v>0</v>
      </c>
      <c r="AG26" s="443">
        <f t="shared" si="41"/>
        <v>0</v>
      </c>
      <c r="AJ26" s="545"/>
      <c r="AK26" s="546"/>
      <c r="AL26" s="546"/>
      <c r="AM26" s="546"/>
      <c r="AN26" s="546"/>
    </row>
    <row r="27" spans="1:40">
      <c r="A27" s="436">
        <f>'General information '!F28</f>
        <v>0</v>
      </c>
      <c r="B27" s="430">
        <f t="shared" si="6"/>
        <v>0</v>
      </c>
      <c r="C27" s="437">
        <v>44736</v>
      </c>
      <c r="D27" s="591">
        <f t="shared" si="15"/>
        <v>316510</v>
      </c>
      <c r="E27" s="579">
        <f t="shared" si="7"/>
        <v>0</v>
      </c>
      <c r="F27" s="569">
        <f t="shared" si="17"/>
        <v>4140415</v>
      </c>
      <c r="G27" s="449">
        <f t="shared" si="34"/>
        <v>0</v>
      </c>
      <c r="H27" s="426">
        <f t="shared" si="19"/>
        <v>18052610</v>
      </c>
      <c r="I27" s="449">
        <f t="shared" si="35"/>
        <v>0</v>
      </c>
      <c r="J27" s="426">
        <f t="shared" si="21"/>
        <v>29807398</v>
      </c>
      <c r="K27" s="449">
        <f t="shared" si="36"/>
        <v>0</v>
      </c>
      <c r="L27" s="426">
        <f t="shared" si="23"/>
        <v>24604882</v>
      </c>
      <c r="M27" s="449">
        <f t="shared" si="37"/>
        <v>0</v>
      </c>
      <c r="N27" s="297">
        <f t="shared" si="38"/>
        <v>0</v>
      </c>
      <c r="O27" s="445">
        <f t="shared" si="40"/>
        <v>0</v>
      </c>
      <c r="P27" s="563">
        <f t="shared" si="27"/>
        <v>19299.973000000002</v>
      </c>
      <c r="Q27" s="446">
        <f t="shared" si="1"/>
        <v>0</v>
      </c>
      <c r="R27" s="592">
        <f t="shared" si="43"/>
        <v>0</v>
      </c>
      <c r="S27" s="426">
        <f t="shared" si="8"/>
        <v>10175</v>
      </c>
      <c r="T27" s="447">
        <f t="shared" si="2"/>
        <v>0</v>
      </c>
      <c r="U27" s="426">
        <f t="shared" si="9"/>
        <v>429166</v>
      </c>
      <c r="V27" s="428">
        <f t="shared" si="29"/>
        <v>0</v>
      </c>
      <c r="W27" s="426">
        <f t="shared" si="10"/>
        <v>33484</v>
      </c>
      <c r="X27" s="428">
        <f t="shared" si="39"/>
        <v>0</v>
      </c>
      <c r="Y27" s="426">
        <f t="shared" si="11"/>
        <v>996900</v>
      </c>
      <c r="Z27" s="428">
        <f t="shared" si="33"/>
        <v>0</v>
      </c>
      <c r="AA27" s="426">
        <f t="shared" si="12"/>
        <v>36796</v>
      </c>
      <c r="AB27" s="428">
        <f t="shared" si="30"/>
        <v>0</v>
      </c>
      <c r="AC27" s="426">
        <f t="shared" si="13"/>
        <v>1170516</v>
      </c>
      <c r="AD27" s="428">
        <f t="shared" si="42"/>
        <v>0</v>
      </c>
      <c r="AE27" s="450">
        <f t="shared" si="14"/>
        <v>0</v>
      </c>
      <c r="AF27" s="451">
        <f t="shared" si="4"/>
        <v>0</v>
      </c>
      <c r="AG27" s="443">
        <f t="shared" si="41"/>
        <v>0</v>
      </c>
      <c r="AJ27" s="545"/>
      <c r="AK27" s="546"/>
      <c r="AL27" s="546"/>
      <c r="AM27" s="546"/>
      <c r="AN27" s="546"/>
    </row>
    <row r="28" spans="1:40">
      <c r="A28" s="436">
        <f>'General information '!F29</f>
        <v>0</v>
      </c>
      <c r="B28" s="430">
        <f t="shared" si="6"/>
        <v>0</v>
      </c>
      <c r="C28" s="437">
        <v>44737</v>
      </c>
      <c r="D28" s="591">
        <f t="shared" si="15"/>
        <v>316510</v>
      </c>
      <c r="E28" s="579">
        <f t="shared" si="7"/>
        <v>0</v>
      </c>
      <c r="F28" s="569">
        <f t="shared" si="17"/>
        <v>4140415</v>
      </c>
      <c r="G28" s="449">
        <f>F28-F27</f>
        <v>0</v>
      </c>
      <c r="H28" s="426">
        <f t="shared" si="19"/>
        <v>18052610</v>
      </c>
      <c r="I28" s="449">
        <f t="shared" si="35"/>
        <v>0</v>
      </c>
      <c r="J28" s="426">
        <f t="shared" si="21"/>
        <v>29807398</v>
      </c>
      <c r="K28" s="449">
        <f t="shared" si="36"/>
        <v>0</v>
      </c>
      <c r="L28" s="426">
        <f t="shared" si="23"/>
        <v>24604882</v>
      </c>
      <c r="M28" s="449">
        <f t="shared" si="37"/>
        <v>0</v>
      </c>
      <c r="N28" s="297">
        <f t="shared" si="38"/>
        <v>0</v>
      </c>
      <c r="O28" s="445">
        <f t="shared" si="40"/>
        <v>0</v>
      </c>
      <c r="P28" s="563">
        <f t="shared" si="27"/>
        <v>19299.973000000002</v>
      </c>
      <c r="Q28" s="446">
        <f t="shared" si="1"/>
        <v>0</v>
      </c>
      <c r="R28" s="592">
        <f>N28-Q28</f>
        <v>0</v>
      </c>
      <c r="S28" s="426">
        <f t="shared" si="8"/>
        <v>10175</v>
      </c>
      <c r="T28" s="447">
        <f t="shared" si="2"/>
        <v>0</v>
      </c>
      <c r="U28" s="426">
        <f t="shared" si="9"/>
        <v>429166</v>
      </c>
      <c r="V28" s="428">
        <f t="shared" si="29"/>
        <v>0</v>
      </c>
      <c r="W28" s="426">
        <f t="shared" si="10"/>
        <v>33484</v>
      </c>
      <c r="X28" s="428">
        <f t="shared" si="39"/>
        <v>0</v>
      </c>
      <c r="Y28" s="426">
        <f t="shared" si="11"/>
        <v>996900</v>
      </c>
      <c r="Z28" s="428">
        <f t="shared" si="33"/>
        <v>0</v>
      </c>
      <c r="AA28" s="426">
        <f t="shared" si="12"/>
        <v>36796</v>
      </c>
      <c r="AB28" s="428">
        <f t="shared" si="30"/>
        <v>0</v>
      </c>
      <c r="AC28" s="426">
        <f t="shared" si="13"/>
        <v>1170516</v>
      </c>
      <c r="AD28" s="428">
        <f t="shared" si="42"/>
        <v>0</v>
      </c>
      <c r="AE28" s="450">
        <f t="shared" si="14"/>
        <v>0</v>
      </c>
      <c r="AF28" s="451">
        <f t="shared" si="4"/>
        <v>0</v>
      </c>
      <c r="AG28" s="443">
        <f t="shared" si="41"/>
        <v>0</v>
      </c>
      <c r="AJ28" s="545"/>
      <c r="AK28" s="546"/>
      <c r="AL28" s="546"/>
      <c r="AM28" s="546"/>
      <c r="AN28" s="546"/>
    </row>
    <row r="29" spans="1:40">
      <c r="A29" s="436">
        <f>'General information '!F30</f>
        <v>0</v>
      </c>
      <c r="B29" s="430">
        <f t="shared" si="6"/>
        <v>0</v>
      </c>
      <c r="C29" s="437">
        <v>44738</v>
      </c>
      <c r="D29" s="591">
        <f t="shared" si="15"/>
        <v>316510</v>
      </c>
      <c r="E29" s="579">
        <f t="shared" si="7"/>
        <v>0</v>
      </c>
      <c r="F29" s="569">
        <f t="shared" si="17"/>
        <v>4140415</v>
      </c>
      <c r="G29" s="449">
        <f>F29-F28</f>
        <v>0</v>
      </c>
      <c r="H29" s="426">
        <f t="shared" si="19"/>
        <v>18052610</v>
      </c>
      <c r="I29" s="449">
        <f>H29-H28</f>
        <v>0</v>
      </c>
      <c r="J29" s="426">
        <f t="shared" si="21"/>
        <v>29807398</v>
      </c>
      <c r="K29" s="449">
        <f>J29-J28</f>
        <v>0</v>
      </c>
      <c r="L29" s="426">
        <f t="shared" si="23"/>
        <v>24604882</v>
      </c>
      <c r="M29" s="449">
        <f>L29-L28</f>
        <v>0</v>
      </c>
      <c r="N29" s="297">
        <f>M29+K29+I29+G29+E29</f>
        <v>0</v>
      </c>
      <c r="O29" s="445">
        <f>IF(B29&gt;0,N29/B29,0)</f>
        <v>0</v>
      </c>
      <c r="P29" s="563">
        <f t="shared" si="27"/>
        <v>19299.973000000002</v>
      </c>
      <c r="Q29" s="446">
        <f>(P29-P28)*1000</f>
        <v>0</v>
      </c>
      <c r="R29" s="592">
        <f t="shared" si="43"/>
        <v>0</v>
      </c>
      <c r="S29" s="426">
        <f t="shared" si="8"/>
        <v>10175</v>
      </c>
      <c r="T29" s="447">
        <f>S29-S28</f>
        <v>0</v>
      </c>
      <c r="U29" s="426">
        <f t="shared" si="9"/>
        <v>429166</v>
      </c>
      <c r="V29" s="428">
        <f>U29-U28</f>
        <v>0</v>
      </c>
      <c r="W29" s="426">
        <f t="shared" si="10"/>
        <v>33484</v>
      </c>
      <c r="X29" s="428">
        <f>W29-W28</f>
        <v>0</v>
      </c>
      <c r="Y29" s="426">
        <f t="shared" si="11"/>
        <v>996900</v>
      </c>
      <c r="Z29" s="428">
        <f>Y29-Y28</f>
        <v>0</v>
      </c>
      <c r="AA29" s="426">
        <f t="shared" si="12"/>
        <v>36796</v>
      </c>
      <c r="AB29" s="428">
        <f>AA29-AA28</f>
        <v>0</v>
      </c>
      <c r="AC29" s="426">
        <f t="shared" si="13"/>
        <v>1170516</v>
      </c>
      <c r="AD29" s="428">
        <f>AC29-AC28</f>
        <v>0</v>
      </c>
      <c r="AE29" s="450">
        <f>AB29+X29+T29</f>
        <v>0</v>
      </c>
      <c r="AF29" s="451">
        <f>V29+Z29+AD29</f>
        <v>0</v>
      </c>
      <c r="AG29" s="443">
        <f t="shared" si="41"/>
        <v>0</v>
      </c>
      <c r="AJ29" s="545"/>
      <c r="AK29" s="546"/>
      <c r="AL29" s="546"/>
      <c r="AM29" s="546"/>
      <c r="AN29" s="546"/>
    </row>
    <row r="30" spans="1:40">
      <c r="A30" s="436">
        <f>'General information '!F31</f>
        <v>0</v>
      </c>
      <c r="B30" s="430">
        <f>SUM(230*A30)</f>
        <v>0</v>
      </c>
      <c r="C30" s="437">
        <v>44739</v>
      </c>
      <c r="D30" s="591">
        <f t="shared" si="15"/>
        <v>316510</v>
      </c>
      <c r="E30" s="579">
        <f t="shared" si="7"/>
        <v>0</v>
      </c>
      <c r="F30" s="569">
        <f t="shared" si="17"/>
        <v>4140415</v>
      </c>
      <c r="G30" s="449">
        <f t="shared" si="34"/>
        <v>0</v>
      </c>
      <c r="H30" s="426">
        <f t="shared" si="19"/>
        <v>18052610</v>
      </c>
      <c r="I30" s="449">
        <f t="shared" si="35"/>
        <v>0</v>
      </c>
      <c r="J30" s="426">
        <f t="shared" si="21"/>
        <v>29807398</v>
      </c>
      <c r="K30" s="449">
        <f t="shared" si="36"/>
        <v>0</v>
      </c>
      <c r="L30" s="426">
        <f t="shared" si="23"/>
        <v>24604882</v>
      </c>
      <c r="M30" s="449">
        <f t="shared" si="37"/>
        <v>0</v>
      </c>
      <c r="N30" s="297">
        <f>M30+K30+I30+G30+E30</f>
        <v>0</v>
      </c>
      <c r="O30" s="445">
        <f t="shared" si="40"/>
        <v>0</v>
      </c>
      <c r="P30" s="563">
        <f t="shared" si="27"/>
        <v>19299.973000000002</v>
      </c>
      <c r="Q30" s="446">
        <f t="shared" si="1"/>
        <v>0</v>
      </c>
      <c r="R30" s="592">
        <f>N30-Q30</f>
        <v>0</v>
      </c>
      <c r="S30" s="426">
        <f t="shared" si="8"/>
        <v>10175</v>
      </c>
      <c r="T30" s="447">
        <f t="shared" si="2"/>
        <v>0</v>
      </c>
      <c r="U30" s="426">
        <f t="shared" si="9"/>
        <v>429166</v>
      </c>
      <c r="V30" s="428">
        <f t="shared" si="29"/>
        <v>0</v>
      </c>
      <c r="W30" s="426">
        <f t="shared" si="10"/>
        <v>33484</v>
      </c>
      <c r="X30" s="428">
        <f t="shared" si="39"/>
        <v>0</v>
      </c>
      <c r="Y30" s="426">
        <f t="shared" si="11"/>
        <v>996900</v>
      </c>
      <c r="Z30" s="428">
        <f t="shared" si="33"/>
        <v>0</v>
      </c>
      <c r="AA30" s="426">
        <f t="shared" si="12"/>
        <v>36796</v>
      </c>
      <c r="AB30" s="428">
        <f t="shared" si="30"/>
        <v>0</v>
      </c>
      <c r="AC30" s="426">
        <f t="shared" si="13"/>
        <v>1170516</v>
      </c>
      <c r="AD30" s="428">
        <f t="shared" si="42"/>
        <v>0</v>
      </c>
      <c r="AE30" s="450">
        <f t="shared" si="14"/>
        <v>0</v>
      </c>
      <c r="AF30" s="451">
        <f t="shared" si="4"/>
        <v>0</v>
      </c>
      <c r="AG30" s="443">
        <f t="shared" si="41"/>
        <v>0</v>
      </c>
      <c r="AJ30" s="545"/>
      <c r="AK30" s="546"/>
      <c r="AL30" s="546"/>
      <c r="AM30" s="546"/>
      <c r="AN30" s="546"/>
    </row>
    <row r="31" spans="1:40">
      <c r="A31" s="436">
        <f>'General information '!F32</f>
        <v>0</v>
      </c>
      <c r="B31" s="430">
        <f t="shared" si="6"/>
        <v>0</v>
      </c>
      <c r="C31" s="437">
        <v>44740</v>
      </c>
      <c r="D31" s="591">
        <f t="shared" si="15"/>
        <v>316510</v>
      </c>
      <c r="E31" s="579">
        <f t="shared" si="7"/>
        <v>0</v>
      </c>
      <c r="F31" s="569">
        <f t="shared" si="17"/>
        <v>4140415</v>
      </c>
      <c r="G31" s="449">
        <f t="shared" si="34"/>
        <v>0</v>
      </c>
      <c r="H31" s="426">
        <f t="shared" si="19"/>
        <v>18052610</v>
      </c>
      <c r="I31" s="449">
        <f t="shared" si="35"/>
        <v>0</v>
      </c>
      <c r="J31" s="426">
        <f t="shared" si="21"/>
        <v>29807398</v>
      </c>
      <c r="K31" s="449">
        <f t="shared" si="36"/>
        <v>0</v>
      </c>
      <c r="L31" s="426">
        <f t="shared" si="23"/>
        <v>24604882</v>
      </c>
      <c r="M31" s="449">
        <f t="shared" si="37"/>
        <v>0</v>
      </c>
      <c r="N31" s="297">
        <f t="shared" si="38"/>
        <v>0</v>
      </c>
      <c r="O31" s="445">
        <f t="shared" si="40"/>
        <v>0</v>
      </c>
      <c r="P31" s="563">
        <f t="shared" si="27"/>
        <v>19299.973000000002</v>
      </c>
      <c r="Q31" s="446">
        <f t="shared" si="1"/>
        <v>0</v>
      </c>
      <c r="R31" s="592">
        <f t="shared" si="43"/>
        <v>0</v>
      </c>
      <c r="S31" s="426">
        <f t="shared" si="8"/>
        <v>10175</v>
      </c>
      <c r="T31" s="447">
        <f t="shared" si="2"/>
        <v>0</v>
      </c>
      <c r="U31" s="426">
        <f t="shared" si="9"/>
        <v>429166</v>
      </c>
      <c r="V31" s="449">
        <f>U31-U30</f>
        <v>0</v>
      </c>
      <c r="W31" s="426">
        <f t="shared" si="10"/>
        <v>33484</v>
      </c>
      <c r="X31" s="448">
        <f t="shared" si="39"/>
        <v>0</v>
      </c>
      <c r="Y31" s="426">
        <f t="shared" si="11"/>
        <v>996900</v>
      </c>
      <c r="Z31" s="428">
        <f t="shared" si="33"/>
        <v>0</v>
      </c>
      <c r="AA31" s="426">
        <f t="shared" si="12"/>
        <v>36796</v>
      </c>
      <c r="AB31" s="428">
        <f t="shared" si="30"/>
        <v>0</v>
      </c>
      <c r="AC31" s="426">
        <f t="shared" si="13"/>
        <v>1170516</v>
      </c>
      <c r="AD31" s="428">
        <f t="shared" si="42"/>
        <v>0</v>
      </c>
      <c r="AE31" s="450">
        <f t="shared" si="14"/>
        <v>0</v>
      </c>
      <c r="AF31" s="451">
        <f t="shared" si="4"/>
        <v>0</v>
      </c>
      <c r="AG31" s="443">
        <f t="shared" si="41"/>
        <v>0</v>
      </c>
      <c r="AJ31" s="545"/>
      <c r="AK31" s="546"/>
      <c r="AL31" s="546"/>
      <c r="AM31" s="546"/>
      <c r="AN31" s="546"/>
    </row>
    <row r="32" spans="1:40">
      <c r="A32" s="436">
        <f>'General information '!F33</f>
        <v>0</v>
      </c>
      <c r="B32" s="430">
        <f t="shared" ref="B32:B34" si="53">SUM(230*A32)</f>
        <v>0</v>
      </c>
      <c r="C32" s="437">
        <v>44741</v>
      </c>
      <c r="D32" s="591">
        <f t="shared" si="15"/>
        <v>316510</v>
      </c>
      <c r="E32" s="579">
        <f t="shared" si="7"/>
        <v>0</v>
      </c>
      <c r="F32" s="569">
        <f t="shared" si="17"/>
        <v>4140415</v>
      </c>
      <c r="G32" s="449">
        <f t="shared" si="34"/>
        <v>0</v>
      </c>
      <c r="H32" s="426">
        <f t="shared" si="19"/>
        <v>18052610</v>
      </c>
      <c r="I32" s="449">
        <f t="shared" si="35"/>
        <v>0</v>
      </c>
      <c r="J32" s="426">
        <f t="shared" si="21"/>
        <v>29807398</v>
      </c>
      <c r="K32" s="449">
        <f t="shared" si="36"/>
        <v>0</v>
      </c>
      <c r="L32" s="426">
        <f t="shared" si="23"/>
        <v>24604882</v>
      </c>
      <c r="M32" s="449">
        <f t="shared" ref="M32:M34" si="54">L32-L31</f>
        <v>0</v>
      </c>
      <c r="N32" s="297">
        <f t="shared" ref="N32:N34" si="55">M32+K32+I32+G32+E32</f>
        <v>0</v>
      </c>
      <c r="O32" s="445">
        <f t="shared" ref="O32:O34" si="56">IF(B32&gt;0,N32/B32,0)</f>
        <v>0</v>
      </c>
      <c r="P32" s="563">
        <f t="shared" si="27"/>
        <v>19299.973000000002</v>
      </c>
      <c r="Q32" s="446">
        <f t="shared" ref="Q32:Q34" si="57">(P32-P31)*1000</f>
        <v>0</v>
      </c>
      <c r="R32" s="592">
        <f t="shared" ref="R32:R34" si="58">N32-Q32</f>
        <v>0</v>
      </c>
      <c r="S32" s="426">
        <f t="shared" si="8"/>
        <v>10175</v>
      </c>
      <c r="T32" s="447">
        <f t="shared" si="2"/>
        <v>0</v>
      </c>
      <c r="U32" s="426">
        <f t="shared" si="9"/>
        <v>429166</v>
      </c>
      <c r="V32" s="449">
        <f>U32-U31</f>
        <v>0</v>
      </c>
      <c r="W32" s="426">
        <f t="shared" si="10"/>
        <v>33484</v>
      </c>
      <c r="X32" s="448">
        <f t="shared" ref="X32:X34" si="59">W32-W31</f>
        <v>0</v>
      </c>
      <c r="Y32" s="426">
        <f t="shared" si="11"/>
        <v>996900</v>
      </c>
      <c r="Z32" s="428">
        <f t="shared" ref="Z32:Z34" si="60">Y32-Y31</f>
        <v>0</v>
      </c>
      <c r="AA32" s="426">
        <f t="shared" si="12"/>
        <v>36796</v>
      </c>
      <c r="AB32" s="428">
        <f t="shared" ref="AB32:AB34" si="61">AA32-AA31</f>
        <v>0</v>
      </c>
      <c r="AC32" s="426">
        <f t="shared" si="13"/>
        <v>1170516</v>
      </c>
      <c r="AD32" s="428">
        <f t="shared" ref="AD32:AD34" si="62">AC32-AC31</f>
        <v>0</v>
      </c>
      <c r="AE32" s="450">
        <f t="shared" ref="AE32:AE34" si="63">AB32+X32+T32</f>
        <v>0</v>
      </c>
      <c r="AF32" s="451">
        <f t="shared" ref="AF32:AF34" si="64">V32+Z32+AD32</f>
        <v>0</v>
      </c>
      <c r="AG32" s="443">
        <f t="shared" si="41"/>
        <v>0</v>
      </c>
      <c r="AJ32" s="545"/>
      <c r="AK32" s="546"/>
      <c r="AL32" s="546"/>
      <c r="AM32" s="546"/>
      <c r="AN32" s="546"/>
    </row>
    <row r="33" spans="1:40">
      <c r="A33" s="436">
        <f>'General information '!F34</f>
        <v>0</v>
      </c>
      <c r="B33" s="430">
        <f t="shared" si="53"/>
        <v>0</v>
      </c>
      <c r="C33" s="437">
        <v>44742</v>
      </c>
      <c r="D33" s="591">
        <f t="shared" si="15"/>
        <v>316510</v>
      </c>
      <c r="E33" s="579">
        <f t="shared" si="7"/>
        <v>0</v>
      </c>
      <c r="F33" s="569">
        <f t="shared" si="17"/>
        <v>4140415</v>
      </c>
      <c r="G33" s="449">
        <f t="shared" si="34"/>
        <v>0</v>
      </c>
      <c r="H33" s="426">
        <f t="shared" si="19"/>
        <v>18052610</v>
      </c>
      <c r="I33" s="449">
        <f t="shared" si="35"/>
        <v>0</v>
      </c>
      <c r="J33" s="426">
        <f t="shared" si="21"/>
        <v>29807398</v>
      </c>
      <c r="K33" s="449">
        <f t="shared" si="36"/>
        <v>0</v>
      </c>
      <c r="L33" s="426">
        <f t="shared" si="23"/>
        <v>24604882</v>
      </c>
      <c r="M33" s="449">
        <f t="shared" si="54"/>
        <v>0</v>
      </c>
      <c r="N33" s="297">
        <f t="shared" si="55"/>
        <v>0</v>
      </c>
      <c r="O33" s="445">
        <f t="shared" si="56"/>
        <v>0</v>
      </c>
      <c r="P33" s="563">
        <f t="shared" si="27"/>
        <v>19299.973000000002</v>
      </c>
      <c r="Q33" s="446">
        <f t="shared" si="57"/>
        <v>0</v>
      </c>
      <c r="R33" s="592">
        <f>N33-Q33</f>
        <v>0</v>
      </c>
      <c r="S33" s="426">
        <f t="shared" si="8"/>
        <v>10175</v>
      </c>
      <c r="T33" s="447">
        <f t="shared" si="2"/>
        <v>0</v>
      </c>
      <c r="U33" s="426">
        <f t="shared" si="9"/>
        <v>429166</v>
      </c>
      <c r="V33" s="428">
        <f t="shared" ref="V33" si="65">U33-U32</f>
        <v>0</v>
      </c>
      <c r="W33" s="426">
        <f t="shared" si="10"/>
        <v>33484</v>
      </c>
      <c r="X33" s="448">
        <f t="shared" si="59"/>
        <v>0</v>
      </c>
      <c r="Y33" s="426">
        <f t="shared" si="11"/>
        <v>996900</v>
      </c>
      <c r="Z33" s="428">
        <f t="shared" si="60"/>
        <v>0</v>
      </c>
      <c r="AA33" s="426">
        <f t="shared" si="12"/>
        <v>36796</v>
      </c>
      <c r="AB33" s="428">
        <f t="shared" si="61"/>
        <v>0</v>
      </c>
      <c r="AC33" s="426">
        <f t="shared" si="13"/>
        <v>1170516</v>
      </c>
      <c r="AD33" s="428">
        <f t="shared" si="62"/>
        <v>0</v>
      </c>
      <c r="AE33" s="450">
        <f t="shared" si="63"/>
        <v>0</v>
      </c>
      <c r="AF33" s="451">
        <f t="shared" si="64"/>
        <v>0</v>
      </c>
      <c r="AG33" s="443">
        <f>IF(AE33&gt;0,AF33/AE33,0)</f>
        <v>0</v>
      </c>
      <c r="AJ33" s="545"/>
      <c r="AK33" s="546"/>
      <c r="AL33" s="546"/>
      <c r="AM33" s="546"/>
      <c r="AN33" s="546"/>
    </row>
    <row r="34" spans="1:40">
      <c r="A34" s="436">
        <f>'General information '!F35</f>
        <v>0</v>
      </c>
      <c r="B34" s="430">
        <f t="shared" si="53"/>
        <v>0</v>
      </c>
      <c r="C34" s="437">
        <v>44743</v>
      </c>
      <c r="D34" s="591">
        <f t="shared" si="15"/>
        <v>316510</v>
      </c>
      <c r="E34" s="579">
        <f t="shared" si="7"/>
        <v>0</v>
      </c>
      <c r="F34" s="569">
        <f t="shared" si="17"/>
        <v>4140415</v>
      </c>
      <c r="G34" s="449">
        <f t="shared" si="34"/>
        <v>0</v>
      </c>
      <c r="H34" s="426">
        <f t="shared" si="19"/>
        <v>18052610</v>
      </c>
      <c r="I34" s="449">
        <f t="shared" si="35"/>
        <v>0</v>
      </c>
      <c r="J34" s="426">
        <f t="shared" si="21"/>
        <v>29807398</v>
      </c>
      <c r="K34" s="449">
        <f t="shared" si="36"/>
        <v>0</v>
      </c>
      <c r="L34" s="426">
        <f t="shared" si="23"/>
        <v>24604882</v>
      </c>
      <c r="M34" s="449">
        <f t="shared" si="54"/>
        <v>0</v>
      </c>
      <c r="N34" s="297">
        <f t="shared" si="55"/>
        <v>0</v>
      </c>
      <c r="O34" s="445">
        <f t="shared" si="56"/>
        <v>0</v>
      </c>
      <c r="P34" s="563">
        <f t="shared" si="27"/>
        <v>19299.973000000002</v>
      </c>
      <c r="Q34" s="446">
        <f t="shared" si="57"/>
        <v>0</v>
      </c>
      <c r="R34" s="592">
        <f t="shared" si="58"/>
        <v>0</v>
      </c>
      <c r="S34" s="426">
        <f t="shared" si="8"/>
        <v>10175</v>
      </c>
      <c r="T34" s="447">
        <f t="shared" si="2"/>
        <v>0</v>
      </c>
      <c r="U34" s="426">
        <f t="shared" si="9"/>
        <v>429166</v>
      </c>
      <c r="V34" s="449">
        <f>U34-U33</f>
        <v>0</v>
      </c>
      <c r="W34" s="426">
        <f t="shared" si="10"/>
        <v>33484</v>
      </c>
      <c r="X34" s="448">
        <f t="shared" si="59"/>
        <v>0</v>
      </c>
      <c r="Y34" s="426">
        <f t="shared" si="11"/>
        <v>996900</v>
      </c>
      <c r="Z34" s="428">
        <f t="shared" si="60"/>
        <v>0</v>
      </c>
      <c r="AA34" s="426">
        <f t="shared" si="12"/>
        <v>36796</v>
      </c>
      <c r="AB34" s="428">
        <f t="shared" si="61"/>
        <v>0</v>
      </c>
      <c r="AC34" s="426">
        <f t="shared" si="13"/>
        <v>1170516</v>
      </c>
      <c r="AD34" s="428">
        <f t="shared" si="62"/>
        <v>0</v>
      </c>
      <c r="AE34" s="450">
        <f t="shared" si="63"/>
        <v>0</v>
      </c>
      <c r="AF34" s="451">
        <f t="shared" si="64"/>
        <v>0</v>
      </c>
      <c r="AG34" s="443">
        <f>IF(AE34&gt;0,AF34/AE34,0)</f>
        <v>0</v>
      </c>
      <c r="AJ34" s="545"/>
      <c r="AK34" s="546"/>
      <c r="AL34" s="546"/>
      <c r="AM34" s="546"/>
      <c r="AN34" s="546"/>
    </row>
    <row r="35" spans="1:40" s="562" customFormat="1">
      <c r="A35" s="552"/>
      <c r="B35" s="553"/>
      <c r="C35" s="554"/>
      <c r="D35" s="555"/>
      <c r="E35" s="555"/>
      <c r="F35" s="555"/>
      <c r="G35" s="556"/>
      <c r="H35" s="555"/>
      <c r="I35" s="556"/>
      <c r="J35" s="555"/>
      <c r="K35" s="556"/>
      <c r="L35" s="555"/>
      <c r="M35" s="556"/>
      <c r="N35" s="557"/>
      <c r="O35" s="558"/>
      <c r="P35" s="559"/>
      <c r="Q35" s="551"/>
      <c r="R35" s="551"/>
      <c r="S35" s="555"/>
      <c r="T35" s="560"/>
      <c r="U35" s="555"/>
      <c r="V35" s="551"/>
      <c r="W35" s="555"/>
      <c r="X35" s="551"/>
      <c r="Y35" s="555"/>
      <c r="Z35" s="551"/>
      <c r="AA35" s="555"/>
      <c r="AB35" s="551"/>
      <c r="AC35" s="555"/>
      <c r="AD35" s="551"/>
      <c r="AE35" s="551"/>
      <c r="AF35" s="551"/>
      <c r="AG35" s="561"/>
      <c r="AK35" s="551"/>
      <c r="AL35" s="551"/>
      <c r="AM35" s="551"/>
      <c r="AN35" s="551"/>
    </row>
  </sheetData>
  <pageMargins left="0.7" right="0.7" top="0.75" bottom="0.75" header="0.3" footer="0.3"/>
  <pageSetup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>
  <dimension ref="A1:AZ43"/>
  <sheetViews>
    <sheetView topLeftCell="K1" zoomScale="90" zoomScaleNormal="90" workbookViewId="0">
      <pane ySplit="1" topLeftCell="A2" activePane="bottomLeft" state="frozen"/>
      <selection activeCell="K1" sqref="K1"/>
      <selection pane="bottomLeft" activeCell="AC19" sqref="AC19"/>
    </sheetView>
  </sheetViews>
  <sheetFormatPr defaultColWidth="9.28515625" defaultRowHeight="15"/>
  <cols>
    <col min="1" max="1" width="11.7109375" style="41" bestFit="1" customWidth="1"/>
    <col min="2" max="2" width="14.28515625" style="42" bestFit="1" customWidth="1"/>
    <col min="3" max="3" width="15.7109375" style="42" customWidth="1"/>
    <col min="4" max="4" width="15.28515625" style="42" bestFit="1" customWidth="1"/>
    <col min="5" max="5" width="12.42578125" style="42" bestFit="1" customWidth="1"/>
    <col min="6" max="6" width="8.42578125" style="42" bestFit="1" customWidth="1"/>
    <col min="7" max="7" width="8.7109375" style="42" bestFit="1" customWidth="1"/>
    <col min="8" max="8" width="12.5703125" style="42" bestFit="1" customWidth="1"/>
    <col min="9" max="9" width="18.28515625" style="42" customWidth="1"/>
    <col min="10" max="10" width="5.5703125" style="42" hidden="1" customWidth="1"/>
    <col min="11" max="11" width="11.5703125" style="42" bestFit="1" customWidth="1"/>
    <col min="12" max="12" width="8" style="42" bestFit="1" customWidth="1"/>
    <col min="13" max="14" width="8" style="42" customWidth="1"/>
    <col min="15" max="15" width="0.28515625" style="68" customWidth="1"/>
    <col min="16" max="16" width="8.28515625" style="42" bestFit="1" customWidth="1"/>
    <col min="17" max="17" width="7.7109375" style="42" customWidth="1"/>
    <col min="18" max="18" width="6.28515625" style="42" bestFit="1" customWidth="1"/>
    <col min="19" max="19" width="6.42578125" style="42" customWidth="1"/>
    <col min="20" max="20" width="13" style="70" hidden="1" customWidth="1"/>
    <col min="21" max="21" width="13" style="70" customWidth="1"/>
    <col min="22" max="22" width="12.7109375" style="70" customWidth="1"/>
    <col min="23" max="23" width="13" style="70" hidden="1" customWidth="1"/>
    <col min="24" max="24" width="8" style="42" bestFit="1" customWidth="1"/>
    <col min="25" max="25" width="10.28515625" style="42" customWidth="1"/>
    <col min="26" max="26" width="15.28515625" style="42" bestFit="1" customWidth="1"/>
    <col min="27" max="27" width="9.28515625" style="42" customWidth="1"/>
    <col min="28" max="28" width="8.5703125" style="42" hidden="1" customWidth="1"/>
    <col min="29" max="29" width="8.28515625" style="42" customWidth="1"/>
    <col min="30" max="30" width="11.42578125" style="42" customWidth="1"/>
    <col min="31" max="31" width="14.7109375" style="71" bestFit="1" customWidth="1"/>
    <col min="32" max="32" width="10" style="42" customWidth="1"/>
    <col min="33" max="33" width="11.7109375" style="68" hidden="1" customWidth="1"/>
    <col min="34" max="34" width="12.5703125" style="70" customWidth="1"/>
    <col min="35" max="37" width="12.7109375" style="306" customWidth="1"/>
    <col min="38" max="38" width="11.28515625" style="306" bestFit="1" customWidth="1"/>
    <col min="39" max="39" width="11.42578125" style="306" bestFit="1" customWidth="1"/>
    <col min="40" max="40" width="8.42578125" style="71" customWidth="1"/>
    <col min="41" max="41" width="8.28515625" style="71" customWidth="1"/>
    <col min="42" max="45" width="9.28515625" style="71"/>
    <col min="46" max="46" width="10.28515625" style="71" customWidth="1"/>
    <col min="47" max="47" width="10.28515625" style="71" bestFit="1" customWidth="1"/>
    <col min="48" max="49" width="9.28515625" style="42"/>
    <col min="50" max="50" width="9.28515625" style="298"/>
    <col min="51" max="16384" width="9.28515625" style="42"/>
  </cols>
  <sheetData>
    <row r="1" spans="1:52" ht="30.75" thickBot="1">
      <c r="F1" s="619" t="s">
        <v>2</v>
      </c>
      <c r="G1" s="620"/>
      <c r="H1" s="620"/>
      <c r="I1" s="621"/>
      <c r="J1" s="271">
        <f>J36</f>
        <v>60.833333333333336</v>
      </c>
      <c r="K1" s="622" t="s">
        <v>4</v>
      </c>
      <c r="L1" s="623"/>
      <c r="M1" s="623"/>
      <c r="N1" s="623"/>
      <c r="O1" s="624"/>
      <c r="P1" s="613" t="s">
        <v>6</v>
      </c>
      <c r="Q1" s="614"/>
      <c r="R1" s="614"/>
      <c r="S1" s="614"/>
      <c r="T1" s="615"/>
      <c r="U1" s="381"/>
      <c r="V1" s="27" t="s">
        <v>104</v>
      </c>
      <c r="W1" s="382"/>
      <c r="X1" s="613" t="s">
        <v>8</v>
      </c>
      <c r="Y1" s="614"/>
      <c r="Z1" s="614"/>
      <c r="AA1" s="614"/>
      <c r="AB1" s="614"/>
      <c r="AC1" s="616" t="s">
        <v>10</v>
      </c>
      <c r="AD1" s="617"/>
      <c r="AE1" s="617"/>
      <c r="AF1" s="618"/>
      <c r="AG1" s="207"/>
      <c r="AH1" s="85" t="s">
        <v>105</v>
      </c>
      <c r="AI1" s="299" t="s">
        <v>128</v>
      </c>
      <c r="AJ1" s="299"/>
      <c r="AK1" s="299"/>
      <c r="AL1" s="299" t="s">
        <v>133</v>
      </c>
      <c r="AM1" s="299" t="s">
        <v>134</v>
      </c>
      <c r="AN1" s="301" t="s">
        <v>12</v>
      </c>
      <c r="AO1" s="301" t="s">
        <v>13</v>
      </c>
      <c r="AP1" s="301" t="s">
        <v>14</v>
      </c>
      <c r="AQ1" s="301" t="s">
        <v>15</v>
      </c>
      <c r="AR1" s="301" t="s">
        <v>16</v>
      </c>
      <c r="AS1" s="301" t="s">
        <v>17</v>
      </c>
      <c r="AT1" s="301"/>
      <c r="AU1" s="302" t="s">
        <v>18</v>
      </c>
      <c r="AV1" s="176" t="s">
        <v>71</v>
      </c>
      <c r="AW1" s="176" t="s">
        <v>221</v>
      </c>
    </row>
    <row r="2" spans="1:52">
      <c r="A2" s="43"/>
      <c r="B2" s="44" t="s">
        <v>106</v>
      </c>
      <c r="C2" s="44" t="s">
        <v>107</v>
      </c>
      <c r="D2" s="45" t="s">
        <v>0</v>
      </c>
      <c r="E2" s="45" t="s">
        <v>1</v>
      </c>
      <c r="F2" s="46" t="s">
        <v>2</v>
      </c>
      <c r="G2" s="46" t="s">
        <v>3</v>
      </c>
      <c r="H2" s="46" t="s">
        <v>78</v>
      </c>
      <c r="I2" s="47" t="s">
        <v>79</v>
      </c>
      <c r="J2" s="48" t="s">
        <v>102</v>
      </c>
      <c r="K2" s="49" t="s">
        <v>101</v>
      </c>
      <c r="L2" s="46" t="s">
        <v>5</v>
      </c>
      <c r="M2" s="47" t="s">
        <v>372</v>
      </c>
      <c r="N2" s="47"/>
      <c r="O2" s="50" t="s">
        <v>79</v>
      </c>
      <c r="P2" s="51" t="s">
        <v>6</v>
      </c>
      <c r="Q2" s="611"/>
      <c r="R2" s="612"/>
      <c r="S2" s="52" t="s">
        <v>7</v>
      </c>
      <c r="T2" s="53"/>
      <c r="U2" s="385" t="s">
        <v>377</v>
      </c>
      <c r="V2" s="54" t="s">
        <v>103</v>
      </c>
      <c r="W2" s="383"/>
      <c r="X2" s="55" t="s">
        <v>8</v>
      </c>
      <c r="Y2" s="46" t="s">
        <v>9</v>
      </c>
      <c r="Z2" s="374" t="s">
        <v>373</v>
      </c>
      <c r="AA2" s="375" t="s">
        <v>374</v>
      </c>
      <c r="AB2" s="270"/>
      <c r="AC2" s="49" t="s">
        <v>10</v>
      </c>
      <c r="AD2" s="56" t="s">
        <v>11</v>
      </c>
      <c r="AE2" s="57" t="s">
        <v>81</v>
      </c>
      <c r="AF2" s="58" t="s">
        <v>82</v>
      </c>
      <c r="AG2" s="208" t="s">
        <v>127</v>
      </c>
      <c r="AH2" s="54" t="s">
        <v>103</v>
      </c>
      <c r="AI2" s="300" t="s">
        <v>103</v>
      </c>
      <c r="AJ2" s="377"/>
      <c r="AK2" s="377"/>
      <c r="AL2" s="377"/>
      <c r="AM2" s="377"/>
      <c r="AN2" s="376"/>
      <c r="AO2" s="376"/>
      <c r="AP2" s="376"/>
      <c r="AQ2" s="376"/>
      <c r="AR2" s="376"/>
      <c r="AS2" s="376"/>
      <c r="AT2" s="376"/>
      <c r="AU2" s="376"/>
      <c r="AV2" s="259"/>
      <c r="AW2" s="259"/>
    </row>
    <row r="3" spans="1:52">
      <c r="A3" s="43"/>
      <c r="B3" s="44"/>
      <c r="C3" s="44"/>
      <c r="D3" s="45"/>
      <c r="E3" s="45"/>
      <c r="F3" s="46"/>
      <c r="G3" s="46"/>
      <c r="H3" s="46"/>
      <c r="I3" s="65"/>
      <c r="J3" s="48"/>
      <c r="K3" s="49"/>
      <c r="L3" s="46"/>
      <c r="M3" s="47"/>
      <c r="N3" s="47"/>
      <c r="O3" s="50"/>
      <c r="P3" s="51"/>
      <c r="Q3" s="51"/>
      <c r="R3" s="51"/>
      <c r="S3" s="52">
        <v>0</v>
      </c>
      <c r="T3" s="53"/>
      <c r="U3" s="385"/>
      <c r="V3" s="59"/>
      <c r="W3" s="383"/>
      <c r="X3" s="55"/>
      <c r="Y3" s="52"/>
      <c r="Z3" s="47"/>
      <c r="AA3" s="47"/>
      <c r="AB3" s="47"/>
      <c r="AC3" s="49"/>
      <c r="AD3" s="45"/>
      <c r="AE3" s="60"/>
      <c r="AF3" s="61"/>
      <c r="AG3" s="209"/>
      <c r="AH3" s="62"/>
      <c r="AI3" s="303"/>
      <c r="AJ3" s="304"/>
      <c r="AK3" s="304"/>
      <c r="AL3" s="304"/>
      <c r="AM3" s="304"/>
    </row>
    <row r="4" spans="1:52" s="324" customFormat="1">
      <c r="A4" s="63">
        <f>[2]B5!$A$35</f>
        <v>44712</v>
      </c>
      <c r="B4" s="379">
        <f>[2]B5!B35</f>
        <v>240</v>
      </c>
      <c r="C4" s="379">
        <f>[2]B5!C35</f>
        <v>247</v>
      </c>
      <c r="D4" s="379">
        <f>[2]B5!D35</f>
        <v>5</v>
      </c>
      <c r="E4" s="379">
        <f>[2]B5!E35</f>
        <v>41.900000000000006</v>
      </c>
      <c r="F4" s="379">
        <f>[2]B5!F35</f>
        <v>2243</v>
      </c>
      <c r="G4" s="379">
        <f>[2]B5!G35</f>
        <v>1</v>
      </c>
      <c r="H4" s="379">
        <f>[2]B5!H35</f>
        <v>43560</v>
      </c>
      <c r="I4" s="379">
        <f>[2]B5!I35</f>
        <v>66</v>
      </c>
      <c r="J4" s="379">
        <f>[2]B5!J35</f>
        <v>66</v>
      </c>
      <c r="K4" s="379">
        <f>[2]B5!K35</f>
        <v>2431</v>
      </c>
      <c r="L4" s="379">
        <f>[2]B5!L35</f>
        <v>0</v>
      </c>
      <c r="M4" s="379">
        <f>[2]B5!M35</f>
        <v>180347</v>
      </c>
      <c r="N4" s="379">
        <f>[2]B5!N35</f>
        <v>0</v>
      </c>
      <c r="O4" s="379">
        <f>[2]B5!O35</f>
        <v>1869</v>
      </c>
      <c r="P4" s="379">
        <f>[2]B5!P35</f>
        <v>2209</v>
      </c>
      <c r="Q4" s="379">
        <f>[2]B5!Q35</f>
        <v>184800</v>
      </c>
      <c r="R4" s="379">
        <f>[2]B5!R35</f>
        <v>0</v>
      </c>
      <c r="S4" s="379">
        <f>[2]B5!S35</f>
        <v>0</v>
      </c>
      <c r="T4" s="379">
        <f>[2]B5!T35</f>
        <v>0</v>
      </c>
      <c r="U4" s="379">
        <f>[2]B5!U35</f>
        <v>1</v>
      </c>
      <c r="V4" s="379">
        <f>[2]B5!V35</f>
        <v>66</v>
      </c>
      <c r="W4" s="379">
        <f>[2]B5!W35</f>
        <v>0</v>
      </c>
      <c r="X4" s="379">
        <f>[2]B5!X35</f>
        <v>2481</v>
      </c>
      <c r="Y4" s="379">
        <f>[2]B5!Y35</f>
        <v>0</v>
      </c>
      <c r="Z4" s="379">
        <f>[2]B5!Z35</f>
        <v>140010</v>
      </c>
      <c r="AA4" s="379">
        <f>[2]B5!AA35</f>
        <v>3</v>
      </c>
      <c r="AB4" s="379">
        <f>[2]B5!AB35</f>
        <v>0</v>
      </c>
      <c r="AC4" s="379">
        <f>[2]B5!AC35</f>
        <v>1945</v>
      </c>
      <c r="AD4" s="379">
        <f>[2]B5!AD35</f>
        <v>1</v>
      </c>
      <c r="AE4" s="379">
        <f>[2]B5!AE35</f>
        <v>366385</v>
      </c>
      <c r="AF4" s="379">
        <f>[2]B5!AF35</f>
        <v>49</v>
      </c>
      <c r="AG4" s="379">
        <f>[2]B5!AG35</f>
        <v>49</v>
      </c>
      <c r="AH4" s="379">
        <f>[2]B5!AH35</f>
        <v>52</v>
      </c>
      <c r="AI4" s="379">
        <f>[2]B5!AI35</f>
        <v>118</v>
      </c>
      <c r="AJ4" s="379">
        <f>[2]B5!AJ35</f>
        <v>118</v>
      </c>
      <c r="AK4" s="379">
        <f>[2]B5!AK35</f>
        <v>0</v>
      </c>
      <c r="AL4" s="379">
        <f>[2]B5!AL35</f>
        <v>1</v>
      </c>
      <c r="AM4" s="379">
        <f>[2]B5!AM35</f>
        <v>1</v>
      </c>
      <c r="AN4" s="379">
        <f>[2]B5!AN35</f>
        <v>67</v>
      </c>
      <c r="AO4" s="379">
        <f>[2]B5!AO35</f>
        <v>2010.0000000000002</v>
      </c>
      <c r="AP4" s="379">
        <f>[2]B5!AP35</f>
        <v>32</v>
      </c>
      <c r="AQ4" s="379">
        <f>[2]B5!AQ35</f>
        <v>960</v>
      </c>
      <c r="AR4" s="379">
        <f>[2]B5!AR35</f>
        <v>75</v>
      </c>
      <c r="AS4" s="379">
        <f>[2]B5!AS35</f>
        <v>2250</v>
      </c>
      <c r="AT4" s="379">
        <f>[2]B5!AT35</f>
        <v>5220</v>
      </c>
      <c r="AU4" s="379">
        <f>[2]B5!AU35</f>
        <v>0</v>
      </c>
      <c r="AV4" s="379">
        <f>[2]B5!AV35</f>
        <v>0</v>
      </c>
      <c r="AW4" s="379">
        <f>[2]B5!AW35</f>
        <v>0</v>
      </c>
      <c r="AX4" s="379">
        <f>[2]B5!AX35</f>
        <v>0.8</v>
      </c>
    </row>
    <row r="5" spans="1:52">
      <c r="A5" s="63">
        <f>ELEC!C4</f>
        <v>44713</v>
      </c>
      <c r="B5" s="537">
        <v>237</v>
      </c>
      <c r="C5" s="537">
        <v>242</v>
      </c>
      <c r="D5" s="45">
        <f>C4-C5</f>
        <v>5</v>
      </c>
      <c r="E5" s="45">
        <f>D5*8.38</f>
        <v>41.900000000000006</v>
      </c>
      <c r="F5" s="537">
        <v>2245</v>
      </c>
      <c r="G5" s="52">
        <f t="shared" ref="G5:G32" si="0">F5-F4</f>
        <v>2</v>
      </c>
      <c r="H5" s="537">
        <v>43696</v>
      </c>
      <c r="I5" s="380">
        <f t="shared" ref="I5:I32" si="1">SUM(H5-H4)</f>
        <v>136</v>
      </c>
      <c r="J5" s="66">
        <v>1</v>
      </c>
      <c r="K5" s="537">
        <f>K4</f>
        <v>2431</v>
      </c>
      <c r="L5" s="52">
        <f>K5-K4</f>
        <v>0</v>
      </c>
      <c r="M5" s="537">
        <f>M4</f>
        <v>180347</v>
      </c>
      <c r="N5" s="380">
        <f t="shared" ref="N5:N32" si="2">M5-M4</f>
        <v>0</v>
      </c>
      <c r="O5" s="64">
        <f t="shared" ref="O5:Q17" si="3">O4</f>
        <v>1869</v>
      </c>
      <c r="P5" s="537">
        <f>P4</f>
        <v>2209</v>
      </c>
      <c r="Q5" s="537">
        <f>Q4</f>
        <v>184800</v>
      </c>
      <c r="R5" s="379">
        <f t="shared" ref="R5:R10" si="4">Q5-Q4</f>
        <v>0</v>
      </c>
      <c r="S5" s="52">
        <f t="shared" ref="S5:S32" si="5">SUM(P5-P4)</f>
        <v>0</v>
      </c>
      <c r="T5" s="67">
        <f>SUM(S5*$T$2)</f>
        <v>0</v>
      </c>
      <c r="U5" s="386">
        <f>SUM(G5+L5+S5)</f>
        <v>2</v>
      </c>
      <c r="V5" s="62">
        <f>R5+N5+I5:I5</f>
        <v>136</v>
      </c>
      <c r="W5" s="384">
        <f>SUM(V5/U5)</f>
        <v>68</v>
      </c>
      <c r="X5" s="537">
        <v>2483</v>
      </c>
      <c r="Y5" s="52">
        <f>X5-X4</f>
        <v>2</v>
      </c>
      <c r="Z5" s="537">
        <v>140101</v>
      </c>
      <c r="AA5" s="65">
        <f t="shared" ref="AA5:AA32" si="6">Z5-Z4</f>
        <v>91</v>
      </c>
      <c r="AB5" s="273">
        <f>SUM(Y5*$AB$2)</f>
        <v>0</v>
      </c>
      <c r="AC5" s="537">
        <f>AC4</f>
        <v>1945</v>
      </c>
      <c r="AD5" s="45">
        <f t="shared" ref="AD5:AD32" si="7">AC5-AC4</f>
        <v>0</v>
      </c>
      <c r="AE5" s="537">
        <f>AE4</f>
        <v>366385</v>
      </c>
      <c r="AF5" s="293">
        <f>AE5-AE4</f>
        <v>0</v>
      </c>
      <c r="AG5" s="209">
        <f>IF(AD5&gt;0,AF5/AD5,0)</f>
        <v>0</v>
      </c>
      <c r="AH5" s="62">
        <f>AF5+AA5</f>
        <v>91</v>
      </c>
      <c r="AI5" s="303">
        <f>SUM(AH5+V5)</f>
        <v>227</v>
      </c>
      <c r="AJ5" s="303">
        <f>-tanks!AW6</f>
        <v>227</v>
      </c>
      <c r="AK5" s="303">
        <f>SUM(AJ5-AI5)</f>
        <v>0</v>
      </c>
      <c r="AL5" s="303">
        <f t="shared" ref="AL5:AL32" si="8">S5+L5+G5</f>
        <v>2</v>
      </c>
      <c r="AM5" s="303">
        <f>Y5+AD5</f>
        <v>2</v>
      </c>
      <c r="AN5" s="537">
        <f t="shared" ref="AN5:AN35" si="9">AN4</f>
        <v>67</v>
      </c>
      <c r="AO5" s="305">
        <f>(AN5/100)*3000</f>
        <v>2010.0000000000002</v>
      </c>
      <c r="AP5" s="537">
        <f t="shared" ref="AP5:AP35" si="10">AP4</f>
        <v>32</v>
      </c>
      <c r="AQ5" s="305">
        <f>(AP5/100)*3000</f>
        <v>960</v>
      </c>
      <c r="AR5" s="537">
        <f t="shared" ref="AR5:AR35" si="11">AR4</f>
        <v>75</v>
      </c>
      <c r="AS5" s="305">
        <f>(AR5/100)*3000</f>
        <v>2250</v>
      </c>
      <c r="AT5" s="305">
        <f>SUM(AO5+AQ5+AS5)</f>
        <v>5220</v>
      </c>
      <c r="AU5" s="305">
        <f>AT4-AT5+AV5</f>
        <v>0</v>
      </c>
      <c r="AV5" s="259"/>
      <c r="AW5" s="259"/>
      <c r="AX5" s="298">
        <f>IF(AV5&gt;0,AW5,AX4)</f>
        <v>0.8</v>
      </c>
    </row>
    <row r="6" spans="1:52">
      <c r="A6" s="63">
        <f>ELEC!C5</f>
        <v>44714</v>
      </c>
      <c r="B6" s="537">
        <v>234</v>
      </c>
      <c r="C6" s="537">
        <v>240</v>
      </c>
      <c r="D6" s="45">
        <f>C5-C6</f>
        <v>2</v>
      </c>
      <c r="E6" s="45">
        <f t="shared" ref="E6:E32" si="12">D6*8.38</f>
        <v>16.760000000000002</v>
      </c>
      <c r="F6" s="537">
        <f t="shared" ref="F6:F35" si="13">F5</f>
        <v>2245</v>
      </c>
      <c r="G6" s="52">
        <f t="shared" si="0"/>
        <v>0</v>
      </c>
      <c r="H6" s="537">
        <v>43727</v>
      </c>
      <c r="I6" s="380">
        <f t="shared" si="1"/>
        <v>31</v>
      </c>
      <c r="J6" s="66">
        <f t="shared" ref="J6:J32" si="14">IF(G6&gt;0,I6/G6,0)</f>
        <v>0</v>
      </c>
      <c r="K6" s="537">
        <f t="shared" ref="K6:K35" si="15">K5</f>
        <v>2431</v>
      </c>
      <c r="L6" s="52">
        <f t="shared" ref="L6:L32" si="16">K6-K5</f>
        <v>0</v>
      </c>
      <c r="M6" s="537">
        <f t="shared" ref="M6:M35" si="17">M5</f>
        <v>180347</v>
      </c>
      <c r="N6" s="380">
        <f t="shared" si="2"/>
        <v>0</v>
      </c>
      <c r="O6" s="64">
        <f t="shared" si="3"/>
        <v>1869</v>
      </c>
      <c r="P6" s="537">
        <f t="shared" si="3"/>
        <v>2209</v>
      </c>
      <c r="Q6" s="537">
        <f t="shared" si="3"/>
        <v>184800</v>
      </c>
      <c r="R6" s="379">
        <f t="shared" si="4"/>
        <v>0</v>
      </c>
      <c r="S6" s="52">
        <f t="shared" si="5"/>
        <v>0</v>
      </c>
      <c r="T6" s="67">
        <f>SUM(S6*$T$2)</f>
        <v>0</v>
      </c>
      <c r="U6" s="386">
        <f t="shared" ref="U6:U32" si="18">SUM(G6+L6+S6)</f>
        <v>0</v>
      </c>
      <c r="V6" s="62">
        <f t="shared" ref="V6:V32" si="19">R6+N6+I6:I6</f>
        <v>31</v>
      </c>
      <c r="W6" s="384" t="e">
        <f t="shared" ref="W6:W16" si="20">SUM(V6/U6)</f>
        <v>#DIV/0!</v>
      </c>
      <c r="X6" s="537">
        <f t="shared" ref="X6:X35" si="21">X5</f>
        <v>2483</v>
      </c>
      <c r="Y6" s="52">
        <f t="shared" ref="Y6:Y32" si="22">X6-X5</f>
        <v>0</v>
      </c>
      <c r="Z6" s="537">
        <f t="shared" ref="Z6:Z35" si="23">Z5</f>
        <v>140101</v>
      </c>
      <c r="AA6" s="65">
        <f t="shared" si="6"/>
        <v>0</v>
      </c>
      <c r="AB6" s="273">
        <f>SUM(Y6*$AB$2)</f>
        <v>0</v>
      </c>
      <c r="AC6" s="537">
        <f t="shared" ref="AC6:AC35" si="24">AC5</f>
        <v>1945</v>
      </c>
      <c r="AD6" s="45">
        <f t="shared" si="7"/>
        <v>0</v>
      </c>
      <c r="AE6" s="537">
        <f t="shared" ref="AE6:AE35" si="25">AE5</f>
        <v>366385</v>
      </c>
      <c r="AF6" s="293">
        <f t="shared" ref="AF6:AF32" si="26">AE6-AE5</f>
        <v>0</v>
      </c>
      <c r="AG6" s="209">
        <f>IF(AD6&gt;0,AF6/AD6,0)</f>
        <v>0</v>
      </c>
      <c r="AH6" s="62">
        <f>AF6+AA6</f>
        <v>0</v>
      </c>
      <c r="AI6" s="303">
        <f t="shared" ref="AI6:AI32" si="27">SUM(AH6+V6)</f>
        <v>31</v>
      </c>
      <c r="AJ6" s="303">
        <f>-tanks!AW7</f>
        <v>31</v>
      </c>
      <c r="AK6" s="303">
        <f t="shared" ref="AK6:AK32" si="28">SUM(AJ6-AI6)</f>
        <v>0</v>
      </c>
      <c r="AL6" s="303">
        <f t="shared" si="8"/>
        <v>0</v>
      </c>
      <c r="AM6" s="303">
        <f t="shared" ref="AM6:AM32" si="29">Y6+AD6</f>
        <v>0</v>
      </c>
      <c r="AN6" s="537">
        <f t="shared" si="9"/>
        <v>67</v>
      </c>
      <c r="AO6" s="305">
        <f t="shared" ref="AO6:AO26" si="30">(AN6/100)*3000</f>
        <v>2010.0000000000002</v>
      </c>
      <c r="AP6" s="537">
        <f t="shared" si="10"/>
        <v>32</v>
      </c>
      <c r="AQ6" s="305">
        <f t="shared" ref="AQ6:AQ24" si="31">(AP6/100)*3000</f>
        <v>960</v>
      </c>
      <c r="AR6" s="537">
        <f t="shared" si="11"/>
        <v>75</v>
      </c>
      <c r="AS6" s="305">
        <f>(AR6/100)*3000</f>
        <v>2250</v>
      </c>
      <c r="AT6" s="305">
        <f>SUM(AO6+AQ6+AS6)</f>
        <v>5220</v>
      </c>
      <c r="AU6" s="305">
        <f>AT5-AT6+AV6</f>
        <v>0</v>
      </c>
      <c r="AV6" s="259"/>
      <c r="AW6" s="259"/>
      <c r="AX6" s="298">
        <f t="shared" ref="AX6:AX32" si="32">IF(AV6&gt;0,AW6,AX5)</f>
        <v>0.8</v>
      </c>
    </row>
    <row r="7" spans="1:52">
      <c r="A7" s="63">
        <f>ELEC!C6</f>
        <v>44715</v>
      </c>
      <c r="B7" s="537">
        <f t="shared" ref="B7:B35" si="33">B6</f>
        <v>234</v>
      </c>
      <c r="C7" s="537">
        <f t="shared" ref="C7:C35" si="34">C6</f>
        <v>240</v>
      </c>
      <c r="D7" s="45">
        <f t="shared" ref="D7:D19" si="35">C6-C7</f>
        <v>0</v>
      </c>
      <c r="E7" s="45">
        <f t="shared" si="12"/>
        <v>0</v>
      </c>
      <c r="F7" s="537">
        <f t="shared" si="13"/>
        <v>2245</v>
      </c>
      <c r="G7" s="52">
        <f t="shared" si="0"/>
        <v>0</v>
      </c>
      <c r="H7" s="537">
        <f t="shared" ref="H7:H35" si="36">H6</f>
        <v>43727</v>
      </c>
      <c r="I7" s="380">
        <f t="shared" si="1"/>
        <v>0</v>
      </c>
      <c r="J7" s="66">
        <f t="shared" si="14"/>
        <v>0</v>
      </c>
      <c r="K7" s="537">
        <f t="shared" si="15"/>
        <v>2431</v>
      </c>
      <c r="L7" s="52">
        <f t="shared" si="16"/>
        <v>0</v>
      </c>
      <c r="M7" s="537">
        <f t="shared" si="17"/>
        <v>180347</v>
      </c>
      <c r="N7" s="380">
        <f t="shared" si="2"/>
        <v>0</v>
      </c>
      <c r="O7" s="64">
        <f t="shared" si="3"/>
        <v>1869</v>
      </c>
      <c r="P7" s="537">
        <f t="shared" si="3"/>
        <v>2209</v>
      </c>
      <c r="Q7" s="537">
        <f t="shared" si="3"/>
        <v>184800</v>
      </c>
      <c r="R7" s="379">
        <f t="shared" si="4"/>
        <v>0</v>
      </c>
      <c r="S7" s="52">
        <f t="shared" si="5"/>
        <v>0</v>
      </c>
      <c r="T7" s="67">
        <f t="shared" ref="T7:T32" si="37">SUM(S7*$T$2)</f>
        <v>0</v>
      </c>
      <c r="U7" s="386">
        <f t="shared" si="18"/>
        <v>0</v>
      </c>
      <c r="V7" s="62">
        <f>R7+N7+I7:I7</f>
        <v>0</v>
      </c>
      <c r="W7" s="384" t="e">
        <f t="shared" si="20"/>
        <v>#DIV/0!</v>
      </c>
      <c r="X7" s="537">
        <f t="shared" si="21"/>
        <v>2483</v>
      </c>
      <c r="Y7" s="52">
        <f t="shared" si="22"/>
        <v>0</v>
      </c>
      <c r="Z7" s="537">
        <f t="shared" si="23"/>
        <v>140101</v>
      </c>
      <c r="AA7" s="65">
        <f t="shared" si="6"/>
        <v>0</v>
      </c>
      <c r="AB7" s="273">
        <f t="shared" ref="AB7:AB17" si="38">SUM(Y7*$AB$2)</f>
        <v>0</v>
      </c>
      <c r="AC7" s="537">
        <f t="shared" si="24"/>
        <v>1945</v>
      </c>
      <c r="AD7" s="45">
        <f t="shared" si="7"/>
        <v>0</v>
      </c>
      <c r="AE7" s="537">
        <f t="shared" si="25"/>
        <v>366385</v>
      </c>
      <c r="AF7" s="293">
        <f t="shared" si="26"/>
        <v>0</v>
      </c>
      <c r="AG7" s="209">
        <f t="shared" ref="AG7:AG32" si="39">IF(AD7&gt;0,AF7/AD7,0)</f>
        <v>0</v>
      </c>
      <c r="AH7" s="62">
        <f t="shared" ref="AH7:AH32" si="40">AF7+AA7</f>
        <v>0</v>
      </c>
      <c r="AI7" s="303">
        <f t="shared" si="27"/>
        <v>0</v>
      </c>
      <c r="AJ7" s="303">
        <f>-tanks!AW8</f>
        <v>0</v>
      </c>
      <c r="AK7" s="303">
        <f t="shared" si="28"/>
        <v>0</v>
      </c>
      <c r="AL7" s="303">
        <f t="shared" si="8"/>
        <v>0</v>
      </c>
      <c r="AM7" s="303">
        <f t="shared" si="29"/>
        <v>0</v>
      </c>
      <c r="AN7" s="537">
        <f t="shared" si="9"/>
        <v>67</v>
      </c>
      <c r="AO7" s="305">
        <f t="shared" si="30"/>
        <v>2010.0000000000002</v>
      </c>
      <c r="AP7" s="537">
        <f t="shared" si="10"/>
        <v>32</v>
      </c>
      <c r="AQ7" s="305">
        <f t="shared" si="31"/>
        <v>960</v>
      </c>
      <c r="AR7" s="537">
        <f t="shared" si="11"/>
        <v>75</v>
      </c>
      <c r="AS7" s="305">
        <f t="shared" ref="AS7:AS32" si="41">(AR7/100)*3000</f>
        <v>2250</v>
      </c>
      <c r="AT7" s="305">
        <f t="shared" ref="AT7:AT23" si="42">SUM(AO7+AQ7+AS7)</f>
        <v>5220</v>
      </c>
      <c r="AU7" s="305">
        <f t="shared" ref="AU7:AU32" si="43">AT6-AT7+AV7</f>
        <v>0</v>
      </c>
      <c r="AV7" s="259"/>
      <c r="AW7" s="259"/>
      <c r="AX7" s="298">
        <f t="shared" si="32"/>
        <v>0.8</v>
      </c>
      <c r="AZ7" s="42" t="s">
        <v>407</v>
      </c>
    </row>
    <row r="8" spans="1:52">
      <c r="A8" s="63">
        <f>ELEC!C7</f>
        <v>44716</v>
      </c>
      <c r="B8" s="537">
        <f t="shared" si="33"/>
        <v>234</v>
      </c>
      <c r="C8" s="537">
        <f t="shared" si="34"/>
        <v>240</v>
      </c>
      <c r="D8" s="45">
        <f t="shared" si="35"/>
        <v>0</v>
      </c>
      <c r="E8" s="45">
        <f t="shared" si="12"/>
        <v>0</v>
      </c>
      <c r="F8" s="537">
        <f t="shared" si="13"/>
        <v>2245</v>
      </c>
      <c r="G8" s="52">
        <f t="shared" si="0"/>
        <v>0</v>
      </c>
      <c r="H8" s="537">
        <f t="shared" si="36"/>
        <v>43727</v>
      </c>
      <c r="I8" s="380">
        <f t="shared" si="1"/>
        <v>0</v>
      </c>
      <c r="J8" s="66">
        <f t="shared" si="14"/>
        <v>0</v>
      </c>
      <c r="K8" s="537">
        <f t="shared" si="15"/>
        <v>2431</v>
      </c>
      <c r="L8" s="52">
        <f t="shared" si="16"/>
        <v>0</v>
      </c>
      <c r="M8" s="537">
        <f t="shared" si="17"/>
        <v>180347</v>
      </c>
      <c r="N8" s="380">
        <f t="shared" si="2"/>
        <v>0</v>
      </c>
      <c r="O8" s="64">
        <f t="shared" si="3"/>
        <v>1869</v>
      </c>
      <c r="P8" s="537">
        <f t="shared" si="3"/>
        <v>2209</v>
      </c>
      <c r="Q8" s="537">
        <f t="shared" si="3"/>
        <v>184800</v>
      </c>
      <c r="R8" s="379">
        <f t="shared" si="4"/>
        <v>0</v>
      </c>
      <c r="S8" s="52">
        <f t="shared" si="5"/>
        <v>0</v>
      </c>
      <c r="T8" s="67">
        <f t="shared" si="37"/>
        <v>0</v>
      </c>
      <c r="U8" s="386">
        <f t="shared" si="18"/>
        <v>0</v>
      </c>
      <c r="V8" s="62">
        <f>R8+N8+I8:I8</f>
        <v>0</v>
      </c>
      <c r="W8" s="384" t="e">
        <f t="shared" si="20"/>
        <v>#DIV/0!</v>
      </c>
      <c r="X8" s="537">
        <f t="shared" si="21"/>
        <v>2483</v>
      </c>
      <c r="Y8" s="52">
        <f t="shared" si="22"/>
        <v>0</v>
      </c>
      <c r="Z8" s="537">
        <f t="shared" si="23"/>
        <v>140101</v>
      </c>
      <c r="AA8" s="65">
        <f t="shared" si="6"/>
        <v>0</v>
      </c>
      <c r="AB8" s="273">
        <f t="shared" si="38"/>
        <v>0</v>
      </c>
      <c r="AC8" s="537">
        <f t="shared" si="24"/>
        <v>1945</v>
      </c>
      <c r="AD8" s="45">
        <f t="shared" si="7"/>
        <v>0</v>
      </c>
      <c r="AE8" s="537">
        <f t="shared" si="25"/>
        <v>366385</v>
      </c>
      <c r="AF8" s="293">
        <f t="shared" si="26"/>
        <v>0</v>
      </c>
      <c r="AG8" s="209">
        <f t="shared" si="39"/>
        <v>0</v>
      </c>
      <c r="AH8" s="62">
        <f t="shared" si="40"/>
        <v>0</v>
      </c>
      <c r="AI8" s="303">
        <f t="shared" si="27"/>
        <v>0</v>
      </c>
      <c r="AJ8" s="303">
        <f>-tanks!AW9</f>
        <v>0</v>
      </c>
      <c r="AK8" s="303">
        <f t="shared" si="28"/>
        <v>0</v>
      </c>
      <c r="AL8" s="303">
        <f t="shared" si="8"/>
        <v>0</v>
      </c>
      <c r="AM8" s="303">
        <f t="shared" si="29"/>
        <v>0</v>
      </c>
      <c r="AN8" s="537">
        <f t="shared" si="9"/>
        <v>67</v>
      </c>
      <c r="AO8" s="305">
        <f t="shared" si="30"/>
        <v>2010.0000000000002</v>
      </c>
      <c r="AP8" s="537">
        <f t="shared" si="10"/>
        <v>32</v>
      </c>
      <c r="AQ8" s="305">
        <f t="shared" si="31"/>
        <v>960</v>
      </c>
      <c r="AR8" s="537">
        <f t="shared" si="11"/>
        <v>75</v>
      </c>
      <c r="AS8" s="305">
        <f t="shared" si="41"/>
        <v>2250</v>
      </c>
      <c r="AT8" s="305">
        <f t="shared" si="42"/>
        <v>5220</v>
      </c>
      <c r="AU8" s="305">
        <f t="shared" si="43"/>
        <v>0</v>
      </c>
      <c r="AV8" s="259"/>
      <c r="AW8" s="259"/>
      <c r="AX8" s="298">
        <f t="shared" si="32"/>
        <v>0.8</v>
      </c>
    </row>
    <row r="9" spans="1:52" ht="15.75" customHeight="1">
      <c r="A9" s="63">
        <f>ELEC!C8</f>
        <v>44717</v>
      </c>
      <c r="B9" s="537">
        <v>231</v>
      </c>
      <c r="C9" s="537">
        <v>237</v>
      </c>
      <c r="D9" s="45">
        <f t="shared" si="35"/>
        <v>3</v>
      </c>
      <c r="E9" s="45">
        <f t="shared" si="12"/>
        <v>25.14</v>
      </c>
      <c r="F9" s="537">
        <v>2247</v>
      </c>
      <c r="G9" s="52">
        <f t="shared" si="0"/>
        <v>2</v>
      </c>
      <c r="H9" s="537">
        <v>43884</v>
      </c>
      <c r="I9" s="380">
        <f t="shared" si="1"/>
        <v>157</v>
      </c>
      <c r="J9" s="66">
        <f t="shared" si="14"/>
        <v>78.5</v>
      </c>
      <c r="K9" s="537">
        <f t="shared" si="15"/>
        <v>2431</v>
      </c>
      <c r="L9" s="52">
        <f t="shared" si="16"/>
        <v>0</v>
      </c>
      <c r="M9" s="537">
        <f t="shared" si="17"/>
        <v>180347</v>
      </c>
      <c r="N9" s="380">
        <f t="shared" si="2"/>
        <v>0</v>
      </c>
      <c r="O9" s="64">
        <f t="shared" si="3"/>
        <v>1869</v>
      </c>
      <c r="P9" s="537">
        <f t="shared" si="3"/>
        <v>2209</v>
      </c>
      <c r="Q9" s="537">
        <f t="shared" si="3"/>
        <v>184800</v>
      </c>
      <c r="R9" s="379">
        <f t="shared" si="4"/>
        <v>0</v>
      </c>
      <c r="S9" s="52">
        <f t="shared" si="5"/>
        <v>0</v>
      </c>
      <c r="T9" s="67">
        <f t="shared" si="37"/>
        <v>0</v>
      </c>
      <c r="U9" s="386">
        <f t="shared" si="18"/>
        <v>2</v>
      </c>
      <c r="V9" s="62">
        <f t="shared" si="19"/>
        <v>157</v>
      </c>
      <c r="W9" s="384">
        <f t="shared" si="20"/>
        <v>78.5</v>
      </c>
      <c r="X9" s="537">
        <f t="shared" si="21"/>
        <v>2483</v>
      </c>
      <c r="Y9" s="52">
        <f t="shared" si="22"/>
        <v>0</v>
      </c>
      <c r="Z9" s="537">
        <f t="shared" si="23"/>
        <v>140101</v>
      </c>
      <c r="AA9" s="65">
        <f t="shared" si="6"/>
        <v>0</v>
      </c>
      <c r="AB9" s="273">
        <f t="shared" si="38"/>
        <v>0</v>
      </c>
      <c r="AC9" s="537">
        <f t="shared" si="24"/>
        <v>1945</v>
      </c>
      <c r="AD9" s="45">
        <f t="shared" si="7"/>
        <v>0</v>
      </c>
      <c r="AE9" s="537">
        <f t="shared" si="25"/>
        <v>366385</v>
      </c>
      <c r="AF9" s="293">
        <f t="shared" si="26"/>
        <v>0</v>
      </c>
      <c r="AG9" s="209">
        <f t="shared" si="39"/>
        <v>0</v>
      </c>
      <c r="AH9" s="62">
        <f t="shared" si="40"/>
        <v>0</v>
      </c>
      <c r="AI9" s="303">
        <f t="shared" si="27"/>
        <v>157</v>
      </c>
      <c r="AJ9" s="303">
        <f>-tanks!AW10</f>
        <v>157</v>
      </c>
      <c r="AK9" s="303">
        <f t="shared" si="28"/>
        <v>0</v>
      </c>
      <c r="AL9" s="303">
        <f t="shared" si="8"/>
        <v>2</v>
      </c>
      <c r="AM9" s="303">
        <f t="shared" si="29"/>
        <v>0</v>
      </c>
      <c r="AN9" s="537">
        <f t="shared" si="9"/>
        <v>67</v>
      </c>
      <c r="AO9" s="305">
        <f t="shared" si="30"/>
        <v>2010.0000000000002</v>
      </c>
      <c r="AP9" s="537">
        <f t="shared" si="10"/>
        <v>32</v>
      </c>
      <c r="AQ9" s="305">
        <f t="shared" si="31"/>
        <v>960</v>
      </c>
      <c r="AR9" s="537">
        <f t="shared" si="11"/>
        <v>75</v>
      </c>
      <c r="AS9" s="305">
        <f>(AR9/100)*3000</f>
        <v>2250</v>
      </c>
      <c r="AT9" s="305">
        <f t="shared" si="42"/>
        <v>5220</v>
      </c>
      <c r="AU9" s="305">
        <f t="shared" si="43"/>
        <v>0</v>
      </c>
      <c r="AV9" s="259"/>
      <c r="AW9" s="259"/>
      <c r="AX9" s="298">
        <f t="shared" si="32"/>
        <v>0.8</v>
      </c>
    </row>
    <row r="10" spans="1:52">
      <c r="A10" s="63">
        <f>ELEC!C9</f>
        <v>44718</v>
      </c>
      <c r="B10" s="537">
        <v>226</v>
      </c>
      <c r="C10" s="537">
        <v>232</v>
      </c>
      <c r="D10" s="45">
        <f t="shared" si="35"/>
        <v>5</v>
      </c>
      <c r="E10" s="45">
        <f t="shared" si="12"/>
        <v>41.900000000000006</v>
      </c>
      <c r="F10" s="537">
        <v>2249</v>
      </c>
      <c r="G10" s="52">
        <f t="shared" si="0"/>
        <v>2</v>
      </c>
      <c r="H10" s="537">
        <v>43989</v>
      </c>
      <c r="I10" s="380">
        <f t="shared" si="1"/>
        <v>105</v>
      </c>
      <c r="J10" s="66">
        <f t="shared" si="14"/>
        <v>52.5</v>
      </c>
      <c r="K10" s="537">
        <f t="shared" si="15"/>
        <v>2431</v>
      </c>
      <c r="L10" s="52">
        <f t="shared" si="16"/>
        <v>0</v>
      </c>
      <c r="M10" s="537">
        <v>180354</v>
      </c>
      <c r="N10" s="380">
        <f t="shared" si="2"/>
        <v>7</v>
      </c>
      <c r="O10" s="64">
        <f t="shared" si="3"/>
        <v>1869</v>
      </c>
      <c r="P10" s="537">
        <f t="shared" si="3"/>
        <v>2209</v>
      </c>
      <c r="Q10" s="537">
        <f t="shared" si="3"/>
        <v>184800</v>
      </c>
      <c r="R10" s="379">
        <f t="shared" si="4"/>
        <v>0</v>
      </c>
      <c r="S10" s="52">
        <f t="shared" si="5"/>
        <v>0</v>
      </c>
      <c r="T10" s="67">
        <f t="shared" si="37"/>
        <v>0</v>
      </c>
      <c r="U10" s="386">
        <f t="shared" si="18"/>
        <v>2</v>
      </c>
      <c r="V10" s="62">
        <f t="shared" si="19"/>
        <v>112</v>
      </c>
      <c r="W10" s="384">
        <f t="shared" si="20"/>
        <v>56</v>
      </c>
      <c r="X10" s="537">
        <f t="shared" si="21"/>
        <v>2483</v>
      </c>
      <c r="Y10" s="52">
        <f t="shared" si="22"/>
        <v>0</v>
      </c>
      <c r="Z10" s="537">
        <f t="shared" si="23"/>
        <v>140101</v>
      </c>
      <c r="AA10" s="65">
        <f t="shared" si="6"/>
        <v>0</v>
      </c>
      <c r="AB10" s="273">
        <f t="shared" si="38"/>
        <v>0</v>
      </c>
      <c r="AC10" s="537">
        <f t="shared" si="24"/>
        <v>1945</v>
      </c>
      <c r="AD10" s="45">
        <f t="shared" si="7"/>
        <v>0</v>
      </c>
      <c r="AE10" s="537">
        <f t="shared" si="25"/>
        <v>366385</v>
      </c>
      <c r="AF10" s="293">
        <f t="shared" si="26"/>
        <v>0</v>
      </c>
      <c r="AG10" s="209">
        <f t="shared" si="39"/>
        <v>0</v>
      </c>
      <c r="AH10" s="62">
        <f t="shared" si="40"/>
        <v>0</v>
      </c>
      <c r="AI10" s="303">
        <f>SUM(AH10+V10)</f>
        <v>112</v>
      </c>
      <c r="AJ10" s="303">
        <f>-tanks!AW11</f>
        <v>112</v>
      </c>
      <c r="AK10" s="303">
        <f t="shared" si="28"/>
        <v>0</v>
      </c>
      <c r="AL10" s="303">
        <f t="shared" si="8"/>
        <v>2</v>
      </c>
      <c r="AM10" s="303">
        <f t="shared" si="29"/>
        <v>0</v>
      </c>
      <c r="AN10" s="537">
        <f t="shared" si="9"/>
        <v>67</v>
      </c>
      <c r="AO10" s="305">
        <f t="shared" si="30"/>
        <v>2010.0000000000002</v>
      </c>
      <c r="AP10" s="537">
        <f t="shared" si="10"/>
        <v>32</v>
      </c>
      <c r="AQ10" s="305">
        <f t="shared" si="31"/>
        <v>960</v>
      </c>
      <c r="AR10" s="537">
        <f t="shared" si="11"/>
        <v>75</v>
      </c>
      <c r="AS10" s="305">
        <f t="shared" si="41"/>
        <v>2250</v>
      </c>
      <c r="AT10" s="305">
        <f t="shared" si="42"/>
        <v>5220</v>
      </c>
      <c r="AU10" s="305">
        <f t="shared" si="43"/>
        <v>0</v>
      </c>
      <c r="AV10" s="259"/>
      <c r="AW10" s="259"/>
      <c r="AX10" s="298">
        <f t="shared" si="32"/>
        <v>0.8</v>
      </c>
    </row>
    <row r="11" spans="1:52">
      <c r="A11" s="63">
        <f>ELEC!C10</f>
        <v>44719</v>
      </c>
      <c r="B11" s="537">
        <v>224</v>
      </c>
      <c r="C11" s="537">
        <v>230</v>
      </c>
      <c r="D11" s="45">
        <f t="shared" si="35"/>
        <v>2</v>
      </c>
      <c r="E11" s="45">
        <f t="shared" si="12"/>
        <v>16.760000000000002</v>
      </c>
      <c r="F11" s="537">
        <f t="shared" si="13"/>
        <v>2249</v>
      </c>
      <c r="G11" s="52">
        <f t="shared" si="0"/>
        <v>0</v>
      </c>
      <c r="H11" s="537">
        <v>44021</v>
      </c>
      <c r="I11" s="380">
        <f t="shared" si="1"/>
        <v>32</v>
      </c>
      <c r="J11" s="66">
        <f t="shared" si="14"/>
        <v>0</v>
      </c>
      <c r="K11" s="537">
        <f t="shared" si="15"/>
        <v>2431</v>
      </c>
      <c r="L11" s="52">
        <f t="shared" si="16"/>
        <v>0</v>
      </c>
      <c r="M11" s="537">
        <f t="shared" si="17"/>
        <v>180354</v>
      </c>
      <c r="N11" s="380">
        <f t="shared" si="2"/>
        <v>0</v>
      </c>
      <c r="O11" s="64">
        <f t="shared" si="3"/>
        <v>1869</v>
      </c>
      <c r="P11" s="537">
        <f t="shared" si="3"/>
        <v>2209</v>
      </c>
      <c r="Q11" s="537">
        <f t="shared" si="3"/>
        <v>184800</v>
      </c>
      <c r="R11" s="379">
        <f t="shared" ref="R11:R32" si="44">Q11-Q10</f>
        <v>0</v>
      </c>
      <c r="S11" s="52">
        <f t="shared" si="5"/>
        <v>0</v>
      </c>
      <c r="T11" s="67">
        <f t="shared" si="37"/>
        <v>0</v>
      </c>
      <c r="U11" s="386">
        <f t="shared" si="18"/>
        <v>0</v>
      </c>
      <c r="V11" s="62">
        <f t="shared" si="19"/>
        <v>32</v>
      </c>
      <c r="W11" s="384" t="e">
        <f t="shared" si="20"/>
        <v>#DIV/0!</v>
      </c>
      <c r="X11" s="537">
        <f t="shared" si="21"/>
        <v>2483</v>
      </c>
      <c r="Y11" s="52">
        <f t="shared" si="22"/>
        <v>0</v>
      </c>
      <c r="Z11" s="537">
        <f t="shared" si="23"/>
        <v>140101</v>
      </c>
      <c r="AA11" s="65">
        <f t="shared" si="6"/>
        <v>0</v>
      </c>
      <c r="AB11" s="273">
        <f t="shared" si="38"/>
        <v>0</v>
      </c>
      <c r="AC11" s="537">
        <v>1946</v>
      </c>
      <c r="AD11" s="45">
        <f t="shared" si="7"/>
        <v>1</v>
      </c>
      <c r="AE11" s="537">
        <v>366476</v>
      </c>
      <c r="AF11" s="293">
        <f t="shared" si="26"/>
        <v>91</v>
      </c>
      <c r="AG11" s="209">
        <f t="shared" si="39"/>
        <v>91</v>
      </c>
      <c r="AH11" s="62">
        <f>AF11+AA11</f>
        <v>91</v>
      </c>
      <c r="AI11" s="303">
        <f>SUM(AH11+V11)</f>
        <v>123</v>
      </c>
      <c r="AJ11" s="303">
        <f>-tanks!AW12</f>
        <v>123</v>
      </c>
      <c r="AK11" s="303">
        <f t="shared" si="28"/>
        <v>0</v>
      </c>
      <c r="AL11" s="303">
        <f t="shared" si="8"/>
        <v>0</v>
      </c>
      <c r="AM11" s="303">
        <f t="shared" si="29"/>
        <v>1</v>
      </c>
      <c r="AN11" s="537">
        <v>66</v>
      </c>
      <c r="AO11" s="305">
        <f t="shared" si="30"/>
        <v>1980</v>
      </c>
      <c r="AP11" s="537">
        <f t="shared" si="10"/>
        <v>32</v>
      </c>
      <c r="AQ11" s="305">
        <f t="shared" si="31"/>
        <v>960</v>
      </c>
      <c r="AR11" s="537">
        <v>74</v>
      </c>
      <c r="AS11" s="305">
        <f t="shared" si="41"/>
        <v>2220</v>
      </c>
      <c r="AT11" s="305">
        <f t="shared" si="42"/>
        <v>5160</v>
      </c>
      <c r="AU11" s="305">
        <f t="shared" si="43"/>
        <v>60</v>
      </c>
      <c r="AV11" s="259"/>
      <c r="AW11" s="259"/>
      <c r="AX11" s="298">
        <f t="shared" si="32"/>
        <v>0.8</v>
      </c>
    </row>
    <row r="12" spans="1:52">
      <c r="A12" s="63">
        <f>ELEC!C11</f>
        <v>44720</v>
      </c>
      <c r="B12" s="537">
        <v>235</v>
      </c>
      <c r="C12" s="537">
        <v>245</v>
      </c>
      <c r="D12" s="45">
        <f t="shared" si="35"/>
        <v>-15</v>
      </c>
      <c r="E12" s="45">
        <f t="shared" si="12"/>
        <v>-125.70000000000002</v>
      </c>
      <c r="F12" s="537">
        <v>2251</v>
      </c>
      <c r="G12" s="52">
        <f t="shared" si="0"/>
        <v>2</v>
      </c>
      <c r="H12" s="537">
        <v>44167</v>
      </c>
      <c r="I12" s="380">
        <f t="shared" si="1"/>
        <v>146</v>
      </c>
      <c r="J12" s="66">
        <f t="shared" si="14"/>
        <v>73</v>
      </c>
      <c r="K12" s="537">
        <f t="shared" si="15"/>
        <v>2431</v>
      </c>
      <c r="L12" s="52">
        <f t="shared" si="16"/>
        <v>0</v>
      </c>
      <c r="M12" s="537">
        <f t="shared" si="17"/>
        <v>180354</v>
      </c>
      <c r="N12" s="380">
        <f t="shared" si="2"/>
        <v>0</v>
      </c>
      <c r="O12" s="64">
        <f t="shared" si="3"/>
        <v>1869</v>
      </c>
      <c r="P12" s="537">
        <f t="shared" si="3"/>
        <v>2209</v>
      </c>
      <c r="Q12" s="537">
        <f t="shared" si="3"/>
        <v>184800</v>
      </c>
      <c r="R12" s="379">
        <f t="shared" si="44"/>
        <v>0</v>
      </c>
      <c r="S12" s="52">
        <f t="shared" si="5"/>
        <v>0</v>
      </c>
      <c r="T12" s="67">
        <f t="shared" si="37"/>
        <v>0</v>
      </c>
      <c r="U12" s="386">
        <f t="shared" si="18"/>
        <v>2</v>
      </c>
      <c r="V12" s="62">
        <f t="shared" si="19"/>
        <v>146</v>
      </c>
      <c r="W12" s="384">
        <f t="shared" si="20"/>
        <v>73</v>
      </c>
      <c r="X12" s="537">
        <f t="shared" si="21"/>
        <v>2483</v>
      </c>
      <c r="Y12" s="52">
        <f t="shared" si="22"/>
        <v>0</v>
      </c>
      <c r="Z12" s="537">
        <f t="shared" si="23"/>
        <v>140101</v>
      </c>
      <c r="AA12" s="65">
        <f t="shared" si="6"/>
        <v>0</v>
      </c>
      <c r="AB12" s="273">
        <f t="shared" si="38"/>
        <v>0</v>
      </c>
      <c r="AC12" s="537">
        <f t="shared" si="24"/>
        <v>1946</v>
      </c>
      <c r="AD12" s="45">
        <f t="shared" si="7"/>
        <v>0</v>
      </c>
      <c r="AE12" s="537">
        <f t="shared" si="25"/>
        <v>366476</v>
      </c>
      <c r="AF12" s="293">
        <f t="shared" si="26"/>
        <v>0</v>
      </c>
      <c r="AG12" s="209">
        <f t="shared" si="39"/>
        <v>0</v>
      </c>
      <c r="AH12" s="62">
        <f t="shared" si="40"/>
        <v>0</v>
      </c>
      <c r="AI12" s="303">
        <f t="shared" si="27"/>
        <v>146</v>
      </c>
      <c r="AJ12" s="303">
        <f>-tanks!AW13</f>
        <v>146</v>
      </c>
      <c r="AK12" s="303">
        <f t="shared" si="28"/>
        <v>0</v>
      </c>
      <c r="AL12" s="303">
        <f t="shared" si="8"/>
        <v>2</v>
      </c>
      <c r="AM12" s="303">
        <f t="shared" si="29"/>
        <v>0</v>
      </c>
      <c r="AN12" s="537">
        <f t="shared" si="9"/>
        <v>66</v>
      </c>
      <c r="AO12" s="305">
        <f t="shared" si="30"/>
        <v>1980</v>
      </c>
      <c r="AP12" s="537">
        <f t="shared" si="10"/>
        <v>32</v>
      </c>
      <c r="AQ12" s="305">
        <f t="shared" si="31"/>
        <v>960</v>
      </c>
      <c r="AR12" s="537">
        <f t="shared" si="11"/>
        <v>74</v>
      </c>
      <c r="AS12" s="305">
        <f t="shared" si="41"/>
        <v>2220</v>
      </c>
      <c r="AT12" s="305">
        <f t="shared" si="42"/>
        <v>5160</v>
      </c>
      <c r="AU12" s="305">
        <f t="shared" si="43"/>
        <v>0</v>
      </c>
      <c r="AV12" s="259"/>
      <c r="AW12" s="259"/>
      <c r="AX12" s="298">
        <f t="shared" si="32"/>
        <v>0.8</v>
      </c>
    </row>
    <row r="13" spans="1:52">
      <c r="A13" s="63">
        <f>ELEC!C12</f>
        <v>44721</v>
      </c>
      <c r="B13" s="537">
        <f t="shared" si="33"/>
        <v>235</v>
      </c>
      <c r="C13" s="537">
        <v>241</v>
      </c>
      <c r="D13" s="45">
        <f t="shared" si="35"/>
        <v>4</v>
      </c>
      <c r="E13" s="45">
        <f t="shared" si="12"/>
        <v>33.520000000000003</v>
      </c>
      <c r="F13" s="537">
        <v>2252</v>
      </c>
      <c r="G13" s="52">
        <f t="shared" si="0"/>
        <v>1</v>
      </c>
      <c r="H13" s="537">
        <v>44211</v>
      </c>
      <c r="I13" s="380">
        <f t="shared" si="1"/>
        <v>44</v>
      </c>
      <c r="J13" s="66">
        <f t="shared" si="14"/>
        <v>44</v>
      </c>
      <c r="K13" s="537">
        <f t="shared" si="15"/>
        <v>2431</v>
      </c>
      <c r="L13" s="52">
        <f t="shared" si="16"/>
        <v>0</v>
      </c>
      <c r="M13" s="537">
        <f t="shared" si="17"/>
        <v>180354</v>
      </c>
      <c r="N13" s="380">
        <f t="shared" si="2"/>
        <v>0</v>
      </c>
      <c r="O13" s="64">
        <f t="shared" si="3"/>
        <v>1869</v>
      </c>
      <c r="P13" s="537">
        <f t="shared" si="3"/>
        <v>2209</v>
      </c>
      <c r="Q13" s="537">
        <f t="shared" si="3"/>
        <v>184800</v>
      </c>
      <c r="R13" s="379">
        <f t="shared" si="44"/>
        <v>0</v>
      </c>
      <c r="S13" s="52">
        <f t="shared" si="5"/>
        <v>0</v>
      </c>
      <c r="T13" s="67">
        <f t="shared" si="37"/>
        <v>0</v>
      </c>
      <c r="U13" s="386">
        <f t="shared" si="18"/>
        <v>1</v>
      </c>
      <c r="V13" s="62">
        <f t="shared" si="19"/>
        <v>44</v>
      </c>
      <c r="W13" s="384">
        <f t="shared" si="20"/>
        <v>44</v>
      </c>
      <c r="X13" s="537">
        <f t="shared" si="21"/>
        <v>2483</v>
      </c>
      <c r="Y13" s="52">
        <f t="shared" si="22"/>
        <v>0</v>
      </c>
      <c r="Z13" s="537">
        <f t="shared" si="23"/>
        <v>140101</v>
      </c>
      <c r="AA13" s="273">
        <f t="shared" si="6"/>
        <v>0</v>
      </c>
      <c r="AB13" s="273">
        <f t="shared" si="38"/>
        <v>0</v>
      </c>
      <c r="AC13" s="537">
        <f t="shared" si="24"/>
        <v>1946</v>
      </c>
      <c r="AD13" s="45">
        <f t="shared" si="7"/>
        <v>0</v>
      </c>
      <c r="AE13" s="537">
        <f t="shared" si="25"/>
        <v>366476</v>
      </c>
      <c r="AF13" s="293">
        <f t="shared" si="26"/>
        <v>0</v>
      </c>
      <c r="AG13" s="209">
        <f t="shared" si="39"/>
        <v>0</v>
      </c>
      <c r="AH13" s="62">
        <f t="shared" si="40"/>
        <v>0</v>
      </c>
      <c r="AI13" s="303">
        <f t="shared" si="27"/>
        <v>44</v>
      </c>
      <c r="AJ13" s="303">
        <f>-tanks!AW14</f>
        <v>44</v>
      </c>
      <c r="AK13" s="303">
        <f t="shared" si="28"/>
        <v>0</v>
      </c>
      <c r="AL13" s="303">
        <f t="shared" si="8"/>
        <v>1</v>
      </c>
      <c r="AM13" s="303">
        <f t="shared" si="29"/>
        <v>0</v>
      </c>
      <c r="AN13" s="537">
        <f t="shared" si="9"/>
        <v>66</v>
      </c>
      <c r="AO13" s="305">
        <f t="shared" si="30"/>
        <v>1980</v>
      </c>
      <c r="AP13" s="537">
        <f t="shared" si="10"/>
        <v>32</v>
      </c>
      <c r="AQ13" s="305">
        <f t="shared" si="31"/>
        <v>960</v>
      </c>
      <c r="AR13" s="537">
        <v>73</v>
      </c>
      <c r="AS13" s="305">
        <f t="shared" si="41"/>
        <v>2190</v>
      </c>
      <c r="AT13" s="305">
        <f t="shared" si="42"/>
        <v>5130</v>
      </c>
      <c r="AU13" s="305">
        <f t="shared" si="43"/>
        <v>30</v>
      </c>
      <c r="AV13" s="259"/>
      <c r="AW13" s="259"/>
      <c r="AX13" s="298">
        <f t="shared" si="32"/>
        <v>0.8</v>
      </c>
    </row>
    <row r="14" spans="1:52">
      <c r="A14" s="63">
        <f>ELEC!C13</f>
        <v>44722</v>
      </c>
      <c r="B14" s="537">
        <f t="shared" si="33"/>
        <v>235</v>
      </c>
      <c r="C14" s="537">
        <f t="shared" si="34"/>
        <v>241</v>
      </c>
      <c r="D14" s="45">
        <f t="shared" si="35"/>
        <v>0</v>
      </c>
      <c r="E14" s="45">
        <f t="shared" si="12"/>
        <v>0</v>
      </c>
      <c r="F14" s="537">
        <f t="shared" si="13"/>
        <v>2252</v>
      </c>
      <c r="G14" s="52">
        <f t="shared" si="0"/>
        <v>0</v>
      </c>
      <c r="H14" s="537">
        <f t="shared" si="36"/>
        <v>44211</v>
      </c>
      <c r="I14" s="380">
        <f t="shared" si="1"/>
        <v>0</v>
      </c>
      <c r="J14" s="66">
        <f t="shared" si="14"/>
        <v>0</v>
      </c>
      <c r="K14" s="537">
        <f t="shared" si="15"/>
        <v>2431</v>
      </c>
      <c r="L14" s="52">
        <f t="shared" si="16"/>
        <v>0</v>
      </c>
      <c r="M14" s="537">
        <f t="shared" si="17"/>
        <v>180354</v>
      </c>
      <c r="N14" s="380">
        <f t="shared" si="2"/>
        <v>0</v>
      </c>
      <c r="O14" s="64">
        <f t="shared" si="3"/>
        <v>1869</v>
      </c>
      <c r="P14" s="537">
        <f t="shared" si="3"/>
        <v>2209</v>
      </c>
      <c r="Q14" s="537">
        <f t="shared" si="3"/>
        <v>184800</v>
      </c>
      <c r="R14" s="379">
        <f t="shared" si="44"/>
        <v>0</v>
      </c>
      <c r="S14" s="52">
        <f t="shared" si="5"/>
        <v>0</v>
      </c>
      <c r="T14" s="67">
        <f t="shared" si="37"/>
        <v>0</v>
      </c>
      <c r="U14" s="386">
        <f t="shared" si="18"/>
        <v>0</v>
      </c>
      <c r="V14" s="62">
        <f t="shared" si="19"/>
        <v>0</v>
      </c>
      <c r="W14" s="384" t="e">
        <f t="shared" si="20"/>
        <v>#DIV/0!</v>
      </c>
      <c r="X14" s="537">
        <f t="shared" si="21"/>
        <v>2483</v>
      </c>
      <c r="Y14" s="52">
        <f t="shared" si="22"/>
        <v>0</v>
      </c>
      <c r="Z14" s="537">
        <f t="shared" si="23"/>
        <v>140101</v>
      </c>
      <c r="AA14" s="65">
        <f t="shared" si="6"/>
        <v>0</v>
      </c>
      <c r="AB14" s="273">
        <f t="shared" si="38"/>
        <v>0</v>
      </c>
      <c r="AC14" s="537">
        <f t="shared" si="24"/>
        <v>1946</v>
      </c>
      <c r="AD14" s="45">
        <f t="shared" si="7"/>
        <v>0</v>
      </c>
      <c r="AE14" s="537">
        <f t="shared" si="25"/>
        <v>366476</v>
      </c>
      <c r="AF14" s="293">
        <f>AE14-AE13</f>
        <v>0</v>
      </c>
      <c r="AG14" s="209">
        <f t="shared" si="39"/>
        <v>0</v>
      </c>
      <c r="AH14" s="62">
        <f>AF14+AA14</f>
        <v>0</v>
      </c>
      <c r="AI14" s="303">
        <f>SUM(AH14+V14)</f>
        <v>0</v>
      </c>
      <c r="AJ14" s="303">
        <f>-tanks!AW15</f>
        <v>0</v>
      </c>
      <c r="AK14" s="303">
        <f t="shared" si="28"/>
        <v>0</v>
      </c>
      <c r="AL14" s="303">
        <f t="shared" si="8"/>
        <v>0</v>
      </c>
      <c r="AM14" s="303">
        <f t="shared" si="29"/>
        <v>0</v>
      </c>
      <c r="AN14" s="537">
        <f t="shared" si="9"/>
        <v>66</v>
      </c>
      <c r="AO14" s="305">
        <f t="shared" si="30"/>
        <v>1980</v>
      </c>
      <c r="AP14" s="537">
        <f t="shared" si="10"/>
        <v>32</v>
      </c>
      <c r="AQ14" s="305">
        <f t="shared" si="31"/>
        <v>960</v>
      </c>
      <c r="AR14" s="537">
        <f t="shared" si="11"/>
        <v>73</v>
      </c>
      <c r="AS14" s="305">
        <f t="shared" si="41"/>
        <v>2190</v>
      </c>
      <c r="AT14" s="305">
        <f t="shared" si="42"/>
        <v>5130</v>
      </c>
      <c r="AU14" s="305">
        <f t="shared" si="43"/>
        <v>0</v>
      </c>
      <c r="AV14" s="259"/>
      <c r="AW14" s="259"/>
      <c r="AX14" s="298">
        <f t="shared" si="32"/>
        <v>0.8</v>
      </c>
    </row>
    <row r="15" spans="1:52" ht="15" customHeight="1">
      <c r="A15" s="63">
        <f>ELEC!C14</f>
        <v>44723</v>
      </c>
      <c r="B15" s="537">
        <f t="shared" si="33"/>
        <v>235</v>
      </c>
      <c r="C15" s="537">
        <f t="shared" si="34"/>
        <v>241</v>
      </c>
      <c r="D15" s="45">
        <f t="shared" si="35"/>
        <v>0</v>
      </c>
      <c r="E15" s="45">
        <f t="shared" si="12"/>
        <v>0</v>
      </c>
      <c r="F15" s="537">
        <f t="shared" si="13"/>
        <v>2252</v>
      </c>
      <c r="G15" s="52">
        <f t="shared" si="0"/>
        <v>0</v>
      </c>
      <c r="H15" s="537">
        <f t="shared" si="36"/>
        <v>44211</v>
      </c>
      <c r="I15" s="380">
        <f t="shared" si="1"/>
        <v>0</v>
      </c>
      <c r="J15" s="66">
        <f t="shared" si="14"/>
        <v>0</v>
      </c>
      <c r="K15" s="537">
        <f t="shared" si="15"/>
        <v>2431</v>
      </c>
      <c r="L15" s="52">
        <f t="shared" si="16"/>
        <v>0</v>
      </c>
      <c r="M15" s="537">
        <f t="shared" si="17"/>
        <v>180354</v>
      </c>
      <c r="N15" s="380">
        <f t="shared" si="2"/>
        <v>0</v>
      </c>
      <c r="O15" s="64">
        <f t="shared" si="3"/>
        <v>1869</v>
      </c>
      <c r="P15" s="537">
        <f t="shared" si="3"/>
        <v>2209</v>
      </c>
      <c r="Q15" s="537">
        <f t="shared" si="3"/>
        <v>184800</v>
      </c>
      <c r="R15" s="379">
        <f t="shared" si="44"/>
        <v>0</v>
      </c>
      <c r="S15" s="52">
        <f t="shared" si="5"/>
        <v>0</v>
      </c>
      <c r="T15" s="67">
        <f t="shared" si="37"/>
        <v>0</v>
      </c>
      <c r="U15" s="386">
        <f t="shared" si="18"/>
        <v>0</v>
      </c>
      <c r="V15" s="62">
        <f t="shared" si="19"/>
        <v>0</v>
      </c>
      <c r="W15" s="384" t="e">
        <f t="shared" si="20"/>
        <v>#DIV/0!</v>
      </c>
      <c r="X15" s="537">
        <f t="shared" si="21"/>
        <v>2483</v>
      </c>
      <c r="Y15" s="52">
        <f t="shared" si="22"/>
        <v>0</v>
      </c>
      <c r="Z15" s="537">
        <f t="shared" si="23"/>
        <v>140101</v>
      </c>
      <c r="AA15" s="65">
        <f t="shared" si="6"/>
        <v>0</v>
      </c>
      <c r="AB15" s="273">
        <f t="shared" si="38"/>
        <v>0</v>
      </c>
      <c r="AC15" s="537">
        <f t="shared" si="24"/>
        <v>1946</v>
      </c>
      <c r="AD15" s="45">
        <f t="shared" si="7"/>
        <v>0</v>
      </c>
      <c r="AE15" s="537">
        <f t="shared" si="25"/>
        <v>366476</v>
      </c>
      <c r="AF15" s="293">
        <f t="shared" si="26"/>
        <v>0</v>
      </c>
      <c r="AG15" s="209">
        <f t="shared" si="39"/>
        <v>0</v>
      </c>
      <c r="AH15" s="62">
        <f t="shared" si="40"/>
        <v>0</v>
      </c>
      <c r="AI15" s="303">
        <f t="shared" si="27"/>
        <v>0</v>
      </c>
      <c r="AJ15" s="303">
        <f>-tanks!AW16</f>
        <v>0</v>
      </c>
      <c r="AK15" s="303">
        <f t="shared" si="28"/>
        <v>0</v>
      </c>
      <c r="AL15" s="303">
        <f t="shared" si="8"/>
        <v>0</v>
      </c>
      <c r="AM15" s="303">
        <f t="shared" si="29"/>
        <v>0</v>
      </c>
      <c r="AN15" s="537">
        <f t="shared" si="9"/>
        <v>66</v>
      </c>
      <c r="AO15" s="305">
        <f t="shared" si="30"/>
        <v>1980</v>
      </c>
      <c r="AP15" s="537">
        <f t="shared" si="10"/>
        <v>32</v>
      </c>
      <c r="AQ15" s="305">
        <f t="shared" si="31"/>
        <v>960</v>
      </c>
      <c r="AR15" s="537">
        <f t="shared" si="11"/>
        <v>73</v>
      </c>
      <c r="AS15" s="305">
        <f t="shared" si="41"/>
        <v>2190</v>
      </c>
      <c r="AT15" s="305">
        <f t="shared" si="42"/>
        <v>5130</v>
      </c>
      <c r="AU15" s="305">
        <f t="shared" si="43"/>
        <v>0</v>
      </c>
      <c r="AV15" s="259"/>
      <c r="AW15" s="259"/>
      <c r="AX15" s="298">
        <f t="shared" si="32"/>
        <v>0.8</v>
      </c>
    </row>
    <row r="16" spans="1:52">
      <c r="A16" s="63">
        <f>ELEC!C15</f>
        <v>44724</v>
      </c>
      <c r="B16" s="537">
        <v>233</v>
      </c>
      <c r="C16" s="537">
        <v>238</v>
      </c>
      <c r="D16" s="45">
        <f t="shared" si="35"/>
        <v>3</v>
      </c>
      <c r="E16" s="45">
        <f t="shared" si="12"/>
        <v>25.14</v>
      </c>
      <c r="F16" s="537">
        <v>2253</v>
      </c>
      <c r="G16" s="52">
        <f t="shared" si="0"/>
        <v>1</v>
      </c>
      <c r="H16" s="537">
        <v>44327</v>
      </c>
      <c r="I16" s="380">
        <f t="shared" si="1"/>
        <v>116</v>
      </c>
      <c r="J16" s="66">
        <f t="shared" si="14"/>
        <v>116</v>
      </c>
      <c r="K16" s="537">
        <f t="shared" si="15"/>
        <v>2431</v>
      </c>
      <c r="L16" s="52">
        <f t="shared" si="16"/>
        <v>0</v>
      </c>
      <c r="M16" s="537">
        <f t="shared" si="17"/>
        <v>180354</v>
      </c>
      <c r="N16" s="380">
        <f t="shared" si="2"/>
        <v>0</v>
      </c>
      <c r="O16" s="64">
        <f t="shared" si="3"/>
        <v>1869</v>
      </c>
      <c r="P16" s="537">
        <f t="shared" si="3"/>
        <v>2209</v>
      </c>
      <c r="Q16" s="537">
        <f t="shared" si="3"/>
        <v>184800</v>
      </c>
      <c r="R16" s="379">
        <f t="shared" si="44"/>
        <v>0</v>
      </c>
      <c r="S16" s="52">
        <f t="shared" si="5"/>
        <v>0</v>
      </c>
      <c r="T16" s="67">
        <f t="shared" si="37"/>
        <v>0</v>
      </c>
      <c r="U16" s="386">
        <f t="shared" si="18"/>
        <v>1</v>
      </c>
      <c r="V16" s="62">
        <f t="shared" si="19"/>
        <v>116</v>
      </c>
      <c r="W16" s="384">
        <f t="shared" si="20"/>
        <v>116</v>
      </c>
      <c r="X16" s="537">
        <f t="shared" si="21"/>
        <v>2483</v>
      </c>
      <c r="Y16" s="52">
        <f t="shared" si="22"/>
        <v>0</v>
      </c>
      <c r="Z16" s="537">
        <f t="shared" si="23"/>
        <v>140101</v>
      </c>
      <c r="AA16" s="65">
        <f t="shared" si="6"/>
        <v>0</v>
      </c>
      <c r="AB16" s="273">
        <f t="shared" si="38"/>
        <v>0</v>
      </c>
      <c r="AC16" s="537">
        <f t="shared" si="24"/>
        <v>1946</v>
      </c>
      <c r="AD16" s="45">
        <f t="shared" si="7"/>
        <v>0</v>
      </c>
      <c r="AE16" s="537">
        <f t="shared" si="25"/>
        <v>366476</v>
      </c>
      <c r="AF16" s="293">
        <f t="shared" si="26"/>
        <v>0</v>
      </c>
      <c r="AG16" s="209">
        <f t="shared" si="39"/>
        <v>0</v>
      </c>
      <c r="AH16" s="62">
        <f t="shared" si="40"/>
        <v>0</v>
      </c>
      <c r="AI16" s="303">
        <f t="shared" si="27"/>
        <v>116</v>
      </c>
      <c r="AJ16" s="303">
        <f>-tanks!AW17</f>
        <v>116</v>
      </c>
      <c r="AK16" s="303">
        <f t="shared" si="28"/>
        <v>0</v>
      </c>
      <c r="AL16" s="303">
        <f t="shared" si="8"/>
        <v>1</v>
      </c>
      <c r="AM16" s="303">
        <f t="shared" si="29"/>
        <v>0</v>
      </c>
      <c r="AN16" s="537">
        <f t="shared" si="9"/>
        <v>66</v>
      </c>
      <c r="AO16" s="305">
        <f t="shared" si="30"/>
        <v>1980</v>
      </c>
      <c r="AP16" s="537">
        <f t="shared" si="10"/>
        <v>32</v>
      </c>
      <c r="AQ16" s="305">
        <f t="shared" si="31"/>
        <v>960</v>
      </c>
      <c r="AR16" s="537">
        <f t="shared" si="11"/>
        <v>73</v>
      </c>
      <c r="AS16" s="305">
        <f t="shared" si="41"/>
        <v>2190</v>
      </c>
      <c r="AT16" s="305">
        <f t="shared" si="42"/>
        <v>5130</v>
      </c>
      <c r="AU16" s="305">
        <f t="shared" si="43"/>
        <v>0</v>
      </c>
      <c r="AV16" s="259"/>
      <c r="AW16" s="259"/>
      <c r="AX16" s="298">
        <f t="shared" si="32"/>
        <v>0.8</v>
      </c>
    </row>
    <row r="17" spans="1:50">
      <c r="A17" s="63">
        <f>ELEC!C16</f>
        <v>44725</v>
      </c>
      <c r="B17" s="537">
        <v>228</v>
      </c>
      <c r="C17" s="537">
        <v>234</v>
      </c>
      <c r="D17" s="45">
        <f t="shared" si="35"/>
        <v>4</v>
      </c>
      <c r="E17" s="45">
        <f t="shared" si="12"/>
        <v>33.520000000000003</v>
      </c>
      <c r="F17" s="537">
        <f t="shared" si="13"/>
        <v>2253</v>
      </c>
      <c r="G17" s="52">
        <f t="shared" si="0"/>
        <v>0</v>
      </c>
      <c r="H17" s="537">
        <v>44335</v>
      </c>
      <c r="I17" s="380">
        <f t="shared" si="1"/>
        <v>8</v>
      </c>
      <c r="J17" s="66">
        <f t="shared" si="14"/>
        <v>0</v>
      </c>
      <c r="K17" s="537">
        <v>2432</v>
      </c>
      <c r="L17" s="52">
        <f t="shared" si="16"/>
        <v>1</v>
      </c>
      <c r="M17" s="537">
        <v>180509</v>
      </c>
      <c r="N17" s="380">
        <f t="shared" si="2"/>
        <v>155</v>
      </c>
      <c r="O17" s="64">
        <f t="shared" si="3"/>
        <v>1869</v>
      </c>
      <c r="P17" s="537">
        <f t="shared" si="3"/>
        <v>2209</v>
      </c>
      <c r="Q17" s="537">
        <f t="shared" si="3"/>
        <v>184800</v>
      </c>
      <c r="R17" s="379">
        <f t="shared" si="44"/>
        <v>0</v>
      </c>
      <c r="S17" s="52">
        <f t="shared" si="5"/>
        <v>0</v>
      </c>
      <c r="T17" s="67">
        <f t="shared" si="37"/>
        <v>0</v>
      </c>
      <c r="U17" s="386">
        <f t="shared" si="18"/>
        <v>1</v>
      </c>
      <c r="V17" s="62">
        <f t="shared" si="19"/>
        <v>163</v>
      </c>
      <c r="W17" s="384"/>
      <c r="X17" s="537">
        <v>2483</v>
      </c>
      <c r="Y17" s="52">
        <f t="shared" si="22"/>
        <v>0</v>
      </c>
      <c r="Z17" s="537">
        <v>140162</v>
      </c>
      <c r="AA17" s="65">
        <f t="shared" si="6"/>
        <v>61</v>
      </c>
      <c r="AB17" s="273">
        <f t="shared" si="38"/>
        <v>0</v>
      </c>
      <c r="AC17" s="537">
        <f t="shared" si="24"/>
        <v>1946</v>
      </c>
      <c r="AD17" s="45">
        <f t="shared" si="7"/>
        <v>0</v>
      </c>
      <c r="AE17" s="537">
        <f t="shared" si="25"/>
        <v>366476</v>
      </c>
      <c r="AF17" s="293">
        <f t="shared" si="26"/>
        <v>0</v>
      </c>
      <c r="AG17" s="209">
        <f t="shared" si="39"/>
        <v>0</v>
      </c>
      <c r="AH17" s="62">
        <f t="shared" si="40"/>
        <v>61</v>
      </c>
      <c r="AI17" s="303">
        <f t="shared" si="27"/>
        <v>224</v>
      </c>
      <c r="AJ17" s="303">
        <f>-tanks!AW18</f>
        <v>224</v>
      </c>
      <c r="AK17" s="303">
        <f t="shared" si="28"/>
        <v>0</v>
      </c>
      <c r="AL17" s="303">
        <f t="shared" si="8"/>
        <v>1</v>
      </c>
      <c r="AM17" s="303">
        <f t="shared" si="29"/>
        <v>0</v>
      </c>
      <c r="AN17" s="537">
        <f t="shared" si="9"/>
        <v>66</v>
      </c>
      <c r="AO17" s="305">
        <f t="shared" si="30"/>
        <v>1980</v>
      </c>
      <c r="AP17" s="537">
        <f t="shared" si="10"/>
        <v>32</v>
      </c>
      <c r="AQ17" s="305">
        <f t="shared" si="31"/>
        <v>960</v>
      </c>
      <c r="AR17" s="537">
        <f t="shared" si="11"/>
        <v>73</v>
      </c>
      <c r="AS17" s="305">
        <f t="shared" si="41"/>
        <v>2190</v>
      </c>
      <c r="AT17" s="305">
        <f t="shared" si="42"/>
        <v>5130</v>
      </c>
      <c r="AU17" s="305">
        <f t="shared" si="43"/>
        <v>0</v>
      </c>
      <c r="AV17" s="259"/>
      <c r="AW17" s="259"/>
      <c r="AX17" s="298">
        <f t="shared" si="32"/>
        <v>0.8</v>
      </c>
    </row>
    <row r="18" spans="1:50">
      <c r="A18" s="63">
        <f>ELEC!C17</f>
        <v>44726</v>
      </c>
      <c r="B18" s="537">
        <v>244</v>
      </c>
      <c r="C18" s="537">
        <v>250</v>
      </c>
      <c r="D18" s="45">
        <f t="shared" si="35"/>
        <v>-16</v>
      </c>
      <c r="E18" s="45">
        <f t="shared" si="12"/>
        <v>-134.08000000000001</v>
      </c>
      <c r="F18" s="537">
        <f t="shared" si="13"/>
        <v>2253</v>
      </c>
      <c r="G18" s="52">
        <f t="shared" si="0"/>
        <v>0</v>
      </c>
      <c r="H18" s="537">
        <f t="shared" si="36"/>
        <v>44335</v>
      </c>
      <c r="I18" s="380">
        <f t="shared" si="1"/>
        <v>0</v>
      </c>
      <c r="J18" s="66">
        <f t="shared" si="14"/>
        <v>0</v>
      </c>
      <c r="K18" s="537">
        <v>2433</v>
      </c>
      <c r="L18" s="52">
        <f t="shared" si="16"/>
        <v>1</v>
      </c>
      <c r="M18" s="537">
        <v>180530</v>
      </c>
      <c r="N18" s="380">
        <f t="shared" si="2"/>
        <v>21</v>
      </c>
      <c r="O18" s="64">
        <v>1869</v>
      </c>
      <c r="P18" s="537">
        <f t="shared" ref="P18:P35" si="45">P17</f>
        <v>2209</v>
      </c>
      <c r="Q18" s="537">
        <f t="shared" ref="Q18:Q35" si="46">Q17</f>
        <v>184800</v>
      </c>
      <c r="R18" s="379">
        <f t="shared" si="44"/>
        <v>0</v>
      </c>
      <c r="S18" s="52">
        <f t="shared" si="5"/>
        <v>0</v>
      </c>
      <c r="T18" s="67">
        <f t="shared" si="37"/>
        <v>0</v>
      </c>
      <c r="U18" s="386">
        <f t="shared" si="18"/>
        <v>1</v>
      </c>
      <c r="V18" s="62">
        <f t="shared" si="19"/>
        <v>21</v>
      </c>
      <c r="W18" s="384"/>
      <c r="X18" s="537">
        <f t="shared" si="21"/>
        <v>2483</v>
      </c>
      <c r="Y18" s="52">
        <f t="shared" si="22"/>
        <v>0</v>
      </c>
      <c r="Z18" s="537">
        <f t="shared" si="23"/>
        <v>140162</v>
      </c>
      <c r="AA18" s="65">
        <f t="shared" si="6"/>
        <v>0</v>
      </c>
      <c r="AB18" s="273">
        <f t="shared" ref="AB18:AB23" si="47">SUM(Y18*$AB$2)</f>
        <v>0</v>
      </c>
      <c r="AC18" s="537">
        <f t="shared" si="24"/>
        <v>1946</v>
      </c>
      <c r="AD18" s="45">
        <f t="shared" si="7"/>
        <v>0</v>
      </c>
      <c r="AE18" s="537">
        <v>366527</v>
      </c>
      <c r="AF18" s="293">
        <f t="shared" si="26"/>
        <v>51</v>
      </c>
      <c r="AG18" s="209">
        <f t="shared" si="39"/>
        <v>0</v>
      </c>
      <c r="AH18" s="62">
        <f t="shared" si="40"/>
        <v>51</v>
      </c>
      <c r="AI18" s="303">
        <f t="shared" si="27"/>
        <v>72</v>
      </c>
      <c r="AJ18" s="303">
        <f>-tanks!AW19</f>
        <v>72</v>
      </c>
      <c r="AK18" s="303">
        <f t="shared" si="28"/>
        <v>0</v>
      </c>
      <c r="AL18" s="303">
        <f t="shared" si="8"/>
        <v>1</v>
      </c>
      <c r="AM18" s="303">
        <f t="shared" si="29"/>
        <v>0</v>
      </c>
      <c r="AN18" s="537">
        <f t="shared" si="9"/>
        <v>66</v>
      </c>
      <c r="AO18" s="305">
        <f t="shared" si="30"/>
        <v>1980</v>
      </c>
      <c r="AP18" s="537">
        <v>31</v>
      </c>
      <c r="AQ18" s="305">
        <f t="shared" si="31"/>
        <v>930</v>
      </c>
      <c r="AR18" s="537">
        <v>73</v>
      </c>
      <c r="AS18" s="305">
        <f t="shared" si="41"/>
        <v>2190</v>
      </c>
      <c r="AT18" s="305">
        <f t="shared" si="42"/>
        <v>5100</v>
      </c>
      <c r="AU18" s="305">
        <f t="shared" si="43"/>
        <v>30</v>
      </c>
      <c r="AV18" s="259"/>
      <c r="AW18" s="259"/>
      <c r="AX18" s="298">
        <f t="shared" si="32"/>
        <v>0.8</v>
      </c>
    </row>
    <row r="19" spans="1:50">
      <c r="A19" s="63">
        <f>ELEC!C18</f>
        <v>44727</v>
      </c>
      <c r="B19" s="537">
        <v>239</v>
      </c>
      <c r="C19" s="537">
        <v>245</v>
      </c>
      <c r="D19" s="45">
        <f t="shared" si="35"/>
        <v>5</v>
      </c>
      <c r="E19" s="45">
        <f t="shared" si="12"/>
        <v>41.900000000000006</v>
      </c>
      <c r="F19" s="537">
        <f t="shared" si="13"/>
        <v>2253</v>
      </c>
      <c r="G19" s="52">
        <f t="shared" si="0"/>
        <v>0</v>
      </c>
      <c r="H19" s="537">
        <f t="shared" si="36"/>
        <v>44335</v>
      </c>
      <c r="I19" s="380">
        <f t="shared" si="1"/>
        <v>0</v>
      </c>
      <c r="J19" s="66">
        <f t="shared" si="14"/>
        <v>0</v>
      </c>
      <c r="K19" s="537">
        <f t="shared" si="15"/>
        <v>2433</v>
      </c>
      <c r="L19" s="52">
        <f t="shared" si="16"/>
        <v>0</v>
      </c>
      <c r="M19" s="537">
        <v>180691</v>
      </c>
      <c r="N19" s="380">
        <f t="shared" si="2"/>
        <v>161</v>
      </c>
      <c r="O19" s="64">
        <f t="shared" ref="O19:O35" si="48">O18</f>
        <v>1869</v>
      </c>
      <c r="P19" s="537">
        <f t="shared" si="45"/>
        <v>2209</v>
      </c>
      <c r="Q19" s="537">
        <f t="shared" si="46"/>
        <v>184800</v>
      </c>
      <c r="R19" s="379">
        <f t="shared" si="44"/>
        <v>0</v>
      </c>
      <c r="S19" s="52">
        <f t="shared" si="5"/>
        <v>0</v>
      </c>
      <c r="T19" s="67">
        <f t="shared" si="37"/>
        <v>0</v>
      </c>
      <c r="U19" s="386">
        <f t="shared" si="18"/>
        <v>0</v>
      </c>
      <c r="V19" s="62">
        <f t="shared" si="19"/>
        <v>161</v>
      </c>
      <c r="W19" s="384"/>
      <c r="X19" s="537">
        <v>2484</v>
      </c>
      <c r="Y19" s="52">
        <f t="shared" si="22"/>
        <v>1</v>
      </c>
      <c r="Z19" s="537">
        <v>140234</v>
      </c>
      <c r="AA19" s="65">
        <f t="shared" si="6"/>
        <v>72</v>
      </c>
      <c r="AB19" s="273">
        <f t="shared" si="47"/>
        <v>0</v>
      </c>
      <c r="AC19" s="537">
        <f t="shared" si="24"/>
        <v>1946</v>
      </c>
      <c r="AD19" s="45">
        <f t="shared" si="7"/>
        <v>0</v>
      </c>
      <c r="AE19" s="537">
        <f t="shared" si="25"/>
        <v>366527</v>
      </c>
      <c r="AF19" s="293">
        <f t="shared" si="26"/>
        <v>0</v>
      </c>
      <c r="AG19" s="209">
        <f t="shared" si="39"/>
        <v>0</v>
      </c>
      <c r="AH19" s="62">
        <f t="shared" si="40"/>
        <v>72</v>
      </c>
      <c r="AI19" s="303">
        <f t="shared" si="27"/>
        <v>233</v>
      </c>
      <c r="AJ19" s="303">
        <f>-tanks!AW20</f>
        <v>233</v>
      </c>
      <c r="AK19" s="303">
        <f t="shared" si="28"/>
        <v>0</v>
      </c>
      <c r="AL19" s="303">
        <f t="shared" si="8"/>
        <v>0</v>
      </c>
      <c r="AM19" s="303">
        <f t="shared" si="29"/>
        <v>1</v>
      </c>
      <c r="AN19" s="537">
        <f t="shared" si="9"/>
        <v>66</v>
      </c>
      <c r="AO19" s="305">
        <f t="shared" si="30"/>
        <v>1980</v>
      </c>
      <c r="AP19" s="537">
        <f t="shared" si="10"/>
        <v>31</v>
      </c>
      <c r="AQ19" s="305">
        <f t="shared" si="31"/>
        <v>930</v>
      </c>
      <c r="AR19" s="537">
        <f t="shared" si="11"/>
        <v>73</v>
      </c>
      <c r="AS19" s="305">
        <f t="shared" si="41"/>
        <v>2190</v>
      </c>
      <c r="AT19" s="305">
        <f t="shared" si="42"/>
        <v>5100</v>
      </c>
      <c r="AU19" s="305">
        <f t="shared" si="43"/>
        <v>0</v>
      </c>
      <c r="AV19" s="259"/>
      <c r="AW19" s="259"/>
      <c r="AX19" s="298">
        <f t="shared" si="32"/>
        <v>0.8</v>
      </c>
    </row>
    <row r="20" spans="1:50">
      <c r="A20" s="63">
        <f>ELEC!C19</f>
        <v>44728</v>
      </c>
      <c r="B20" s="537">
        <f t="shared" si="33"/>
        <v>239</v>
      </c>
      <c r="C20" s="537">
        <f t="shared" si="34"/>
        <v>245</v>
      </c>
      <c r="D20" s="45">
        <f>C19-C20</f>
        <v>0</v>
      </c>
      <c r="E20" s="45">
        <f t="shared" si="12"/>
        <v>0</v>
      </c>
      <c r="F20" s="537">
        <f t="shared" si="13"/>
        <v>2253</v>
      </c>
      <c r="G20" s="52">
        <f t="shared" si="0"/>
        <v>0</v>
      </c>
      <c r="H20" s="537">
        <f t="shared" si="36"/>
        <v>44335</v>
      </c>
      <c r="I20" s="380">
        <f t="shared" si="1"/>
        <v>0</v>
      </c>
      <c r="J20" s="66">
        <f t="shared" si="14"/>
        <v>0</v>
      </c>
      <c r="K20" s="537">
        <f t="shared" si="15"/>
        <v>2433</v>
      </c>
      <c r="L20" s="52">
        <f t="shared" si="16"/>
        <v>0</v>
      </c>
      <c r="M20" s="537">
        <f t="shared" si="17"/>
        <v>180691</v>
      </c>
      <c r="N20" s="380">
        <f t="shared" si="2"/>
        <v>0</v>
      </c>
      <c r="O20" s="64">
        <f t="shared" si="48"/>
        <v>1869</v>
      </c>
      <c r="P20" s="537">
        <f t="shared" si="45"/>
        <v>2209</v>
      </c>
      <c r="Q20" s="537">
        <f t="shared" si="46"/>
        <v>184800</v>
      </c>
      <c r="R20" s="379">
        <f t="shared" si="44"/>
        <v>0</v>
      </c>
      <c r="S20" s="52">
        <f t="shared" si="5"/>
        <v>0</v>
      </c>
      <c r="T20" s="67">
        <f t="shared" si="37"/>
        <v>0</v>
      </c>
      <c r="U20" s="386">
        <f t="shared" si="18"/>
        <v>0</v>
      </c>
      <c r="V20" s="62">
        <f t="shared" si="19"/>
        <v>0</v>
      </c>
      <c r="W20" s="384"/>
      <c r="X20" s="537">
        <f t="shared" si="21"/>
        <v>2484</v>
      </c>
      <c r="Y20" s="52">
        <f t="shared" si="22"/>
        <v>0</v>
      </c>
      <c r="Z20" s="537">
        <f t="shared" si="23"/>
        <v>140234</v>
      </c>
      <c r="AA20" s="65">
        <f t="shared" si="6"/>
        <v>0</v>
      </c>
      <c r="AB20" s="273">
        <f t="shared" si="47"/>
        <v>0</v>
      </c>
      <c r="AC20" s="537">
        <f t="shared" si="24"/>
        <v>1946</v>
      </c>
      <c r="AD20" s="45">
        <f t="shared" si="7"/>
        <v>0</v>
      </c>
      <c r="AE20" s="537">
        <f t="shared" si="25"/>
        <v>366527</v>
      </c>
      <c r="AF20" s="293">
        <f t="shared" si="26"/>
        <v>0</v>
      </c>
      <c r="AG20" s="209">
        <f t="shared" si="39"/>
        <v>0</v>
      </c>
      <c r="AH20" s="62">
        <f t="shared" si="40"/>
        <v>0</v>
      </c>
      <c r="AI20" s="303">
        <f t="shared" si="27"/>
        <v>0</v>
      </c>
      <c r="AJ20" s="303">
        <f>-tanks!AW21</f>
        <v>0</v>
      </c>
      <c r="AK20" s="303">
        <f t="shared" si="28"/>
        <v>0</v>
      </c>
      <c r="AL20" s="303">
        <f t="shared" si="8"/>
        <v>0</v>
      </c>
      <c r="AM20" s="303">
        <f t="shared" si="29"/>
        <v>0</v>
      </c>
      <c r="AN20" s="537">
        <f t="shared" si="9"/>
        <v>66</v>
      </c>
      <c r="AO20" s="305">
        <f t="shared" si="30"/>
        <v>1980</v>
      </c>
      <c r="AP20" s="537">
        <f t="shared" si="10"/>
        <v>31</v>
      </c>
      <c r="AQ20" s="305">
        <f t="shared" si="31"/>
        <v>930</v>
      </c>
      <c r="AR20" s="537">
        <f t="shared" si="11"/>
        <v>73</v>
      </c>
      <c r="AS20" s="305">
        <f t="shared" si="41"/>
        <v>2190</v>
      </c>
      <c r="AT20" s="305">
        <f t="shared" si="42"/>
        <v>5100</v>
      </c>
      <c r="AU20" s="305">
        <f t="shared" si="43"/>
        <v>0</v>
      </c>
      <c r="AV20" s="259"/>
      <c r="AW20" s="259"/>
      <c r="AX20" s="298">
        <f t="shared" si="32"/>
        <v>0.8</v>
      </c>
    </row>
    <row r="21" spans="1:50">
      <c r="A21" s="63">
        <f>ELEC!C20</f>
        <v>44729</v>
      </c>
      <c r="B21" s="537">
        <f t="shared" si="33"/>
        <v>239</v>
      </c>
      <c r="C21" s="537">
        <f t="shared" si="34"/>
        <v>245</v>
      </c>
      <c r="D21" s="45">
        <f t="shared" ref="D21:D32" si="49">C20-C21</f>
        <v>0</v>
      </c>
      <c r="E21" s="45">
        <f t="shared" si="12"/>
        <v>0</v>
      </c>
      <c r="F21" s="537">
        <f t="shared" si="13"/>
        <v>2253</v>
      </c>
      <c r="G21" s="52">
        <f t="shared" si="0"/>
        <v>0</v>
      </c>
      <c r="H21" s="537">
        <f t="shared" si="36"/>
        <v>44335</v>
      </c>
      <c r="I21" s="380">
        <f t="shared" si="1"/>
        <v>0</v>
      </c>
      <c r="J21" s="66">
        <f t="shared" si="14"/>
        <v>0</v>
      </c>
      <c r="K21" s="537">
        <f t="shared" si="15"/>
        <v>2433</v>
      </c>
      <c r="L21" s="52">
        <f t="shared" si="16"/>
        <v>0</v>
      </c>
      <c r="M21" s="537">
        <f t="shared" si="17"/>
        <v>180691</v>
      </c>
      <c r="N21" s="380">
        <f t="shared" si="2"/>
        <v>0</v>
      </c>
      <c r="O21" s="64">
        <f t="shared" si="48"/>
        <v>1869</v>
      </c>
      <c r="P21" s="537">
        <f t="shared" si="45"/>
        <v>2209</v>
      </c>
      <c r="Q21" s="537">
        <f t="shared" si="46"/>
        <v>184800</v>
      </c>
      <c r="R21" s="379">
        <f t="shared" si="44"/>
        <v>0</v>
      </c>
      <c r="S21" s="52">
        <f t="shared" si="5"/>
        <v>0</v>
      </c>
      <c r="T21" s="67">
        <f t="shared" si="37"/>
        <v>0</v>
      </c>
      <c r="U21" s="386">
        <f t="shared" si="18"/>
        <v>0</v>
      </c>
      <c r="V21" s="62">
        <f t="shared" si="19"/>
        <v>0</v>
      </c>
      <c r="W21" s="384"/>
      <c r="X21" s="537">
        <f t="shared" si="21"/>
        <v>2484</v>
      </c>
      <c r="Y21" s="52">
        <f t="shared" si="22"/>
        <v>0</v>
      </c>
      <c r="Z21" s="537">
        <f t="shared" si="23"/>
        <v>140234</v>
      </c>
      <c r="AA21" s="65">
        <f t="shared" si="6"/>
        <v>0</v>
      </c>
      <c r="AB21" s="273">
        <f t="shared" si="47"/>
        <v>0</v>
      </c>
      <c r="AC21" s="537">
        <f t="shared" si="24"/>
        <v>1946</v>
      </c>
      <c r="AD21" s="45">
        <f t="shared" si="7"/>
        <v>0</v>
      </c>
      <c r="AE21" s="537">
        <f t="shared" si="25"/>
        <v>366527</v>
      </c>
      <c r="AF21" s="293">
        <f t="shared" si="26"/>
        <v>0</v>
      </c>
      <c r="AG21" s="209">
        <f t="shared" si="39"/>
        <v>0</v>
      </c>
      <c r="AH21" s="62">
        <f t="shared" si="40"/>
        <v>0</v>
      </c>
      <c r="AI21" s="303">
        <f t="shared" si="27"/>
        <v>0</v>
      </c>
      <c r="AJ21" s="303">
        <f>-tanks!AW22</f>
        <v>0</v>
      </c>
      <c r="AK21" s="303">
        <f t="shared" si="28"/>
        <v>0</v>
      </c>
      <c r="AL21" s="303">
        <f t="shared" si="8"/>
        <v>0</v>
      </c>
      <c r="AM21" s="303">
        <f t="shared" si="29"/>
        <v>0</v>
      </c>
      <c r="AN21" s="537">
        <f t="shared" si="9"/>
        <v>66</v>
      </c>
      <c r="AO21" s="305">
        <f t="shared" si="30"/>
        <v>1980</v>
      </c>
      <c r="AP21" s="537">
        <f t="shared" si="10"/>
        <v>31</v>
      </c>
      <c r="AQ21" s="305">
        <f t="shared" si="31"/>
        <v>930</v>
      </c>
      <c r="AR21" s="537">
        <f t="shared" si="11"/>
        <v>73</v>
      </c>
      <c r="AS21" s="305">
        <f t="shared" si="41"/>
        <v>2190</v>
      </c>
      <c r="AT21" s="305">
        <f t="shared" si="42"/>
        <v>5100</v>
      </c>
      <c r="AU21" s="305">
        <f t="shared" si="43"/>
        <v>0</v>
      </c>
      <c r="AV21" s="259"/>
      <c r="AW21" s="259"/>
      <c r="AX21" s="298">
        <f t="shared" si="32"/>
        <v>0.8</v>
      </c>
    </row>
    <row r="22" spans="1:50" ht="16.5" customHeight="1">
      <c r="A22" s="63">
        <f>ELEC!C21</f>
        <v>44730</v>
      </c>
      <c r="B22" s="537">
        <f t="shared" si="33"/>
        <v>239</v>
      </c>
      <c r="C22" s="537">
        <f t="shared" si="34"/>
        <v>245</v>
      </c>
      <c r="D22" s="45">
        <f t="shared" si="49"/>
        <v>0</v>
      </c>
      <c r="E22" s="45">
        <f t="shared" si="12"/>
        <v>0</v>
      </c>
      <c r="F22" s="537">
        <f t="shared" si="13"/>
        <v>2253</v>
      </c>
      <c r="G22" s="52">
        <f t="shared" si="0"/>
        <v>0</v>
      </c>
      <c r="H22" s="537">
        <f t="shared" si="36"/>
        <v>44335</v>
      </c>
      <c r="I22" s="380">
        <f t="shared" si="1"/>
        <v>0</v>
      </c>
      <c r="J22" s="66">
        <f t="shared" si="14"/>
        <v>0</v>
      </c>
      <c r="K22" s="537">
        <f t="shared" si="15"/>
        <v>2433</v>
      </c>
      <c r="L22" s="52">
        <f t="shared" si="16"/>
        <v>0</v>
      </c>
      <c r="M22" s="537">
        <f t="shared" si="17"/>
        <v>180691</v>
      </c>
      <c r="N22" s="380">
        <f t="shared" si="2"/>
        <v>0</v>
      </c>
      <c r="O22" s="64">
        <f t="shared" si="48"/>
        <v>1869</v>
      </c>
      <c r="P22" s="537">
        <f t="shared" si="45"/>
        <v>2209</v>
      </c>
      <c r="Q22" s="537">
        <f t="shared" si="46"/>
        <v>184800</v>
      </c>
      <c r="R22" s="379">
        <f t="shared" si="44"/>
        <v>0</v>
      </c>
      <c r="S22" s="52">
        <f t="shared" si="5"/>
        <v>0</v>
      </c>
      <c r="T22" s="67">
        <f t="shared" si="37"/>
        <v>0</v>
      </c>
      <c r="U22" s="386">
        <f t="shared" si="18"/>
        <v>0</v>
      </c>
      <c r="V22" s="62">
        <f t="shared" si="19"/>
        <v>0</v>
      </c>
      <c r="W22" s="384"/>
      <c r="X22" s="537">
        <f t="shared" si="21"/>
        <v>2484</v>
      </c>
      <c r="Y22" s="52">
        <f t="shared" si="22"/>
        <v>0</v>
      </c>
      <c r="Z22" s="537">
        <f t="shared" si="23"/>
        <v>140234</v>
      </c>
      <c r="AA22" s="65">
        <f t="shared" si="6"/>
        <v>0</v>
      </c>
      <c r="AB22" s="273">
        <f t="shared" si="47"/>
        <v>0</v>
      </c>
      <c r="AC22" s="537">
        <f t="shared" si="24"/>
        <v>1946</v>
      </c>
      <c r="AD22" s="45">
        <f t="shared" si="7"/>
        <v>0</v>
      </c>
      <c r="AE22" s="537">
        <f t="shared" si="25"/>
        <v>366527</v>
      </c>
      <c r="AF22" s="293">
        <f t="shared" si="26"/>
        <v>0</v>
      </c>
      <c r="AG22" s="209">
        <f t="shared" si="39"/>
        <v>0</v>
      </c>
      <c r="AH22" s="62">
        <f t="shared" si="40"/>
        <v>0</v>
      </c>
      <c r="AI22" s="303">
        <f t="shared" si="27"/>
        <v>0</v>
      </c>
      <c r="AJ22" s="303">
        <f>-tanks!AW23</f>
        <v>0</v>
      </c>
      <c r="AK22" s="303">
        <f t="shared" si="28"/>
        <v>0</v>
      </c>
      <c r="AL22" s="303">
        <f t="shared" si="8"/>
        <v>0</v>
      </c>
      <c r="AM22" s="303">
        <f t="shared" si="29"/>
        <v>0</v>
      </c>
      <c r="AN22" s="537">
        <f t="shared" si="9"/>
        <v>66</v>
      </c>
      <c r="AO22" s="305">
        <f t="shared" si="30"/>
        <v>1980</v>
      </c>
      <c r="AP22" s="537">
        <f t="shared" si="10"/>
        <v>31</v>
      </c>
      <c r="AQ22" s="305">
        <f t="shared" si="31"/>
        <v>930</v>
      </c>
      <c r="AR22" s="537">
        <f t="shared" si="11"/>
        <v>73</v>
      </c>
      <c r="AS22" s="305">
        <f t="shared" si="41"/>
        <v>2190</v>
      </c>
      <c r="AT22" s="305">
        <f t="shared" si="42"/>
        <v>5100</v>
      </c>
      <c r="AU22" s="305">
        <f t="shared" si="43"/>
        <v>0</v>
      </c>
      <c r="AV22" s="259"/>
      <c r="AW22" s="259"/>
      <c r="AX22" s="298">
        <f t="shared" si="32"/>
        <v>0.8</v>
      </c>
    </row>
    <row r="23" spans="1:50">
      <c r="A23" s="63">
        <f>ELEC!C22</f>
        <v>44731</v>
      </c>
      <c r="B23" s="537">
        <f t="shared" si="33"/>
        <v>239</v>
      </c>
      <c r="C23" s="537">
        <f t="shared" si="34"/>
        <v>245</v>
      </c>
      <c r="D23" s="45">
        <f t="shared" si="49"/>
        <v>0</v>
      </c>
      <c r="E23" s="45">
        <f t="shared" si="12"/>
        <v>0</v>
      </c>
      <c r="F23" s="537">
        <f t="shared" si="13"/>
        <v>2253</v>
      </c>
      <c r="G23" s="52">
        <f t="shared" si="0"/>
        <v>0</v>
      </c>
      <c r="H23" s="537">
        <f t="shared" si="36"/>
        <v>44335</v>
      </c>
      <c r="I23" s="380">
        <f t="shared" si="1"/>
        <v>0</v>
      </c>
      <c r="J23" s="66">
        <f t="shared" si="14"/>
        <v>0</v>
      </c>
      <c r="K23" s="537">
        <f t="shared" si="15"/>
        <v>2433</v>
      </c>
      <c r="L23" s="52">
        <f t="shared" si="16"/>
        <v>0</v>
      </c>
      <c r="M23" s="537">
        <f t="shared" si="17"/>
        <v>180691</v>
      </c>
      <c r="N23" s="380">
        <f t="shared" si="2"/>
        <v>0</v>
      </c>
      <c r="O23" s="64">
        <f t="shared" si="48"/>
        <v>1869</v>
      </c>
      <c r="P23" s="537">
        <f t="shared" si="45"/>
        <v>2209</v>
      </c>
      <c r="Q23" s="537">
        <f t="shared" si="46"/>
        <v>184800</v>
      </c>
      <c r="R23" s="379">
        <f t="shared" si="44"/>
        <v>0</v>
      </c>
      <c r="S23" s="52">
        <f t="shared" si="5"/>
        <v>0</v>
      </c>
      <c r="T23" s="67">
        <f t="shared" si="37"/>
        <v>0</v>
      </c>
      <c r="U23" s="386">
        <f t="shared" si="18"/>
        <v>0</v>
      </c>
      <c r="V23" s="62">
        <f t="shared" si="19"/>
        <v>0</v>
      </c>
      <c r="W23" s="384"/>
      <c r="X23" s="537">
        <f t="shared" si="21"/>
        <v>2484</v>
      </c>
      <c r="Y23" s="52">
        <f t="shared" si="22"/>
        <v>0</v>
      </c>
      <c r="Z23" s="537">
        <f t="shared" si="23"/>
        <v>140234</v>
      </c>
      <c r="AA23" s="65">
        <f t="shared" si="6"/>
        <v>0</v>
      </c>
      <c r="AB23" s="273">
        <f t="shared" si="47"/>
        <v>0</v>
      </c>
      <c r="AC23" s="537">
        <f t="shared" si="24"/>
        <v>1946</v>
      </c>
      <c r="AD23" s="45">
        <f t="shared" si="7"/>
        <v>0</v>
      </c>
      <c r="AE23" s="537">
        <f t="shared" si="25"/>
        <v>366527</v>
      </c>
      <c r="AF23" s="293">
        <f t="shared" si="26"/>
        <v>0</v>
      </c>
      <c r="AG23" s="209">
        <f t="shared" si="39"/>
        <v>0</v>
      </c>
      <c r="AH23" s="62">
        <f t="shared" si="40"/>
        <v>0</v>
      </c>
      <c r="AI23" s="303">
        <f>SUM(AH23+V23)</f>
        <v>0</v>
      </c>
      <c r="AJ23" s="303">
        <f>-tanks!AW24</f>
        <v>0</v>
      </c>
      <c r="AK23" s="303">
        <f>SUM(AJ23-AI23)</f>
        <v>0</v>
      </c>
      <c r="AL23" s="303">
        <f>S23+L23+G23</f>
        <v>0</v>
      </c>
      <c r="AM23" s="303">
        <f>Y23+AD23</f>
        <v>0</v>
      </c>
      <c r="AN23" s="537">
        <f t="shared" si="9"/>
        <v>66</v>
      </c>
      <c r="AO23" s="305">
        <f t="shared" si="30"/>
        <v>1980</v>
      </c>
      <c r="AP23" s="537">
        <f t="shared" si="10"/>
        <v>31</v>
      </c>
      <c r="AQ23" s="305">
        <f t="shared" si="31"/>
        <v>930</v>
      </c>
      <c r="AR23" s="537">
        <f t="shared" si="11"/>
        <v>73</v>
      </c>
      <c r="AS23" s="305">
        <f t="shared" si="41"/>
        <v>2190</v>
      </c>
      <c r="AT23" s="305">
        <f t="shared" si="42"/>
        <v>5100</v>
      </c>
      <c r="AU23" s="305">
        <f t="shared" si="43"/>
        <v>0</v>
      </c>
      <c r="AV23" s="259"/>
      <c r="AW23" s="259"/>
      <c r="AX23" s="298">
        <f t="shared" si="32"/>
        <v>0.8</v>
      </c>
    </row>
    <row r="24" spans="1:50">
      <c r="A24" s="63">
        <f>ELEC!C23</f>
        <v>44732</v>
      </c>
      <c r="B24" s="537">
        <f t="shared" si="33"/>
        <v>239</v>
      </c>
      <c r="C24" s="537">
        <f t="shared" si="34"/>
        <v>245</v>
      </c>
      <c r="D24" s="45">
        <f t="shared" si="49"/>
        <v>0</v>
      </c>
      <c r="E24" s="45">
        <f t="shared" si="12"/>
        <v>0</v>
      </c>
      <c r="F24" s="537">
        <f t="shared" si="13"/>
        <v>2253</v>
      </c>
      <c r="G24" s="52">
        <f t="shared" si="0"/>
        <v>0</v>
      </c>
      <c r="H24" s="537">
        <f t="shared" si="36"/>
        <v>44335</v>
      </c>
      <c r="I24" s="380">
        <f t="shared" si="1"/>
        <v>0</v>
      </c>
      <c r="J24" s="66">
        <f t="shared" si="14"/>
        <v>0</v>
      </c>
      <c r="K24" s="537">
        <f t="shared" si="15"/>
        <v>2433</v>
      </c>
      <c r="L24" s="52">
        <f t="shared" si="16"/>
        <v>0</v>
      </c>
      <c r="M24" s="537">
        <f t="shared" si="17"/>
        <v>180691</v>
      </c>
      <c r="N24" s="380">
        <f t="shared" si="2"/>
        <v>0</v>
      </c>
      <c r="O24" s="64">
        <f t="shared" si="48"/>
        <v>1869</v>
      </c>
      <c r="P24" s="537">
        <f t="shared" si="45"/>
        <v>2209</v>
      </c>
      <c r="Q24" s="537">
        <f t="shared" si="46"/>
        <v>184800</v>
      </c>
      <c r="R24" s="379">
        <f t="shared" si="44"/>
        <v>0</v>
      </c>
      <c r="S24" s="52">
        <f t="shared" si="5"/>
        <v>0</v>
      </c>
      <c r="T24" s="67">
        <f t="shared" si="37"/>
        <v>0</v>
      </c>
      <c r="U24" s="386">
        <f t="shared" si="18"/>
        <v>0</v>
      </c>
      <c r="V24" s="62">
        <f t="shared" si="19"/>
        <v>0</v>
      </c>
      <c r="W24" s="384"/>
      <c r="X24" s="537">
        <f t="shared" si="21"/>
        <v>2484</v>
      </c>
      <c r="Y24" s="52">
        <f t="shared" si="22"/>
        <v>0</v>
      </c>
      <c r="Z24" s="537">
        <f t="shared" si="23"/>
        <v>140234</v>
      </c>
      <c r="AA24" s="65">
        <f t="shared" si="6"/>
        <v>0</v>
      </c>
      <c r="AB24" s="273">
        <f t="shared" ref="AB24:AB32" si="50">SUM(Y24*$AB$2)</f>
        <v>0</v>
      </c>
      <c r="AC24" s="537">
        <f t="shared" si="24"/>
        <v>1946</v>
      </c>
      <c r="AD24" s="45">
        <f t="shared" si="7"/>
        <v>0</v>
      </c>
      <c r="AE24" s="537">
        <f t="shared" si="25"/>
        <v>366527</v>
      </c>
      <c r="AF24" s="293">
        <f t="shared" si="26"/>
        <v>0</v>
      </c>
      <c r="AG24" s="209">
        <f t="shared" si="39"/>
        <v>0</v>
      </c>
      <c r="AH24" s="62">
        <f t="shared" si="40"/>
        <v>0</v>
      </c>
      <c r="AI24" s="303">
        <f t="shared" si="27"/>
        <v>0</v>
      </c>
      <c r="AJ24" s="303">
        <f>-tanks!AW25</f>
        <v>0</v>
      </c>
      <c r="AK24" s="303">
        <f t="shared" si="28"/>
        <v>0</v>
      </c>
      <c r="AL24" s="303">
        <f t="shared" si="8"/>
        <v>0</v>
      </c>
      <c r="AM24" s="303">
        <f t="shared" si="29"/>
        <v>0</v>
      </c>
      <c r="AN24" s="537">
        <f t="shared" si="9"/>
        <v>66</v>
      </c>
      <c r="AO24" s="305">
        <f t="shared" si="30"/>
        <v>1980</v>
      </c>
      <c r="AP24" s="537">
        <f t="shared" si="10"/>
        <v>31</v>
      </c>
      <c r="AQ24" s="305">
        <f t="shared" si="31"/>
        <v>930</v>
      </c>
      <c r="AR24" s="537">
        <f t="shared" si="11"/>
        <v>73</v>
      </c>
      <c r="AS24" s="305">
        <f t="shared" si="41"/>
        <v>2190</v>
      </c>
      <c r="AT24" s="305">
        <f t="shared" ref="AT24:AT32" si="51">SUM(AO24+AQ24+AS24)</f>
        <v>5100</v>
      </c>
      <c r="AU24" s="305">
        <f t="shared" si="43"/>
        <v>0</v>
      </c>
      <c r="AV24" s="259"/>
      <c r="AW24" s="259"/>
      <c r="AX24" s="298">
        <f t="shared" si="32"/>
        <v>0.8</v>
      </c>
    </row>
    <row r="25" spans="1:50" ht="13.5" customHeight="1">
      <c r="A25" s="63">
        <f>ELEC!C24</f>
        <v>44733</v>
      </c>
      <c r="B25" s="537">
        <f t="shared" si="33"/>
        <v>239</v>
      </c>
      <c r="C25" s="537">
        <f t="shared" si="34"/>
        <v>245</v>
      </c>
      <c r="D25" s="45">
        <f t="shared" si="49"/>
        <v>0</v>
      </c>
      <c r="E25" s="45">
        <f t="shared" si="12"/>
        <v>0</v>
      </c>
      <c r="F25" s="537">
        <f t="shared" si="13"/>
        <v>2253</v>
      </c>
      <c r="G25" s="52">
        <f t="shared" si="0"/>
        <v>0</v>
      </c>
      <c r="H25" s="537">
        <f t="shared" si="36"/>
        <v>44335</v>
      </c>
      <c r="I25" s="380">
        <f t="shared" si="1"/>
        <v>0</v>
      </c>
      <c r="J25" s="66">
        <f t="shared" si="14"/>
        <v>0</v>
      </c>
      <c r="K25" s="537">
        <f t="shared" si="15"/>
        <v>2433</v>
      </c>
      <c r="L25" s="52">
        <f t="shared" si="16"/>
        <v>0</v>
      </c>
      <c r="M25" s="537">
        <f t="shared" si="17"/>
        <v>180691</v>
      </c>
      <c r="N25" s="380">
        <f t="shared" si="2"/>
        <v>0</v>
      </c>
      <c r="O25" s="64">
        <f t="shared" si="48"/>
        <v>1869</v>
      </c>
      <c r="P25" s="537">
        <f t="shared" si="45"/>
        <v>2209</v>
      </c>
      <c r="Q25" s="537">
        <f t="shared" si="46"/>
        <v>184800</v>
      </c>
      <c r="R25" s="379">
        <f t="shared" si="44"/>
        <v>0</v>
      </c>
      <c r="S25" s="52">
        <f t="shared" si="5"/>
        <v>0</v>
      </c>
      <c r="T25" s="67">
        <f t="shared" si="37"/>
        <v>0</v>
      </c>
      <c r="U25" s="386">
        <f t="shared" si="18"/>
        <v>0</v>
      </c>
      <c r="V25" s="62">
        <f t="shared" si="19"/>
        <v>0</v>
      </c>
      <c r="W25" s="384"/>
      <c r="X25" s="537">
        <f t="shared" si="21"/>
        <v>2484</v>
      </c>
      <c r="Y25" s="52">
        <f t="shared" si="22"/>
        <v>0</v>
      </c>
      <c r="Z25" s="537">
        <f t="shared" si="23"/>
        <v>140234</v>
      </c>
      <c r="AA25" s="65">
        <f t="shared" si="6"/>
        <v>0</v>
      </c>
      <c r="AB25" s="273">
        <f t="shared" si="50"/>
        <v>0</v>
      </c>
      <c r="AC25" s="537">
        <v>1944</v>
      </c>
      <c r="AD25" s="45">
        <f t="shared" si="7"/>
        <v>-2</v>
      </c>
      <c r="AE25" s="537">
        <f t="shared" si="25"/>
        <v>366527</v>
      </c>
      <c r="AF25" s="293">
        <f t="shared" si="26"/>
        <v>0</v>
      </c>
      <c r="AG25" s="209">
        <f t="shared" si="39"/>
        <v>0</v>
      </c>
      <c r="AH25" s="62">
        <f t="shared" si="40"/>
        <v>0</v>
      </c>
      <c r="AI25" s="303">
        <f t="shared" si="27"/>
        <v>0</v>
      </c>
      <c r="AJ25" s="303">
        <f>-tanks!AW26</f>
        <v>0</v>
      </c>
      <c r="AK25" s="303">
        <f t="shared" si="28"/>
        <v>0</v>
      </c>
      <c r="AL25" s="303">
        <f t="shared" si="8"/>
        <v>0</v>
      </c>
      <c r="AM25" s="303">
        <f t="shared" si="29"/>
        <v>-2</v>
      </c>
      <c r="AN25" s="537">
        <f t="shared" si="9"/>
        <v>66</v>
      </c>
      <c r="AO25" s="305">
        <f t="shared" si="30"/>
        <v>1980</v>
      </c>
      <c r="AP25" s="537">
        <f t="shared" si="10"/>
        <v>31</v>
      </c>
      <c r="AQ25" s="305">
        <f t="shared" ref="AQ25:AQ32" si="52">(AP25/100)*3000</f>
        <v>930</v>
      </c>
      <c r="AR25" s="537">
        <f t="shared" si="11"/>
        <v>73</v>
      </c>
      <c r="AS25" s="305">
        <f t="shared" si="41"/>
        <v>2190</v>
      </c>
      <c r="AT25" s="305">
        <f t="shared" si="51"/>
        <v>5100</v>
      </c>
      <c r="AU25" s="305">
        <f t="shared" si="43"/>
        <v>0</v>
      </c>
      <c r="AV25" s="259"/>
      <c r="AW25" s="259"/>
      <c r="AX25" s="298">
        <f t="shared" si="32"/>
        <v>0.8</v>
      </c>
    </row>
    <row r="26" spans="1:50" ht="14.25" customHeight="1">
      <c r="A26" s="63">
        <f>ELEC!C25</f>
        <v>44734</v>
      </c>
      <c r="B26" s="537">
        <f t="shared" si="33"/>
        <v>239</v>
      </c>
      <c r="C26" s="537">
        <f t="shared" si="34"/>
        <v>245</v>
      </c>
      <c r="D26" s="45">
        <f t="shared" si="49"/>
        <v>0</v>
      </c>
      <c r="E26" s="45">
        <f t="shared" si="12"/>
        <v>0</v>
      </c>
      <c r="F26" s="537">
        <f t="shared" si="13"/>
        <v>2253</v>
      </c>
      <c r="G26" s="52">
        <f t="shared" si="0"/>
        <v>0</v>
      </c>
      <c r="H26" s="537">
        <f t="shared" si="36"/>
        <v>44335</v>
      </c>
      <c r="I26" s="380">
        <f t="shared" si="1"/>
        <v>0</v>
      </c>
      <c r="J26" s="66">
        <f t="shared" si="14"/>
        <v>0</v>
      </c>
      <c r="K26" s="537">
        <f t="shared" si="15"/>
        <v>2433</v>
      </c>
      <c r="L26" s="52">
        <f t="shared" si="16"/>
        <v>0</v>
      </c>
      <c r="M26" s="537">
        <f t="shared" si="17"/>
        <v>180691</v>
      </c>
      <c r="N26" s="380">
        <f t="shared" si="2"/>
        <v>0</v>
      </c>
      <c r="O26" s="64">
        <f t="shared" si="48"/>
        <v>1869</v>
      </c>
      <c r="P26" s="537">
        <f t="shared" si="45"/>
        <v>2209</v>
      </c>
      <c r="Q26" s="537">
        <f t="shared" si="46"/>
        <v>184800</v>
      </c>
      <c r="R26" s="379">
        <f t="shared" si="44"/>
        <v>0</v>
      </c>
      <c r="S26" s="52">
        <f t="shared" si="5"/>
        <v>0</v>
      </c>
      <c r="T26" s="67">
        <f t="shared" si="37"/>
        <v>0</v>
      </c>
      <c r="U26" s="386">
        <f t="shared" si="18"/>
        <v>0</v>
      </c>
      <c r="V26" s="62">
        <f t="shared" si="19"/>
        <v>0</v>
      </c>
      <c r="W26" s="384"/>
      <c r="X26" s="537">
        <f t="shared" si="21"/>
        <v>2484</v>
      </c>
      <c r="Y26" s="52">
        <f t="shared" si="22"/>
        <v>0</v>
      </c>
      <c r="Z26" s="537">
        <f t="shared" si="23"/>
        <v>140234</v>
      </c>
      <c r="AA26" s="65">
        <f t="shared" si="6"/>
        <v>0</v>
      </c>
      <c r="AB26" s="273">
        <f t="shared" si="50"/>
        <v>0</v>
      </c>
      <c r="AC26" s="537">
        <f t="shared" si="24"/>
        <v>1944</v>
      </c>
      <c r="AD26" s="45">
        <f t="shared" si="7"/>
        <v>0</v>
      </c>
      <c r="AE26" s="537">
        <f t="shared" si="25"/>
        <v>366527</v>
      </c>
      <c r="AF26" s="293">
        <f t="shared" si="26"/>
        <v>0</v>
      </c>
      <c r="AG26" s="209">
        <f t="shared" si="39"/>
        <v>0</v>
      </c>
      <c r="AH26" s="62">
        <f t="shared" si="40"/>
        <v>0</v>
      </c>
      <c r="AI26" s="303">
        <f t="shared" si="27"/>
        <v>0</v>
      </c>
      <c r="AJ26" s="303">
        <f>-tanks!AW27</f>
        <v>0</v>
      </c>
      <c r="AK26" s="303">
        <f t="shared" si="28"/>
        <v>0</v>
      </c>
      <c r="AL26" s="303">
        <f t="shared" si="8"/>
        <v>0</v>
      </c>
      <c r="AM26" s="303">
        <f t="shared" si="29"/>
        <v>0</v>
      </c>
      <c r="AN26" s="537">
        <v>67</v>
      </c>
      <c r="AO26" s="305">
        <f t="shared" si="30"/>
        <v>2010.0000000000002</v>
      </c>
      <c r="AP26" s="537">
        <v>32</v>
      </c>
      <c r="AQ26" s="305">
        <f t="shared" si="52"/>
        <v>960</v>
      </c>
      <c r="AR26" s="537">
        <v>75</v>
      </c>
      <c r="AS26" s="305">
        <f t="shared" si="41"/>
        <v>2250</v>
      </c>
      <c r="AT26" s="305">
        <f t="shared" si="51"/>
        <v>5220</v>
      </c>
      <c r="AU26" s="305">
        <f t="shared" si="43"/>
        <v>-120</v>
      </c>
      <c r="AV26" s="259"/>
      <c r="AW26" s="259"/>
      <c r="AX26" s="298">
        <f t="shared" si="32"/>
        <v>0.8</v>
      </c>
    </row>
    <row r="27" spans="1:50">
      <c r="A27" s="63">
        <f>ELEC!C26</f>
        <v>44735</v>
      </c>
      <c r="B27" s="537">
        <f t="shared" si="33"/>
        <v>239</v>
      </c>
      <c r="C27" s="537">
        <f t="shared" si="34"/>
        <v>245</v>
      </c>
      <c r="D27" s="45">
        <f t="shared" si="49"/>
        <v>0</v>
      </c>
      <c r="E27" s="45">
        <f t="shared" si="12"/>
        <v>0</v>
      </c>
      <c r="F27" s="537">
        <f t="shared" si="13"/>
        <v>2253</v>
      </c>
      <c r="G27" s="52">
        <f t="shared" si="0"/>
        <v>0</v>
      </c>
      <c r="H27" s="537">
        <f t="shared" si="36"/>
        <v>44335</v>
      </c>
      <c r="I27" s="380">
        <f t="shared" si="1"/>
        <v>0</v>
      </c>
      <c r="J27" s="66">
        <f t="shared" si="14"/>
        <v>0</v>
      </c>
      <c r="K27" s="537">
        <f t="shared" si="15"/>
        <v>2433</v>
      </c>
      <c r="L27" s="52">
        <f t="shared" si="16"/>
        <v>0</v>
      </c>
      <c r="M27" s="537">
        <f t="shared" si="17"/>
        <v>180691</v>
      </c>
      <c r="N27" s="380">
        <f t="shared" si="2"/>
        <v>0</v>
      </c>
      <c r="O27" s="64">
        <f t="shared" si="48"/>
        <v>1869</v>
      </c>
      <c r="P27" s="537">
        <f t="shared" si="45"/>
        <v>2209</v>
      </c>
      <c r="Q27" s="537">
        <f t="shared" si="46"/>
        <v>184800</v>
      </c>
      <c r="R27" s="379">
        <f t="shared" si="44"/>
        <v>0</v>
      </c>
      <c r="S27" s="52">
        <f t="shared" si="5"/>
        <v>0</v>
      </c>
      <c r="T27" s="67">
        <f t="shared" si="37"/>
        <v>0</v>
      </c>
      <c r="U27" s="386">
        <f t="shared" si="18"/>
        <v>0</v>
      </c>
      <c r="V27" s="62">
        <f t="shared" si="19"/>
        <v>0</v>
      </c>
      <c r="W27" s="384"/>
      <c r="X27" s="537">
        <f t="shared" si="21"/>
        <v>2484</v>
      </c>
      <c r="Y27" s="52">
        <f t="shared" si="22"/>
        <v>0</v>
      </c>
      <c r="Z27" s="537">
        <f t="shared" si="23"/>
        <v>140234</v>
      </c>
      <c r="AA27" s="65">
        <f t="shared" si="6"/>
        <v>0</v>
      </c>
      <c r="AB27" s="273">
        <f t="shared" si="50"/>
        <v>0</v>
      </c>
      <c r="AC27" s="537">
        <f t="shared" si="24"/>
        <v>1944</v>
      </c>
      <c r="AD27" s="45">
        <f t="shared" si="7"/>
        <v>0</v>
      </c>
      <c r="AE27" s="537">
        <f t="shared" si="25"/>
        <v>366527</v>
      </c>
      <c r="AF27" s="293">
        <f t="shared" si="26"/>
        <v>0</v>
      </c>
      <c r="AG27" s="209">
        <f t="shared" si="39"/>
        <v>0</v>
      </c>
      <c r="AH27" s="62">
        <f t="shared" si="40"/>
        <v>0</v>
      </c>
      <c r="AI27" s="303">
        <f t="shared" si="27"/>
        <v>0</v>
      </c>
      <c r="AJ27" s="303">
        <f>-tanks!AW28</f>
        <v>0</v>
      </c>
      <c r="AK27" s="303">
        <f t="shared" si="28"/>
        <v>0</v>
      </c>
      <c r="AL27" s="303">
        <f t="shared" si="8"/>
        <v>0</v>
      </c>
      <c r="AM27" s="303">
        <f t="shared" si="29"/>
        <v>0</v>
      </c>
      <c r="AN27" s="537">
        <f t="shared" si="9"/>
        <v>67</v>
      </c>
      <c r="AO27" s="305">
        <f t="shared" ref="AO27:AO32" si="53">(AN27/100)*3000</f>
        <v>2010.0000000000002</v>
      </c>
      <c r="AP27" s="537">
        <f t="shared" si="10"/>
        <v>32</v>
      </c>
      <c r="AQ27" s="305">
        <f t="shared" si="52"/>
        <v>960</v>
      </c>
      <c r="AR27" s="537">
        <f t="shared" si="11"/>
        <v>75</v>
      </c>
      <c r="AS27" s="305">
        <f t="shared" si="41"/>
        <v>2250</v>
      </c>
      <c r="AT27" s="305">
        <f t="shared" si="51"/>
        <v>5220</v>
      </c>
      <c r="AU27" s="305">
        <f t="shared" si="43"/>
        <v>0</v>
      </c>
      <c r="AV27" s="259"/>
      <c r="AW27" s="473"/>
      <c r="AX27" s="298">
        <f t="shared" si="32"/>
        <v>0.8</v>
      </c>
    </row>
    <row r="28" spans="1:50">
      <c r="A28" s="63">
        <f>ELEC!C27</f>
        <v>44736</v>
      </c>
      <c r="B28" s="537">
        <f t="shared" si="33"/>
        <v>239</v>
      </c>
      <c r="C28" s="537">
        <f t="shared" si="34"/>
        <v>245</v>
      </c>
      <c r="D28" s="45">
        <f t="shared" si="49"/>
        <v>0</v>
      </c>
      <c r="E28" s="45">
        <f t="shared" si="12"/>
        <v>0</v>
      </c>
      <c r="F28" s="537">
        <f t="shared" si="13"/>
        <v>2253</v>
      </c>
      <c r="G28" s="52">
        <f t="shared" si="0"/>
        <v>0</v>
      </c>
      <c r="H28" s="537">
        <f t="shared" si="36"/>
        <v>44335</v>
      </c>
      <c r="I28" s="380">
        <f t="shared" si="1"/>
        <v>0</v>
      </c>
      <c r="J28" s="66">
        <f t="shared" si="14"/>
        <v>0</v>
      </c>
      <c r="K28" s="537">
        <f t="shared" si="15"/>
        <v>2433</v>
      </c>
      <c r="L28" s="52">
        <f t="shared" si="16"/>
        <v>0</v>
      </c>
      <c r="M28" s="537">
        <f t="shared" si="17"/>
        <v>180691</v>
      </c>
      <c r="N28" s="380">
        <f t="shared" si="2"/>
        <v>0</v>
      </c>
      <c r="O28" s="64">
        <f t="shared" si="48"/>
        <v>1869</v>
      </c>
      <c r="P28" s="537">
        <f t="shared" si="45"/>
        <v>2209</v>
      </c>
      <c r="Q28" s="537">
        <f t="shared" si="46"/>
        <v>184800</v>
      </c>
      <c r="R28" s="379">
        <f t="shared" si="44"/>
        <v>0</v>
      </c>
      <c r="S28" s="52">
        <f t="shared" si="5"/>
        <v>0</v>
      </c>
      <c r="T28" s="67">
        <f t="shared" si="37"/>
        <v>0</v>
      </c>
      <c r="U28" s="386">
        <f t="shared" si="18"/>
        <v>0</v>
      </c>
      <c r="V28" s="62">
        <f t="shared" si="19"/>
        <v>0</v>
      </c>
      <c r="W28" s="384"/>
      <c r="X28" s="537">
        <f t="shared" si="21"/>
        <v>2484</v>
      </c>
      <c r="Y28" s="52">
        <f t="shared" si="22"/>
        <v>0</v>
      </c>
      <c r="Z28" s="537">
        <f t="shared" si="23"/>
        <v>140234</v>
      </c>
      <c r="AA28" s="65">
        <f t="shared" si="6"/>
        <v>0</v>
      </c>
      <c r="AB28" s="273">
        <f t="shared" si="50"/>
        <v>0</v>
      </c>
      <c r="AC28" s="537">
        <f t="shared" si="24"/>
        <v>1944</v>
      </c>
      <c r="AD28" s="45">
        <f t="shared" si="7"/>
        <v>0</v>
      </c>
      <c r="AE28" s="537">
        <f t="shared" si="25"/>
        <v>366527</v>
      </c>
      <c r="AF28" s="293">
        <f t="shared" si="26"/>
        <v>0</v>
      </c>
      <c r="AG28" s="209">
        <f t="shared" si="39"/>
        <v>0</v>
      </c>
      <c r="AH28" s="62">
        <f t="shared" si="40"/>
        <v>0</v>
      </c>
      <c r="AI28" s="303">
        <f t="shared" si="27"/>
        <v>0</v>
      </c>
      <c r="AJ28" s="303">
        <f>-tanks!AW29</f>
        <v>0</v>
      </c>
      <c r="AK28" s="303">
        <f t="shared" si="28"/>
        <v>0</v>
      </c>
      <c r="AL28" s="303">
        <f t="shared" si="8"/>
        <v>0</v>
      </c>
      <c r="AM28" s="303">
        <f t="shared" si="29"/>
        <v>0</v>
      </c>
      <c r="AN28" s="537">
        <f t="shared" si="9"/>
        <v>67</v>
      </c>
      <c r="AO28" s="305">
        <f t="shared" si="53"/>
        <v>2010.0000000000002</v>
      </c>
      <c r="AP28" s="537">
        <f t="shared" si="10"/>
        <v>32</v>
      </c>
      <c r="AQ28" s="305">
        <f t="shared" si="52"/>
        <v>960</v>
      </c>
      <c r="AR28" s="537">
        <f t="shared" si="11"/>
        <v>75</v>
      </c>
      <c r="AS28" s="305">
        <f t="shared" si="41"/>
        <v>2250</v>
      </c>
      <c r="AT28" s="305">
        <f t="shared" si="51"/>
        <v>5220</v>
      </c>
      <c r="AU28" s="305">
        <f t="shared" si="43"/>
        <v>0</v>
      </c>
      <c r="AV28" s="259"/>
      <c r="AW28" s="259"/>
      <c r="AX28" s="298">
        <f t="shared" si="32"/>
        <v>0.8</v>
      </c>
    </row>
    <row r="29" spans="1:50">
      <c r="A29" s="63">
        <f>ELEC!C28</f>
        <v>44737</v>
      </c>
      <c r="B29" s="537">
        <f t="shared" si="33"/>
        <v>239</v>
      </c>
      <c r="C29" s="537">
        <f t="shared" si="34"/>
        <v>245</v>
      </c>
      <c r="D29" s="45">
        <f t="shared" si="49"/>
        <v>0</v>
      </c>
      <c r="E29" s="45">
        <f t="shared" si="12"/>
        <v>0</v>
      </c>
      <c r="F29" s="537">
        <f t="shared" si="13"/>
        <v>2253</v>
      </c>
      <c r="G29" s="52">
        <f t="shared" si="0"/>
        <v>0</v>
      </c>
      <c r="H29" s="537">
        <f t="shared" si="36"/>
        <v>44335</v>
      </c>
      <c r="I29" s="380">
        <f t="shared" si="1"/>
        <v>0</v>
      </c>
      <c r="J29" s="66">
        <f t="shared" si="14"/>
        <v>0</v>
      </c>
      <c r="K29" s="537">
        <f t="shared" si="15"/>
        <v>2433</v>
      </c>
      <c r="L29" s="52">
        <f t="shared" si="16"/>
        <v>0</v>
      </c>
      <c r="M29" s="537">
        <f t="shared" si="17"/>
        <v>180691</v>
      </c>
      <c r="N29" s="380">
        <f t="shared" si="2"/>
        <v>0</v>
      </c>
      <c r="O29" s="64">
        <f t="shared" si="48"/>
        <v>1869</v>
      </c>
      <c r="P29" s="537">
        <f t="shared" si="45"/>
        <v>2209</v>
      </c>
      <c r="Q29" s="537">
        <f t="shared" si="46"/>
        <v>184800</v>
      </c>
      <c r="R29" s="379">
        <f t="shared" si="44"/>
        <v>0</v>
      </c>
      <c r="S29" s="52">
        <f t="shared" si="5"/>
        <v>0</v>
      </c>
      <c r="T29" s="67">
        <f t="shared" si="37"/>
        <v>0</v>
      </c>
      <c r="U29" s="386">
        <f t="shared" si="18"/>
        <v>0</v>
      </c>
      <c r="V29" s="62">
        <f t="shared" si="19"/>
        <v>0</v>
      </c>
      <c r="W29" s="384"/>
      <c r="X29" s="537">
        <f t="shared" si="21"/>
        <v>2484</v>
      </c>
      <c r="Y29" s="52">
        <f t="shared" si="22"/>
        <v>0</v>
      </c>
      <c r="Z29" s="537">
        <f t="shared" si="23"/>
        <v>140234</v>
      </c>
      <c r="AA29" s="65">
        <f t="shared" si="6"/>
        <v>0</v>
      </c>
      <c r="AB29" s="273">
        <f t="shared" si="50"/>
        <v>0</v>
      </c>
      <c r="AC29" s="537">
        <f t="shared" si="24"/>
        <v>1944</v>
      </c>
      <c r="AD29" s="45">
        <f t="shared" si="7"/>
        <v>0</v>
      </c>
      <c r="AE29" s="537">
        <f t="shared" si="25"/>
        <v>366527</v>
      </c>
      <c r="AF29" s="293">
        <f t="shared" si="26"/>
        <v>0</v>
      </c>
      <c r="AG29" s="209">
        <f t="shared" si="39"/>
        <v>0</v>
      </c>
      <c r="AH29" s="62">
        <f t="shared" si="40"/>
        <v>0</v>
      </c>
      <c r="AI29" s="303">
        <f t="shared" si="27"/>
        <v>0</v>
      </c>
      <c r="AJ29" s="303">
        <f>-tanks!AW30</f>
        <v>0</v>
      </c>
      <c r="AK29" s="303">
        <f t="shared" si="28"/>
        <v>0</v>
      </c>
      <c r="AL29" s="303">
        <f t="shared" si="8"/>
        <v>0</v>
      </c>
      <c r="AM29" s="303">
        <f t="shared" si="29"/>
        <v>0</v>
      </c>
      <c r="AN29" s="537">
        <f t="shared" si="9"/>
        <v>67</v>
      </c>
      <c r="AO29" s="305">
        <f t="shared" si="53"/>
        <v>2010.0000000000002</v>
      </c>
      <c r="AP29" s="537">
        <f t="shared" si="10"/>
        <v>32</v>
      </c>
      <c r="AQ29" s="305">
        <f t="shared" si="52"/>
        <v>960</v>
      </c>
      <c r="AR29" s="537">
        <f t="shared" si="11"/>
        <v>75</v>
      </c>
      <c r="AS29" s="305">
        <f t="shared" si="41"/>
        <v>2250</v>
      </c>
      <c r="AT29" s="305">
        <f>SUM(AO29+AQ29+AS29)</f>
        <v>5220</v>
      </c>
      <c r="AU29" s="305">
        <f>AT28-AT29+AV29</f>
        <v>0</v>
      </c>
      <c r="AV29" s="259"/>
      <c r="AW29" s="259"/>
      <c r="AX29" s="298">
        <f t="shared" si="32"/>
        <v>0.8</v>
      </c>
    </row>
    <row r="30" spans="1:50">
      <c r="A30" s="63">
        <f>ELEC!C29</f>
        <v>44738</v>
      </c>
      <c r="B30" s="537">
        <f t="shared" si="33"/>
        <v>239</v>
      </c>
      <c r="C30" s="537">
        <f t="shared" si="34"/>
        <v>245</v>
      </c>
      <c r="D30" s="45">
        <f>C29-C30</f>
        <v>0</v>
      </c>
      <c r="E30" s="45">
        <f>D30*8.38</f>
        <v>0</v>
      </c>
      <c r="F30" s="537">
        <f t="shared" si="13"/>
        <v>2253</v>
      </c>
      <c r="G30" s="52">
        <f>F30-F29</f>
        <v>0</v>
      </c>
      <c r="H30" s="537">
        <f t="shared" si="36"/>
        <v>44335</v>
      </c>
      <c r="I30" s="380">
        <f>SUM(H30-H29)</f>
        <v>0</v>
      </c>
      <c r="J30" s="66">
        <f>IF(G30&gt;0,I30/G30,0)</f>
        <v>0</v>
      </c>
      <c r="K30" s="537">
        <f t="shared" si="15"/>
        <v>2433</v>
      </c>
      <c r="L30" s="52">
        <f>K30-K29</f>
        <v>0</v>
      </c>
      <c r="M30" s="537">
        <f t="shared" si="17"/>
        <v>180691</v>
      </c>
      <c r="N30" s="380">
        <f>M30-M29</f>
        <v>0</v>
      </c>
      <c r="O30" s="64">
        <f t="shared" si="48"/>
        <v>1869</v>
      </c>
      <c r="P30" s="537">
        <f t="shared" si="45"/>
        <v>2209</v>
      </c>
      <c r="Q30" s="537">
        <f t="shared" si="46"/>
        <v>184800</v>
      </c>
      <c r="R30" s="379">
        <f>Q30-Q29</f>
        <v>0</v>
      </c>
      <c r="S30" s="52">
        <f>SUM(P30-P29)</f>
        <v>0</v>
      </c>
      <c r="T30" s="67">
        <f>SUM(S30*$T$2)</f>
        <v>0</v>
      </c>
      <c r="U30" s="386">
        <f>SUM(G30+L30+S30)</f>
        <v>0</v>
      </c>
      <c r="V30" s="62">
        <f t="shared" si="19"/>
        <v>0</v>
      </c>
      <c r="W30" s="384"/>
      <c r="X30" s="537">
        <f t="shared" si="21"/>
        <v>2484</v>
      </c>
      <c r="Y30" s="52">
        <f>X30-X29</f>
        <v>0</v>
      </c>
      <c r="Z30" s="537">
        <f t="shared" si="23"/>
        <v>140234</v>
      </c>
      <c r="AA30" s="65">
        <f>Z30-Z29</f>
        <v>0</v>
      </c>
      <c r="AB30" s="273">
        <f>SUM(Y30*$AB$2)</f>
        <v>0</v>
      </c>
      <c r="AC30" s="537">
        <f t="shared" si="24"/>
        <v>1944</v>
      </c>
      <c r="AD30" s="259">
        <f>AC30-AC29</f>
        <v>0</v>
      </c>
      <c r="AE30" s="537">
        <f t="shared" si="25"/>
        <v>366527</v>
      </c>
      <c r="AF30" s="293">
        <f>AE30-AE29</f>
        <v>0</v>
      </c>
      <c r="AG30" s="209">
        <f t="shared" si="39"/>
        <v>0</v>
      </c>
      <c r="AH30" s="62">
        <f t="shared" si="40"/>
        <v>0</v>
      </c>
      <c r="AI30" s="303">
        <f t="shared" si="27"/>
        <v>0</v>
      </c>
      <c r="AJ30" s="303">
        <f>-tanks!AW31</f>
        <v>0</v>
      </c>
      <c r="AK30" s="303">
        <f t="shared" si="28"/>
        <v>0</v>
      </c>
      <c r="AL30" s="303">
        <f t="shared" si="8"/>
        <v>0</v>
      </c>
      <c r="AM30" s="303">
        <f t="shared" si="29"/>
        <v>0</v>
      </c>
      <c r="AN30" s="537">
        <f t="shared" si="9"/>
        <v>67</v>
      </c>
      <c r="AO30" s="305">
        <f t="shared" si="53"/>
        <v>2010.0000000000002</v>
      </c>
      <c r="AP30" s="537">
        <f t="shared" si="10"/>
        <v>32</v>
      </c>
      <c r="AQ30" s="305">
        <f t="shared" si="52"/>
        <v>960</v>
      </c>
      <c r="AR30" s="537">
        <f t="shared" si="11"/>
        <v>75</v>
      </c>
      <c r="AS30" s="305">
        <f t="shared" si="41"/>
        <v>2250</v>
      </c>
      <c r="AT30" s="305">
        <f t="shared" si="51"/>
        <v>5220</v>
      </c>
      <c r="AU30" s="305">
        <f t="shared" si="43"/>
        <v>0</v>
      </c>
      <c r="AV30" s="259"/>
      <c r="AW30" s="259"/>
      <c r="AX30" s="298">
        <f t="shared" si="32"/>
        <v>0.8</v>
      </c>
    </row>
    <row r="31" spans="1:50">
      <c r="A31" s="63">
        <f>ELEC!C30</f>
        <v>44739</v>
      </c>
      <c r="B31" s="537">
        <f t="shared" si="33"/>
        <v>239</v>
      </c>
      <c r="C31" s="537">
        <f t="shared" si="34"/>
        <v>245</v>
      </c>
      <c r="D31" s="45">
        <f t="shared" si="49"/>
        <v>0</v>
      </c>
      <c r="E31" s="45">
        <f t="shared" si="12"/>
        <v>0</v>
      </c>
      <c r="F31" s="537">
        <f t="shared" si="13"/>
        <v>2253</v>
      </c>
      <c r="G31" s="52">
        <f t="shared" si="0"/>
        <v>0</v>
      </c>
      <c r="H31" s="537">
        <f t="shared" si="36"/>
        <v>44335</v>
      </c>
      <c r="I31" s="380">
        <f t="shared" si="1"/>
        <v>0</v>
      </c>
      <c r="J31" s="66">
        <f t="shared" si="14"/>
        <v>0</v>
      </c>
      <c r="K31" s="537">
        <f t="shared" si="15"/>
        <v>2433</v>
      </c>
      <c r="L31" s="52">
        <f t="shared" si="16"/>
        <v>0</v>
      </c>
      <c r="M31" s="537">
        <f t="shared" si="17"/>
        <v>180691</v>
      </c>
      <c r="N31" s="380">
        <f t="shared" si="2"/>
        <v>0</v>
      </c>
      <c r="O31" s="64">
        <f t="shared" si="48"/>
        <v>1869</v>
      </c>
      <c r="P31" s="537">
        <f t="shared" si="45"/>
        <v>2209</v>
      </c>
      <c r="Q31" s="537">
        <f t="shared" si="46"/>
        <v>184800</v>
      </c>
      <c r="R31" s="379">
        <f t="shared" si="44"/>
        <v>0</v>
      </c>
      <c r="S31" s="52">
        <f t="shared" si="5"/>
        <v>0</v>
      </c>
      <c r="T31" s="67">
        <f t="shared" si="37"/>
        <v>0</v>
      </c>
      <c r="U31" s="386">
        <f t="shared" si="18"/>
        <v>0</v>
      </c>
      <c r="V31" s="62">
        <f t="shared" si="19"/>
        <v>0</v>
      </c>
      <c r="W31" s="384"/>
      <c r="X31" s="537">
        <f t="shared" si="21"/>
        <v>2484</v>
      </c>
      <c r="Y31" s="52">
        <f t="shared" si="22"/>
        <v>0</v>
      </c>
      <c r="Z31" s="537">
        <f t="shared" si="23"/>
        <v>140234</v>
      </c>
      <c r="AA31" s="65">
        <f t="shared" si="6"/>
        <v>0</v>
      </c>
      <c r="AB31" s="273">
        <f t="shared" si="50"/>
        <v>0</v>
      </c>
      <c r="AC31" s="537">
        <f t="shared" si="24"/>
        <v>1944</v>
      </c>
      <c r="AD31" s="259">
        <f t="shared" si="7"/>
        <v>0</v>
      </c>
      <c r="AE31" s="537">
        <f t="shared" si="25"/>
        <v>366527</v>
      </c>
      <c r="AF31" s="293">
        <f t="shared" si="26"/>
        <v>0</v>
      </c>
      <c r="AG31" s="209">
        <f t="shared" si="39"/>
        <v>0</v>
      </c>
      <c r="AH31" s="62">
        <f t="shared" si="40"/>
        <v>0</v>
      </c>
      <c r="AI31" s="303">
        <f t="shared" si="27"/>
        <v>0</v>
      </c>
      <c r="AJ31" s="303">
        <f>-tanks!AW32</f>
        <v>0</v>
      </c>
      <c r="AK31" s="303">
        <f t="shared" si="28"/>
        <v>0</v>
      </c>
      <c r="AL31" s="303">
        <f t="shared" si="8"/>
        <v>0</v>
      </c>
      <c r="AM31" s="303">
        <f t="shared" si="29"/>
        <v>0</v>
      </c>
      <c r="AN31" s="537">
        <f t="shared" si="9"/>
        <v>67</v>
      </c>
      <c r="AO31" s="305">
        <f t="shared" si="53"/>
        <v>2010.0000000000002</v>
      </c>
      <c r="AP31" s="537">
        <f t="shared" si="10"/>
        <v>32</v>
      </c>
      <c r="AQ31" s="305">
        <f t="shared" si="52"/>
        <v>960</v>
      </c>
      <c r="AR31" s="537">
        <f t="shared" si="11"/>
        <v>75</v>
      </c>
      <c r="AS31" s="305">
        <f t="shared" si="41"/>
        <v>2250</v>
      </c>
      <c r="AT31" s="305">
        <f t="shared" si="51"/>
        <v>5220</v>
      </c>
      <c r="AU31" s="305">
        <f t="shared" si="43"/>
        <v>0</v>
      </c>
      <c r="AV31" s="259"/>
      <c r="AW31" s="259"/>
      <c r="AX31" s="298">
        <f t="shared" si="32"/>
        <v>0.8</v>
      </c>
    </row>
    <row r="32" spans="1:50">
      <c r="A32" s="63">
        <f>ELEC!C31</f>
        <v>44740</v>
      </c>
      <c r="B32" s="537">
        <f t="shared" si="33"/>
        <v>239</v>
      </c>
      <c r="C32" s="537">
        <f t="shared" si="34"/>
        <v>245</v>
      </c>
      <c r="D32" s="45">
        <f t="shared" si="49"/>
        <v>0</v>
      </c>
      <c r="E32" s="45">
        <f t="shared" si="12"/>
        <v>0</v>
      </c>
      <c r="F32" s="537">
        <f t="shared" si="13"/>
        <v>2253</v>
      </c>
      <c r="G32" s="52">
        <f t="shared" si="0"/>
        <v>0</v>
      </c>
      <c r="H32" s="537">
        <f t="shared" si="36"/>
        <v>44335</v>
      </c>
      <c r="I32" s="380">
        <f t="shared" si="1"/>
        <v>0</v>
      </c>
      <c r="J32" s="66">
        <f t="shared" si="14"/>
        <v>0</v>
      </c>
      <c r="K32" s="537">
        <f t="shared" si="15"/>
        <v>2433</v>
      </c>
      <c r="L32" s="52">
        <f t="shared" si="16"/>
        <v>0</v>
      </c>
      <c r="M32" s="537">
        <f t="shared" si="17"/>
        <v>180691</v>
      </c>
      <c r="N32" s="380">
        <f t="shared" si="2"/>
        <v>0</v>
      </c>
      <c r="O32" s="64">
        <f t="shared" si="48"/>
        <v>1869</v>
      </c>
      <c r="P32" s="537">
        <f t="shared" si="45"/>
        <v>2209</v>
      </c>
      <c r="Q32" s="537">
        <f t="shared" si="46"/>
        <v>184800</v>
      </c>
      <c r="R32" s="379">
        <f t="shared" si="44"/>
        <v>0</v>
      </c>
      <c r="S32" s="52">
        <f t="shared" si="5"/>
        <v>0</v>
      </c>
      <c r="T32" s="67">
        <f t="shared" si="37"/>
        <v>0</v>
      </c>
      <c r="U32" s="386">
        <f t="shared" si="18"/>
        <v>0</v>
      </c>
      <c r="V32" s="62">
        <f t="shared" si="19"/>
        <v>0</v>
      </c>
      <c r="W32" s="384"/>
      <c r="X32" s="537">
        <f t="shared" si="21"/>
        <v>2484</v>
      </c>
      <c r="Y32" s="52">
        <f t="shared" si="22"/>
        <v>0</v>
      </c>
      <c r="Z32" s="537">
        <f t="shared" si="23"/>
        <v>140234</v>
      </c>
      <c r="AA32" s="65">
        <f t="shared" si="6"/>
        <v>0</v>
      </c>
      <c r="AB32" s="273">
        <f t="shared" si="50"/>
        <v>0</v>
      </c>
      <c r="AC32" s="537">
        <f t="shared" si="24"/>
        <v>1944</v>
      </c>
      <c r="AD32" s="259">
        <f t="shared" si="7"/>
        <v>0</v>
      </c>
      <c r="AE32" s="537">
        <f t="shared" si="25"/>
        <v>366527</v>
      </c>
      <c r="AF32" s="293">
        <f t="shared" si="26"/>
        <v>0</v>
      </c>
      <c r="AG32" s="209">
        <f t="shared" si="39"/>
        <v>0</v>
      </c>
      <c r="AH32" s="62">
        <f t="shared" si="40"/>
        <v>0</v>
      </c>
      <c r="AI32" s="303">
        <f t="shared" si="27"/>
        <v>0</v>
      </c>
      <c r="AJ32" s="303">
        <f>-tanks!AW33</f>
        <v>0</v>
      </c>
      <c r="AK32" s="303">
        <f t="shared" si="28"/>
        <v>0</v>
      </c>
      <c r="AL32" s="303">
        <f t="shared" si="8"/>
        <v>0</v>
      </c>
      <c r="AM32" s="303">
        <f t="shared" si="29"/>
        <v>0</v>
      </c>
      <c r="AN32" s="537">
        <f t="shared" si="9"/>
        <v>67</v>
      </c>
      <c r="AO32" s="305">
        <f t="shared" si="53"/>
        <v>2010.0000000000002</v>
      </c>
      <c r="AP32" s="537">
        <f t="shared" si="10"/>
        <v>32</v>
      </c>
      <c r="AQ32" s="305">
        <f t="shared" si="52"/>
        <v>960</v>
      </c>
      <c r="AR32" s="537">
        <f t="shared" si="11"/>
        <v>75</v>
      </c>
      <c r="AS32" s="305">
        <f t="shared" si="41"/>
        <v>2250</v>
      </c>
      <c r="AT32" s="305">
        <f t="shared" si="51"/>
        <v>5220</v>
      </c>
      <c r="AU32" s="305">
        <f t="shared" si="43"/>
        <v>0</v>
      </c>
      <c r="AV32" s="259"/>
      <c r="AW32" s="259"/>
      <c r="AX32" s="298">
        <f t="shared" si="32"/>
        <v>0.8</v>
      </c>
    </row>
    <row r="33" spans="1:50">
      <c r="A33" s="63">
        <f>ELEC!C32</f>
        <v>44741</v>
      </c>
      <c r="B33" s="537">
        <f t="shared" si="33"/>
        <v>239</v>
      </c>
      <c r="C33" s="537">
        <f t="shared" si="34"/>
        <v>245</v>
      </c>
      <c r="D33" s="45">
        <f t="shared" ref="D33:D35" si="54">C32-C33</f>
        <v>0</v>
      </c>
      <c r="E33" s="45">
        <f t="shared" ref="E33:E35" si="55">D33*8.38</f>
        <v>0</v>
      </c>
      <c r="F33" s="537">
        <f t="shared" si="13"/>
        <v>2253</v>
      </c>
      <c r="G33" s="52">
        <f t="shared" ref="G33:G35" si="56">F33-F32</f>
        <v>0</v>
      </c>
      <c r="H33" s="537">
        <f t="shared" si="36"/>
        <v>44335</v>
      </c>
      <c r="I33" s="380">
        <f t="shared" ref="I33:I35" si="57">SUM(H33-H32)</f>
        <v>0</v>
      </c>
      <c r="J33" s="66">
        <f t="shared" ref="J33:J35" si="58">IF(G33&gt;0,I33/G33,0)</f>
        <v>0</v>
      </c>
      <c r="K33" s="537">
        <f t="shared" si="15"/>
        <v>2433</v>
      </c>
      <c r="L33" s="52">
        <f t="shared" ref="L33:L35" si="59">K33-K32</f>
        <v>0</v>
      </c>
      <c r="M33" s="537">
        <f t="shared" si="17"/>
        <v>180691</v>
      </c>
      <c r="N33" s="380">
        <f t="shared" ref="N33:N35" si="60">M33-M32</f>
        <v>0</v>
      </c>
      <c r="O33" s="64">
        <f t="shared" si="48"/>
        <v>1869</v>
      </c>
      <c r="P33" s="537">
        <f t="shared" si="45"/>
        <v>2209</v>
      </c>
      <c r="Q33" s="537">
        <f t="shared" si="46"/>
        <v>184800</v>
      </c>
      <c r="R33" s="379">
        <f t="shared" ref="R33:R35" si="61">Q33-Q32</f>
        <v>0</v>
      </c>
      <c r="S33" s="52">
        <f t="shared" ref="S33:S35" si="62">SUM(P33-P32)</f>
        <v>0</v>
      </c>
      <c r="T33" s="67">
        <f t="shared" ref="T33:T35" si="63">SUM(S33*$T$2)</f>
        <v>0</v>
      </c>
      <c r="U33" s="386">
        <f t="shared" ref="U33:U35" si="64">SUM(G33+L33+S33)</f>
        <v>0</v>
      </c>
      <c r="V33" s="62">
        <f t="shared" ref="V33:V35" si="65">R33+N33+I33:I33</f>
        <v>0</v>
      </c>
      <c r="W33" s="384"/>
      <c r="X33" s="537">
        <f t="shared" si="21"/>
        <v>2484</v>
      </c>
      <c r="Y33" s="52">
        <f t="shared" ref="Y33:Y35" si="66">X33-X32</f>
        <v>0</v>
      </c>
      <c r="Z33" s="537">
        <f t="shared" si="23"/>
        <v>140234</v>
      </c>
      <c r="AA33" s="65">
        <f t="shared" ref="AA33:AA35" si="67">Z33-Z32</f>
        <v>0</v>
      </c>
      <c r="AB33" s="273">
        <f t="shared" ref="AB33:AB35" si="68">SUM(Y33*$AB$2)</f>
        <v>0</v>
      </c>
      <c r="AC33" s="537">
        <f t="shared" si="24"/>
        <v>1944</v>
      </c>
      <c r="AD33" s="259">
        <f t="shared" ref="AD33:AD35" si="69">AC33-AC32</f>
        <v>0</v>
      </c>
      <c r="AE33" s="537">
        <f t="shared" si="25"/>
        <v>366527</v>
      </c>
      <c r="AF33" s="293">
        <f t="shared" ref="AF33:AF35" si="70">AE33-AE32</f>
        <v>0</v>
      </c>
      <c r="AG33" s="209">
        <f t="shared" ref="AG33:AG35" si="71">IF(AD33&gt;0,AF33/AD33,0)</f>
        <v>0</v>
      </c>
      <c r="AH33" s="62">
        <f t="shared" ref="AH33:AH35" si="72">AF33+AA33</f>
        <v>0</v>
      </c>
      <c r="AI33" s="303">
        <f t="shared" ref="AI33:AI35" si="73">SUM(AH33+V33)</f>
        <v>0</v>
      </c>
      <c r="AJ33" s="303">
        <f>-tanks!AW34</f>
        <v>0</v>
      </c>
      <c r="AK33" s="303">
        <f t="shared" ref="AK33:AK35" si="74">SUM(AJ33-AI33)</f>
        <v>0</v>
      </c>
      <c r="AL33" s="303">
        <f t="shared" ref="AL33:AL35" si="75">S33+L33+G33</f>
        <v>0</v>
      </c>
      <c r="AM33" s="303">
        <f t="shared" ref="AM33:AM35" si="76">Y33+AD33</f>
        <v>0</v>
      </c>
      <c r="AN33" s="537">
        <f t="shared" si="9"/>
        <v>67</v>
      </c>
      <c r="AO33" s="305">
        <f t="shared" ref="AO33:AO35" si="77">(AN33/100)*3000</f>
        <v>2010.0000000000002</v>
      </c>
      <c r="AP33" s="537">
        <f t="shared" si="10"/>
        <v>32</v>
      </c>
      <c r="AQ33" s="305">
        <f t="shared" ref="AQ33:AQ35" si="78">(AP33/100)*3000</f>
        <v>960</v>
      </c>
      <c r="AR33" s="537">
        <f t="shared" si="11"/>
        <v>75</v>
      </c>
      <c r="AS33" s="305">
        <f t="shared" ref="AS33:AS35" si="79">(AR33/100)*3000</f>
        <v>2250</v>
      </c>
      <c r="AT33" s="305">
        <f t="shared" ref="AT33:AT35" si="80">SUM(AO33+AQ33+AS33)</f>
        <v>5220</v>
      </c>
      <c r="AU33" s="305">
        <f t="shared" ref="AU33:AU35" si="81">AT32-AT33+AV33</f>
        <v>0</v>
      </c>
      <c r="AV33" s="259"/>
      <c r="AW33" s="259"/>
      <c r="AX33" s="298">
        <f t="shared" ref="AX33:AX35" si="82">IF(AV33&gt;0,AW33,AX32)</f>
        <v>0.8</v>
      </c>
    </row>
    <row r="34" spans="1:50">
      <c r="A34" s="63">
        <f>ELEC!C33</f>
        <v>44742</v>
      </c>
      <c r="B34" s="537">
        <f t="shared" si="33"/>
        <v>239</v>
      </c>
      <c r="C34" s="537">
        <f t="shared" si="34"/>
        <v>245</v>
      </c>
      <c r="D34" s="45">
        <f t="shared" si="54"/>
        <v>0</v>
      </c>
      <c r="E34" s="45">
        <f t="shared" si="55"/>
        <v>0</v>
      </c>
      <c r="F34" s="537">
        <f t="shared" si="13"/>
        <v>2253</v>
      </c>
      <c r="G34" s="52">
        <f t="shared" si="56"/>
        <v>0</v>
      </c>
      <c r="H34" s="537">
        <f t="shared" si="36"/>
        <v>44335</v>
      </c>
      <c r="I34" s="380">
        <f t="shared" si="57"/>
        <v>0</v>
      </c>
      <c r="J34" s="66">
        <f t="shared" si="58"/>
        <v>0</v>
      </c>
      <c r="K34" s="537">
        <f t="shared" si="15"/>
        <v>2433</v>
      </c>
      <c r="L34" s="52">
        <f t="shared" si="59"/>
        <v>0</v>
      </c>
      <c r="M34" s="537">
        <f t="shared" si="17"/>
        <v>180691</v>
      </c>
      <c r="N34" s="380">
        <f t="shared" si="60"/>
        <v>0</v>
      </c>
      <c r="O34" s="64">
        <f t="shared" si="48"/>
        <v>1869</v>
      </c>
      <c r="P34" s="537">
        <f t="shared" si="45"/>
        <v>2209</v>
      </c>
      <c r="Q34" s="537">
        <f t="shared" si="46"/>
        <v>184800</v>
      </c>
      <c r="R34" s="379">
        <f t="shared" si="61"/>
        <v>0</v>
      </c>
      <c r="S34" s="52">
        <f t="shared" si="62"/>
        <v>0</v>
      </c>
      <c r="T34" s="67">
        <f t="shared" si="63"/>
        <v>0</v>
      </c>
      <c r="U34" s="386">
        <f t="shared" si="64"/>
        <v>0</v>
      </c>
      <c r="V34" s="62">
        <f t="shared" si="65"/>
        <v>0</v>
      </c>
      <c r="W34" s="384"/>
      <c r="X34" s="537">
        <f t="shared" si="21"/>
        <v>2484</v>
      </c>
      <c r="Y34" s="52">
        <f t="shared" si="66"/>
        <v>0</v>
      </c>
      <c r="Z34" s="537">
        <f t="shared" si="23"/>
        <v>140234</v>
      </c>
      <c r="AA34" s="65">
        <f t="shared" si="67"/>
        <v>0</v>
      </c>
      <c r="AB34" s="273">
        <f t="shared" si="68"/>
        <v>0</v>
      </c>
      <c r="AC34" s="537">
        <f t="shared" si="24"/>
        <v>1944</v>
      </c>
      <c r="AD34" s="259">
        <f t="shared" si="69"/>
        <v>0</v>
      </c>
      <c r="AE34" s="537">
        <f t="shared" si="25"/>
        <v>366527</v>
      </c>
      <c r="AF34" s="293">
        <f t="shared" si="70"/>
        <v>0</v>
      </c>
      <c r="AG34" s="209">
        <f t="shared" si="71"/>
        <v>0</v>
      </c>
      <c r="AH34" s="62">
        <f t="shared" si="72"/>
        <v>0</v>
      </c>
      <c r="AI34" s="303">
        <f t="shared" si="73"/>
        <v>0</v>
      </c>
      <c r="AJ34" s="303">
        <f>-tanks!AW35</f>
        <v>0</v>
      </c>
      <c r="AK34" s="303">
        <f t="shared" si="74"/>
        <v>0</v>
      </c>
      <c r="AL34" s="303">
        <f t="shared" si="75"/>
        <v>0</v>
      </c>
      <c r="AM34" s="303">
        <f t="shared" si="76"/>
        <v>0</v>
      </c>
      <c r="AN34" s="537">
        <f t="shared" si="9"/>
        <v>67</v>
      </c>
      <c r="AO34" s="305">
        <f t="shared" si="77"/>
        <v>2010.0000000000002</v>
      </c>
      <c r="AP34" s="537">
        <f t="shared" si="10"/>
        <v>32</v>
      </c>
      <c r="AQ34" s="305">
        <f t="shared" si="78"/>
        <v>960</v>
      </c>
      <c r="AR34" s="537">
        <f t="shared" si="11"/>
        <v>75</v>
      </c>
      <c r="AS34" s="305">
        <f t="shared" si="79"/>
        <v>2250</v>
      </c>
      <c r="AT34" s="305">
        <f t="shared" si="80"/>
        <v>5220</v>
      </c>
      <c r="AU34" s="305">
        <f t="shared" si="81"/>
        <v>0</v>
      </c>
      <c r="AV34" s="259"/>
      <c r="AW34" s="259"/>
      <c r="AX34" s="298">
        <f t="shared" si="82"/>
        <v>0.8</v>
      </c>
    </row>
    <row r="35" spans="1:50">
      <c r="A35" s="63">
        <f>ELEC!C34</f>
        <v>44743</v>
      </c>
      <c r="B35" s="537">
        <f t="shared" si="33"/>
        <v>239</v>
      </c>
      <c r="C35" s="537">
        <f t="shared" si="34"/>
        <v>245</v>
      </c>
      <c r="D35" s="45">
        <f t="shared" si="54"/>
        <v>0</v>
      </c>
      <c r="E35" s="45">
        <f t="shared" si="55"/>
        <v>0</v>
      </c>
      <c r="F35" s="537">
        <f t="shared" si="13"/>
        <v>2253</v>
      </c>
      <c r="G35" s="52">
        <f t="shared" si="56"/>
        <v>0</v>
      </c>
      <c r="H35" s="537">
        <f t="shared" si="36"/>
        <v>44335</v>
      </c>
      <c r="I35" s="380">
        <f t="shared" si="57"/>
        <v>0</v>
      </c>
      <c r="J35" s="66">
        <f t="shared" si="58"/>
        <v>0</v>
      </c>
      <c r="K35" s="537">
        <f t="shared" si="15"/>
        <v>2433</v>
      </c>
      <c r="L35" s="52">
        <f t="shared" si="59"/>
        <v>0</v>
      </c>
      <c r="M35" s="537">
        <f t="shared" si="17"/>
        <v>180691</v>
      </c>
      <c r="N35" s="380">
        <f t="shared" si="60"/>
        <v>0</v>
      </c>
      <c r="O35" s="64">
        <f t="shared" si="48"/>
        <v>1869</v>
      </c>
      <c r="P35" s="537">
        <f t="shared" si="45"/>
        <v>2209</v>
      </c>
      <c r="Q35" s="537">
        <f t="shared" si="46"/>
        <v>184800</v>
      </c>
      <c r="R35" s="379">
        <f t="shared" si="61"/>
        <v>0</v>
      </c>
      <c r="S35" s="52">
        <f t="shared" si="62"/>
        <v>0</v>
      </c>
      <c r="T35" s="67">
        <f t="shared" si="63"/>
        <v>0</v>
      </c>
      <c r="U35" s="386">
        <f t="shared" si="64"/>
        <v>0</v>
      </c>
      <c r="V35" s="62">
        <f t="shared" si="65"/>
        <v>0</v>
      </c>
      <c r="W35" s="384"/>
      <c r="X35" s="537">
        <f t="shared" si="21"/>
        <v>2484</v>
      </c>
      <c r="Y35" s="52">
        <f t="shared" si="66"/>
        <v>0</v>
      </c>
      <c r="Z35" s="537">
        <f t="shared" si="23"/>
        <v>140234</v>
      </c>
      <c r="AA35" s="65">
        <f t="shared" si="67"/>
        <v>0</v>
      </c>
      <c r="AB35" s="273">
        <f t="shared" si="68"/>
        <v>0</v>
      </c>
      <c r="AC35" s="537">
        <f t="shared" si="24"/>
        <v>1944</v>
      </c>
      <c r="AD35" s="259">
        <f t="shared" si="69"/>
        <v>0</v>
      </c>
      <c r="AE35" s="537">
        <f t="shared" si="25"/>
        <v>366527</v>
      </c>
      <c r="AF35" s="293">
        <f t="shared" si="70"/>
        <v>0</v>
      </c>
      <c r="AG35" s="209">
        <f t="shared" si="71"/>
        <v>0</v>
      </c>
      <c r="AH35" s="62">
        <f t="shared" si="72"/>
        <v>0</v>
      </c>
      <c r="AI35" s="303">
        <f t="shared" si="73"/>
        <v>0</v>
      </c>
      <c r="AJ35" s="303">
        <f>-tanks!AW36</f>
        <v>0</v>
      </c>
      <c r="AK35" s="303">
        <f t="shared" si="74"/>
        <v>0</v>
      </c>
      <c r="AL35" s="303">
        <f t="shared" si="75"/>
        <v>0</v>
      </c>
      <c r="AM35" s="303">
        <f t="shared" si="76"/>
        <v>0</v>
      </c>
      <c r="AN35" s="537">
        <f t="shared" si="9"/>
        <v>67</v>
      </c>
      <c r="AO35" s="305">
        <f t="shared" si="77"/>
        <v>2010.0000000000002</v>
      </c>
      <c r="AP35" s="537">
        <f t="shared" si="10"/>
        <v>32</v>
      </c>
      <c r="AQ35" s="305">
        <f t="shared" si="78"/>
        <v>960</v>
      </c>
      <c r="AR35" s="537">
        <f t="shared" si="11"/>
        <v>75</v>
      </c>
      <c r="AS35" s="305">
        <f t="shared" si="79"/>
        <v>2250</v>
      </c>
      <c r="AT35" s="305">
        <f t="shared" si="80"/>
        <v>5220</v>
      </c>
      <c r="AU35" s="305">
        <f t="shared" si="81"/>
        <v>0</v>
      </c>
      <c r="AV35" s="259"/>
      <c r="AW35" s="259"/>
      <c r="AX35" s="298">
        <f t="shared" si="82"/>
        <v>0.8</v>
      </c>
    </row>
    <row r="36" spans="1:50">
      <c r="J36" s="272">
        <f>SUM(J5:J32)/(COUNT(J5:J32)-COUNTIF(J5:J32,0))</f>
        <v>60.833333333333336</v>
      </c>
      <c r="U36" s="70">
        <f>SUM(U5:U35)</f>
        <v>12</v>
      </c>
      <c r="V36" s="62">
        <f>SUM(V5:V35)</f>
        <v>1119</v>
      </c>
      <c r="AE36" s="71" t="s">
        <v>379</v>
      </c>
      <c r="AG36" s="329"/>
      <c r="AH36" s="62">
        <f>SUM(AH5:AH35)</f>
        <v>366</v>
      </c>
      <c r="AL36" s="62">
        <f>SUM(AL5:AL35)</f>
        <v>12</v>
      </c>
      <c r="AM36" s="62">
        <f>SUM(AM5:AM35)</f>
        <v>2</v>
      </c>
      <c r="AP36" s="298"/>
      <c r="AQ36" s="298"/>
      <c r="AR36" s="298" t="s">
        <v>222</v>
      </c>
      <c r="AS36" s="298">
        <f>COUNT(AW5:AW35)</f>
        <v>0</v>
      </c>
      <c r="AT36" s="298"/>
      <c r="AU36" s="298">
        <f>SUM(AU5:AU35)</f>
        <v>0</v>
      </c>
      <c r="AV36" s="71">
        <f>SUM(AV5:AV35)</f>
        <v>0</v>
      </c>
      <c r="AW36" s="298" t="e">
        <f>SUM(AW5:AW35)/AS36</f>
        <v>#DIV/0!</v>
      </c>
    </row>
    <row r="37" spans="1:50">
      <c r="V37" s="70">
        <f>V36/U36</f>
        <v>93.25</v>
      </c>
      <c r="AH37" s="62">
        <f>AF37+AA37</f>
        <v>0</v>
      </c>
      <c r="AI37" s="306">
        <f>SUM(AI5:AI35)</f>
        <v>1485</v>
      </c>
      <c r="AP37" s="298"/>
      <c r="AQ37" s="298"/>
      <c r="AR37" s="298"/>
      <c r="AS37" s="298"/>
      <c r="AT37" s="298"/>
      <c r="AU37" s="298"/>
      <c r="AV37" s="298"/>
      <c r="AW37" s="298"/>
    </row>
    <row r="38" spans="1:50">
      <c r="AH38" s="62">
        <f>AF38+AA38</f>
        <v>0</v>
      </c>
      <c r="AP38" s="298"/>
      <c r="AQ38" s="298"/>
      <c r="AR38" s="298"/>
      <c r="AS38" s="298"/>
      <c r="AT38" s="298"/>
      <c r="AU38" s="298">
        <f>AU36*0.51</f>
        <v>0</v>
      </c>
      <c r="AV38" s="298">
        <f>AV36/0.51</f>
        <v>0</v>
      </c>
      <c r="AW38" s="298" t="e">
        <f>SUM(AW5:AW32)/AS36</f>
        <v>#DIV/0!</v>
      </c>
    </row>
    <row r="39" spans="1:50">
      <c r="AP39" s="298"/>
      <c r="AQ39" s="298"/>
      <c r="AR39" s="298"/>
      <c r="AS39" s="298"/>
      <c r="AT39" s="298"/>
      <c r="AU39" s="298"/>
      <c r="AV39" s="298">
        <f>AV36*0.51</f>
        <v>0</v>
      </c>
      <c r="AW39" s="298"/>
    </row>
    <row r="40" spans="1:50">
      <c r="AP40" s="298"/>
      <c r="AQ40" s="298"/>
      <c r="AR40" s="298"/>
      <c r="AS40" s="298"/>
      <c r="AT40" s="298"/>
      <c r="AU40" s="298"/>
      <c r="AV40" s="298"/>
      <c r="AW40" s="298"/>
    </row>
    <row r="41" spans="1:50">
      <c r="P41" s="69"/>
      <c r="Q41" s="69"/>
      <c r="R41" s="69"/>
      <c r="AP41" s="298"/>
      <c r="AQ41" s="298"/>
      <c r="AR41" s="298"/>
      <c r="AS41" s="298"/>
      <c r="AT41" s="298"/>
      <c r="AU41" s="298"/>
      <c r="AV41" s="298"/>
      <c r="AW41" s="298"/>
    </row>
    <row r="43" spans="1:50">
      <c r="AG43" s="341" t="s">
        <v>371</v>
      </c>
    </row>
  </sheetData>
  <mergeCells count="6">
    <mergeCell ref="Q2:R2"/>
    <mergeCell ref="P1:T1"/>
    <mergeCell ref="X1:AB1"/>
    <mergeCell ref="AC1:AF1"/>
    <mergeCell ref="F1:I1"/>
    <mergeCell ref="K1:O1"/>
  </mergeCells>
  <conditionalFormatting sqref="AV5:AW35">
    <cfRule type="cellIs" dxfId="6" priority="2" stopIfTrue="1" operator="greaterThan">
      <formula>0</formula>
    </cfRule>
  </conditionalFormatting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>
  <dimension ref="A1:BM75"/>
  <sheetViews>
    <sheetView topLeftCell="AP1" zoomScale="90" zoomScaleNormal="90" workbookViewId="0">
      <pane ySplit="3" topLeftCell="A4" activePane="bottomLeft" state="frozen"/>
      <selection pane="bottomLeft" activeCell="AY20" sqref="AY20"/>
    </sheetView>
  </sheetViews>
  <sheetFormatPr defaultRowHeight="15"/>
  <cols>
    <col min="1" max="1" width="10.7109375" bestFit="1" customWidth="1"/>
    <col min="2" max="2" width="9.7109375" style="1" customWidth="1"/>
    <col min="3" max="3" width="11" style="1" customWidth="1"/>
    <col min="4" max="4" width="18" style="1" customWidth="1"/>
    <col min="5" max="6" width="12.28515625" style="317" customWidth="1"/>
    <col min="7" max="7" width="10.28515625" style="1" customWidth="1"/>
    <col min="8" max="8" width="10.7109375" style="1" bestFit="1" customWidth="1"/>
    <col min="9" max="9" width="9.28515625" style="1" customWidth="1"/>
    <col min="10" max="10" width="14.42578125" style="317" customWidth="1"/>
    <col min="11" max="11" width="13.5703125" style="1" customWidth="1"/>
    <col min="12" max="12" width="13.28515625" style="1" customWidth="1"/>
    <col min="13" max="13" width="10.7109375" style="465" customWidth="1"/>
    <col min="14" max="14" width="10.7109375" style="467" customWidth="1"/>
    <col min="15" max="15" width="11.28515625" style="465" customWidth="1"/>
    <col min="16" max="16" width="11.28515625" style="467" customWidth="1"/>
    <col min="17" max="17" width="17.28515625" style="465" customWidth="1"/>
    <col min="18" max="19" width="10.7109375" style="465" customWidth="1"/>
    <col min="20" max="20" width="13.28515625" style="390" customWidth="1"/>
    <col min="21" max="21" width="8.7109375" style="392" customWidth="1"/>
    <col min="22" max="22" width="13.28515625" style="307" customWidth="1"/>
    <col min="23" max="23" width="9.7109375" style="307" bestFit="1" customWidth="1"/>
    <col min="24" max="27" width="9.7109375" style="307" customWidth="1"/>
    <col min="28" max="28" width="14.42578125" style="307" customWidth="1"/>
    <col min="29" max="32" width="9.7109375" style="307" customWidth="1"/>
    <col min="33" max="33" width="11.28515625" style="307" customWidth="1"/>
    <col min="34" max="36" width="9.7109375" style="307" customWidth="1"/>
    <col min="37" max="37" width="7.42578125" style="307" customWidth="1"/>
    <col min="38" max="39" width="8.7109375" style="307" customWidth="1"/>
    <col min="40" max="40" width="6.7109375" style="1" customWidth="1"/>
    <col min="41" max="41" width="7.42578125" customWidth="1"/>
    <col min="42" max="42" width="11.5703125" bestFit="1" customWidth="1"/>
    <col min="43" max="43" width="8.7109375" bestFit="1" customWidth="1"/>
    <col min="44" max="44" width="11.7109375" bestFit="1" customWidth="1"/>
    <col min="45" max="46" width="10.28515625" bestFit="1" customWidth="1"/>
    <col min="47" max="47" width="11" customWidth="1"/>
    <col min="48" max="48" width="9.28515625" bestFit="1" customWidth="1"/>
    <col min="49" max="49" width="7.7109375" bestFit="1" customWidth="1"/>
    <col min="50" max="50" width="9.28515625" bestFit="1" customWidth="1"/>
    <col min="51" max="51" width="11" bestFit="1" customWidth="1"/>
    <col min="52" max="52" width="9.7109375" bestFit="1" customWidth="1"/>
    <col min="53" max="53" width="11.28515625" bestFit="1" customWidth="1"/>
    <col min="54" max="54" width="12.42578125" customWidth="1"/>
    <col min="55" max="55" width="12.5703125" bestFit="1" customWidth="1"/>
    <col min="56" max="56" width="14.28515625" bestFit="1" customWidth="1"/>
    <col min="57" max="57" width="12.42578125" bestFit="1" customWidth="1"/>
    <col min="58" max="58" width="12.7109375" bestFit="1" customWidth="1"/>
    <col min="59" max="59" width="9.28515625" bestFit="1" customWidth="1"/>
  </cols>
  <sheetData>
    <row r="1" spans="1:65" s="343" customFormat="1" ht="15.75" thickBot="1">
      <c r="B1" s="344"/>
      <c r="C1" s="344"/>
      <c r="D1" s="399">
        <f>SUM(G21:G33)</f>
        <v>8181004</v>
      </c>
      <c r="E1" s="345"/>
      <c r="F1" s="345"/>
      <c r="G1" s="344"/>
      <c r="H1" s="344"/>
      <c r="I1" s="344"/>
      <c r="J1" s="345"/>
      <c r="K1" s="344"/>
      <c r="L1" s="344"/>
      <c r="M1" s="344"/>
      <c r="N1" s="344"/>
      <c r="O1" s="344"/>
      <c r="P1" s="344"/>
      <c r="Q1" s="344"/>
      <c r="R1" s="344"/>
      <c r="S1" s="344"/>
      <c r="T1" s="344"/>
      <c r="U1" s="344"/>
      <c r="V1" s="346"/>
      <c r="W1" s="346"/>
      <c r="X1" s="346"/>
      <c r="Y1" s="346"/>
      <c r="Z1" s="346"/>
      <c r="AA1" s="346"/>
      <c r="AB1" s="346"/>
      <c r="AC1" s="346"/>
      <c r="AD1" s="346"/>
      <c r="AE1" s="346"/>
      <c r="AF1" s="346"/>
      <c r="AG1" s="346"/>
      <c r="AH1" s="346"/>
      <c r="AI1" s="346"/>
      <c r="AJ1" s="346"/>
      <c r="AK1" s="346"/>
      <c r="AL1" s="346"/>
      <c r="AM1" s="346"/>
      <c r="AN1" s="344"/>
      <c r="AR1" s="347" t="s">
        <v>92</v>
      </c>
      <c r="AS1" s="348"/>
      <c r="AT1" s="348" t="s">
        <v>60</v>
      </c>
      <c r="AU1" s="348"/>
      <c r="AV1" s="349" t="s">
        <v>61</v>
      </c>
    </row>
    <row r="2" spans="1:65" s="343" customFormat="1" ht="15.75" customHeight="1" thickBot="1">
      <c r="B2" s="344"/>
      <c r="C2" s="344"/>
      <c r="D2" s="344"/>
      <c r="E2" s="345"/>
      <c r="F2" s="345"/>
      <c r="G2" s="344"/>
      <c r="H2" s="344"/>
      <c r="I2" s="344"/>
      <c r="J2" s="345"/>
      <c r="K2" s="344"/>
      <c r="L2" s="344"/>
      <c r="M2" s="344"/>
      <c r="N2" s="344"/>
      <c r="O2" s="344"/>
      <c r="P2" s="344"/>
      <c r="Q2" s="344"/>
      <c r="R2" s="344"/>
      <c r="S2" s="344"/>
      <c r="T2" s="344"/>
      <c r="U2" s="344"/>
      <c r="V2" s="346"/>
      <c r="W2" s="346"/>
      <c r="X2" s="346"/>
      <c r="Y2" s="346"/>
      <c r="Z2" s="346"/>
      <c r="AA2" s="346"/>
      <c r="AB2" s="346"/>
      <c r="AC2" s="346"/>
      <c r="AD2" s="346"/>
      <c r="AE2" s="346"/>
      <c r="AF2" s="346"/>
      <c r="AG2" s="346"/>
      <c r="AH2" s="346"/>
      <c r="AI2" s="346"/>
      <c r="AJ2" s="346"/>
      <c r="AK2" s="346"/>
      <c r="AL2" s="346"/>
      <c r="AM2" s="346"/>
      <c r="AN2" s="344"/>
      <c r="AR2" s="628" t="s">
        <v>95</v>
      </c>
      <c r="AS2" s="629"/>
      <c r="AT2" s="629"/>
      <c r="AU2" s="629"/>
      <c r="AV2" s="630"/>
      <c r="AW2" s="628" t="s">
        <v>96</v>
      </c>
      <c r="AX2" s="629"/>
      <c r="AY2" s="630"/>
      <c r="AZ2" s="628" t="s">
        <v>98</v>
      </c>
      <c r="BA2" s="629"/>
      <c r="BB2" s="630"/>
      <c r="BC2" s="350"/>
      <c r="BE2" s="351"/>
    </row>
    <row r="3" spans="1:65" s="343" customFormat="1" ht="48" customHeight="1" thickBot="1">
      <c r="A3" s="352" t="s">
        <v>51</v>
      </c>
      <c r="B3" s="353" t="s">
        <v>52</v>
      </c>
      <c r="C3" s="353" t="s">
        <v>53</v>
      </c>
      <c r="D3" s="353" t="s">
        <v>54</v>
      </c>
      <c r="E3" s="354"/>
      <c r="F3" s="355" t="s">
        <v>80</v>
      </c>
      <c r="G3" s="353" t="s">
        <v>55</v>
      </c>
      <c r="H3" s="353" t="s">
        <v>56</v>
      </c>
      <c r="I3" s="353" t="s">
        <v>100</v>
      </c>
      <c r="J3" s="354"/>
      <c r="K3" s="353" t="s">
        <v>388</v>
      </c>
      <c r="L3" s="356" t="s">
        <v>324</v>
      </c>
      <c r="M3" s="479" t="s">
        <v>395</v>
      </c>
      <c r="N3" s="480"/>
      <c r="O3" s="481" t="s">
        <v>396</v>
      </c>
      <c r="P3" s="481"/>
      <c r="Q3" s="481" t="s">
        <v>392</v>
      </c>
      <c r="R3" s="481" t="s">
        <v>394</v>
      </c>
      <c r="S3" s="481" t="s">
        <v>393</v>
      </c>
      <c r="T3" s="353" t="s">
        <v>376</v>
      </c>
      <c r="U3" s="353" t="s">
        <v>378</v>
      </c>
      <c r="V3" s="357" t="s">
        <v>328</v>
      </c>
      <c r="W3" s="358" t="s">
        <v>329</v>
      </c>
      <c r="X3" s="357" t="s">
        <v>332</v>
      </c>
      <c r="Y3" s="358" t="s">
        <v>333</v>
      </c>
      <c r="Z3" s="359" t="s">
        <v>334</v>
      </c>
      <c r="AA3" s="360" t="s">
        <v>391</v>
      </c>
      <c r="AB3" s="422" t="s">
        <v>390</v>
      </c>
      <c r="AC3" s="420" t="s">
        <v>389</v>
      </c>
      <c r="AD3" s="420"/>
      <c r="AE3" s="361" t="s">
        <v>399</v>
      </c>
      <c r="AF3" s="361" t="s">
        <v>400</v>
      </c>
      <c r="AG3" s="361" t="s">
        <v>401</v>
      </c>
      <c r="AH3" s="361" t="s">
        <v>402</v>
      </c>
      <c r="AI3" s="360" t="s">
        <v>403</v>
      </c>
      <c r="AJ3" s="360" t="s">
        <v>335</v>
      </c>
      <c r="AK3" s="361" t="s">
        <v>337</v>
      </c>
      <c r="AL3" s="361" t="s">
        <v>336</v>
      </c>
      <c r="AM3" s="362" t="s">
        <v>125</v>
      </c>
      <c r="AN3" s="625" t="s">
        <v>126</v>
      </c>
      <c r="AO3" s="626"/>
      <c r="AP3" s="627"/>
      <c r="AR3" s="363" t="s">
        <v>51</v>
      </c>
      <c r="AS3" s="364"/>
      <c r="AT3" s="363" t="s">
        <v>94</v>
      </c>
      <c r="AU3" s="364"/>
      <c r="AV3" s="365" t="s">
        <v>57</v>
      </c>
      <c r="AW3" s="366"/>
      <c r="AX3" s="364" t="s">
        <v>59</v>
      </c>
      <c r="AY3" s="367" t="s">
        <v>93</v>
      </c>
      <c r="AZ3" s="365" t="s">
        <v>57</v>
      </c>
      <c r="BA3" s="368" t="s">
        <v>59</v>
      </c>
      <c r="BB3" s="369" t="s">
        <v>57</v>
      </c>
      <c r="BC3" s="369" t="s">
        <v>58</v>
      </c>
      <c r="BD3" s="370" t="s">
        <v>59</v>
      </c>
      <c r="BE3" s="371" t="s">
        <v>99</v>
      </c>
      <c r="BF3" s="370" t="s">
        <v>97</v>
      </c>
      <c r="BG3" s="372"/>
      <c r="BI3" s="373"/>
      <c r="BJ3" s="373"/>
      <c r="BK3" s="373"/>
      <c r="BL3" s="373"/>
      <c r="BM3" s="373"/>
    </row>
    <row r="4" spans="1:65" ht="16.5" thickBot="1">
      <c r="A4" s="87"/>
      <c r="B4" s="5"/>
      <c r="C4" s="5"/>
      <c r="D4" s="256"/>
      <c r="E4" s="318">
        <v>1.66</v>
      </c>
      <c r="F4" s="318"/>
      <c r="G4" s="5"/>
      <c r="H4" s="5"/>
      <c r="I4" s="5"/>
      <c r="J4" s="319"/>
      <c r="K4" s="5"/>
      <c r="L4" s="83"/>
      <c r="M4" s="482"/>
      <c r="N4" s="482"/>
      <c r="O4" s="482"/>
      <c r="P4" s="482"/>
      <c r="Q4" s="482"/>
      <c r="R4" s="482"/>
      <c r="S4" s="482"/>
      <c r="T4" s="83"/>
      <c r="U4" s="83"/>
      <c r="V4" s="308"/>
      <c r="W4" s="309"/>
      <c r="X4" s="308"/>
      <c r="Y4" s="309"/>
      <c r="Z4" s="310"/>
      <c r="AA4" s="421"/>
      <c r="AB4" s="423"/>
      <c r="AC4" s="421"/>
      <c r="AD4" s="421"/>
      <c r="AE4" s="421"/>
      <c r="AF4" s="421"/>
      <c r="AG4" s="421"/>
      <c r="AH4" s="421"/>
      <c r="AI4" s="421"/>
      <c r="AJ4" s="311"/>
      <c r="AK4" s="312"/>
      <c r="AL4" s="312"/>
      <c r="AM4" s="313"/>
      <c r="AN4" s="88" t="s">
        <v>129</v>
      </c>
      <c r="AO4" s="88" t="s">
        <v>130</v>
      </c>
      <c r="AP4" s="88" t="s">
        <v>157</v>
      </c>
      <c r="AR4" s="228"/>
      <c r="AS4" s="229"/>
      <c r="AT4" s="228">
        <v>180</v>
      </c>
      <c r="AU4" s="229"/>
      <c r="AV4" s="230">
        <v>220</v>
      </c>
      <c r="AW4" s="231"/>
      <c r="AX4" s="229">
        <v>580</v>
      </c>
      <c r="AY4" s="89">
        <f>SUM(AT4)</f>
        <v>180</v>
      </c>
      <c r="AZ4" s="90">
        <f>SUM(AV4)</f>
        <v>220</v>
      </c>
      <c r="BA4" s="91">
        <f>SUM(AX4)</f>
        <v>580</v>
      </c>
      <c r="BB4" s="92"/>
      <c r="BC4" s="93"/>
      <c r="BD4" s="94"/>
      <c r="BE4" s="23"/>
      <c r="BG4" s="96"/>
      <c r="BI4" s="17"/>
      <c r="BJ4" s="17"/>
      <c r="BK4" s="17"/>
      <c r="BL4" s="17"/>
      <c r="BM4" s="17"/>
    </row>
    <row r="5" spans="1:65">
      <c r="A5" s="6">
        <f>[2]WATER!$A$36</f>
        <v>44712</v>
      </c>
      <c r="B5" s="393">
        <f>[2]WATER!B36</f>
        <v>109443</v>
      </c>
      <c r="C5" s="393">
        <f>[2]WATER!C36</f>
        <v>0</v>
      </c>
      <c r="D5" s="393">
        <f>[2]WATER!D36</f>
        <v>0</v>
      </c>
      <c r="E5" s="393">
        <f>[2]WATER!E36</f>
        <v>241.93548387096774</v>
      </c>
      <c r="F5" s="393">
        <f>[2]WATER!F36</f>
        <v>0</v>
      </c>
      <c r="G5" s="393">
        <f>[2]WATER!G36</f>
        <v>628947</v>
      </c>
      <c r="H5" s="393">
        <f>[2]WATER!H36</f>
        <v>21</v>
      </c>
      <c r="I5" s="393">
        <f>[2]WATER!I36</f>
        <v>21</v>
      </c>
      <c r="J5" s="393">
        <f>[2]WATER!J36</f>
        <v>11.52073732718894</v>
      </c>
      <c r="K5" s="393">
        <f>[2]WATER!K36</f>
        <v>7089</v>
      </c>
      <c r="L5" s="393">
        <f>[2]WATER!L36</f>
        <v>0</v>
      </c>
      <c r="M5" s="393">
        <f>[2]WATER!M36</f>
        <v>457.44</v>
      </c>
      <c r="N5" s="393">
        <f>[2]WATER!N36</f>
        <v>0</v>
      </c>
      <c r="O5" s="393">
        <f>[2]WATER!O36</f>
        <v>529.52</v>
      </c>
      <c r="P5" s="393">
        <f>[2]WATER!P36</f>
        <v>0</v>
      </c>
      <c r="Q5" s="393">
        <f>[2]WATER!Q36</f>
        <v>0</v>
      </c>
      <c r="R5" s="393">
        <f>[2]WATER!R36</f>
        <v>0</v>
      </c>
      <c r="S5" s="393">
        <f>[2]WATER!S36</f>
        <v>0</v>
      </c>
      <c r="T5" s="393">
        <f>[2]WATER!T36</f>
        <v>5187</v>
      </c>
      <c r="U5" s="393">
        <f>[2]WATER!U36</f>
        <v>1</v>
      </c>
      <c r="V5" s="393">
        <f>[2]WATER!V36</f>
        <v>494</v>
      </c>
      <c r="W5" s="393">
        <f>[2]WATER!W36</f>
        <v>1</v>
      </c>
      <c r="X5" s="393">
        <f>[2]WATER!X36</f>
        <v>155524</v>
      </c>
      <c r="Y5" s="393">
        <f>[2]WATER!Y36</f>
        <v>0</v>
      </c>
      <c r="Z5" s="393">
        <f>[2]WATER!Z36</f>
        <v>99465</v>
      </c>
      <c r="AA5" s="393">
        <f>[2]WATER!AA36</f>
        <v>0</v>
      </c>
      <c r="AB5" s="393">
        <f>[2]WATER!AB36</f>
        <v>243</v>
      </c>
      <c r="AC5" s="393">
        <f>[2]WATER!AC36</f>
        <v>790</v>
      </c>
      <c r="AD5" s="393">
        <f>[2]WATER!AD36</f>
        <v>0</v>
      </c>
      <c r="AE5" s="393">
        <f>[2]WATER!AE36</f>
        <v>244.4</v>
      </c>
      <c r="AF5" s="393">
        <f>[2]WATER!AF36</f>
        <v>0</v>
      </c>
      <c r="AG5" s="393">
        <f>[2]WATER!AG36</f>
        <v>2247.41</v>
      </c>
      <c r="AH5" s="393">
        <f>[2]WATER!AH36</f>
        <v>0</v>
      </c>
      <c r="AI5" s="393">
        <f>[2]WATER!AI36</f>
        <v>0</v>
      </c>
      <c r="AJ5" s="393">
        <f>[2]WATER!AJ36</f>
        <v>0</v>
      </c>
      <c r="AK5" s="393">
        <f>[2]WATER!AK36</f>
        <v>0</v>
      </c>
      <c r="AL5" s="393">
        <f>[2]WATER!AL36</f>
        <v>-1</v>
      </c>
      <c r="AM5" s="393">
        <f>[2]WATER!AM36</f>
        <v>24</v>
      </c>
      <c r="AN5" s="393">
        <f>[2]WATER!AN36</f>
        <v>0</v>
      </c>
      <c r="AO5" s="393">
        <f>[2]WATER!AO36</f>
        <v>0</v>
      </c>
      <c r="AP5" s="393">
        <f>[2]WATER!AP36</f>
        <v>0</v>
      </c>
      <c r="AR5" s="543">
        <f>[2]WATER!$AR$36</f>
        <v>44712</v>
      </c>
      <c r="AS5" s="393">
        <f>[2]WATER!AS36</f>
        <v>0.9</v>
      </c>
      <c r="AT5" s="393">
        <f>[2]WATER!AT36</f>
        <v>102</v>
      </c>
      <c r="AU5" s="393">
        <f>[2]WATER!AU36</f>
        <v>1.1000000000000001</v>
      </c>
      <c r="AV5" s="393">
        <f>[2]WATER!AV36</f>
        <v>125</v>
      </c>
      <c r="AW5" s="393">
        <f>[2]WATER!AW36</f>
        <v>2.9</v>
      </c>
      <c r="AX5" s="393">
        <f>[2]WATER!AX36</f>
        <v>128</v>
      </c>
      <c r="AY5" s="393">
        <f>[2]WATER!AY36</f>
        <v>91.8</v>
      </c>
      <c r="AZ5" s="393">
        <f>[2]WATER!AZ36</f>
        <v>137.5</v>
      </c>
      <c r="BA5" s="393">
        <f>[2]WATER!BA36</f>
        <v>371.2</v>
      </c>
      <c r="BB5" s="393">
        <f>[2]WATER!BB36</f>
        <v>-2.7000000000000028</v>
      </c>
      <c r="BC5" s="393">
        <f>[2]WATER!BC36</f>
        <v>8.7999999999999829</v>
      </c>
      <c r="BD5" s="393">
        <f>[2]WATER!BD36</f>
        <v>-5.8000000000000114</v>
      </c>
      <c r="BE5" s="393">
        <f>[2]WATER!BE36</f>
        <v>0.29999999999996874</v>
      </c>
      <c r="BF5" s="393">
        <f>[2]WATER!BF36</f>
        <v>20.700000000000031</v>
      </c>
      <c r="BG5" s="393">
        <f>[2]WATER!BG36</f>
        <v>0.29999999999996874</v>
      </c>
    </row>
    <row r="6" spans="1:65" ht="15.75" thickBot="1">
      <c r="A6" s="6">
        <f>ELEC!C4</f>
        <v>44713</v>
      </c>
      <c r="B6" s="5">
        <f>B5</f>
        <v>109443</v>
      </c>
      <c r="C6" s="5">
        <f>B6-B5</f>
        <v>0</v>
      </c>
      <c r="D6" s="402">
        <f>C6/27</f>
        <v>0</v>
      </c>
      <c r="E6" s="318">
        <f>SUM((C6*$E$4)+(7500/'EDl log'!$A$37))</f>
        <v>250</v>
      </c>
      <c r="F6" s="401"/>
      <c r="G6" s="5">
        <f>G5</f>
        <v>628947</v>
      </c>
      <c r="H6" s="5">
        <f>G6-G5</f>
        <v>0</v>
      </c>
      <c r="I6" s="5">
        <f>C6+H6</f>
        <v>0</v>
      </c>
      <c r="J6" s="319">
        <f t="shared" ref="J6:J33" si="0">IF(I6&gt;0,E6/I6,0)</f>
        <v>0</v>
      </c>
      <c r="K6" s="5">
        <f>K5</f>
        <v>7089</v>
      </c>
      <c r="L6" s="83">
        <v>0</v>
      </c>
      <c r="M6" s="393">
        <f>M5</f>
        <v>457.44</v>
      </c>
      <c r="N6" s="482">
        <f t="shared" ref="N6:N13" si="1">SUM(M6-M5)</f>
        <v>0</v>
      </c>
      <c r="O6" s="393">
        <f>O5</f>
        <v>529.52</v>
      </c>
      <c r="P6" s="482">
        <f t="shared" ref="P6:P13" si="2">SUM(O6-O5)</f>
        <v>0</v>
      </c>
      <c r="Q6" s="483">
        <f>P6+N6</f>
        <v>0</v>
      </c>
      <c r="R6" s="482"/>
      <c r="S6" s="482"/>
      <c r="T6" s="5">
        <f>T5</f>
        <v>5187</v>
      </c>
      <c r="U6" s="5">
        <f t="shared" ref="U6:U33" si="3">SUM(T6-T5)</f>
        <v>0</v>
      </c>
      <c r="V6" s="5">
        <f>V5</f>
        <v>494</v>
      </c>
      <c r="W6" s="309">
        <f>+V6-V5</f>
        <v>0</v>
      </c>
      <c r="X6" s="5">
        <f>X5</f>
        <v>155524</v>
      </c>
      <c r="Y6" s="309">
        <f>SUM(X6-X5)</f>
        <v>0</v>
      </c>
      <c r="Z6" s="5">
        <f>Z5</f>
        <v>99465</v>
      </c>
      <c r="AA6" s="83">
        <f>Z6-Z5</f>
        <v>0</v>
      </c>
      <c r="AB6" s="5">
        <f>AB5</f>
        <v>243</v>
      </c>
      <c r="AC6" s="5">
        <f>AC5</f>
        <v>790</v>
      </c>
      <c r="AD6" s="83">
        <v>0</v>
      </c>
      <c r="AE6" s="5">
        <f>AE5</f>
        <v>244.4</v>
      </c>
      <c r="AF6" s="83">
        <f>AE6-AE5</f>
        <v>0</v>
      </c>
      <c r="AG6" s="5">
        <f>AG5</f>
        <v>2247.41</v>
      </c>
      <c r="AH6" s="83">
        <f>AG6-AG5</f>
        <v>0</v>
      </c>
      <c r="AI6" s="83">
        <f>AF6+AH6</f>
        <v>0</v>
      </c>
      <c r="AJ6" s="311">
        <f>+Z6-Z5</f>
        <v>0</v>
      </c>
      <c r="AK6" s="312">
        <f>SUM(Y6-L6)</f>
        <v>0</v>
      </c>
      <c r="AL6" s="312">
        <f>SUM(AJ6-W6)</f>
        <v>0</v>
      </c>
      <c r="AM6" s="312">
        <f>'General information '!D5</f>
        <v>23</v>
      </c>
      <c r="AN6" s="84">
        <f>'General information '!H5</f>
        <v>0</v>
      </c>
      <c r="AO6" s="84"/>
      <c r="AP6" s="84">
        <f>'General information '!J5</f>
        <v>0</v>
      </c>
      <c r="AR6" s="266">
        <f>A6</f>
        <v>44713</v>
      </c>
      <c r="AS6" s="407">
        <f>AS5</f>
        <v>0.9</v>
      </c>
      <c r="AT6" s="201">
        <v>102</v>
      </c>
      <c r="AU6" s="408">
        <f>AU5</f>
        <v>1.1000000000000001</v>
      </c>
      <c r="AV6" s="201">
        <v>118</v>
      </c>
      <c r="AW6" s="5">
        <v>2.9</v>
      </c>
      <c r="AX6" s="201">
        <v>127</v>
      </c>
      <c r="AY6" s="409">
        <f>AS6*AT6</f>
        <v>91.8</v>
      </c>
      <c r="AZ6" s="409">
        <f>AU6*AV6</f>
        <v>129.80000000000001</v>
      </c>
      <c r="BA6" s="409">
        <f>AW6*AX6</f>
        <v>368.3</v>
      </c>
      <c r="BB6" s="21">
        <f>AY6-AY5</f>
        <v>0</v>
      </c>
      <c r="BC6" s="21">
        <f>AZ6-AZ5</f>
        <v>-7.6999999999999886</v>
      </c>
      <c r="BD6" s="21">
        <f>BA6-BA5</f>
        <v>-2.8999999999999773</v>
      </c>
      <c r="BE6" s="24">
        <f>SUM(BB6:BD6)</f>
        <v>-10.599999999999966</v>
      </c>
      <c r="BF6" s="96">
        <f>SUM(I6-BE6)</f>
        <v>10.599999999999966</v>
      </c>
      <c r="BG6" s="82">
        <f t="shared" ref="BG6:BG33" si="4">SUM(I6-BF6)</f>
        <v>-10.599999999999966</v>
      </c>
      <c r="BI6" s="17"/>
      <c r="BJ6" s="17"/>
      <c r="BK6" s="17"/>
      <c r="BL6" s="17"/>
      <c r="BM6" s="17"/>
    </row>
    <row r="7" spans="1:65" ht="15.75" thickBot="1">
      <c r="A7" s="6">
        <f>ELEC!C5</f>
        <v>44714</v>
      </c>
      <c r="B7" s="5">
        <f t="shared" ref="B7:B36" si="5">B6</f>
        <v>109443</v>
      </c>
      <c r="C7" s="5">
        <f t="shared" ref="C7:C33" si="6">B7-B6</f>
        <v>0</v>
      </c>
      <c r="D7" s="402">
        <f t="shared" ref="D7:D33" si="7">C7/27</f>
        <v>0</v>
      </c>
      <c r="E7" s="318">
        <f>SUM((C7*$E$4)+(7500/'EDl log'!$A$37))</f>
        <v>250</v>
      </c>
      <c r="F7" s="401"/>
      <c r="G7" s="5">
        <v>629065</v>
      </c>
      <c r="H7" s="5">
        <f t="shared" ref="H7:H33" si="8">G7-G6</f>
        <v>118</v>
      </c>
      <c r="I7" s="5">
        <f t="shared" ref="I7:I33" si="9">C7+H7</f>
        <v>118</v>
      </c>
      <c r="J7" s="319">
        <f t="shared" si="0"/>
        <v>2.1186440677966103</v>
      </c>
      <c r="K7" s="5">
        <f t="shared" ref="K7:K36" si="10">K6</f>
        <v>7089</v>
      </c>
      <c r="L7" s="83">
        <f>K7-K6</f>
        <v>0</v>
      </c>
      <c r="M7" s="393">
        <f t="shared" ref="M7:M36" si="11">M6</f>
        <v>457.44</v>
      </c>
      <c r="N7" s="482">
        <f t="shared" si="1"/>
        <v>0</v>
      </c>
      <c r="O7" s="393">
        <f t="shared" ref="O7:O36" si="12">O6</f>
        <v>529.52</v>
      </c>
      <c r="P7" s="482">
        <f t="shared" si="2"/>
        <v>0</v>
      </c>
      <c r="Q7" s="483">
        <f>P7+N7</f>
        <v>0</v>
      </c>
      <c r="R7" s="482"/>
      <c r="S7" s="482"/>
      <c r="T7" s="5">
        <f t="shared" ref="T7:T36" si="13">T6</f>
        <v>5187</v>
      </c>
      <c r="U7" s="5">
        <f t="shared" si="3"/>
        <v>0</v>
      </c>
      <c r="V7" s="5">
        <v>495</v>
      </c>
      <c r="W7" s="309">
        <f t="shared" ref="W7:W33" si="14">+V7-V6</f>
        <v>1</v>
      </c>
      <c r="X7" s="5">
        <f t="shared" ref="X7:X36" si="15">X6</f>
        <v>155524</v>
      </c>
      <c r="Y7" s="309">
        <f>SUM(X7-X6)</f>
        <v>0</v>
      </c>
      <c r="Z7" s="5">
        <f t="shared" ref="Z7:Z36" si="16">Z6</f>
        <v>99465</v>
      </c>
      <c r="AA7" s="83">
        <f t="shared" ref="AA7:AA33" si="17">Z7-Z6</f>
        <v>0</v>
      </c>
      <c r="AB7" s="5">
        <v>239</v>
      </c>
      <c r="AC7" s="5">
        <f t="shared" ref="AC7:AC36" si="18">AC6</f>
        <v>790</v>
      </c>
      <c r="AD7" s="83">
        <f>AC7-AC6</f>
        <v>0</v>
      </c>
      <c r="AE7" s="5">
        <f t="shared" ref="AE7:AE36" si="19">AE6</f>
        <v>244.4</v>
      </c>
      <c r="AF7" s="83">
        <f t="shared" ref="AF7:AF32" si="20">AE7-AE6</f>
        <v>0</v>
      </c>
      <c r="AG7" s="5">
        <f t="shared" ref="AG7:AG36" si="21">AG6</f>
        <v>2247.41</v>
      </c>
      <c r="AH7" s="83">
        <f t="shared" ref="AH7:AH33" si="22">AG7-AG6</f>
        <v>0</v>
      </c>
      <c r="AI7" s="83">
        <f t="shared" ref="AI7:AI33" si="23">AF7+AH7</f>
        <v>0</v>
      </c>
      <c r="AJ7" s="311">
        <f t="shared" ref="AJ7:AJ33" si="24">+Z7-Z6</f>
        <v>0</v>
      </c>
      <c r="AK7" s="312">
        <f>SUM(Y7-L7)</f>
        <v>0</v>
      </c>
      <c r="AL7" s="312">
        <f t="shared" ref="AL7:AL33" si="25">SUM(AJ7-W7)</f>
        <v>-1</v>
      </c>
      <c r="AM7" s="312">
        <f>'General information '!D6</f>
        <v>23.5</v>
      </c>
      <c r="AN7" s="84">
        <f>'General information '!H6</f>
        <v>0</v>
      </c>
      <c r="AO7" s="84"/>
      <c r="AP7" s="84">
        <f>'General information '!J6</f>
        <v>0</v>
      </c>
      <c r="AQ7" s="81"/>
      <c r="AR7" s="266">
        <f t="shared" ref="AR7:AR33" si="26">A7</f>
        <v>44714</v>
      </c>
      <c r="AS7" s="407">
        <f t="shared" ref="AS7:AT21" si="27">AS6</f>
        <v>0.9</v>
      </c>
      <c r="AT7" s="201">
        <v>170</v>
      </c>
      <c r="AU7" s="408">
        <f>AU6</f>
        <v>1.1000000000000001</v>
      </c>
      <c r="AV7" s="201">
        <v>120</v>
      </c>
      <c r="AW7" s="5">
        <v>2.9</v>
      </c>
      <c r="AX7" s="201">
        <v>124</v>
      </c>
      <c r="AY7" s="409">
        <f>AS7*AT7</f>
        <v>153</v>
      </c>
      <c r="AZ7" s="409">
        <f>AU7*AV7</f>
        <v>132</v>
      </c>
      <c r="BA7" s="409">
        <f>AW7*AX7</f>
        <v>359.59999999999997</v>
      </c>
      <c r="BB7" s="21">
        <f>AY7-AY6</f>
        <v>61.2</v>
      </c>
      <c r="BC7" s="21">
        <f t="shared" ref="BC7:BD21" si="28">AZ7-AZ6</f>
        <v>2.1999999999999886</v>
      </c>
      <c r="BD7" s="21">
        <f t="shared" si="28"/>
        <v>-8.7000000000000455</v>
      </c>
      <c r="BE7" s="24">
        <f t="shared" ref="BE7:BE33" si="29">SUM(BB7:BD7)</f>
        <v>54.699999999999946</v>
      </c>
      <c r="BF7" s="96">
        <f t="shared" ref="BF7:BF33" si="30">SUM(I7-BE7)</f>
        <v>63.300000000000054</v>
      </c>
      <c r="BG7" s="82">
        <f t="shared" si="4"/>
        <v>54.699999999999946</v>
      </c>
      <c r="BI7" s="86"/>
      <c r="BJ7" s="17"/>
      <c r="BK7" s="17"/>
      <c r="BL7" s="17"/>
      <c r="BM7" s="17"/>
    </row>
    <row r="8" spans="1:65" ht="15.75" thickBot="1">
      <c r="A8" s="6">
        <f>ELEC!C6</f>
        <v>44715</v>
      </c>
      <c r="B8" s="5">
        <f t="shared" si="5"/>
        <v>109443</v>
      </c>
      <c r="C8" s="5">
        <f>B8-B7</f>
        <v>0</v>
      </c>
      <c r="D8" s="402">
        <f t="shared" si="7"/>
        <v>0</v>
      </c>
      <c r="E8" s="318">
        <f>SUM((C8*$E$4)+(7500/'EDl log'!$A$37))</f>
        <v>250</v>
      </c>
      <c r="F8" s="401"/>
      <c r="G8" s="5">
        <f t="shared" ref="G8:G36" si="31">G7</f>
        <v>629065</v>
      </c>
      <c r="H8" s="5">
        <f t="shared" si="8"/>
        <v>0</v>
      </c>
      <c r="I8" s="5">
        <f t="shared" si="9"/>
        <v>0</v>
      </c>
      <c r="J8" s="319">
        <f t="shared" si="0"/>
        <v>0</v>
      </c>
      <c r="K8" s="5">
        <f t="shared" si="10"/>
        <v>7089</v>
      </c>
      <c r="L8" s="83">
        <f>K8-K7</f>
        <v>0</v>
      </c>
      <c r="M8" s="393">
        <f t="shared" si="11"/>
        <v>457.44</v>
      </c>
      <c r="N8" s="482">
        <f t="shared" si="1"/>
        <v>0</v>
      </c>
      <c r="O8" s="393">
        <f t="shared" si="12"/>
        <v>529.52</v>
      </c>
      <c r="P8" s="482">
        <f t="shared" si="2"/>
        <v>0</v>
      </c>
      <c r="Q8" s="483">
        <f>P8+N8</f>
        <v>0</v>
      </c>
      <c r="R8" s="482"/>
      <c r="S8" s="482"/>
      <c r="T8" s="5">
        <f t="shared" si="13"/>
        <v>5187</v>
      </c>
      <c r="U8" s="5">
        <f t="shared" si="3"/>
        <v>0</v>
      </c>
      <c r="V8" s="5">
        <f t="shared" ref="V8:V36" si="32">V7</f>
        <v>495</v>
      </c>
      <c r="W8" s="309">
        <f t="shared" si="14"/>
        <v>0</v>
      </c>
      <c r="X8" s="5">
        <f t="shared" si="15"/>
        <v>155524</v>
      </c>
      <c r="Y8" s="309">
        <f>SUM(X8-X7)</f>
        <v>0</v>
      </c>
      <c r="Z8" s="5">
        <f t="shared" si="16"/>
        <v>99465</v>
      </c>
      <c r="AA8" s="83">
        <f t="shared" si="17"/>
        <v>0</v>
      </c>
      <c r="AB8" s="5">
        <f t="shared" ref="AB8:AB36" si="33">AB7</f>
        <v>239</v>
      </c>
      <c r="AC8" s="5">
        <f t="shared" si="18"/>
        <v>790</v>
      </c>
      <c r="AD8" s="83">
        <f t="shared" ref="AD8:AD33" si="34">AC8-AC7</f>
        <v>0</v>
      </c>
      <c r="AE8" s="5">
        <f t="shared" si="19"/>
        <v>244.4</v>
      </c>
      <c r="AF8" s="83">
        <f t="shared" si="20"/>
        <v>0</v>
      </c>
      <c r="AG8" s="5">
        <f t="shared" si="21"/>
        <v>2247.41</v>
      </c>
      <c r="AH8" s="83">
        <f t="shared" si="22"/>
        <v>0</v>
      </c>
      <c r="AI8" s="83">
        <f t="shared" si="23"/>
        <v>0</v>
      </c>
      <c r="AJ8" s="311">
        <f t="shared" si="24"/>
        <v>0</v>
      </c>
      <c r="AK8" s="312">
        <f t="shared" ref="AK8:AK33" si="35">SUM(Y8-L8)</f>
        <v>0</v>
      </c>
      <c r="AL8" s="312">
        <f t="shared" si="25"/>
        <v>0</v>
      </c>
      <c r="AM8" s="312">
        <f>'General information '!D7</f>
        <v>0</v>
      </c>
      <c r="AN8" s="84">
        <f>'General information '!H7</f>
        <v>0</v>
      </c>
      <c r="AO8" s="84"/>
      <c r="AP8" s="84">
        <f>'General information '!J7</f>
        <v>0</v>
      </c>
      <c r="AQ8" s="81"/>
      <c r="AR8" s="266">
        <f t="shared" si="26"/>
        <v>44715</v>
      </c>
      <c r="AS8" s="407">
        <f t="shared" si="27"/>
        <v>0.9</v>
      </c>
      <c r="AT8" s="201">
        <f t="shared" si="27"/>
        <v>170</v>
      </c>
      <c r="AU8" s="408">
        <v>1.1000000000000001</v>
      </c>
      <c r="AV8" s="201">
        <f t="shared" ref="AV8:AV36" si="36">AV7</f>
        <v>120</v>
      </c>
      <c r="AW8" s="5">
        <v>2.9</v>
      </c>
      <c r="AX8" s="201">
        <f t="shared" ref="AX8:AX36" si="37">AX7</f>
        <v>124</v>
      </c>
      <c r="AY8" s="409">
        <f t="shared" ref="AY8:AY33" si="38">AS8*AT8</f>
        <v>153</v>
      </c>
      <c r="AZ8" s="409">
        <f t="shared" ref="AZ8:AZ33" si="39">AU8*AV8</f>
        <v>132</v>
      </c>
      <c r="BA8" s="409">
        <f t="shared" ref="BA8:BA33" si="40">AW8*AX8</f>
        <v>359.59999999999997</v>
      </c>
      <c r="BB8" s="21">
        <f t="shared" ref="BB8:BB19" si="41">AY8-AY7</f>
        <v>0</v>
      </c>
      <c r="BC8" s="21">
        <f t="shared" si="28"/>
        <v>0</v>
      </c>
      <c r="BD8" s="21">
        <f t="shared" si="28"/>
        <v>0</v>
      </c>
      <c r="BE8" s="24">
        <f t="shared" si="29"/>
        <v>0</v>
      </c>
      <c r="BF8" s="96">
        <f t="shared" si="30"/>
        <v>0</v>
      </c>
      <c r="BG8" s="82">
        <f t="shared" si="4"/>
        <v>0</v>
      </c>
      <c r="BI8" s="86"/>
      <c r="BJ8" s="17"/>
      <c r="BK8" s="17"/>
    </row>
    <row r="9" spans="1:65" ht="15.75" thickBot="1">
      <c r="A9" s="6">
        <f>ELEC!C7</f>
        <v>44716</v>
      </c>
      <c r="B9" s="5">
        <v>109443</v>
      </c>
      <c r="C9" s="5">
        <f t="shared" si="6"/>
        <v>0</v>
      </c>
      <c r="D9" s="402">
        <f t="shared" si="7"/>
        <v>0</v>
      </c>
      <c r="E9" s="318">
        <f>SUM((C9*$E$4)+(7500/'EDl log'!$A$37))</f>
        <v>250</v>
      </c>
      <c r="F9" s="401"/>
      <c r="G9" s="5">
        <f t="shared" si="31"/>
        <v>629065</v>
      </c>
      <c r="H9" s="5">
        <f t="shared" si="8"/>
        <v>0</v>
      </c>
      <c r="I9" s="5">
        <f t="shared" si="9"/>
        <v>0</v>
      </c>
      <c r="J9" s="319">
        <f t="shared" si="0"/>
        <v>0</v>
      </c>
      <c r="K9" s="5">
        <f t="shared" si="10"/>
        <v>7089</v>
      </c>
      <c r="L9" s="83">
        <f t="shared" ref="L9:L33" si="42">K9-K8</f>
        <v>0</v>
      </c>
      <c r="M9" s="393">
        <f t="shared" si="11"/>
        <v>457.44</v>
      </c>
      <c r="N9" s="482">
        <f t="shared" si="1"/>
        <v>0</v>
      </c>
      <c r="O9" s="393">
        <f t="shared" si="12"/>
        <v>529.52</v>
      </c>
      <c r="P9" s="482">
        <f t="shared" si="2"/>
        <v>0</v>
      </c>
      <c r="Q9" s="483">
        <f>P9+N9</f>
        <v>0</v>
      </c>
      <c r="R9" s="482"/>
      <c r="S9" s="482"/>
      <c r="T9" s="5">
        <f t="shared" si="13"/>
        <v>5187</v>
      </c>
      <c r="U9" s="5">
        <f t="shared" si="3"/>
        <v>0</v>
      </c>
      <c r="V9" s="5">
        <f t="shared" si="32"/>
        <v>495</v>
      </c>
      <c r="W9" s="309">
        <f t="shared" si="14"/>
        <v>0</v>
      </c>
      <c r="X9" s="5">
        <f t="shared" si="15"/>
        <v>155524</v>
      </c>
      <c r="Y9" s="309">
        <f t="shared" ref="Y9:Y33" si="43">SUM(X9-X8)</f>
        <v>0</v>
      </c>
      <c r="Z9" s="5">
        <f t="shared" si="16"/>
        <v>99465</v>
      </c>
      <c r="AA9" s="83">
        <f t="shared" si="17"/>
        <v>0</v>
      </c>
      <c r="AB9" s="5">
        <f t="shared" si="33"/>
        <v>239</v>
      </c>
      <c r="AC9" s="5">
        <f t="shared" si="18"/>
        <v>790</v>
      </c>
      <c r="AD9" s="83">
        <f t="shared" si="34"/>
        <v>0</v>
      </c>
      <c r="AE9" s="5">
        <f t="shared" si="19"/>
        <v>244.4</v>
      </c>
      <c r="AF9" s="83">
        <f t="shared" si="20"/>
        <v>0</v>
      </c>
      <c r="AG9" s="5">
        <f t="shared" si="21"/>
        <v>2247.41</v>
      </c>
      <c r="AH9" s="83">
        <f t="shared" si="22"/>
        <v>0</v>
      </c>
      <c r="AI9" s="83">
        <f t="shared" si="23"/>
        <v>0</v>
      </c>
      <c r="AJ9" s="311">
        <f t="shared" si="24"/>
        <v>0</v>
      </c>
      <c r="AK9" s="312">
        <f t="shared" si="35"/>
        <v>0</v>
      </c>
      <c r="AL9" s="312">
        <f t="shared" si="25"/>
        <v>0</v>
      </c>
      <c r="AM9" s="312">
        <f>'General information '!D8</f>
        <v>0</v>
      </c>
      <c r="AN9" s="84">
        <f>'General information '!H8</f>
        <v>0</v>
      </c>
      <c r="AO9" s="84"/>
      <c r="AP9" s="84">
        <f>'General information '!J8</f>
        <v>0</v>
      </c>
      <c r="AQ9" s="81"/>
      <c r="AR9" s="266">
        <f t="shared" si="26"/>
        <v>44716</v>
      </c>
      <c r="AS9" s="407">
        <f t="shared" si="27"/>
        <v>0.9</v>
      </c>
      <c r="AT9" s="201">
        <f t="shared" si="27"/>
        <v>170</v>
      </c>
      <c r="AU9" s="408">
        <f t="shared" ref="AU9:AU36" si="44">AU8</f>
        <v>1.1000000000000001</v>
      </c>
      <c r="AV9" s="201">
        <f t="shared" si="36"/>
        <v>120</v>
      </c>
      <c r="AW9" s="5">
        <v>2.9</v>
      </c>
      <c r="AX9" s="201">
        <f t="shared" si="37"/>
        <v>124</v>
      </c>
      <c r="AY9" s="409">
        <f t="shared" si="38"/>
        <v>153</v>
      </c>
      <c r="AZ9" s="409">
        <f t="shared" si="39"/>
        <v>132</v>
      </c>
      <c r="BA9" s="409">
        <f t="shared" si="40"/>
        <v>359.59999999999997</v>
      </c>
      <c r="BB9" s="21">
        <f t="shared" si="41"/>
        <v>0</v>
      </c>
      <c r="BC9" s="21">
        <f t="shared" si="28"/>
        <v>0</v>
      </c>
      <c r="BD9" s="21">
        <f t="shared" si="28"/>
        <v>0</v>
      </c>
      <c r="BE9" s="24">
        <f t="shared" si="29"/>
        <v>0</v>
      </c>
      <c r="BF9" s="330">
        <f t="shared" si="30"/>
        <v>0</v>
      </c>
      <c r="BG9" s="82">
        <f t="shared" si="4"/>
        <v>0</v>
      </c>
    </row>
    <row r="10" spans="1:65" ht="15.75" thickBot="1">
      <c r="A10" s="6">
        <f>ELEC!C8</f>
        <v>44717</v>
      </c>
      <c r="B10" s="5">
        <f t="shared" si="5"/>
        <v>109443</v>
      </c>
      <c r="C10" s="5">
        <f t="shared" si="6"/>
        <v>0</v>
      </c>
      <c r="D10" s="402">
        <f t="shared" si="7"/>
        <v>0</v>
      </c>
      <c r="E10" s="318">
        <f>SUM((C10*$E$4)+(7500/'EDl log'!$A$37))</f>
        <v>250</v>
      </c>
      <c r="F10" s="401"/>
      <c r="G10" s="5">
        <f t="shared" si="31"/>
        <v>629065</v>
      </c>
      <c r="H10" s="5">
        <f t="shared" si="8"/>
        <v>0</v>
      </c>
      <c r="I10" s="5">
        <f t="shared" si="9"/>
        <v>0</v>
      </c>
      <c r="J10" s="319">
        <f t="shared" si="0"/>
        <v>0</v>
      </c>
      <c r="K10" s="5">
        <f t="shared" si="10"/>
        <v>7089</v>
      </c>
      <c r="L10" s="83">
        <f>K10-K9</f>
        <v>0</v>
      </c>
      <c r="M10" s="393">
        <f t="shared" si="11"/>
        <v>457.44</v>
      </c>
      <c r="N10" s="482">
        <f t="shared" si="1"/>
        <v>0</v>
      </c>
      <c r="O10" s="393">
        <f t="shared" si="12"/>
        <v>529.52</v>
      </c>
      <c r="P10" s="482">
        <f t="shared" si="2"/>
        <v>0</v>
      </c>
      <c r="Q10" s="483">
        <f>P10+N10</f>
        <v>0</v>
      </c>
      <c r="R10" s="482"/>
      <c r="S10" s="482"/>
      <c r="T10" s="5">
        <f t="shared" si="13"/>
        <v>5187</v>
      </c>
      <c r="U10" s="5">
        <f t="shared" si="3"/>
        <v>0</v>
      </c>
      <c r="V10" s="5">
        <f t="shared" si="32"/>
        <v>495</v>
      </c>
      <c r="W10" s="309">
        <f t="shared" si="14"/>
        <v>0</v>
      </c>
      <c r="X10" s="5">
        <f t="shared" si="15"/>
        <v>155524</v>
      </c>
      <c r="Y10" s="309">
        <f t="shared" si="43"/>
        <v>0</v>
      </c>
      <c r="Z10" s="5">
        <f t="shared" si="16"/>
        <v>99465</v>
      </c>
      <c r="AA10" s="83">
        <f t="shared" si="17"/>
        <v>0</v>
      </c>
      <c r="AB10" s="5">
        <f t="shared" si="33"/>
        <v>239</v>
      </c>
      <c r="AC10" s="5">
        <f t="shared" si="18"/>
        <v>790</v>
      </c>
      <c r="AD10" s="83">
        <f t="shared" si="34"/>
        <v>0</v>
      </c>
      <c r="AE10" s="5">
        <f t="shared" si="19"/>
        <v>244.4</v>
      </c>
      <c r="AF10" s="83">
        <f t="shared" si="20"/>
        <v>0</v>
      </c>
      <c r="AG10" s="5">
        <f t="shared" si="21"/>
        <v>2247.41</v>
      </c>
      <c r="AH10" s="83">
        <f t="shared" si="22"/>
        <v>0</v>
      </c>
      <c r="AI10" s="83">
        <f t="shared" si="23"/>
        <v>0</v>
      </c>
      <c r="AJ10" s="311">
        <f t="shared" si="24"/>
        <v>0</v>
      </c>
      <c r="AK10" s="312">
        <f>SUM(Y10-L10)</f>
        <v>0</v>
      </c>
      <c r="AL10" s="312">
        <f t="shared" si="25"/>
        <v>0</v>
      </c>
      <c r="AM10" s="312">
        <f>'General information '!D9</f>
        <v>24</v>
      </c>
      <c r="AN10" s="84">
        <f>'General information '!H9</f>
        <v>0</v>
      </c>
      <c r="AO10" s="84"/>
      <c r="AP10" s="84">
        <f>'General information '!J9</f>
        <v>0</v>
      </c>
      <c r="AQ10" s="81"/>
      <c r="AR10" s="266">
        <f t="shared" si="26"/>
        <v>44717</v>
      </c>
      <c r="AS10" s="407">
        <f t="shared" si="27"/>
        <v>0.9</v>
      </c>
      <c r="AT10" s="201">
        <v>171</v>
      </c>
      <c r="AU10" s="408">
        <f t="shared" si="44"/>
        <v>1.1000000000000001</v>
      </c>
      <c r="AV10" s="201">
        <v>121</v>
      </c>
      <c r="AW10" s="5">
        <v>2.9</v>
      </c>
      <c r="AX10" s="201">
        <v>123</v>
      </c>
      <c r="AY10" s="409">
        <f t="shared" si="38"/>
        <v>153.9</v>
      </c>
      <c r="AZ10" s="409">
        <f t="shared" si="39"/>
        <v>133.10000000000002</v>
      </c>
      <c r="BA10" s="409">
        <f t="shared" si="40"/>
        <v>356.7</v>
      </c>
      <c r="BB10" s="21">
        <f t="shared" si="41"/>
        <v>0.90000000000000568</v>
      </c>
      <c r="BC10" s="21">
        <f t="shared" si="28"/>
        <v>1.1000000000000227</v>
      </c>
      <c r="BD10" s="21">
        <f t="shared" si="28"/>
        <v>-2.8999999999999773</v>
      </c>
      <c r="BE10" s="24">
        <f t="shared" si="29"/>
        <v>-0.89999999999994884</v>
      </c>
      <c r="BF10" s="96">
        <f t="shared" si="30"/>
        <v>0.89999999999994884</v>
      </c>
      <c r="BG10" s="82">
        <f t="shared" si="4"/>
        <v>-0.89999999999994884</v>
      </c>
    </row>
    <row r="11" spans="1:65" ht="15.75" thickBot="1">
      <c r="A11" s="6">
        <f>ELEC!C9</f>
        <v>44718</v>
      </c>
      <c r="B11" s="5">
        <f t="shared" si="5"/>
        <v>109443</v>
      </c>
      <c r="C11" s="5">
        <f t="shared" si="6"/>
        <v>0</v>
      </c>
      <c r="D11" s="402">
        <f t="shared" si="7"/>
        <v>0</v>
      </c>
      <c r="E11" s="318">
        <f>SUM((C11*$E$4)+(7500/'EDl log'!$A$37))</f>
        <v>250</v>
      </c>
      <c r="F11" s="401"/>
      <c r="G11" s="5">
        <v>629136</v>
      </c>
      <c r="H11" s="5">
        <f t="shared" si="8"/>
        <v>71</v>
      </c>
      <c r="I11" s="5">
        <f t="shared" si="9"/>
        <v>71</v>
      </c>
      <c r="J11" s="319">
        <f t="shared" si="0"/>
        <v>3.5211267605633805</v>
      </c>
      <c r="K11" s="5">
        <f t="shared" si="10"/>
        <v>7089</v>
      </c>
      <c r="L11" s="83">
        <f t="shared" si="42"/>
        <v>0</v>
      </c>
      <c r="M11" s="393">
        <f t="shared" si="11"/>
        <v>457.44</v>
      </c>
      <c r="N11" s="482">
        <f t="shared" si="1"/>
        <v>0</v>
      </c>
      <c r="O11" s="393">
        <f t="shared" si="12"/>
        <v>529.52</v>
      </c>
      <c r="P11" s="482">
        <f t="shared" si="2"/>
        <v>0</v>
      </c>
      <c r="Q11" s="482">
        <f>SUM(P11+N11)</f>
        <v>0</v>
      </c>
      <c r="R11" s="482"/>
      <c r="S11" s="482"/>
      <c r="T11" s="5">
        <f t="shared" si="13"/>
        <v>5187</v>
      </c>
      <c r="U11" s="5">
        <f t="shared" si="3"/>
        <v>0</v>
      </c>
      <c r="V11" s="5">
        <f t="shared" si="32"/>
        <v>495</v>
      </c>
      <c r="W11" s="309">
        <f t="shared" si="14"/>
        <v>0</v>
      </c>
      <c r="X11" s="5">
        <v>155628</v>
      </c>
      <c r="Y11" s="309">
        <f t="shared" si="43"/>
        <v>104</v>
      </c>
      <c r="Z11" s="5">
        <f t="shared" si="16"/>
        <v>99465</v>
      </c>
      <c r="AA11" s="83">
        <f t="shared" si="17"/>
        <v>0</v>
      </c>
      <c r="AB11" s="5">
        <f t="shared" si="33"/>
        <v>239</v>
      </c>
      <c r="AC11" s="5">
        <f t="shared" si="18"/>
        <v>790</v>
      </c>
      <c r="AD11" s="83">
        <f t="shared" si="34"/>
        <v>0</v>
      </c>
      <c r="AE11" s="5">
        <f t="shared" si="19"/>
        <v>244.4</v>
      </c>
      <c r="AF11" s="83">
        <f t="shared" si="20"/>
        <v>0</v>
      </c>
      <c r="AG11" s="5">
        <f t="shared" si="21"/>
        <v>2247.41</v>
      </c>
      <c r="AH11" s="83">
        <f t="shared" si="22"/>
        <v>0</v>
      </c>
      <c r="AI11" s="83">
        <f t="shared" si="23"/>
        <v>0</v>
      </c>
      <c r="AJ11" s="311">
        <f t="shared" si="24"/>
        <v>0</v>
      </c>
      <c r="AK11" s="312">
        <f t="shared" si="35"/>
        <v>104</v>
      </c>
      <c r="AL11" s="312">
        <f t="shared" si="25"/>
        <v>0</v>
      </c>
      <c r="AM11" s="312">
        <f>'General information '!D10</f>
        <v>23.5</v>
      </c>
      <c r="AN11" s="84">
        <f>'General information '!H10</f>
        <v>0</v>
      </c>
      <c r="AO11" s="84"/>
      <c r="AP11" s="84">
        <f>'General information '!J10</f>
        <v>0</v>
      </c>
      <c r="AQ11" s="81"/>
      <c r="AR11" s="266">
        <f t="shared" si="26"/>
        <v>44718</v>
      </c>
      <c r="AS11" s="407">
        <f t="shared" si="27"/>
        <v>0.9</v>
      </c>
      <c r="AT11" s="201">
        <v>105</v>
      </c>
      <c r="AU11" s="408">
        <f t="shared" si="44"/>
        <v>1.1000000000000001</v>
      </c>
      <c r="AV11" s="201">
        <v>119</v>
      </c>
      <c r="AW11" s="5">
        <v>2.9</v>
      </c>
      <c r="AX11" s="201">
        <v>140</v>
      </c>
      <c r="AY11" s="409">
        <f t="shared" si="38"/>
        <v>94.5</v>
      </c>
      <c r="AZ11" s="409">
        <f t="shared" si="39"/>
        <v>130.9</v>
      </c>
      <c r="BA11" s="409">
        <f t="shared" si="40"/>
        <v>406</v>
      </c>
      <c r="BB11" s="21">
        <f t="shared" si="41"/>
        <v>-59.400000000000006</v>
      </c>
      <c r="BC11" s="21">
        <f t="shared" si="28"/>
        <v>-2.2000000000000171</v>
      </c>
      <c r="BD11" s="21">
        <f t="shared" si="28"/>
        <v>49.300000000000011</v>
      </c>
      <c r="BE11" s="24">
        <f t="shared" si="29"/>
        <v>-12.300000000000011</v>
      </c>
      <c r="BF11" s="96">
        <f t="shared" si="30"/>
        <v>83.300000000000011</v>
      </c>
      <c r="BG11" s="82">
        <f t="shared" si="4"/>
        <v>-12.300000000000011</v>
      </c>
    </row>
    <row r="12" spans="1:65" ht="15.75" thickBot="1">
      <c r="A12" s="6">
        <f>ELEC!C10</f>
        <v>44719</v>
      </c>
      <c r="B12" s="5">
        <f t="shared" si="5"/>
        <v>109443</v>
      </c>
      <c r="C12" s="5">
        <f>B12-B11</f>
        <v>0</v>
      </c>
      <c r="D12" s="402">
        <f t="shared" si="7"/>
        <v>0</v>
      </c>
      <c r="E12" s="318">
        <f>SUM((C12*$E$4)+(7500/'EDl log'!$A$37))</f>
        <v>250</v>
      </c>
      <c r="F12" s="401"/>
      <c r="G12" s="5">
        <v>629161</v>
      </c>
      <c r="H12" s="5">
        <f t="shared" si="8"/>
        <v>25</v>
      </c>
      <c r="I12" s="5">
        <f t="shared" si="9"/>
        <v>25</v>
      </c>
      <c r="J12" s="319">
        <f t="shared" si="0"/>
        <v>10</v>
      </c>
      <c r="K12" s="5">
        <f t="shared" si="10"/>
        <v>7089</v>
      </c>
      <c r="L12" s="83">
        <f t="shared" si="42"/>
        <v>0</v>
      </c>
      <c r="M12" s="393">
        <f t="shared" si="11"/>
        <v>457.44</v>
      </c>
      <c r="N12" s="482">
        <f t="shared" si="1"/>
        <v>0</v>
      </c>
      <c r="O12" s="393">
        <f t="shared" si="12"/>
        <v>529.52</v>
      </c>
      <c r="P12" s="482">
        <f t="shared" si="2"/>
        <v>0</v>
      </c>
      <c r="Q12" s="482">
        <f>SUM(P12+N12)</f>
        <v>0</v>
      </c>
      <c r="R12" s="482"/>
      <c r="S12" s="482"/>
      <c r="T12" s="5">
        <f t="shared" si="13"/>
        <v>5187</v>
      </c>
      <c r="U12" s="5">
        <f t="shared" si="3"/>
        <v>0</v>
      </c>
      <c r="V12" s="5">
        <f t="shared" si="32"/>
        <v>495</v>
      </c>
      <c r="W12" s="309">
        <f t="shared" si="14"/>
        <v>0</v>
      </c>
      <c r="X12" s="5">
        <f t="shared" si="15"/>
        <v>155628</v>
      </c>
      <c r="Y12" s="309">
        <f t="shared" si="43"/>
        <v>0</v>
      </c>
      <c r="Z12" s="5">
        <f t="shared" si="16"/>
        <v>99465</v>
      </c>
      <c r="AA12" s="83">
        <f t="shared" si="17"/>
        <v>0</v>
      </c>
      <c r="AB12" s="5">
        <f t="shared" si="33"/>
        <v>239</v>
      </c>
      <c r="AC12" s="5">
        <f t="shared" si="18"/>
        <v>790</v>
      </c>
      <c r="AD12" s="83">
        <f t="shared" si="34"/>
        <v>0</v>
      </c>
      <c r="AE12" s="5">
        <f t="shared" si="19"/>
        <v>244.4</v>
      </c>
      <c r="AF12" s="83">
        <f t="shared" si="20"/>
        <v>0</v>
      </c>
      <c r="AG12" s="5">
        <f t="shared" si="21"/>
        <v>2247.41</v>
      </c>
      <c r="AH12" s="83">
        <f t="shared" si="22"/>
        <v>0</v>
      </c>
      <c r="AI12" s="83">
        <f t="shared" si="23"/>
        <v>0</v>
      </c>
      <c r="AJ12" s="311">
        <f t="shared" si="24"/>
        <v>0</v>
      </c>
      <c r="AK12" s="312">
        <f t="shared" si="35"/>
        <v>0</v>
      </c>
      <c r="AL12" s="312">
        <f t="shared" si="25"/>
        <v>0</v>
      </c>
      <c r="AM12" s="312">
        <f>'General information '!D11</f>
        <v>24.5</v>
      </c>
      <c r="AN12" s="84">
        <f>'General information '!H11</f>
        <v>0</v>
      </c>
      <c r="AO12" s="84"/>
      <c r="AP12" s="84">
        <f>'General information '!J11</f>
        <v>0</v>
      </c>
      <c r="AQ12" s="81"/>
      <c r="AR12" s="266">
        <f t="shared" si="26"/>
        <v>44719</v>
      </c>
      <c r="AS12" s="407">
        <f t="shared" si="27"/>
        <v>0.9</v>
      </c>
      <c r="AT12" s="201">
        <v>101</v>
      </c>
      <c r="AU12" s="408">
        <f t="shared" si="44"/>
        <v>1.1000000000000001</v>
      </c>
      <c r="AV12" s="201">
        <v>117</v>
      </c>
      <c r="AW12" s="5">
        <v>2.9</v>
      </c>
      <c r="AX12" s="201">
        <v>148</v>
      </c>
      <c r="AY12" s="409">
        <f t="shared" si="38"/>
        <v>90.9</v>
      </c>
      <c r="AZ12" s="409">
        <f t="shared" si="39"/>
        <v>128.70000000000002</v>
      </c>
      <c r="BA12" s="409">
        <f t="shared" si="40"/>
        <v>429.2</v>
      </c>
      <c r="BB12" s="21">
        <f t="shared" si="41"/>
        <v>-3.5999999999999943</v>
      </c>
      <c r="BC12" s="21">
        <f t="shared" si="28"/>
        <v>-2.1999999999999886</v>
      </c>
      <c r="BD12" s="21">
        <f t="shared" si="28"/>
        <v>23.199999999999989</v>
      </c>
      <c r="BE12" s="24">
        <f t="shared" si="29"/>
        <v>17.400000000000006</v>
      </c>
      <c r="BF12" s="96">
        <f t="shared" si="30"/>
        <v>7.5999999999999943</v>
      </c>
      <c r="BG12" s="82">
        <f t="shared" si="4"/>
        <v>17.400000000000006</v>
      </c>
    </row>
    <row r="13" spans="1:65" ht="15.75" thickBot="1">
      <c r="A13" s="6">
        <f>ELEC!C11</f>
        <v>44720</v>
      </c>
      <c r="B13" s="5">
        <f t="shared" si="5"/>
        <v>109443</v>
      </c>
      <c r="C13" s="5">
        <f t="shared" si="6"/>
        <v>0</v>
      </c>
      <c r="D13" s="402">
        <f t="shared" si="7"/>
        <v>0</v>
      </c>
      <c r="E13" s="318">
        <f>SUM((C13*$E$4)+(7500/'EDl log'!$A$37))</f>
        <v>250</v>
      </c>
      <c r="F13" s="401"/>
      <c r="G13" s="5">
        <f t="shared" si="31"/>
        <v>629161</v>
      </c>
      <c r="H13" s="5">
        <f t="shared" si="8"/>
        <v>0</v>
      </c>
      <c r="I13" s="5">
        <f t="shared" si="9"/>
        <v>0</v>
      </c>
      <c r="J13" s="319">
        <f t="shared" si="0"/>
        <v>0</v>
      </c>
      <c r="K13" s="5">
        <f t="shared" si="10"/>
        <v>7089</v>
      </c>
      <c r="L13" s="83">
        <f t="shared" si="42"/>
        <v>0</v>
      </c>
      <c r="M13" s="393">
        <f t="shared" si="11"/>
        <v>457.44</v>
      </c>
      <c r="N13" s="482">
        <f t="shared" si="1"/>
        <v>0</v>
      </c>
      <c r="O13" s="393">
        <f t="shared" si="12"/>
        <v>529.52</v>
      </c>
      <c r="P13" s="482">
        <f t="shared" si="2"/>
        <v>0</v>
      </c>
      <c r="Q13" s="482">
        <f>SUM(P13+N13)</f>
        <v>0</v>
      </c>
      <c r="R13" s="482"/>
      <c r="S13" s="482"/>
      <c r="T13" s="5">
        <f t="shared" si="13"/>
        <v>5187</v>
      </c>
      <c r="U13" s="5">
        <f t="shared" si="3"/>
        <v>0</v>
      </c>
      <c r="V13" s="5">
        <f t="shared" si="32"/>
        <v>495</v>
      </c>
      <c r="W13" s="309">
        <f t="shared" si="14"/>
        <v>0</v>
      </c>
      <c r="X13" s="5">
        <f t="shared" si="15"/>
        <v>155628</v>
      </c>
      <c r="Y13" s="309">
        <f t="shared" si="43"/>
        <v>0</v>
      </c>
      <c r="Z13" s="5">
        <f t="shared" si="16"/>
        <v>99465</v>
      </c>
      <c r="AA13" s="83">
        <f t="shared" si="17"/>
        <v>0</v>
      </c>
      <c r="AB13" s="5">
        <f t="shared" si="33"/>
        <v>239</v>
      </c>
      <c r="AC13" s="5">
        <f t="shared" si="18"/>
        <v>790</v>
      </c>
      <c r="AD13" s="83">
        <f t="shared" si="34"/>
        <v>0</v>
      </c>
      <c r="AE13" s="5">
        <f t="shared" si="19"/>
        <v>244.4</v>
      </c>
      <c r="AF13" s="83">
        <f t="shared" si="20"/>
        <v>0</v>
      </c>
      <c r="AG13" s="5">
        <f t="shared" si="21"/>
        <v>2247.41</v>
      </c>
      <c r="AH13" s="83">
        <f t="shared" si="22"/>
        <v>0</v>
      </c>
      <c r="AI13" s="83">
        <f t="shared" si="23"/>
        <v>0</v>
      </c>
      <c r="AJ13" s="311">
        <f t="shared" si="24"/>
        <v>0</v>
      </c>
      <c r="AK13" s="312">
        <f t="shared" si="35"/>
        <v>0</v>
      </c>
      <c r="AL13" s="312">
        <f t="shared" si="25"/>
        <v>0</v>
      </c>
      <c r="AM13" s="312">
        <f>'General information '!D12</f>
        <v>25</v>
      </c>
      <c r="AN13" s="84">
        <f>'General information '!J12</f>
        <v>0</v>
      </c>
      <c r="AO13" s="84"/>
      <c r="AP13" s="84">
        <f>'General information '!J12</f>
        <v>0</v>
      </c>
      <c r="AQ13" s="95"/>
      <c r="AR13" s="266">
        <f t="shared" si="26"/>
        <v>44720</v>
      </c>
      <c r="AS13" s="407">
        <f t="shared" si="27"/>
        <v>0.9</v>
      </c>
      <c r="AT13" s="201">
        <v>139</v>
      </c>
      <c r="AU13" s="408">
        <f t="shared" si="44"/>
        <v>1.1000000000000001</v>
      </c>
      <c r="AV13" s="201">
        <v>116</v>
      </c>
      <c r="AW13" s="5">
        <v>2.9</v>
      </c>
      <c r="AX13" s="201">
        <v>146</v>
      </c>
      <c r="AY13" s="409">
        <f t="shared" si="38"/>
        <v>125.10000000000001</v>
      </c>
      <c r="AZ13" s="409">
        <f t="shared" si="39"/>
        <v>127.60000000000001</v>
      </c>
      <c r="BA13" s="409">
        <f t="shared" si="40"/>
        <v>423.4</v>
      </c>
      <c r="BB13" s="21">
        <f t="shared" si="41"/>
        <v>34.200000000000003</v>
      </c>
      <c r="BC13" s="21">
        <f t="shared" si="28"/>
        <v>-1.1000000000000085</v>
      </c>
      <c r="BD13" s="21">
        <f t="shared" si="28"/>
        <v>-5.8000000000000114</v>
      </c>
      <c r="BE13" s="24">
        <f t="shared" si="29"/>
        <v>27.299999999999983</v>
      </c>
      <c r="BF13" s="96">
        <f t="shared" si="30"/>
        <v>-27.299999999999983</v>
      </c>
      <c r="BG13" s="82">
        <f t="shared" si="4"/>
        <v>27.299999999999983</v>
      </c>
    </row>
    <row r="14" spans="1:65" ht="15.75" thickBot="1">
      <c r="A14" s="6">
        <f>ELEC!C12</f>
        <v>44721</v>
      </c>
      <c r="B14" s="5">
        <f t="shared" si="5"/>
        <v>109443</v>
      </c>
      <c r="C14" s="5">
        <f t="shared" si="6"/>
        <v>0</v>
      </c>
      <c r="D14" s="402">
        <f t="shared" si="7"/>
        <v>0</v>
      </c>
      <c r="E14" s="318">
        <f>SUM((C14*$E$4)+(7500/'EDl log'!$A$37))</f>
        <v>250</v>
      </c>
      <c r="F14" s="401"/>
      <c r="G14" s="5">
        <f t="shared" si="31"/>
        <v>629161</v>
      </c>
      <c r="H14" s="5">
        <f t="shared" si="8"/>
        <v>0</v>
      </c>
      <c r="I14" s="5">
        <f t="shared" si="9"/>
        <v>0</v>
      </c>
      <c r="J14" s="319">
        <f t="shared" si="0"/>
        <v>0</v>
      </c>
      <c r="K14" s="5">
        <f t="shared" si="10"/>
        <v>7089</v>
      </c>
      <c r="L14" s="83">
        <f t="shared" si="42"/>
        <v>0</v>
      </c>
      <c r="M14" s="393">
        <f t="shared" si="11"/>
        <v>457.44</v>
      </c>
      <c r="N14" s="482">
        <f t="shared" ref="N14:N33" si="45">SUM(M14-M13)</f>
        <v>0</v>
      </c>
      <c r="O14" s="393">
        <f t="shared" si="12"/>
        <v>529.52</v>
      </c>
      <c r="P14" s="482">
        <f t="shared" ref="P14:P33" si="46">SUM(O14-O13)</f>
        <v>0</v>
      </c>
      <c r="Q14" s="482">
        <f t="shared" ref="Q14:Q33" si="47">SUM(P14+N14)</f>
        <v>0</v>
      </c>
      <c r="R14" s="482"/>
      <c r="S14" s="482"/>
      <c r="T14" s="5">
        <f t="shared" si="13"/>
        <v>5187</v>
      </c>
      <c r="U14" s="5">
        <f t="shared" si="3"/>
        <v>0</v>
      </c>
      <c r="V14" s="5">
        <v>496</v>
      </c>
      <c r="W14" s="309">
        <f t="shared" si="14"/>
        <v>1</v>
      </c>
      <c r="X14" s="5">
        <f t="shared" si="15"/>
        <v>155628</v>
      </c>
      <c r="Y14" s="309">
        <f t="shared" si="43"/>
        <v>0</v>
      </c>
      <c r="Z14" s="5">
        <f t="shared" si="16"/>
        <v>99465</v>
      </c>
      <c r="AA14" s="83">
        <f t="shared" si="17"/>
        <v>0</v>
      </c>
      <c r="AB14" s="5">
        <v>239</v>
      </c>
      <c r="AC14" s="5">
        <f t="shared" si="18"/>
        <v>790</v>
      </c>
      <c r="AD14" s="83">
        <f t="shared" si="34"/>
        <v>0</v>
      </c>
      <c r="AE14" s="5">
        <f t="shared" si="19"/>
        <v>244.4</v>
      </c>
      <c r="AF14" s="83">
        <f t="shared" si="20"/>
        <v>0</v>
      </c>
      <c r="AG14" s="5">
        <f t="shared" si="21"/>
        <v>2247.41</v>
      </c>
      <c r="AH14" s="83">
        <f t="shared" si="22"/>
        <v>0</v>
      </c>
      <c r="AI14" s="83">
        <f t="shared" si="23"/>
        <v>0</v>
      </c>
      <c r="AJ14" s="311">
        <f t="shared" si="24"/>
        <v>0</v>
      </c>
      <c r="AK14" s="312">
        <f t="shared" si="35"/>
        <v>0</v>
      </c>
      <c r="AL14" s="312">
        <f t="shared" si="25"/>
        <v>-1</v>
      </c>
      <c r="AM14" s="312">
        <f>'General information '!D13</f>
        <v>0</v>
      </c>
      <c r="AN14" s="84">
        <f>'General information '!H13</f>
        <v>0</v>
      </c>
      <c r="AO14" s="84"/>
      <c r="AP14" s="84">
        <f>'General information '!J13</f>
        <v>0</v>
      </c>
      <c r="AQ14" s="81"/>
      <c r="AR14" s="266">
        <f t="shared" si="26"/>
        <v>44721</v>
      </c>
      <c r="AS14" s="407">
        <f t="shared" si="27"/>
        <v>0.9</v>
      </c>
      <c r="AT14" s="201">
        <v>139</v>
      </c>
      <c r="AU14" s="408">
        <f t="shared" si="44"/>
        <v>1.1000000000000001</v>
      </c>
      <c r="AV14" s="201">
        <v>114</v>
      </c>
      <c r="AW14" s="5">
        <v>2.9</v>
      </c>
      <c r="AX14" s="201">
        <v>144</v>
      </c>
      <c r="AY14" s="409">
        <f t="shared" si="38"/>
        <v>125.10000000000001</v>
      </c>
      <c r="AZ14" s="409">
        <f t="shared" si="39"/>
        <v>125.4</v>
      </c>
      <c r="BA14" s="409">
        <f t="shared" si="40"/>
        <v>417.59999999999997</v>
      </c>
      <c r="BB14" s="21">
        <f t="shared" si="41"/>
        <v>0</v>
      </c>
      <c r="BC14" s="21">
        <f t="shared" si="28"/>
        <v>-2.2000000000000028</v>
      </c>
      <c r="BD14" s="21">
        <f t="shared" si="28"/>
        <v>-5.8000000000000114</v>
      </c>
      <c r="BE14" s="24">
        <f t="shared" si="29"/>
        <v>-8.0000000000000142</v>
      </c>
      <c r="BF14" s="96">
        <f t="shared" si="30"/>
        <v>8.0000000000000142</v>
      </c>
      <c r="BG14" s="82">
        <f t="shared" si="4"/>
        <v>-8.0000000000000142</v>
      </c>
    </row>
    <row r="15" spans="1:65" ht="16.5" customHeight="1" thickBot="1">
      <c r="A15" s="6">
        <f>ELEC!C13</f>
        <v>44722</v>
      </c>
      <c r="B15" s="5">
        <f t="shared" si="5"/>
        <v>109443</v>
      </c>
      <c r="C15" s="5">
        <f t="shared" si="6"/>
        <v>0</v>
      </c>
      <c r="D15" s="402">
        <f t="shared" si="7"/>
        <v>0</v>
      </c>
      <c r="E15" s="318">
        <f>SUM((C15*$E$4)+(7500/'EDl log'!$A$37))</f>
        <v>250</v>
      </c>
      <c r="F15" s="401"/>
      <c r="G15" s="5">
        <f t="shared" si="31"/>
        <v>629161</v>
      </c>
      <c r="H15" s="5">
        <f t="shared" si="8"/>
        <v>0</v>
      </c>
      <c r="I15" s="5">
        <f t="shared" si="9"/>
        <v>0</v>
      </c>
      <c r="J15" s="319">
        <f t="shared" si="0"/>
        <v>0</v>
      </c>
      <c r="K15" s="5">
        <f t="shared" si="10"/>
        <v>7089</v>
      </c>
      <c r="L15" s="83">
        <f t="shared" si="42"/>
        <v>0</v>
      </c>
      <c r="M15" s="393">
        <f t="shared" si="11"/>
        <v>457.44</v>
      </c>
      <c r="N15" s="482">
        <f t="shared" si="45"/>
        <v>0</v>
      </c>
      <c r="O15" s="393">
        <f t="shared" si="12"/>
        <v>529.52</v>
      </c>
      <c r="P15" s="482">
        <f t="shared" si="46"/>
        <v>0</v>
      </c>
      <c r="Q15" s="482">
        <f t="shared" si="47"/>
        <v>0</v>
      </c>
      <c r="R15" s="482"/>
      <c r="S15" s="482"/>
      <c r="T15" s="5">
        <f t="shared" si="13"/>
        <v>5187</v>
      </c>
      <c r="U15" s="5">
        <f t="shared" si="3"/>
        <v>0</v>
      </c>
      <c r="V15" s="5">
        <f t="shared" si="32"/>
        <v>496</v>
      </c>
      <c r="W15" s="309">
        <f t="shared" si="14"/>
        <v>0</v>
      </c>
      <c r="X15" s="5">
        <f t="shared" si="15"/>
        <v>155628</v>
      </c>
      <c r="Y15" s="309">
        <f t="shared" si="43"/>
        <v>0</v>
      </c>
      <c r="Z15" s="5">
        <f t="shared" si="16"/>
        <v>99465</v>
      </c>
      <c r="AA15" s="83">
        <f t="shared" si="17"/>
        <v>0</v>
      </c>
      <c r="AB15" s="5">
        <f t="shared" si="33"/>
        <v>239</v>
      </c>
      <c r="AC15" s="5">
        <f t="shared" si="18"/>
        <v>790</v>
      </c>
      <c r="AD15" s="83">
        <f t="shared" si="34"/>
        <v>0</v>
      </c>
      <c r="AE15" s="5">
        <f t="shared" si="19"/>
        <v>244.4</v>
      </c>
      <c r="AF15" s="83">
        <f t="shared" si="20"/>
        <v>0</v>
      </c>
      <c r="AG15" s="5">
        <f t="shared" si="21"/>
        <v>2247.41</v>
      </c>
      <c r="AH15" s="83">
        <f t="shared" si="22"/>
        <v>0</v>
      </c>
      <c r="AI15" s="83">
        <f t="shared" si="23"/>
        <v>0</v>
      </c>
      <c r="AJ15" s="311">
        <f t="shared" si="24"/>
        <v>0</v>
      </c>
      <c r="AK15" s="312">
        <f>SUM(Y15-L15)</f>
        <v>0</v>
      </c>
      <c r="AL15" s="312">
        <f t="shared" si="25"/>
        <v>0</v>
      </c>
      <c r="AM15" s="312">
        <f>'General information '!D14</f>
        <v>0</v>
      </c>
      <c r="AN15" s="84">
        <f>'General information '!H14</f>
        <v>0</v>
      </c>
      <c r="AO15" s="84"/>
      <c r="AP15" s="84">
        <f>'General information '!J14</f>
        <v>0</v>
      </c>
      <c r="AQ15" s="81"/>
      <c r="AR15" s="266">
        <f t="shared" si="26"/>
        <v>44722</v>
      </c>
      <c r="AS15" s="407">
        <f t="shared" si="27"/>
        <v>0.9</v>
      </c>
      <c r="AT15" s="201">
        <f t="shared" si="27"/>
        <v>139</v>
      </c>
      <c r="AU15" s="408">
        <f t="shared" si="44"/>
        <v>1.1000000000000001</v>
      </c>
      <c r="AV15" s="201">
        <f t="shared" si="36"/>
        <v>114</v>
      </c>
      <c r="AW15" s="5">
        <v>2.9</v>
      </c>
      <c r="AX15" s="201">
        <f t="shared" si="37"/>
        <v>144</v>
      </c>
      <c r="AY15" s="409">
        <f t="shared" si="38"/>
        <v>125.10000000000001</v>
      </c>
      <c r="AZ15" s="409">
        <f t="shared" si="39"/>
        <v>125.4</v>
      </c>
      <c r="BA15" s="409">
        <f t="shared" si="40"/>
        <v>417.59999999999997</v>
      </c>
      <c r="BB15" s="21">
        <f t="shared" si="41"/>
        <v>0</v>
      </c>
      <c r="BC15" s="21">
        <f t="shared" si="28"/>
        <v>0</v>
      </c>
      <c r="BD15" s="21">
        <f t="shared" si="28"/>
        <v>0</v>
      </c>
      <c r="BE15" s="24">
        <f t="shared" si="29"/>
        <v>0</v>
      </c>
      <c r="BF15" s="96">
        <f t="shared" si="30"/>
        <v>0</v>
      </c>
      <c r="BG15" s="82">
        <f t="shared" si="4"/>
        <v>0</v>
      </c>
    </row>
    <row r="16" spans="1:65" ht="15.75" thickBot="1">
      <c r="A16" s="6">
        <f>ELEC!C14</f>
        <v>44723</v>
      </c>
      <c r="B16" s="5">
        <f t="shared" si="5"/>
        <v>109443</v>
      </c>
      <c r="C16" s="5">
        <f t="shared" si="6"/>
        <v>0</v>
      </c>
      <c r="D16" s="402">
        <f t="shared" si="7"/>
        <v>0</v>
      </c>
      <c r="E16" s="318">
        <f>SUM((C16*$E$4)+(7500/'EDl log'!$A$37))</f>
        <v>250</v>
      </c>
      <c r="F16" s="401"/>
      <c r="G16" s="5">
        <f t="shared" si="31"/>
        <v>629161</v>
      </c>
      <c r="H16" s="5">
        <f t="shared" si="8"/>
        <v>0</v>
      </c>
      <c r="I16" s="5">
        <f t="shared" si="9"/>
        <v>0</v>
      </c>
      <c r="J16" s="319">
        <f t="shared" si="0"/>
        <v>0</v>
      </c>
      <c r="K16" s="5">
        <f t="shared" si="10"/>
        <v>7089</v>
      </c>
      <c r="L16" s="263">
        <f t="shared" si="42"/>
        <v>0</v>
      </c>
      <c r="M16" s="393">
        <f t="shared" si="11"/>
        <v>457.44</v>
      </c>
      <c r="N16" s="482">
        <f t="shared" si="45"/>
        <v>0</v>
      </c>
      <c r="O16" s="393">
        <f t="shared" si="12"/>
        <v>529.52</v>
      </c>
      <c r="P16" s="482">
        <f t="shared" si="46"/>
        <v>0</v>
      </c>
      <c r="Q16" s="482">
        <f t="shared" si="47"/>
        <v>0</v>
      </c>
      <c r="R16" s="484"/>
      <c r="S16" s="484"/>
      <c r="T16" s="5">
        <f t="shared" si="13"/>
        <v>5187</v>
      </c>
      <c r="U16" s="5">
        <f t="shared" si="3"/>
        <v>0</v>
      </c>
      <c r="V16" s="5">
        <f t="shared" si="32"/>
        <v>496</v>
      </c>
      <c r="W16" s="309">
        <f t="shared" si="14"/>
        <v>0</v>
      </c>
      <c r="X16" s="5">
        <f t="shared" si="15"/>
        <v>155628</v>
      </c>
      <c r="Y16" s="309">
        <f t="shared" si="43"/>
        <v>0</v>
      </c>
      <c r="Z16" s="5">
        <f t="shared" si="16"/>
        <v>99465</v>
      </c>
      <c r="AA16" s="83">
        <f t="shared" si="17"/>
        <v>0</v>
      </c>
      <c r="AB16" s="5">
        <f t="shared" si="33"/>
        <v>239</v>
      </c>
      <c r="AC16" s="5">
        <f t="shared" si="18"/>
        <v>790</v>
      </c>
      <c r="AD16" s="83">
        <f t="shared" si="34"/>
        <v>0</v>
      </c>
      <c r="AE16" s="5">
        <f t="shared" si="19"/>
        <v>244.4</v>
      </c>
      <c r="AF16" s="83">
        <f t="shared" si="20"/>
        <v>0</v>
      </c>
      <c r="AG16" s="5">
        <f t="shared" si="21"/>
        <v>2247.41</v>
      </c>
      <c r="AH16" s="83">
        <f t="shared" si="22"/>
        <v>0</v>
      </c>
      <c r="AI16" s="83">
        <f t="shared" si="23"/>
        <v>0</v>
      </c>
      <c r="AJ16" s="311">
        <f t="shared" si="24"/>
        <v>0</v>
      </c>
      <c r="AK16" s="312">
        <f t="shared" si="35"/>
        <v>0</v>
      </c>
      <c r="AL16" s="312">
        <f t="shared" si="25"/>
        <v>0</v>
      </c>
      <c r="AM16" s="312">
        <f>'General information '!D15</f>
        <v>0</v>
      </c>
      <c r="AN16" s="84">
        <f>'General information '!H15</f>
        <v>0</v>
      </c>
      <c r="AO16" s="84"/>
      <c r="AP16" s="84">
        <f>'General information '!J15</f>
        <v>0</v>
      </c>
      <c r="AQ16" s="81"/>
      <c r="AR16" s="266">
        <f t="shared" si="26"/>
        <v>44723</v>
      </c>
      <c r="AS16" s="407">
        <f t="shared" si="27"/>
        <v>0.9</v>
      </c>
      <c r="AT16" s="201">
        <f t="shared" si="27"/>
        <v>139</v>
      </c>
      <c r="AU16" s="408">
        <f t="shared" si="44"/>
        <v>1.1000000000000001</v>
      </c>
      <c r="AV16" s="201">
        <f t="shared" si="36"/>
        <v>114</v>
      </c>
      <c r="AW16" s="5">
        <v>2.9</v>
      </c>
      <c r="AX16" s="201">
        <f t="shared" si="37"/>
        <v>144</v>
      </c>
      <c r="AY16" s="409">
        <f t="shared" si="38"/>
        <v>125.10000000000001</v>
      </c>
      <c r="AZ16" s="409">
        <f t="shared" si="39"/>
        <v>125.4</v>
      </c>
      <c r="BA16" s="409">
        <f t="shared" si="40"/>
        <v>417.59999999999997</v>
      </c>
      <c r="BB16" s="21">
        <f t="shared" si="41"/>
        <v>0</v>
      </c>
      <c r="BC16" s="21">
        <f t="shared" si="28"/>
        <v>0</v>
      </c>
      <c r="BD16" s="21">
        <f t="shared" si="28"/>
        <v>0</v>
      </c>
      <c r="BE16" s="24">
        <f t="shared" si="29"/>
        <v>0</v>
      </c>
      <c r="BF16" s="96">
        <f t="shared" si="30"/>
        <v>0</v>
      </c>
      <c r="BG16" s="82">
        <f t="shared" si="4"/>
        <v>0</v>
      </c>
    </row>
    <row r="17" spans="1:61" ht="15.75" thickBot="1">
      <c r="A17" s="6">
        <f>ELEC!C15</f>
        <v>44724</v>
      </c>
      <c r="B17" s="5">
        <f t="shared" si="5"/>
        <v>109443</v>
      </c>
      <c r="C17" s="5">
        <f t="shared" si="6"/>
        <v>0</v>
      </c>
      <c r="D17" s="402">
        <f t="shared" si="7"/>
        <v>0</v>
      </c>
      <c r="E17" s="318">
        <f>SUM((C17*$E$4)+(7500/'EDl log'!$A$37))</f>
        <v>250</v>
      </c>
      <c r="F17" s="401"/>
      <c r="G17" s="5">
        <f t="shared" si="31"/>
        <v>629161</v>
      </c>
      <c r="H17" s="5">
        <f t="shared" si="8"/>
        <v>0</v>
      </c>
      <c r="I17" s="5">
        <f t="shared" si="9"/>
        <v>0</v>
      </c>
      <c r="J17" s="319">
        <f t="shared" si="0"/>
        <v>0</v>
      </c>
      <c r="K17" s="5">
        <f t="shared" si="10"/>
        <v>7089</v>
      </c>
      <c r="L17" s="83">
        <f t="shared" si="42"/>
        <v>0</v>
      </c>
      <c r="M17" s="393">
        <f t="shared" si="11"/>
        <v>457.44</v>
      </c>
      <c r="N17" s="482">
        <f t="shared" si="45"/>
        <v>0</v>
      </c>
      <c r="O17" s="393">
        <f t="shared" si="12"/>
        <v>529.52</v>
      </c>
      <c r="P17" s="482">
        <f t="shared" si="46"/>
        <v>0</v>
      </c>
      <c r="Q17" s="482">
        <f t="shared" si="47"/>
        <v>0</v>
      </c>
      <c r="R17" s="482"/>
      <c r="S17" s="482"/>
      <c r="T17" s="5">
        <f t="shared" si="13"/>
        <v>5187</v>
      </c>
      <c r="U17" s="5">
        <f t="shared" si="3"/>
        <v>0</v>
      </c>
      <c r="V17" s="5">
        <f t="shared" si="32"/>
        <v>496</v>
      </c>
      <c r="W17" s="309">
        <f t="shared" si="14"/>
        <v>0</v>
      </c>
      <c r="X17" s="5">
        <f t="shared" si="15"/>
        <v>155628</v>
      </c>
      <c r="Y17" s="309">
        <f t="shared" si="43"/>
        <v>0</v>
      </c>
      <c r="Z17" s="5">
        <f t="shared" si="16"/>
        <v>99465</v>
      </c>
      <c r="AA17" s="83">
        <f t="shared" si="17"/>
        <v>0</v>
      </c>
      <c r="AB17" s="5">
        <f t="shared" si="33"/>
        <v>239</v>
      </c>
      <c r="AC17" s="5">
        <f t="shared" si="18"/>
        <v>790</v>
      </c>
      <c r="AD17" s="83">
        <f t="shared" si="34"/>
        <v>0</v>
      </c>
      <c r="AE17" s="5">
        <f t="shared" si="19"/>
        <v>244.4</v>
      </c>
      <c r="AF17" s="83">
        <f t="shared" si="20"/>
        <v>0</v>
      </c>
      <c r="AG17" s="5">
        <f t="shared" si="21"/>
        <v>2247.41</v>
      </c>
      <c r="AH17" s="83">
        <f t="shared" si="22"/>
        <v>0</v>
      </c>
      <c r="AI17" s="83">
        <f t="shared" si="23"/>
        <v>0</v>
      </c>
      <c r="AJ17" s="311">
        <f t="shared" si="24"/>
        <v>0</v>
      </c>
      <c r="AK17" s="312">
        <f>SUM(Y17-L17)</f>
        <v>0</v>
      </c>
      <c r="AL17" s="312">
        <f t="shared" si="25"/>
        <v>0</v>
      </c>
      <c r="AM17" s="312">
        <f>'General information '!D16</f>
        <v>0</v>
      </c>
      <c r="AN17" s="84">
        <f>'General information '!H16</f>
        <v>0</v>
      </c>
      <c r="AO17" s="84"/>
      <c r="AP17" s="84">
        <f>'General information '!J16</f>
        <v>0</v>
      </c>
      <c r="AQ17" s="95"/>
      <c r="AR17" s="266">
        <f t="shared" si="26"/>
        <v>44724</v>
      </c>
      <c r="AS17" s="407">
        <f t="shared" si="27"/>
        <v>0.9</v>
      </c>
      <c r="AT17" s="201">
        <f t="shared" si="27"/>
        <v>139</v>
      </c>
      <c r="AU17" s="408">
        <f t="shared" si="44"/>
        <v>1.1000000000000001</v>
      </c>
      <c r="AV17" s="201">
        <f t="shared" si="36"/>
        <v>114</v>
      </c>
      <c r="AW17" s="5">
        <v>2.9</v>
      </c>
      <c r="AX17" s="201">
        <f t="shared" si="37"/>
        <v>144</v>
      </c>
      <c r="AY17" s="409">
        <f t="shared" si="38"/>
        <v>125.10000000000001</v>
      </c>
      <c r="AZ17" s="409">
        <f t="shared" si="39"/>
        <v>125.4</v>
      </c>
      <c r="BA17" s="409">
        <f t="shared" si="40"/>
        <v>417.59999999999997</v>
      </c>
      <c r="BB17" s="21">
        <f t="shared" si="41"/>
        <v>0</v>
      </c>
      <c r="BC17" s="21">
        <f t="shared" si="28"/>
        <v>0</v>
      </c>
      <c r="BD17" s="21">
        <f t="shared" si="28"/>
        <v>0</v>
      </c>
      <c r="BE17" s="24">
        <f t="shared" si="29"/>
        <v>0</v>
      </c>
      <c r="BF17" s="96">
        <f t="shared" si="30"/>
        <v>0</v>
      </c>
      <c r="BG17" s="82">
        <f t="shared" si="4"/>
        <v>0</v>
      </c>
    </row>
    <row r="18" spans="1:61" ht="15.75" thickBot="1">
      <c r="A18" s="6">
        <f>ELEC!C16</f>
        <v>44725</v>
      </c>
      <c r="B18" s="5">
        <f t="shared" si="5"/>
        <v>109443</v>
      </c>
      <c r="C18" s="5">
        <f t="shared" si="6"/>
        <v>0</v>
      </c>
      <c r="D18" s="402">
        <f t="shared" si="7"/>
        <v>0</v>
      </c>
      <c r="E18" s="318">
        <f>SUM((C18*$E$4)+(7500/'EDl log'!$A$37))</f>
        <v>250</v>
      </c>
      <c r="F18" s="401"/>
      <c r="G18" s="5">
        <f t="shared" si="31"/>
        <v>629161</v>
      </c>
      <c r="H18" s="5">
        <f t="shared" si="8"/>
        <v>0</v>
      </c>
      <c r="I18" s="5">
        <f t="shared" si="9"/>
        <v>0</v>
      </c>
      <c r="J18" s="319">
        <f t="shared" si="0"/>
        <v>0</v>
      </c>
      <c r="K18" s="5">
        <f t="shared" si="10"/>
        <v>7089</v>
      </c>
      <c r="L18" s="83">
        <f t="shared" si="42"/>
        <v>0</v>
      </c>
      <c r="M18" s="393">
        <f t="shared" si="11"/>
        <v>457.44</v>
      </c>
      <c r="N18" s="482">
        <f t="shared" si="45"/>
        <v>0</v>
      </c>
      <c r="O18" s="393">
        <f t="shared" si="12"/>
        <v>529.52</v>
      </c>
      <c r="P18" s="482">
        <f t="shared" si="46"/>
        <v>0</v>
      </c>
      <c r="Q18" s="482">
        <f t="shared" si="47"/>
        <v>0</v>
      </c>
      <c r="R18" s="482"/>
      <c r="S18" s="482"/>
      <c r="T18" s="5">
        <f t="shared" si="13"/>
        <v>5187</v>
      </c>
      <c r="U18" s="5">
        <f t="shared" si="3"/>
        <v>0</v>
      </c>
      <c r="V18" s="5">
        <f t="shared" si="32"/>
        <v>496</v>
      </c>
      <c r="W18" s="309">
        <f t="shared" si="14"/>
        <v>0</v>
      </c>
      <c r="X18" s="5">
        <f t="shared" si="15"/>
        <v>155628</v>
      </c>
      <c r="Y18" s="309">
        <f t="shared" si="43"/>
        <v>0</v>
      </c>
      <c r="Z18" s="5">
        <f t="shared" si="16"/>
        <v>99465</v>
      </c>
      <c r="AA18" s="83">
        <f t="shared" si="17"/>
        <v>0</v>
      </c>
      <c r="AB18" s="5">
        <f t="shared" si="33"/>
        <v>239</v>
      </c>
      <c r="AC18" s="5">
        <f t="shared" si="18"/>
        <v>790</v>
      </c>
      <c r="AD18" s="83">
        <f t="shared" si="34"/>
        <v>0</v>
      </c>
      <c r="AE18" s="5">
        <f t="shared" si="19"/>
        <v>244.4</v>
      </c>
      <c r="AF18" s="83">
        <f t="shared" si="20"/>
        <v>0</v>
      </c>
      <c r="AG18" s="5">
        <f t="shared" si="21"/>
        <v>2247.41</v>
      </c>
      <c r="AH18" s="83">
        <f t="shared" si="22"/>
        <v>0</v>
      </c>
      <c r="AI18" s="83">
        <f t="shared" si="23"/>
        <v>0</v>
      </c>
      <c r="AJ18" s="311">
        <f t="shared" si="24"/>
        <v>0</v>
      </c>
      <c r="AK18" s="312">
        <f>SUM(Y18-L18)</f>
        <v>0</v>
      </c>
      <c r="AL18" s="312">
        <f t="shared" si="25"/>
        <v>0</v>
      </c>
      <c r="AM18" s="312">
        <f>'General information '!D17</f>
        <v>0</v>
      </c>
      <c r="AN18" s="84">
        <f>'General information '!H17</f>
        <v>0</v>
      </c>
      <c r="AO18" s="84"/>
      <c r="AP18" s="84">
        <f>'General information '!J17</f>
        <v>0</v>
      </c>
      <c r="AQ18" s="95"/>
      <c r="AR18" s="266">
        <f t="shared" si="26"/>
        <v>44725</v>
      </c>
      <c r="AS18" s="407">
        <f t="shared" si="27"/>
        <v>0.9</v>
      </c>
      <c r="AT18" s="201">
        <f t="shared" si="27"/>
        <v>139</v>
      </c>
      <c r="AU18" s="408">
        <f t="shared" si="44"/>
        <v>1.1000000000000001</v>
      </c>
      <c r="AV18" s="201">
        <v>113</v>
      </c>
      <c r="AW18" s="5">
        <v>2.9</v>
      </c>
      <c r="AX18" s="201">
        <v>138</v>
      </c>
      <c r="AY18" s="409">
        <f t="shared" si="38"/>
        <v>125.10000000000001</v>
      </c>
      <c r="AZ18" s="409">
        <f t="shared" si="39"/>
        <v>124.30000000000001</v>
      </c>
      <c r="BA18" s="409">
        <f t="shared" si="40"/>
        <v>400.2</v>
      </c>
      <c r="BB18" s="21">
        <f t="shared" si="41"/>
        <v>0</v>
      </c>
      <c r="BC18" s="21">
        <f t="shared" si="28"/>
        <v>-1.0999999999999943</v>
      </c>
      <c r="BD18" s="21">
        <f t="shared" si="28"/>
        <v>-17.399999999999977</v>
      </c>
      <c r="BE18" s="24">
        <f t="shared" si="29"/>
        <v>-18.499999999999972</v>
      </c>
      <c r="BF18" s="96">
        <f t="shared" si="30"/>
        <v>18.499999999999972</v>
      </c>
      <c r="BG18" s="82">
        <f t="shared" si="4"/>
        <v>-18.499999999999972</v>
      </c>
    </row>
    <row r="19" spans="1:61" ht="15.75" thickBot="1">
      <c r="A19" s="6">
        <f>ELEC!C17</f>
        <v>44726</v>
      </c>
      <c r="B19" s="5">
        <f t="shared" si="5"/>
        <v>109443</v>
      </c>
      <c r="C19" s="5">
        <f t="shared" si="6"/>
        <v>0</v>
      </c>
      <c r="D19" s="402">
        <f t="shared" si="7"/>
        <v>0</v>
      </c>
      <c r="E19" s="318">
        <f>SUM((C19*$E$4)+(7500/'EDl log'!$A$37))</f>
        <v>250</v>
      </c>
      <c r="F19" s="401"/>
      <c r="G19" s="5">
        <v>629308</v>
      </c>
      <c r="H19" s="5">
        <f t="shared" si="8"/>
        <v>147</v>
      </c>
      <c r="I19" s="5">
        <f t="shared" si="9"/>
        <v>147</v>
      </c>
      <c r="J19" s="319">
        <f t="shared" si="0"/>
        <v>1.7006802721088434</v>
      </c>
      <c r="K19" s="5">
        <f t="shared" si="10"/>
        <v>7089</v>
      </c>
      <c r="L19" s="83">
        <f t="shared" si="42"/>
        <v>0</v>
      </c>
      <c r="M19" s="393">
        <f t="shared" si="11"/>
        <v>457.44</v>
      </c>
      <c r="N19" s="482">
        <f t="shared" si="45"/>
        <v>0</v>
      </c>
      <c r="O19" s="393">
        <f t="shared" si="12"/>
        <v>529.52</v>
      </c>
      <c r="P19" s="482">
        <f t="shared" si="46"/>
        <v>0</v>
      </c>
      <c r="Q19" s="482">
        <f t="shared" si="47"/>
        <v>0</v>
      </c>
      <c r="R19" s="482"/>
      <c r="S19" s="482"/>
      <c r="T19" s="5">
        <f t="shared" si="13"/>
        <v>5187</v>
      </c>
      <c r="U19" s="5">
        <f t="shared" si="3"/>
        <v>0</v>
      </c>
      <c r="V19" s="5">
        <f t="shared" si="32"/>
        <v>496</v>
      </c>
      <c r="W19" s="309">
        <f t="shared" si="14"/>
        <v>0</v>
      </c>
      <c r="X19" s="5">
        <f t="shared" si="15"/>
        <v>155628</v>
      </c>
      <c r="Y19" s="309">
        <f t="shared" si="43"/>
        <v>0</v>
      </c>
      <c r="Z19" s="5">
        <f t="shared" si="16"/>
        <v>99465</v>
      </c>
      <c r="AA19" s="83">
        <f t="shared" si="17"/>
        <v>0</v>
      </c>
      <c r="AB19" s="5">
        <f t="shared" si="33"/>
        <v>239</v>
      </c>
      <c r="AC19" s="5">
        <f t="shared" si="18"/>
        <v>790</v>
      </c>
      <c r="AD19" s="83">
        <f t="shared" si="34"/>
        <v>0</v>
      </c>
      <c r="AE19" s="5">
        <f t="shared" si="19"/>
        <v>244.4</v>
      </c>
      <c r="AF19" s="83">
        <f t="shared" si="20"/>
        <v>0</v>
      </c>
      <c r="AG19" s="5">
        <f t="shared" si="21"/>
        <v>2247.41</v>
      </c>
      <c r="AH19" s="83">
        <f t="shared" si="22"/>
        <v>0</v>
      </c>
      <c r="AI19" s="83">
        <f t="shared" si="23"/>
        <v>0</v>
      </c>
      <c r="AJ19" s="311">
        <f t="shared" si="24"/>
        <v>0</v>
      </c>
      <c r="AK19" s="312">
        <f t="shared" si="35"/>
        <v>0</v>
      </c>
      <c r="AL19" s="312">
        <f t="shared" si="25"/>
        <v>0</v>
      </c>
      <c r="AM19" s="312">
        <f>'General information '!D18</f>
        <v>25</v>
      </c>
      <c r="AN19" s="84">
        <f>'General information '!H18</f>
        <v>0</v>
      </c>
      <c r="AO19" s="84"/>
      <c r="AP19" s="84">
        <f>'General information '!J18</f>
        <v>0</v>
      </c>
      <c r="AQ19" s="81"/>
      <c r="AR19" s="266">
        <f t="shared" si="26"/>
        <v>44726</v>
      </c>
      <c r="AS19" s="407">
        <f t="shared" si="27"/>
        <v>0.9</v>
      </c>
      <c r="AT19" s="201">
        <v>169</v>
      </c>
      <c r="AU19" s="408">
        <f t="shared" si="44"/>
        <v>1.1000000000000001</v>
      </c>
      <c r="AV19" s="201">
        <v>112</v>
      </c>
      <c r="AW19" s="5">
        <v>2.9</v>
      </c>
      <c r="AX19" s="201">
        <v>137</v>
      </c>
      <c r="AY19" s="409">
        <f>AS19*AT19</f>
        <v>152.1</v>
      </c>
      <c r="AZ19" s="409">
        <f>AU19*AV19</f>
        <v>123.20000000000002</v>
      </c>
      <c r="BA19" s="409">
        <f>AW19*AX19</f>
        <v>397.3</v>
      </c>
      <c r="BB19" s="21">
        <f t="shared" si="41"/>
        <v>26.999999999999986</v>
      </c>
      <c r="BC19" s="21">
        <f t="shared" ref="BB19:BD20" si="48">AZ19-AZ18</f>
        <v>-1.0999999999999943</v>
      </c>
      <c r="BD19" s="21">
        <f t="shared" si="48"/>
        <v>-2.8999999999999773</v>
      </c>
      <c r="BE19" s="24">
        <f>SUM(BB19:BD19)</f>
        <v>23.000000000000014</v>
      </c>
      <c r="BF19" s="96">
        <f t="shared" si="30"/>
        <v>123.99999999999999</v>
      </c>
      <c r="BG19" s="82">
        <f t="shared" si="4"/>
        <v>23.000000000000014</v>
      </c>
    </row>
    <row r="20" spans="1:61" ht="15.75" thickBot="1">
      <c r="A20" s="6">
        <f>ELEC!C18</f>
        <v>44727</v>
      </c>
      <c r="B20" s="5">
        <f t="shared" si="5"/>
        <v>109443</v>
      </c>
      <c r="C20" s="5">
        <f t="shared" si="6"/>
        <v>0</v>
      </c>
      <c r="D20" s="402">
        <f t="shared" si="7"/>
        <v>0</v>
      </c>
      <c r="E20" s="318">
        <f>SUM((C20*$E$4)+(7500/'EDl log'!$A$37))</f>
        <v>250</v>
      </c>
      <c r="F20" s="401"/>
      <c r="G20" s="5">
        <f t="shared" si="31"/>
        <v>629308</v>
      </c>
      <c r="H20" s="5">
        <f t="shared" si="8"/>
        <v>0</v>
      </c>
      <c r="I20" s="5">
        <f t="shared" si="9"/>
        <v>0</v>
      </c>
      <c r="J20" s="319">
        <f t="shared" si="0"/>
        <v>0</v>
      </c>
      <c r="K20" s="5">
        <f t="shared" si="10"/>
        <v>7089</v>
      </c>
      <c r="L20" s="83">
        <f t="shared" si="42"/>
        <v>0</v>
      </c>
      <c r="M20" s="393">
        <f t="shared" si="11"/>
        <v>457.44</v>
      </c>
      <c r="N20" s="482">
        <f t="shared" si="45"/>
        <v>0</v>
      </c>
      <c r="O20" s="393">
        <f t="shared" si="12"/>
        <v>529.52</v>
      </c>
      <c r="P20" s="482">
        <f t="shared" si="46"/>
        <v>0</v>
      </c>
      <c r="Q20" s="482">
        <f t="shared" si="47"/>
        <v>0</v>
      </c>
      <c r="R20" s="482"/>
      <c r="S20" s="482"/>
      <c r="T20" s="5">
        <f t="shared" si="13"/>
        <v>5187</v>
      </c>
      <c r="U20" s="5">
        <f t="shared" si="3"/>
        <v>0</v>
      </c>
      <c r="V20" s="5">
        <f t="shared" si="32"/>
        <v>496</v>
      </c>
      <c r="W20" s="309">
        <f t="shared" si="14"/>
        <v>0</v>
      </c>
      <c r="X20" s="5">
        <f t="shared" si="15"/>
        <v>155628</v>
      </c>
      <c r="Y20" s="309">
        <f t="shared" si="43"/>
        <v>0</v>
      </c>
      <c r="Z20" s="5">
        <f t="shared" si="16"/>
        <v>99465</v>
      </c>
      <c r="AA20" s="83">
        <f t="shared" si="17"/>
        <v>0</v>
      </c>
      <c r="AB20" s="5">
        <f t="shared" si="33"/>
        <v>239</v>
      </c>
      <c r="AC20" s="5">
        <f t="shared" si="18"/>
        <v>790</v>
      </c>
      <c r="AD20" s="83">
        <f t="shared" si="34"/>
        <v>0</v>
      </c>
      <c r="AE20" s="5">
        <f t="shared" si="19"/>
        <v>244.4</v>
      </c>
      <c r="AF20" s="83">
        <f t="shared" si="20"/>
        <v>0</v>
      </c>
      <c r="AG20" s="5">
        <f t="shared" si="21"/>
        <v>2247.41</v>
      </c>
      <c r="AH20" s="83">
        <f t="shared" si="22"/>
        <v>0</v>
      </c>
      <c r="AI20" s="83">
        <f t="shared" si="23"/>
        <v>0</v>
      </c>
      <c r="AJ20" s="311">
        <f t="shared" si="24"/>
        <v>0</v>
      </c>
      <c r="AK20" s="312">
        <f t="shared" si="35"/>
        <v>0</v>
      </c>
      <c r="AL20" s="312">
        <f t="shared" si="25"/>
        <v>0</v>
      </c>
      <c r="AM20" s="312">
        <f>'General information '!D19</f>
        <v>25.5</v>
      </c>
      <c r="AN20" s="84">
        <f>'General information '!H19</f>
        <v>0</v>
      </c>
      <c r="AO20" s="84"/>
      <c r="AP20" s="84">
        <f>'General information '!J19</f>
        <v>0</v>
      </c>
      <c r="AQ20" s="81"/>
      <c r="AR20" s="266">
        <f t="shared" si="26"/>
        <v>44727</v>
      </c>
      <c r="AS20" s="407">
        <f t="shared" si="27"/>
        <v>0.9</v>
      </c>
      <c r="AT20" s="201">
        <f t="shared" si="27"/>
        <v>169</v>
      </c>
      <c r="AU20" s="408">
        <f t="shared" si="44"/>
        <v>1.1000000000000001</v>
      </c>
      <c r="AV20" s="201">
        <v>111</v>
      </c>
      <c r="AW20" s="5">
        <v>2.9</v>
      </c>
      <c r="AX20" s="201">
        <v>135</v>
      </c>
      <c r="AY20" s="409">
        <f>AS20*AT20</f>
        <v>152.1</v>
      </c>
      <c r="AZ20" s="409">
        <f>AU20*AV20</f>
        <v>122.10000000000001</v>
      </c>
      <c r="BA20" s="409">
        <f>AW20*AX20</f>
        <v>391.5</v>
      </c>
      <c r="BB20" s="21">
        <f t="shared" si="48"/>
        <v>0</v>
      </c>
      <c r="BC20" s="21">
        <f t="shared" si="48"/>
        <v>-1.1000000000000085</v>
      </c>
      <c r="BD20" s="21">
        <f t="shared" si="48"/>
        <v>-5.8000000000000114</v>
      </c>
      <c r="BE20" s="24">
        <f>SUM(BB20:BD20)</f>
        <v>-6.9000000000000199</v>
      </c>
      <c r="BF20" s="96">
        <f t="shared" si="30"/>
        <v>6.9000000000000199</v>
      </c>
      <c r="BG20" s="82">
        <f t="shared" si="4"/>
        <v>-6.9000000000000199</v>
      </c>
    </row>
    <row r="21" spans="1:61" ht="15.75" thickBot="1">
      <c r="A21" s="6">
        <f>ELEC!C19</f>
        <v>44728</v>
      </c>
      <c r="B21" s="5">
        <f t="shared" si="5"/>
        <v>109443</v>
      </c>
      <c r="C21" s="5">
        <f t="shared" si="6"/>
        <v>0</v>
      </c>
      <c r="D21" s="402">
        <f t="shared" si="7"/>
        <v>0</v>
      </c>
      <c r="E21" s="318">
        <f>SUM((C21*$E$4)+(7500/'EDl log'!$A$37))</f>
        <v>250</v>
      </c>
      <c r="F21" s="312"/>
      <c r="G21" s="5">
        <f t="shared" si="31"/>
        <v>629308</v>
      </c>
      <c r="H21" s="5">
        <f t="shared" si="8"/>
        <v>0</v>
      </c>
      <c r="I21" s="5">
        <f t="shared" si="9"/>
        <v>0</v>
      </c>
      <c r="J21" s="319">
        <f t="shared" si="0"/>
        <v>0</v>
      </c>
      <c r="K21" s="5">
        <f t="shared" si="10"/>
        <v>7089</v>
      </c>
      <c r="L21" s="83">
        <f t="shared" si="42"/>
        <v>0</v>
      </c>
      <c r="M21" s="393">
        <f t="shared" si="11"/>
        <v>457.44</v>
      </c>
      <c r="N21" s="482">
        <f t="shared" si="45"/>
        <v>0</v>
      </c>
      <c r="O21" s="393">
        <f t="shared" si="12"/>
        <v>529.52</v>
      </c>
      <c r="P21" s="482">
        <f t="shared" si="46"/>
        <v>0</v>
      </c>
      <c r="Q21" s="482">
        <f t="shared" si="47"/>
        <v>0</v>
      </c>
      <c r="R21" s="482"/>
      <c r="S21" s="482"/>
      <c r="T21" s="5">
        <v>5186</v>
      </c>
      <c r="U21" s="5">
        <f t="shared" si="3"/>
        <v>-1</v>
      </c>
      <c r="V21" s="5">
        <f t="shared" si="32"/>
        <v>496</v>
      </c>
      <c r="W21" s="309">
        <f t="shared" si="14"/>
        <v>0</v>
      </c>
      <c r="X21" s="5">
        <f t="shared" si="15"/>
        <v>155628</v>
      </c>
      <c r="Y21" s="309">
        <f>SUM(X21-X20)</f>
        <v>0</v>
      </c>
      <c r="Z21" s="5">
        <f t="shared" si="16"/>
        <v>99465</v>
      </c>
      <c r="AA21" s="83">
        <f t="shared" si="17"/>
        <v>0</v>
      </c>
      <c r="AB21" s="5">
        <f t="shared" si="33"/>
        <v>239</v>
      </c>
      <c r="AC21" s="5">
        <f t="shared" si="18"/>
        <v>790</v>
      </c>
      <c r="AD21" s="83">
        <f t="shared" si="34"/>
        <v>0</v>
      </c>
      <c r="AE21" s="5">
        <f t="shared" si="19"/>
        <v>244.4</v>
      </c>
      <c r="AF21" s="83">
        <f t="shared" si="20"/>
        <v>0</v>
      </c>
      <c r="AG21" s="5">
        <f t="shared" si="21"/>
        <v>2247.41</v>
      </c>
      <c r="AH21" s="83">
        <f t="shared" si="22"/>
        <v>0</v>
      </c>
      <c r="AI21" s="83">
        <f t="shared" si="23"/>
        <v>0</v>
      </c>
      <c r="AJ21" s="311">
        <f t="shared" si="24"/>
        <v>0</v>
      </c>
      <c r="AK21" s="312">
        <f>SUM(Y21-L21)</f>
        <v>0</v>
      </c>
      <c r="AL21" s="312">
        <f t="shared" si="25"/>
        <v>0</v>
      </c>
      <c r="AM21" s="312">
        <f>'General information '!D20</f>
        <v>0</v>
      </c>
      <c r="AN21" s="84">
        <f>'General information '!H20</f>
        <v>0</v>
      </c>
      <c r="AO21" s="84"/>
      <c r="AP21" s="84">
        <f>'General information '!J20</f>
        <v>0</v>
      </c>
      <c r="AQ21" s="81"/>
      <c r="AR21" s="266">
        <f t="shared" si="26"/>
        <v>44728</v>
      </c>
      <c r="AS21" s="407">
        <f t="shared" si="27"/>
        <v>0.9</v>
      </c>
      <c r="AT21" s="201">
        <f t="shared" si="27"/>
        <v>169</v>
      </c>
      <c r="AU21" s="408">
        <f t="shared" si="44"/>
        <v>1.1000000000000001</v>
      </c>
      <c r="AV21" s="201">
        <f t="shared" si="36"/>
        <v>111</v>
      </c>
      <c r="AW21" s="5">
        <v>2.9</v>
      </c>
      <c r="AX21" s="201">
        <f t="shared" si="37"/>
        <v>135</v>
      </c>
      <c r="AY21" s="409">
        <f>AS21*AT21</f>
        <v>152.1</v>
      </c>
      <c r="AZ21" s="409">
        <f>AU21*AV21</f>
        <v>122.10000000000001</v>
      </c>
      <c r="BA21" s="409">
        <f>AW21*AX21</f>
        <v>391.5</v>
      </c>
      <c r="BB21" s="21">
        <f t="shared" ref="BB21:BD33" si="49">AY21-AY20</f>
        <v>0</v>
      </c>
      <c r="BC21" s="21">
        <f t="shared" si="28"/>
        <v>0</v>
      </c>
      <c r="BD21" s="21">
        <f t="shared" si="28"/>
        <v>0</v>
      </c>
      <c r="BE21" s="24">
        <f t="shared" si="29"/>
        <v>0</v>
      </c>
      <c r="BF21" s="96">
        <f t="shared" si="30"/>
        <v>0</v>
      </c>
      <c r="BG21" s="82">
        <f t="shared" si="4"/>
        <v>0</v>
      </c>
    </row>
    <row r="22" spans="1:61" ht="15.75" thickBot="1">
      <c r="A22" s="6">
        <f>ELEC!C20</f>
        <v>44729</v>
      </c>
      <c r="B22" s="5">
        <f t="shared" si="5"/>
        <v>109443</v>
      </c>
      <c r="C22" s="5">
        <f t="shared" si="6"/>
        <v>0</v>
      </c>
      <c r="D22" s="402">
        <f t="shared" si="7"/>
        <v>0</v>
      </c>
      <c r="E22" s="318">
        <f>SUM((C22*$E$4)+(7500/'EDl log'!$A$37))</f>
        <v>250</v>
      </c>
      <c r="F22" s="312"/>
      <c r="G22" s="5">
        <f t="shared" si="31"/>
        <v>629308</v>
      </c>
      <c r="H22" s="5">
        <f t="shared" si="8"/>
        <v>0</v>
      </c>
      <c r="I22" s="5">
        <f t="shared" si="9"/>
        <v>0</v>
      </c>
      <c r="J22" s="319">
        <f t="shared" si="0"/>
        <v>0</v>
      </c>
      <c r="K22" s="5">
        <f t="shared" si="10"/>
        <v>7089</v>
      </c>
      <c r="L22" s="83">
        <f t="shared" si="42"/>
        <v>0</v>
      </c>
      <c r="M22" s="393">
        <f t="shared" si="11"/>
        <v>457.44</v>
      </c>
      <c r="N22" s="482">
        <f t="shared" si="45"/>
        <v>0</v>
      </c>
      <c r="O22" s="393">
        <f t="shared" si="12"/>
        <v>529.52</v>
      </c>
      <c r="P22" s="482">
        <f t="shared" si="46"/>
        <v>0</v>
      </c>
      <c r="Q22" s="482">
        <f t="shared" si="47"/>
        <v>0</v>
      </c>
      <c r="R22" s="482"/>
      <c r="S22" s="482"/>
      <c r="T22" s="5">
        <f t="shared" si="13"/>
        <v>5186</v>
      </c>
      <c r="U22" s="5">
        <f t="shared" si="3"/>
        <v>0</v>
      </c>
      <c r="V22" s="5">
        <f t="shared" si="32"/>
        <v>496</v>
      </c>
      <c r="W22" s="309">
        <f t="shared" si="14"/>
        <v>0</v>
      </c>
      <c r="X22" s="5">
        <f t="shared" si="15"/>
        <v>155628</v>
      </c>
      <c r="Y22" s="309">
        <f t="shared" si="43"/>
        <v>0</v>
      </c>
      <c r="Z22" s="5">
        <f t="shared" si="16"/>
        <v>99465</v>
      </c>
      <c r="AA22" s="83">
        <f t="shared" si="17"/>
        <v>0</v>
      </c>
      <c r="AB22" s="5">
        <f t="shared" si="33"/>
        <v>239</v>
      </c>
      <c r="AC22" s="5">
        <f t="shared" si="18"/>
        <v>790</v>
      </c>
      <c r="AD22" s="83">
        <f t="shared" si="34"/>
        <v>0</v>
      </c>
      <c r="AE22" s="5">
        <f t="shared" si="19"/>
        <v>244.4</v>
      </c>
      <c r="AF22" s="83">
        <f t="shared" si="20"/>
        <v>0</v>
      </c>
      <c r="AG22" s="5">
        <f t="shared" si="21"/>
        <v>2247.41</v>
      </c>
      <c r="AH22" s="83">
        <f t="shared" si="22"/>
        <v>0</v>
      </c>
      <c r="AI22" s="83">
        <f t="shared" si="23"/>
        <v>0</v>
      </c>
      <c r="AJ22" s="311">
        <f t="shared" si="24"/>
        <v>0</v>
      </c>
      <c r="AK22" s="312">
        <f t="shared" si="35"/>
        <v>0</v>
      </c>
      <c r="AL22" s="312">
        <f t="shared" si="25"/>
        <v>0</v>
      </c>
      <c r="AM22" s="312">
        <f>'General information '!D21</f>
        <v>0</v>
      </c>
      <c r="AN22" s="84">
        <f>'General information '!H21</f>
        <v>0</v>
      </c>
      <c r="AO22" s="84"/>
      <c r="AP22" s="84">
        <f>'General information '!J21</f>
        <v>0</v>
      </c>
      <c r="AR22" s="266">
        <f t="shared" si="26"/>
        <v>44729</v>
      </c>
      <c r="AS22" s="407">
        <f t="shared" ref="AS22:AT33" si="50">AS21</f>
        <v>0.9</v>
      </c>
      <c r="AT22" s="201">
        <f t="shared" si="50"/>
        <v>169</v>
      </c>
      <c r="AU22" s="408">
        <f t="shared" si="44"/>
        <v>1.1000000000000001</v>
      </c>
      <c r="AV22" s="201">
        <f t="shared" si="36"/>
        <v>111</v>
      </c>
      <c r="AW22" s="5">
        <v>2.9</v>
      </c>
      <c r="AX22" s="201">
        <f t="shared" si="37"/>
        <v>135</v>
      </c>
      <c r="AY22" s="409">
        <f t="shared" si="38"/>
        <v>152.1</v>
      </c>
      <c r="AZ22" s="409">
        <f t="shared" si="39"/>
        <v>122.10000000000001</v>
      </c>
      <c r="BA22" s="409">
        <f t="shared" si="40"/>
        <v>391.5</v>
      </c>
      <c r="BB22" s="21">
        <f>AY22-AY21</f>
        <v>0</v>
      </c>
      <c r="BC22" s="21">
        <f t="shared" si="49"/>
        <v>0</v>
      </c>
      <c r="BD22" s="21">
        <f t="shared" si="49"/>
        <v>0</v>
      </c>
      <c r="BE22" s="24">
        <f t="shared" si="29"/>
        <v>0</v>
      </c>
      <c r="BF22" s="96">
        <f t="shared" si="30"/>
        <v>0</v>
      </c>
      <c r="BG22" s="82">
        <f t="shared" si="4"/>
        <v>0</v>
      </c>
    </row>
    <row r="23" spans="1:61" ht="15.75" thickBot="1">
      <c r="A23" s="6">
        <f>ELEC!C21</f>
        <v>44730</v>
      </c>
      <c r="B23" s="5">
        <f t="shared" si="5"/>
        <v>109443</v>
      </c>
      <c r="C23" s="5">
        <f t="shared" si="6"/>
        <v>0</v>
      </c>
      <c r="D23" s="402">
        <f t="shared" si="7"/>
        <v>0</v>
      </c>
      <c r="E23" s="318">
        <f>SUM((C23*$E$4)+(7500/'EDl log'!$A$37))</f>
        <v>250</v>
      </c>
      <c r="F23" s="312"/>
      <c r="G23" s="5">
        <f t="shared" si="31"/>
        <v>629308</v>
      </c>
      <c r="H23" s="5">
        <f t="shared" si="8"/>
        <v>0</v>
      </c>
      <c r="I23" s="5">
        <f t="shared" si="9"/>
        <v>0</v>
      </c>
      <c r="J23" s="319">
        <f t="shared" si="0"/>
        <v>0</v>
      </c>
      <c r="K23" s="5">
        <f t="shared" si="10"/>
        <v>7089</v>
      </c>
      <c r="L23" s="263">
        <f t="shared" si="42"/>
        <v>0</v>
      </c>
      <c r="M23" s="393">
        <f t="shared" si="11"/>
        <v>457.44</v>
      </c>
      <c r="N23" s="482">
        <f t="shared" si="45"/>
        <v>0</v>
      </c>
      <c r="O23" s="393">
        <f t="shared" si="12"/>
        <v>529.52</v>
      </c>
      <c r="P23" s="482">
        <f t="shared" si="46"/>
        <v>0</v>
      </c>
      <c r="Q23" s="482">
        <f t="shared" si="47"/>
        <v>0</v>
      </c>
      <c r="R23" s="484"/>
      <c r="S23" s="484"/>
      <c r="T23" s="5">
        <f t="shared" si="13"/>
        <v>5186</v>
      </c>
      <c r="U23" s="5">
        <f t="shared" si="3"/>
        <v>0</v>
      </c>
      <c r="V23" s="5">
        <f t="shared" si="32"/>
        <v>496</v>
      </c>
      <c r="W23" s="309">
        <f t="shared" si="14"/>
        <v>0</v>
      </c>
      <c r="X23" s="5">
        <f t="shared" si="15"/>
        <v>155628</v>
      </c>
      <c r="Y23" s="309">
        <f t="shared" si="43"/>
        <v>0</v>
      </c>
      <c r="Z23" s="5">
        <f t="shared" si="16"/>
        <v>99465</v>
      </c>
      <c r="AA23" s="83">
        <f t="shared" si="17"/>
        <v>0</v>
      </c>
      <c r="AB23" s="5">
        <f t="shared" si="33"/>
        <v>239</v>
      </c>
      <c r="AC23" s="5">
        <f t="shared" si="18"/>
        <v>790</v>
      </c>
      <c r="AD23" s="83">
        <f t="shared" si="34"/>
        <v>0</v>
      </c>
      <c r="AE23" s="5">
        <f t="shared" si="19"/>
        <v>244.4</v>
      </c>
      <c r="AF23" s="83">
        <f t="shared" si="20"/>
        <v>0</v>
      </c>
      <c r="AG23" s="5">
        <f t="shared" si="21"/>
        <v>2247.41</v>
      </c>
      <c r="AH23" s="83">
        <f t="shared" si="22"/>
        <v>0</v>
      </c>
      <c r="AI23" s="83">
        <f t="shared" si="23"/>
        <v>0</v>
      </c>
      <c r="AJ23" s="311">
        <f t="shared" si="24"/>
        <v>0</v>
      </c>
      <c r="AK23" s="312">
        <f t="shared" si="35"/>
        <v>0</v>
      </c>
      <c r="AL23" s="312">
        <f t="shared" si="25"/>
        <v>0</v>
      </c>
      <c r="AM23" s="312">
        <f>'General information '!D22</f>
        <v>0</v>
      </c>
      <c r="AN23" s="84">
        <f>'General information '!H22</f>
        <v>0</v>
      </c>
      <c r="AO23" s="84"/>
      <c r="AP23" s="84">
        <f>'General information '!J22</f>
        <v>0</v>
      </c>
      <c r="AR23" s="266">
        <f t="shared" si="26"/>
        <v>44730</v>
      </c>
      <c r="AS23" s="407">
        <f t="shared" si="50"/>
        <v>0.9</v>
      </c>
      <c r="AT23" s="201">
        <f t="shared" si="50"/>
        <v>169</v>
      </c>
      <c r="AU23" s="408">
        <f t="shared" si="44"/>
        <v>1.1000000000000001</v>
      </c>
      <c r="AV23" s="201">
        <f t="shared" si="36"/>
        <v>111</v>
      </c>
      <c r="AW23" s="5">
        <v>2.9</v>
      </c>
      <c r="AX23" s="201">
        <f t="shared" si="37"/>
        <v>135</v>
      </c>
      <c r="AY23" s="409">
        <f t="shared" si="38"/>
        <v>152.1</v>
      </c>
      <c r="AZ23" s="409">
        <f t="shared" si="39"/>
        <v>122.10000000000001</v>
      </c>
      <c r="BA23" s="409">
        <f t="shared" si="40"/>
        <v>391.5</v>
      </c>
      <c r="BB23" s="21">
        <f t="shared" si="49"/>
        <v>0</v>
      </c>
      <c r="BC23" s="21">
        <f t="shared" si="49"/>
        <v>0</v>
      </c>
      <c r="BD23" s="21">
        <f t="shared" si="49"/>
        <v>0</v>
      </c>
      <c r="BE23" s="24">
        <f t="shared" si="29"/>
        <v>0</v>
      </c>
      <c r="BF23" s="96">
        <f t="shared" si="30"/>
        <v>0</v>
      </c>
      <c r="BG23" s="82">
        <f t="shared" si="4"/>
        <v>0</v>
      </c>
    </row>
    <row r="24" spans="1:61" ht="15.75" thickBot="1">
      <c r="A24" s="6">
        <f>ELEC!C22</f>
        <v>44731</v>
      </c>
      <c r="B24" s="5">
        <f t="shared" si="5"/>
        <v>109443</v>
      </c>
      <c r="C24" s="5">
        <f t="shared" si="6"/>
        <v>0</v>
      </c>
      <c r="D24" s="402">
        <f t="shared" si="7"/>
        <v>0</v>
      </c>
      <c r="E24" s="318">
        <f>SUM((C24*$E$4)+(7500/'EDl log'!$A$37))</f>
        <v>250</v>
      </c>
      <c r="F24" s="312"/>
      <c r="G24" s="5">
        <f t="shared" si="31"/>
        <v>629308</v>
      </c>
      <c r="H24" s="5">
        <f t="shared" si="8"/>
        <v>0</v>
      </c>
      <c r="I24" s="5">
        <f t="shared" si="9"/>
        <v>0</v>
      </c>
      <c r="J24" s="319">
        <f t="shared" si="0"/>
        <v>0</v>
      </c>
      <c r="K24" s="5">
        <f t="shared" si="10"/>
        <v>7089</v>
      </c>
      <c r="L24" s="263">
        <f t="shared" si="42"/>
        <v>0</v>
      </c>
      <c r="M24" s="393">
        <f t="shared" si="11"/>
        <v>457.44</v>
      </c>
      <c r="N24" s="482">
        <f t="shared" si="45"/>
        <v>0</v>
      </c>
      <c r="O24" s="393">
        <f t="shared" si="12"/>
        <v>529.52</v>
      </c>
      <c r="P24" s="482">
        <f t="shared" si="46"/>
        <v>0</v>
      </c>
      <c r="Q24" s="482">
        <f t="shared" si="47"/>
        <v>0</v>
      </c>
      <c r="R24" s="484"/>
      <c r="S24" s="484"/>
      <c r="T24" s="5">
        <f t="shared" si="13"/>
        <v>5186</v>
      </c>
      <c r="U24" s="5">
        <f t="shared" si="3"/>
        <v>0</v>
      </c>
      <c r="V24" s="5">
        <f t="shared" si="32"/>
        <v>496</v>
      </c>
      <c r="W24" s="309">
        <f t="shared" si="14"/>
        <v>0</v>
      </c>
      <c r="X24" s="5">
        <f t="shared" si="15"/>
        <v>155628</v>
      </c>
      <c r="Y24" s="309">
        <f t="shared" si="43"/>
        <v>0</v>
      </c>
      <c r="Z24" s="5">
        <f t="shared" si="16"/>
        <v>99465</v>
      </c>
      <c r="AA24" s="83">
        <f t="shared" si="17"/>
        <v>0</v>
      </c>
      <c r="AB24" s="5">
        <f t="shared" si="33"/>
        <v>239</v>
      </c>
      <c r="AC24" s="5">
        <f t="shared" si="18"/>
        <v>790</v>
      </c>
      <c r="AD24" s="83">
        <f t="shared" si="34"/>
        <v>0</v>
      </c>
      <c r="AE24" s="5">
        <f t="shared" si="19"/>
        <v>244.4</v>
      </c>
      <c r="AF24" s="83">
        <f t="shared" si="20"/>
        <v>0</v>
      </c>
      <c r="AG24" s="5">
        <f t="shared" si="21"/>
        <v>2247.41</v>
      </c>
      <c r="AH24" s="83">
        <f t="shared" si="22"/>
        <v>0</v>
      </c>
      <c r="AI24" s="83">
        <f t="shared" si="23"/>
        <v>0</v>
      </c>
      <c r="AJ24" s="311">
        <f t="shared" si="24"/>
        <v>0</v>
      </c>
      <c r="AK24" s="312">
        <f t="shared" si="35"/>
        <v>0</v>
      </c>
      <c r="AL24" s="312">
        <f t="shared" si="25"/>
        <v>0</v>
      </c>
      <c r="AM24" s="312">
        <f>'General information '!D23</f>
        <v>0</v>
      </c>
      <c r="AN24" s="84">
        <f>'[3]General information '!H24</f>
        <v>0</v>
      </c>
      <c r="AO24" s="84"/>
      <c r="AP24" s="84">
        <f>'[3]General information '!J24</f>
        <v>0</v>
      </c>
      <c r="AR24" s="266">
        <f t="shared" si="26"/>
        <v>44731</v>
      </c>
      <c r="AS24" s="407">
        <f t="shared" si="50"/>
        <v>0.9</v>
      </c>
      <c r="AT24" s="201">
        <f t="shared" si="50"/>
        <v>169</v>
      </c>
      <c r="AU24" s="408">
        <f t="shared" si="44"/>
        <v>1.1000000000000001</v>
      </c>
      <c r="AV24" s="201">
        <f t="shared" si="36"/>
        <v>111</v>
      </c>
      <c r="AW24" s="5">
        <v>2.9</v>
      </c>
      <c r="AX24" s="201">
        <f t="shared" si="37"/>
        <v>135</v>
      </c>
      <c r="AY24" s="409">
        <f t="shared" si="38"/>
        <v>152.1</v>
      </c>
      <c r="AZ24" s="409">
        <f t="shared" si="39"/>
        <v>122.10000000000001</v>
      </c>
      <c r="BA24" s="409">
        <f t="shared" si="40"/>
        <v>391.5</v>
      </c>
      <c r="BB24" s="21">
        <f t="shared" si="49"/>
        <v>0</v>
      </c>
      <c r="BC24" s="21">
        <f t="shared" si="49"/>
        <v>0</v>
      </c>
      <c r="BD24" s="21">
        <f t="shared" si="49"/>
        <v>0</v>
      </c>
      <c r="BE24" s="24">
        <f t="shared" si="29"/>
        <v>0</v>
      </c>
      <c r="BF24" s="96">
        <f t="shared" si="30"/>
        <v>0</v>
      </c>
      <c r="BG24" s="82">
        <f t="shared" si="4"/>
        <v>0</v>
      </c>
      <c r="BI24" s="82"/>
    </row>
    <row r="25" spans="1:61" ht="15.75" thickBot="1">
      <c r="A25" s="6">
        <f>ELEC!C23</f>
        <v>44732</v>
      </c>
      <c r="B25" s="5">
        <f t="shared" si="5"/>
        <v>109443</v>
      </c>
      <c r="C25" s="5">
        <f t="shared" si="6"/>
        <v>0</v>
      </c>
      <c r="D25" s="402">
        <f t="shared" si="7"/>
        <v>0</v>
      </c>
      <c r="E25" s="318">
        <f>SUM((C25*$E$4)+(7500/'EDl log'!$A$37))</f>
        <v>250</v>
      </c>
      <c r="F25" s="312"/>
      <c r="G25" s="5">
        <f t="shared" si="31"/>
        <v>629308</v>
      </c>
      <c r="H25" s="5">
        <f t="shared" si="8"/>
        <v>0</v>
      </c>
      <c r="I25" s="5">
        <f t="shared" si="9"/>
        <v>0</v>
      </c>
      <c r="J25" s="319">
        <f t="shared" si="0"/>
        <v>0</v>
      </c>
      <c r="K25" s="5">
        <f t="shared" si="10"/>
        <v>7089</v>
      </c>
      <c r="L25" s="263">
        <f t="shared" si="42"/>
        <v>0</v>
      </c>
      <c r="M25" s="393">
        <f t="shared" si="11"/>
        <v>457.44</v>
      </c>
      <c r="N25" s="482">
        <f t="shared" si="45"/>
        <v>0</v>
      </c>
      <c r="O25" s="393">
        <f t="shared" si="12"/>
        <v>529.52</v>
      </c>
      <c r="P25" s="482">
        <f t="shared" si="46"/>
        <v>0</v>
      </c>
      <c r="Q25" s="482">
        <f t="shared" si="47"/>
        <v>0</v>
      </c>
      <c r="R25" s="484"/>
      <c r="S25" s="484"/>
      <c r="T25" s="5">
        <f t="shared" si="13"/>
        <v>5186</v>
      </c>
      <c r="U25" s="5">
        <f t="shared" si="3"/>
        <v>0</v>
      </c>
      <c r="V25" s="5">
        <f t="shared" si="32"/>
        <v>496</v>
      </c>
      <c r="W25" s="309">
        <f t="shared" si="14"/>
        <v>0</v>
      </c>
      <c r="X25" s="5">
        <f t="shared" si="15"/>
        <v>155628</v>
      </c>
      <c r="Y25" s="309">
        <f t="shared" si="43"/>
        <v>0</v>
      </c>
      <c r="Z25" s="5">
        <f t="shared" si="16"/>
        <v>99465</v>
      </c>
      <c r="AA25" s="83">
        <f t="shared" si="17"/>
        <v>0</v>
      </c>
      <c r="AB25" s="5">
        <f t="shared" si="33"/>
        <v>239</v>
      </c>
      <c r="AC25" s="5">
        <f t="shared" si="18"/>
        <v>790</v>
      </c>
      <c r="AD25" s="83">
        <f t="shared" si="34"/>
        <v>0</v>
      </c>
      <c r="AE25" s="5">
        <f t="shared" si="19"/>
        <v>244.4</v>
      </c>
      <c r="AF25" s="83">
        <f t="shared" si="20"/>
        <v>0</v>
      </c>
      <c r="AG25" s="5">
        <f t="shared" si="21"/>
        <v>2247.41</v>
      </c>
      <c r="AH25" s="83">
        <f t="shared" si="22"/>
        <v>0</v>
      </c>
      <c r="AI25" s="83">
        <f t="shared" si="23"/>
        <v>0</v>
      </c>
      <c r="AJ25" s="311">
        <f t="shared" si="24"/>
        <v>0</v>
      </c>
      <c r="AK25" s="312">
        <f t="shared" si="35"/>
        <v>0</v>
      </c>
      <c r="AL25" s="312">
        <f t="shared" si="25"/>
        <v>0</v>
      </c>
      <c r="AM25" s="312">
        <f>'General information '!D24</f>
        <v>0</v>
      </c>
      <c r="AN25" s="84">
        <f>'General information '!H24</f>
        <v>0</v>
      </c>
      <c r="AO25" s="84"/>
      <c r="AP25" s="84">
        <f>'General information '!J24</f>
        <v>0</v>
      </c>
      <c r="AR25" s="266">
        <f t="shared" si="26"/>
        <v>44732</v>
      </c>
      <c r="AS25" s="407">
        <f t="shared" si="50"/>
        <v>0.9</v>
      </c>
      <c r="AT25" s="201">
        <f t="shared" si="50"/>
        <v>169</v>
      </c>
      <c r="AU25" s="408">
        <f t="shared" si="44"/>
        <v>1.1000000000000001</v>
      </c>
      <c r="AV25" s="201">
        <f t="shared" si="36"/>
        <v>111</v>
      </c>
      <c r="AW25" s="5">
        <v>2.9</v>
      </c>
      <c r="AX25" s="201">
        <f t="shared" si="37"/>
        <v>135</v>
      </c>
      <c r="AY25" s="409">
        <f t="shared" si="38"/>
        <v>152.1</v>
      </c>
      <c r="AZ25" s="409">
        <f t="shared" si="39"/>
        <v>122.10000000000001</v>
      </c>
      <c r="BA25" s="409">
        <f t="shared" si="40"/>
        <v>391.5</v>
      </c>
      <c r="BB25" s="21">
        <f t="shared" si="49"/>
        <v>0</v>
      </c>
      <c r="BC25" s="21">
        <f t="shared" si="49"/>
        <v>0</v>
      </c>
      <c r="BD25" s="21">
        <f t="shared" si="49"/>
        <v>0</v>
      </c>
      <c r="BE25" s="24">
        <f t="shared" si="29"/>
        <v>0</v>
      </c>
      <c r="BF25" s="96">
        <f t="shared" si="30"/>
        <v>0</v>
      </c>
      <c r="BG25" s="82">
        <f t="shared" si="4"/>
        <v>0</v>
      </c>
    </row>
    <row r="26" spans="1:61" ht="15.75" thickBot="1">
      <c r="A26" s="6">
        <f>ELEC!C24</f>
        <v>44733</v>
      </c>
      <c r="B26" s="5">
        <f t="shared" si="5"/>
        <v>109443</v>
      </c>
      <c r="C26" s="5">
        <f t="shared" si="6"/>
        <v>0</v>
      </c>
      <c r="D26" s="402">
        <f t="shared" si="7"/>
        <v>0</v>
      </c>
      <c r="E26" s="318">
        <f>SUM((C26*$E$4)+(7500/'EDl log'!$A$37))</f>
        <v>250</v>
      </c>
      <c r="F26" s="312"/>
      <c r="G26" s="5">
        <f t="shared" si="31"/>
        <v>629308</v>
      </c>
      <c r="H26" s="5">
        <f>G26-G25</f>
        <v>0</v>
      </c>
      <c r="I26" s="5">
        <f t="shared" si="9"/>
        <v>0</v>
      </c>
      <c r="J26" s="319">
        <f t="shared" si="0"/>
        <v>0</v>
      </c>
      <c r="K26" s="5">
        <f t="shared" si="10"/>
        <v>7089</v>
      </c>
      <c r="L26" s="263">
        <f t="shared" si="42"/>
        <v>0</v>
      </c>
      <c r="M26" s="393">
        <f t="shared" si="11"/>
        <v>457.44</v>
      </c>
      <c r="N26" s="482">
        <f t="shared" si="45"/>
        <v>0</v>
      </c>
      <c r="O26" s="393">
        <f t="shared" si="12"/>
        <v>529.52</v>
      </c>
      <c r="P26" s="482">
        <f t="shared" si="46"/>
        <v>0</v>
      </c>
      <c r="Q26" s="482">
        <f t="shared" si="47"/>
        <v>0</v>
      </c>
      <c r="R26" s="484"/>
      <c r="S26" s="484"/>
      <c r="T26" s="5">
        <f t="shared" si="13"/>
        <v>5186</v>
      </c>
      <c r="U26" s="5">
        <f t="shared" si="3"/>
        <v>0</v>
      </c>
      <c r="V26" s="5">
        <f t="shared" si="32"/>
        <v>496</v>
      </c>
      <c r="W26" s="309">
        <f t="shared" si="14"/>
        <v>0</v>
      </c>
      <c r="X26" s="5">
        <f t="shared" si="15"/>
        <v>155628</v>
      </c>
      <c r="Y26" s="309">
        <f t="shared" si="43"/>
        <v>0</v>
      </c>
      <c r="Z26" s="5">
        <f t="shared" si="16"/>
        <v>99465</v>
      </c>
      <c r="AA26" s="83">
        <f t="shared" si="17"/>
        <v>0</v>
      </c>
      <c r="AB26" s="5">
        <f t="shared" si="33"/>
        <v>239</v>
      </c>
      <c r="AC26" s="5">
        <f t="shared" si="18"/>
        <v>790</v>
      </c>
      <c r="AD26" s="83">
        <f t="shared" si="34"/>
        <v>0</v>
      </c>
      <c r="AE26" s="5">
        <f t="shared" si="19"/>
        <v>244.4</v>
      </c>
      <c r="AF26" s="83">
        <f t="shared" si="20"/>
        <v>0</v>
      </c>
      <c r="AG26" s="5">
        <f t="shared" si="21"/>
        <v>2247.41</v>
      </c>
      <c r="AH26" s="83">
        <f t="shared" si="22"/>
        <v>0</v>
      </c>
      <c r="AI26" s="83">
        <f t="shared" si="23"/>
        <v>0</v>
      </c>
      <c r="AJ26" s="311">
        <f t="shared" si="24"/>
        <v>0</v>
      </c>
      <c r="AK26" s="312">
        <f>SUM(Y26-L26)</f>
        <v>0</v>
      </c>
      <c r="AL26" s="312">
        <f>SUM(AJ26-W26)</f>
        <v>0</v>
      </c>
      <c r="AM26" s="312">
        <f>'General information '!D25</f>
        <v>0</v>
      </c>
      <c r="AN26" s="84">
        <f>'General information '!H25</f>
        <v>0</v>
      </c>
      <c r="AO26" s="84"/>
      <c r="AP26" s="84">
        <f>'General information '!J25</f>
        <v>0</v>
      </c>
      <c r="AR26" s="266">
        <f t="shared" si="26"/>
        <v>44733</v>
      </c>
      <c r="AS26" s="407">
        <f t="shared" si="50"/>
        <v>0.9</v>
      </c>
      <c r="AT26" s="201">
        <f t="shared" si="50"/>
        <v>169</v>
      </c>
      <c r="AU26" s="408">
        <f t="shared" si="44"/>
        <v>1.1000000000000001</v>
      </c>
      <c r="AV26" s="201">
        <f t="shared" si="36"/>
        <v>111</v>
      </c>
      <c r="AW26" s="5">
        <v>2.9</v>
      </c>
      <c r="AX26" s="201">
        <f t="shared" si="37"/>
        <v>135</v>
      </c>
      <c r="AY26" s="409">
        <f t="shared" si="38"/>
        <v>152.1</v>
      </c>
      <c r="AZ26" s="409">
        <f t="shared" si="39"/>
        <v>122.10000000000001</v>
      </c>
      <c r="BA26" s="409">
        <f t="shared" si="40"/>
        <v>391.5</v>
      </c>
      <c r="BB26" s="21">
        <f>AY26-AY25</f>
        <v>0</v>
      </c>
      <c r="BC26" s="21">
        <f t="shared" si="49"/>
        <v>0</v>
      </c>
      <c r="BD26" s="21">
        <f t="shared" si="49"/>
        <v>0</v>
      </c>
      <c r="BE26" s="24">
        <f t="shared" si="29"/>
        <v>0</v>
      </c>
      <c r="BF26" s="96">
        <f t="shared" si="30"/>
        <v>0</v>
      </c>
      <c r="BG26" s="82">
        <f t="shared" si="4"/>
        <v>0</v>
      </c>
    </row>
    <row r="27" spans="1:61" ht="15.75" thickBot="1">
      <c r="A27" s="6">
        <f>ELEC!C25</f>
        <v>44734</v>
      </c>
      <c r="B27" s="5">
        <f t="shared" si="5"/>
        <v>109443</v>
      </c>
      <c r="C27" s="5">
        <f t="shared" si="6"/>
        <v>0</v>
      </c>
      <c r="D27" s="402">
        <f t="shared" si="7"/>
        <v>0</v>
      </c>
      <c r="E27" s="318">
        <f>SUM((C27*$E$4)+(7500/'EDl log'!$A$37))</f>
        <v>250</v>
      </c>
      <c r="F27" s="312"/>
      <c r="G27" s="5">
        <f t="shared" si="31"/>
        <v>629308</v>
      </c>
      <c r="H27" s="5">
        <f t="shared" si="8"/>
        <v>0</v>
      </c>
      <c r="I27" s="5">
        <f t="shared" si="9"/>
        <v>0</v>
      </c>
      <c r="J27" s="319">
        <f t="shared" si="0"/>
        <v>0</v>
      </c>
      <c r="K27" s="5">
        <f t="shared" si="10"/>
        <v>7089</v>
      </c>
      <c r="L27" s="263">
        <f t="shared" si="42"/>
        <v>0</v>
      </c>
      <c r="M27" s="393">
        <f t="shared" si="11"/>
        <v>457.44</v>
      </c>
      <c r="N27" s="482">
        <f t="shared" si="45"/>
        <v>0</v>
      </c>
      <c r="O27" s="393">
        <f t="shared" si="12"/>
        <v>529.52</v>
      </c>
      <c r="P27" s="482">
        <f t="shared" si="46"/>
        <v>0</v>
      </c>
      <c r="Q27" s="482">
        <f t="shared" si="47"/>
        <v>0</v>
      </c>
      <c r="R27" s="484"/>
      <c r="S27" s="484"/>
      <c r="T27" s="5">
        <f t="shared" si="13"/>
        <v>5186</v>
      </c>
      <c r="U27" s="5">
        <f t="shared" si="3"/>
        <v>0</v>
      </c>
      <c r="V27" s="5">
        <f t="shared" si="32"/>
        <v>496</v>
      </c>
      <c r="W27" s="309">
        <f t="shared" si="14"/>
        <v>0</v>
      </c>
      <c r="X27" s="5">
        <f t="shared" si="15"/>
        <v>155628</v>
      </c>
      <c r="Y27" s="309">
        <f t="shared" si="43"/>
        <v>0</v>
      </c>
      <c r="Z27" s="5">
        <f t="shared" si="16"/>
        <v>99465</v>
      </c>
      <c r="AA27" s="83">
        <f t="shared" si="17"/>
        <v>0</v>
      </c>
      <c r="AB27" s="5">
        <f t="shared" si="33"/>
        <v>239</v>
      </c>
      <c r="AC27" s="5">
        <f t="shared" si="18"/>
        <v>790</v>
      </c>
      <c r="AD27" s="83">
        <f t="shared" si="34"/>
        <v>0</v>
      </c>
      <c r="AE27" s="5">
        <f t="shared" si="19"/>
        <v>244.4</v>
      </c>
      <c r="AF27" s="83">
        <f t="shared" si="20"/>
        <v>0</v>
      </c>
      <c r="AG27" s="5">
        <f t="shared" si="21"/>
        <v>2247.41</v>
      </c>
      <c r="AH27" s="83">
        <f t="shared" si="22"/>
        <v>0</v>
      </c>
      <c r="AI27" s="83">
        <f t="shared" si="23"/>
        <v>0</v>
      </c>
      <c r="AJ27" s="311">
        <f t="shared" si="24"/>
        <v>0</v>
      </c>
      <c r="AK27" s="312">
        <f t="shared" si="35"/>
        <v>0</v>
      </c>
      <c r="AL27" s="312">
        <f t="shared" si="25"/>
        <v>0</v>
      </c>
      <c r="AM27" s="312">
        <f>'General information '!D26</f>
        <v>0</v>
      </c>
      <c r="AN27" s="84">
        <f>'General information '!H26</f>
        <v>0</v>
      </c>
      <c r="AO27" s="84"/>
      <c r="AP27" s="84">
        <f>'General information '!J26</f>
        <v>0</v>
      </c>
      <c r="AR27" s="266">
        <f t="shared" si="26"/>
        <v>44734</v>
      </c>
      <c r="AS27" s="407">
        <f t="shared" si="50"/>
        <v>0.9</v>
      </c>
      <c r="AT27" s="201">
        <f t="shared" si="50"/>
        <v>169</v>
      </c>
      <c r="AU27" s="408">
        <f t="shared" si="44"/>
        <v>1.1000000000000001</v>
      </c>
      <c r="AV27" s="201">
        <f t="shared" si="36"/>
        <v>111</v>
      </c>
      <c r="AW27" s="5">
        <v>2.9</v>
      </c>
      <c r="AX27" s="201">
        <f t="shared" si="37"/>
        <v>135</v>
      </c>
      <c r="AY27" s="409">
        <f t="shared" si="38"/>
        <v>152.1</v>
      </c>
      <c r="AZ27" s="409">
        <f t="shared" si="39"/>
        <v>122.10000000000001</v>
      </c>
      <c r="BA27" s="409">
        <f t="shared" si="40"/>
        <v>391.5</v>
      </c>
      <c r="BB27" s="21">
        <f t="shared" si="49"/>
        <v>0</v>
      </c>
      <c r="BC27" s="21">
        <f t="shared" si="49"/>
        <v>0</v>
      </c>
      <c r="BD27" s="21">
        <f t="shared" si="49"/>
        <v>0</v>
      </c>
      <c r="BE27" s="24">
        <f t="shared" si="29"/>
        <v>0</v>
      </c>
      <c r="BF27" s="96">
        <f t="shared" si="30"/>
        <v>0</v>
      </c>
      <c r="BG27" s="82">
        <f t="shared" si="4"/>
        <v>0</v>
      </c>
    </row>
    <row r="28" spans="1:61" ht="15.75" thickBot="1">
      <c r="A28" s="6">
        <f>ELEC!C26</f>
        <v>44735</v>
      </c>
      <c r="B28" s="5">
        <f t="shared" si="5"/>
        <v>109443</v>
      </c>
      <c r="C28" s="5">
        <f t="shared" si="6"/>
        <v>0</v>
      </c>
      <c r="D28" s="402">
        <f t="shared" si="7"/>
        <v>0</v>
      </c>
      <c r="E28" s="318">
        <f>SUM((C28*$E$4)+(7500/'EDl log'!$A$37))</f>
        <v>250</v>
      </c>
      <c r="F28" s="312"/>
      <c r="G28" s="5">
        <f t="shared" si="31"/>
        <v>629308</v>
      </c>
      <c r="H28" s="5">
        <f t="shared" si="8"/>
        <v>0</v>
      </c>
      <c r="I28" s="5">
        <f t="shared" si="9"/>
        <v>0</v>
      </c>
      <c r="J28" s="319">
        <f t="shared" si="0"/>
        <v>0</v>
      </c>
      <c r="K28" s="5">
        <f t="shared" si="10"/>
        <v>7089</v>
      </c>
      <c r="L28" s="263">
        <f t="shared" si="42"/>
        <v>0</v>
      </c>
      <c r="M28" s="393">
        <f t="shared" si="11"/>
        <v>457.44</v>
      </c>
      <c r="N28" s="482">
        <f t="shared" si="45"/>
        <v>0</v>
      </c>
      <c r="O28" s="393">
        <f t="shared" si="12"/>
        <v>529.52</v>
      </c>
      <c r="P28" s="482">
        <f t="shared" si="46"/>
        <v>0</v>
      </c>
      <c r="Q28" s="482">
        <f t="shared" si="47"/>
        <v>0</v>
      </c>
      <c r="R28" s="484"/>
      <c r="S28" s="484"/>
      <c r="T28" s="5">
        <f t="shared" si="13"/>
        <v>5186</v>
      </c>
      <c r="U28" s="5">
        <f t="shared" si="3"/>
        <v>0</v>
      </c>
      <c r="V28" s="5">
        <f t="shared" si="32"/>
        <v>496</v>
      </c>
      <c r="W28" s="309">
        <f t="shared" si="14"/>
        <v>0</v>
      </c>
      <c r="X28" s="5">
        <f t="shared" si="15"/>
        <v>155628</v>
      </c>
      <c r="Y28" s="309">
        <f t="shared" si="43"/>
        <v>0</v>
      </c>
      <c r="Z28" s="5">
        <f t="shared" si="16"/>
        <v>99465</v>
      </c>
      <c r="AA28" s="83">
        <f t="shared" si="17"/>
        <v>0</v>
      </c>
      <c r="AB28" s="5">
        <f t="shared" si="33"/>
        <v>239</v>
      </c>
      <c r="AC28" s="5">
        <f t="shared" si="18"/>
        <v>790</v>
      </c>
      <c r="AD28" s="83">
        <f t="shared" si="34"/>
        <v>0</v>
      </c>
      <c r="AE28" s="5">
        <f t="shared" si="19"/>
        <v>244.4</v>
      </c>
      <c r="AF28" s="83">
        <f t="shared" si="20"/>
        <v>0</v>
      </c>
      <c r="AG28" s="5">
        <f t="shared" si="21"/>
        <v>2247.41</v>
      </c>
      <c r="AH28" s="83">
        <f t="shared" si="22"/>
        <v>0</v>
      </c>
      <c r="AI28" s="83">
        <f t="shared" si="23"/>
        <v>0</v>
      </c>
      <c r="AJ28" s="311">
        <f t="shared" si="24"/>
        <v>0</v>
      </c>
      <c r="AK28" s="312">
        <f t="shared" si="35"/>
        <v>0</v>
      </c>
      <c r="AL28" s="312">
        <f t="shared" si="25"/>
        <v>0</v>
      </c>
      <c r="AM28" s="312">
        <f>'General information '!D27</f>
        <v>0</v>
      </c>
      <c r="AN28" s="84">
        <f>'General information '!H27</f>
        <v>0</v>
      </c>
      <c r="AO28" s="84"/>
      <c r="AP28" s="84">
        <f>'General information '!J27</f>
        <v>0</v>
      </c>
      <c r="AR28" s="266">
        <f t="shared" si="26"/>
        <v>44735</v>
      </c>
      <c r="AS28" s="407">
        <f t="shared" si="50"/>
        <v>0.9</v>
      </c>
      <c r="AT28" s="201">
        <f t="shared" si="50"/>
        <v>169</v>
      </c>
      <c r="AU28" s="408">
        <f t="shared" si="44"/>
        <v>1.1000000000000001</v>
      </c>
      <c r="AV28" s="201">
        <f t="shared" si="36"/>
        <v>111</v>
      </c>
      <c r="AW28" s="5">
        <v>2.9</v>
      </c>
      <c r="AX28" s="201">
        <f t="shared" si="37"/>
        <v>135</v>
      </c>
      <c r="AY28" s="409">
        <f t="shared" si="38"/>
        <v>152.1</v>
      </c>
      <c r="AZ28" s="409">
        <f t="shared" si="39"/>
        <v>122.10000000000001</v>
      </c>
      <c r="BA28" s="409">
        <f t="shared" si="40"/>
        <v>391.5</v>
      </c>
      <c r="BB28" s="21">
        <f t="shared" si="49"/>
        <v>0</v>
      </c>
      <c r="BC28" s="21">
        <f t="shared" si="49"/>
        <v>0</v>
      </c>
      <c r="BD28" s="21">
        <f t="shared" si="49"/>
        <v>0</v>
      </c>
      <c r="BE28" s="24">
        <f t="shared" si="29"/>
        <v>0</v>
      </c>
      <c r="BF28" s="96">
        <f t="shared" si="30"/>
        <v>0</v>
      </c>
      <c r="BG28" s="82">
        <f t="shared" si="4"/>
        <v>0</v>
      </c>
    </row>
    <row r="29" spans="1:61" ht="15.75" thickBot="1">
      <c r="A29" s="6">
        <f>ELEC!C27</f>
        <v>44736</v>
      </c>
      <c r="B29" s="5">
        <f t="shared" si="5"/>
        <v>109443</v>
      </c>
      <c r="C29" s="5">
        <f t="shared" si="6"/>
        <v>0</v>
      </c>
      <c r="D29" s="402">
        <f t="shared" si="7"/>
        <v>0</v>
      </c>
      <c r="E29" s="318">
        <f>SUM((C29*$E$4)+(7500/'EDl log'!$A$37))</f>
        <v>250</v>
      </c>
      <c r="F29" s="312"/>
      <c r="G29" s="5">
        <f t="shared" si="31"/>
        <v>629308</v>
      </c>
      <c r="H29" s="5">
        <f t="shared" si="8"/>
        <v>0</v>
      </c>
      <c r="I29" s="5">
        <f t="shared" si="9"/>
        <v>0</v>
      </c>
      <c r="J29" s="319">
        <f t="shared" si="0"/>
        <v>0</v>
      </c>
      <c r="K29" s="5">
        <f t="shared" si="10"/>
        <v>7089</v>
      </c>
      <c r="L29" s="263">
        <f t="shared" si="42"/>
        <v>0</v>
      </c>
      <c r="M29" s="393">
        <f t="shared" si="11"/>
        <v>457.44</v>
      </c>
      <c r="N29" s="482">
        <f t="shared" si="45"/>
        <v>0</v>
      </c>
      <c r="O29" s="393">
        <f t="shared" si="12"/>
        <v>529.52</v>
      </c>
      <c r="P29" s="482">
        <f t="shared" si="46"/>
        <v>0</v>
      </c>
      <c r="Q29" s="482">
        <f t="shared" si="47"/>
        <v>0</v>
      </c>
      <c r="R29" s="484"/>
      <c r="S29" s="484"/>
      <c r="T29" s="5">
        <f t="shared" si="13"/>
        <v>5186</v>
      </c>
      <c r="U29" s="5">
        <f t="shared" si="3"/>
        <v>0</v>
      </c>
      <c r="V29" s="5">
        <f t="shared" si="32"/>
        <v>496</v>
      </c>
      <c r="W29" s="309">
        <f t="shared" si="14"/>
        <v>0</v>
      </c>
      <c r="X29" s="5">
        <f t="shared" si="15"/>
        <v>155628</v>
      </c>
      <c r="Y29" s="309">
        <f t="shared" si="43"/>
        <v>0</v>
      </c>
      <c r="Z29" s="5">
        <f t="shared" si="16"/>
        <v>99465</v>
      </c>
      <c r="AA29" s="83">
        <f t="shared" si="17"/>
        <v>0</v>
      </c>
      <c r="AB29" s="5">
        <f t="shared" si="33"/>
        <v>239</v>
      </c>
      <c r="AC29" s="5">
        <f t="shared" si="18"/>
        <v>790</v>
      </c>
      <c r="AD29" s="83">
        <f t="shared" si="34"/>
        <v>0</v>
      </c>
      <c r="AE29" s="5">
        <f t="shared" si="19"/>
        <v>244.4</v>
      </c>
      <c r="AF29" s="83">
        <f t="shared" si="20"/>
        <v>0</v>
      </c>
      <c r="AG29" s="5">
        <f t="shared" si="21"/>
        <v>2247.41</v>
      </c>
      <c r="AH29" s="83">
        <f t="shared" si="22"/>
        <v>0</v>
      </c>
      <c r="AI29" s="83">
        <f t="shared" si="23"/>
        <v>0</v>
      </c>
      <c r="AJ29" s="311">
        <f t="shared" si="24"/>
        <v>0</v>
      </c>
      <c r="AK29" s="312">
        <f t="shared" si="35"/>
        <v>0</v>
      </c>
      <c r="AL29" s="312">
        <f t="shared" si="25"/>
        <v>0</v>
      </c>
      <c r="AM29" s="312">
        <f>'General information '!D28</f>
        <v>0</v>
      </c>
      <c r="AN29" s="84">
        <f>'General information '!H28</f>
        <v>0</v>
      </c>
      <c r="AO29" s="84"/>
      <c r="AP29" s="84">
        <f>'General information '!J28</f>
        <v>0</v>
      </c>
      <c r="AR29" s="266">
        <f t="shared" si="26"/>
        <v>44736</v>
      </c>
      <c r="AS29" s="407">
        <f t="shared" si="50"/>
        <v>0.9</v>
      </c>
      <c r="AT29" s="201">
        <f t="shared" si="50"/>
        <v>169</v>
      </c>
      <c r="AU29" s="408">
        <f t="shared" si="44"/>
        <v>1.1000000000000001</v>
      </c>
      <c r="AV29" s="201">
        <f t="shared" si="36"/>
        <v>111</v>
      </c>
      <c r="AW29" s="5">
        <v>2.9</v>
      </c>
      <c r="AX29" s="201">
        <f t="shared" si="37"/>
        <v>135</v>
      </c>
      <c r="AY29" s="409">
        <f t="shared" si="38"/>
        <v>152.1</v>
      </c>
      <c r="AZ29" s="409">
        <f t="shared" si="39"/>
        <v>122.10000000000001</v>
      </c>
      <c r="BA29" s="409">
        <f t="shared" si="40"/>
        <v>391.5</v>
      </c>
      <c r="BB29" s="21">
        <f t="shared" si="49"/>
        <v>0</v>
      </c>
      <c r="BC29" s="21">
        <f t="shared" si="49"/>
        <v>0</v>
      </c>
      <c r="BD29" s="21">
        <f t="shared" si="49"/>
        <v>0</v>
      </c>
      <c r="BE29" s="24">
        <f t="shared" si="29"/>
        <v>0</v>
      </c>
      <c r="BF29" s="96">
        <f t="shared" si="30"/>
        <v>0</v>
      </c>
      <c r="BG29" s="82">
        <f t="shared" si="4"/>
        <v>0</v>
      </c>
    </row>
    <row r="30" spans="1:61" ht="15.75" thickBot="1">
      <c r="A30" s="6">
        <f>ELEC!C28</f>
        <v>44737</v>
      </c>
      <c r="B30" s="5">
        <f t="shared" si="5"/>
        <v>109443</v>
      </c>
      <c r="C30" s="5">
        <f t="shared" si="6"/>
        <v>0</v>
      </c>
      <c r="D30" s="402">
        <f t="shared" si="7"/>
        <v>0</v>
      </c>
      <c r="E30" s="318">
        <f>SUM((C30*$E$4)+(7500/'EDl log'!$A$37))</f>
        <v>250</v>
      </c>
      <c r="F30" s="312"/>
      <c r="G30" s="5">
        <f t="shared" si="31"/>
        <v>629308</v>
      </c>
      <c r="H30" s="5">
        <f t="shared" si="8"/>
        <v>0</v>
      </c>
      <c r="I30" s="5">
        <f t="shared" si="9"/>
        <v>0</v>
      </c>
      <c r="J30" s="319">
        <f t="shared" si="0"/>
        <v>0</v>
      </c>
      <c r="K30" s="5">
        <f t="shared" si="10"/>
        <v>7089</v>
      </c>
      <c r="L30" s="263">
        <f t="shared" si="42"/>
        <v>0</v>
      </c>
      <c r="M30" s="393">
        <f t="shared" si="11"/>
        <v>457.44</v>
      </c>
      <c r="N30" s="482">
        <f t="shared" si="45"/>
        <v>0</v>
      </c>
      <c r="O30" s="393">
        <f t="shared" si="12"/>
        <v>529.52</v>
      </c>
      <c r="P30" s="482">
        <f t="shared" si="46"/>
        <v>0</v>
      </c>
      <c r="Q30" s="482">
        <f t="shared" si="47"/>
        <v>0</v>
      </c>
      <c r="R30" s="484"/>
      <c r="S30" s="484"/>
      <c r="T30" s="5">
        <f t="shared" si="13"/>
        <v>5186</v>
      </c>
      <c r="U30" s="5">
        <f t="shared" si="3"/>
        <v>0</v>
      </c>
      <c r="V30" s="5">
        <f t="shared" si="32"/>
        <v>496</v>
      </c>
      <c r="W30" s="309">
        <f t="shared" si="14"/>
        <v>0</v>
      </c>
      <c r="X30" s="5">
        <f t="shared" si="15"/>
        <v>155628</v>
      </c>
      <c r="Y30" s="309">
        <f t="shared" si="43"/>
        <v>0</v>
      </c>
      <c r="Z30" s="5">
        <f t="shared" si="16"/>
        <v>99465</v>
      </c>
      <c r="AA30" s="83">
        <f t="shared" si="17"/>
        <v>0</v>
      </c>
      <c r="AB30" s="5">
        <f t="shared" si="33"/>
        <v>239</v>
      </c>
      <c r="AC30" s="5">
        <f t="shared" si="18"/>
        <v>790</v>
      </c>
      <c r="AD30" s="83">
        <f t="shared" si="34"/>
        <v>0</v>
      </c>
      <c r="AE30" s="5">
        <f t="shared" si="19"/>
        <v>244.4</v>
      </c>
      <c r="AF30" s="83">
        <f t="shared" si="20"/>
        <v>0</v>
      </c>
      <c r="AG30" s="5">
        <f t="shared" si="21"/>
        <v>2247.41</v>
      </c>
      <c r="AH30" s="83">
        <f t="shared" si="22"/>
        <v>0</v>
      </c>
      <c r="AI30" s="83">
        <f t="shared" si="23"/>
        <v>0</v>
      </c>
      <c r="AJ30" s="311">
        <f t="shared" si="24"/>
        <v>0</v>
      </c>
      <c r="AK30" s="312">
        <f t="shared" si="35"/>
        <v>0</v>
      </c>
      <c r="AL30" s="312">
        <f t="shared" si="25"/>
        <v>0</v>
      </c>
      <c r="AM30" s="312">
        <f>'General information '!D29</f>
        <v>0</v>
      </c>
      <c r="AN30" s="84">
        <f>'General information '!H29</f>
        <v>0</v>
      </c>
      <c r="AO30" s="84"/>
      <c r="AP30" s="84">
        <f>'General information '!J29</f>
        <v>0</v>
      </c>
      <c r="AR30" s="266">
        <f t="shared" si="26"/>
        <v>44737</v>
      </c>
      <c r="AS30" s="407">
        <f t="shared" si="50"/>
        <v>0.9</v>
      </c>
      <c r="AT30" s="201">
        <f t="shared" si="50"/>
        <v>169</v>
      </c>
      <c r="AU30" s="408">
        <f t="shared" si="44"/>
        <v>1.1000000000000001</v>
      </c>
      <c r="AV30" s="201">
        <f t="shared" si="36"/>
        <v>111</v>
      </c>
      <c r="AW30" s="5">
        <v>2.9</v>
      </c>
      <c r="AX30" s="201">
        <f t="shared" si="37"/>
        <v>135</v>
      </c>
      <c r="AY30" s="409">
        <f t="shared" si="38"/>
        <v>152.1</v>
      </c>
      <c r="AZ30" s="409">
        <f t="shared" si="39"/>
        <v>122.10000000000001</v>
      </c>
      <c r="BA30" s="409">
        <f t="shared" si="40"/>
        <v>391.5</v>
      </c>
      <c r="BB30" s="21">
        <f t="shared" si="49"/>
        <v>0</v>
      </c>
      <c r="BC30" s="21">
        <f t="shared" si="49"/>
        <v>0</v>
      </c>
      <c r="BD30" s="21">
        <f t="shared" si="49"/>
        <v>0</v>
      </c>
      <c r="BE30" s="24">
        <f t="shared" si="29"/>
        <v>0</v>
      </c>
      <c r="BF30" s="96">
        <f t="shared" si="30"/>
        <v>0</v>
      </c>
      <c r="BG30" s="82">
        <f t="shared" si="4"/>
        <v>0</v>
      </c>
    </row>
    <row r="31" spans="1:61" ht="15.75" thickBot="1">
      <c r="A31" s="6">
        <f>ELEC!C29</f>
        <v>44738</v>
      </c>
      <c r="B31" s="5">
        <f t="shared" si="5"/>
        <v>109443</v>
      </c>
      <c r="C31" s="5">
        <f t="shared" si="6"/>
        <v>0</v>
      </c>
      <c r="D31" s="402">
        <f t="shared" si="7"/>
        <v>0</v>
      </c>
      <c r="E31" s="318">
        <f>SUM((C31*$E$4)+(7500/'EDl log'!$A$37))</f>
        <v>250</v>
      </c>
      <c r="F31" s="312"/>
      <c r="G31" s="5">
        <f t="shared" si="31"/>
        <v>629308</v>
      </c>
      <c r="H31" s="5">
        <f t="shared" si="8"/>
        <v>0</v>
      </c>
      <c r="I31" s="5">
        <f t="shared" si="9"/>
        <v>0</v>
      </c>
      <c r="J31" s="319">
        <f t="shared" si="0"/>
        <v>0</v>
      </c>
      <c r="K31" s="5">
        <f t="shared" si="10"/>
        <v>7089</v>
      </c>
      <c r="L31" s="263">
        <f t="shared" si="42"/>
        <v>0</v>
      </c>
      <c r="M31" s="393">
        <f t="shared" si="11"/>
        <v>457.44</v>
      </c>
      <c r="N31" s="482">
        <f t="shared" si="45"/>
        <v>0</v>
      </c>
      <c r="O31" s="393">
        <f t="shared" si="12"/>
        <v>529.52</v>
      </c>
      <c r="P31" s="482">
        <f t="shared" si="46"/>
        <v>0</v>
      </c>
      <c r="Q31" s="482">
        <f t="shared" si="47"/>
        <v>0</v>
      </c>
      <c r="R31" s="484"/>
      <c r="S31" s="484"/>
      <c r="T31" s="5">
        <f t="shared" si="13"/>
        <v>5186</v>
      </c>
      <c r="U31" s="5">
        <f t="shared" si="3"/>
        <v>0</v>
      </c>
      <c r="V31" s="5">
        <f t="shared" si="32"/>
        <v>496</v>
      </c>
      <c r="W31" s="309">
        <f t="shared" si="14"/>
        <v>0</v>
      </c>
      <c r="X31" s="5">
        <f t="shared" si="15"/>
        <v>155628</v>
      </c>
      <c r="Y31" s="309">
        <f t="shared" si="43"/>
        <v>0</v>
      </c>
      <c r="Z31" s="5">
        <f t="shared" si="16"/>
        <v>99465</v>
      </c>
      <c r="AA31" s="83">
        <f t="shared" si="17"/>
        <v>0</v>
      </c>
      <c r="AB31" s="5">
        <f t="shared" si="33"/>
        <v>239</v>
      </c>
      <c r="AC31" s="5">
        <f t="shared" si="18"/>
        <v>790</v>
      </c>
      <c r="AD31" s="83">
        <f t="shared" si="34"/>
        <v>0</v>
      </c>
      <c r="AE31" s="5">
        <f t="shared" si="19"/>
        <v>244.4</v>
      </c>
      <c r="AF31" s="83">
        <f t="shared" si="20"/>
        <v>0</v>
      </c>
      <c r="AG31" s="5">
        <f t="shared" si="21"/>
        <v>2247.41</v>
      </c>
      <c r="AH31" s="83">
        <f>AG31-AG30</f>
        <v>0</v>
      </c>
      <c r="AI31" s="83">
        <f>AF31+AH31</f>
        <v>0</v>
      </c>
      <c r="AJ31" s="311">
        <f t="shared" si="24"/>
        <v>0</v>
      </c>
      <c r="AK31" s="312">
        <f t="shared" si="35"/>
        <v>0</v>
      </c>
      <c r="AL31" s="312">
        <f t="shared" si="25"/>
        <v>0</v>
      </c>
      <c r="AM31" s="312">
        <f>'General information '!D30</f>
        <v>0</v>
      </c>
      <c r="AN31" s="84">
        <f>'General information '!H30</f>
        <v>0</v>
      </c>
      <c r="AO31" s="84"/>
      <c r="AP31" s="84">
        <f>'General information '!J30</f>
        <v>0</v>
      </c>
      <c r="AR31" s="266">
        <f t="shared" si="26"/>
        <v>44738</v>
      </c>
      <c r="AS31" s="407">
        <f t="shared" si="50"/>
        <v>0.9</v>
      </c>
      <c r="AT31" s="201">
        <f t="shared" si="50"/>
        <v>169</v>
      </c>
      <c r="AU31" s="408">
        <f t="shared" si="44"/>
        <v>1.1000000000000001</v>
      </c>
      <c r="AV31" s="201">
        <f t="shared" si="36"/>
        <v>111</v>
      </c>
      <c r="AW31" s="5">
        <v>2.9</v>
      </c>
      <c r="AX31" s="201">
        <f t="shared" si="37"/>
        <v>135</v>
      </c>
      <c r="AY31" s="409">
        <f t="shared" si="38"/>
        <v>152.1</v>
      </c>
      <c r="AZ31" s="409">
        <f>AU31*AV31</f>
        <v>122.10000000000001</v>
      </c>
      <c r="BA31" s="409">
        <f t="shared" si="40"/>
        <v>391.5</v>
      </c>
      <c r="BB31" s="21">
        <f t="shared" si="49"/>
        <v>0</v>
      </c>
      <c r="BC31" s="21">
        <f t="shared" si="49"/>
        <v>0</v>
      </c>
      <c r="BD31" s="21">
        <f t="shared" si="49"/>
        <v>0</v>
      </c>
      <c r="BE31" s="24">
        <f t="shared" si="29"/>
        <v>0</v>
      </c>
      <c r="BF31" s="96">
        <f t="shared" si="30"/>
        <v>0</v>
      </c>
      <c r="BG31" s="82">
        <f t="shared" si="4"/>
        <v>0</v>
      </c>
    </row>
    <row r="32" spans="1:61" ht="15.75" thickBot="1">
      <c r="A32" s="6">
        <f>ELEC!C30</f>
        <v>44739</v>
      </c>
      <c r="B32" s="5">
        <f t="shared" si="5"/>
        <v>109443</v>
      </c>
      <c r="C32" s="5">
        <f t="shared" si="6"/>
        <v>0</v>
      </c>
      <c r="D32" s="402">
        <f t="shared" si="7"/>
        <v>0</v>
      </c>
      <c r="E32" s="318">
        <f>SUM((C32*$E$4)+(7500/'EDl log'!$A$37))</f>
        <v>250</v>
      </c>
      <c r="F32" s="312"/>
      <c r="G32" s="5">
        <f t="shared" si="31"/>
        <v>629308</v>
      </c>
      <c r="H32" s="5">
        <f t="shared" si="8"/>
        <v>0</v>
      </c>
      <c r="I32" s="5">
        <f t="shared" si="9"/>
        <v>0</v>
      </c>
      <c r="J32" s="319">
        <f t="shared" si="0"/>
        <v>0</v>
      </c>
      <c r="K32" s="5">
        <f t="shared" si="10"/>
        <v>7089</v>
      </c>
      <c r="L32" s="263">
        <f t="shared" si="42"/>
        <v>0</v>
      </c>
      <c r="M32" s="393">
        <f t="shared" si="11"/>
        <v>457.44</v>
      </c>
      <c r="N32" s="482">
        <f t="shared" si="45"/>
        <v>0</v>
      </c>
      <c r="O32" s="393">
        <f t="shared" si="12"/>
        <v>529.52</v>
      </c>
      <c r="P32" s="482">
        <f t="shared" si="46"/>
        <v>0</v>
      </c>
      <c r="Q32" s="482">
        <f t="shared" si="47"/>
        <v>0</v>
      </c>
      <c r="R32" s="484"/>
      <c r="S32" s="484"/>
      <c r="T32" s="5">
        <f t="shared" si="13"/>
        <v>5186</v>
      </c>
      <c r="U32" s="5">
        <f t="shared" si="3"/>
        <v>0</v>
      </c>
      <c r="V32" s="5">
        <f t="shared" si="32"/>
        <v>496</v>
      </c>
      <c r="W32" s="309">
        <f t="shared" si="14"/>
        <v>0</v>
      </c>
      <c r="X32" s="5">
        <f t="shared" si="15"/>
        <v>155628</v>
      </c>
      <c r="Y32" s="309">
        <f t="shared" si="43"/>
        <v>0</v>
      </c>
      <c r="Z32" s="5">
        <f t="shared" si="16"/>
        <v>99465</v>
      </c>
      <c r="AA32" s="83">
        <f t="shared" si="17"/>
        <v>0</v>
      </c>
      <c r="AB32" s="5">
        <f t="shared" si="33"/>
        <v>239</v>
      </c>
      <c r="AC32" s="5">
        <f t="shared" si="18"/>
        <v>790</v>
      </c>
      <c r="AD32" s="83">
        <f t="shared" si="34"/>
        <v>0</v>
      </c>
      <c r="AE32" s="5">
        <f t="shared" si="19"/>
        <v>244.4</v>
      </c>
      <c r="AF32" s="83">
        <f t="shared" si="20"/>
        <v>0</v>
      </c>
      <c r="AG32" s="5">
        <f t="shared" si="21"/>
        <v>2247.41</v>
      </c>
      <c r="AH32" s="83">
        <f t="shared" si="22"/>
        <v>0</v>
      </c>
      <c r="AI32" s="83">
        <f t="shared" si="23"/>
        <v>0</v>
      </c>
      <c r="AJ32" s="311">
        <f t="shared" si="24"/>
        <v>0</v>
      </c>
      <c r="AK32" s="312">
        <f t="shared" si="35"/>
        <v>0</v>
      </c>
      <c r="AL32" s="312">
        <f t="shared" si="25"/>
        <v>0</v>
      </c>
      <c r="AM32" s="312">
        <f>'General information '!D31</f>
        <v>0</v>
      </c>
      <c r="AN32" s="84">
        <f>'General information '!H31</f>
        <v>0</v>
      </c>
      <c r="AO32" s="84"/>
      <c r="AP32" s="84">
        <f>'General information '!J31</f>
        <v>0</v>
      </c>
      <c r="AR32" s="266">
        <f t="shared" si="26"/>
        <v>44739</v>
      </c>
      <c r="AS32" s="407">
        <f t="shared" si="50"/>
        <v>0.9</v>
      </c>
      <c r="AT32" s="201">
        <f t="shared" si="50"/>
        <v>169</v>
      </c>
      <c r="AU32" s="408">
        <f t="shared" si="44"/>
        <v>1.1000000000000001</v>
      </c>
      <c r="AV32" s="201">
        <f t="shared" si="36"/>
        <v>111</v>
      </c>
      <c r="AW32" s="5">
        <v>2.9</v>
      </c>
      <c r="AX32" s="201">
        <f t="shared" si="37"/>
        <v>135</v>
      </c>
      <c r="AY32" s="409">
        <f t="shared" si="38"/>
        <v>152.1</v>
      </c>
      <c r="AZ32" s="409">
        <f t="shared" si="39"/>
        <v>122.10000000000001</v>
      </c>
      <c r="BA32" s="409">
        <f t="shared" si="40"/>
        <v>391.5</v>
      </c>
      <c r="BB32" s="21">
        <f t="shared" si="49"/>
        <v>0</v>
      </c>
      <c r="BC32" s="21">
        <f t="shared" si="49"/>
        <v>0</v>
      </c>
      <c r="BD32" s="21">
        <f t="shared" si="49"/>
        <v>0</v>
      </c>
      <c r="BE32" s="24">
        <f t="shared" si="29"/>
        <v>0</v>
      </c>
      <c r="BF32" s="96">
        <f t="shared" si="30"/>
        <v>0</v>
      </c>
      <c r="BG32" s="82">
        <f t="shared" si="4"/>
        <v>0</v>
      </c>
    </row>
    <row r="33" spans="1:59" ht="15.75" thickBot="1">
      <c r="A33" s="6">
        <f>ELEC!C31</f>
        <v>44740</v>
      </c>
      <c r="B33" s="5">
        <f t="shared" si="5"/>
        <v>109443</v>
      </c>
      <c r="C33" s="5">
        <f t="shared" si="6"/>
        <v>0</v>
      </c>
      <c r="D33" s="402">
        <f t="shared" si="7"/>
        <v>0</v>
      </c>
      <c r="E33" s="318">
        <f>SUM((C33*$E$4)+(7500/'EDl log'!$A$37))</f>
        <v>250</v>
      </c>
      <c r="F33" s="312"/>
      <c r="G33" s="5">
        <f t="shared" si="31"/>
        <v>629308</v>
      </c>
      <c r="H33" s="5">
        <f t="shared" si="8"/>
        <v>0</v>
      </c>
      <c r="I33" s="5">
        <f t="shared" si="9"/>
        <v>0</v>
      </c>
      <c r="J33" s="319">
        <f t="shared" si="0"/>
        <v>0</v>
      </c>
      <c r="K33" s="5">
        <f t="shared" si="10"/>
        <v>7089</v>
      </c>
      <c r="L33" s="263">
        <f t="shared" si="42"/>
        <v>0</v>
      </c>
      <c r="M33" s="393">
        <f t="shared" si="11"/>
        <v>457.44</v>
      </c>
      <c r="N33" s="482">
        <f t="shared" si="45"/>
        <v>0</v>
      </c>
      <c r="O33" s="393">
        <f t="shared" si="12"/>
        <v>529.52</v>
      </c>
      <c r="P33" s="482">
        <f t="shared" si="46"/>
        <v>0</v>
      </c>
      <c r="Q33" s="482">
        <f t="shared" si="47"/>
        <v>0</v>
      </c>
      <c r="R33" s="484"/>
      <c r="S33" s="484"/>
      <c r="T33" s="5">
        <f t="shared" si="13"/>
        <v>5186</v>
      </c>
      <c r="U33" s="5">
        <f t="shared" si="3"/>
        <v>0</v>
      </c>
      <c r="V33" s="5">
        <f t="shared" si="32"/>
        <v>496</v>
      </c>
      <c r="W33" s="309">
        <f t="shared" si="14"/>
        <v>0</v>
      </c>
      <c r="X33" s="5">
        <f t="shared" si="15"/>
        <v>155628</v>
      </c>
      <c r="Y33" s="309">
        <f t="shared" si="43"/>
        <v>0</v>
      </c>
      <c r="Z33" s="5">
        <f t="shared" si="16"/>
        <v>99465</v>
      </c>
      <c r="AA33" s="83">
        <f t="shared" si="17"/>
        <v>0</v>
      </c>
      <c r="AB33" s="5">
        <f t="shared" si="33"/>
        <v>239</v>
      </c>
      <c r="AC33" s="5">
        <f t="shared" si="18"/>
        <v>790</v>
      </c>
      <c r="AD33" s="83">
        <f t="shared" si="34"/>
        <v>0</v>
      </c>
      <c r="AE33" s="5">
        <f t="shared" si="19"/>
        <v>244.4</v>
      </c>
      <c r="AF33" s="83">
        <f>AE33-AE32</f>
        <v>0</v>
      </c>
      <c r="AG33" s="5">
        <f t="shared" si="21"/>
        <v>2247.41</v>
      </c>
      <c r="AH33" s="83">
        <f t="shared" si="22"/>
        <v>0</v>
      </c>
      <c r="AI33" s="83">
        <f t="shared" si="23"/>
        <v>0</v>
      </c>
      <c r="AJ33" s="311">
        <f t="shared" si="24"/>
        <v>0</v>
      </c>
      <c r="AK33" s="312">
        <f t="shared" si="35"/>
        <v>0</v>
      </c>
      <c r="AL33" s="312">
        <f t="shared" si="25"/>
        <v>0</v>
      </c>
      <c r="AM33" s="312">
        <f>'General information '!D32</f>
        <v>0</v>
      </c>
      <c r="AN33" s="84">
        <f>'General information '!H32</f>
        <v>0</v>
      </c>
      <c r="AO33" s="84"/>
      <c r="AP33" s="84">
        <f>'General information '!J32</f>
        <v>0</v>
      </c>
      <c r="AR33" s="266">
        <f t="shared" si="26"/>
        <v>44740</v>
      </c>
      <c r="AS33" s="407">
        <f t="shared" si="50"/>
        <v>0.9</v>
      </c>
      <c r="AT33" s="201">
        <f t="shared" si="50"/>
        <v>169</v>
      </c>
      <c r="AU33" s="408">
        <f t="shared" si="44"/>
        <v>1.1000000000000001</v>
      </c>
      <c r="AV33" s="201">
        <f t="shared" si="36"/>
        <v>111</v>
      </c>
      <c r="AW33" s="5">
        <v>2.9</v>
      </c>
      <c r="AX33" s="201">
        <f t="shared" si="37"/>
        <v>135</v>
      </c>
      <c r="AY33" s="409">
        <f t="shared" si="38"/>
        <v>152.1</v>
      </c>
      <c r="AZ33" s="409">
        <f t="shared" si="39"/>
        <v>122.10000000000001</v>
      </c>
      <c r="BA33" s="409">
        <f t="shared" si="40"/>
        <v>391.5</v>
      </c>
      <c r="BB33" s="21">
        <f t="shared" si="49"/>
        <v>0</v>
      </c>
      <c r="BC33" s="21">
        <f t="shared" si="49"/>
        <v>0</v>
      </c>
      <c r="BD33" s="21">
        <f t="shared" si="49"/>
        <v>0</v>
      </c>
      <c r="BE33" s="24">
        <f t="shared" si="29"/>
        <v>0</v>
      </c>
      <c r="BF33" s="96">
        <f t="shared" si="30"/>
        <v>0</v>
      </c>
      <c r="BG33" s="82">
        <f t="shared" si="4"/>
        <v>0</v>
      </c>
    </row>
    <row r="34" spans="1:59" ht="15.75" thickBot="1">
      <c r="A34" s="6">
        <f>ELEC!C32</f>
        <v>44741</v>
      </c>
      <c r="B34" s="5">
        <f t="shared" si="5"/>
        <v>109443</v>
      </c>
      <c r="C34" s="5">
        <f t="shared" ref="C34:C36" si="51">B34-B33</f>
        <v>0</v>
      </c>
      <c r="D34" s="402">
        <f t="shared" ref="D34:D36" si="52">C34/27</f>
        <v>0</v>
      </c>
      <c r="E34" s="318">
        <f>SUM((C34*$E$4)+(7500/'EDl log'!$A$37))</f>
        <v>250</v>
      </c>
      <c r="F34" s="312"/>
      <c r="G34" s="5">
        <f t="shared" si="31"/>
        <v>629308</v>
      </c>
      <c r="H34" s="5">
        <f t="shared" ref="H34:H36" si="53">G34-G33</f>
        <v>0</v>
      </c>
      <c r="I34" s="5">
        <f t="shared" ref="I34:I36" si="54">C34+H34</f>
        <v>0</v>
      </c>
      <c r="J34" s="319">
        <f t="shared" ref="J34:J36" si="55">IF(I34&gt;0,E34/I34,0)</f>
        <v>0</v>
      </c>
      <c r="K34" s="5">
        <f t="shared" si="10"/>
        <v>7089</v>
      </c>
      <c r="L34" s="263">
        <f t="shared" ref="L34:L36" si="56">K34-K33</f>
        <v>0</v>
      </c>
      <c r="M34" s="393">
        <f t="shared" si="11"/>
        <v>457.44</v>
      </c>
      <c r="N34" s="482">
        <f t="shared" ref="N34:N36" si="57">SUM(M34-M33)</f>
        <v>0</v>
      </c>
      <c r="O34" s="393">
        <f t="shared" si="12"/>
        <v>529.52</v>
      </c>
      <c r="P34" s="482">
        <f t="shared" ref="P34:P36" si="58">SUM(O34-O33)</f>
        <v>0</v>
      </c>
      <c r="Q34" s="482">
        <f t="shared" ref="Q34:Q36" si="59">SUM(P34+N34)</f>
        <v>0</v>
      </c>
      <c r="R34" s="484"/>
      <c r="S34" s="484"/>
      <c r="T34" s="5">
        <f t="shared" si="13"/>
        <v>5186</v>
      </c>
      <c r="U34" s="5">
        <f t="shared" ref="U34:U36" si="60">SUM(T34-T33)</f>
        <v>0</v>
      </c>
      <c r="V34" s="5">
        <f t="shared" si="32"/>
        <v>496</v>
      </c>
      <c r="W34" s="309">
        <f t="shared" ref="W34:W36" si="61">+V34-V33</f>
        <v>0</v>
      </c>
      <c r="X34" s="5">
        <f t="shared" si="15"/>
        <v>155628</v>
      </c>
      <c r="Y34" s="309">
        <f t="shared" ref="Y34:Y36" si="62">SUM(X34-X33)</f>
        <v>0</v>
      </c>
      <c r="Z34" s="5">
        <f t="shared" si="16"/>
        <v>99465</v>
      </c>
      <c r="AA34" s="83">
        <f t="shared" ref="AA34:AA36" si="63">Z34-Z33</f>
        <v>0</v>
      </c>
      <c r="AB34" s="5">
        <f t="shared" si="33"/>
        <v>239</v>
      </c>
      <c r="AC34" s="5">
        <f t="shared" si="18"/>
        <v>790</v>
      </c>
      <c r="AD34" s="83">
        <f t="shared" ref="AD34:AD36" si="64">AC34-AC33</f>
        <v>0</v>
      </c>
      <c r="AE34" s="5">
        <f t="shared" si="19"/>
        <v>244.4</v>
      </c>
      <c r="AF34" s="83">
        <f t="shared" ref="AF34:AF36" si="65">AE34-AE33</f>
        <v>0</v>
      </c>
      <c r="AG34" s="5">
        <f t="shared" si="21"/>
        <v>2247.41</v>
      </c>
      <c r="AH34" s="83">
        <f t="shared" ref="AH34:AH36" si="66">AG34-AG33</f>
        <v>0</v>
      </c>
      <c r="AI34" s="83">
        <f t="shared" ref="AI34:AI36" si="67">AF34+AH34</f>
        <v>0</v>
      </c>
      <c r="AJ34" s="311">
        <f t="shared" ref="AJ34:AJ36" si="68">+Z34-Z33</f>
        <v>0</v>
      </c>
      <c r="AK34" s="312">
        <f>SUM(Y34-L34)</f>
        <v>0</v>
      </c>
      <c r="AL34" s="312">
        <f t="shared" ref="AL34:AL36" si="69">SUM(AJ34-W34)</f>
        <v>0</v>
      </c>
      <c r="AM34" s="312">
        <f>'General information '!D33</f>
        <v>0</v>
      </c>
      <c r="AN34" s="84">
        <f>'General information '!H33</f>
        <v>0</v>
      </c>
      <c r="AO34" s="84"/>
      <c r="AP34" s="84">
        <f>'General information '!J33</f>
        <v>0</v>
      </c>
      <c r="AR34" s="266">
        <f t="shared" ref="AR34:AR36" si="70">A34</f>
        <v>44741</v>
      </c>
      <c r="AS34" s="407">
        <f t="shared" ref="AS34:AT34" si="71">AS33</f>
        <v>0.9</v>
      </c>
      <c r="AT34" s="201">
        <f t="shared" si="71"/>
        <v>169</v>
      </c>
      <c r="AU34" s="408">
        <f t="shared" si="44"/>
        <v>1.1000000000000001</v>
      </c>
      <c r="AV34" s="201">
        <f t="shared" si="36"/>
        <v>111</v>
      </c>
      <c r="AW34" s="5">
        <v>2.9</v>
      </c>
      <c r="AX34" s="201">
        <f t="shared" si="37"/>
        <v>135</v>
      </c>
      <c r="AY34" s="409">
        <f t="shared" ref="AY34:AY36" si="72">AS34*AT34</f>
        <v>152.1</v>
      </c>
      <c r="AZ34" s="409">
        <f t="shared" ref="AZ34:AZ36" si="73">AU34*AV34</f>
        <v>122.10000000000001</v>
      </c>
      <c r="BA34" s="409">
        <f t="shared" ref="BA34:BA36" si="74">AW34*AX34</f>
        <v>391.5</v>
      </c>
      <c r="BB34" s="21">
        <f t="shared" ref="BB34:BB36" si="75">AY34-AY33</f>
        <v>0</v>
      </c>
      <c r="BC34" s="21">
        <f t="shared" ref="BC34:BC36" si="76">AZ34-AZ33</f>
        <v>0</v>
      </c>
      <c r="BD34" s="21">
        <f t="shared" ref="BD34:BD36" si="77">BA34-BA33</f>
        <v>0</v>
      </c>
      <c r="BE34" s="24">
        <f t="shared" ref="BE34:BE36" si="78">SUM(BB34:BD34)</f>
        <v>0</v>
      </c>
      <c r="BF34" s="96">
        <f t="shared" ref="BF34:BF36" si="79">SUM(I34-BE34)</f>
        <v>0</v>
      </c>
      <c r="BG34" s="82">
        <f t="shared" ref="BG34:BG36" si="80">SUM(I34-BF34)</f>
        <v>0</v>
      </c>
    </row>
    <row r="35" spans="1:59" ht="15.75" thickBot="1">
      <c r="A35" s="6">
        <f>ELEC!C33</f>
        <v>44742</v>
      </c>
      <c r="B35" s="5">
        <f t="shared" si="5"/>
        <v>109443</v>
      </c>
      <c r="C35" s="5">
        <f t="shared" si="51"/>
        <v>0</v>
      </c>
      <c r="D35" s="402">
        <f t="shared" si="52"/>
        <v>0</v>
      </c>
      <c r="E35" s="318">
        <f>SUM((C35*$E$4)+(7500/'EDl log'!$A$37))</f>
        <v>250</v>
      </c>
      <c r="F35" s="312"/>
      <c r="G35" s="5">
        <f t="shared" si="31"/>
        <v>629308</v>
      </c>
      <c r="H35" s="5">
        <f t="shared" si="53"/>
        <v>0</v>
      </c>
      <c r="I35" s="5">
        <f t="shared" si="54"/>
        <v>0</v>
      </c>
      <c r="J35" s="319">
        <f t="shared" si="55"/>
        <v>0</v>
      </c>
      <c r="K35" s="5">
        <f t="shared" si="10"/>
        <v>7089</v>
      </c>
      <c r="L35" s="263">
        <f t="shared" si="56"/>
        <v>0</v>
      </c>
      <c r="M35" s="393">
        <f t="shared" si="11"/>
        <v>457.44</v>
      </c>
      <c r="N35" s="482">
        <f t="shared" si="57"/>
        <v>0</v>
      </c>
      <c r="O35" s="393">
        <f t="shared" si="12"/>
        <v>529.52</v>
      </c>
      <c r="P35" s="482">
        <f t="shared" si="58"/>
        <v>0</v>
      </c>
      <c r="Q35" s="482">
        <f t="shared" si="59"/>
        <v>0</v>
      </c>
      <c r="R35" s="484"/>
      <c r="S35" s="484"/>
      <c r="T35" s="5">
        <f t="shared" si="13"/>
        <v>5186</v>
      </c>
      <c r="U35" s="5">
        <f t="shared" si="60"/>
        <v>0</v>
      </c>
      <c r="V35" s="5">
        <f t="shared" si="32"/>
        <v>496</v>
      </c>
      <c r="W35" s="309">
        <f t="shared" si="61"/>
        <v>0</v>
      </c>
      <c r="X35" s="5">
        <f t="shared" si="15"/>
        <v>155628</v>
      </c>
      <c r="Y35" s="309">
        <f t="shared" si="62"/>
        <v>0</v>
      </c>
      <c r="Z35" s="5">
        <f t="shared" si="16"/>
        <v>99465</v>
      </c>
      <c r="AA35" s="83">
        <f t="shared" si="63"/>
        <v>0</v>
      </c>
      <c r="AB35" s="5">
        <f t="shared" si="33"/>
        <v>239</v>
      </c>
      <c r="AC35" s="5">
        <f t="shared" si="18"/>
        <v>790</v>
      </c>
      <c r="AD35" s="83">
        <f t="shared" si="64"/>
        <v>0</v>
      </c>
      <c r="AE35" s="5">
        <f t="shared" si="19"/>
        <v>244.4</v>
      </c>
      <c r="AF35" s="83">
        <f t="shared" si="65"/>
        <v>0</v>
      </c>
      <c r="AG35" s="5">
        <f t="shared" si="21"/>
        <v>2247.41</v>
      </c>
      <c r="AH35" s="83">
        <f t="shared" si="66"/>
        <v>0</v>
      </c>
      <c r="AI35" s="83">
        <f t="shared" si="67"/>
        <v>0</v>
      </c>
      <c r="AJ35" s="311">
        <f t="shared" si="68"/>
        <v>0</v>
      </c>
      <c r="AK35" s="312">
        <f t="shared" ref="AK35:AK36" si="81">SUM(Y35-L35)</f>
        <v>0</v>
      </c>
      <c r="AL35" s="312">
        <f t="shared" si="69"/>
        <v>0</v>
      </c>
      <c r="AM35" s="312">
        <f>'General information '!D34</f>
        <v>0</v>
      </c>
      <c r="AN35" s="84">
        <f>'General information '!H34</f>
        <v>0</v>
      </c>
      <c r="AO35" s="84"/>
      <c r="AP35" s="84">
        <f>'General information '!J34</f>
        <v>0</v>
      </c>
      <c r="AR35" s="266">
        <f t="shared" si="70"/>
        <v>44742</v>
      </c>
      <c r="AS35" s="407">
        <f t="shared" ref="AS35:AT35" si="82">AS34</f>
        <v>0.9</v>
      </c>
      <c r="AT35" s="201">
        <f t="shared" si="82"/>
        <v>169</v>
      </c>
      <c r="AU35" s="408">
        <f t="shared" si="44"/>
        <v>1.1000000000000001</v>
      </c>
      <c r="AV35" s="201">
        <f t="shared" si="36"/>
        <v>111</v>
      </c>
      <c r="AW35" s="5">
        <v>2.9</v>
      </c>
      <c r="AX35" s="201">
        <f t="shared" si="37"/>
        <v>135</v>
      </c>
      <c r="AY35" s="409">
        <f t="shared" si="72"/>
        <v>152.1</v>
      </c>
      <c r="AZ35" s="409">
        <f t="shared" si="73"/>
        <v>122.10000000000001</v>
      </c>
      <c r="BA35" s="409">
        <f t="shared" si="74"/>
        <v>391.5</v>
      </c>
      <c r="BB35" s="21">
        <f t="shared" si="75"/>
        <v>0</v>
      </c>
      <c r="BC35" s="21">
        <f t="shared" si="76"/>
        <v>0</v>
      </c>
      <c r="BD35" s="21">
        <f t="shared" si="77"/>
        <v>0</v>
      </c>
      <c r="BE35" s="24">
        <f t="shared" si="78"/>
        <v>0</v>
      </c>
      <c r="BF35" s="96">
        <f t="shared" si="79"/>
        <v>0</v>
      </c>
      <c r="BG35" s="82">
        <f t="shared" si="80"/>
        <v>0</v>
      </c>
    </row>
    <row r="36" spans="1:59" ht="15.75" thickBot="1">
      <c r="A36" s="6">
        <f>ELEC!C34</f>
        <v>44743</v>
      </c>
      <c r="B36" s="5">
        <f t="shared" si="5"/>
        <v>109443</v>
      </c>
      <c r="C36" s="5">
        <f t="shared" si="51"/>
        <v>0</v>
      </c>
      <c r="D36" s="402">
        <f t="shared" si="52"/>
        <v>0</v>
      </c>
      <c r="E36" s="318">
        <f>SUM((C36*$E$4)+(7500/'EDl log'!$A$37))</f>
        <v>250</v>
      </c>
      <c r="F36" s="312"/>
      <c r="G36" s="5">
        <f t="shared" si="31"/>
        <v>629308</v>
      </c>
      <c r="H36" s="5">
        <f t="shared" si="53"/>
        <v>0</v>
      </c>
      <c r="I36" s="5">
        <f t="shared" si="54"/>
        <v>0</v>
      </c>
      <c r="J36" s="319">
        <f t="shared" si="55"/>
        <v>0</v>
      </c>
      <c r="K36" s="5">
        <f t="shared" si="10"/>
        <v>7089</v>
      </c>
      <c r="L36" s="263">
        <f t="shared" si="56"/>
        <v>0</v>
      </c>
      <c r="M36" s="393">
        <f t="shared" si="11"/>
        <v>457.44</v>
      </c>
      <c r="N36" s="482">
        <f t="shared" si="57"/>
        <v>0</v>
      </c>
      <c r="O36" s="393">
        <f t="shared" si="12"/>
        <v>529.52</v>
      </c>
      <c r="P36" s="482">
        <f t="shared" si="58"/>
        <v>0</v>
      </c>
      <c r="Q36" s="482">
        <f t="shared" si="59"/>
        <v>0</v>
      </c>
      <c r="R36" s="484"/>
      <c r="S36" s="484"/>
      <c r="T36" s="5">
        <f t="shared" si="13"/>
        <v>5186</v>
      </c>
      <c r="U36" s="5">
        <f t="shared" si="60"/>
        <v>0</v>
      </c>
      <c r="V36" s="5">
        <f t="shared" si="32"/>
        <v>496</v>
      </c>
      <c r="W36" s="309">
        <f t="shared" si="61"/>
        <v>0</v>
      </c>
      <c r="X36" s="5">
        <f t="shared" si="15"/>
        <v>155628</v>
      </c>
      <c r="Y36" s="309">
        <f t="shared" si="62"/>
        <v>0</v>
      </c>
      <c r="Z36" s="5">
        <f t="shared" si="16"/>
        <v>99465</v>
      </c>
      <c r="AA36" s="83">
        <f t="shared" si="63"/>
        <v>0</v>
      </c>
      <c r="AB36" s="5">
        <f t="shared" si="33"/>
        <v>239</v>
      </c>
      <c r="AC36" s="5">
        <f t="shared" si="18"/>
        <v>790</v>
      </c>
      <c r="AD36" s="83">
        <f t="shared" si="64"/>
        <v>0</v>
      </c>
      <c r="AE36" s="5">
        <f t="shared" si="19"/>
        <v>244.4</v>
      </c>
      <c r="AF36" s="83">
        <f t="shared" si="65"/>
        <v>0</v>
      </c>
      <c r="AG36" s="5">
        <f t="shared" si="21"/>
        <v>2247.41</v>
      </c>
      <c r="AH36" s="83">
        <f t="shared" si="66"/>
        <v>0</v>
      </c>
      <c r="AI36" s="83">
        <f t="shared" si="67"/>
        <v>0</v>
      </c>
      <c r="AJ36" s="311">
        <f t="shared" si="68"/>
        <v>0</v>
      </c>
      <c r="AK36" s="312">
        <f t="shared" si="81"/>
        <v>0</v>
      </c>
      <c r="AL36" s="312">
        <f t="shared" si="69"/>
        <v>0</v>
      </c>
      <c r="AM36" s="312">
        <f>'General information '!D35</f>
        <v>0</v>
      </c>
      <c r="AN36" s="84">
        <f>'General information '!H35</f>
        <v>0</v>
      </c>
      <c r="AO36" s="84"/>
      <c r="AP36" s="84">
        <f>'General information '!J35</f>
        <v>0</v>
      </c>
      <c r="AR36" s="266">
        <f t="shared" si="70"/>
        <v>44743</v>
      </c>
      <c r="AS36" s="407">
        <f t="shared" ref="AS36:AT36" si="83">AS35</f>
        <v>0.9</v>
      </c>
      <c r="AT36" s="201">
        <f t="shared" si="83"/>
        <v>169</v>
      </c>
      <c r="AU36" s="408">
        <f t="shared" si="44"/>
        <v>1.1000000000000001</v>
      </c>
      <c r="AV36" s="201">
        <f t="shared" si="36"/>
        <v>111</v>
      </c>
      <c r="AW36" s="5">
        <v>2.9</v>
      </c>
      <c r="AX36" s="201">
        <f t="shared" si="37"/>
        <v>135</v>
      </c>
      <c r="AY36" s="409">
        <f t="shared" si="72"/>
        <v>152.1</v>
      </c>
      <c r="AZ36" s="409">
        <f t="shared" si="73"/>
        <v>122.10000000000001</v>
      </c>
      <c r="BA36" s="409">
        <f t="shared" si="74"/>
        <v>391.5</v>
      </c>
      <c r="BB36" s="21">
        <f t="shared" si="75"/>
        <v>0</v>
      </c>
      <c r="BC36" s="21">
        <f t="shared" si="76"/>
        <v>0</v>
      </c>
      <c r="BD36" s="21">
        <f t="shared" si="77"/>
        <v>0</v>
      </c>
      <c r="BE36" s="24">
        <f t="shared" si="78"/>
        <v>0</v>
      </c>
      <c r="BF36" s="96">
        <f t="shared" si="79"/>
        <v>0</v>
      </c>
      <c r="BG36" s="82">
        <f t="shared" si="80"/>
        <v>0</v>
      </c>
    </row>
    <row r="37" spans="1:59">
      <c r="C37" s="395">
        <f>SUM(C6:C36)</f>
        <v>0</v>
      </c>
      <c r="D37" s="307">
        <f>SUM(D6:D36)</f>
        <v>0</v>
      </c>
      <c r="F37" s="397">
        <f>SUM(F6:F36)</f>
        <v>0</v>
      </c>
      <c r="H37" s="395">
        <f>SUM(H6:H36)</f>
        <v>361</v>
      </c>
      <c r="I37" s="395">
        <f>SUM(I6:I36)</f>
        <v>361</v>
      </c>
      <c r="L37" s="258">
        <f>SUM(L7:L36)</f>
        <v>0</v>
      </c>
      <c r="M37" s="550"/>
      <c r="N37" s="550"/>
      <c r="O37" s="550"/>
      <c r="P37" s="550"/>
      <c r="Q37" s="397">
        <f>SUM(Q6:Q36)</f>
        <v>0</v>
      </c>
      <c r="R37" s="550"/>
      <c r="S37" s="550"/>
      <c r="T37" s="550"/>
      <c r="U37" s="550">
        <f>SUM(U6:U36)</f>
        <v>-1</v>
      </c>
      <c r="X37" s="308"/>
      <c r="Y37" s="307">
        <f>SUM(Y6,Y33,Y31,Y29,Y27,Y25,Y23,Y21,Y19,Y17,Y15,Y13,Y11,Y9,Y7,Y34,Y35,Y36)</f>
        <v>104</v>
      </c>
      <c r="AJ37" s="307">
        <f>SUM(AJ6:AJ36)</f>
        <v>0</v>
      </c>
      <c r="AK37" s="312">
        <f>SUM(Y37-L37)</f>
        <v>104</v>
      </c>
      <c r="AL37" s="307">
        <f>SUM(AL6:AL36)</f>
        <v>-2</v>
      </c>
      <c r="AP37" s="17"/>
      <c r="AQ37" s="17"/>
      <c r="AR37" s="17"/>
      <c r="AS37" s="565"/>
      <c r="AT37" s="201"/>
      <c r="AU37" s="565"/>
      <c r="AV37" s="567"/>
      <c r="AW37" s="566"/>
      <c r="AX37" s="566"/>
      <c r="AY37" s="566"/>
      <c r="AZ37" s="567"/>
      <c r="BA37" s="567"/>
      <c r="BB37" s="567"/>
      <c r="BC37" s="567"/>
      <c r="BD37" s="567"/>
      <c r="BE37" s="568"/>
    </row>
    <row r="38" spans="1:59">
      <c r="C38" s="1">
        <f>+C37*1.66</f>
        <v>0</v>
      </c>
      <c r="E38" s="317">
        <f>SUM(E6:E33)</f>
        <v>7000</v>
      </c>
      <c r="F38" s="400">
        <f>SUM(F6:F35)</f>
        <v>0</v>
      </c>
      <c r="H38" s="157">
        <v>7500</v>
      </c>
      <c r="I38" s="396">
        <f>SUM('General information '!G36/WATER!I37)</f>
        <v>0</v>
      </c>
      <c r="L38" s="157"/>
      <c r="O38" s="465">
        <f>SUM(Q37+I37)</f>
        <v>361</v>
      </c>
      <c r="Z38" s="307">
        <f>SUM(Y37:AJ37)</f>
        <v>104</v>
      </c>
      <c r="AK38" s="312">
        <f>SUM(Y38-L38)</f>
        <v>0</v>
      </c>
      <c r="AP38" s="17"/>
      <c r="AQ38" s="17"/>
      <c r="AR38" s="17"/>
      <c r="AS38" s="17"/>
      <c r="AT38" s="17"/>
      <c r="AU38" s="17"/>
      <c r="AV38" s="17"/>
      <c r="AW38" s="17"/>
      <c r="AX38" s="17"/>
      <c r="AY38" s="17"/>
      <c r="AZ38" s="17"/>
      <c r="BA38" s="17"/>
      <c r="BB38" s="17"/>
      <c r="BC38" s="17"/>
      <c r="BD38" s="17"/>
    </row>
    <row r="39" spans="1:59">
      <c r="B39" s="255">
        <f>9*31</f>
        <v>279</v>
      </c>
      <c r="D39" s="397">
        <f>SUM(D6:D35)</f>
        <v>0</v>
      </c>
      <c r="F39" s="398">
        <f>SUM(F6:F36)</f>
        <v>0</v>
      </c>
      <c r="G39" s="1">
        <f>SUM(I37)</f>
        <v>361</v>
      </c>
      <c r="H39" s="1">
        <f>SUM(H38+C38)</f>
        <v>7500</v>
      </c>
      <c r="K39" s="1">
        <f>SUM(H39/G39)</f>
        <v>20.775623268698062</v>
      </c>
      <c r="AJ39" s="307">
        <f>SUM(C38-AK38)</f>
        <v>0</v>
      </c>
      <c r="AM39" s="331" t="e">
        <f>SUM(AJ39/AO38)</f>
        <v>#DIV/0!</v>
      </c>
    </row>
    <row r="41" spans="1:59">
      <c r="AP41" s="17"/>
      <c r="AQ41" s="17"/>
      <c r="AR41" s="17"/>
      <c r="AS41" s="17"/>
      <c r="AT41" s="17"/>
      <c r="AU41" s="17"/>
    </row>
    <row r="42" spans="1:59">
      <c r="AP42" s="17"/>
      <c r="AQ42" s="17"/>
      <c r="AR42" s="17"/>
      <c r="AS42" s="17"/>
      <c r="AT42" s="17"/>
      <c r="AU42" s="17"/>
    </row>
    <row r="43" spans="1:59" ht="15.75">
      <c r="AP43" s="17"/>
      <c r="AQ43" s="17"/>
      <c r="AR43" s="18"/>
      <c r="AS43" s="18"/>
      <c r="AT43" s="17"/>
      <c r="AU43" s="17"/>
    </row>
    <row r="44" spans="1:59">
      <c r="AP44" s="17"/>
      <c r="AQ44" s="17"/>
      <c r="AR44" s="19"/>
      <c r="AS44" s="19"/>
      <c r="AT44" s="17"/>
      <c r="AU44" s="17"/>
    </row>
    <row r="45" spans="1:59">
      <c r="AP45" s="17"/>
      <c r="AQ45" s="17"/>
      <c r="AR45" s="19"/>
      <c r="AS45" s="19"/>
      <c r="AT45" s="17"/>
      <c r="AU45" s="17"/>
    </row>
    <row r="46" spans="1:59">
      <c r="AP46" s="17"/>
      <c r="AQ46" s="17"/>
      <c r="AR46" s="19"/>
      <c r="AS46" s="19"/>
      <c r="AT46" s="17"/>
      <c r="AU46" s="17"/>
    </row>
    <row r="47" spans="1:59">
      <c r="AP47" s="17"/>
      <c r="AQ47" s="17"/>
      <c r="AR47" s="19"/>
      <c r="AS47" s="19"/>
      <c r="AT47" s="17"/>
      <c r="AU47" s="17"/>
    </row>
    <row r="48" spans="1:59">
      <c r="AP48" s="17"/>
      <c r="AQ48" s="17"/>
      <c r="AR48" s="19"/>
      <c r="AS48" s="19"/>
      <c r="AT48" s="17"/>
      <c r="AU48" s="17"/>
    </row>
    <row r="49" spans="42:47">
      <c r="AP49" s="17"/>
      <c r="AQ49" s="17"/>
      <c r="AR49" s="19"/>
      <c r="AS49" s="19"/>
      <c r="AT49" s="17"/>
      <c r="AU49" s="17"/>
    </row>
    <row r="50" spans="42:47">
      <c r="AP50" s="17"/>
      <c r="AQ50" s="17"/>
      <c r="AR50" s="19"/>
      <c r="AS50" s="19"/>
      <c r="AT50" s="17"/>
      <c r="AU50" s="17"/>
    </row>
    <row r="51" spans="42:47">
      <c r="AP51" s="17"/>
      <c r="AQ51" s="17"/>
      <c r="AR51" s="19"/>
      <c r="AS51" s="19"/>
      <c r="AT51" s="17"/>
      <c r="AU51" s="17"/>
    </row>
    <row r="52" spans="42:47">
      <c r="AP52" s="17"/>
      <c r="AQ52" s="17"/>
      <c r="AR52" s="19"/>
      <c r="AS52" s="19"/>
      <c r="AT52" s="17"/>
      <c r="AU52" s="17"/>
    </row>
    <row r="53" spans="42:47">
      <c r="AP53" s="17"/>
      <c r="AQ53" s="17"/>
      <c r="AR53" s="19"/>
      <c r="AS53" s="19"/>
      <c r="AT53" s="17"/>
      <c r="AU53" s="17"/>
    </row>
    <row r="54" spans="42:47">
      <c r="AP54" s="17"/>
      <c r="AQ54" s="17"/>
      <c r="AR54" s="19"/>
      <c r="AS54" s="19"/>
      <c r="AT54" s="17"/>
      <c r="AU54" s="17"/>
    </row>
    <row r="55" spans="42:47">
      <c r="AP55" s="17"/>
      <c r="AQ55" s="17"/>
      <c r="AR55" s="19"/>
      <c r="AS55" s="19"/>
      <c r="AT55" s="17"/>
      <c r="AU55" s="17"/>
    </row>
    <row r="56" spans="42:47">
      <c r="AP56" s="17"/>
      <c r="AQ56" s="17"/>
      <c r="AR56" s="19"/>
      <c r="AS56" s="19"/>
      <c r="AT56" s="17"/>
      <c r="AU56" s="17"/>
    </row>
    <row r="57" spans="42:47">
      <c r="AP57" s="17"/>
      <c r="AQ57" s="17"/>
      <c r="AR57" s="19"/>
      <c r="AS57" s="19"/>
      <c r="AT57" s="17"/>
      <c r="AU57" s="17"/>
    </row>
    <row r="58" spans="42:47">
      <c r="AP58" s="17"/>
      <c r="AQ58" s="17"/>
      <c r="AR58" s="19"/>
      <c r="AS58" s="19"/>
      <c r="AT58" s="17"/>
      <c r="AU58" s="17"/>
    </row>
    <row r="59" spans="42:47">
      <c r="AP59" s="17"/>
      <c r="AQ59" s="17"/>
      <c r="AR59" s="19"/>
      <c r="AS59" s="19"/>
      <c r="AT59" s="17"/>
      <c r="AU59" s="17"/>
    </row>
    <row r="60" spans="42:47">
      <c r="AP60" s="17"/>
      <c r="AQ60" s="17"/>
      <c r="AR60" s="19"/>
      <c r="AS60" s="19"/>
      <c r="AT60" s="17"/>
      <c r="AU60" s="17"/>
    </row>
    <row r="61" spans="42:47">
      <c r="AP61" s="17"/>
      <c r="AQ61" s="17"/>
      <c r="AR61" s="19"/>
      <c r="AS61" s="19"/>
      <c r="AT61" s="17"/>
      <c r="AU61" s="17"/>
    </row>
    <row r="62" spans="42:47">
      <c r="AP62" s="17"/>
      <c r="AQ62" s="17"/>
      <c r="AR62" s="19"/>
      <c r="AS62" s="19"/>
      <c r="AT62" s="17"/>
      <c r="AU62" s="17"/>
    </row>
    <row r="63" spans="42:47">
      <c r="AP63" s="17"/>
      <c r="AQ63" s="17"/>
      <c r="AR63" s="19"/>
      <c r="AS63" s="19"/>
      <c r="AT63" s="17"/>
      <c r="AU63" s="17"/>
    </row>
    <row r="64" spans="42:47">
      <c r="AP64" s="17"/>
      <c r="AQ64" s="17"/>
      <c r="AR64" s="19"/>
      <c r="AS64" s="19"/>
      <c r="AT64" s="17"/>
      <c r="AU64" s="17"/>
    </row>
    <row r="65" spans="42:47">
      <c r="AP65" s="17"/>
      <c r="AQ65" s="17"/>
      <c r="AR65" s="19"/>
      <c r="AS65" s="19"/>
      <c r="AT65" s="17"/>
      <c r="AU65" s="17"/>
    </row>
    <row r="66" spans="42:47">
      <c r="AP66" s="17"/>
      <c r="AQ66" s="17"/>
      <c r="AR66" s="19"/>
      <c r="AS66" s="19"/>
      <c r="AT66" s="17"/>
      <c r="AU66" s="17"/>
    </row>
    <row r="67" spans="42:47">
      <c r="AP67" s="17"/>
      <c r="AQ67" s="17"/>
      <c r="AR67" s="19"/>
      <c r="AS67" s="19"/>
      <c r="AT67" s="17"/>
      <c r="AU67" s="17"/>
    </row>
    <row r="68" spans="42:47">
      <c r="AP68" s="17"/>
      <c r="AQ68" s="17"/>
      <c r="AR68" s="19"/>
      <c r="AS68" s="19"/>
      <c r="AT68" s="17"/>
      <c r="AU68" s="17"/>
    </row>
    <row r="69" spans="42:47">
      <c r="AP69" s="17"/>
      <c r="AQ69" s="17"/>
      <c r="AR69" s="19"/>
      <c r="AS69" s="19"/>
      <c r="AT69" s="17"/>
      <c r="AU69" s="17"/>
    </row>
    <row r="70" spans="42:47">
      <c r="AP70" s="17"/>
      <c r="AQ70" s="17"/>
      <c r="AR70" s="19"/>
      <c r="AS70" s="19"/>
      <c r="AT70" s="17"/>
      <c r="AU70" s="17"/>
    </row>
    <row r="71" spans="42:47">
      <c r="AP71" s="17"/>
      <c r="AQ71" s="17"/>
      <c r="AR71" s="19"/>
      <c r="AS71" s="19"/>
      <c r="AT71" s="17"/>
      <c r="AU71" s="17"/>
    </row>
    <row r="72" spans="42:47">
      <c r="AP72" s="17"/>
      <c r="AQ72" s="17"/>
      <c r="AR72" s="19"/>
      <c r="AS72" s="19"/>
      <c r="AT72" s="17"/>
      <c r="AU72" s="17"/>
    </row>
    <row r="73" spans="42:47">
      <c r="AP73" s="17"/>
      <c r="AQ73" s="17"/>
      <c r="AR73" s="19"/>
      <c r="AS73" s="19"/>
      <c r="AT73" s="17"/>
      <c r="AU73" s="17"/>
    </row>
    <row r="74" spans="42:47">
      <c r="AP74" s="17"/>
      <c r="AQ74" s="17"/>
      <c r="AR74" s="19"/>
      <c r="AS74" s="19"/>
      <c r="AT74" s="17"/>
      <c r="AU74" s="17"/>
    </row>
    <row r="75" spans="42:47">
      <c r="AP75" s="17"/>
      <c r="AQ75" s="17"/>
      <c r="AR75" s="17"/>
      <c r="AS75" s="17"/>
      <c r="AT75" s="17"/>
      <c r="AU75" s="17"/>
    </row>
  </sheetData>
  <mergeCells count="4">
    <mergeCell ref="AN3:AP3"/>
    <mergeCell ref="AR2:AV2"/>
    <mergeCell ref="AW2:AY2"/>
    <mergeCell ref="AZ2:BB2"/>
  </mergeCells>
  <pageMargins left="0.7" right="0.7" top="0.75" bottom="0.75" header="0.3" footer="0.3"/>
  <pageSetup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>
  <dimension ref="A1:AL50"/>
  <sheetViews>
    <sheetView zoomScale="70" zoomScaleNormal="70" workbookViewId="0">
      <pane ySplit="1" topLeftCell="A2" activePane="bottomLeft" state="frozen"/>
      <selection pane="bottomLeft" activeCell="M17" sqref="M17"/>
    </sheetView>
  </sheetViews>
  <sheetFormatPr defaultRowHeight="15"/>
  <cols>
    <col min="1" max="1" width="10.28515625" customWidth="1"/>
    <col min="2" max="2" width="10.5703125" bestFit="1" customWidth="1"/>
    <col min="3" max="3" width="7.7109375" customWidth="1"/>
    <col min="4" max="4" width="10.7109375" customWidth="1"/>
    <col min="5" max="5" width="10.7109375" bestFit="1" customWidth="1"/>
    <col min="6" max="6" width="8.7109375" customWidth="1"/>
    <col min="7" max="7" width="3.42578125" bestFit="1" customWidth="1"/>
    <col min="8" max="8" width="8.85546875" customWidth="1"/>
    <col min="9" max="9" width="11.42578125" bestFit="1" customWidth="1"/>
    <col min="10" max="10" width="9" bestFit="1" customWidth="1"/>
    <col min="11" max="11" width="7.7109375" bestFit="1" customWidth="1"/>
    <col min="12" max="12" width="10.5703125" bestFit="1" customWidth="1"/>
    <col min="13" max="13" width="10.28515625" customWidth="1"/>
    <col min="14" max="14" width="8.7109375" customWidth="1"/>
    <col min="15" max="15" width="6.28515625" bestFit="1" customWidth="1"/>
    <col min="16" max="16" width="8.85546875" bestFit="1" customWidth="1"/>
    <col min="17" max="17" width="7.7109375" bestFit="1" customWidth="1"/>
    <col min="18" max="18" width="9.28515625" bestFit="1" customWidth="1"/>
    <col min="19" max="19" width="8.7109375" bestFit="1" customWidth="1"/>
    <col min="20" max="21" width="10.7109375" bestFit="1" customWidth="1"/>
    <col min="22" max="22" width="8.7109375" bestFit="1" customWidth="1"/>
    <col min="23" max="23" width="3.28515625" bestFit="1" customWidth="1"/>
    <col min="24" max="24" width="12" customWidth="1"/>
    <col min="25" max="25" width="10.5703125" customWidth="1"/>
    <col min="26" max="26" width="8" bestFit="1" customWidth="1"/>
    <col min="27" max="27" width="11.7109375" customWidth="1"/>
    <col min="28" max="28" width="9.28515625" hidden="1" customWidth="1"/>
    <col min="29" max="29" width="7.7109375" bestFit="1" customWidth="1"/>
    <col min="30" max="30" width="12.28515625" bestFit="1" customWidth="1"/>
    <col min="31" max="34" width="9.7109375" customWidth="1"/>
  </cols>
  <sheetData>
    <row r="1" spans="1:38" s="20" customFormat="1" ht="46.5">
      <c r="A1" s="25"/>
      <c r="B1" s="391" t="s">
        <v>44</v>
      </c>
      <c r="C1" s="25" t="s">
        <v>45</v>
      </c>
      <c r="D1" s="25" t="s">
        <v>365</v>
      </c>
      <c r="E1" s="25" t="s">
        <v>367</v>
      </c>
      <c r="F1" s="25" t="s">
        <v>366</v>
      </c>
      <c r="G1" s="25"/>
      <c r="H1" s="25" t="s">
        <v>46</v>
      </c>
      <c r="I1" s="25" t="s">
        <v>49</v>
      </c>
      <c r="J1" s="391" t="s">
        <v>47</v>
      </c>
      <c r="K1" s="25" t="s">
        <v>45</v>
      </c>
      <c r="L1" s="25" t="s">
        <v>365</v>
      </c>
      <c r="M1" s="25" t="s">
        <v>367</v>
      </c>
      <c r="N1" s="25" t="s">
        <v>366</v>
      </c>
      <c r="O1" s="275"/>
      <c r="P1" s="25" t="s">
        <v>46</v>
      </c>
      <c r="Q1" s="25" t="s">
        <v>49</v>
      </c>
      <c r="R1" s="391" t="s">
        <v>48</v>
      </c>
      <c r="S1" s="25" t="s">
        <v>45</v>
      </c>
      <c r="T1" s="25" t="s">
        <v>365</v>
      </c>
      <c r="U1" s="25" t="s">
        <v>367</v>
      </c>
      <c r="V1" s="25" t="s">
        <v>366</v>
      </c>
      <c r="W1" s="25"/>
      <c r="X1" s="25" t="s">
        <v>46</v>
      </c>
      <c r="Y1" s="25" t="s">
        <v>49</v>
      </c>
      <c r="Z1" s="25" t="s">
        <v>50</v>
      </c>
      <c r="AA1" s="25" t="s">
        <v>369</v>
      </c>
      <c r="AB1" s="275" t="s">
        <v>368</v>
      </c>
      <c r="AC1" s="275" t="s">
        <v>111</v>
      </c>
      <c r="AD1" s="72" t="s">
        <v>112</v>
      </c>
      <c r="AE1" s="72"/>
      <c r="AF1" s="72"/>
      <c r="AG1" s="72"/>
      <c r="AH1" s="72"/>
      <c r="AI1" s="72" t="s">
        <v>298</v>
      </c>
      <c r="AK1" s="20" t="s">
        <v>370</v>
      </c>
    </row>
    <row r="2" spans="1:38" ht="15.75" thickBot="1">
      <c r="A2" s="4">
        <f>[2]GEN!$A$33</f>
        <v>44712</v>
      </c>
      <c r="B2" s="260">
        <v>203</v>
      </c>
      <c r="C2" s="260">
        <f>[2]GEN!C33</f>
        <v>14</v>
      </c>
      <c r="D2" s="260">
        <f>[2]GEN!D33</f>
        <v>686926</v>
      </c>
      <c r="E2" s="260">
        <f>[2]GEN!E33</f>
        <v>1190</v>
      </c>
      <c r="F2" s="260">
        <f>[2]GEN!F33</f>
        <v>85</v>
      </c>
      <c r="G2" s="260">
        <f>[2]GEN!G33</f>
        <v>0</v>
      </c>
      <c r="H2" s="260">
        <f>[2]GEN!H33</f>
        <v>12231</v>
      </c>
      <c r="I2" s="260" t="str">
        <f>[2]GEN!I33</f>
        <v>ok</v>
      </c>
      <c r="J2" s="260">
        <v>103</v>
      </c>
      <c r="K2" s="260">
        <f>[2]GEN!K33</f>
        <v>0</v>
      </c>
      <c r="L2" s="260">
        <f>[2]GEN!L33</f>
        <v>382691</v>
      </c>
      <c r="M2" s="260">
        <f>[2]GEN!M33</f>
        <v>0</v>
      </c>
      <c r="N2" s="260">
        <f>[2]GEN!N33</f>
        <v>250</v>
      </c>
      <c r="O2" s="260">
        <f>[2]GEN!O33</f>
        <v>0</v>
      </c>
      <c r="P2" s="260">
        <f>[2]GEN!P33</f>
        <v>10873</v>
      </c>
      <c r="Q2" s="260" t="str">
        <f>[2]GEN!Q33</f>
        <v>ok</v>
      </c>
      <c r="R2" s="260">
        <f>[2]GEN!R33</f>
        <v>13907</v>
      </c>
      <c r="S2" s="260">
        <f>[2]GEN!S33</f>
        <v>2</v>
      </c>
      <c r="T2" s="260">
        <f>[2]GEN!T33</f>
        <v>416262</v>
      </c>
      <c r="U2" s="260">
        <f>[2]GEN!U33</f>
        <v>500</v>
      </c>
      <c r="V2" s="260">
        <f>[2]GEN!V33</f>
        <v>250</v>
      </c>
      <c r="W2" s="260">
        <f>[2]GEN!W33</f>
        <v>0</v>
      </c>
      <c r="X2" s="260">
        <f>[2]GEN!X33</f>
        <v>14053</v>
      </c>
      <c r="Y2" s="260" t="str">
        <f>[2]GEN!Y33</f>
        <v>ok</v>
      </c>
      <c r="Z2" s="260">
        <f>[2]GEN!Z33</f>
        <v>16</v>
      </c>
      <c r="AA2" s="260">
        <f>[2]GEN!AA33</f>
        <v>1690</v>
      </c>
      <c r="AB2" s="260">
        <f>[2]GEN!AB33</f>
        <v>585</v>
      </c>
      <c r="AC2" s="260">
        <f>[2]GEN!AC33</f>
        <v>105.625</v>
      </c>
      <c r="AD2" s="260">
        <f>[2]GEN!AD33</f>
        <v>4345.9999999977299</v>
      </c>
      <c r="AE2" s="260">
        <f>[2]GEN!AE33</f>
        <v>271.62499999985812</v>
      </c>
      <c r="AF2" s="260">
        <f>[2]GEN!AF33</f>
        <v>0.16976562499991132</v>
      </c>
      <c r="AG2" s="260">
        <f>[2]GEN!AG33</f>
        <v>1.0610351562494458E-4</v>
      </c>
      <c r="AH2" s="260">
        <f>[2]GEN!AH33</f>
        <v>105.62489389648438</v>
      </c>
      <c r="AI2" s="260">
        <f>[2]GEN!AI33</f>
        <v>1118.5907172989939</v>
      </c>
      <c r="AJ2" s="260">
        <f>[2]GEN!AJ33</f>
        <v>0.25738396624472576</v>
      </c>
      <c r="AK2" s="260">
        <f>[2]GEN!AK33</f>
        <v>69.91191983118712</v>
      </c>
      <c r="AL2" s="260">
        <f>[2]GEN!AL33</f>
        <v>1</v>
      </c>
    </row>
    <row r="3" spans="1:38" ht="15.75" thickBot="1">
      <c r="A3" s="4">
        <f>ELEC!C4</f>
        <v>44713</v>
      </c>
      <c r="B3" s="502">
        <v>213</v>
      </c>
      <c r="C3" s="276">
        <f>B3-B2</f>
        <v>10</v>
      </c>
      <c r="D3" s="503">
        <f>D2+C3*250</f>
        <v>689426</v>
      </c>
      <c r="E3" s="276">
        <f>SUM(D3-D2)</f>
        <v>2500</v>
      </c>
      <c r="F3" s="276">
        <f t="shared" ref="F3:F30" si="0">IF(C3&gt;0,E3/C3,0)</f>
        <v>250</v>
      </c>
      <c r="G3" s="260">
        <f>[4]GEN!G32</f>
        <v>0</v>
      </c>
      <c r="H3" s="260">
        <f>H2</f>
        <v>12231</v>
      </c>
      <c r="I3" s="276" t="str">
        <f t="shared" ref="I3:I30" si="1">IF(B3-H3&lt;=0,"ok","oil change")</f>
        <v>ok</v>
      </c>
      <c r="J3" s="502">
        <f>J2</f>
        <v>103</v>
      </c>
      <c r="K3" s="276">
        <f t="shared" ref="K3:K33" si="2">J3-J2</f>
        <v>0</v>
      </c>
      <c r="L3" s="503">
        <f>L2</f>
        <v>382691</v>
      </c>
      <c r="M3" s="276">
        <f t="shared" ref="M3:M33" si="3">SUM(L3-L2)</f>
        <v>0</v>
      </c>
      <c r="N3" s="276">
        <v>250</v>
      </c>
      <c r="O3" s="260">
        <f>[4]GEN!O32</f>
        <v>0</v>
      </c>
      <c r="P3" s="277">
        <f>P2</f>
        <v>10873</v>
      </c>
      <c r="Q3" s="276" t="str">
        <f t="shared" ref="Q3:Q17" si="4">IF(J3-P3&lt;=0,"ok","oil change")</f>
        <v>ok</v>
      </c>
      <c r="R3" s="502">
        <f>R2</f>
        <v>13907</v>
      </c>
      <c r="S3" s="276">
        <f t="shared" ref="S3:S30" si="5">R3-R2</f>
        <v>0</v>
      </c>
      <c r="T3" s="503">
        <f t="shared" ref="T3:T8" si="6">T2+U3</f>
        <v>416262</v>
      </c>
      <c r="U3" s="276">
        <f t="shared" ref="U3:U8" si="7">V3*S3</f>
        <v>0</v>
      </c>
      <c r="V3" s="276">
        <v>250</v>
      </c>
      <c r="W3" s="260">
        <f>[4]GEN!W32</f>
        <v>0</v>
      </c>
      <c r="X3" s="260">
        <f>X2</f>
        <v>14053</v>
      </c>
      <c r="Y3" s="276" t="str">
        <f>IF(R3-X3&lt;=0,"ok","oil change")</f>
        <v>ok</v>
      </c>
      <c r="Z3" s="276">
        <f t="shared" ref="Z3:Z30" si="8">C3+K3+S3</f>
        <v>10</v>
      </c>
      <c r="AA3" s="276">
        <f>U3+M3+E3</f>
        <v>2500</v>
      </c>
      <c r="AB3" s="276">
        <f>V3+N3+F3</f>
        <v>750</v>
      </c>
      <c r="AC3" s="276">
        <f>IF(Z3&gt;0,AA3/Z3,0)</f>
        <v>250</v>
      </c>
      <c r="AD3" s="73">
        <f>ELEC!Q4</f>
        <v>2883.0000000016298</v>
      </c>
      <c r="AE3" s="73">
        <f>SUM(AD3/Z3)</f>
        <v>288.30000000016298</v>
      </c>
      <c r="AF3" s="387">
        <f>SUM(AE3/1600)</f>
        <v>0.18018750000010186</v>
      </c>
      <c r="AG3" s="388">
        <f>SUM(360*AF3)</f>
        <v>64.867500000036671</v>
      </c>
      <c r="AH3" s="388">
        <f>SUM(AC3-AG3)</f>
        <v>185.13249999996333</v>
      </c>
      <c r="AI3" s="73">
        <f>AD3*AJ3</f>
        <v>742.03797468396385</v>
      </c>
      <c r="AJ3" s="278">
        <f t="shared" ref="AJ3:AJ33" si="9">305/1185</f>
        <v>0.25738396624472576</v>
      </c>
      <c r="AK3" s="278">
        <f t="shared" ref="AK3:AK30" si="10">AI3/Z3</f>
        <v>74.203797468396388</v>
      </c>
      <c r="AL3">
        <f>IF(Z3=0,0,1)</f>
        <v>1</v>
      </c>
    </row>
    <row r="4" spans="1:38" ht="15.75" thickBot="1">
      <c r="A4" s="4">
        <f>ELEC!C5</f>
        <v>44714</v>
      </c>
      <c r="B4" s="502">
        <v>223</v>
      </c>
      <c r="C4" s="276">
        <f t="shared" ref="C4:C30" si="11">B4-B3</f>
        <v>10</v>
      </c>
      <c r="D4" s="503">
        <f>D3+C4*85</f>
        <v>690276</v>
      </c>
      <c r="E4" s="276">
        <f t="shared" ref="E4:E25" si="12">SUM(D4-D3)</f>
        <v>850</v>
      </c>
      <c r="F4" s="276">
        <f t="shared" si="0"/>
        <v>85</v>
      </c>
      <c r="G4" s="196"/>
      <c r="H4" s="260">
        <f t="shared" ref="H4:H33" si="13">H3</f>
        <v>12231</v>
      </c>
      <c r="I4" s="276" t="str">
        <f t="shared" si="1"/>
        <v>ok</v>
      </c>
      <c r="J4" s="502">
        <f t="shared" ref="J4:J33" si="14">J3</f>
        <v>103</v>
      </c>
      <c r="K4" s="276">
        <f t="shared" si="2"/>
        <v>0</v>
      </c>
      <c r="L4" s="503">
        <f t="shared" ref="L4:L5" si="15">L3</f>
        <v>382691</v>
      </c>
      <c r="M4" s="276">
        <f t="shared" si="3"/>
        <v>0</v>
      </c>
      <c r="N4" s="276">
        <v>250</v>
      </c>
      <c r="O4" s="196"/>
      <c r="P4" s="277">
        <f t="shared" ref="P4:P33" si="16">P3</f>
        <v>10873</v>
      </c>
      <c r="Q4" s="276" t="str">
        <f t="shared" si="4"/>
        <v>ok</v>
      </c>
      <c r="R4" s="502">
        <f t="shared" ref="R4:R33" si="17">R3</f>
        <v>13907</v>
      </c>
      <c r="S4" s="276">
        <f t="shared" si="5"/>
        <v>0</v>
      </c>
      <c r="T4" s="503">
        <f t="shared" si="6"/>
        <v>416262</v>
      </c>
      <c r="U4" s="276">
        <f t="shared" si="7"/>
        <v>0</v>
      </c>
      <c r="V4" s="276">
        <v>250</v>
      </c>
      <c r="W4" s="196"/>
      <c r="X4" s="260">
        <f t="shared" ref="X4:X33" si="18">X3</f>
        <v>14053</v>
      </c>
      <c r="Y4" s="276" t="str">
        <f t="shared" ref="Y4:Y33" si="19">IF(R4-X4&lt;=0,"ok","oil change")</f>
        <v>ok</v>
      </c>
      <c r="Z4" s="276">
        <f t="shared" si="8"/>
        <v>10</v>
      </c>
      <c r="AA4" s="276">
        <f t="shared" ref="AA4:AA30" si="20">U4+M4+E4</f>
        <v>850</v>
      </c>
      <c r="AB4" s="276">
        <f t="shared" ref="AB4:AB30" si="21">V4+N4+F4</f>
        <v>585</v>
      </c>
      <c r="AC4" s="276">
        <f t="shared" ref="AC4:AC30" si="22">IF(Z4&gt;0,AA4/Z4,0)</f>
        <v>85</v>
      </c>
      <c r="AD4" s="73">
        <f>ELEC!Q5</f>
        <v>2675.9999999994761</v>
      </c>
      <c r="AE4" s="73">
        <f>SUM(AD4/Z4)</f>
        <v>267.59999999994761</v>
      </c>
      <c r="AF4" s="387">
        <f>SUM(AE4/1600)</f>
        <v>0.16724999999996726</v>
      </c>
      <c r="AG4" s="388">
        <f>SUM(360*AF4)</f>
        <v>60.209999999988213</v>
      </c>
      <c r="AH4" s="388">
        <f t="shared" ref="AH4:AH30" si="23">SUM(AC4-AG4)</f>
        <v>24.790000000011787</v>
      </c>
      <c r="AI4" s="73">
        <f>AD4*AJ4</f>
        <v>688.75949367075134</v>
      </c>
      <c r="AJ4" s="278">
        <f t="shared" si="9"/>
        <v>0.25738396624472576</v>
      </c>
      <c r="AK4" s="278">
        <f t="shared" si="10"/>
        <v>68.875949367075137</v>
      </c>
      <c r="AL4">
        <f t="shared" ref="AL4:AL30" si="24">IF(Z4=0,0,1)</f>
        <v>1</v>
      </c>
    </row>
    <row r="5" spans="1:38" ht="15.75" thickBot="1">
      <c r="A5" s="4">
        <f>ELEC!C6</f>
        <v>44715</v>
      </c>
      <c r="B5" s="502">
        <f t="shared" ref="B5:B33" si="25">B4</f>
        <v>223</v>
      </c>
      <c r="C5" s="276">
        <f t="shared" si="11"/>
        <v>0</v>
      </c>
      <c r="D5" s="503">
        <f t="shared" ref="D5:D33" si="26">D4+C5*85</f>
        <v>690276</v>
      </c>
      <c r="E5" s="276">
        <f t="shared" si="12"/>
        <v>0</v>
      </c>
      <c r="F5" s="276">
        <f t="shared" si="0"/>
        <v>0</v>
      </c>
      <c r="G5" s="274"/>
      <c r="H5" s="260">
        <f t="shared" si="13"/>
        <v>12231</v>
      </c>
      <c r="I5" s="276" t="str">
        <f t="shared" si="1"/>
        <v>ok</v>
      </c>
      <c r="J5" s="502">
        <f t="shared" si="14"/>
        <v>103</v>
      </c>
      <c r="K5" s="276">
        <f t="shared" si="2"/>
        <v>0</v>
      </c>
      <c r="L5" s="503">
        <f t="shared" si="15"/>
        <v>382691</v>
      </c>
      <c r="M5" s="276">
        <f>SUM(L5-L4)</f>
        <v>0</v>
      </c>
      <c r="N5" s="276">
        <v>250</v>
      </c>
      <c r="O5" s="196"/>
      <c r="P5" s="277">
        <f t="shared" si="16"/>
        <v>10873</v>
      </c>
      <c r="Q5" s="276" t="str">
        <f t="shared" si="4"/>
        <v>ok</v>
      </c>
      <c r="R5" s="502">
        <f t="shared" si="17"/>
        <v>13907</v>
      </c>
      <c r="S5" s="276">
        <f t="shared" si="5"/>
        <v>0</v>
      </c>
      <c r="T5" s="503">
        <f t="shared" si="6"/>
        <v>416262</v>
      </c>
      <c r="U5" s="276">
        <f t="shared" si="7"/>
        <v>0</v>
      </c>
      <c r="V5" s="276">
        <v>250</v>
      </c>
      <c r="W5" s="196"/>
      <c r="X5" s="260">
        <f t="shared" si="18"/>
        <v>14053</v>
      </c>
      <c r="Y5" s="276" t="str">
        <f t="shared" si="19"/>
        <v>ok</v>
      </c>
      <c r="Z5" s="276">
        <f t="shared" si="8"/>
        <v>0</v>
      </c>
      <c r="AA5" s="276">
        <f t="shared" si="20"/>
        <v>0</v>
      </c>
      <c r="AB5" s="276">
        <f t="shared" si="21"/>
        <v>500</v>
      </c>
      <c r="AC5" s="276">
        <f t="shared" si="22"/>
        <v>0</v>
      </c>
      <c r="AD5" s="73">
        <f>ELEC!Q6</f>
        <v>0</v>
      </c>
      <c r="AE5" s="73" t="e">
        <f t="shared" ref="AE5:AE30" si="27">SUM(AD5/Z5)</f>
        <v>#DIV/0!</v>
      </c>
      <c r="AF5" s="387" t="e">
        <f t="shared" ref="AF5:AG30" si="28">SUM(AE5/1600)</f>
        <v>#DIV/0!</v>
      </c>
      <c r="AG5" s="388" t="e">
        <f>SUM(320*AF5)</f>
        <v>#DIV/0!</v>
      </c>
      <c r="AH5" s="388" t="e">
        <f t="shared" si="23"/>
        <v>#DIV/0!</v>
      </c>
      <c r="AI5" s="73">
        <f t="shared" ref="AI5:AI30" si="29">AD5*AJ5</f>
        <v>0</v>
      </c>
      <c r="AJ5" s="278">
        <f t="shared" si="9"/>
        <v>0.25738396624472576</v>
      </c>
      <c r="AK5" s="278" t="e">
        <f t="shared" si="10"/>
        <v>#DIV/0!</v>
      </c>
      <c r="AL5">
        <f t="shared" si="24"/>
        <v>0</v>
      </c>
    </row>
    <row r="6" spans="1:38" ht="15.75" thickBot="1">
      <c r="A6" s="4">
        <f>ELEC!C7</f>
        <v>44716</v>
      </c>
      <c r="B6" s="502">
        <f t="shared" si="25"/>
        <v>223</v>
      </c>
      <c r="C6" s="276">
        <f>B6-B5</f>
        <v>0</v>
      </c>
      <c r="D6" s="503">
        <f t="shared" si="26"/>
        <v>690276</v>
      </c>
      <c r="E6" s="276">
        <f t="shared" si="12"/>
        <v>0</v>
      </c>
      <c r="F6" s="276">
        <f t="shared" si="0"/>
        <v>0</v>
      </c>
      <c r="G6" s="196"/>
      <c r="H6" s="260">
        <f t="shared" si="13"/>
        <v>12231</v>
      </c>
      <c r="I6" s="276" t="str">
        <f t="shared" si="1"/>
        <v>ok</v>
      </c>
      <c r="J6" s="502">
        <f t="shared" si="14"/>
        <v>103</v>
      </c>
      <c r="K6" s="276">
        <f t="shared" si="2"/>
        <v>0</v>
      </c>
      <c r="L6" s="503">
        <f>(K6*N5)+L5</f>
        <v>382691</v>
      </c>
      <c r="M6" s="276">
        <f t="shared" si="3"/>
        <v>0</v>
      </c>
      <c r="N6" s="276">
        <v>250</v>
      </c>
      <c r="O6" s="294"/>
      <c r="P6" s="277">
        <f t="shared" si="16"/>
        <v>10873</v>
      </c>
      <c r="Q6" s="276" t="str">
        <f t="shared" si="4"/>
        <v>ok</v>
      </c>
      <c r="R6" s="502">
        <f t="shared" si="17"/>
        <v>13907</v>
      </c>
      <c r="S6" s="276">
        <f t="shared" si="5"/>
        <v>0</v>
      </c>
      <c r="T6" s="503">
        <f t="shared" si="6"/>
        <v>416262</v>
      </c>
      <c r="U6" s="276">
        <f t="shared" si="7"/>
        <v>0</v>
      </c>
      <c r="V6" s="276">
        <v>250</v>
      </c>
      <c r="W6" s="294"/>
      <c r="X6" s="260">
        <f>X5+180</f>
        <v>14233</v>
      </c>
      <c r="Y6" s="276" t="str">
        <f t="shared" si="19"/>
        <v>ok</v>
      </c>
      <c r="Z6" s="276">
        <f t="shared" si="8"/>
        <v>0</v>
      </c>
      <c r="AA6" s="276">
        <f t="shared" si="20"/>
        <v>0</v>
      </c>
      <c r="AB6" s="276">
        <f t="shared" si="21"/>
        <v>500</v>
      </c>
      <c r="AC6" s="276">
        <f t="shared" si="22"/>
        <v>0</v>
      </c>
      <c r="AD6" s="73">
        <f>ELEC!Q7</f>
        <v>0</v>
      </c>
      <c r="AE6" s="73" t="e">
        <f>SUM(AD6/Z6)</f>
        <v>#DIV/0!</v>
      </c>
      <c r="AF6" s="387" t="e">
        <f t="shared" si="28"/>
        <v>#DIV/0!</v>
      </c>
      <c r="AG6" s="388" t="e">
        <f>SUM(320*AF6)</f>
        <v>#DIV/0!</v>
      </c>
      <c r="AH6" s="388" t="e">
        <f t="shared" si="23"/>
        <v>#DIV/0!</v>
      </c>
      <c r="AI6" s="73">
        <f t="shared" si="29"/>
        <v>0</v>
      </c>
      <c r="AJ6" s="278">
        <f t="shared" si="9"/>
        <v>0.25738396624472576</v>
      </c>
      <c r="AK6" s="278" t="e">
        <f t="shared" si="10"/>
        <v>#DIV/0!</v>
      </c>
      <c r="AL6">
        <f t="shared" si="24"/>
        <v>0</v>
      </c>
    </row>
    <row r="7" spans="1:38" ht="15.75" thickBot="1">
      <c r="A7" s="4">
        <f>ELEC!C8</f>
        <v>44717</v>
      </c>
      <c r="B7" s="502">
        <v>231</v>
      </c>
      <c r="C7" s="276">
        <f t="shared" si="11"/>
        <v>8</v>
      </c>
      <c r="D7" s="503">
        <f t="shared" si="26"/>
        <v>690956</v>
      </c>
      <c r="E7" s="276">
        <f t="shared" si="12"/>
        <v>680</v>
      </c>
      <c r="F7" s="276">
        <f t="shared" si="0"/>
        <v>85</v>
      </c>
      <c r="G7" s="196"/>
      <c r="H7" s="260">
        <f t="shared" si="13"/>
        <v>12231</v>
      </c>
      <c r="I7" s="276" t="str">
        <f t="shared" si="1"/>
        <v>ok</v>
      </c>
      <c r="J7" s="502">
        <f t="shared" si="14"/>
        <v>103</v>
      </c>
      <c r="K7" s="276"/>
      <c r="L7" s="503">
        <f t="shared" ref="L7:L33" si="30">(K7*N6)+L6</f>
        <v>382691</v>
      </c>
      <c r="M7" s="276">
        <f t="shared" si="3"/>
        <v>0</v>
      </c>
      <c r="N7" s="276">
        <v>250</v>
      </c>
      <c r="O7" s="294"/>
      <c r="P7" s="277">
        <f t="shared" si="16"/>
        <v>10873</v>
      </c>
      <c r="Q7" s="276" t="str">
        <f>IF(J7-P7&lt;=0,"ok","oil change")</f>
        <v>ok</v>
      </c>
      <c r="R7" s="502">
        <v>13908</v>
      </c>
      <c r="S7" s="276">
        <f t="shared" si="5"/>
        <v>1</v>
      </c>
      <c r="T7" s="503">
        <f t="shared" si="6"/>
        <v>416512</v>
      </c>
      <c r="U7" s="276">
        <f>V7*S7</f>
        <v>250</v>
      </c>
      <c r="V7" s="276">
        <v>250</v>
      </c>
      <c r="W7" s="196"/>
      <c r="X7" s="260">
        <f t="shared" si="18"/>
        <v>14233</v>
      </c>
      <c r="Y7" s="276" t="str">
        <f>IF(R7-X7&lt;=0,"ok","oil change")</f>
        <v>ok</v>
      </c>
      <c r="Z7" s="276">
        <f t="shared" si="8"/>
        <v>9</v>
      </c>
      <c r="AA7" s="276">
        <f>U7+M7+E7</f>
        <v>930</v>
      </c>
      <c r="AB7" s="276">
        <f t="shared" si="21"/>
        <v>585</v>
      </c>
      <c r="AC7" s="276">
        <f t="shared" si="22"/>
        <v>103.33333333333333</v>
      </c>
      <c r="AD7" s="73">
        <f>ELEC!Q8</f>
        <v>2838.9999999999418</v>
      </c>
      <c r="AE7" s="73">
        <f t="shared" si="27"/>
        <v>315.44444444443798</v>
      </c>
      <c r="AF7" s="387">
        <f t="shared" si="28"/>
        <v>0.19715277777777374</v>
      </c>
      <c r="AG7" s="387">
        <f t="shared" si="28"/>
        <v>1.2322048611110859E-4</v>
      </c>
      <c r="AH7" s="388">
        <f t="shared" si="23"/>
        <v>103.33321011284721</v>
      </c>
      <c r="AI7" s="73">
        <f t="shared" si="29"/>
        <v>730.71308016876139</v>
      </c>
      <c r="AJ7" s="278">
        <f t="shared" si="9"/>
        <v>0.25738396624472576</v>
      </c>
      <c r="AK7" s="278">
        <f t="shared" si="10"/>
        <v>81.190342240973493</v>
      </c>
      <c r="AL7">
        <f t="shared" si="24"/>
        <v>1</v>
      </c>
    </row>
    <row r="8" spans="1:38" ht="15.75" thickBot="1">
      <c r="A8" s="4">
        <f>ELEC!C9</f>
        <v>44718</v>
      </c>
      <c r="B8" s="502">
        <v>240</v>
      </c>
      <c r="C8" s="276">
        <f t="shared" si="11"/>
        <v>9</v>
      </c>
      <c r="D8" s="503">
        <f t="shared" si="26"/>
        <v>691721</v>
      </c>
      <c r="E8" s="276">
        <f t="shared" si="12"/>
        <v>765</v>
      </c>
      <c r="F8" s="276">
        <f t="shared" si="0"/>
        <v>85</v>
      </c>
      <c r="G8" s="196"/>
      <c r="H8" s="260">
        <f t="shared" si="13"/>
        <v>12231</v>
      </c>
      <c r="I8" s="276" t="str">
        <f>IF(B8-H8&lt;=0,"ok","oil change")</f>
        <v>ok</v>
      </c>
      <c r="J8" s="502">
        <f t="shared" si="14"/>
        <v>103</v>
      </c>
      <c r="K8" s="276">
        <f t="shared" si="2"/>
        <v>0</v>
      </c>
      <c r="L8" s="503">
        <f t="shared" si="30"/>
        <v>382691</v>
      </c>
      <c r="M8" s="276">
        <f t="shared" si="3"/>
        <v>0</v>
      </c>
      <c r="N8" s="276">
        <v>250</v>
      </c>
      <c r="O8" s="196"/>
      <c r="P8" s="277">
        <f t="shared" si="16"/>
        <v>10873</v>
      </c>
      <c r="Q8" s="276" t="str">
        <f t="shared" si="4"/>
        <v>ok</v>
      </c>
      <c r="R8" s="502">
        <f t="shared" si="17"/>
        <v>13908</v>
      </c>
      <c r="S8" s="276">
        <f t="shared" si="5"/>
        <v>0</v>
      </c>
      <c r="T8" s="503">
        <f t="shared" si="6"/>
        <v>416512</v>
      </c>
      <c r="U8" s="276">
        <f t="shared" si="7"/>
        <v>0</v>
      </c>
      <c r="V8" s="276">
        <v>250</v>
      </c>
      <c r="W8" s="196"/>
      <c r="X8" s="260">
        <f>X7</f>
        <v>14233</v>
      </c>
      <c r="Y8" s="276" t="str">
        <f t="shared" si="19"/>
        <v>ok</v>
      </c>
      <c r="Z8" s="276">
        <f t="shared" si="8"/>
        <v>9</v>
      </c>
      <c r="AA8" s="276">
        <f t="shared" si="20"/>
        <v>765</v>
      </c>
      <c r="AB8" s="276">
        <f t="shared" si="21"/>
        <v>585</v>
      </c>
      <c r="AC8" s="276">
        <f t="shared" si="22"/>
        <v>85</v>
      </c>
      <c r="AD8" s="73">
        <f>ELEC!Q9</f>
        <v>2822.0000000001164</v>
      </c>
      <c r="AE8" s="73">
        <f>SUM(AD8/Z8)</f>
        <v>313.5555555555685</v>
      </c>
      <c r="AF8" s="387">
        <f t="shared" si="28"/>
        <v>0.19597222222223032</v>
      </c>
      <c r="AG8" s="387">
        <f t="shared" si="28"/>
        <v>1.2248263888889395E-4</v>
      </c>
      <c r="AH8" s="388">
        <f t="shared" si="23"/>
        <v>84.999877517361114</v>
      </c>
      <c r="AI8" s="73">
        <f t="shared" si="29"/>
        <v>726.33755274264604</v>
      </c>
      <c r="AJ8" s="278">
        <f t="shared" si="9"/>
        <v>0.25738396624472576</v>
      </c>
      <c r="AK8" s="278">
        <f t="shared" si="10"/>
        <v>80.704172526960676</v>
      </c>
      <c r="AL8">
        <f t="shared" si="24"/>
        <v>1</v>
      </c>
    </row>
    <row r="9" spans="1:38" ht="15.75" thickBot="1">
      <c r="A9" s="4">
        <f>ELEC!C10</f>
        <v>44719</v>
      </c>
      <c r="B9" s="502">
        <v>250</v>
      </c>
      <c r="C9" s="276">
        <f t="shared" si="11"/>
        <v>10</v>
      </c>
      <c r="D9" s="503">
        <f t="shared" si="26"/>
        <v>692571</v>
      </c>
      <c r="E9" s="276">
        <f t="shared" si="12"/>
        <v>850</v>
      </c>
      <c r="F9" s="276">
        <f t="shared" si="0"/>
        <v>85</v>
      </c>
      <c r="G9" s="196"/>
      <c r="H9" s="260">
        <f t="shared" si="13"/>
        <v>12231</v>
      </c>
      <c r="I9" s="276" t="str">
        <f t="shared" si="1"/>
        <v>ok</v>
      </c>
      <c r="J9" s="502">
        <f t="shared" si="14"/>
        <v>103</v>
      </c>
      <c r="K9" s="276">
        <f t="shared" si="2"/>
        <v>0</v>
      </c>
      <c r="L9" s="503">
        <f t="shared" si="30"/>
        <v>382691</v>
      </c>
      <c r="M9" s="276">
        <f t="shared" si="3"/>
        <v>0</v>
      </c>
      <c r="N9" s="276">
        <v>250</v>
      </c>
      <c r="O9" s="196"/>
      <c r="P9" s="277">
        <f t="shared" si="16"/>
        <v>10873</v>
      </c>
      <c r="Q9" s="276" t="str">
        <f t="shared" si="4"/>
        <v>ok</v>
      </c>
      <c r="R9" s="502">
        <f t="shared" si="17"/>
        <v>13908</v>
      </c>
      <c r="S9" s="276">
        <f t="shared" si="5"/>
        <v>0</v>
      </c>
      <c r="T9" s="503">
        <f t="shared" ref="T9:T33" si="31">T8+U9</f>
        <v>416512</v>
      </c>
      <c r="U9" s="276">
        <f t="shared" ref="U9:U30" si="32">V9*S9</f>
        <v>0</v>
      </c>
      <c r="V9" s="276">
        <v>250</v>
      </c>
      <c r="W9" s="196"/>
      <c r="X9" s="260">
        <f t="shared" si="18"/>
        <v>14233</v>
      </c>
      <c r="Y9" s="276" t="str">
        <f t="shared" si="19"/>
        <v>ok</v>
      </c>
      <c r="Z9" s="276">
        <f t="shared" si="8"/>
        <v>10</v>
      </c>
      <c r="AA9" s="276">
        <f t="shared" si="20"/>
        <v>850</v>
      </c>
      <c r="AB9" s="276">
        <f t="shared" si="21"/>
        <v>585</v>
      </c>
      <c r="AC9" s="276">
        <f t="shared" si="22"/>
        <v>85</v>
      </c>
      <c r="AD9" s="73">
        <f>ELEC!Q10</f>
        <v>2699.0000000005239</v>
      </c>
      <c r="AE9" s="73">
        <f t="shared" si="27"/>
        <v>269.90000000005239</v>
      </c>
      <c r="AF9" s="387">
        <f t="shared" si="28"/>
        <v>0.16868750000003274</v>
      </c>
      <c r="AG9" s="387">
        <f t="shared" si="28"/>
        <v>1.0542968750002046E-4</v>
      </c>
      <c r="AH9" s="388">
        <f t="shared" si="23"/>
        <v>84.999894570312506</v>
      </c>
      <c r="AI9" s="73">
        <f t="shared" si="29"/>
        <v>694.67932489464965</v>
      </c>
      <c r="AJ9" s="278">
        <f t="shared" si="9"/>
        <v>0.25738396624472576</v>
      </c>
      <c r="AK9" s="278">
        <f t="shared" si="10"/>
        <v>69.467932489464971</v>
      </c>
      <c r="AL9">
        <f t="shared" si="24"/>
        <v>1</v>
      </c>
    </row>
    <row r="10" spans="1:38" ht="15.75" thickBot="1">
      <c r="A10" s="4">
        <f>ELEC!C11</f>
        <v>44720</v>
      </c>
      <c r="B10" s="502">
        <v>259</v>
      </c>
      <c r="C10" s="276">
        <f t="shared" si="11"/>
        <v>9</v>
      </c>
      <c r="D10" s="503">
        <f t="shared" si="26"/>
        <v>693336</v>
      </c>
      <c r="E10" s="276">
        <f>SUM(D10-D9)</f>
        <v>765</v>
      </c>
      <c r="F10" s="276">
        <f t="shared" si="0"/>
        <v>85</v>
      </c>
      <c r="G10" s="196"/>
      <c r="H10" s="260">
        <f t="shared" si="13"/>
        <v>12231</v>
      </c>
      <c r="I10" s="276" t="str">
        <f>IF(B10-H10&lt;=0,"ok","oil change")</f>
        <v>ok</v>
      </c>
      <c r="J10" s="502">
        <f t="shared" si="14"/>
        <v>103</v>
      </c>
      <c r="K10" s="276">
        <f t="shared" si="2"/>
        <v>0</v>
      </c>
      <c r="L10" s="503">
        <f t="shared" si="30"/>
        <v>382691</v>
      </c>
      <c r="M10" s="276">
        <f t="shared" si="3"/>
        <v>0</v>
      </c>
      <c r="N10" s="276">
        <v>250</v>
      </c>
      <c r="O10" s="196"/>
      <c r="P10" s="277">
        <f t="shared" si="16"/>
        <v>10873</v>
      </c>
      <c r="Q10" s="276" t="str">
        <f t="shared" si="4"/>
        <v>ok</v>
      </c>
      <c r="R10" s="502">
        <f t="shared" si="17"/>
        <v>13908</v>
      </c>
      <c r="S10" s="276">
        <f t="shared" si="5"/>
        <v>0</v>
      </c>
      <c r="T10" s="503">
        <f t="shared" si="31"/>
        <v>416512</v>
      </c>
      <c r="U10" s="276">
        <f t="shared" si="32"/>
        <v>0</v>
      </c>
      <c r="V10" s="276">
        <v>250</v>
      </c>
      <c r="W10" s="323"/>
      <c r="X10" s="260">
        <f t="shared" si="18"/>
        <v>14233</v>
      </c>
      <c r="Y10" s="276" t="str">
        <f t="shared" si="19"/>
        <v>ok</v>
      </c>
      <c r="Z10" s="276">
        <f t="shared" si="8"/>
        <v>9</v>
      </c>
      <c r="AA10" s="276">
        <f t="shared" si="20"/>
        <v>765</v>
      </c>
      <c r="AB10" s="276">
        <f t="shared" si="21"/>
        <v>585</v>
      </c>
      <c r="AC10" s="276">
        <f t="shared" si="22"/>
        <v>85</v>
      </c>
      <c r="AD10" s="73">
        <f>ELEC!Q11</f>
        <v>2609.0000000003783</v>
      </c>
      <c r="AE10" s="73">
        <f t="shared" si="27"/>
        <v>289.88888888893092</v>
      </c>
      <c r="AF10" s="387">
        <f t="shared" si="28"/>
        <v>0.18118055555558182</v>
      </c>
      <c r="AG10" s="387">
        <f t="shared" si="28"/>
        <v>1.1323784722223864E-4</v>
      </c>
      <c r="AH10" s="388">
        <f t="shared" si="23"/>
        <v>84.999886762152784</v>
      </c>
      <c r="AI10" s="73">
        <f t="shared" si="29"/>
        <v>671.51476793258689</v>
      </c>
      <c r="AJ10" s="278">
        <f t="shared" si="9"/>
        <v>0.25738396624472576</v>
      </c>
      <c r="AK10" s="278">
        <f t="shared" si="10"/>
        <v>74.612751992509658</v>
      </c>
      <c r="AL10">
        <f t="shared" si="24"/>
        <v>1</v>
      </c>
    </row>
    <row r="11" spans="1:38" ht="15.75" thickBot="1">
      <c r="A11" s="4">
        <f>ELEC!C12</f>
        <v>44721</v>
      </c>
      <c r="B11" s="502">
        <v>266</v>
      </c>
      <c r="C11" s="276">
        <f t="shared" si="11"/>
        <v>7</v>
      </c>
      <c r="D11" s="503">
        <f t="shared" si="26"/>
        <v>693931</v>
      </c>
      <c r="E11" s="276">
        <f t="shared" si="12"/>
        <v>595</v>
      </c>
      <c r="F11" s="276">
        <f>IF(C11&gt;0,E11/C11,0)</f>
        <v>85</v>
      </c>
      <c r="G11" s="196"/>
      <c r="H11" s="260">
        <f t="shared" si="13"/>
        <v>12231</v>
      </c>
      <c r="I11" s="276" t="str">
        <f t="shared" si="1"/>
        <v>ok</v>
      </c>
      <c r="J11" s="502">
        <f t="shared" si="14"/>
        <v>103</v>
      </c>
      <c r="K11" s="276">
        <f t="shared" si="2"/>
        <v>0</v>
      </c>
      <c r="L11" s="503">
        <f t="shared" si="30"/>
        <v>382691</v>
      </c>
      <c r="M11" s="276">
        <f t="shared" si="3"/>
        <v>0</v>
      </c>
      <c r="N11" s="276">
        <v>250</v>
      </c>
      <c r="O11" s="196"/>
      <c r="P11" s="277">
        <f t="shared" si="16"/>
        <v>10873</v>
      </c>
      <c r="Q11" s="276" t="str">
        <f t="shared" si="4"/>
        <v>ok</v>
      </c>
      <c r="R11" s="502">
        <f t="shared" si="17"/>
        <v>13908</v>
      </c>
      <c r="S11" s="276">
        <f t="shared" si="5"/>
        <v>0</v>
      </c>
      <c r="T11" s="503">
        <f t="shared" si="31"/>
        <v>416512</v>
      </c>
      <c r="U11" s="276">
        <f t="shared" si="32"/>
        <v>0</v>
      </c>
      <c r="V11" s="276">
        <v>250</v>
      </c>
      <c r="W11" s="323"/>
      <c r="X11" s="260">
        <f t="shared" si="18"/>
        <v>14233</v>
      </c>
      <c r="Y11" s="276" t="str">
        <f t="shared" si="19"/>
        <v>ok</v>
      </c>
      <c r="Z11" s="276">
        <f t="shared" si="8"/>
        <v>7</v>
      </c>
      <c r="AA11" s="276">
        <f t="shared" si="20"/>
        <v>595</v>
      </c>
      <c r="AB11" s="276">
        <f t="shared" si="21"/>
        <v>585</v>
      </c>
      <c r="AC11" s="276">
        <f t="shared" si="22"/>
        <v>85</v>
      </c>
      <c r="AD11" s="73">
        <f>ELEC!Q12</f>
        <v>2835.9999999993306</v>
      </c>
      <c r="AE11" s="73">
        <f t="shared" si="27"/>
        <v>405.1428571427615</v>
      </c>
      <c r="AF11" s="387">
        <f t="shared" si="28"/>
        <v>0.25321428571422594</v>
      </c>
      <c r="AG11" s="387">
        <f t="shared" si="28"/>
        <v>1.5825892857139121E-4</v>
      </c>
      <c r="AH11" s="388">
        <f t="shared" si="23"/>
        <v>84.999841741071435</v>
      </c>
      <c r="AI11" s="73">
        <f t="shared" si="29"/>
        <v>729.94092826986991</v>
      </c>
      <c r="AJ11" s="278">
        <f t="shared" si="9"/>
        <v>0.25738396624472576</v>
      </c>
      <c r="AK11" s="278">
        <f t="shared" si="10"/>
        <v>104.27727546712427</v>
      </c>
      <c r="AL11">
        <f t="shared" si="24"/>
        <v>1</v>
      </c>
    </row>
    <row r="12" spans="1:38" ht="15.75" thickBot="1">
      <c r="A12" s="4">
        <f>ELEC!C13</f>
        <v>44722</v>
      </c>
      <c r="B12" s="502">
        <v>266</v>
      </c>
      <c r="C12" s="276">
        <f t="shared" si="11"/>
        <v>0</v>
      </c>
      <c r="D12" s="503">
        <f t="shared" si="26"/>
        <v>693931</v>
      </c>
      <c r="E12" s="276">
        <f t="shared" si="12"/>
        <v>0</v>
      </c>
      <c r="F12" s="276">
        <f t="shared" si="0"/>
        <v>0</v>
      </c>
      <c r="G12" s="196"/>
      <c r="H12" s="260">
        <f t="shared" si="13"/>
        <v>12231</v>
      </c>
      <c r="I12" s="276" t="str">
        <f t="shared" si="1"/>
        <v>ok</v>
      </c>
      <c r="J12" s="502">
        <f t="shared" si="14"/>
        <v>103</v>
      </c>
      <c r="K12" s="276">
        <f t="shared" si="2"/>
        <v>0</v>
      </c>
      <c r="L12" s="503">
        <f t="shared" si="30"/>
        <v>382691</v>
      </c>
      <c r="M12" s="276">
        <f t="shared" si="3"/>
        <v>0</v>
      </c>
      <c r="N12" s="276">
        <v>250</v>
      </c>
      <c r="O12" s="196"/>
      <c r="P12" s="277">
        <f t="shared" si="16"/>
        <v>10873</v>
      </c>
      <c r="Q12" s="276" t="str">
        <f t="shared" si="4"/>
        <v>ok</v>
      </c>
      <c r="R12" s="502">
        <f t="shared" si="17"/>
        <v>13908</v>
      </c>
      <c r="S12" s="276">
        <f t="shared" si="5"/>
        <v>0</v>
      </c>
      <c r="T12" s="503">
        <f>T11+U12</f>
        <v>416512</v>
      </c>
      <c r="U12" s="276">
        <f>V12*S12</f>
        <v>0</v>
      </c>
      <c r="V12" s="276">
        <v>250</v>
      </c>
      <c r="W12" s="323"/>
      <c r="X12" s="260">
        <f t="shared" si="18"/>
        <v>14233</v>
      </c>
      <c r="Y12" s="276" t="str">
        <f t="shared" si="19"/>
        <v>ok</v>
      </c>
      <c r="Z12" s="276">
        <f t="shared" si="8"/>
        <v>0</v>
      </c>
      <c r="AA12" s="276">
        <f t="shared" si="20"/>
        <v>0</v>
      </c>
      <c r="AB12" s="276">
        <f t="shared" si="21"/>
        <v>500</v>
      </c>
      <c r="AC12" s="276">
        <f t="shared" si="22"/>
        <v>0</v>
      </c>
      <c r="AD12" s="73">
        <f>ELEC!Q13</f>
        <v>0</v>
      </c>
      <c r="AE12" s="73" t="e">
        <f t="shared" si="27"/>
        <v>#DIV/0!</v>
      </c>
      <c r="AF12" s="387" t="e">
        <f t="shared" si="28"/>
        <v>#DIV/0!</v>
      </c>
      <c r="AG12" s="387" t="e">
        <f t="shared" si="28"/>
        <v>#DIV/0!</v>
      </c>
      <c r="AH12" s="388" t="e">
        <f t="shared" si="23"/>
        <v>#DIV/0!</v>
      </c>
      <c r="AI12" s="73">
        <f t="shared" si="29"/>
        <v>0</v>
      </c>
      <c r="AJ12" s="278">
        <f t="shared" si="9"/>
        <v>0.25738396624472576</v>
      </c>
      <c r="AK12" s="278" t="e">
        <f t="shared" si="10"/>
        <v>#DIV/0!</v>
      </c>
      <c r="AL12">
        <f t="shared" si="24"/>
        <v>0</v>
      </c>
    </row>
    <row r="13" spans="1:38" ht="15.75" thickBot="1">
      <c r="A13" s="4">
        <f>ELEC!C14</f>
        <v>44723</v>
      </c>
      <c r="B13" s="502">
        <f t="shared" si="25"/>
        <v>266</v>
      </c>
      <c r="C13" s="276">
        <f t="shared" si="11"/>
        <v>0</v>
      </c>
      <c r="D13" s="503">
        <f t="shared" si="26"/>
        <v>693931</v>
      </c>
      <c r="E13" s="276">
        <f t="shared" si="12"/>
        <v>0</v>
      </c>
      <c r="F13" s="276">
        <f t="shared" si="0"/>
        <v>0</v>
      </c>
      <c r="G13" s="196"/>
      <c r="H13" s="260">
        <f t="shared" si="13"/>
        <v>12231</v>
      </c>
      <c r="I13" s="276" t="str">
        <f t="shared" si="1"/>
        <v>ok</v>
      </c>
      <c r="J13" s="502">
        <f t="shared" si="14"/>
        <v>103</v>
      </c>
      <c r="K13" s="276">
        <f t="shared" si="2"/>
        <v>0</v>
      </c>
      <c r="L13" s="503">
        <f t="shared" si="30"/>
        <v>382691</v>
      </c>
      <c r="M13" s="276">
        <f t="shared" si="3"/>
        <v>0</v>
      </c>
      <c r="N13" s="276">
        <v>250</v>
      </c>
      <c r="O13" s="196"/>
      <c r="P13" s="277">
        <f t="shared" si="16"/>
        <v>10873</v>
      </c>
      <c r="Q13" s="276" t="str">
        <f t="shared" si="4"/>
        <v>ok</v>
      </c>
      <c r="R13" s="502">
        <f t="shared" si="17"/>
        <v>13908</v>
      </c>
      <c r="S13" s="276">
        <f t="shared" si="5"/>
        <v>0</v>
      </c>
      <c r="T13" s="503">
        <f t="shared" si="31"/>
        <v>416512</v>
      </c>
      <c r="U13" s="276">
        <f t="shared" si="32"/>
        <v>0</v>
      </c>
      <c r="V13" s="276">
        <v>250</v>
      </c>
      <c r="W13" s="323"/>
      <c r="X13" s="260">
        <f t="shared" si="18"/>
        <v>14233</v>
      </c>
      <c r="Y13" s="276" t="str">
        <f t="shared" si="19"/>
        <v>ok</v>
      </c>
      <c r="Z13" s="276">
        <f t="shared" si="8"/>
        <v>0</v>
      </c>
      <c r="AA13" s="276">
        <f t="shared" si="20"/>
        <v>0</v>
      </c>
      <c r="AB13" s="276">
        <f t="shared" si="21"/>
        <v>500</v>
      </c>
      <c r="AC13" s="276">
        <f t="shared" si="22"/>
        <v>0</v>
      </c>
      <c r="AD13" s="73">
        <f>ELEC!Q14</f>
        <v>0</v>
      </c>
      <c r="AE13" s="73" t="e">
        <f t="shared" si="27"/>
        <v>#DIV/0!</v>
      </c>
      <c r="AF13" s="387" t="e">
        <f t="shared" si="28"/>
        <v>#DIV/0!</v>
      </c>
      <c r="AG13" s="387" t="e">
        <f t="shared" si="28"/>
        <v>#DIV/0!</v>
      </c>
      <c r="AH13" s="388" t="e">
        <f t="shared" si="23"/>
        <v>#DIV/0!</v>
      </c>
      <c r="AI13" s="73">
        <f t="shared" si="29"/>
        <v>0</v>
      </c>
      <c r="AJ13" s="278">
        <f t="shared" si="9"/>
        <v>0.25738396624472576</v>
      </c>
      <c r="AK13" s="278" t="e">
        <f t="shared" si="10"/>
        <v>#DIV/0!</v>
      </c>
      <c r="AL13">
        <f t="shared" si="24"/>
        <v>0</v>
      </c>
    </row>
    <row r="14" spans="1:38" ht="15.75" thickBot="1">
      <c r="A14" s="4">
        <f>ELEC!C15</f>
        <v>44724</v>
      </c>
      <c r="B14" s="502">
        <v>276</v>
      </c>
      <c r="C14" s="276">
        <f t="shared" si="11"/>
        <v>10</v>
      </c>
      <c r="D14" s="503">
        <f t="shared" si="26"/>
        <v>694781</v>
      </c>
      <c r="E14" s="276">
        <f t="shared" si="12"/>
        <v>850</v>
      </c>
      <c r="F14" s="276">
        <f t="shared" si="0"/>
        <v>85</v>
      </c>
      <c r="G14" s="196"/>
      <c r="H14" s="260">
        <f t="shared" si="13"/>
        <v>12231</v>
      </c>
      <c r="I14" s="276" t="str">
        <f t="shared" si="1"/>
        <v>ok</v>
      </c>
      <c r="J14" s="502">
        <f t="shared" si="14"/>
        <v>103</v>
      </c>
      <c r="K14" s="276">
        <f t="shared" si="2"/>
        <v>0</v>
      </c>
      <c r="L14" s="503">
        <f t="shared" si="30"/>
        <v>382691</v>
      </c>
      <c r="M14" s="276">
        <f t="shared" si="3"/>
        <v>0</v>
      </c>
      <c r="N14" s="276">
        <v>250</v>
      </c>
      <c r="O14" s="196"/>
      <c r="P14" s="277">
        <f t="shared" si="16"/>
        <v>10873</v>
      </c>
      <c r="Q14" s="276" t="str">
        <f t="shared" si="4"/>
        <v>ok</v>
      </c>
      <c r="R14" s="502">
        <f t="shared" si="17"/>
        <v>13908</v>
      </c>
      <c r="S14" s="276">
        <f t="shared" si="5"/>
        <v>0</v>
      </c>
      <c r="T14" s="503">
        <f t="shared" si="31"/>
        <v>416512</v>
      </c>
      <c r="U14" s="276">
        <f t="shared" si="32"/>
        <v>0</v>
      </c>
      <c r="V14" s="276">
        <v>250</v>
      </c>
      <c r="W14" s="323"/>
      <c r="X14" s="260">
        <f t="shared" si="18"/>
        <v>14233</v>
      </c>
      <c r="Y14" s="276" t="str">
        <f t="shared" si="19"/>
        <v>ok</v>
      </c>
      <c r="Z14" s="276">
        <f t="shared" si="8"/>
        <v>10</v>
      </c>
      <c r="AA14" s="276">
        <f t="shared" si="20"/>
        <v>850</v>
      </c>
      <c r="AB14" s="276">
        <f t="shared" si="21"/>
        <v>585</v>
      </c>
      <c r="AC14" s="276">
        <f t="shared" si="22"/>
        <v>85</v>
      </c>
      <c r="AD14" s="73">
        <f>ELEC!Q15</f>
        <v>2510.999999998603</v>
      </c>
      <c r="AE14" s="73">
        <f t="shared" si="27"/>
        <v>251.0999999998603</v>
      </c>
      <c r="AF14" s="387">
        <f t="shared" si="28"/>
        <v>0.15693749999991269</v>
      </c>
      <c r="AG14" s="387">
        <f t="shared" si="28"/>
        <v>9.8085937499945425E-5</v>
      </c>
      <c r="AH14" s="388">
        <f t="shared" si="23"/>
        <v>84.999901914062505</v>
      </c>
      <c r="AI14" s="73">
        <f t="shared" si="29"/>
        <v>646.29113924014678</v>
      </c>
      <c r="AJ14" s="278">
        <f t="shared" si="9"/>
        <v>0.25738396624472576</v>
      </c>
      <c r="AK14" s="278">
        <f t="shared" si="10"/>
        <v>64.629113924014675</v>
      </c>
      <c r="AL14">
        <f t="shared" si="24"/>
        <v>1</v>
      </c>
    </row>
    <row r="15" spans="1:38" ht="15.75" thickBot="1">
      <c r="A15" s="4">
        <f>ELEC!C16</f>
        <v>44725</v>
      </c>
      <c r="B15" s="502">
        <v>286</v>
      </c>
      <c r="C15" s="276">
        <f t="shared" si="11"/>
        <v>10</v>
      </c>
      <c r="D15" s="503">
        <f t="shared" si="26"/>
        <v>695631</v>
      </c>
      <c r="E15" s="276">
        <f t="shared" si="12"/>
        <v>850</v>
      </c>
      <c r="F15" s="276">
        <f t="shared" si="0"/>
        <v>85</v>
      </c>
      <c r="G15" s="196"/>
      <c r="H15" s="260">
        <f t="shared" si="13"/>
        <v>12231</v>
      </c>
      <c r="I15" s="276" t="str">
        <f t="shared" si="1"/>
        <v>ok</v>
      </c>
      <c r="J15" s="502">
        <f t="shared" si="14"/>
        <v>103</v>
      </c>
      <c r="K15" s="276">
        <f t="shared" si="2"/>
        <v>0</v>
      </c>
      <c r="L15" s="503">
        <f t="shared" si="30"/>
        <v>382691</v>
      </c>
      <c r="M15" s="276">
        <f t="shared" si="3"/>
        <v>0</v>
      </c>
      <c r="N15" s="276">
        <v>250</v>
      </c>
      <c r="O15" s="196"/>
      <c r="P15" s="277">
        <f t="shared" si="16"/>
        <v>10873</v>
      </c>
      <c r="Q15" s="276" t="str">
        <f t="shared" si="4"/>
        <v>ok</v>
      </c>
      <c r="R15" s="502">
        <f t="shared" si="17"/>
        <v>13908</v>
      </c>
      <c r="S15" s="276">
        <f t="shared" si="5"/>
        <v>0</v>
      </c>
      <c r="T15" s="503">
        <f t="shared" si="31"/>
        <v>416512</v>
      </c>
      <c r="U15" s="276">
        <f t="shared" si="32"/>
        <v>0</v>
      </c>
      <c r="V15" s="276">
        <v>250</v>
      </c>
      <c r="W15" s="323"/>
      <c r="X15" s="260">
        <f t="shared" si="18"/>
        <v>14233</v>
      </c>
      <c r="Y15" s="276" t="str">
        <f t="shared" si="19"/>
        <v>ok</v>
      </c>
      <c r="Z15" s="276">
        <f t="shared" si="8"/>
        <v>10</v>
      </c>
      <c r="AA15" s="276">
        <f t="shared" si="20"/>
        <v>850</v>
      </c>
      <c r="AB15" s="276">
        <f t="shared" si="21"/>
        <v>585</v>
      </c>
      <c r="AC15" s="276">
        <f t="shared" si="22"/>
        <v>85</v>
      </c>
      <c r="AD15" s="73">
        <f>ELEC!Q16</f>
        <v>2819.999999999709</v>
      </c>
      <c r="AE15" s="73">
        <f t="shared" si="27"/>
        <v>281.9999999999709</v>
      </c>
      <c r="AF15" s="387">
        <f t="shared" si="28"/>
        <v>0.17624999999998181</v>
      </c>
      <c r="AG15" s="387">
        <f t="shared" si="28"/>
        <v>1.1015624999998863E-4</v>
      </c>
      <c r="AH15" s="388">
        <f t="shared" si="23"/>
        <v>84.999889843749997</v>
      </c>
      <c r="AI15" s="73">
        <f t="shared" si="29"/>
        <v>725.82278481005176</v>
      </c>
      <c r="AJ15" s="278">
        <f t="shared" si="9"/>
        <v>0.25738396624472576</v>
      </c>
      <c r="AK15" s="278">
        <f t="shared" si="10"/>
        <v>72.582278481005176</v>
      </c>
      <c r="AL15">
        <f t="shared" si="24"/>
        <v>1</v>
      </c>
    </row>
    <row r="16" spans="1:38" ht="15.75" thickBot="1">
      <c r="A16" s="4">
        <f>ELEC!C17</f>
        <v>44726</v>
      </c>
      <c r="B16" s="502">
        <v>295</v>
      </c>
      <c r="C16" s="276">
        <f t="shared" si="11"/>
        <v>9</v>
      </c>
      <c r="D16" s="503">
        <f t="shared" si="26"/>
        <v>696396</v>
      </c>
      <c r="E16" s="276">
        <f t="shared" si="12"/>
        <v>765</v>
      </c>
      <c r="F16" s="276">
        <f t="shared" si="0"/>
        <v>85</v>
      </c>
      <c r="G16" s="196"/>
      <c r="H16" s="260">
        <f t="shared" si="13"/>
        <v>12231</v>
      </c>
      <c r="I16" s="276" t="str">
        <f t="shared" si="1"/>
        <v>ok</v>
      </c>
      <c r="J16" s="502">
        <v>104</v>
      </c>
      <c r="K16" s="276">
        <f t="shared" si="2"/>
        <v>1</v>
      </c>
      <c r="L16" s="503">
        <f t="shared" si="30"/>
        <v>382941</v>
      </c>
      <c r="M16" s="276">
        <f t="shared" si="3"/>
        <v>250</v>
      </c>
      <c r="N16" s="276">
        <v>250</v>
      </c>
      <c r="O16" s="196"/>
      <c r="P16" s="277">
        <f t="shared" si="16"/>
        <v>10873</v>
      </c>
      <c r="Q16" s="276" t="str">
        <f t="shared" si="4"/>
        <v>ok</v>
      </c>
      <c r="R16" s="502">
        <f t="shared" si="17"/>
        <v>13908</v>
      </c>
      <c r="S16" s="276">
        <f t="shared" si="5"/>
        <v>0</v>
      </c>
      <c r="T16" s="503">
        <f t="shared" si="31"/>
        <v>416512</v>
      </c>
      <c r="U16" s="276">
        <f t="shared" si="32"/>
        <v>0</v>
      </c>
      <c r="V16" s="276">
        <v>250</v>
      </c>
      <c r="W16" s="323"/>
      <c r="X16" s="260">
        <f t="shared" si="18"/>
        <v>14233</v>
      </c>
      <c r="Y16" s="276" t="str">
        <f t="shared" si="19"/>
        <v>ok</v>
      </c>
      <c r="Z16" s="276">
        <f t="shared" si="8"/>
        <v>10</v>
      </c>
      <c r="AA16" s="276">
        <f t="shared" si="20"/>
        <v>1015</v>
      </c>
      <c r="AB16" s="276">
        <f t="shared" si="21"/>
        <v>585</v>
      </c>
      <c r="AC16" s="276">
        <f t="shared" si="22"/>
        <v>101.5</v>
      </c>
      <c r="AD16" s="73">
        <f>ELEC!Q17</f>
        <v>3064.0000000021246</v>
      </c>
      <c r="AE16" s="73">
        <f t="shared" si="27"/>
        <v>306.40000000021246</v>
      </c>
      <c r="AF16" s="387">
        <f t="shared" si="28"/>
        <v>0.19150000000013279</v>
      </c>
      <c r="AG16" s="387">
        <f t="shared" si="28"/>
        <v>1.19687500000083E-4</v>
      </c>
      <c r="AH16" s="388">
        <f t="shared" si="23"/>
        <v>101.4998803125</v>
      </c>
      <c r="AI16" s="73">
        <f t="shared" si="29"/>
        <v>788.62447257438657</v>
      </c>
      <c r="AJ16" s="278">
        <f t="shared" si="9"/>
        <v>0.25738396624472576</v>
      </c>
      <c r="AK16" s="278">
        <f t="shared" si="10"/>
        <v>78.86244725743866</v>
      </c>
      <c r="AL16">
        <f t="shared" si="24"/>
        <v>1</v>
      </c>
    </row>
    <row r="17" spans="1:38" ht="15.75" thickBot="1">
      <c r="A17" s="4">
        <f>ELEC!C18</f>
        <v>44727</v>
      </c>
      <c r="B17" s="502">
        <v>305</v>
      </c>
      <c r="C17" s="276">
        <f t="shared" si="11"/>
        <v>10</v>
      </c>
      <c r="D17" s="503">
        <f t="shared" si="26"/>
        <v>697246</v>
      </c>
      <c r="E17" s="276">
        <f t="shared" si="12"/>
        <v>850</v>
      </c>
      <c r="F17" s="276">
        <f t="shared" si="0"/>
        <v>85</v>
      </c>
      <c r="G17" s="196"/>
      <c r="H17" s="260">
        <f t="shared" si="13"/>
        <v>12231</v>
      </c>
      <c r="I17" s="276" t="str">
        <f t="shared" si="1"/>
        <v>ok</v>
      </c>
      <c r="J17" s="502">
        <f t="shared" si="14"/>
        <v>104</v>
      </c>
      <c r="K17" s="276">
        <f t="shared" si="2"/>
        <v>0</v>
      </c>
      <c r="L17" s="503">
        <f t="shared" si="30"/>
        <v>382941</v>
      </c>
      <c r="M17" s="276">
        <f t="shared" si="3"/>
        <v>0</v>
      </c>
      <c r="N17" s="276">
        <v>250</v>
      </c>
      <c r="O17" s="196"/>
      <c r="P17" s="277">
        <f t="shared" si="16"/>
        <v>10873</v>
      </c>
      <c r="Q17" s="276" t="str">
        <f t="shared" si="4"/>
        <v>ok</v>
      </c>
      <c r="R17" s="502">
        <f t="shared" si="17"/>
        <v>13908</v>
      </c>
      <c r="S17" s="276">
        <f t="shared" si="5"/>
        <v>0</v>
      </c>
      <c r="T17" s="503">
        <f t="shared" si="31"/>
        <v>416512</v>
      </c>
      <c r="U17" s="276">
        <f t="shared" si="32"/>
        <v>0</v>
      </c>
      <c r="V17" s="276">
        <v>250</v>
      </c>
      <c r="W17" s="323"/>
      <c r="X17" s="260">
        <f t="shared" si="18"/>
        <v>14233</v>
      </c>
      <c r="Y17" s="276" t="str">
        <f t="shared" si="19"/>
        <v>ok</v>
      </c>
      <c r="Z17" s="276">
        <f t="shared" si="8"/>
        <v>10</v>
      </c>
      <c r="AA17" s="276">
        <f t="shared" si="20"/>
        <v>850</v>
      </c>
      <c r="AB17" s="276">
        <f t="shared" si="21"/>
        <v>585</v>
      </c>
      <c r="AC17" s="276">
        <f t="shared" si="22"/>
        <v>85</v>
      </c>
      <c r="AD17" s="73">
        <f>ELEC!Q18</f>
        <v>2968.0000000007567</v>
      </c>
      <c r="AE17" s="73">
        <f t="shared" si="27"/>
        <v>296.80000000007567</v>
      </c>
      <c r="AF17" s="387">
        <f t="shared" si="28"/>
        <v>0.18550000000004729</v>
      </c>
      <c r="AG17" s="387">
        <f t="shared" si="28"/>
        <v>1.1593750000002956E-4</v>
      </c>
      <c r="AH17" s="388">
        <f t="shared" si="23"/>
        <v>84.999884062500001</v>
      </c>
      <c r="AI17" s="73">
        <f t="shared" si="29"/>
        <v>763.91561181454085</v>
      </c>
      <c r="AJ17" s="278">
        <f t="shared" si="9"/>
        <v>0.25738396624472576</v>
      </c>
      <c r="AK17" s="278">
        <f t="shared" si="10"/>
        <v>76.39156118145408</v>
      </c>
      <c r="AL17">
        <f t="shared" si="24"/>
        <v>1</v>
      </c>
    </row>
    <row r="18" spans="1:38" ht="15.75" thickBot="1">
      <c r="A18" s="4">
        <f>ELEC!C19</f>
        <v>44728</v>
      </c>
      <c r="B18" s="502">
        <f t="shared" si="25"/>
        <v>305</v>
      </c>
      <c r="C18" s="276">
        <f t="shared" si="11"/>
        <v>0</v>
      </c>
      <c r="D18" s="503">
        <f t="shared" si="26"/>
        <v>697246</v>
      </c>
      <c r="E18" s="276">
        <f t="shared" si="12"/>
        <v>0</v>
      </c>
      <c r="F18" s="276">
        <f t="shared" si="0"/>
        <v>0</v>
      </c>
      <c r="G18" s="196"/>
      <c r="H18" s="260">
        <f t="shared" si="13"/>
        <v>12231</v>
      </c>
      <c r="I18" s="276" t="str">
        <f t="shared" si="1"/>
        <v>ok</v>
      </c>
      <c r="J18" s="502">
        <f t="shared" si="14"/>
        <v>104</v>
      </c>
      <c r="K18" s="276">
        <f t="shared" si="2"/>
        <v>0</v>
      </c>
      <c r="L18" s="503">
        <f t="shared" si="30"/>
        <v>382941</v>
      </c>
      <c r="M18" s="276">
        <f t="shared" si="3"/>
        <v>0</v>
      </c>
      <c r="N18" s="276">
        <v>250</v>
      </c>
      <c r="O18" s="196"/>
      <c r="P18" s="277">
        <f t="shared" si="16"/>
        <v>10873</v>
      </c>
      <c r="Q18" s="276" t="str">
        <f>IF(J18-P14&lt;=0,"ok","oil change")</f>
        <v>ok</v>
      </c>
      <c r="R18" s="502">
        <f t="shared" si="17"/>
        <v>13908</v>
      </c>
      <c r="S18" s="276">
        <f t="shared" si="5"/>
        <v>0</v>
      </c>
      <c r="T18" s="503">
        <f t="shared" si="31"/>
        <v>416512</v>
      </c>
      <c r="U18" s="276">
        <f t="shared" si="32"/>
        <v>0</v>
      </c>
      <c r="V18" s="276">
        <v>250</v>
      </c>
      <c r="W18" s="323"/>
      <c r="X18" s="260">
        <f t="shared" si="18"/>
        <v>14233</v>
      </c>
      <c r="Y18" s="276" t="str">
        <f t="shared" si="19"/>
        <v>ok</v>
      </c>
      <c r="Z18" s="276">
        <f t="shared" si="8"/>
        <v>0</v>
      </c>
      <c r="AA18" s="276">
        <f t="shared" si="20"/>
        <v>0</v>
      </c>
      <c r="AB18" s="276">
        <f t="shared" si="21"/>
        <v>500</v>
      </c>
      <c r="AC18" s="276">
        <f t="shared" si="22"/>
        <v>0</v>
      </c>
      <c r="AD18" s="73">
        <f>ELEC!Q19</f>
        <v>0</v>
      </c>
      <c r="AE18" s="73" t="e">
        <f t="shared" si="27"/>
        <v>#DIV/0!</v>
      </c>
      <c r="AF18" s="387" t="e">
        <f t="shared" si="28"/>
        <v>#DIV/0!</v>
      </c>
      <c r="AG18" s="387" t="e">
        <f t="shared" si="28"/>
        <v>#DIV/0!</v>
      </c>
      <c r="AH18" s="388" t="e">
        <f t="shared" si="23"/>
        <v>#DIV/0!</v>
      </c>
      <c r="AI18" s="73">
        <f t="shared" si="29"/>
        <v>0</v>
      </c>
      <c r="AJ18" s="278">
        <f t="shared" si="9"/>
        <v>0.25738396624472576</v>
      </c>
      <c r="AK18" s="278" t="e">
        <f t="shared" si="10"/>
        <v>#DIV/0!</v>
      </c>
      <c r="AL18">
        <f t="shared" si="24"/>
        <v>0</v>
      </c>
    </row>
    <row r="19" spans="1:38" ht="15.75" thickBot="1">
      <c r="A19" s="4">
        <f>ELEC!C20</f>
        <v>44729</v>
      </c>
      <c r="B19" s="502">
        <f t="shared" si="25"/>
        <v>305</v>
      </c>
      <c r="C19" s="276">
        <f t="shared" si="11"/>
        <v>0</v>
      </c>
      <c r="D19" s="503">
        <f t="shared" si="26"/>
        <v>697246</v>
      </c>
      <c r="E19" s="276">
        <f t="shared" si="12"/>
        <v>0</v>
      </c>
      <c r="F19" s="276">
        <f t="shared" si="0"/>
        <v>0</v>
      </c>
      <c r="G19" s="196"/>
      <c r="H19" s="260">
        <f t="shared" si="13"/>
        <v>12231</v>
      </c>
      <c r="I19" s="276" t="str">
        <f t="shared" si="1"/>
        <v>ok</v>
      </c>
      <c r="J19" s="502">
        <f t="shared" si="14"/>
        <v>104</v>
      </c>
      <c r="K19" s="276">
        <f t="shared" si="2"/>
        <v>0</v>
      </c>
      <c r="L19" s="503">
        <f t="shared" si="30"/>
        <v>382941</v>
      </c>
      <c r="M19" s="276">
        <f t="shared" si="3"/>
        <v>0</v>
      </c>
      <c r="N19" s="276">
        <v>250</v>
      </c>
      <c r="O19" s="196"/>
      <c r="P19" s="277">
        <f t="shared" si="16"/>
        <v>10873</v>
      </c>
      <c r="Q19" s="276" t="str">
        <f t="shared" ref="Q19:Q30" si="33">IF(J19-P19&lt;=0,"ok","oil change")</f>
        <v>ok</v>
      </c>
      <c r="R19" s="502">
        <f t="shared" si="17"/>
        <v>13908</v>
      </c>
      <c r="S19" s="276">
        <f t="shared" si="5"/>
        <v>0</v>
      </c>
      <c r="T19" s="503">
        <f t="shared" si="31"/>
        <v>416512</v>
      </c>
      <c r="U19" s="276">
        <f t="shared" si="32"/>
        <v>0</v>
      </c>
      <c r="V19" s="276">
        <v>250</v>
      </c>
      <c r="W19" s="323"/>
      <c r="X19" s="260">
        <f t="shared" si="18"/>
        <v>14233</v>
      </c>
      <c r="Y19" s="276" t="str">
        <f t="shared" si="19"/>
        <v>ok</v>
      </c>
      <c r="Z19" s="276">
        <f t="shared" si="8"/>
        <v>0</v>
      </c>
      <c r="AA19" s="276">
        <f t="shared" si="20"/>
        <v>0</v>
      </c>
      <c r="AB19" s="276">
        <f t="shared" si="21"/>
        <v>500</v>
      </c>
      <c r="AC19" s="276">
        <f t="shared" si="22"/>
        <v>0</v>
      </c>
      <c r="AD19" s="73">
        <f>ELEC!Q20</f>
        <v>0</v>
      </c>
      <c r="AE19" s="73" t="e">
        <f t="shared" si="27"/>
        <v>#DIV/0!</v>
      </c>
      <c r="AF19" s="387" t="e">
        <f t="shared" si="28"/>
        <v>#DIV/0!</v>
      </c>
      <c r="AG19" s="387" t="e">
        <f t="shared" si="28"/>
        <v>#DIV/0!</v>
      </c>
      <c r="AH19" s="388" t="e">
        <f t="shared" si="23"/>
        <v>#DIV/0!</v>
      </c>
      <c r="AI19" s="73">
        <f t="shared" si="29"/>
        <v>0</v>
      </c>
      <c r="AJ19" s="278">
        <f t="shared" si="9"/>
        <v>0.25738396624472576</v>
      </c>
      <c r="AK19" s="278" t="e">
        <f t="shared" si="10"/>
        <v>#DIV/0!</v>
      </c>
      <c r="AL19">
        <f t="shared" si="24"/>
        <v>0</v>
      </c>
    </row>
    <row r="20" spans="1:38" ht="15.75" thickBot="1">
      <c r="A20" s="4">
        <f>ELEC!C21</f>
        <v>44730</v>
      </c>
      <c r="B20" s="502">
        <f t="shared" si="25"/>
        <v>305</v>
      </c>
      <c r="C20" s="276">
        <f>B20-B19</f>
        <v>0</v>
      </c>
      <c r="D20" s="503">
        <f t="shared" si="26"/>
        <v>697246</v>
      </c>
      <c r="E20" s="276">
        <f t="shared" si="12"/>
        <v>0</v>
      </c>
      <c r="F20" s="276">
        <f t="shared" si="0"/>
        <v>0</v>
      </c>
      <c r="G20" s="196"/>
      <c r="H20" s="260">
        <f t="shared" si="13"/>
        <v>12231</v>
      </c>
      <c r="I20" s="276" t="str">
        <f t="shared" si="1"/>
        <v>ok</v>
      </c>
      <c r="J20" s="502">
        <f t="shared" si="14"/>
        <v>104</v>
      </c>
      <c r="K20" s="276">
        <f t="shared" si="2"/>
        <v>0</v>
      </c>
      <c r="L20" s="503">
        <f t="shared" si="30"/>
        <v>382941</v>
      </c>
      <c r="M20" s="276">
        <f t="shared" si="3"/>
        <v>0</v>
      </c>
      <c r="N20" s="276">
        <v>250</v>
      </c>
      <c r="O20" s="196"/>
      <c r="P20" s="277">
        <f t="shared" si="16"/>
        <v>10873</v>
      </c>
      <c r="Q20" s="276" t="str">
        <f t="shared" si="33"/>
        <v>ok</v>
      </c>
      <c r="R20" s="502">
        <f t="shared" si="17"/>
        <v>13908</v>
      </c>
      <c r="S20" s="276">
        <f t="shared" si="5"/>
        <v>0</v>
      </c>
      <c r="T20" s="503">
        <f t="shared" si="31"/>
        <v>416512</v>
      </c>
      <c r="U20" s="276">
        <f t="shared" si="32"/>
        <v>0</v>
      </c>
      <c r="V20" s="276">
        <v>250</v>
      </c>
      <c r="W20" s="323"/>
      <c r="X20" s="260">
        <f t="shared" si="18"/>
        <v>14233</v>
      </c>
      <c r="Y20" s="276" t="str">
        <f t="shared" si="19"/>
        <v>ok</v>
      </c>
      <c r="Z20" s="276">
        <f t="shared" si="8"/>
        <v>0</v>
      </c>
      <c r="AA20" s="276">
        <f t="shared" si="20"/>
        <v>0</v>
      </c>
      <c r="AB20" s="276">
        <f t="shared" si="21"/>
        <v>500</v>
      </c>
      <c r="AC20" s="276">
        <f t="shared" si="22"/>
        <v>0</v>
      </c>
      <c r="AD20" s="73">
        <f>ELEC!Q21</f>
        <v>0</v>
      </c>
      <c r="AE20" s="73" t="e">
        <f t="shared" si="27"/>
        <v>#DIV/0!</v>
      </c>
      <c r="AF20" s="387" t="e">
        <f t="shared" si="28"/>
        <v>#DIV/0!</v>
      </c>
      <c r="AG20" s="387" t="e">
        <f t="shared" si="28"/>
        <v>#DIV/0!</v>
      </c>
      <c r="AH20" s="388" t="e">
        <f t="shared" si="23"/>
        <v>#DIV/0!</v>
      </c>
      <c r="AI20" s="73">
        <f>AD20*AJ20</f>
        <v>0</v>
      </c>
      <c r="AJ20" s="278">
        <f t="shared" si="9"/>
        <v>0.25738396624472576</v>
      </c>
      <c r="AK20" s="278" t="e">
        <f t="shared" si="10"/>
        <v>#DIV/0!</v>
      </c>
      <c r="AL20">
        <f t="shared" si="24"/>
        <v>0</v>
      </c>
    </row>
    <row r="21" spans="1:38" ht="15.75" thickBot="1">
      <c r="A21" s="4">
        <f>ELEC!C22</f>
        <v>44731</v>
      </c>
      <c r="B21" s="502">
        <f t="shared" si="25"/>
        <v>305</v>
      </c>
      <c r="C21" s="276">
        <f>B21-B20</f>
        <v>0</v>
      </c>
      <c r="D21" s="503">
        <f t="shared" si="26"/>
        <v>697246</v>
      </c>
      <c r="E21" s="276">
        <f t="shared" si="12"/>
        <v>0</v>
      </c>
      <c r="F21" s="276">
        <f t="shared" si="0"/>
        <v>0</v>
      </c>
      <c r="G21" s="196"/>
      <c r="H21" s="260">
        <f t="shared" si="13"/>
        <v>12231</v>
      </c>
      <c r="I21" s="276" t="str">
        <f t="shared" si="1"/>
        <v>ok</v>
      </c>
      <c r="J21" s="502">
        <f t="shared" si="14"/>
        <v>104</v>
      </c>
      <c r="K21" s="276">
        <f t="shared" si="2"/>
        <v>0</v>
      </c>
      <c r="L21" s="503">
        <f t="shared" si="30"/>
        <v>382941</v>
      </c>
      <c r="M21" s="276">
        <f t="shared" si="3"/>
        <v>0</v>
      </c>
      <c r="N21" s="276">
        <v>250</v>
      </c>
      <c r="O21" s="196"/>
      <c r="P21" s="277">
        <f t="shared" si="16"/>
        <v>10873</v>
      </c>
      <c r="Q21" s="276" t="str">
        <f t="shared" si="33"/>
        <v>ok</v>
      </c>
      <c r="R21" s="502">
        <f t="shared" si="17"/>
        <v>13908</v>
      </c>
      <c r="S21" s="276">
        <f t="shared" si="5"/>
        <v>0</v>
      </c>
      <c r="T21" s="503">
        <f t="shared" si="31"/>
        <v>416512</v>
      </c>
      <c r="U21" s="276">
        <f t="shared" si="32"/>
        <v>0</v>
      </c>
      <c r="V21" s="276">
        <v>250</v>
      </c>
      <c r="W21" s="196"/>
      <c r="X21" s="260">
        <f t="shared" si="18"/>
        <v>14233</v>
      </c>
      <c r="Y21" s="276" t="str">
        <f t="shared" si="19"/>
        <v>ok</v>
      </c>
      <c r="Z21" s="276">
        <f t="shared" si="8"/>
        <v>0</v>
      </c>
      <c r="AA21" s="276">
        <f t="shared" si="20"/>
        <v>0</v>
      </c>
      <c r="AB21" s="276">
        <f t="shared" si="21"/>
        <v>500</v>
      </c>
      <c r="AC21" s="276">
        <f t="shared" si="22"/>
        <v>0</v>
      </c>
      <c r="AD21" s="73">
        <f>ELEC!Q22</f>
        <v>0</v>
      </c>
      <c r="AE21" s="73" t="e">
        <f t="shared" si="27"/>
        <v>#DIV/0!</v>
      </c>
      <c r="AF21" s="387" t="e">
        <f t="shared" si="28"/>
        <v>#DIV/0!</v>
      </c>
      <c r="AG21" s="387" t="e">
        <f t="shared" si="28"/>
        <v>#DIV/0!</v>
      </c>
      <c r="AH21" s="388" t="e">
        <f t="shared" si="23"/>
        <v>#DIV/0!</v>
      </c>
      <c r="AI21" s="73">
        <f t="shared" si="29"/>
        <v>0</v>
      </c>
      <c r="AJ21" s="278">
        <f t="shared" si="9"/>
        <v>0.25738396624472576</v>
      </c>
      <c r="AK21" s="278" t="e">
        <f t="shared" si="10"/>
        <v>#DIV/0!</v>
      </c>
      <c r="AL21">
        <f t="shared" si="24"/>
        <v>0</v>
      </c>
    </row>
    <row r="22" spans="1:38" ht="15.75" thickBot="1">
      <c r="A22" s="4">
        <f>ELEC!C23</f>
        <v>44732</v>
      </c>
      <c r="B22" s="502">
        <f t="shared" si="25"/>
        <v>305</v>
      </c>
      <c r="C22" s="276">
        <f t="shared" si="11"/>
        <v>0</v>
      </c>
      <c r="D22" s="503">
        <f t="shared" si="26"/>
        <v>697246</v>
      </c>
      <c r="E22" s="276">
        <f>150*C22</f>
        <v>0</v>
      </c>
      <c r="F22" s="276">
        <f t="shared" si="0"/>
        <v>0</v>
      </c>
      <c r="G22" s="196"/>
      <c r="H22" s="260">
        <f t="shared" si="13"/>
        <v>12231</v>
      </c>
      <c r="I22" s="276" t="str">
        <f t="shared" si="1"/>
        <v>ok</v>
      </c>
      <c r="J22" s="502">
        <f t="shared" si="14"/>
        <v>104</v>
      </c>
      <c r="K22" s="276">
        <f t="shared" si="2"/>
        <v>0</v>
      </c>
      <c r="L22" s="503">
        <f t="shared" si="30"/>
        <v>382941</v>
      </c>
      <c r="M22" s="276">
        <f t="shared" si="3"/>
        <v>0</v>
      </c>
      <c r="N22" s="276">
        <v>250</v>
      </c>
      <c r="O22" s="196"/>
      <c r="P22" s="277">
        <f t="shared" si="16"/>
        <v>10873</v>
      </c>
      <c r="Q22" s="276" t="str">
        <f t="shared" si="33"/>
        <v>ok</v>
      </c>
      <c r="R22" s="502">
        <f t="shared" si="17"/>
        <v>13908</v>
      </c>
      <c r="S22" s="276">
        <f t="shared" si="5"/>
        <v>0</v>
      </c>
      <c r="T22" s="503">
        <f t="shared" si="31"/>
        <v>416512</v>
      </c>
      <c r="U22" s="276">
        <f t="shared" si="32"/>
        <v>0</v>
      </c>
      <c r="V22" s="276">
        <v>250</v>
      </c>
      <c r="W22" s="196"/>
      <c r="X22" s="260">
        <f t="shared" si="18"/>
        <v>14233</v>
      </c>
      <c r="Y22" s="276" t="str">
        <f t="shared" si="19"/>
        <v>ok</v>
      </c>
      <c r="Z22" s="276">
        <f t="shared" si="8"/>
        <v>0</v>
      </c>
      <c r="AA22" s="276">
        <f t="shared" si="20"/>
        <v>0</v>
      </c>
      <c r="AB22" s="276">
        <f t="shared" si="21"/>
        <v>500</v>
      </c>
      <c r="AC22" s="276">
        <f t="shared" si="22"/>
        <v>0</v>
      </c>
      <c r="AD22" s="73">
        <f>ELEC!Q23</f>
        <v>0</v>
      </c>
      <c r="AE22" s="73" t="e">
        <f t="shared" si="27"/>
        <v>#DIV/0!</v>
      </c>
      <c r="AF22" s="387" t="e">
        <f t="shared" si="28"/>
        <v>#DIV/0!</v>
      </c>
      <c r="AG22" s="387" t="e">
        <f t="shared" si="28"/>
        <v>#DIV/0!</v>
      </c>
      <c r="AH22" s="388" t="e">
        <f t="shared" si="23"/>
        <v>#DIV/0!</v>
      </c>
      <c r="AI22" s="73">
        <f t="shared" si="29"/>
        <v>0</v>
      </c>
      <c r="AJ22" s="278">
        <f t="shared" si="9"/>
        <v>0.25738396624472576</v>
      </c>
      <c r="AK22" s="278" t="e">
        <f t="shared" si="10"/>
        <v>#DIV/0!</v>
      </c>
      <c r="AL22">
        <f t="shared" si="24"/>
        <v>0</v>
      </c>
    </row>
    <row r="23" spans="1:38" ht="15.75" thickBot="1">
      <c r="A23" s="4">
        <f>ELEC!C24</f>
        <v>44733</v>
      </c>
      <c r="B23" s="502">
        <f t="shared" si="25"/>
        <v>305</v>
      </c>
      <c r="C23" s="276">
        <f t="shared" si="11"/>
        <v>0</v>
      </c>
      <c r="D23" s="503">
        <f t="shared" si="26"/>
        <v>697246</v>
      </c>
      <c r="E23" s="276">
        <f>150*C23</f>
        <v>0</v>
      </c>
      <c r="F23" s="276">
        <f t="shared" si="0"/>
        <v>0</v>
      </c>
      <c r="G23" s="196"/>
      <c r="H23" s="260">
        <f t="shared" si="13"/>
        <v>12231</v>
      </c>
      <c r="I23" s="276" t="str">
        <f t="shared" si="1"/>
        <v>ok</v>
      </c>
      <c r="J23" s="502">
        <f t="shared" si="14"/>
        <v>104</v>
      </c>
      <c r="K23" s="276">
        <f t="shared" si="2"/>
        <v>0</v>
      </c>
      <c r="L23" s="503">
        <f t="shared" si="30"/>
        <v>382941</v>
      </c>
      <c r="M23" s="276">
        <f t="shared" si="3"/>
        <v>0</v>
      </c>
      <c r="N23" s="276">
        <v>250</v>
      </c>
      <c r="O23" s="196"/>
      <c r="P23" s="277">
        <f t="shared" si="16"/>
        <v>10873</v>
      </c>
      <c r="Q23" s="276" t="str">
        <f t="shared" si="33"/>
        <v>ok</v>
      </c>
      <c r="R23" s="502">
        <f t="shared" si="17"/>
        <v>13908</v>
      </c>
      <c r="S23" s="276">
        <f>R23-R22</f>
        <v>0</v>
      </c>
      <c r="T23" s="503">
        <f t="shared" si="31"/>
        <v>416512</v>
      </c>
      <c r="U23" s="276">
        <f>V23*S23</f>
        <v>0</v>
      </c>
      <c r="V23" s="276">
        <v>250</v>
      </c>
      <c r="W23" s="196"/>
      <c r="X23" s="260">
        <f t="shared" si="18"/>
        <v>14233</v>
      </c>
      <c r="Y23" s="276" t="str">
        <f t="shared" si="19"/>
        <v>ok</v>
      </c>
      <c r="Z23" s="276">
        <f t="shared" si="8"/>
        <v>0</v>
      </c>
      <c r="AA23" s="276">
        <f t="shared" si="20"/>
        <v>0</v>
      </c>
      <c r="AB23" s="276">
        <f t="shared" si="21"/>
        <v>500</v>
      </c>
      <c r="AC23" s="276">
        <f t="shared" si="22"/>
        <v>0</v>
      </c>
      <c r="AD23" s="73">
        <f>ELEC!Q24</f>
        <v>0</v>
      </c>
      <c r="AE23" s="73" t="e">
        <f t="shared" si="27"/>
        <v>#DIV/0!</v>
      </c>
      <c r="AF23" s="387" t="e">
        <f t="shared" si="28"/>
        <v>#DIV/0!</v>
      </c>
      <c r="AG23" s="387" t="e">
        <f t="shared" si="28"/>
        <v>#DIV/0!</v>
      </c>
      <c r="AH23" s="388" t="e">
        <f t="shared" si="23"/>
        <v>#DIV/0!</v>
      </c>
      <c r="AI23" s="73">
        <f t="shared" si="29"/>
        <v>0</v>
      </c>
      <c r="AJ23" s="278">
        <f t="shared" si="9"/>
        <v>0.25738396624472576</v>
      </c>
      <c r="AK23" s="278" t="e">
        <f t="shared" si="10"/>
        <v>#DIV/0!</v>
      </c>
      <c r="AL23">
        <f t="shared" si="24"/>
        <v>0</v>
      </c>
    </row>
    <row r="24" spans="1:38" ht="15.75" thickBot="1">
      <c r="A24" s="4">
        <f>ELEC!C25</f>
        <v>44734</v>
      </c>
      <c r="B24" s="502">
        <f t="shared" si="25"/>
        <v>305</v>
      </c>
      <c r="C24" s="276">
        <f t="shared" si="11"/>
        <v>0</v>
      </c>
      <c r="D24" s="503">
        <f t="shared" si="26"/>
        <v>697246</v>
      </c>
      <c r="E24" s="276">
        <f t="shared" si="12"/>
        <v>0</v>
      </c>
      <c r="F24" s="276">
        <f t="shared" si="0"/>
        <v>0</v>
      </c>
      <c r="G24" s="196"/>
      <c r="H24" s="260">
        <f t="shared" si="13"/>
        <v>12231</v>
      </c>
      <c r="I24" s="276" t="str">
        <f t="shared" si="1"/>
        <v>ok</v>
      </c>
      <c r="J24" s="502">
        <f t="shared" si="14"/>
        <v>104</v>
      </c>
      <c r="K24" s="276">
        <f t="shared" si="2"/>
        <v>0</v>
      </c>
      <c r="L24" s="503">
        <f t="shared" si="30"/>
        <v>382941</v>
      </c>
      <c r="M24" s="276">
        <f t="shared" si="3"/>
        <v>0</v>
      </c>
      <c r="N24" s="276">
        <v>250</v>
      </c>
      <c r="O24" s="196"/>
      <c r="P24" s="277">
        <f t="shared" si="16"/>
        <v>10873</v>
      </c>
      <c r="Q24" s="276" t="str">
        <f t="shared" si="33"/>
        <v>ok</v>
      </c>
      <c r="R24" s="502">
        <f t="shared" si="17"/>
        <v>13908</v>
      </c>
      <c r="S24" s="276">
        <f t="shared" si="5"/>
        <v>0</v>
      </c>
      <c r="T24" s="503">
        <f t="shared" si="31"/>
        <v>416512</v>
      </c>
      <c r="U24" s="276">
        <f t="shared" si="32"/>
        <v>0</v>
      </c>
      <c r="V24" s="276">
        <v>250</v>
      </c>
      <c r="W24" s="196"/>
      <c r="X24" s="260">
        <f t="shared" si="18"/>
        <v>14233</v>
      </c>
      <c r="Y24" s="276" t="str">
        <f t="shared" si="19"/>
        <v>ok</v>
      </c>
      <c r="Z24" s="276">
        <f t="shared" si="8"/>
        <v>0</v>
      </c>
      <c r="AA24" s="276">
        <f t="shared" si="20"/>
        <v>0</v>
      </c>
      <c r="AB24" s="276">
        <f t="shared" si="21"/>
        <v>500</v>
      </c>
      <c r="AC24" s="276">
        <f t="shared" si="22"/>
        <v>0</v>
      </c>
      <c r="AD24" s="73">
        <f>ELEC!Q25</f>
        <v>0</v>
      </c>
      <c r="AE24" s="73" t="e">
        <f t="shared" si="27"/>
        <v>#DIV/0!</v>
      </c>
      <c r="AF24" s="387" t="e">
        <f t="shared" si="28"/>
        <v>#DIV/0!</v>
      </c>
      <c r="AG24" s="387" t="e">
        <f t="shared" si="28"/>
        <v>#DIV/0!</v>
      </c>
      <c r="AH24" s="388" t="e">
        <f t="shared" si="23"/>
        <v>#DIV/0!</v>
      </c>
      <c r="AI24" s="73">
        <f t="shared" si="29"/>
        <v>0</v>
      </c>
      <c r="AJ24" s="278">
        <f t="shared" si="9"/>
        <v>0.25738396624472576</v>
      </c>
      <c r="AK24" s="278" t="e">
        <f t="shared" si="10"/>
        <v>#DIV/0!</v>
      </c>
      <c r="AL24">
        <f t="shared" si="24"/>
        <v>0</v>
      </c>
    </row>
    <row r="25" spans="1:38" ht="15.75" thickBot="1">
      <c r="A25" s="4">
        <f>ELEC!C26</f>
        <v>44735</v>
      </c>
      <c r="B25" s="502">
        <f t="shared" si="25"/>
        <v>305</v>
      </c>
      <c r="C25" s="276">
        <f t="shared" si="11"/>
        <v>0</v>
      </c>
      <c r="D25" s="503">
        <f t="shared" si="26"/>
        <v>697246</v>
      </c>
      <c r="E25" s="276">
        <f t="shared" si="12"/>
        <v>0</v>
      </c>
      <c r="F25" s="276">
        <f t="shared" si="0"/>
        <v>0</v>
      </c>
      <c r="G25" s="196"/>
      <c r="H25" s="260">
        <f t="shared" si="13"/>
        <v>12231</v>
      </c>
      <c r="I25" s="276" t="str">
        <f t="shared" si="1"/>
        <v>ok</v>
      </c>
      <c r="J25" s="502">
        <f t="shared" si="14"/>
        <v>104</v>
      </c>
      <c r="K25" s="276">
        <f t="shared" si="2"/>
        <v>0</v>
      </c>
      <c r="L25" s="503">
        <f t="shared" si="30"/>
        <v>382941</v>
      </c>
      <c r="M25" s="276">
        <f t="shared" si="3"/>
        <v>0</v>
      </c>
      <c r="N25" s="276">
        <v>250</v>
      </c>
      <c r="O25" s="196"/>
      <c r="P25" s="277">
        <f t="shared" si="16"/>
        <v>10873</v>
      </c>
      <c r="Q25" s="276" t="str">
        <f t="shared" si="33"/>
        <v>ok</v>
      </c>
      <c r="R25" s="502">
        <f t="shared" si="17"/>
        <v>13908</v>
      </c>
      <c r="S25" s="276">
        <f t="shared" si="5"/>
        <v>0</v>
      </c>
      <c r="T25" s="503">
        <f t="shared" si="31"/>
        <v>416512</v>
      </c>
      <c r="U25" s="276">
        <f t="shared" si="32"/>
        <v>0</v>
      </c>
      <c r="V25" s="276">
        <v>250</v>
      </c>
      <c r="W25" s="196"/>
      <c r="X25" s="260">
        <f t="shared" si="18"/>
        <v>14233</v>
      </c>
      <c r="Y25" s="276" t="str">
        <f t="shared" si="19"/>
        <v>ok</v>
      </c>
      <c r="Z25" s="276">
        <f t="shared" si="8"/>
        <v>0</v>
      </c>
      <c r="AA25" s="276">
        <f t="shared" si="20"/>
        <v>0</v>
      </c>
      <c r="AB25" s="276">
        <f t="shared" si="21"/>
        <v>500</v>
      </c>
      <c r="AC25" s="276">
        <f t="shared" si="22"/>
        <v>0</v>
      </c>
      <c r="AD25" s="73">
        <f>ELEC!Q26</f>
        <v>0</v>
      </c>
      <c r="AE25" s="73" t="e">
        <f t="shared" si="27"/>
        <v>#DIV/0!</v>
      </c>
      <c r="AF25" s="387" t="e">
        <f t="shared" si="28"/>
        <v>#DIV/0!</v>
      </c>
      <c r="AG25" s="387" t="e">
        <f t="shared" si="28"/>
        <v>#DIV/0!</v>
      </c>
      <c r="AH25" s="388" t="e">
        <f t="shared" si="23"/>
        <v>#DIV/0!</v>
      </c>
      <c r="AI25" s="73">
        <f t="shared" si="29"/>
        <v>0</v>
      </c>
      <c r="AJ25" s="278">
        <f t="shared" si="9"/>
        <v>0.25738396624472576</v>
      </c>
      <c r="AK25" s="278" t="e">
        <f t="shared" si="10"/>
        <v>#DIV/0!</v>
      </c>
      <c r="AL25">
        <f t="shared" si="24"/>
        <v>0</v>
      </c>
    </row>
    <row r="26" spans="1:38" ht="15.75" thickBot="1">
      <c r="A26" s="4">
        <f>ELEC!C27</f>
        <v>44736</v>
      </c>
      <c r="B26" s="502">
        <f t="shared" si="25"/>
        <v>305</v>
      </c>
      <c r="C26" s="276">
        <f>B26-B25</f>
        <v>0</v>
      </c>
      <c r="D26" s="503">
        <f t="shared" si="26"/>
        <v>697246</v>
      </c>
      <c r="E26" s="276">
        <f>SUM(D26-D25)</f>
        <v>0</v>
      </c>
      <c r="F26" s="276">
        <f t="shared" si="0"/>
        <v>0</v>
      </c>
      <c r="G26" s="196"/>
      <c r="H26" s="260">
        <f t="shared" si="13"/>
        <v>12231</v>
      </c>
      <c r="I26" s="276" t="str">
        <f t="shared" si="1"/>
        <v>ok</v>
      </c>
      <c r="J26" s="502">
        <f t="shared" si="14"/>
        <v>104</v>
      </c>
      <c r="K26" s="276">
        <f t="shared" si="2"/>
        <v>0</v>
      </c>
      <c r="L26" s="503">
        <f t="shared" si="30"/>
        <v>382941</v>
      </c>
      <c r="M26" s="276">
        <f t="shared" si="3"/>
        <v>0</v>
      </c>
      <c r="N26" s="276">
        <v>250</v>
      </c>
      <c r="O26" s="196"/>
      <c r="P26" s="277">
        <f t="shared" si="16"/>
        <v>10873</v>
      </c>
      <c r="Q26" s="276" t="str">
        <f t="shared" si="33"/>
        <v>ok</v>
      </c>
      <c r="R26" s="502">
        <f t="shared" si="17"/>
        <v>13908</v>
      </c>
      <c r="S26" s="276">
        <f>R26-R25</f>
        <v>0</v>
      </c>
      <c r="T26" s="503">
        <f t="shared" si="31"/>
        <v>416512</v>
      </c>
      <c r="U26" s="276">
        <f t="shared" si="32"/>
        <v>0</v>
      </c>
      <c r="V26" s="276">
        <v>250</v>
      </c>
      <c r="W26" s="196"/>
      <c r="X26" s="260">
        <f>X25</f>
        <v>14233</v>
      </c>
      <c r="Y26" s="276" t="str">
        <f t="shared" si="19"/>
        <v>ok</v>
      </c>
      <c r="Z26" s="276">
        <f t="shared" si="8"/>
        <v>0</v>
      </c>
      <c r="AA26" s="276">
        <f t="shared" si="20"/>
        <v>0</v>
      </c>
      <c r="AB26" s="276">
        <f t="shared" si="21"/>
        <v>500</v>
      </c>
      <c r="AC26" s="276">
        <f t="shared" si="22"/>
        <v>0</v>
      </c>
      <c r="AD26" s="73">
        <f>ELEC!Q27</f>
        <v>0</v>
      </c>
      <c r="AE26" s="73" t="e">
        <f t="shared" si="27"/>
        <v>#DIV/0!</v>
      </c>
      <c r="AF26" s="387" t="e">
        <f t="shared" si="28"/>
        <v>#DIV/0!</v>
      </c>
      <c r="AG26" s="387" t="e">
        <f t="shared" si="28"/>
        <v>#DIV/0!</v>
      </c>
      <c r="AH26" s="388" t="e">
        <f t="shared" si="23"/>
        <v>#DIV/0!</v>
      </c>
      <c r="AI26" s="73">
        <f t="shared" si="29"/>
        <v>0</v>
      </c>
      <c r="AJ26" s="278">
        <f t="shared" si="9"/>
        <v>0.25738396624472576</v>
      </c>
      <c r="AK26" s="278" t="e">
        <f t="shared" si="10"/>
        <v>#DIV/0!</v>
      </c>
      <c r="AL26">
        <f t="shared" si="24"/>
        <v>0</v>
      </c>
    </row>
    <row r="27" spans="1:38" ht="15.75" thickBot="1">
      <c r="A27" s="4">
        <f>ELEC!C28</f>
        <v>44737</v>
      </c>
      <c r="B27" s="502">
        <f t="shared" si="25"/>
        <v>305</v>
      </c>
      <c r="C27" s="276">
        <f>B27-B26</f>
        <v>0</v>
      </c>
      <c r="D27" s="503">
        <f t="shared" si="26"/>
        <v>697246</v>
      </c>
      <c r="E27" s="276">
        <f>SUM(D27-D26)</f>
        <v>0</v>
      </c>
      <c r="F27" s="276">
        <f t="shared" si="0"/>
        <v>0</v>
      </c>
      <c r="G27" s="196"/>
      <c r="H27" s="260">
        <f t="shared" si="13"/>
        <v>12231</v>
      </c>
      <c r="I27" s="276" t="str">
        <f>IF(B27-H27&lt;=0,"ok","oil change")</f>
        <v>ok</v>
      </c>
      <c r="J27" s="502">
        <f t="shared" si="14"/>
        <v>104</v>
      </c>
      <c r="K27" s="276">
        <f t="shared" si="2"/>
        <v>0</v>
      </c>
      <c r="L27" s="503">
        <f t="shared" si="30"/>
        <v>382941</v>
      </c>
      <c r="M27" s="276">
        <f t="shared" si="3"/>
        <v>0</v>
      </c>
      <c r="N27" s="276">
        <v>250</v>
      </c>
      <c r="O27" s="196"/>
      <c r="P27" s="277">
        <f t="shared" si="16"/>
        <v>10873</v>
      </c>
      <c r="Q27" s="276" t="str">
        <f t="shared" si="33"/>
        <v>ok</v>
      </c>
      <c r="R27" s="502">
        <f t="shared" si="17"/>
        <v>13908</v>
      </c>
      <c r="S27" s="276">
        <f t="shared" si="5"/>
        <v>0</v>
      </c>
      <c r="T27" s="503">
        <f t="shared" si="31"/>
        <v>416512</v>
      </c>
      <c r="U27" s="276">
        <f t="shared" si="32"/>
        <v>0</v>
      </c>
      <c r="V27" s="276">
        <v>250</v>
      </c>
      <c r="W27" s="196"/>
      <c r="X27" s="260">
        <f t="shared" si="18"/>
        <v>14233</v>
      </c>
      <c r="Y27" s="276" t="str">
        <f t="shared" si="19"/>
        <v>ok</v>
      </c>
      <c r="Z27" s="276">
        <f t="shared" si="8"/>
        <v>0</v>
      </c>
      <c r="AA27" s="276">
        <f t="shared" si="20"/>
        <v>0</v>
      </c>
      <c r="AB27" s="276">
        <f t="shared" si="21"/>
        <v>500</v>
      </c>
      <c r="AC27" s="276">
        <f t="shared" si="22"/>
        <v>0</v>
      </c>
      <c r="AD27" s="73">
        <f>ELEC!Q28</f>
        <v>0</v>
      </c>
      <c r="AE27" s="73" t="e">
        <f t="shared" si="27"/>
        <v>#DIV/0!</v>
      </c>
      <c r="AF27" s="387" t="e">
        <f t="shared" si="28"/>
        <v>#DIV/0!</v>
      </c>
      <c r="AG27" s="387" t="e">
        <f t="shared" si="28"/>
        <v>#DIV/0!</v>
      </c>
      <c r="AH27" s="388" t="e">
        <f t="shared" si="23"/>
        <v>#DIV/0!</v>
      </c>
      <c r="AI27" s="73">
        <f t="shared" si="29"/>
        <v>0</v>
      </c>
      <c r="AJ27" s="278">
        <f t="shared" si="9"/>
        <v>0.25738396624472576</v>
      </c>
      <c r="AK27" s="278" t="e">
        <f t="shared" si="10"/>
        <v>#DIV/0!</v>
      </c>
      <c r="AL27">
        <f t="shared" si="24"/>
        <v>0</v>
      </c>
    </row>
    <row r="28" spans="1:38" ht="15.75" thickBot="1">
      <c r="A28" s="4">
        <f>ELEC!C29</f>
        <v>44738</v>
      </c>
      <c r="B28" s="502">
        <f t="shared" si="25"/>
        <v>305</v>
      </c>
      <c r="C28" s="276">
        <f t="shared" si="11"/>
        <v>0</v>
      </c>
      <c r="D28" s="503">
        <f t="shared" si="26"/>
        <v>697246</v>
      </c>
      <c r="E28" s="276">
        <f>SUM(D28-D27)</f>
        <v>0</v>
      </c>
      <c r="F28" s="276">
        <f t="shared" si="0"/>
        <v>0</v>
      </c>
      <c r="G28" s="274"/>
      <c r="H28" s="260">
        <f t="shared" si="13"/>
        <v>12231</v>
      </c>
      <c r="I28" s="276" t="str">
        <f t="shared" si="1"/>
        <v>ok</v>
      </c>
      <c r="J28" s="502">
        <f t="shared" si="14"/>
        <v>104</v>
      </c>
      <c r="K28" s="276">
        <f t="shared" si="2"/>
        <v>0</v>
      </c>
      <c r="L28" s="503">
        <f t="shared" si="30"/>
        <v>382941</v>
      </c>
      <c r="M28" s="276">
        <f t="shared" si="3"/>
        <v>0</v>
      </c>
      <c r="N28" s="276">
        <v>250</v>
      </c>
      <c r="O28" s="196"/>
      <c r="P28" s="277">
        <f t="shared" si="16"/>
        <v>10873</v>
      </c>
      <c r="Q28" s="276" t="str">
        <f t="shared" si="33"/>
        <v>ok</v>
      </c>
      <c r="R28" s="502">
        <f t="shared" si="17"/>
        <v>13908</v>
      </c>
      <c r="S28" s="276">
        <f t="shared" si="5"/>
        <v>0</v>
      </c>
      <c r="T28" s="503">
        <f t="shared" si="31"/>
        <v>416512</v>
      </c>
      <c r="U28" s="276">
        <f t="shared" si="32"/>
        <v>0</v>
      </c>
      <c r="V28" s="276">
        <v>250</v>
      </c>
      <c r="W28" s="196"/>
      <c r="X28" s="260">
        <f t="shared" si="18"/>
        <v>14233</v>
      </c>
      <c r="Y28" s="276" t="str">
        <f t="shared" si="19"/>
        <v>ok</v>
      </c>
      <c r="Z28" s="276">
        <f t="shared" si="8"/>
        <v>0</v>
      </c>
      <c r="AA28" s="276">
        <f t="shared" si="20"/>
        <v>0</v>
      </c>
      <c r="AB28" s="276">
        <f t="shared" si="21"/>
        <v>500</v>
      </c>
      <c r="AC28" s="276">
        <f t="shared" si="22"/>
        <v>0</v>
      </c>
      <c r="AD28" s="73">
        <f>ELEC!Q29</f>
        <v>0</v>
      </c>
      <c r="AE28" s="73" t="e">
        <f t="shared" si="27"/>
        <v>#DIV/0!</v>
      </c>
      <c r="AF28" s="387" t="e">
        <f t="shared" si="28"/>
        <v>#DIV/0!</v>
      </c>
      <c r="AG28" s="387" t="e">
        <f t="shared" si="28"/>
        <v>#DIV/0!</v>
      </c>
      <c r="AH28" s="388" t="e">
        <f t="shared" si="23"/>
        <v>#DIV/0!</v>
      </c>
      <c r="AI28" s="73">
        <f t="shared" si="29"/>
        <v>0</v>
      </c>
      <c r="AJ28" s="278">
        <f t="shared" si="9"/>
        <v>0.25738396624472576</v>
      </c>
      <c r="AK28" s="278" t="e">
        <f t="shared" si="10"/>
        <v>#DIV/0!</v>
      </c>
      <c r="AL28">
        <f t="shared" si="24"/>
        <v>0</v>
      </c>
    </row>
    <row r="29" spans="1:38" ht="15.75" thickBot="1">
      <c r="A29" s="4">
        <f>ELEC!C30</f>
        <v>44739</v>
      </c>
      <c r="B29" s="502">
        <f t="shared" si="25"/>
        <v>305</v>
      </c>
      <c r="C29" s="276">
        <f t="shared" si="11"/>
        <v>0</v>
      </c>
      <c r="D29" s="503">
        <f t="shared" si="26"/>
        <v>697246</v>
      </c>
      <c r="E29" s="276">
        <f>SUM(D29-D28)</f>
        <v>0</v>
      </c>
      <c r="F29" s="276">
        <f t="shared" si="0"/>
        <v>0</v>
      </c>
      <c r="G29" s="196"/>
      <c r="H29" s="260">
        <f t="shared" si="13"/>
        <v>12231</v>
      </c>
      <c r="I29" s="276" t="str">
        <f t="shared" si="1"/>
        <v>ok</v>
      </c>
      <c r="J29" s="502">
        <f t="shared" si="14"/>
        <v>104</v>
      </c>
      <c r="K29" s="276">
        <f t="shared" si="2"/>
        <v>0</v>
      </c>
      <c r="L29" s="503">
        <f t="shared" si="30"/>
        <v>382941</v>
      </c>
      <c r="M29" s="276">
        <f t="shared" si="3"/>
        <v>0</v>
      </c>
      <c r="N29" s="276">
        <v>250</v>
      </c>
      <c r="O29" s="196"/>
      <c r="P29" s="277">
        <f t="shared" si="16"/>
        <v>10873</v>
      </c>
      <c r="Q29" s="276" t="str">
        <f t="shared" si="33"/>
        <v>ok</v>
      </c>
      <c r="R29" s="502">
        <f t="shared" si="17"/>
        <v>13908</v>
      </c>
      <c r="S29" s="276">
        <f t="shared" si="5"/>
        <v>0</v>
      </c>
      <c r="T29" s="503">
        <f t="shared" si="31"/>
        <v>416512</v>
      </c>
      <c r="U29" s="276">
        <f>V29*S29</f>
        <v>0</v>
      </c>
      <c r="V29" s="276">
        <v>250</v>
      </c>
      <c r="W29" s="196"/>
      <c r="X29" s="260">
        <f t="shared" si="18"/>
        <v>14233</v>
      </c>
      <c r="Y29" s="276" t="str">
        <f t="shared" si="19"/>
        <v>ok</v>
      </c>
      <c r="Z29" s="276">
        <f t="shared" si="8"/>
        <v>0</v>
      </c>
      <c r="AA29" s="276">
        <f t="shared" si="20"/>
        <v>0</v>
      </c>
      <c r="AB29" s="276">
        <f t="shared" si="21"/>
        <v>500</v>
      </c>
      <c r="AC29" s="276">
        <f t="shared" si="22"/>
        <v>0</v>
      </c>
      <c r="AD29" s="73">
        <f>ELEC!Q30</f>
        <v>0</v>
      </c>
      <c r="AE29" s="73" t="e">
        <f t="shared" si="27"/>
        <v>#DIV/0!</v>
      </c>
      <c r="AF29" s="387" t="e">
        <f t="shared" si="28"/>
        <v>#DIV/0!</v>
      </c>
      <c r="AG29" s="387" t="e">
        <f t="shared" si="28"/>
        <v>#DIV/0!</v>
      </c>
      <c r="AH29" s="388" t="e">
        <f t="shared" si="23"/>
        <v>#DIV/0!</v>
      </c>
      <c r="AI29" s="73">
        <f t="shared" si="29"/>
        <v>0</v>
      </c>
      <c r="AJ29" s="278">
        <f t="shared" si="9"/>
        <v>0.25738396624472576</v>
      </c>
      <c r="AK29" s="278" t="e">
        <f t="shared" si="10"/>
        <v>#DIV/0!</v>
      </c>
      <c r="AL29">
        <f t="shared" si="24"/>
        <v>0</v>
      </c>
    </row>
    <row r="30" spans="1:38" ht="15.75" thickBot="1">
      <c r="A30" s="4">
        <f>ELEC!C31</f>
        <v>44740</v>
      </c>
      <c r="B30" s="502">
        <f t="shared" si="25"/>
        <v>305</v>
      </c>
      <c r="C30" s="276">
        <f t="shared" si="11"/>
        <v>0</v>
      </c>
      <c r="D30" s="503">
        <f t="shared" si="26"/>
        <v>697246</v>
      </c>
      <c r="E30" s="276">
        <f>SUM(D30-D29)</f>
        <v>0</v>
      </c>
      <c r="F30" s="276">
        <f t="shared" si="0"/>
        <v>0</v>
      </c>
      <c r="G30" s="196"/>
      <c r="H30" s="260">
        <f t="shared" si="13"/>
        <v>12231</v>
      </c>
      <c r="I30" s="276" t="str">
        <f t="shared" si="1"/>
        <v>ok</v>
      </c>
      <c r="J30" s="502">
        <f t="shared" si="14"/>
        <v>104</v>
      </c>
      <c r="K30" s="276">
        <f t="shared" si="2"/>
        <v>0</v>
      </c>
      <c r="L30" s="503">
        <f t="shared" si="30"/>
        <v>382941</v>
      </c>
      <c r="M30" s="276">
        <f t="shared" si="3"/>
        <v>0</v>
      </c>
      <c r="N30" s="276">
        <v>250</v>
      </c>
      <c r="O30" s="196"/>
      <c r="P30" s="277">
        <f t="shared" si="16"/>
        <v>10873</v>
      </c>
      <c r="Q30" s="276" t="str">
        <f t="shared" si="33"/>
        <v>ok</v>
      </c>
      <c r="R30" s="502">
        <f t="shared" si="17"/>
        <v>13908</v>
      </c>
      <c r="S30" s="276">
        <f t="shared" si="5"/>
        <v>0</v>
      </c>
      <c r="T30" s="503">
        <f t="shared" si="31"/>
        <v>416512</v>
      </c>
      <c r="U30" s="276">
        <f t="shared" si="32"/>
        <v>0</v>
      </c>
      <c r="V30" s="276">
        <v>250</v>
      </c>
      <c r="W30" s="274"/>
      <c r="X30" s="260">
        <f>X29</f>
        <v>14233</v>
      </c>
      <c r="Y30" s="276" t="str">
        <f t="shared" si="19"/>
        <v>ok</v>
      </c>
      <c r="Z30" s="276">
        <f t="shared" si="8"/>
        <v>0</v>
      </c>
      <c r="AA30" s="276">
        <f t="shared" si="20"/>
        <v>0</v>
      </c>
      <c r="AB30" s="276">
        <f t="shared" si="21"/>
        <v>500</v>
      </c>
      <c r="AC30" s="276">
        <f t="shared" si="22"/>
        <v>0</v>
      </c>
      <c r="AD30" s="73">
        <f>ELEC!Q31</f>
        <v>0</v>
      </c>
      <c r="AE30" s="73" t="e">
        <f t="shared" si="27"/>
        <v>#DIV/0!</v>
      </c>
      <c r="AF30" s="387" t="e">
        <f t="shared" si="28"/>
        <v>#DIV/0!</v>
      </c>
      <c r="AG30" s="387" t="e">
        <f t="shared" si="28"/>
        <v>#DIV/0!</v>
      </c>
      <c r="AH30" s="388" t="e">
        <f t="shared" si="23"/>
        <v>#DIV/0!</v>
      </c>
      <c r="AI30" s="73">
        <f t="shared" si="29"/>
        <v>0</v>
      </c>
      <c r="AJ30" s="278">
        <f t="shared" si="9"/>
        <v>0.25738396624472576</v>
      </c>
      <c r="AK30" s="278" t="e">
        <f t="shared" si="10"/>
        <v>#DIV/0!</v>
      </c>
      <c r="AL30">
        <f t="shared" si="24"/>
        <v>0</v>
      </c>
    </row>
    <row r="31" spans="1:38" ht="15.75" thickBot="1">
      <c r="A31" s="4">
        <f>ELEC!C32</f>
        <v>44741</v>
      </c>
      <c r="B31" s="502">
        <f t="shared" si="25"/>
        <v>305</v>
      </c>
      <c r="C31" s="276">
        <f t="shared" ref="C31:C33" si="34">B31-B30</f>
        <v>0</v>
      </c>
      <c r="D31" s="503">
        <f t="shared" si="26"/>
        <v>697246</v>
      </c>
      <c r="E31" s="276">
        <f t="shared" ref="E31:E33" si="35">SUM(D31-D30)</f>
        <v>0</v>
      </c>
      <c r="F31" s="276">
        <f t="shared" ref="F31:F33" si="36">IF(C31&gt;0,E31/C31,0)</f>
        <v>0</v>
      </c>
      <c r="G31" s="323"/>
      <c r="H31" s="260">
        <f t="shared" si="13"/>
        <v>12231</v>
      </c>
      <c r="I31" s="276" t="str">
        <f t="shared" ref="I31:I33" si="37">IF(B31-H31&lt;=0,"ok","oil change")</f>
        <v>ok</v>
      </c>
      <c r="J31" s="502">
        <f t="shared" si="14"/>
        <v>104</v>
      </c>
      <c r="K31" s="276">
        <f t="shared" si="2"/>
        <v>0</v>
      </c>
      <c r="L31" s="503">
        <f t="shared" si="30"/>
        <v>382941</v>
      </c>
      <c r="M31" s="276">
        <f t="shared" si="3"/>
        <v>0</v>
      </c>
      <c r="N31" s="276">
        <v>250</v>
      </c>
      <c r="O31" s="323"/>
      <c r="P31" s="277">
        <f t="shared" si="16"/>
        <v>10873</v>
      </c>
      <c r="Q31" s="276" t="str">
        <f t="shared" ref="Q31:Q33" si="38">IF(J31-P31&lt;=0,"ok","oil change")</f>
        <v>ok</v>
      </c>
      <c r="R31" s="502">
        <f t="shared" si="17"/>
        <v>13908</v>
      </c>
      <c r="S31" s="276">
        <f t="shared" ref="S31:S33" si="39">R31-R30</f>
        <v>0</v>
      </c>
      <c r="T31" s="503">
        <f t="shared" si="31"/>
        <v>416512</v>
      </c>
      <c r="U31" s="276">
        <f t="shared" ref="U31:U33" si="40">V31*S31</f>
        <v>0</v>
      </c>
      <c r="V31" s="276">
        <v>250</v>
      </c>
      <c r="W31" s="323"/>
      <c r="X31" s="260">
        <f t="shared" si="18"/>
        <v>14233</v>
      </c>
      <c r="Y31" s="276" t="str">
        <f t="shared" si="19"/>
        <v>ok</v>
      </c>
      <c r="Z31" s="276">
        <f t="shared" ref="Z31:Z33" si="41">C31+K31+S31</f>
        <v>0</v>
      </c>
      <c r="AA31" s="276">
        <f t="shared" ref="AA31:AA33" si="42">U31+M31+E31</f>
        <v>0</v>
      </c>
      <c r="AB31" s="276">
        <f t="shared" ref="AB31:AB33" si="43">V31+N31+F31</f>
        <v>500</v>
      </c>
      <c r="AC31" s="276">
        <f t="shared" ref="AC31:AC33" si="44">IF(Z31&gt;0,AA31/Z31,0)</f>
        <v>0</v>
      </c>
      <c r="AD31" s="73">
        <f>ELEC!Q32</f>
        <v>0</v>
      </c>
      <c r="AE31" s="73" t="e">
        <f t="shared" ref="AE31:AE33" si="45">SUM(AD31/Z31)</f>
        <v>#DIV/0!</v>
      </c>
      <c r="AF31" s="387" t="e">
        <f t="shared" ref="AF31:AF33" si="46">SUM(AE31/1600)</f>
        <v>#DIV/0!</v>
      </c>
      <c r="AG31" s="387" t="e">
        <f t="shared" ref="AG31:AG33" si="47">SUM(AF31/1600)</f>
        <v>#DIV/0!</v>
      </c>
      <c r="AH31" s="475" t="e">
        <f t="shared" ref="AH31:AH33" si="48">SUM(AC31-AG31)</f>
        <v>#DIV/0!</v>
      </c>
      <c r="AI31" s="73">
        <f t="shared" ref="AI31:AI33" si="49">AD31*AJ31</f>
        <v>0</v>
      </c>
      <c r="AJ31" s="278">
        <f t="shared" si="9"/>
        <v>0.25738396624472576</v>
      </c>
      <c r="AK31" s="278" t="e">
        <f t="shared" ref="AK31:AK33" si="50">AI31/Z31</f>
        <v>#DIV/0!</v>
      </c>
      <c r="AL31">
        <f t="shared" ref="AL31:AL33" si="51">IF(Z31=0,0,1)</f>
        <v>0</v>
      </c>
    </row>
    <row r="32" spans="1:38" ht="15.75" thickBot="1">
      <c r="A32" s="4">
        <f>ELEC!C33</f>
        <v>44742</v>
      </c>
      <c r="B32" s="502">
        <f t="shared" si="25"/>
        <v>305</v>
      </c>
      <c r="C32" s="276">
        <f t="shared" si="34"/>
        <v>0</v>
      </c>
      <c r="D32" s="503">
        <f t="shared" si="26"/>
        <v>697246</v>
      </c>
      <c r="E32" s="276">
        <f t="shared" si="35"/>
        <v>0</v>
      </c>
      <c r="F32" s="276">
        <f t="shared" si="36"/>
        <v>0</v>
      </c>
      <c r="G32" s="323"/>
      <c r="H32" s="260">
        <f t="shared" si="13"/>
        <v>12231</v>
      </c>
      <c r="I32" s="276" t="str">
        <f t="shared" si="37"/>
        <v>ok</v>
      </c>
      <c r="J32" s="502">
        <f t="shared" si="14"/>
        <v>104</v>
      </c>
      <c r="K32" s="276">
        <f t="shared" si="2"/>
        <v>0</v>
      </c>
      <c r="L32" s="503">
        <f t="shared" si="30"/>
        <v>382941</v>
      </c>
      <c r="M32" s="276">
        <f t="shared" si="3"/>
        <v>0</v>
      </c>
      <c r="N32" s="276">
        <v>250</v>
      </c>
      <c r="O32" s="323"/>
      <c r="P32" s="277">
        <f t="shared" si="16"/>
        <v>10873</v>
      </c>
      <c r="Q32" s="276" t="str">
        <f t="shared" si="38"/>
        <v>ok</v>
      </c>
      <c r="R32" s="502">
        <f t="shared" si="17"/>
        <v>13908</v>
      </c>
      <c r="S32" s="276">
        <f t="shared" si="39"/>
        <v>0</v>
      </c>
      <c r="T32" s="503">
        <f t="shared" si="31"/>
        <v>416512</v>
      </c>
      <c r="U32" s="276">
        <f t="shared" si="40"/>
        <v>0</v>
      </c>
      <c r="V32" s="276">
        <v>250</v>
      </c>
      <c r="W32" s="323"/>
      <c r="X32" s="260">
        <f t="shared" si="18"/>
        <v>14233</v>
      </c>
      <c r="Y32" s="276" t="str">
        <f t="shared" si="19"/>
        <v>ok</v>
      </c>
      <c r="Z32" s="276">
        <f t="shared" si="41"/>
        <v>0</v>
      </c>
      <c r="AA32" s="276">
        <f t="shared" si="42"/>
        <v>0</v>
      </c>
      <c r="AB32" s="276">
        <f t="shared" si="43"/>
        <v>500</v>
      </c>
      <c r="AC32" s="276">
        <f t="shared" si="44"/>
        <v>0</v>
      </c>
      <c r="AD32" s="73">
        <f>ELEC!Q33</f>
        <v>0</v>
      </c>
      <c r="AE32" s="73" t="e">
        <f t="shared" si="45"/>
        <v>#DIV/0!</v>
      </c>
      <c r="AF32" s="387" t="e">
        <f t="shared" si="46"/>
        <v>#DIV/0!</v>
      </c>
      <c r="AG32" s="387" t="e">
        <f t="shared" si="47"/>
        <v>#DIV/0!</v>
      </c>
      <c r="AH32" s="475" t="e">
        <f t="shared" si="48"/>
        <v>#DIV/0!</v>
      </c>
      <c r="AI32" s="73">
        <f t="shared" si="49"/>
        <v>0</v>
      </c>
      <c r="AJ32" s="278">
        <f t="shared" si="9"/>
        <v>0.25738396624472576</v>
      </c>
      <c r="AK32" s="278" t="e">
        <f t="shared" si="50"/>
        <v>#DIV/0!</v>
      </c>
      <c r="AL32">
        <f t="shared" si="51"/>
        <v>0</v>
      </c>
    </row>
    <row r="33" spans="1:38">
      <c r="A33" s="4">
        <f>ELEC!C34</f>
        <v>44743</v>
      </c>
      <c r="B33" s="502">
        <f t="shared" si="25"/>
        <v>305</v>
      </c>
      <c r="C33" s="276">
        <f t="shared" si="34"/>
        <v>0</v>
      </c>
      <c r="D33" s="503">
        <f t="shared" si="26"/>
        <v>697246</v>
      </c>
      <c r="E33" s="276">
        <f t="shared" si="35"/>
        <v>0</v>
      </c>
      <c r="F33" s="276">
        <f t="shared" si="36"/>
        <v>0</v>
      </c>
      <c r="G33" s="323"/>
      <c r="H33" s="260">
        <f t="shared" si="13"/>
        <v>12231</v>
      </c>
      <c r="I33" s="276" t="str">
        <f t="shared" si="37"/>
        <v>ok</v>
      </c>
      <c r="J33" s="502">
        <f t="shared" si="14"/>
        <v>104</v>
      </c>
      <c r="K33" s="276">
        <f t="shared" si="2"/>
        <v>0</v>
      </c>
      <c r="L33" s="503">
        <f t="shared" si="30"/>
        <v>382941</v>
      </c>
      <c r="M33" s="276">
        <f t="shared" si="3"/>
        <v>0</v>
      </c>
      <c r="N33" s="276">
        <v>250</v>
      </c>
      <c r="O33" s="323"/>
      <c r="P33" s="277">
        <f t="shared" si="16"/>
        <v>10873</v>
      </c>
      <c r="Q33" s="276" t="str">
        <f t="shared" si="38"/>
        <v>ok</v>
      </c>
      <c r="R33" s="502">
        <f t="shared" si="17"/>
        <v>13908</v>
      </c>
      <c r="S33" s="276">
        <f t="shared" si="39"/>
        <v>0</v>
      </c>
      <c r="T33" s="503">
        <f t="shared" si="31"/>
        <v>416512</v>
      </c>
      <c r="U33" s="276">
        <f t="shared" si="40"/>
        <v>0</v>
      </c>
      <c r="V33" s="276">
        <v>250</v>
      </c>
      <c r="W33" s="323"/>
      <c r="X33" s="260">
        <f t="shared" si="18"/>
        <v>14233</v>
      </c>
      <c r="Y33" s="276" t="str">
        <f t="shared" si="19"/>
        <v>ok</v>
      </c>
      <c r="Z33" s="276">
        <f t="shared" si="41"/>
        <v>0</v>
      </c>
      <c r="AA33" s="276">
        <f t="shared" si="42"/>
        <v>0</v>
      </c>
      <c r="AB33" s="276">
        <f t="shared" si="43"/>
        <v>500</v>
      </c>
      <c r="AC33" s="276">
        <f t="shared" si="44"/>
        <v>0</v>
      </c>
      <c r="AD33" s="73">
        <f>ELEC!Q34</f>
        <v>0</v>
      </c>
      <c r="AE33" s="73" t="e">
        <f t="shared" si="45"/>
        <v>#DIV/0!</v>
      </c>
      <c r="AF33" s="387" t="e">
        <f t="shared" si="46"/>
        <v>#DIV/0!</v>
      </c>
      <c r="AG33" s="387" t="e">
        <f t="shared" si="47"/>
        <v>#DIV/0!</v>
      </c>
      <c r="AH33" s="475" t="e">
        <f t="shared" si="48"/>
        <v>#DIV/0!</v>
      </c>
      <c r="AI33" s="73">
        <f t="shared" si="49"/>
        <v>0</v>
      </c>
      <c r="AJ33" s="278">
        <f t="shared" si="9"/>
        <v>0.25738396624472576</v>
      </c>
      <c r="AK33" s="278" t="e">
        <f t="shared" si="50"/>
        <v>#DIV/0!</v>
      </c>
      <c r="AL33">
        <f t="shared" si="51"/>
        <v>0</v>
      </c>
    </row>
    <row r="34" spans="1:38">
      <c r="H34" s="39"/>
      <c r="I34" s="257"/>
      <c r="M34" s="39"/>
      <c r="N34" s="39"/>
      <c r="O34" s="39"/>
      <c r="P34" s="82">
        <f>+O34/3</f>
        <v>0</v>
      </c>
      <c r="S34" s="39"/>
      <c r="T34" s="39"/>
      <c r="U34" s="40">
        <f>SUM(C35:S35)</f>
        <v>104</v>
      </c>
      <c r="V34" s="40"/>
      <c r="X34">
        <v>341</v>
      </c>
      <c r="Z34" s="404">
        <f>SUM(Z3:Z33)</f>
        <v>104</v>
      </c>
      <c r="AF34" s="387">
        <f>SUM(AE34/1600)</f>
        <v>0</v>
      </c>
      <c r="AL34">
        <f>SUM(AL3:AL33)</f>
        <v>11</v>
      </c>
    </row>
    <row r="35" spans="1:38">
      <c r="C35" s="40">
        <f>SUM(C3:C33)</f>
        <v>102</v>
      </c>
      <c r="K35" s="40">
        <f>SUM(K3:K33)</f>
        <v>1</v>
      </c>
      <c r="S35" s="40">
        <f>SUM(S3:S33)</f>
        <v>1</v>
      </c>
      <c r="U35" s="40"/>
      <c r="V35" s="40"/>
      <c r="X35" s="40"/>
    </row>
    <row r="38" spans="1:38">
      <c r="T38">
        <v>14</v>
      </c>
    </row>
    <row r="39" spans="1:38">
      <c r="T39">
        <v>10</v>
      </c>
    </row>
    <row r="40" spans="1:38" ht="15.75" thickBot="1">
      <c r="D40" s="260">
        <v>193</v>
      </c>
      <c r="T40">
        <v>10</v>
      </c>
    </row>
    <row r="41" spans="1:38" ht="15.75" thickBot="1">
      <c r="D41" s="502">
        <f>193+10</f>
        <v>203</v>
      </c>
      <c r="T41">
        <v>0</v>
      </c>
    </row>
    <row r="42" spans="1:38" ht="15.75" thickBot="1">
      <c r="D42" s="502">
        <f>203+10</f>
        <v>213</v>
      </c>
      <c r="I42">
        <f>266-79</f>
        <v>187</v>
      </c>
      <c r="T42">
        <v>0</v>
      </c>
    </row>
    <row r="43" spans="1:38" ht="15.75" thickBot="1">
      <c r="B43">
        <f>187+6</f>
        <v>193</v>
      </c>
      <c r="D43" s="502">
        <f t="shared" ref="D43:D44" si="52">D42</f>
        <v>213</v>
      </c>
      <c r="T43">
        <v>8</v>
      </c>
    </row>
    <row r="44" spans="1:38" ht="15.75" thickBot="1">
      <c r="D44" s="502">
        <f t="shared" si="52"/>
        <v>213</v>
      </c>
      <c r="T44">
        <v>9</v>
      </c>
    </row>
    <row r="45" spans="1:38" ht="15.75" thickBot="1">
      <c r="D45" s="502">
        <f>213+8</f>
        <v>221</v>
      </c>
      <c r="T45">
        <v>10</v>
      </c>
    </row>
    <row r="46" spans="1:38" ht="15.75" thickBot="1">
      <c r="D46" s="502">
        <f>221+9</f>
        <v>230</v>
      </c>
      <c r="T46">
        <v>9</v>
      </c>
    </row>
    <row r="47" spans="1:38" ht="15.75" thickBot="1">
      <c r="D47" s="502">
        <f>230+10</f>
        <v>240</v>
      </c>
      <c r="T47">
        <v>9</v>
      </c>
    </row>
    <row r="48" spans="1:38" ht="15.75" thickBot="1">
      <c r="D48" s="502">
        <f>240+9</f>
        <v>249</v>
      </c>
    </row>
    <row r="49" spans="4:4" ht="15.75" thickBot="1">
      <c r="D49" s="502">
        <f>249+9</f>
        <v>258</v>
      </c>
    </row>
    <row r="50" spans="4:4">
      <c r="D50" s="502">
        <v>266</v>
      </c>
    </row>
  </sheetData>
  <conditionalFormatting sqref="Z3:Z33 C3:C33 S3:S33 K3:K33">
    <cfRule type="cellIs" dxfId="5" priority="11" stopIfTrue="1" operator="equal">
      <formula>0</formula>
    </cfRule>
  </conditionalFormatting>
  <conditionalFormatting sqref="AA3:AB33">
    <cfRule type="cellIs" dxfId="4" priority="4" stopIfTrue="1" operator="lessThan">
      <formula>0</formula>
    </cfRule>
  </conditionalFormatting>
  <pageMargins left="0.7" right="0.7" top="0.75" bottom="0.75" header="0.3" footer="0.3"/>
  <pageSetup orientation="portrait" r:id="rId1"/>
  <drawing r:id="rId2"/>
  <legacyDrawing r:id="rId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L46"/>
  <sheetViews>
    <sheetView zoomScale="85" zoomScaleNormal="85" workbookViewId="0">
      <pane xSplit="1" topLeftCell="AI1" activePane="topRight" state="frozen"/>
      <selection pane="topRight" activeCell="AU19" sqref="AU19"/>
    </sheetView>
  </sheetViews>
  <sheetFormatPr defaultRowHeight="15"/>
  <cols>
    <col min="1" max="1" width="30" customWidth="1"/>
    <col min="8" max="8" width="7" bestFit="1" customWidth="1"/>
    <col min="9" max="9" width="8.7109375" bestFit="1" customWidth="1"/>
    <col min="10" max="10" width="6.7109375" bestFit="1" customWidth="1"/>
    <col min="11" max="11" width="8.7109375" bestFit="1" customWidth="1"/>
    <col min="12" max="12" width="6.7109375" bestFit="1" customWidth="1"/>
    <col min="13" max="13" width="8.7109375" bestFit="1" customWidth="1"/>
    <col min="14" max="14" width="6.7109375" bestFit="1" customWidth="1"/>
    <col min="15" max="15" width="8.7109375" bestFit="1" customWidth="1"/>
    <col min="16" max="16" width="6.7109375" bestFit="1" customWidth="1"/>
    <col min="17" max="17" width="8.7109375" bestFit="1" customWidth="1"/>
    <col min="18" max="18" width="6.7109375" bestFit="1" customWidth="1"/>
    <col min="19" max="19" width="8.7109375" bestFit="1" customWidth="1"/>
    <col min="20" max="20" width="7.7109375" bestFit="1" customWidth="1"/>
    <col min="21" max="21" width="8.7109375" bestFit="1" customWidth="1"/>
    <col min="22" max="22" width="7.7109375" bestFit="1" customWidth="1"/>
    <col min="23" max="23" width="8.7109375" bestFit="1" customWidth="1"/>
    <col min="24" max="24" width="4.7109375" style="417" bestFit="1" customWidth="1"/>
    <col min="25" max="25" width="10" bestFit="1" customWidth="1"/>
    <col min="26" max="26" width="6.7109375" bestFit="1" customWidth="1"/>
    <col min="27" max="27" width="8.7109375" bestFit="1" customWidth="1"/>
    <col min="28" max="28" width="6.7109375" bestFit="1" customWidth="1"/>
    <col min="29" max="29" width="8.7109375" bestFit="1" customWidth="1"/>
    <col min="30" max="30" width="6.7109375" bestFit="1" customWidth="1"/>
    <col min="31" max="31" width="8.7109375" bestFit="1" customWidth="1"/>
    <col min="32" max="32" width="6.7109375" bestFit="1" customWidth="1"/>
    <col min="33" max="33" width="8.7109375" bestFit="1" customWidth="1"/>
    <col min="34" max="34" width="7" bestFit="1" customWidth="1"/>
    <col min="35" max="35" width="7.28515625" bestFit="1" customWidth="1"/>
    <col min="36" max="36" width="7" bestFit="1" customWidth="1"/>
    <col min="37" max="37" width="7.28515625" bestFit="1" customWidth="1"/>
    <col min="38" max="38" width="7" bestFit="1" customWidth="1"/>
    <col min="39" max="39" width="8.7109375" customWidth="1"/>
    <col min="40" max="40" width="4.7109375" style="472" bestFit="1" customWidth="1"/>
    <col min="41" max="41" width="8.28515625" customWidth="1"/>
    <col min="42" max="42" width="7" style="22" customWidth="1"/>
    <col min="43" max="43" width="10.7109375" bestFit="1" customWidth="1"/>
    <col min="44" max="44" width="11.5703125" bestFit="1" customWidth="1"/>
    <col min="45" max="45" width="12.42578125" style="165" customWidth="1"/>
    <col min="46" max="46" width="12.28515625" bestFit="1" customWidth="1"/>
    <col min="47" max="47" width="11.28515625" bestFit="1" customWidth="1"/>
    <col min="48" max="48" width="9.28515625" style="290" customWidth="1"/>
    <col min="49" max="49" width="14.28515625" bestFit="1" customWidth="1"/>
    <col min="50" max="50" width="10.42578125" bestFit="1" customWidth="1"/>
    <col min="51" max="51" width="10.42578125" customWidth="1"/>
    <col min="52" max="52" width="10.5703125" bestFit="1" customWidth="1"/>
    <col min="53" max="53" width="9.7109375" bestFit="1" customWidth="1"/>
    <col min="54" max="54" width="13.28515625" customWidth="1"/>
    <col min="55" max="56" width="9.28515625" hidden="1" customWidth="1"/>
    <col min="57" max="57" width="11.42578125" hidden="1" customWidth="1"/>
    <col min="58" max="58" width="8.7109375" hidden="1" customWidth="1"/>
    <col min="59" max="59" width="10.42578125" hidden="1" customWidth="1"/>
    <col min="60" max="60" width="0.28515625" customWidth="1"/>
    <col min="63" max="63" width="27.5703125" customWidth="1"/>
  </cols>
  <sheetData>
    <row r="1" spans="1:63"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224"/>
      <c r="Y1" s="7"/>
      <c r="Z1" s="8"/>
      <c r="AA1" s="8"/>
      <c r="AB1" s="8"/>
      <c r="AC1" s="8"/>
      <c r="AD1" s="8"/>
      <c r="AE1" s="8"/>
      <c r="AF1" s="8"/>
      <c r="AG1" s="8"/>
      <c r="AH1" s="8"/>
      <c r="AI1" s="8"/>
      <c r="AJ1" s="8"/>
      <c r="AK1" s="8"/>
      <c r="AL1" s="8"/>
      <c r="AM1" s="8"/>
      <c r="AN1" s="471"/>
      <c r="AO1" s="8"/>
      <c r="AP1" s="29"/>
    </row>
    <row r="2" spans="1:63">
      <c r="B2" s="7" t="s">
        <v>60</v>
      </c>
      <c r="C2" s="7"/>
      <c r="D2" s="7" t="s">
        <v>61</v>
      </c>
      <c r="E2" s="7"/>
      <c r="F2" s="7" t="s">
        <v>62</v>
      </c>
      <c r="G2" s="7"/>
      <c r="H2" s="7" t="s">
        <v>63</v>
      </c>
      <c r="I2" s="7"/>
      <c r="J2" s="7" t="s">
        <v>64</v>
      </c>
      <c r="K2" s="7"/>
      <c r="L2" s="7" t="s">
        <v>65</v>
      </c>
      <c r="M2" s="7"/>
      <c r="N2" s="7" t="s">
        <v>66</v>
      </c>
      <c r="O2" s="7"/>
      <c r="P2" s="7" t="s">
        <v>67</v>
      </c>
      <c r="Q2" s="7"/>
      <c r="R2" s="7" t="s">
        <v>68</v>
      </c>
      <c r="T2" s="7" t="s">
        <v>69</v>
      </c>
      <c r="V2" s="7" t="s">
        <v>70</v>
      </c>
      <c r="W2" s="7"/>
      <c r="X2" s="224"/>
      <c r="Y2" s="7"/>
      <c r="Z2" s="8" t="s">
        <v>60</v>
      </c>
      <c r="AA2" s="8"/>
      <c r="AB2" s="8" t="s">
        <v>61</v>
      </c>
      <c r="AC2" s="8"/>
      <c r="AD2" s="8" t="s">
        <v>62</v>
      </c>
      <c r="AE2" s="8"/>
      <c r="AF2" s="8" t="s">
        <v>63</v>
      </c>
      <c r="AG2" s="8"/>
      <c r="AH2" s="8" t="s">
        <v>64</v>
      </c>
      <c r="AI2" s="8"/>
      <c r="AJ2" s="8" t="s">
        <v>65</v>
      </c>
      <c r="AK2" s="8"/>
      <c r="AL2" s="8" t="s">
        <v>66</v>
      </c>
      <c r="AM2" s="8"/>
      <c r="AN2" s="471"/>
      <c r="AO2" s="8"/>
      <c r="AP2" s="30"/>
    </row>
    <row r="3" spans="1:63">
      <c r="B3" s="7">
        <v>6670</v>
      </c>
      <c r="C3" s="7"/>
      <c r="D3" s="7">
        <f>SUM(B3)</f>
        <v>6670</v>
      </c>
      <c r="E3" s="7"/>
      <c r="F3" s="7">
        <f>SUM(D3)</f>
        <v>6670</v>
      </c>
      <c r="G3" s="7"/>
      <c r="H3" s="7">
        <f>SUM(F3)</f>
        <v>6670</v>
      </c>
      <c r="I3" s="7"/>
      <c r="J3" s="7">
        <f>SUM(H3)</f>
        <v>6670</v>
      </c>
      <c r="K3" s="7"/>
      <c r="L3" s="7">
        <f>SUM(J3)</f>
        <v>6670</v>
      </c>
      <c r="M3" s="7"/>
      <c r="N3" s="7">
        <f>SUM(L3)</f>
        <v>6670</v>
      </c>
      <c r="O3" s="7"/>
      <c r="P3" s="7">
        <f>SUM(N3)</f>
        <v>6670</v>
      </c>
      <c r="Q3" s="7"/>
      <c r="R3" s="7">
        <f>SUM(P3)</f>
        <v>6670</v>
      </c>
      <c r="S3" s="7"/>
      <c r="T3" s="7">
        <f>SUM(R3)</f>
        <v>6670</v>
      </c>
      <c r="U3" s="7"/>
      <c r="V3" s="7">
        <f>SUM(T3)</f>
        <v>6670</v>
      </c>
      <c r="W3" s="33">
        <f>SUM(B3:V3)</f>
        <v>73370</v>
      </c>
      <c r="X3" s="34"/>
      <c r="Y3" s="7"/>
      <c r="Z3" s="8">
        <v>2800</v>
      </c>
      <c r="AA3" s="8"/>
      <c r="AB3" s="8">
        <v>2800</v>
      </c>
      <c r="AC3" s="8"/>
      <c r="AD3" s="8">
        <v>2800</v>
      </c>
      <c r="AE3" s="8"/>
      <c r="AF3" s="8">
        <v>2800</v>
      </c>
      <c r="AG3" s="8"/>
      <c r="AH3" s="8">
        <v>2800</v>
      </c>
      <c r="AI3" s="8"/>
      <c r="AJ3" s="8">
        <v>2800</v>
      </c>
      <c r="AK3" s="8"/>
      <c r="AL3" s="8">
        <v>2800</v>
      </c>
      <c r="AM3" s="31">
        <f>SUM(Z3:AL3)</f>
        <v>19600</v>
      </c>
      <c r="AN3" s="32"/>
      <c r="AO3" s="8">
        <f>SUM(AM3+W3)</f>
        <v>92970</v>
      </c>
      <c r="AP3" s="30"/>
      <c r="AQ3" s="28"/>
      <c r="AR3" s="633" t="s">
        <v>108</v>
      </c>
      <c r="AS3" s="633" t="s">
        <v>231</v>
      </c>
      <c r="AT3" s="631" t="s">
        <v>299</v>
      </c>
      <c r="AU3" s="632"/>
      <c r="AV3" s="291"/>
      <c r="AW3" s="3"/>
      <c r="AX3" s="3"/>
      <c r="AY3" s="3"/>
      <c r="AZ3" s="3"/>
      <c r="BA3" s="3"/>
      <c r="BB3" s="3"/>
      <c r="BC3" s="3"/>
      <c r="BD3" s="3"/>
      <c r="BE3" s="13" t="s">
        <v>72</v>
      </c>
      <c r="BF3" s="13" t="s">
        <v>73</v>
      </c>
      <c r="BG3" s="13" t="s">
        <v>74</v>
      </c>
      <c r="BH3" s="12" t="s">
        <v>76</v>
      </c>
    </row>
    <row r="4" spans="1:63" ht="30">
      <c r="B4" s="7">
        <f>B3/310</f>
        <v>21.516129032258064</v>
      </c>
      <c r="C4" s="7"/>
      <c r="D4" s="7">
        <f>SUM(B4)</f>
        <v>21.516129032258064</v>
      </c>
      <c r="E4" s="7"/>
      <c r="F4" s="7">
        <f>SUM(D4)</f>
        <v>21.516129032258064</v>
      </c>
      <c r="G4" s="7"/>
      <c r="H4" s="7">
        <f>SUM(F4)</f>
        <v>21.516129032258064</v>
      </c>
      <c r="I4" s="7"/>
      <c r="J4" s="7">
        <f>SUM(H4)</f>
        <v>21.516129032258064</v>
      </c>
      <c r="K4" s="7"/>
      <c r="L4" s="7">
        <f>SUM(J4)</f>
        <v>21.516129032258064</v>
      </c>
      <c r="M4" s="7"/>
      <c r="N4" s="7">
        <f>SUM(L4)</f>
        <v>21.516129032258064</v>
      </c>
      <c r="O4" s="7"/>
      <c r="P4" s="7">
        <f>SUM(N4)</f>
        <v>21.516129032258064</v>
      </c>
      <c r="Q4" s="7"/>
      <c r="R4" s="7">
        <f>SUM(P4)</f>
        <v>21.516129032258064</v>
      </c>
      <c r="S4" s="7"/>
      <c r="T4" s="7">
        <f>SUM(R4)</f>
        <v>21.516129032258064</v>
      </c>
      <c r="U4" s="7"/>
      <c r="V4" s="7">
        <f>SUM(T4)</f>
        <v>21.516129032258064</v>
      </c>
      <c r="W4" s="34"/>
      <c r="X4" s="34"/>
      <c r="Y4" s="7"/>
      <c r="Z4" s="8">
        <f>Z3/280</f>
        <v>10</v>
      </c>
      <c r="AA4" s="8">
        <f t="shared" ref="AA4:AL4" si="0">AA3/280</f>
        <v>0</v>
      </c>
      <c r="AB4" s="8">
        <f t="shared" si="0"/>
        <v>10</v>
      </c>
      <c r="AC4" s="8">
        <f t="shared" si="0"/>
        <v>0</v>
      </c>
      <c r="AD4" s="8">
        <f t="shared" si="0"/>
        <v>10</v>
      </c>
      <c r="AE4" s="8">
        <f t="shared" si="0"/>
        <v>0</v>
      </c>
      <c r="AF4" s="8">
        <f t="shared" si="0"/>
        <v>10</v>
      </c>
      <c r="AG4" s="8">
        <f t="shared" si="0"/>
        <v>0</v>
      </c>
      <c r="AH4" s="8">
        <f t="shared" si="0"/>
        <v>10</v>
      </c>
      <c r="AI4" s="8">
        <f t="shared" si="0"/>
        <v>0</v>
      </c>
      <c r="AJ4" s="8">
        <f t="shared" si="0"/>
        <v>10</v>
      </c>
      <c r="AK4" s="8">
        <f t="shared" si="0"/>
        <v>0</v>
      </c>
      <c r="AL4" s="8">
        <f t="shared" si="0"/>
        <v>10</v>
      </c>
      <c r="AM4" s="32"/>
      <c r="AN4" s="32"/>
      <c r="AO4" s="8"/>
      <c r="AP4" s="30"/>
      <c r="AQ4" s="28"/>
      <c r="AR4" s="634"/>
      <c r="AS4" s="634"/>
      <c r="AT4" s="3" t="s">
        <v>71</v>
      </c>
      <c r="AU4" s="3" t="s">
        <v>219</v>
      </c>
      <c r="AV4" s="292"/>
      <c r="AW4" s="3" t="s">
        <v>109</v>
      </c>
      <c r="AX4" s="3" t="s">
        <v>110</v>
      </c>
      <c r="AY4" s="3"/>
      <c r="AZ4" s="97" t="s">
        <v>148</v>
      </c>
      <c r="BA4" s="97" t="s">
        <v>153</v>
      </c>
      <c r="BB4" s="97" t="s">
        <v>154</v>
      </c>
      <c r="BC4" s="3"/>
      <c r="BD4" s="3"/>
      <c r="BE4" s="13"/>
      <c r="BF4" s="13"/>
      <c r="BG4" s="13"/>
      <c r="BH4" s="11"/>
    </row>
    <row r="5" spans="1:63">
      <c r="A5" s="425">
        <f>[2]tanks!$A$36</f>
        <v>44712</v>
      </c>
      <c r="B5" s="499">
        <f>[2]tanks!B36</f>
        <v>240</v>
      </c>
      <c r="C5" s="499">
        <f>[2]tanks!C36</f>
        <v>5163.8709677419356</v>
      </c>
      <c r="D5" s="499">
        <f>[2]tanks!D36</f>
        <v>240</v>
      </c>
      <c r="E5" s="499">
        <f>[2]tanks!E36</f>
        <v>5163.8709677419356</v>
      </c>
      <c r="F5" s="499">
        <f>[2]tanks!F36</f>
        <v>240</v>
      </c>
      <c r="G5" s="499">
        <f>[2]tanks!G36</f>
        <v>5163.8709677419356</v>
      </c>
      <c r="H5" s="499">
        <f>[2]tanks!H36</f>
        <v>240</v>
      </c>
      <c r="I5" s="499">
        <f>[2]tanks!I36</f>
        <v>5163.8709677419356</v>
      </c>
      <c r="J5" s="499">
        <f>[2]tanks!J36</f>
        <v>240</v>
      </c>
      <c r="K5" s="499">
        <f>[2]tanks!K36</f>
        <v>5163.8709677419356</v>
      </c>
      <c r="L5" s="499">
        <f>[2]tanks!L36</f>
        <v>240</v>
      </c>
      <c r="M5" s="499">
        <f>[2]tanks!M36</f>
        <v>5163.8709677419356</v>
      </c>
      <c r="N5" s="499">
        <f>[2]tanks!N36</f>
        <v>240</v>
      </c>
      <c r="O5" s="499">
        <f>[2]tanks!O36</f>
        <v>5163.8709677419356</v>
      </c>
      <c r="P5" s="499">
        <f>[2]tanks!P36</f>
        <v>240</v>
      </c>
      <c r="Q5" s="499">
        <f>[2]tanks!Q36</f>
        <v>5163.8709677419356</v>
      </c>
      <c r="R5" s="499">
        <f>[2]tanks!R36</f>
        <v>240</v>
      </c>
      <c r="S5" s="499">
        <f>[2]tanks!S36</f>
        <v>5163.8709677419356</v>
      </c>
      <c r="T5" s="499">
        <f>[2]tanks!T36</f>
        <v>240</v>
      </c>
      <c r="U5" s="499">
        <f>[2]tanks!U36</f>
        <v>5163.8709677419356</v>
      </c>
      <c r="V5" s="499">
        <f>[2]tanks!V36</f>
        <v>240</v>
      </c>
      <c r="W5" s="499">
        <f>[2]tanks!W36</f>
        <v>5163.8709677419356</v>
      </c>
      <c r="X5" s="476">
        <f>[2]tanks!X36</f>
        <v>0.77419354838709697</v>
      </c>
      <c r="Y5" s="499">
        <f>[2]tanks!Y36</f>
        <v>56802.580645161303</v>
      </c>
      <c r="Z5" s="499">
        <f>[2]tanks!Z36</f>
        <v>247</v>
      </c>
      <c r="AA5" s="499">
        <f>[2]tanks!AA36</f>
        <v>2470</v>
      </c>
      <c r="AB5" s="499">
        <f>[2]tanks!AB36</f>
        <v>247</v>
      </c>
      <c r="AC5" s="499">
        <f>[2]tanks!AC36</f>
        <v>2470</v>
      </c>
      <c r="AD5" s="499">
        <f>[2]tanks!AD36</f>
        <v>247</v>
      </c>
      <c r="AE5" s="499">
        <f>[2]tanks!AE36</f>
        <v>2470</v>
      </c>
      <c r="AF5" s="499">
        <f>[2]tanks!AF36</f>
        <v>247</v>
      </c>
      <c r="AG5" s="499">
        <f>[2]tanks!AG36</f>
        <v>2470</v>
      </c>
      <c r="AH5" s="499">
        <f>[2]tanks!AH36</f>
        <v>247</v>
      </c>
      <c r="AI5" s="499">
        <f>[2]tanks!AI36</f>
        <v>2470</v>
      </c>
      <c r="AJ5" s="499">
        <f>[2]tanks!AJ36</f>
        <v>247</v>
      </c>
      <c r="AK5" s="499">
        <f>[2]tanks!AK36</f>
        <v>2470</v>
      </c>
      <c r="AL5" s="499">
        <f>[2]tanks!AL36</f>
        <v>247</v>
      </c>
      <c r="AM5" s="499">
        <f>[2]tanks!AM36</f>
        <v>2470</v>
      </c>
      <c r="AN5" s="476">
        <f>[2]tanks!AN36</f>
        <v>0.88214285714285712</v>
      </c>
      <c r="AO5" s="499">
        <f>[2]tanks!AO36</f>
        <v>17290</v>
      </c>
      <c r="AP5" s="499"/>
      <c r="AQ5" s="476">
        <f>[2]tanks!$AQ$36</f>
        <v>0.79695149666732601</v>
      </c>
      <c r="AR5" s="610">
        <f>[2]tanks!AR36</f>
        <v>74092.580645161303</v>
      </c>
      <c r="AS5" s="610">
        <f>[2]tanks!AS36</f>
        <v>-1770.0645161290304</v>
      </c>
      <c r="AT5" s="610">
        <f>[2]tanks!AT36</f>
        <v>0</v>
      </c>
      <c r="AU5" s="610">
        <f>[2]tanks!AU36</f>
        <v>0</v>
      </c>
      <c r="AV5" s="610">
        <f>[2]tanks!AV36</f>
        <v>1.04</v>
      </c>
      <c r="AW5" s="610">
        <f>[2]tanks!AW36</f>
        <v>-118</v>
      </c>
      <c r="AX5" s="610">
        <f>[2]tanks!AX36</f>
        <v>-1652.0645161290304</v>
      </c>
      <c r="AY5" s="610">
        <f>[2]tanks!AY36</f>
        <v>-1770.0645161290304</v>
      </c>
      <c r="AZ5" s="476">
        <f>[2]tanks!AZ36</f>
        <v>0</v>
      </c>
      <c r="BA5" s="610">
        <f>[2]tanks!BA36</f>
        <v>24</v>
      </c>
      <c r="BB5" s="476">
        <f>[2]tanks!BB36</f>
        <v>0.77</v>
      </c>
      <c r="BC5" s="610">
        <f>[2]tanks!BC36</f>
        <v>0</v>
      </c>
      <c r="BD5" s="610">
        <f>[2]tanks!BD36</f>
        <v>19225</v>
      </c>
      <c r="BE5" s="610" t="e">
        <f>[2]tanks!BE36</f>
        <v>#REF!</v>
      </c>
      <c r="BF5" s="610">
        <f>[2]tanks!BF36</f>
        <v>0</v>
      </c>
      <c r="BG5" s="610" t="e">
        <f>[2]tanks!BG36</f>
        <v>#REF!</v>
      </c>
      <c r="BH5" s="610">
        <f>[2]tanks!BH36</f>
        <v>0</v>
      </c>
      <c r="BI5" s="571">
        <f>[5]tanks!BI36</f>
        <v>23</v>
      </c>
    </row>
    <row r="6" spans="1:63">
      <c r="A6" s="425">
        <f>ELEC!C4</f>
        <v>44713</v>
      </c>
      <c r="B6" s="499">
        <f>'B5'!B5</f>
        <v>237</v>
      </c>
      <c r="C6" s="203">
        <f>B6*$B$4</f>
        <v>5099.322580645161</v>
      </c>
      <c r="D6">
        <f>SUM(B6)</f>
        <v>237</v>
      </c>
      <c r="E6" s="203">
        <f>D6*$B$4</f>
        <v>5099.322580645161</v>
      </c>
      <c r="F6">
        <f>SUM(D6)</f>
        <v>237</v>
      </c>
      <c r="G6" s="203">
        <f t="shared" ref="G6:G33" si="1">F6*$B$4</f>
        <v>5099.322580645161</v>
      </c>
      <c r="H6" s="203">
        <f>SUM(F6)</f>
        <v>237</v>
      </c>
      <c r="I6" s="203">
        <f t="shared" ref="I6:I33" si="2">H6*$B$4</f>
        <v>5099.322580645161</v>
      </c>
      <c r="J6" s="203">
        <f>SUM(H6)</f>
        <v>237</v>
      </c>
      <c r="K6" s="203">
        <f t="shared" ref="K6:K33" si="3">J6*$B$4</f>
        <v>5099.322580645161</v>
      </c>
      <c r="L6" s="203">
        <f>SUM(J6)</f>
        <v>237</v>
      </c>
      <c r="M6" s="203">
        <f t="shared" ref="M6:M33" si="4">L6*$B$4</f>
        <v>5099.322580645161</v>
      </c>
      <c r="N6" s="203">
        <f>SUM(L6)</f>
        <v>237</v>
      </c>
      <c r="O6" s="203">
        <f t="shared" ref="O6:O33" si="5">N6*$B$4</f>
        <v>5099.322580645161</v>
      </c>
      <c r="P6" s="203">
        <f>SUM(N6)</f>
        <v>237</v>
      </c>
      <c r="Q6" s="203">
        <f t="shared" ref="Q6:Q33" si="6">P6*$B$4</f>
        <v>5099.322580645161</v>
      </c>
      <c r="R6" s="203">
        <f>SUM(P6)</f>
        <v>237</v>
      </c>
      <c r="S6" s="203">
        <f t="shared" ref="S6:S33" si="7">R6*$B$4</f>
        <v>5099.322580645161</v>
      </c>
      <c r="T6" s="203">
        <f>SUM(R6)</f>
        <v>237</v>
      </c>
      <c r="U6" s="203">
        <f t="shared" ref="U6:U33" si="8">T6*$B$4</f>
        <v>5099.322580645161</v>
      </c>
      <c r="V6" s="203">
        <f>SUM(T6)</f>
        <v>237</v>
      </c>
      <c r="W6" s="203">
        <f t="shared" ref="W6:W33" si="9">V6*$B$4</f>
        <v>5099.322580645161</v>
      </c>
      <c r="X6" s="35">
        <f t="shared" ref="X6:X29" si="10">SUM(Y6/73370)</f>
        <v>0.76451612903225785</v>
      </c>
      <c r="Y6" s="36">
        <f>SUM(C6+E6+G6+I6+K6+M6+O6+Q6+S6+U6+W6)</f>
        <v>56092.548387096758</v>
      </c>
      <c r="Z6" s="203">
        <f>'B5'!C5</f>
        <v>242</v>
      </c>
      <c r="AA6" s="203">
        <f>SUM(Z6*$Z$4)</f>
        <v>2420</v>
      </c>
      <c r="AB6" s="203">
        <f>SUM(Z6)</f>
        <v>242</v>
      </c>
      <c r="AC6" s="203">
        <f>SUM(AB6*$Z$4)</f>
        <v>2420</v>
      </c>
      <c r="AD6" s="203">
        <f>SUM(AB6)</f>
        <v>242</v>
      </c>
      <c r="AE6" s="203">
        <f t="shared" ref="AE6:AE33" si="11">SUM(AD6*$Z$4)</f>
        <v>2420</v>
      </c>
      <c r="AF6" s="203">
        <f>SUM(AD6)</f>
        <v>242</v>
      </c>
      <c r="AG6" s="203">
        <f t="shared" ref="AG6:AG33" si="12">SUM(AF6*$Z$4)</f>
        <v>2420</v>
      </c>
      <c r="AH6" s="203">
        <f>SUM(AF6)</f>
        <v>242</v>
      </c>
      <c r="AI6" s="203">
        <f t="shared" ref="AI6:AI33" si="13">SUM(AH6*$Z$4)</f>
        <v>2420</v>
      </c>
      <c r="AJ6" s="203">
        <f>SUM(AH6)</f>
        <v>242</v>
      </c>
      <c r="AK6" s="203">
        <f t="shared" ref="AK6:AK33" si="14">SUM(AJ6*$Z$4)</f>
        <v>2420</v>
      </c>
      <c r="AL6" s="203">
        <f>SUM(AJ6)</f>
        <v>242</v>
      </c>
      <c r="AM6" s="203">
        <f t="shared" ref="AM6:AM33" si="15">SUM(AL6*$Z$4)</f>
        <v>2420</v>
      </c>
      <c r="AN6" s="35">
        <f t="shared" ref="AN6:AN29" si="16">SUM(AO6/19600)</f>
        <v>0.86428571428571432</v>
      </c>
      <c r="AO6" s="36">
        <f>SUM(AA6+AC6+AE6+AG6+AI6+AK6+AM6)</f>
        <v>16940</v>
      </c>
      <c r="AQ6" s="223">
        <f>SUM(AR6/92970)</f>
        <v>0.78554962232006842</v>
      </c>
      <c r="AR6" s="38">
        <f>Y6+AO6</f>
        <v>73032.548387096758</v>
      </c>
      <c r="AS6" s="197">
        <f>SUM(AR6-AR5-AT6)</f>
        <v>-1060.0322580645443</v>
      </c>
      <c r="AT6" s="340"/>
      <c r="AU6" s="548"/>
      <c r="AV6" s="485">
        <f>IF(AT6&gt;0,AU6,AV5)</f>
        <v>1.04</v>
      </c>
      <c r="AW6" s="279">
        <f>-SUM('B5'!AI5)</f>
        <v>-227</v>
      </c>
      <c r="AX6" s="279">
        <f t="shared" ref="AX6:AX33" si="17">-SUM(AW6-AS6)</f>
        <v>-833.03225806454429</v>
      </c>
      <c r="AY6" s="37">
        <f>SUM(AX6+AW6)</f>
        <v>-1060.0322580645443</v>
      </c>
      <c r="AZ6" s="100">
        <f>ELEC!A4</f>
        <v>0</v>
      </c>
      <c r="BA6" s="118">
        <f>'General information '!D5</f>
        <v>23</v>
      </c>
      <c r="BB6" s="269">
        <f>SUM('General information '!E5)</f>
        <v>0.77</v>
      </c>
      <c r="BC6" s="3">
        <f>IF(AR3&gt;=AR6,0,1)</f>
        <v>0</v>
      </c>
      <c r="BD6" s="102">
        <v>19222</v>
      </c>
      <c r="BE6" s="14">
        <f>(305/1185)*ELEC!Q5</f>
        <v>688.75949367075134</v>
      </c>
      <c r="BF6" s="14"/>
      <c r="BG6" s="14" t="e">
        <f>#REF!-BE6</f>
        <v>#REF!</v>
      </c>
      <c r="BH6" s="11">
        <v>21</v>
      </c>
      <c r="BI6">
        <v>12</v>
      </c>
      <c r="BJ6">
        <f>AX6/BI6</f>
        <v>-69.419354838712025</v>
      </c>
      <c r="BK6" s="538"/>
    </row>
    <row r="7" spans="1:63">
      <c r="A7" s="425">
        <f>ELEC!C5</f>
        <v>44714</v>
      </c>
      <c r="B7">
        <f>'B5'!B6</f>
        <v>234</v>
      </c>
      <c r="C7" s="203">
        <f t="shared" ref="C7:E33" si="18">B7*$B$4</f>
        <v>5034.7741935483873</v>
      </c>
      <c r="D7">
        <f t="shared" ref="D7:D29" si="19">SUM(B7)</f>
        <v>234</v>
      </c>
      <c r="E7" s="203">
        <f t="shared" si="18"/>
        <v>5034.7741935483873</v>
      </c>
      <c r="F7">
        <f t="shared" ref="F7:F29" si="20">SUM(D7)</f>
        <v>234</v>
      </c>
      <c r="G7" s="203">
        <f t="shared" si="1"/>
        <v>5034.7741935483873</v>
      </c>
      <c r="H7" s="203">
        <f t="shared" ref="H7:H29" si="21">SUM(F7)</f>
        <v>234</v>
      </c>
      <c r="I7" s="203">
        <f t="shared" si="2"/>
        <v>5034.7741935483873</v>
      </c>
      <c r="J7" s="203">
        <f t="shared" ref="J7:J29" si="22">SUM(H7)</f>
        <v>234</v>
      </c>
      <c r="K7" s="203">
        <f t="shared" si="3"/>
        <v>5034.7741935483873</v>
      </c>
      <c r="L7" s="203">
        <f t="shared" ref="L7:L29" si="23">SUM(J7)</f>
        <v>234</v>
      </c>
      <c r="M7" s="203">
        <f t="shared" si="4"/>
        <v>5034.7741935483873</v>
      </c>
      <c r="N7" s="203">
        <f t="shared" ref="N7:N29" si="24">SUM(L7)</f>
        <v>234</v>
      </c>
      <c r="O7" s="203">
        <f t="shared" si="5"/>
        <v>5034.7741935483873</v>
      </c>
      <c r="P7" s="203">
        <f t="shared" ref="P7:P29" si="25">SUM(N7)</f>
        <v>234</v>
      </c>
      <c r="Q7" s="203">
        <f t="shared" si="6"/>
        <v>5034.7741935483873</v>
      </c>
      <c r="R7" s="203">
        <f t="shared" ref="R7:R29" si="26">SUM(P7)</f>
        <v>234</v>
      </c>
      <c r="S7" s="203">
        <f t="shared" si="7"/>
        <v>5034.7741935483873</v>
      </c>
      <c r="T7" s="203">
        <f t="shared" ref="T7:T29" si="27">SUM(R7)</f>
        <v>234</v>
      </c>
      <c r="U7" s="203">
        <f t="shared" si="8"/>
        <v>5034.7741935483873</v>
      </c>
      <c r="V7" s="203">
        <f t="shared" ref="V7:V29" si="28">SUM(T7)</f>
        <v>234</v>
      </c>
      <c r="W7" s="203">
        <f t="shared" si="9"/>
        <v>5034.7741935483873</v>
      </c>
      <c r="X7" s="35">
        <f t="shared" si="10"/>
        <v>0.75483870967741939</v>
      </c>
      <c r="Y7" s="36">
        <f t="shared" ref="Y7:Y29" si="29">SUM(C7+E7+G7+I7+K7+M7+O7+Q7+S7+U7+W7)</f>
        <v>55382.516129032258</v>
      </c>
      <c r="Z7" s="203">
        <f>'B5'!C6</f>
        <v>240</v>
      </c>
      <c r="AA7" s="203">
        <f t="shared" ref="AA7:AC33" si="30">SUM(Z7*$Z$4)</f>
        <v>2400</v>
      </c>
      <c r="AB7" s="203">
        <f t="shared" ref="AB7:AB29" si="31">SUM(Z7)</f>
        <v>240</v>
      </c>
      <c r="AC7" s="203">
        <f t="shared" si="30"/>
        <v>2400</v>
      </c>
      <c r="AD7" s="203">
        <f t="shared" ref="AD7:AD29" si="32">SUM(AB7)</f>
        <v>240</v>
      </c>
      <c r="AE7" s="203">
        <f t="shared" si="11"/>
        <v>2400</v>
      </c>
      <c r="AF7" s="203">
        <f t="shared" ref="AF7:AF29" si="33">SUM(AD7)</f>
        <v>240</v>
      </c>
      <c r="AG7" s="203">
        <f t="shared" si="12"/>
        <v>2400</v>
      </c>
      <c r="AH7" s="203">
        <f t="shared" ref="AH7:AH29" si="34">SUM(AF7)</f>
        <v>240</v>
      </c>
      <c r="AI7" s="203">
        <f t="shared" si="13"/>
        <v>2400</v>
      </c>
      <c r="AJ7" s="203">
        <f t="shared" ref="AJ7:AJ29" si="35">SUM(AH7)</f>
        <v>240</v>
      </c>
      <c r="AK7" s="203">
        <f t="shared" si="14"/>
        <v>2400</v>
      </c>
      <c r="AL7" s="203">
        <f t="shared" ref="AL7:AL29" si="36">SUM(AJ7)</f>
        <v>240</v>
      </c>
      <c r="AM7" s="203">
        <f t="shared" si="15"/>
        <v>2400</v>
      </c>
      <c r="AN7" s="35">
        <f>SUM(AO7/19600)</f>
        <v>0.8571428571428571</v>
      </c>
      <c r="AO7" s="36">
        <f>SUM(AA7+AC7+AE7+AG7+AI7+AK7+AM7)</f>
        <v>16800</v>
      </c>
      <c r="AQ7" s="223">
        <f>SUM(AR7/92970)</f>
        <v>0.77640654113189478</v>
      </c>
      <c r="AR7" s="38">
        <f>Y7+AO7</f>
        <v>72182.516129032258</v>
      </c>
      <c r="AS7" s="197">
        <f>SUM(AR7-AR6-AT7)</f>
        <v>-850.03225806450064</v>
      </c>
      <c r="AT7" s="340"/>
      <c r="AU7" s="548"/>
      <c r="AV7" s="485">
        <f>IF(AT7&gt;0,AU7,AV6)</f>
        <v>1.04</v>
      </c>
      <c r="AW7" s="279">
        <f>-SUM('B5'!AI6)</f>
        <v>-31</v>
      </c>
      <c r="AX7" s="279">
        <f t="shared" si="17"/>
        <v>-819.03225806450064</v>
      </c>
      <c r="AY7" s="37">
        <f t="shared" ref="AY7:AY33" si="37">SUM(AX7+AW7)</f>
        <v>-850.03225806450064</v>
      </c>
      <c r="AZ7" s="100">
        <f>ELEC!A5</f>
        <v>0</v>
      </c>
      <c r="BA7" s="118">
        <f>'General information '!D6</f>
        <v>23.5</v>
      </c>
      <c r="BB7" s="378">
        <f>SUM('General information '!E6)</f>
        <v>0.78</v>
      </c>
      <c r="BC7" s="3">
        <v>0</v>
      </c>
      <c r="BD7" s="102">
        <v>19222</v>
      </c>
      <c r="BE7" s="14">
        <f>(305/1185)*ELEC!Q6</f>
        <v>0</v>
      </c>
      <c r="BF7" s="14"/>
      <c r="BG7" s="14" t="e">
        <f>#REF!-BE7</f>
        <v>#REF!</v>
      </c>
      <c r="BH7" s="11">
        <v>19</v>
      </c>
      <c r="BI7">
        <v>15</v>
      </c>
      <c r="BJ7">
        <f t="shared" ref="BJ7:BJ16" si="38">AX7/BI7</f>
        <v>-54.602150537633378</v>
      </c>
      <c r="BK7" s="538"/>
    </row>
    <row r="8" spans="1:63">
      <c r="A8" s="425">
        <f>ELEC!C6</f>
        <v>44715</v>
      </c>
      <c r="B8">
        <f>'B5'!B7</f>
        <v>234</v>
      </c>
      <c r="C8" s="203">
        <f t="shared" si="18"/>
        <v>5034.7741935483873</v>
      </c>
      <c r="D8">
        <f t="shared" si="19"/>
        <v>234</v>
      </c>
      <c r="E8" s="203">
        <f t="shared" si="18"/>
        <v>5034.7741935483873</v>
      </c>
      <c r="F8">
        <f t="shared" si="20"/>
        <v>234</v>
      </c>
      <c r="G8" s="203">
        <f t="shared" si="1"/>
        <v>5034.7741935483873</v>
      </c>
      <c r="H8" s="203">
        <f t="shared" si="21"/>
        <v>234</v>
      </c>
      <c r="I8" s="203">
        <f t="shared" si="2"/>
        <v>5034.7741935483873</v>
      </c>
      <c r="J8" s="203">
        <f t="shared" si="22"/>
        <v>234</v>
      </c>
      <c r="K8" s="203">
        <f t="shared" si="3"/>
        <v>5034.7741935483873</v>
      </c>
      <c r="L8" s="203">
        <f t="shared" si="23"/>
        <v>234</v>
      </c>
      <c r="M8" s="203">
        <f t="shared" si="4"/>
        <v>5034.7741935483873</v>
      </c>
      <c r="N8" s="203">
        <f t="shared" si="24"/>
        <v>234</v>
      </c>
      <c r="O8" s="203">
        <f t="shared" si="5"/>
        <v>5034.7741935483873</v>
      </c>
      <c r="P8" s="203">
        <f t="shared" si="25"/>
        <v>234</v>
      </c>
      <c r="Q8" s="203">
        <f t="shared" si="6"/>
        <v>5034.7741935483873</v>
      </c>
      <c r="R8" s="203">
        <f t="shared" si="26"/>
        <v>234</v>
      </c>
      <c r="S8" s="203">
        <f t="shared" si="7"/>
        <v>5034.7741935483873</v>
      </c>
      <c r="T8" s="203">
        <f t="shared" si="27"/>
        <v>234</v>
      </c>
      <c r="U8" s="203">
        <f t="shared" si="8"/>
        <v>5034.7741935483873</v>
      </c>
      <c r="V8" s="203">
        <f t="shared" si="28"/>
        <v>234</v>
      </c>
      <c r="W8" s="203">
        <f t="shared" si="9"/>
        <v>5034.7741935483873</v>
      </c>
      <c r="X8" s="35">
        <f t="shared" si="10"/>
        <v>0.75483870967741939</v>
      </c>
      <c r="Y8" s="36">
        <f t="shared" si="29"/>
        <v>55382.516129032258</v>
      </c>
      <c r="Z8" s="203">
        <f>'B5'!C7</f>
        <v>240</v>
      </c>
      <c r="AA8" s="203">
        <f t="shared" si="30"/>
        <v>2400</v>
      </c>
      <c r="AB8" s="203">
        <f t="shared" si="31"/>
        <v>240</v>
      </c>
      <c r="AC8" s="203">
        <f t="shared" si="30"/>
        <v>2400</v>
      </c>
      <c r="AD8" s="203">
        <f t="shared" si="32"/>
        <v>240</v>
      </c>
      <c r="AE8" s="203">
        <f t="shared" si="11"/>
        <v>2400</v>
      </c>
      <c r="AF8" s="203">
        <f t="shared" si="33"/>
        <v>240</v>
      </c>
      <c r="AG8" s="203">
        <f t="shared" si="12"/>
        <v>2400</v>
      </c>
      <c r="AH8" s="203">
        <f t="shared" si="34"/>
        <v>240</v>
      </c>
      <c r="AI8" s="203">
        <f t="shared" si="13"/>
        <v>2400</v>
      </c>
      <c r="AJ8" s="203">
        <f t="shared" si="35"/>
        <v>240</v>
      </c>
      <c r="AK8" s="203">
        <f t="shared" si="14"/>
        <v>2400</v>
      </c>
      <c r="AL8" s="203">
        <f t="shared" si="36"/>
        <v>240</v>
      </c>
      <c r="AM8" s="203">
        <f t="shared" si="15"/>
        <v>2400</v>
      </c>
      <c r="AN8" s="35">
        <f t="shared" si="16"/>
        <v>0.8571428571428571</v>
      </c>
      <c r="AO8" s="36">
        <f t="shared" ref="AO8:AO29" si="39">SUM(AA8+AC8+AE8+AG8+AI8+AK8+AM8)</f>
        <v>16800</v>
      </c>
      <c r="AQ8" s="223">
        <f t="shared" ref="AQ8:AQ33" si="40">SUM(AR8/92970)</f>
        <v>0.77640654113189478</v>
      </c>
      <c r="AR8" s="38">
        <f t="shared" ref="AR8:AR33" si="41">Y8+AO8</f>
        <v>72182.516129032258</v>
      </c>
      <c r="AS8" s="197">
        <f t="shared" ref="AS8:AS17" si="42">SUM(AR8-AR7-AT8)</f>
        <v>0</v>
      </c>
      <c r="AT8" s="340"/>
      <c r="AU8" s="548"/>
      <c r="AV8" s="485">
        <f t="shared" ref="AV8:AV31" si="43">IF(AT8&gt;0,AU8,AV7)</f>
        <v>1.04</v>
      </c>
      <c r="AW8" s="279">
        <f>-SUM('B5'!AI7)</f>
        <v>0</v>
      </c>
      <c r="AX8" s="279">
        <f t="shared" si="17"/>
        <v>0</v>
      </c>
      <c r="AY8" s="37">
        <f t="shared" si="37"/>
        <v>0</v>
      </c>
      <c r="AZ8" s="100">
        <f>ELEC!A6</f>
        <v>0</v>
      </c>
      <c r="BA8" s="118">
        <f>'General information '!D7</f>
        <v>0</v>
      </c>
      <c r="BB8" s="378">
        <f>SUM('General information '!E7)</f>
        <v>0</v>
      </c>
      <c r="BC8" s="3">
        <f t="shared" ref="BC8:BC33" si="44">IF(AR7&gt;=AR8,0,1)</f>
        <v>0</v>
      </c>
      <c r="BD8" s="102">
        <v>19222</v>
      </c>
      <c r="BE8" s="14">
        <f>(305/1185)*ELEC!Q7</f>
        <v>0</v>
      </c>
      <c r="BF8" s="14"/>
      <c r="BG8" s="14" t="e">
        <f>#REF!-BE8</f>
        <v>#REF!</v>
      </c>
      <c r="BH8" s="11">
        <v>16</v>
      </c>
      <c r="BI8">
        <v>9</v>
      </c>
      <c r="BJ8">
        <f t="shared" si="38"/>
        <v>0</v>
      </c>
      <c r="BK8" s="538" t="e">
        <f>GEN!AF5</f>
        <v>#DIV/0!</v>
      </c>
    </row>
    <row r="9" spans="1:63">
      <c r="A9" s="425">
        <f>ELEC!C7</f>
        <v>44716</v>
      </c>
      <c r="B9">
        <f>'B5'!B8</f>
        <v>234</v>
      </c>
      <c r="C9" s="203">
        <f t="shared" si="18"/>
        <v>5034.7741935483873</v>
      </c>
      <c r="D9">
        <f t="shared" si="19"/>
        <v>234</v>
      </c>
      <c r="E9" s="203">
        <f t="shared" si="18"/>
        <v>5034.7741935483873</v>
      </c>
      <c r="F9">
        <f t="shared" si="20"/>
        <v>234</v>
      </c>
      <c r="G9" s="203">
        <f t="shared" si="1"/>
        <v>5034.7741935483873</v>
      </c>
      <c r="H9" s="203">
        <f t="shared" si="21"/>
        <v>234</v>
      </c>
      <c r="I9" s="203">
        <f t="shared" si="2"/>
        <v>5034.7741935483873</v>
      </c>
      <c r="J9" s="203">
        <f t="shared" si="22"/>
        <v>234</v>
      </c>
      <c r="K9" s="203">
        <f t="shared" si="3"/>
        <v>5034.7741935483873</v>
      </c>
      <c r="L9" s="203">
        <f t="shared" si="23"/>
        <v>234</v>
      </c>
      <c r="M9" s="203">
        <f t="shared" si="4"/>
        <v>5034.7741935483873</v>
      </c>
      <c r="N9" s="203">
        <f t="shared" si="24"/>
        <v>234</v>
      </c>
      <c r="O9" s="203">
        <f t="shared" si="5"/>
        <v>5034.7741935483873</v>
      </c>
      <c r="P9" s="203">
        <f t="shared" si="25"/>
        <v>234</v>
      </c>
      <c r="Q9" s="203">
        <f t="shared" si="6"/>
        <v>5034.7741935483873</v>
      </c>
      <c r="R9" s="203">
        <f t="shared" si="26"/>
        <v>234</v>
      </c>
      <c r="S9" s="203">
        <f t="shared" si="7"/>
        <v>5034.7741935483873</v>
      </c>
      <c r="T9" s="203">
        <f t="shared" si="27"/>
        <v>234</v>
      </c>
      <c r="U9" s="203">
        <f t="shared" si="8"/>
        <v>5034.7741935483873</v>
      </c>
      <c r="V9" s="203">
        <f t="shared" si="28"/>
        <v>234</v>
      </c>
      <c r="W9" s="203">
        <f t="shared" si="9"/>
        <v>5034.7741935483873</v>
      </c>
      <c r="X9" s="35">
        <f t="shared" si="10"/>
        <v>0.75483870967741939</v>
      </c>
      <c r="Y9" s="36">
        <f t="shared" si="29"/>
        <v>55382.516129032258</v>
      </c>
      <c r="Z9" s="203">
        <f>'B5'!C8</f>
        <v>240</v>
      </c>
      <c r="AA9" s="203">
        <f t="shared" si="30"/>
        <v>2400</v>
      </c>
      <c r="AB9" s="203">
        <f t="shared" si="31"/>
        <v>240</v>
      </c>
      <c r="AC9" s="203">
        <f t="shared" si="30"/>
        <v>2400</v>
      </c>
      <c r="AD9" s="203">
        <f t="shared" si="32"/>
        <v>240</v>
      </c>
      <c r="AE9" s="203">
        <f t="shared" si="11"/>
        <v>2400</v>
      </c>
      <c r="AF9" s="203">
        <f t="shared" si="33"/>
        <v>240</v>
      </c>
      <c r="AG9" s="203">
        <f t="shared" si="12"/>
        <v>2400</v>
      </c>
      <c r="AH9" s="203">
        <f t="shared" si="34"/>
        <v>240</v>
      </c>
      <c r="AI9" s="203">
        <f t="shared" si="13"/>
        <v>2400</v>
      </c>
      <c r="AJ9" s="203">
        <f t="shared" si="35"/>
        <v>240</v>
      </c>
      <c r="AK9" s="203">
        <f t="shared" si="14"/>
        <v>2400</v>
      </c>
      <c r="AL9" s="203">
        <f t="shared" si="36"/>
        <v>240</v>
      </c>
      <c r="AM9" s="203">
        <f t="shared" si="15"/>
        <v>2400</v>
      </c>
      <c r="AN9" s="35">
        <f t="shared" si="16"/>
        <v>0.8571428571428571</v>
      </c>
      <c r="AO9" s="36">
        <f>SUM(AA9+AC9+AE9+AG9+AI9+AK9+AM9)</f>
        <v>16800</v>
      </c>
      <c r="AQ9" s="223">
        <f t="shared" si="40"/>
        <v>0.77640654113189478</v>
      </c>
      <c r="AR9" s="38">
        <f t="shared" si="41"/>
        <v>72182.516129032258</v>
      </c>
      <c r="AS9" s="197">
        <f>SUM(AR9-AR8-AT9)</f>
        <v>0</v>
      </c>
      <c r="AT9" s="340"/>
      <c r="AU9" s="548"/>
      <c r="AV9" s="485">
        <f t="shared" si="43"/>
        <v>1.04</v>
      </c>
      <c r="AW9" s="279">
        <f>-SUM('B5'!AI8)</f>
        <v>0</v>
      </c>
      <c r="AX9" s="279">
        <f t="shared" si="17"/>
        <v>0</v>
      </c>
      <c r="AY9" s="37">
        <f t="shared" si="37"/>
        <v>0</v>
      </c>
      <c r="AZ9" s="100">
        <f>ELEC!A7</f>
        <v>0</v>
      </c>
      <c r="BA9" s="118">
        <f>'General information '!D8</f>
        <v>0</v>
      </c>
      <c r="BB9" s="378">
        <f>SUM('General information '!E8)</f>
        <v>0</v>
      </c>
      <c r="BC9" s="3">
        <f t="shared" si="44"/>
        <v>0</v>
      </c>
      <c r="BD9" s="102">
        <v>19222</v>
      </c>
      <c r="BE9" s="14">
        <f>(305/1185)*ELEC!Q8</f>
        <v>730.71308016876139</v>
      </c>
      <c r="BF9" s="14"/>
      <c r="BG9" s="14" t="e">
        <f>#REF!-BE9</f>
        <v>#REF!</v>
      </c>
      <c r="BH9" s="11">
        <v>18</v>
      </c>
      <c r="BI9">
        <v>6</v>
      </c>
      <c r="BJ9">
        <f t="shared" si="38"/>
        <v>0</v>
      </c>
      <c r="BK9" s="538" t="e">
        <f>GEN!AF6</f>
        <v>#DIV/0!</v>
      </c>
    </row>
    <row r="10" spans="1:63">
      <c r="A10" s="425">
        <f>ELEC!C8</f>
        <v>44717</v>
      </c>
      <c r="B10">
        <f>'B5'!B9</f>
        <v>231</v>
      </c>
      <c r="C10" s="203">
        <f t="shared" si="18"/>
        <v>4970.2258064516127</v>
      </c>
      <c r="D10">
        <f t="shared" si="19"/>
        <v>231</v>
      </c>
      <c r="E10" s="203">
        <f t="shared" si="18"/>
        <v>4970.2258064516127</v>
      </c>
      <c r="F10">
        <f t="shared" si="20"/>
        <v>231</v>
      </c>
      <c r="G10" s="203">
        <f t="shared" si="1"/>
        <v>4970.2258064516127</v>
      </c>
      <c r="H10" s="203">
        <f t="shared" si="21"/>
        <v>231</v>
      </c>
      <c r="I10" s="203">
        <f t="shared" si="2"/>
        <v>4970.2258064516127</v>
      </c>
      <c r="J10" s="203">
        <f t="shared" si="22"/>
        <v>231</v>
      </c>
      <c r="K10" s="203">
        <f t="shared" si="3"/>
        <v>4970.2258064516127</v>
      </c>
      <c r="L10" s="203">
        <f t="shared" si="23"/>
        <v>231</v>
      </c>
      <c r="M10" s="203">
        <f t="shared" si="4"/>
        <v>4970.2258064516127</v>
      </c>
      <c r="N10" s="203">
        <f t="shared" si="24"/>
        <v>231</v>
      </c>
      <c r="O10" s="203">
        <f t="shared" si="5"/>
        <v>4970.2258064516127</v>
      </c>
      <c r="P10" s="203">
        <f t="shared" si="25"/>
        <v>231</v>
      </c>
      <c r="Q10" s="203">
        <f t="shared" si="6"/>
        <v>4970.2258064516127</v>
      </c>
      <c r="R10" s="203">
        <f t="shared" si="26"/>
        <v>231</v>
      </c>
      <c r="S10" s="203">
        <f t="shared" si="7"/>
        <v>4970.2258064516127</v>
      </c>
      <c r="T10" s="203">
        <f t="shared" si="27"/>
        <v>231</v>
      </c>
      <c r="U10" s="203">
        <f t="shared" si="8"/>
        <v>4970.2258064516127</v>
      </c>
      <c r="V10" s="203">
        <f t="shared" si="28"/>
        <v>231</v>
      </c>
      <c r="W10" s="203">
        <f t="shared" si="9"/>
        <v>4970.2258064516127</v>
      </c>
      <c r="X10" s="35">
        <f t="shared" si="10"/>
        <v>0.74516129032258061</v>
      </c>
      <c r="Y10" s="36">
        <f t="shared" si="29"/>
        <v>54672.483870967742</v>
      </c>
      <c r="Z10" s="203">
        <f>'B5'!C9</f>
        <v>237</v>
      </c>
      <c r="AA10" s="203">
        <f t="shared" si="30"/>
        <v>2370</v>
      </c>
      <c r="AB10" s="203">
        <f t="shared" si="31"/>
        <v>237</v>
      </c>
      <c r="AC10" s="203">
        <f t="shared" si="30"/>
        <v>2370</v>
      </c>
      <c r="AD10" s="203">
        <f t="shared" si="32"/>
        <v>237</v>
      </c>
      <c r="AE10" s="203">
        <f t="shared" si="11"/>
        <v>2370</v>
      </c>
      <c r="AF10" s="203">
        <f t="shared" si="33"/>
        <v>237</v>
      </c>
      <c r="AG10" s="203">
        <f t="shared" si="12"/>
        <v>2370</v>
      </c>
      <c r="AH10" s="203">
        <f t="shared" si="34"/>
        <v>237</v>
      </c>
      <c r="AI10" s="203">
        <f t="shared" si="13"/>
        <v>2370</v>
      </c>
      <c r="AJ10" s="203">
        <f t="shared" si="35"/>
        <v>237</v>
      </c>
      <c r="AK10" s="203">
        <f t="shared" si="14"/>
        <v>2370</v>
      </c>
      <c r="AL10" s="203">
        <f t="shared" si="36"/>
        <v>237</v>
      </c>
      <c r="AM10" s="203">
        <f t="shared" si="15"/>
        <v>2370</v>
      </c>
      <c r="AN10" s="35">
        <f t="shared" si="16"/>
        <v>0.84642857142857142</v>
      </c>
      <c r="AO10" s="36">
        <f t="shared" si="39"/>
        <v>16590</v>
      </c>
      <c r="AQ10" s="223">
        <f t="shared" si="40"/>
        <v>0.76651052889069315</v>
      </c>
      <c r="AR10" s="38">
        <f t="shared" si="41"/>
        <v>71262.483870967742</v>
      </c>
      <c r="AS10" s="197">
        <f>SUM(AR10-AR9-AT10)</f>
        <v>-920.03225806451519</v>
      </c>
      <c r="AT10" s="340"/>
      <c r="AU10" s="548"/>
      <c r="AV10" s="485">
        <f>IF(AT10&gt;0,AU10,AV9)</f>
        <v>1.04</v>
      </c>
      <c r="AW10" s="279">
        <f>-SUM('B5'!AI9)</f>
        <v>-157</v>
      </c>
      <c r="AX10" s="279">
        <f t="shared" si="17"/>
        <v>-763.03225806451519</v>
      </c>
      <c r="AY10" s="37">
        <f t="shared" si="37"/>
        <v>-920.03225806451519</v>
      </c>
      <c r="AZ10" s="100">
        <f>ELEC!A8</f>
        <v>0</v>
      </c>
      <c r="BA10" s="118">
        <f>'General information '!D9</f>
        <v>24</v>
      </c>
      <c r="BB10" s="378">
        <f>SUM('General information '!E9)</f>
        <v>0.71</v>
      </c>
      <c r="BC10" s="3">
        <f t="shared" si="44"/>
        <v>0</v>
      </c>
      <c r="BD10" s="102">
        <v>19222</v>
      </c>
      <c r="BE10" s="14">
        <f>(305/1185)*ELEC!Q9</f>
        <v>726.33755274264604</v>
      </c>
      <c r="BF10" s="14"/>
      <c r="BG10" s="14" t="e">
        <f>#REF!-BE10</f>
        <v>#REF!</v>
      </c>
      <c r="BH10" s="11">
        <v>16</v>
      </c>
      <c r="BI10">
        <v>7</v>
      </c>
      <c r="BJ10">
        <f t="shared" si="38"/>
        <v>-109.00460829493075</v>
      </c>
      <c r="BK10" s="538">
        <f>GEN!AF7</f>
        <v>0.19715277777777374</v>
      </c>
    </row>
    <row r="11" spans="1:63">
      <c r="A11" s="425">
        <f>ELEC!C9</f>
        <v>44718</v>
      </c>
      <c r="B11">
        <f>'B5'!B10</f>
        <v>226</v>
      </c>
      <c r="C11" s="203">
        <f t="shared" si="18"/>
        <v>4862.6451612903229</v>
      </c>
      <c r="D11">
        <f>SUM(B11)</f>
        <v>226</v>
      </c>
      <c r="E11" s="203">
        <f t="shared" si="18"/>
        <v>4862.6451612903229</v>
      </c>
      <c r="F11">
        <f>SUM(D11)</f>
        <v>226</v>
      </c>
      <c r="G11" s="203">
        <f t="shared" si="1"/>
        <v>4862.6451612903229</v>
      </c>
      <c r="H11" s="203">
        <f>SUM(F11)</f>
        <v>226</v>
      </c>
      <c r="I11" s="203">
        <f t="shared" si="2"/>
        <v>4862.6451612903229</v>
      </c>
      <c r="J11" s="203">
        <f>SUM(H11)</f>
        <v>226</v>
      </c>
      <c r="K11" s="203">
        <f t="shared" si="3"/>
        <v>4862.6451612903229</v>
      </c>
      <c r="L11" s="203">
        <f>SUM(J11)</f>
        <v>226</v>
      </c>
      <c r="M11" s="203">
        <f t="shared" si="4"/>
        <v>4862.6451612903229</v>
      </c>
      <c r="N11" s="203">
        <f>SUM(L11)</f>
        <v>226</v>
      </c>
      <c r="O11" s="203">
        <f t="shared" si="5"/>
        <v>4862.6451612903229</v>
      </c>
      <c r="P11" s="203">
        <f>SUM(N11)</f>
        <v>226</v>
      </c>
      <c r="Q11" s="203">
        <f t="shared" si="6"/>
        <v>4862.6451612903229</v>
      </c>
      <c r="R11" s="203">
        <f>SUM(P11)</f>
        <v>226</v>
      </c>
      <c r="S11" s="203">
        <f t="shared" si="7"/>
        <v>4862.6451612903229</v>
      </c>
      <c r="T11" s="203">
        <f>SUM(R11)</f>
        <v>226</v>
      </c>
      <c r="U11" s="203">
        <f t="shared" si="8"/>
        <v>4862.6451612903229</v>
      </c>
      <c r="V11" s="203">
        <f>SUM(T11)</f>
        <v>226</v>
      </c>
      <c r="W11" s="203">
        <f t="shared" si="9"/>
        <v>4862.6451612903229</v>
      </c>
      <c r="X11" s="35">
        <f>SUM(Y11/73370)</f>
        <v>0.72903225806451633</v>
      </c>
      <c r="Y11" s="36">
        <f>SUM(C11+E11+G11+I11+K11+M11+O11+Q11+S11+U11+W11)</f>
        <v>53489.09677419356</v>
      </c>
      <c r="Z11" s="203">
        <f>'B5'!C10</f>
        <v>232</v>
      </c>
      <c r="AA11" s="203">
        <f t="shared" si="30"/>
        <v>2320</v>
      </c>
      <c r="AB11" s="203">
        <f>SUM(Z11)</f>
        <v>232</v>
      </c>
      <c r="AC11" s="203">
        <f t="shared" si="30"/>
        <v>2320</v>
      </c>
      <c r="AD11" s="203">
        <f>SUM(AB11)</f>
        <v>232</v>
      </c>
      <c r="AE11" s="203">
        <f t="shared" si="11"/>
        <v>2320</v>
      </c>
      <c r="AF11" s="203">
        <f>SUM(AD11)</f>
        <v>232</v>
      </c>
      <c r="AG11" s="203">
        <f t="shared" si="12"/>
        <v>2320</v>
      </c>
      <c r="AH11" s="203">
        <f>SUM(AF11)</f>
        <v>232</v>
      </c>
      <c r="AI11" s="203">
        <f t="shared" si="13"/>
        <v>2320</v>
      </c>
      <c r="AJ11" s="203">
        <f>SUM(AH11)</f>
        <v>232</v>
      </c>
      <c r="AK11" s="203">
        <f t="shared" si="14"/>
        <v>2320</v>
      </c>
      <c r="AL11" s="203">
        <f>SUM(AJ11)</f>
        <v>232</v>
      </c>
      <c r="AM11" s="203">
        <f t="shared" si="15"/>
        <v>2320</v>
      </c>
      <c r="AN11" s="35">
        <f>SUM(AO11/19600)</f>
        <v>0.82857142857142863</v>
      </c>
      <c r="AO11" s="36">
        <f t="shared" si="39"/>
        <v>16240</v>
      </c>
      <c r="AP11" s="525"/>
      <c r="AQ11" s="223">
        <f t="shared" si="40"/>
        <v>0.75001717515535726</v>
      </c>
      <c r="AR11" s="38">
        <f>Y11+AO11</f>
        <v>69729.09677419356</v>
      </c>
      <c r="AS11" s="197">
        <f t="shared" si="42"/>
        <v>-1533.3870967741823</v>
      </c>
      <c r="AT11" s="340"/>
      <c r="AU11" s="548"/>
      <c r="AV11" s="485">
        <f>IF(AT11&gt;0,AU11,AV10)</f>
        <v>1.04</v>
      </c>
      <c r="AW11" s="279">
        <f>-SUM('B5'!AI10)</f>
        <v>-112</v>
      </c>
      <c r="AX11" s="279">
        <f t="shared" si="17"/>
        <v>-1421.3870967741823</v>
      </c>
      <c r="AY11" s="37">
        <f t="shared" si="37"/>
        <v>-1533.3870967741823</v>
      </c>
      <c r="AZ11" s="100">
        <f>ELEC!A9</f>
        <v>0</v>
      </c>
      <c r="BA11" s="118">
        <f>'General information '!D10</f>
        <v>23.5</v>
      </c>
      <c r="BB11" s="378">
        <f>SUM('General information '!E10)</f>
        <v>0.76</v>
      </c>
      <c r="BC11" s="3">
        <f t="shared" si="44"/>
        <v>0</v>
      </c>
      <c r="BD11" s="102">
        <v>19222</v>
      </c>
      <c r="BE11" s="14">
        <f>(305/1185)*ELEC!Q10</f>
        <v>694.67932489464965</v>
      </c>
      <c r="BF11" s="14"/>
      <c r="BG11" s="14" t="e">
        <f>#REF!-BE11</f>
        <v>#REF!</v>
      </c>
      <c r="BH11" s="11">
        <v>16.5</v>
      </c>
      <c r="BI11">
        <v>9.2999999999992724</v>
      </c>
      <c r="BJ11">
        <f t="shared" si="38"/>
        <v>-152.83732223379499</v>
      </c>
      <c r="BK11" s="538"/>
    </row>
    <row r="12" spans="1:63">
      <c r="A12" s="425">
        <f>ELEC!C10</f>
        <v>44719</v>
      </c>
      <c r="B12">
        <f>'B5'!B11</f>
        <v>224</v>
      </c>
      <c r="C12" s="203">
        <f t="shared" si="18"/>
        <v>4819.6129032258068</v>
      </c>
      <c r="D12">
        <f t="shared" si="19"/>
        <v>224</v>
      </c>
      <c r="E12" s="203">
        <f t="shared" si="18"/>
        <v>4819.6129032258068</v>
      </c>
      <c r="F12">
        <f t="shared" si="20"/>
        <v>224</v>
      </c>
      <c r="G12" s="203">
        <f t="shared" si="1"/>
        <v>4819.6129032258068</v>
      </c>
      <c r="H12" s="203">
        <f t="shared" si="21"/>
        <v>224</v>
      </c>
      <c r="I12" s="203">
        <f t="shared" si="2"/>
        <v>4819.6129032258068</v>
      </c>
      <c r="J12" s="203">
        <f t="shared" si="22"/>
        <v>224</v>
      </c>
      <c r="K12" s="203">
        <f t="shared" si="3"/>
        <v>4819.6129032258068</v>
      </c>
      <c r="L12" s="203">
        <f t="shared" si="23"/>
        <v>224</v>
      </c>
      <c r="M12" s="203">
        <f t="shared" si="4"/>
        <v>4819.6129032258068</v>
      </c>
      <c r="N12" s="203">
        <f t="shared" si="24"/>
        <v>224</v>
      </c>
      <c r="O12" s="203">
        <f t="shared" si="5"/>
        <v>4819.6129032258068</v>
      </c>
      <c r="P12" s="203">
        <f t="shared" si="25"/>
        <v>224</v>
      </c>
      <c r="Q12" s="203">
        <f t="shared" si="6"/>
        <v>4819.6129032258068</v>
      </c>
      <c r="R12" s="203">
        <f t="shared" si="26"/>
        <v>224</v>
      </c>
      <c r="S12" s="203">
        <f t="shared" si="7"/>
        <v>4819.6129032258068</v>
      </c>
      <c r="T12" s="203">
        <f t="shared" si="27"/>
        <v>224</v>
      </c>
      <c r="U12" s="203">
        <f t="shared" si="8"/>
        <v>4819.6129032258068</v>
      </c>
      <c r="V12" s="203">
        <f t="shared" si="28"/>
        <v>224</v>
      </c>
      <c r="W12" s="203">
        <f t="shared" si="9"/>
        <v>4819.6129032258068</v>
      </c>
      <c r="X12" s="35">
        <f t="shared" si="10"/>
        <v>0.72258064516129028</v>
      </c>
      <c r="Y12" s="36">
        <f t="shared" si="29"/>
        <v>53015.741935483864</v>
      </c>
      <c r="Z12" s="203">
        <f>'B5'!C11</f>
        <v>230</v>
      </c>
      <c r="AA12" s="203">
        <f t="shared" si="30"/>
        <v>2300</v>
      </c>
      <c r="AB12" s="203">
        <f t="shared" si="31"/>
        <v>230</v>
      </c>
      <c r="AC12" s="203">
        <f t="shared" si="30"/>
        <v>2300</v>
      </c>
      <c r="AD12" s="203">
        <f t="shared" si="32"/>
        <v>230</v>
      </c>
      <c r="AE12" s="203">
        <f t="shared" si="11"/>
        <v>2300</v>
      </c>
      <c r="AF12" s="203">
        <f t="shared" si="33"/>
        <v>230</v>
      </c>
      <c r="AG12" s="203">
        <f t="shared" si="12"/>
        <v>2300</v>
      </c>
      <c r="AH12" s="203">
        <f t="shared" si="34"/>
        <v>230</v>
      </c>
      <c r="AI12" s="203">
        <f t="shared" si="13"/>
        <v>2300</v>
      </c>
      <c r="AJ12" s="203">
        <f t="shared" si="35"/>
        <v>230</v>
      </c>
      <c r="AK12" s="203">
        <f t="shared" si="14"/>
        <v>2300</v>
      </c>
      <c r="AL12" s="203">
        <f t="shared" si="36"/>
        <v>230</v>
      </c>
      <c r="AM12" s="203">
        <f t="shared" si="15"/>
        <v>2300</v>
      </c>
      <c r="AN12" s="35">
        <f t="shared" si="16"/>
        <v>0.8214285714285714</v>
      </c>
      <c r="AO12" s="36">
        <f t="shared" si="39"/>
        <v>16100</v>
      </c>
      <c r="AP12" s="525"/>
      <c r="AQ12" s="223">
        <f t="shared" si="40"/>
        <v>0.74341983366122255</v>
      </c>
      <c r="AR12" s="38">
        <f t="shared" si="41"/>
        <v>69115.741935483864</v>
      </c>
      <c r="AS12" s="197">
        <f>SUM(AR12-AR11-AT12)</f>
        <v>-613.3548387096962</v>
      </c>
      <c r="AT12" s="340"/>
      <c r="AU12" s="548"/>
      <c r="AV12" s="485">
        <f t="shared" si="43"/>
        <v>1.04</v>
      </c>
      <c r="AW12" s="279">
        <f>-SUM('B5'!AI11)</f>
        <v>-123</v>
      </c>
      <c r="AX12" s="279">
        <f t="shared" si="17"/>
        <v>-490.3548387096962</v>
      </c>
      <c r="AY12" s="37">
        <f t="shared" si="37"/>
        <v>-613.3548387096962</v>
      </c>
      <c r="AZ12" s="100">
        <f>ELEC!A10</f>
        <v>0</v>
      </c>
      <c r="BA12" s="118">
        <f>'General information '!D11</f>
        <v>24.5</v>
      </c>
      <c r="BB12" s="378">
        <f>SUM('General information '!E11)</f>
        <v>0.76</v>
      </c>
      <c r="BC12" s="3">
        <f t="shared" si="44"/>
        <v>0</v>
      </c>
      <c r="BD12" s="102">
        <v>19222</v>
      </c>
      <c r="BE12" s="14">
        <f>(305/1185)*ELEC!Q11</f>
        <v>671.51476793258689</v>
      </c>
      <c r="BF12" s="14"/>
      <c r="BG12" s="14" t="e">
        <f>#REF!-BE12</f>
        <v>#REF!</v>
      </c>
      <c r="BH12" s="11">
        <v>15.5</v>
      </c>
      <c r="BI12">
        <v>3.7000000000007276</v>
      </c>
      <c r="BJ12">
        <f t="shared" si="38"/>
        <v>-132.52833478637831</v>
      </c>
      <c r="BK12" s="538"/>
    </row>
    <row r="13" spans="1:63">
      <c r="A13" s="425">
        <f>ELEC!C11</f>
        <v>44720</v>
      </c>
      <c r="B13">
        <f>'B5'!B12</f>
        <v>235</v>
      </c>
      <c r="C13" s="203">
        <f t="shared" si="18"/>
        <v>5056.2903225806449</v>
      </c>
      <c r="D13">
        <f t="shared" si="19"/>
        <v>235</v>
      </c>
      <c r="E13" s="203">
        <f t="shared" si="18"/>
        <v>5056.2903225806449</v>
      </c>
      <c r="F13">
        <f t="shared" si="20"/>
        <v>235</v>
      </c>
      <c r="G13" s="203">
        <f t="shared" si="1"/>
        <v>5056.2903225806449</v>
      </c>
      <c r="H13" s="203">
        <f t="shared" si="21"/>
        <v>235</v>
      </c>
      <c r="I13" s="203">
        <f t="shared" si="2"/>
        <v>5056.2903225806449</v>
      </c>
      <c r="J13" s="203">
        <f t="shared" si="22"/>
        <v>235</v>
      </c>
      <c r="K13" s="203">
        <f t="shared" si="3"/>
        <v>5056.2903225806449</v>
      </c>
      <c r="L13" s="203">
        <f t="shared" si="23"/>
        <v>235</v>
      </c>
      <c r="M13" s="203">
        <f t="shared" si="4"/>
        <v>5056.2903225806449</v>
      </c>
      <c r="N13" s="203">
        <f t="shared" si="24"/>
        <v>235</v>
      </c>
      <c r="O13" s="203">
        <f t="shared" si="5"/>
        <v>5056.2903225806449</v>
      </c>
      <c r="P13" s="203">
        <f t="shared" si="25"/>
        <v>235</v>
      </c>
      <c r="Q13" s="203">
        <f t="shared" si="6"/>
        <v>5056.2903225806449</v>
      </c>
      <c r="R13" s="203">
        <f t="shared" si="26"/>
        <v>235</v>
      </c>
      <c r="S13" s="203">
        <f t="shared" si="7"/>
        <v>5056.2903225806449</v>
      </c>
      <c r="T13" s="203">
        <f t="shared" si="27"/>
        <v>235</v>
      </c>
      <c r="U13" s="203">
        <f t="shared" si="8"/>
        <v>5056.2903225806449</v>
      </c>
      <c r="V13" s="203">
        <f t="shared" si="28"/>
        <v>235</v>
      </c>
      <c r="W13" s="203">
        <f t="shared" si="9"/>
        <v>5056.2903225806449</v>
      </c>
      <c r="X13" s="35">
        <f t="shared" si="10"/>
        <v>0.75806451612903214</v>
      </c>
      <c r="Y13" s="36">
        <f t="shared" si="29"/>
        <v>55619.193548387091</v>
      </c>
      <c r="Z13" s="203">
        <f>'B5'!C12</f>
        <v>245</v>
      </c>
      <c r="AA13" s="203">
        <f t="shared" si="30"/>
        <v>2450</v>
      </c>
      <c r="AB13" s="203">
        <f t="shared" si="31"/>
        <v>245</v>
      </c>
      <c r="AC13" s="203">
        <f t="shared" si="30"/>
        <v>2450</v>
      </c>
      <c r="AD13" s="203">
        <f t="shared" si="32"/>
        <v>245</v>
      </c>
      <c r="AE13" s="203">
        <f t="shared" si="11"/>
        <v>2450</v>
      </c>
      <c r="AF13" s="203">
        <f t="shared" si="33"/>
        <v>245</v>
      </c>
      <c r="AG13" s="203">
        <f t="shared" si="12"/>
        <v>2450</v>
      </c>
      <c r="AH13" s="203">
        <f t="shared" si="34"/>
        <v>245</v>
      </c>
      <c r="AI13" s="203">
        <f t="shared" si="13"/>
        <v>2450</v>
      </c>
      <c r="AJ13" s="203">
        <f t="shared" si="35"/>
        <v>245</v>
      </c>
      <c r="AK13" s="203">
        <f t="shared" si="14"/>
        <v>2450</v>
      </c>
      <c r="AL13" s="203">
        <f t="shared" si="36"/>
        <v>245</v>
      </c>
      <c r="AM13" s="203">
        <f t="shared" si="15"/>
        <v>2450</v>
      </c>
      <c r="AN13" s="35">
        <f t="shared" si="16"/>
        <v>0.875</v>
      </c>
      <c r="AO13" s="36">
        <f t="shared" si="39"/>
        <v>17150</v>
      </c>
      <c r="AP13" s="525"/>
      <c r="AQ13" s="223">
        <f t="shared" si="40"/>
        <v>0.7827169360910734</v>
      </c>
      <c r="AR13" s="38">
        <f>Y13+AO13</f>
        <v>72769.193548387091</v>
      </c>
      <c r="AS13" s="197">
        <f>SUM(AR13-AR12-AT13)</f>
        <v>-1346.5483870967728</v>
      </c>
      <c r="AT13" s="340">
        <v>5000</v>
      </c>
      <c r="AU13" s="548">
        <v>1.147</v>
      </c>
      <c r="AV13" s="485">
        <f t="shared" si="43"/>
        <v>1.147</v>
      </c>
      <c r="AW13" s="279">
        <f>-SUM('B5'!AI12)</f>
        <v>-146</v>
      </c>
      <c r="AX13" s="279">
        <f t="shared" si="17"/>
        <v>-1200.5483870967728</v>
      </c>
      <c r="AY13" s="37">
        <f t="shared" si="37"/>
        <v>-1346.5483870967728</v>
      </c>
      <c r="AZ13" s="100">
        <f>ELEC!A11</f>
        <v>0</v>
      </c>
      <c r="BA13" s="118">
        <f>'General information '!D12</f>
        <v>25</v>
      </c>
      <c r="BB13" s="378">
        <f>SUM('General information '!E12)</f>
        <v>0.77</v>
      </c>
      <c r="BC13" s="3">
        <f t="shared" si="44"/>
        <v>1</v>
      </c>
      <c r="BD13" s="102">
        <v>19222</v>
      </c>
      <c r="BE13" s="14">
        <f>(305/1185)*ELEC!Q12</f>
        <v>729.94092826986991</v>
      </c>
      <c r="BF13" s="14"/>
      <c r="BG13" s="14" t="e">
        <f>#REF!-BE13</f>
        <v>#REF!</v>
      </c>
      <c r="BH13" s="11"/>
      <c r="BI13">
        <v>5</v>
      </c>
      <c r="BJ13">
        <f t="shared" si="38"/>
        <v>-240.10967741935457</v>
      </c>
      <c r="BK13" s="538">
        <f>GEN!AF10</f>
        <v>0.18118055555558182</v>
      </c>
    </row>
    <row r="14" spans="1:63">
      <c r="A14" s="425">
        <f>ELEC!C12</f>
        <v>44721</v>
      </c>
      <c r="B14">
        <f>'B5'!B13</f>
        <v>235</v>
      </c>
      <c r="C14" s="203">
        <f t="shared" si="18"/>
        <v>5056.2903225806449</v>
      </c>
      <c r="D14">
        <f t="shared" si="19"/>
        <v>235</v>
      </c>
      <c r="E14" s="203">
        <f t="shared" si="18"/>
        <v>5056.2903225806449</v>
      </c>
      <c r="F14">
        <f t="shared" si="20"/>
        <v>235</v>
      </c>
      <c r="G14" s="203">
        <f t="shared" si="1"/>
        <v>5056.2903225806449</v>
      </c>
      <c r="H14" s="203">
        <f t="shared" si="21"/>
        <v>235</v>
      </c>
      <c r="I14" s="203">
        <f t="shared" si="2"/>
        <v>5056.2903225806449</v>
      </c>
      <c r="J14" s="203">
        <f t="shared" si="22"/>
        <v>235</v>
      </c>
      <c r="K14" s="203">
        <f t="shared" si="3"/>
        <v>5056.2903225806449</v>
      </c>
      <c r="L14" s="203">
        <f t="shared" si="23"/>
        <v>235</v>
      </c>
      <c r="M14" s="203">
        <f t="shared" si="4"/>
        <v>5056.2903225806449</v>
      </c>
      <c r="N14" s="203">
        <f t="shared" si="24"/>
        <v>235</v>
      </c>
      <c r="O14" s="203">
        <f t="shared" si="5"/>
        <v>5056.2903225806449</v>
      </c>
      <c r="P14" s="203">
        <f t="shared" si="25"/>
        <v>235</v>
      </c>
      <c r="Q14" s="203">
        <f t="shared" si="6"/>
        <v>5056.2903225806449</v>
      </c>
      <c r="R14" s="203">
        <f t="shared" si="26"/>
        <v>235</v>
      </c>
      <c r="S14" s="203">
        <f t="shared" si="7"/>
        <v>5056.2903225806449</v>
      </c>
      <c r="T14" s="203">
        <f t="shared" si="27"/>
        <v>235</v>
      </c>
      <c r="U14" s="203">
        <f t="shared" si="8"/>
        <v>5056.2903225806449</v>
      </c>
      <c r="V14" s="203">
        <f t="shared" si="28"/>
        <v>235</v>
      </c>
      <c r="W14" s="203">
        <f t="shared" si="9"/>
        <v>5056.2903225806449</v>
      </c>
      <c r="X14" s="35">
        <f t="shared" si="10"/>
        <v>0.75806451612903214</v>
      </c>
      <c r="Y14" s="36">
        <f t="shared" si="29"/>
        <v>55619.193548387091</v>
      </c>
      <c r="Z14" s="203">
        <f>'B5'!C13</f>
        <v>241</v>
      </c>
      <c r="AA14" s="203">
        <f t="shared" si="30"/>
        <v>2410</v>
      </c>
      <c r="AB14" s="203">
        <f t="shared" si="31"/>
        <v>241</v>
      </c>
      <c r="AC14" s="203">
        <f t="shared" si="30"/>
        <v>2410</v>
      </c>
      <c r="AD14" s="203">
        <f t="shared" si="32"/>
        <v>241</v>
      </c>
      <c r="AE14" s="203">
        <f t="shared" si="11"/>
        <v>2410</v>
      </c>
      <c r="AF14" s="203">
        <f t="shared" si="33"/>
        <v>241</v>
      </c>
      <c r="AG14" s="203">
        <f t="shared" si="12"/>
        <v>2410</v>
      </c>
      <c r="AH14" s="203">
        <f t="shared" si="34"/>
        <v>241</v>
      </c>
      <c r="AI14" s="203">
        <f t="shared" si="13"/>
        <v>2410</v>
      </c>
      <c r="AJ14" s="203">
        <f t="shared" si="35"/>
        <v>241</v>
      </c>
      <c r="AK14" s="203">
        <f t="shared" si="14"/>
        <v>2410</v>
      </c>
      <c r="AL14" s="203">
        <f t="shared" si="36"/>
        <v>241</v>
      </c>
      <c r="AM14" s="203">
        <f t="shared" si="15"/>
        <v>2410</v>
      </c>
      <c r="AN14" s="35">
        <f t="shared" si="16"/>
        <v>0.86071428571428577</v>
      </c>
      <c r="AO14" s="36">
        <f t="shared" si="39"/>
        <v>16870</v>
      </c>
      <c r="AQ14" s="223">
        <f t="shared" si="40"/>
        <v>0.77970521187896191</v>
      </c>
      <c r="AR14" s="38">
        <f t="shared" si="41"/>
        <v>72489.193548387091</v>
      </c>
      <c r="AS14" s="197">
        <f t="shared" si="42"/>
        <v>-280</v>
      </c>
      <c r="AT14" s="340"/>
      <c r="AU14" s="548"/>
      <c r="AV14" s="485">
        <f t="shared" si="43"/>
        <v>1.147</v>
      </c>
      <c r="AW14" s="279">
        <f>-SUM('B5'!AI13)</f>
        <v>-44</v>
      </c>
      <c r="AX14" s="279">
        <f t="shared" si="17"/>
        <v>-236</v>
      </c>
      <c r="AY14" s="37">
        <f t="shared" si="37"/>
        <v>-280</v>
      </c>
      <c r="AZ14" s="100">
        <f>ELEC!A12</f>
        <v>0</v>
      </c>
      <c r="BA14" s="118">
        <f>'General information '!D13</f>
        <v>0</v>
      </c>
      <c r="BB14" s="378">
        <f>SUM('General information '!E13)</f>
        <v>0</v>
      </c>
      <c r="BC14" s="3">
        <f t="shared" si="44"/>
        <v>0</v>
      </c>
      <c r="BD14" s="102">
        <v>19222</v>
      </c>
      <c r="BE14" s="14">
        <f>(305/1185)*ELEC!Q13</f>
        <v>0</v>
      </c>
      <c r="BF14" s="14"/>
      <c r="BG14" s="14" t="e">
        <f>#REF!-BE14</f>
        <v>#REF!</v>
      </c>
      <c r="BH14" s="11"/>
      <c r="BI14">
        <v>3</v>
      </c>
      <c r="BJ14">
        <f t="shared" si="38"/>
        <v>-78.666666666666671</v>
      </c>
      <c r="BK14" s="538">
        <f>GEN!AF11</f>
        <v>0.25321428571422594</v>
      </c>
    </row>
    <row r="15" spans="1:63" ht="13.5" customHeight="1">
      <c r="A15" s="425">
        <f>ELEC!C13</f>
        <v>44722</v>
      </c>
      <c r="B15">
        <f>'B5'!B14</f>
        <v>235</v>
      </c>
      <c r="C15" s="203">
        <f>B15*$B$4</f>
        <v>5056.2903225806449</v>
      </c>
      <c r="D15">
        <f t="shared" si="19"/>
        <v>235</v>
      </c>
      <c r="E15" s="203">
        <f t="shared" si="18"/>
        <v>5056.2903225806449</v>
      </c>
      <c r="F15">
        <f t="shared" si="20"/>
        <v>235</v>
      </c>
      <c r="G15" s="203">
        <f t="shared" si="1"/>
        <v>5056.2903225806449</v>
      </c>
      <c r="H15" s="203">
        <f t="shared" si="21"/>
        <v>235</v>
      </c>
      <c r="I15" s="203">
        <f t="shared" si="2"/>
        <v>5056.2903225806449</v>
      </c>
      <c r="J15" s="203">
        <f t="shared" si="22"/>
        <v>235</v>
      </c>
      <c r="K15" s="203">
        <f t="shared" si="3"/>
        <v>5056.2903225806449</v>
      </c>
      <c r="L15" s="203">
        <f t="shared" si="23"/>
        <v>235</v>
      </c>
      <c r="M15" s="203">
        <f t="shared" si="4"/>
        <v>5056.2903225806449</v>
      </c>
      <c r="N15" s="203">
        <f t="shared" si="24"/>
        <v>235</v>
      </c>
      <c r="O15" s="203">
        <f t="shared" si="5"/>
        <v>5056.2903225806449</v>
      </c>
      <c r="P15" s="203">
        <f t="shared" si="25"/>
        <v>235</v>
      </c>
      <c r="Q15" s="203">
        <f t="shared" si="6"/>
        <v>5056.2903225806449</v>
      </c>
      <c r="R15" s="203">
        <f t="shared" si="26"/>
        <v>235</v>
      </c>
      <c r="S15" s="203">
        <f t="shared" si="7"/>
        <v>5056.2903225806449</v>
      </c>
      <c r="T15" s="203">
        <f t="shared" si="27"/>
        <v>235</v>
      </c>
      <c r="U15" s="203">
        <f t="shared" si="8"/>
        <v>5056.2903225806449</v>
      </c>
      <c r="V15" s="203">
        <f t="shared" si="28"/>
        <v>235</v>
      </c>
      <c r="W15" s="203">
        <f t="shared" si="9"/>
        <v>5056.2903225806449</v>
      </c>
      <c r="X15" s="35">
        <f t="shared" si="10"/>
        <v>0.75806451612903214</v>
      </c>
      <c r="Y15" s="36">
        <f t="shared" si="29"/>
        <v>55619.193548387091</v>
      </c>
      <c r="Z15" s="203">
        <f>'B5'!C14</f>
        <v>241</v>
      </c>
      <c r="AA15" s="203">
        <f t="shared" si="30"/>
        <v>2410</v>
      </c>
      <c r="AB15" s="203">
        <f t="shared" si="31"/>
        <v>241</v>
      </c>
      <c r="AC15" s="203">
        <f t="shared" si="30"/>
        <v>2410</v>
      </c>
      <c r="AD15" s="203">
        <f t="shared" si="32"/>
        <v>241</v>
      </c>
      <c r="AE15" s="203">
        <f t="shared" si="11"/>
        <v>2410</v>
      </c>
      <c r="AF15" s="203">
        <f t="shared" si="33"/>
        <v>241</v>
      </c>
      <c r="AG15" s="203">
        <f t="shared" si="12"/>
        <v>2410</v>
      </c>
      <c r="AH15" s="203">
        <f t="shared" si="34"/>
        <v>241</v>
      </c>
      <c r="AI15" s="203">
        <f t="shared" si="13"/>
        <v>2410</v>
      </c>
      <c r="AJ15" s="203">
        <f t="shared" si="35"/>
        <v>241</v>
      </c>
      <c r="AK15" s="203">
        <f t="shared" si="14"/>
        <v>2410</v>
      </c>
      <c r="AL15" s="203">
        <f t="shared" si="36"/>
        <v>241</v>
      </c>
      <c r="AM15" s="203">
        <f t="shared" si="15"/>
        <v>2410</v>
      </c>
      <c r="AN15" s="35">
        <f t="shared" si="16"/>
        <v>0.86071428571428577</v>
      </c>
      <c r="AO15" s="36">
        <f t="shared" si="39"/>
        <v>16870</v>
      </c>
      <c r="AQ15" s="223">
        <f t="shared" si="40"/>
        <v>0.77970521187896191</v>
      </c>
      <c r="AR15" s="38">
        <f>Y15+AO15</f>
        <v>72489.193548387091</v>
      </c>
      <c r="AS15" s="197">
        <f t="shared" si="42"/>
        <v>0</v>
      </c>
      <c r="AT15" s="340"/>
      <c r="AU15" s="548"/>
      <c r="AV15" s="485">
        <f>IF(AT15&gt;0,AU15,AV14)</f>
        <v>1.147</v>
      </c>
      <c r="AW15" s="279">
        <f>-SUM('B5'!AI14)</f>
        <v>0</v>
      </c>
      <c r="AX15" s="279">
        <f t="shared" si="17"/>
        <v>0</v>
      </c>
      <c r="AY15" s="37">
        <f t="shared" si="37"/>
        <v>0</v>
      </c>
      <c r="AZ15" s="100">
        <f>ELEC!A13</f>
        <v>0</v>
      </c>
      <c r="BA15" s="118">
        <f>'General information '!D14</f>
        <v>0</v>
      </c>
      <c r="BB15" s="378">
        <f>SUM('General information '!E14)</f>
        <v>0</v>
      </c>
      <c r="BC15" s="3">
        <f t="shared" si="44"/>
        <v>0</v>
      </c>
      <c r="BD15" s="102">
        <v>19222</v>
      </c>
      <c r="BE15" s="14">
        <f>(305/1185)*ELEC!Q14</f>
        <v>0</v>
      </c>
      <c r="BF15" s="14"/>
      <c r="BG15" s="14" t="e">
        <f>#REF!-BE15</f>
        <v>#REF!</v>
      </c>
      <c r="BH15" s="11"/>
      <c r="BI15">
        <v>4</v>
      </c>
      <c r="BJ15">
        <f t="shared" si="38"/>
        <v>0</v>
      </c>
      <c r="BK15" s="538" t="e">
        <f>GEN!AF12</f>
        <v>#DIV/0!</v>
      </c>
    </row>
    <row r="16" spans="1:63">
      <c r="A16" s="425">
        <f>ELEC!C14</f>
        <v>44723</v>
      </c>
      <c r="B16">
        <f>'B5'!B15</f>
        <v>235</v>
      </c>
      <c r="C16" s="203">
        <f t="shared" si="18"/>
        <v>5056.2903225806449</v>
      </c>
      <c r="D16">
        <f t="shared" si="19"/>
        <v>235</v>
      </c>
      <c r="E16" s="203">
        <f t="shared" si="18"/>
        <v>5056.2903225806449</v>
      </c>
      <c r="F16">
        <f t="shared" si="20"/>
        <v>235</v>
      </c>
      <c r="G16" s="203">
        <f t="shared" si="1"/>
        <v>5056.2903225806449</v>
      </c>
      <c r="H16" s="203">
        <f t="shared" si="21"/>
        <v>235</v>
      </c>
      <c r="I16" s="203">
        <f t="shared" si="2"/>
        <v>5056.2903225806449</v>
      </c>
      <c r="J16" s="203">
        <f t="shared" si="22"/>
        <v>235</v>
      </c>
      <c r="K16" s="203">
        <f t="shared" si="3"/>
        <v>5056.2903225806449</v>
      </c>
      <c r="L16" s="203">
        <f t="shared" si="23"/>
        <v>235</v>
      </c>
      <c r="M16" s="203">
        <f t="shared" si="4"/>
        <v>5056.2903225806449</v>
      </c>
      <c r="N16" s="203">
        <f t="shared" si="24"/>
        <v>235</v>
      </c>
      <c r="O16" s="203">
        <f t="shared" si="5"/>
        <v>5056.2903225806449</v>
      </c>
      <c r="P16" s="203">
        <f t="shared" si="25"/>
        <v>235</v>
      </c>
      <c r="Q16" s="203">
        <f t="shared" si="6"/>
        <v>5056.2903225806449</v>
      </c>
      <c r="R16" s="203">
        <f t="shared" si="26"/>
        <v>235</v>
      </c>
      <c r="S16" s="203">
        <f t="shared" si="7"/>
        <v>5056.2903225806449</v>
      </c>
      <c r="T16" s="203">
        <f t="shared" si="27"/>
        <v>235</v>
      </c>
      <c r="U16" s="203">
        <f t="shared" si="8"/>
        <v>5056.2903225806449</v>
      </c>
      <c r="V16" s="203">
        <f t="shared" si="28"/>
        <v>235</v>
      </c>
      <c r="W16" s="203">
        <f t="shared" si="9"/>
        <v>5056.2903225806449</v>
      </c>
      <c r="X16" s="35">
        <f t="shared" si="10"/>
        <v>0.75806451612903214</v>
      </c>
      <c r="Y16" s="36">
        <f t="shared" si="29"/>
        <v>55619.193548387091</v>
      </c>
      <c r="Z16" s="203">
        <f>'B5'!C15</f>
        <v>241</v>
      </c>
      <c r="AA16" s="203">
        <f t="shared" si="30"/>
        <v>2410</v>
      </c>
      <c r="AB16" s="203">
        <f t="shared" si="31"/>
        <v>241</v>
      </c>
      <c r="AC16" s="203">
        <f t="shared" si="30"/>
        <v>2410</v>
      </c>
      <c r="AD16" s="203">
        <f t="shared" si="32"/>
        <v>241</v>
      </c>
      <c r="AE16" s="203">
        <f t="shared" si="11"/>
        <v>2410</v>
      </c>
      <c r="AF16" s="203">
        <f t="shared" si="33"/>
        <v>241</v>
      </c>
      <c r="AG16" s="203">
        <f t="shared" si="12"/>
        <v>2410</v>
      </c>
      <c r="AH16" s="203">
        <f t="shared" si="34"/>
        <v>241</v>
      </c>
      <c r="AI16" s="203">
        <f t="shared" si="13"/>
        <v>2410</v>
      </c>
      <c r="AJ16" s="203">
        <f t="shared" si="35"/>
        <v>241</v>
      </c>
      <c r="AK16" s="203">
        <f t="shared" si="14"/>
        <v>2410</v>
      </c>
      <c r="AL16" s="203">
        <f t="shared" si="36"/>
        <v>241</v>
      </c>
      <c r="AM16" s="203">
        <f t="shared" si="15"/>
        <v>2410</v>
      </c>
      <c r="AN16" s="35">
        <f t="shared" si="16"/>
        <v>0.86071428571428577</v>
      </c>
      <c r="AO16" s="36">
        <f t="shared" si="39"/>
        <v>16870</v>
      </c>
      <c r="AQ16" s="223">
        <f t="shared" si="40"/>
        <v>0.77970521187896191</v>
      </c>
      <c r="AR16" s="38">
        <f t="shared" si="41"/>
        <v>72489.193548387091</v>
      </c>
      <c r="AS16" s="197">
        <f t="shared" si="42"/>
        <v>0</v>
      </c>
      <c r="AT16" s="340"/>
      <c r="AU16" s="548"/>
      <c r="AV16" s="485">
        <f t="shared" ref="AV16:AV21" si="45">IF(AT16&gt;0,AU16,AV15)</f>
        <v>1.147</v>
      </c>
      <c r="AW16" s="279">
        <f>-SUM('B5'!AI15)</f>
        <v>0</v>
      </c>
      <c r="AX16" s="279">
        <f t="shared" si="17"/>
        <v>0</v>
      </c>
      <c r="AY16" s="37">
        <f t="shared" si="37"/>
        <v>0</v>
      </c>
      <c r="AZ16" s="100">
        <f>ELEC!A14</f>
        <v>0</v>
      </c>
      <c r="BA16" s="118">
        <f>'General information '!D15</f>
        <v>0</v>
      </c>
      <c r="BB16" s="378">
        <f>SUM('General information '!E15)</f>
        <v>0</v>
      </c>
      <c r="BC16" s="3">
        <f t="shared" si="44"/>
        <v>0</v>
      </c>
      <c r="BD16" s="102">
        <v>19222</v>
      </c>
      <c r="BE16" s="14">
        <f>(305/1185)*ELEC!Q15</f>
        <v>646.29113924014678</v>
      </c>
      <c r="BF16" s="14"/>
      <c r="BG16" s="14" t="e">
        <f>#REF!-BE16</f>
        <v>#REF!</v>
      </c>
      <c r="BH16" s="11"/>
      <c r="BI16">
        <v>3</v>
      </c>
      <c r="BJ16">
        <f t="shared" si="38"/>
        <v>0</v>
      </c>
      <c r="BK16" s="538" t="e">
        <f>GEN!AF13</f>
        <v>#DIV/0!</v>
      </c>
    </row>
    <row r="17" spans="1:64">
      <c r="A17" s="425">
        <f>ELEC!C15</f>
        <v>44724</v>
      </c>
      <c r="B17">
        <f>'B5'!B16</f>
        <v>233</v>
      </c>
      <c r="C17" s="203">
        <f t="shared" si="18"/>
        <v>5013.2580645161288</v>
      </c>
      <c r="D17">
        <f t="shared" si="19"/>
        <v>233</v>
      </c>
      <c r="E17" s="203">
        <f t="shared" si="18"/>
        <v>5013.2580645161288</v>
      </c>
      <c r="F17">
        <f t="shared" si="20"/>
        <v>233</v>
      </c>
      <c r="G17" s="203">
        <f t="shared" si="1"/>
        <v>5013.2580645161288</v>
      </c>
      <c r="H17" s="203">
        <f t="shared" si="21"/>
        <v>233</v>
      </c>
      <c r="I17" s="203">
        <f t="shared" si="2"/>
        <v>5013.2580645161288</v>
      </c>
      <c r="J17" s="203">
        <f t="shared" si="22"/>
        <v>233</v>
      </c>
      <c r="K17" s="203">
        <f t="shared" si="3"/>
        <v>5013.2580645161288</v>
      </c>
      <c r="L17" s="203">
        <f t="shared" si="23"/>
        <v>233</v>
      </c>
      <c r="M17" s="203">
        <f t="shared" si="4"/>
        <v>5013.2580645161288</v>
      </c>
      <c r="N17" s="203">
        <f t="shared" si="24"/>
        <v>233</v>
      </c>
      <c r="O17" s="203">
        <f t="shared" si="5"/>
        <v>5013.2580645161288</v>
      </c>
      <c r="P17" s="203">
        <f t="shared" si="25"/>
        <v>233</v>
      </c>
      <c r="Q17" s="203">
        <f t="shared" si="6"/>
        <v>5013.2580645161288</v>
      </c>
      <c r="R17" s="203">
        <f t="shared" si="26"/>
        <v>233</v>
      </c>
      <c r="S17" s="203">
        <f t="shared" si="7"/>
        <v>5013.2580645161288</v>
      </c>
      <c r="T17" s="203">
        <f t="shared" si="27"/>
        <v>233</v>
      </c>
      <c r="U17" s="203">
        <f t="shared" si="8"/>
        <v>5013.2580645161288</v>
      </c>
      <c r="V17" s="203">
        <f t="shared" si="28"/>
        <v>233</v>
      </c>
      <c r="W17" s="203">
        <f t="shared" si="9"/>
        <v>5013.2580645161288</v>
      </c>
      <c r="X17" s="35">
        <f t="shared" si="10"/>
        <v>0.75161290322580643</v>
      </c>
      <c r="Y17" s="36">
        <f t="shared" si="29"/>
        <v>55145.838709677417</v>
      </c>
      <c r="Z17" s="203">
        <f>'B5'!C16</f>
        <v>238</v>
      </c>
      <c r="AA17" s="203">
        <f t="shared" si="30"/>
        <v>2380</v>
      </c>
      <c r="AB17" s="203">
        <f t="shared" si="31"/>
        <v>238</v>
      </c>
      <c r="AC17" s="203">
        <f t="shared" si="30"/>
        <v>2380</v>
      </c>
      <c r="AD17" s="203">
        <f t="shared" si="32"/>
        <v>238</v>
      </c>
      <c r="AE17" s="203">
        <f t="shared" si="11"/>
        <v>2380</v>
      </c>
      <c r="AF17" s="203">
        <f t="shared" si="33"/>
        <v>238</v>
      </c>
      <c r="AG17" s="203">
        <f t="shared" si="12"/>
        <v>2380</v>
      </c>
      <c r="AH17" s="203">
        <f t="shared" si="34"/>
        <v>238</v>
      </c>
      <c r="AI17" s="203">
        <f t="shared" si="13"/>
        <v>2380</v>
      </c>
      <c r="AJ17" s="203">
        <f t="shared" si="35"/>
        <v>238</v>
      </c>
      <c r="AK17" s="203">
        <f t="shared" si="14"/>
        <v>2380</v>
      </c>
      <c r="AL17" s="203">
        <f t="shared" si="36"/>
        <v>238</v>
      </c>
      <c r="AM17" s="203">
        <f t="shared" si="15"/>
        <v>2380</v>
      </c>
      <c r="AN17" s="35">
        <f t="shared" si="16"/>
        <v>0.85</v>
      </c>
      <c r="AO17" s="36">
        <f>SUM(AA17+AC17+AE17+AG17+AI17+AK17+AM17)</f>
        <v>16660</v>
      </c>
      <c r="AQ17" s="223">
        <f t="shared" si="40"/>
        <v>0.77235493933179977</v>
      </c>
      <c r="AR17" s="38">
        <f t="shared" si="41"/>
        <v>71805.838709677424</v>
      </c>
      <c r="AS17" s="197">
        <f t="shared" si="42"/>
        <v>-683.35483870966709</v>
      </c>
      <c r="AU17" s="3"/>
      <c r="AV17" s="485">
        <f t="shared" si="45"/>
        <v>1.147</v>
      </c>
      <c r="AW17" s="279">
        <f>-SUM('B5'!AI16)</f>
        <v>-116</v>
      </c>
      <c r="AX17" s="279">
        <f t="shared" si="17"/>
        <v>-567.35483870966709</v>
      </c>
      <c r="AY17" s="37">
        <f t="shared" si="37"/>
        <v>-683.35483870966709</v>
      </c>
      <c r="AZ17" s="100">
        <f>ELEC!A15</f>
        <v>0</v>
      </c>
      <c r="BA17" s="118">
        <f>'General information '!D16</f>
        <v>0</v>
      </c>
      <c r="BB17" s="378">
        <f>SUM('General information '!E16)</f>
        <v>0</v>
      </c>
      <c r="BC17" s="3">
        <f t="shared" si="44"/>
        <v>0</v>
      </c>
      <c r="BD17" s="102">
        <v>19222</v>
      </c>
      <c r="BE17" s="14">
        <f>(305/1185)*ELEC!Q16</f>
        <v>725.82278481005176</v>
      </c>
      <c r="BF17" s="14"/>
      <c r="BG17" s="14" t="e">
        <f>#REF!-BE17</f>
        <v>#REF!</v>
      </c>
      <c r="BH17" s="11"/>
      <c r="BI17">
        <v>4</v>
      </c>
      <c r="BJ17">
        <f t="shared" ref="BJ17:BJ33" si="46">AX17/BI17</f>
        <v>-141.83870967741677</v>
      </c>
      <c r="BK17" s="538">
        <f>GEN!AF14</f>
        <v>0.15693749999991269</v>
      </c>
    </row>
    <row r="18" spans="1:64">
      <c r="A18" s="425">
        <f>ELEC!C16</f>
        <v>44725</v>
      </c>
      <c r="B18">
        <f>'B5'!B17</f>
        <v>228</v>
      </c>
      <c r="C18" s="203">
        <f t="shared" si="18"/>
        <v>4905.677419354839</v>
      </c>
      <c r="D18">
        <f t="shared" si="19"/>
        <v>228</v>
      </c>
      <c r="E18" s="203">
        <f t="shared" si="18"/>
        <v>4905.677419354839</v>
      </c>
      <c r="F18">
        <f t="shared" si="20"/>
        <v>228</v>
      </c>
      <c r="G18" s="203">
        <f t="shared" si="1"/>
        <v>4905.677419354839</v>
      </c>
      <c r="H18" s="203">
        <f t="shared" si="21"/>
        <v>228</v>
      </c>
      <c r="I18" s="203">
        <f t="shared" si="2"/>
        <v>4905.677419354839</v>
      </c>
      <c r="J18" s="203">
        <f t="shared" si="22"/>
        <v>228</v>
      </c>
      <c r="K18" s="203">
        <f t="shared" si="3"/>
        <v>4905.677419354839</v>
      </c>
      <c r="L18" s="203">
        <f t="shared" si="23"/>
        <v>228</v>
      </c>
      <c r="M18" s="203">
        <f t="shared" si="4"/>
        <v>4905.677419354839</v>
      </c>
      <c r="N18" s="203">
        <f t="shared" si="24"/>
        <v>228</v>
      </c>
      <c r="O18" s="203">
        <f t="shared" si="5"/>
        <v>4905.677419354839</v>
      </c>
      <c r="P18" s="203">
        <f t="shared" si="25"/>
        <v>228</v>
      </c>
      <c r="Q18" s="203">
        <f t="shared" si="6"/>
        <v>4905.677419354839</v>
      </c>
      <c r="R18" s="203">
        <f t="shared" si="26"/>
        <v>228</v>
      </c>
      <c r="S18" s="203">
        <f t="shared" si="7"/>
        <v>4905.677419354839</v>
      </c>
      <c r="T18" s="203">
        <f t="shared" si="27"/>
        <v>228</v>
      </c>
      <c r="U18" s="203">
        <f t="shared" si="8"/>
        <v>4905.677419354839</v>
      </c>
      <c r="V18" s="203">
        <f t="shared" si="28"/>
        <v>228</v>
      </c>
      <c r="W18" s="203">
        <f t="shared" si="9"/>
        <v>4905.677419354839</v>
      </c>
      <c r="X18" s="35">
        <f t="shared" si="10"/>
        <v>0.73548387096774215</v>
      </c>
      <c r="Y18" s="36">
        <f t="shared" si="29"/>
        <v>53962.451612903242</v>
      </c>
      <c r="Z18" s="203">
        <f>'B5'!C17</f>
        <v>234</v>
      </c>
      <c r="AA18" s="203">
        <f t="shared" si="30"/>
        <v>2340</v>
      </c>
      <c r="AB18" s="203">
        <f t="shared" si="31"/>
        <v>234</v>
      </c>
      <c r="AC18" s="203">
        <f t="shared" si="30"/>
        <v>2340</v>
      </c>
      <c r="AD18" s="203">
        <f t="shared" si="32"/>
        <v>234</v>
      </c>
      <c r="AE18" s="203">
        <f t="shared" si="11"/>
        <v>2340</v>
      </c>
      <c r="AF18" s="203">
        <f t="shared" si="33"/>
        <v>234</v>
      </c>
      <c r="AG18" s="203">
        <f t="shared" si="12"/>
        <v>2340</v>
      </c>
      <c r="AH18" s="203">
        <f t="shared" si="34"/>
        <v>234</v>
      </c>
      <c r="AI18" s="203">
        <f t="shared" si="13"/>
        <v>2340</v>
      </c>
      <c r="AJ18" s="203">
        <f t="shared" si="35"/>
        <v>234</v>
      </c>
      <c r="AK18" s="203">
        <f t="shared" si="14"/>
        <v>2340</v>
      </c>
      <c r="AL18" s="203">
        <f t="shared" si="36"/>
        <v>234</v>
      </c>
      <c r="AM18" s="203">
        <f t="shared" si="15"/>
        <v>2340</v>
      </c>
      <c r="AN18" s="35">
        <f t="shared" si="16"/>
        <v>0.83571428571428574</v>
      </c>
      <c r="AO18" s="36">
        <f t="shared" si="39"/>
        <v>16380</v>
      </c>
      <c r="AQ18" s="223">
        <f t="shared" si="40"/>
        <v>0.75661451664949164</v>
      </c>
      <c r="AR18" s="38">
        <f t="shared" si="41"/>
        <v>70342.451612903242</v>
      </c>
      <c r="AS18" s="197">
        <f>SUM(AR18-AR17-AT18)</f>
        <v>-1463.3870967741823</v>
      </c>
      <c r="AT18" s="340"/>
      <c r="AU18" s="548"/>
      <c r="AV18" s="485">
        <f t="shared" si="45"/>
        <v>1.147</v>
      </c>
      <c r="AW18" s="279">
        <f>-SUM('B5'!AI17)</f>
        <v>-224</v>
      </c>
      <c r="AX18" s="279">
        <f t="shared" si="17"/>
        <v>-1239.3870967741823</v>
      </c>
      <c r="AY18" s="37">
        <f t="shared" si="37"/>
        <v>-1463.3870967741823</v>
      </c>
      <c r="AZ18" s="100">
        <f>ELEC!A16</f>
        <v>0</v>
      </c>
      <c r="BA18" s="118">
        <f>'General information '!D17</f>
        <v>0</v>
      </c>
      <c r="BB18" s="378">
        <f>SUM('General information '!E17)</f>
        <v>0</v>
      </c>
      <c r="BC18" s="3">
        <f t="shared" si="44"/>
        <v>0</v>
      </c>
      <c r="BD18" s="102">
        <v>19222</v>
      </c>
      <c r="BE18" s="14">
        <f>(305/1185)*ELEC!Q17</f>
        <v>788.62447257438657</v>
      </c>
      <c r="BF18" s="14"/>
      <c r="BG18" s="14" t="e">
        <f>#REF!-BE18</f>
        <v>#REF!</v>
      </c>
      <c r="BH18" s="11"/>
      <c r="BI18">
        <v>5</v>
      </c>
      <c r="BJ18">
        <f t="shared" si="46"/>
        <v>-247.87741935483646</v>
      </c>
      <c r="BK18" s="538"/>
    </row>
    <row r="19" spans="1:64">
      <c r="A19" s="425">
        <f>ELEC!C17</f>
        <v>44726</v>
      </c>
      <c r="B19">
        <f>'B5'!B18</f>
        <v>244</v>
      </c>
      <c r="C19" s="203">
        <f t="shared" si="18"/>
        <v>5249.9354838709678</v>
      </c>
      <c r="D19">
        <f t="shared" si="19"/>
        <v>244</v>
      </c>
      <c r="E19" s="203">
        <f t="shared" si="18"/>
        <v>5249.9354838709678</v>
      </c>
      <c r="F19">
        <f t="shared" si="20"/>
        <v>244</v>
      </c>
      <c r="G19" s="203">
        <f t="shared" si="1"/>
        <v>5249.9354838709678</v>
      </c>
      <c r="H19" s="203">
        <f t="shared" si="21"/>
        <v>244</v>
      </c>
      <c r="I19" s="203">
        <f t="shared" si="2"/>
        <v>5249.9354838709678</v>
      </c>
      <c r="J19" s="203">
        <f t="shared" si="22"/>
        <v>244</v>
      </c>
      <c r="K19" s="203">
        <f t="shared" si="3"/>
        <v>5249.9354838709678</v>
      </c>
      <c r="L19" s="203">
        <f t="shared" si="23"/>
        <v>244</v>
      </c>
      <c r="M19" s="203">
        <f t="shared" si="4"/>
        <v>5249.9354838709678</v>
      </c>
      <c r="N19" s="203">
        <f t="shared" si="24"/>
        <v>244</v>
      </c>
      <c r="O19" s="203">
        <f t="shared" si="5"/>
        <v>5249.9354838709678</v>
      </c>
      <c r="P19" s="203">
        <f t="shared" si="25"/>
        <v>244</v>
      </c>
      <c r="Q19" s="203">
        <f t="shared" si="6"/>
        <v>5249.9354838709678</v>
      </c>
      <c r="R19" s="203">
        <f t="shared" si="26"/>
        <v>244</v>
      </c>
      <c r="S19" s="203">
        <f t="shared" si="7"/>
        <v>5249.9354838709678</v>
      </c>
      <c r="T19" s="203">
        <f t="shared" si="27"/>
        <v>244</v>
      </c>
      <c r="U19" s="203">
        <f t="shared" si="8"/>
        <v>5249.9354838709678</v>
      </c>
      <c r="V19" s="203">
        <f t="shared" si="28"/>
        <v>244</v>
      </c>
      <c r="W19" s="203">
        <f t="shared" si="9"/>
        <v>5249.9354838709678</v>
      </c>
      <c r="X19" s="35">
        <f t="shared" si="10"/>
        <v>0.78709677419354862</v>
      </c>
      <c r="Y19" s="36">
        <f t="shared" si="29"/>
        <v>57749.290322580659</v>
      </c>
      <c r="Z19" s="203">
        <f>'B5'!C18</f>
        <v>250</v>
      </c>
      <c r="AA19" s="203">
        <f t="shared" si="30"/>
        <v>2500</v>
      </c>
      <c r="AB19" s="203">
        <f t="shared" si="31"/>
        <v>250</v>
      </c>
      <c r="AC19" s="203">
        <f t="shared" si="30"/>
        <v>2500</v>
      </c>
      <c r="AD19" s="203">
        <f t="shared" si="32"/>
        <v>250</v>
      </c>
      <c r="AE19" s="203">
        <f t="shared" si="11"/>
        <v>2500</v>
      </c>
      <c r="AF19" s="203">
        <f t="shared" si="33"/>
        <v>250</v>
      </c>
      <c r="AG19" s="203">
        <f t="shared" si="12"/>
        <v>2500</v>
      </c>
      <c r="AH19" s="203">
        <f t="shared" si="34"/>
        <v>250</v>
      </c>
      <c r="AI19" s="203">
        <f t="shared" si="13"/>
        <v>2500</v>
      </c>
      <c r="AJ19" s="203">
        <f t="shared" si="35"/>
        <v>250</v>
      </c>
      <c r="AK19" s="203">
        <f t="shared" si="14"/>
        <v>2500</v>
      </c>
      <c r="AL19" s="203">
        <f t="shared" si="36"/>
        <v>250</v>
      </c>
      <c r="AM19" s="203">
        <f t="shared" si="15"/>
        <v>2500</v>
      </c>
      <c r="AN19" s="35">
        <f t="shared" si="16"/>
        <v>0.8928571428571429</v>
      </c>
      <c r="AO19" s="36">
        <f t="shared" si="39"/>
        <v>17500</v>
      </c>
      <c r="AQ19" s="223">
        <f t="shared" si="40"/>
        <v>0.80939324860256712</v>
      </c>
      <c r="AR19" s="38">
        <f t="shared" si="41"/>
        <v>75249.290322580666</v>
      </c>
      <c r="AS19" s="197">
        <f t="shared" ref="AS19:AS32" si="47">SUM(AR19-AR18-AT19)</f>
        <v>11.838709677424049</v>
      </c>
      <c r="AT19" s="340">
        <v>4895</v>
      </c>
      <c r="AU19" s="548">
        <v>1.2689999999999999</v>
      </c>
      <c r="AV19" s="485">
        <f t="shared" si="45"/>
        <v>1.2689999999999999</v>
      </c>
      <c r="AW19" s="279">
        <f>-SUM('B5'!AI18)</f>
        <v>-72</v>
      </c>
      <c r="AX19" s="279">
        <f t="shared" si="17"/>
        <v>83.838709677424049</v>
      </c>
      <c r="AY19" s="37">
        <f t="shared" si="37"/>
        <v>11.838709677424049</v>
      </c>
      <c r="AZ19" s="100">
        <f>ELEC!A17</f>
        <v>0</v>
      </c>
      <c r="BA19" s="118">
        <f>'General information '!D18</f>
        <v>25</v>
      </c>
      <c r="BB19" s="378">
        <f>SUM('General information '!E18)</f>
        <v>0.72</v>
      </c>
      <c r="BC19" s="3">
        <f t="shared" si="44"/>
        <v>1</v>
      </c>
      <c r="BD19" s="102">
        <v>19222</v>
      </c>
      <c r="BE19" s="14">
        <f>(305/1185)*ELEC!Q18</f>
        <v>763.91561181454085</v>
      </c>
      <c r="BF19" s="14"/>
      <c r="BG19" s="14" t="e">
        <f>#REF!-BE19</f>
        <v>#REF!</v>
      </c>
      <c r="BH19" s="11"/>
      <c r="BI19">
        <v>6</v>
      </c>
      <c r="BJ19">
        <f t="shared" si="46"/>
        <v>13.973118279570675</v>
      </c>
      <c r="BK19" s="538"/>
    </row>
    <row r="20" spans="1:64">
      <c r="A20" s="425">
        <f>ELEC!C18</f>
        <v>44727</v>
      </c>
      <c r="B20">
        <f>'B5'!B19</f>
        <v>239</v>
      </c>
      <c r="C20" s="203">
        <f t="shared" si="18"/>
        <v>5142.3548387096771</v>
      </c>
      <c r="D20">
        <f t="shared" si="19"/>
        <v>239</v>
      </c>
      <c r="E20" s="203">
        <f t="shared" si="18"/>
        <v>5142.3548387096771</v>
      </c>
      <c r="F20">
        <f t="shared" si="20"/>
        <v>239</v>
      </c>
      <c r="G20" s="203">
        <f t="shared" si="1"/>
        <v>5142.3548387096771</v>
      </c>
      <c r="H20" s="203">
        <f t="shared" si="21"/>
        <v>239</v>
      </c>
      <c r="I20" s="203">
        <f t="shared" si="2"/>
        <v>5142.3548387096771</v>
      </c>
      <c r="J20" s="203">
        <f t="shared" si="22"/>
        <v>239</v>
      </c>
      <c r="K20" s="203">
        <f t="shared" si="3"/>
        <v>5142.3548387096771</v>
      </c>
      <c r="L20" s="203">
        <f t="shared" si="23"/>
        <v>239</v>
      </c>
      <c r="M20" s="203">
        <f t="shared" si="4"/>
        <v>5142.3548387096771</v>
      </c>
      <c r="N20" s="203">
        <f t="shared" si="24"/>
        <v>239</v>
      </c>
      <c r="O20" s="203">
        <f t="shared" si="5"/>
        <v>5142.3548387096771</v>
      </c>
      <c r="P20" s="203">
        <f t="shared" si="25"/>
        <v>239</v>
      </c>
      <c r="Q20" s="203">
        <f t="shared" si="6"/>
        <v>5142.3548387096771</v>
      </c>
      <c r="R20" s="203">
        <f t="shared" si="26"/>
        <v>239</v>
      </c>
      <c r="S20" s="203">
        <f t="shared" si="7"/>
        <v>5142.3548387096771</v>
      </c>
      <c r="T20" s="203">
        <f t="shared" si="27"/>
        <v>239</v>
      </c>
      <c r="U20" s="203">
        <f t="shared" si="8"/>
        <v>5142.3548387096771</v>
      </c>
      <c r="V20" s="203">
        <f t="shared" si="28"/>
        <v>239</v>
      </c>
      <c r="W20" s="203">
        <f t="shared" si="9"/>
        <v>5142.3548387096771</v>
      </c>
      <c r="X20" s="35">
        <f t="shared" si="10"/>
        <v>0.77096774193548367</v>
      </c>
      <c r="Y20" s="36">
        <f t="shared" si="29"/>
        <v>56565.90322580644</v>
      </c>
      <c r="Z20" s="203">
        <f>'B5'!C19</f>
        <v>245</v>
      </c>
      <c r="AA20" s="203">
        <f t="shared" si="30"/>
        <v>2450</v>
      </c>
      <c r="AB20" s="203">
        <f t="shared" si="31"/>
        <v>245</v>
      </c>
      <c r="AC20" s="203">
        <f t="shared" si="30"/>
        <v>2450</v>
      </c>
      <c r="AD20" s="203">
        <f t="shared" si="32"/>
        <v>245</v>
      </c>
      <c r="AE20" s="203">
        <f t="shared" si="11"/>
        <v>2450</v>
      </c>
      <c r="AF20" s="203">
        <f t="shared" si="33"/>
        <v>245</v>
      </c>
      <c r="AG20" s="203">
        <f t="shared" si="12"/>
        <v>2450</v>
      </c>
      <c r="AH20" s="203">
        <f t="shared" si="34"/>
        <v>245</v>
      </c>
      <c r="AI20" s="203">
        <f t="shared" si="13"/>
        <v>2450</v>
      </c>
      <c r="AJ20" s="203">
        <f t="shared" si="35"/>
        <v>245</v>
      </c>
      <c r="AK20" s="203">
        <f t="shared" si="14"/>
        <v>2450</v>
      </c>
      <c r="AL20" s="203">
        <f t="shared" si="36"/>
        <v>245</v>
      </c>
      <c r="AM20" s="203">
        <f t="shared" si="15"/>
        <v>2450</v>
      </c>
      <c r="AN20" s="35">
        <f t="shared" si="16"/>
        <v>0.875</v>
      </c>
      <c r="AO20" s="36">
        <f t="shared" si="39"/>
        <v>17150</v>
      </c>
      <c r="AQ20" s="223">
        <f t="shared" si="40"/>
        <v>0.79289989486723067</v>
      </c>
      <c r="AR20" s="38">
        <f t="shared" si="41"/>
        <v>73715.90322580644</v>
      </c>
      <c r="AS20" s="197">
        <f>SUM(AR20-AR19-AT20)</f>
        <v>-1533.3870967742259</v>
      </c>
      <c r="AT20" s="340"/>
      <c r="AU20" s="548"/>
      <c r="AV20" s="485">
        <f t="shared" si="45"/>
        <v>1.2689999999999999</v>
      </c>
      <c r="AW20" s="279">
        <f>-SUM('B5'!AI19)</f>
        <v>-233</v>
      </c>
      <c r="AX20" s="279">
        <f>-SUM(AW20-AS20)</f>
        <v>-1300.3870967742259</v>
      </c>
      <c r="AY20" s="37">
        <f t="shared" si="37"/>
        <v>-1533.3870967742259</v>
      </c>
      <c r="AZ20" s="100">
        <f>ELEC!A18</f>
        <v>0</v>
      </c>
      <c r="BA20" s="118">
        <f>'General information '!D19</f>
        <v>25.5</v>
      </c>
      <c r="BB20" s="378">
        <f>SUM('General information '!E19)</f>
        <v>0.7</v>
      </c>
      <c r="BC20" s="3">
        <f t="shared" si="44"/>
        <v>0</v>
      </c>
      <c r="BD20" s="102">
        <v>19222</v>
      </c>
      <c r="BE20" s="14">
        <f>(305/1185)*ELEC!Q19</f>
        <v>0</v>
      </c>
      <c r="BF20" s="14"/>
      <c r="BG20" s="14" t="e">
        <f>#REF!-BE20</f>
        <v>#REF!</v>
      </c>
      <c r="BH20" s="11"/>
      <c r="BI20">
        <v>7</v>
      </c>
      <c r="BJ20">
        <f t="shared" si="46"/>
        <v>-185.76958525346086</v>
      </c>
      <c r="BK20" s="538">
        <f>GEN!AF17</f>
        <v>0.18550000000004729</v>
      </c>
      <c r="BL20" s="203"/>
    </row>
    <row r="21" spans="1:64">
      <c r="A21" s="425">
        <f>ELEC!C19</f>
        <v>44728</v>
      </c>
      <c r="B21">
        <f>'B5'!B20</f>
        <v>239</v>
      </c>
      <c r="C21" s="203">
        <f t="shared" si="18"/>
        <v>5142.3548387096771</v>
      </c>
      <c r="D21">
        <f t="shared" si="19"/>
        <v>239</v>
      </c>
      <c r="E21" s="203">
        <f t="shared" si="18"/>
        <v>5142.3548387096771</v>
      </c>
      <c r="F21">
        <f t="shared" si="20"/>
        <v>239</v>
      </c>
      <c r="G21" s="203">
        <f t="shared" si="1"/>
        <v>5142.3548387096771</v>
      </c>
      <c r="H21" s="203">
        <f t="shared" si="21"/>
        <v>239</v>
      </c>
      <c r="I21" s="203">
        <f t="shared" si="2"/>
        <v>5142.3548387096771</v>
      </c>
      <c r="J21" s="203">
        <f t="shared" si="22"/>
        <v>239</v>
      </c>
      <c r="K21" s="203">
        <f t="shared" si="3"/>
        <v>5142.3548387096771</v>
      </c>
      <c r="L21" s="203">
        <f t="shared" si="23"/>
        <v>239</v>
      </c>
      <c r="M21" s="203">
        <f t="shared" si="4"/>
        <v>5142.3548387096771</v>
      </c>
      <c r="N21" s="203">
        <f t="shared" si="24"/>
        <v>239</v>
      </c>
      <c r="O21" s="203">
        <f t="shared" si="5"/>
        <v>5142.3548387096771</v>
      </c>
      <c r="P21" s="203">
        <f t="shared" si="25"/>
        <v>239</v>
      </c>
      <c r="Q21" s="203">
        <f t="shared" si="6"/>
        <v>5142.3548387096771</v>
      </c>
      <c r="R21" s="203">
        <f t="shared" si="26"/>
        <v>239</v>
      </c>
      <c r="S21" s="203">
        <f t="shared" si="7"/>
        <v>5142.3548387096771</v>
      </c>
      <c r="T21" s="203">
        <f t="shared" si="27"/>
        <v>239</v>
      </c>
      <c r="U21" s="203">
        <f t="shared" si="8"/>
        <v>5142.3548387096771</v>
      </c>
      <c r="V21" s="203">
        <f t="shared" si="28"/>
        <v>239</v>
      </c>
      <c r="W21" s="203">
        <f t="shared" si="9"/>
        <v>5142.3548387096771</v>
      </c>
      <c r="X21" s="35">
        <f t="shared" si="10"/>
        <v>0.77096774193548367</v>
      </c>
      <c r="Y21" s="36">
        <f t="shared" si="29"/>
        <v>56565.90322580644</v>
      </c>
      <c r="Z21" s="203">
        <f>'B5'!C20</f>
        <v>245</v>
      </c>
      <c r="AA21" s="203">
        <f t="shared" si="30"/>
        <v>2450</v>
      </c>
      <c r="AB21" s="203">
        <f t="shared" si="31"/>
        <v>245</v>
      </c>
      <c r="AC21" s="203">
        <f t="shared" si="30"/>
        <v>2450</v>
      </c>
      <c r="AD21" s="203">
        <f t="shared" si="32"/>
        <v>245</v>
      </c>
      <c r="AE21" s="203">
        <f t="shared" si="11"/>
        <v>2450</v>
      </c>
      <c r="AF21" s="203">
        <f t="shared" si="33"/>
        <v>245</v>
      </c>
      <c r="AG21" s="203">
        <f t="shared" si="12"/>
        <v>2450</v>
      </c>
      <c r="AH21" s="203">
        <f t="shared" si="34"/>
        <v>245</v>
      </c>
      <c r="AI21" s="203">
        <f t="shared" si="13"/>
        <v>2450</v>
      </c>
      <c r="AJ21" s="203">
        <f t="shared" si="35"/>
        <v>245</v>
      </c>
      <c r="AK21" s="203">
        <f t="shared" si="14"/>
        <v>2450</v>
      </c>
      <c r="AL21" s="203">
        <f t="shared" si="36"/>
        <v>245</v>
      </c>
      <c r="AM21" s="203">
        <f t="shared" si="15"/>
        <v>2450</v>
      </c>
      <c r="AN21" s="35">
        <f t="shared" si="16"/>
        <v>0.875</v>
      </c>
      <c r="AO21" s="36">
        <f t="shared" si="39"/>
        <v>17150</v>
      </c>
      <c r="AQ21" s="223">
        <f t="shared" si="40"/>
        <v>0.79289989486723067</v>
      </c>
      <c r="AR21" s="38">
        <f t="shared" si="41"/>
        <v>73715.90322580644</v>
      </c>
      <c r="AS21" s="197">
        <f>SUM(AR21-AR20-AT21)</f>
        <v>0</v>
      </c>
      <c r="AT21" s="340"/>
      <c r="AU21" s="548"/>
      <c r="AV21" s="485">
        <f t="shared" si="45"/>
        <v>1.2689999999999999</v>
      </c>
      <c r="AW21" s="279">
        <f>-SUM('B5'!AI20)</f>
        <v>0</v>
      </c>
      <c r="AX21" s="279">
        <f t="shared" si="17"/>
        <v>0</v>
      </c>
      <c r="AY21" s="37">
        <f t="shared" si="37"/>
        <v>0</v>
      </c>
      <c r="AZ21" s="100">
        <f>ELEC!A19</f>
        <v>0</v>
      </c>
      <c r="BA21" s="118">
        <f>'General information '!D20</f>
        <v>0</v>
      </c>
      <c r="BB21" s="378">
        <f>SUM('General information '!E20)</f>
        <v>0</v>
      </c>
      <c r="BC21" s="3">
        <f t="shared" si="44"/>
        <v>0</v>
      </c>
      <c r="BD21" s="102">
        <v>19222</v>
      </c>
      <c r="BE21" s="14">
        <f>(305/1185)*ELEC!Q20</f>
        <v>0</v>
      </c>
      <c r="BF21" s="14"/>
      <c r="BG21" s="14" t="e">
        <f>#REF!-BE21</f>
        <v>#REF!</v>
      </c>
      <c r="BH21" s="11"/>
      <c r="BI21">
        <v>8</v>
      </c>
      <c r="BJ21">
        <f t="shared" si="46"/>
        <v>0</v>
      </c>
      <c r="BK21" s="538" t="e">
        <f>GEN!AF18</f>
        <v>#DIV/0!</v>
      </c>
    </row>
    <row r="22" spans="1:64">
      <c r="A22" s="425">
        <f>ELEC!C20</f>
        <v>44729</v>
      </c>
      <c r="B22">
        <f>'B5'!B21</f>
        <v>239</v>
      </c>
      <c r="C22" s="203">
        <f t="shared" si="18"/>
        <v>5142.3548387096771</v>
      </c>
      <c r="D22">
        <f t="shared" si="19"/>
        <v>239</v>
      </c>
      <c r="E22" s="203">
        <f t="shared" si="18"/>
        <v>5142.3548387096771</v>
      </c>
      <c r="F22">
        <f t="shared" si="20"/>
        <v>239</v>
      </c>
      <c r="G22" s="203">
        <f t="shared" si="1"/>
        <v>5142.3548387096771</v>
      </c>
      <c r="H22" s="203">
        <f t="shared" si="21"/>
        <v>239</v>
      </c>
      <c r="I22" s="203">
        <f t="shared" si="2"/>
        <v>5142.3548387096771</v>
      </c>
      <c r="J22" s="203">
        <f t="shared" si="22"/>
        <v>239</v>
      </c>
      <c r="K22" s="203">
        <f t="shared" si="3"/>
        <v>5142.3548387096771</v>
      </c>
      <c r="L22" s="203">
        <f t="shared" si="23"/>
        <v>239</v>
      </c>
      <c r="M22" s="203">
        <f t="shared" si="4"/>
        <v>5142.3548387096771</v>
      </c>
      <c r="N22" s="203">
        <f t="shared" si="24"/>
        <v>239</v>
      </c>
      <c r="O22" s="203">
        <f t="shared" si="5"/>
        <v>5142.3548387096771</v>
      </c>
      <c r="P22" s="203">
        <f t="shared" si="25"/>
        <v>239</v>
      </c>
      <c r="Q22" s="203">
        <f t="shared" si="6"/>
        <v>5142.3548387096771</v>
      </c>
      <c r="R22" s="203">
        <f t="shared" si="26"/>
        <v>239</v>
      </c>
      <c r="S22" s="203">
        <f t="shared" si="7"/>
        <v>5142.3548387096771</v>
      </c>
      <c r="T22" s="203">
        <f t="shared" si="27"/>
        <v>239</v>
      </c>
      <c r="U22" s="203">
        <f t="shared" si="8"/>
        <v>5142.3548387096771</v>
      </c>
      <c r="V22" s="203">
        <f t="shared" si="28"/>
        <v>239</v>
      </c>
      <c r="W22" s="203">
        <f t="shared" si="9"/>
        <v>5142.3548387096771</v>
      </c>
      <c r="X22" s="35">
        <f t="shared" si="10"/>
        <v>0.77096774193548367</v>
      </c>
      <c r="Y22" s="36">
        <f t="shared" si="29"/>
        <v>56565.90322580644</v>
      </c>
      <c r="Z22" s="203">
        <f>'B5'!C21</f>
        <v>245</v>
      </c>
      <c r="AA22" s="203">
        <f t="shared" si="30"/>
        <v>2450</v>
      </c>
      <c r="AB22" s="203">
        <f t="shared" si="31"/>
        <v>245</v>
      </c>
      <c r="AC22" s="203">
        <f t="shared" si="30"/>
        <v>2450</v>
      </c>
      <c r="AD22" s="203">
        <f t="shared" si="32"/>
        <v>245</v>
      </c>
      <c r="AE22" s="203">
        <f t="shared" si="11"/>
        <v>2450</v>
      </c>
      <c r="AF22" s="203">
        <f t="shared" si="33"/>
        <v>245</v>
      </c>
      <c r="AG22" s="203">
        <f t="shared" si="12"/>
        <v>2450</v>
      </c>
      <c r="AH22" s="203">
        <f t="shared" si="34"/>
        <v>245</v>
      </c>
      <c r="AI22" s="203">
        <f t="shared" si="13"/>
        <v>2450</v>
      </c>
      <c r="AJ22" s="203">
        <f t="shared" si="35"/>
        <v>245</v>
      </c>
      <c r="AK22" s="203">
        <f t="shared" si="14"/>
        <v>2450</v>
      </c>
      <c r="AL22" s="203">
        <f t="shared" si="36"/>
        <v>245</v>
      </c>
      <c r="AM22" s="203">
        <f t="shared" si="15"/>
        <v>2450</v>
      </c>
      <c r="AN22" s="35">
        <f t="shared" si="16"/>
        <v>0.875</v>
      </c>
      <c r="AO22" s="36">
        <f t="shared" si="39"/>
        <v>17150</v>
      </c>
      <c r="AQ22" s="223">
        <f t="shared" si="40"/>
        <v>0.79289989486723067</v>
      </c>
      <c r="AR22" s="38">
        <f t="shared" si="41"/>
        <v>73715.90322580644</v>
      </c>
      <c r="AS22" s="197">
        <f t="shared" si="47"/>
        <v>0</v>
      </c>
      <c r="AT22" s="340"/>
      <c r="AU22" s="548"/>
      <c r="AV22" s="485">
        <f t="shared" si="43"/>
        <v>1.2689999999999999</v>
      </c>
      <c r="AW22" s="279">
        <f>-SUM('B5'!AI21)</f>
        <v>0</v>
      </c>
      <c r="AX22" s="279">
        <f>-SUM(AW22-AS22)</f>
        <v>0</v>
      </c>
      <c r="AY22" s="37">
        <f t="shared" si="37"/>
        <v>0</v>
      </c>
      <c r="AZ22" s="100">
        <f>ELEC!A20</f>
        <v>0</v>
      </c>
      <c r="BA22" s="118">
        <f>'General information '!D21</f>
        <v>0</v>
      </c>
      <c r="BB22" s="378">
        <f>SUM('General information '!E21)</f>
        <v>0</v>
      </c>
      <c r="BC22" s="3">
        <f t="shared" si="44"/>
        <v>0</v>
      </c>
      <c r="BD22" s="102">
        <v>19222</v>
      </c>
      <c r="BE22" s="14">
        <f>(305/1185)*ELEC!Q21</f>
        <v>0</v>
      </c>
      <c r="BF22" s="14"/>
      <c r="BG22" s="14" t="e">
        <f>#REF!-BE22</f>
        <v>#REF!</v>
      </c>
      <c r="BH22" s="11"/>
      <c r="BI22">
        <v>9</v>
      </c>
      <c r="BJ22">
        <f t="shared" si="46"/>
        <v>0</v>
      </c>
      <c r="BK22" s="538" t="e">
        <f>GEN!AF19</f>
        <v>#DIV/0!</v>
      </c>
    </row>
    <row r="23" spans="1:64">
      <c r="A23" s="425">
        <f>ELEC!C21</f>
        <v>44730</v>
      </c>
      <c r="B23">
        <f>'B5'!B22</f>
        <v>239</v>
      </c>
      <c r="C23" s="203">
        <f t="shared" si="18"/>
        <v>5142.3548387096771</v>
      </c>
      <c r="D23">
        <f t="shared" si="19"/>
        <v>239</v>
      </c>
      <c r="E23" s="203">
        <f t="shared" si="18"/>
        <v>5142.3548387096771</v>
      </c>
      <c r="F23">
        <f t="shared" si="20"/>
        <v>239</v>
      </c>
      <c r="G23" s="203">
        <f t="shared" si="1"/>
        <v>5142.3548387096771</v>
      </c>
      <c r="H23" s="203">
        <f t="shared" si="21"/>
        <v>239</v>
      </c>
      <c r="I23" s="203">
        <f t="shared" si="2"/>
        <v>5142.3548387096771</v>
      </c>
      <c r="J23" s="203">
        <f t="shared" si="22"/>
        <v>239</v>
      </c>
      <c r="K23" s="203">
        <f t="shared" si="3"/>
        <v>5142.3548387096771</v>
      </c>
      <c r="L23" s="203">
        <f t="shared" si="23"/>
        <v>239</v>
      </c>
      <c r="M23" s="203">
        <f t="shared" si="4"/>
        <v>5142.3548387096771</v>
      </c>
      <c r="N23" s="203">
        <f t="shared" si="24"/>
        <v>239</v>
      </c>
      <c r="O23" s="203">
        <f t="shared" si="5"/>
        <v>5142.3548387096771</v>
      </c>
      <c r="P23" s="203">
        <f t="shared" si="25"/>
        <v>239</v>
      </c>
      <c r="Q23" s="203">
        <f t="shared" si="6"/>
        <v>5142.3548387096771</v>
      </c>
      <c r="R23" s="203">
        <f t="shared" si="26"/>
        <v>239</v>
      </c>
      <c r="S23" s="203">
        <f t="shared" si="7"/>
        <v>5142.3548387096771</v>
      </c>
      <c r="T23" s="203">
        <f t="shared" si="27"/>
        <v>239</v>
      </c>
      <c r="U23" s="203">
        <f t="shared" si="8"/>
        <v>5142.3548387096771</v>
      </c>
      <c r="V23" s="203">
        <f t="shared" si="28"/>
        <v>239</v>
      </c>
      <c r="W23" s="203">
        <f t="shared" si="9"/>
        <v>5142.3548387096771</v>
      </c>
      <c r="X23" s="35">
        <f t="shared" si="10"/>
        <v>0.77096774193548367</v>
      </c>
      <c r="Y23" s="36">
        <f t="shared" si="29"/>
        <v>56565.90322580644</v>
      </c>
      <c r="Z23" s="203">
        <f>'B5'!C22</f>
        <v>245</v>
      </c>
      <c r="AA23" s="203">
        <f t="shared" si="30"/>
        <v>2450</v>
      </c>
      <c r="AB23" s="203">
        <f t="shared" si="31"/>
        <v>245</v>
      </c>
      <c r="AC23" s="203">
        <f t="shared" si="30"/>
        <v>2450</v>
      </c>
      <c r="AD23" s="203">
        <f t="shared" si="32"/>
        <v>245</v>
      </c>
      <c r="AE23" s="203">
        <f t="shared" si="11"/>
        <v>2450</v>
      </c>
      <c r="AF23" s="203">
        <f t="shared" si="33"/>
        <v>245</v>
      </c>
      <c r="AG23" s="203">
        <f t="shared" si="12"/>
        <v>2450</v>
      </c>
      <c r="AH23" s="203">
        <f t="shared" si="34"/>
        <v>245</v>
      </c>
      <c r="AI23" s="203">
        <f t="shared" si="13"/>
        <v>2450</v>
      </c>
      <c r="AJ23" s="203">
        <f t="shared" si="35"/>
        <v>245</v>
      </c>
      <c r="AK23" s="203">
        <f t="shared" si="14"/>
        <v>2450</v>
      </c>
      <c r="AL23" s="203">
        <f t="shared" si="36"/>
        <v>245</v>
      </c>
      <c r="AM23" s="203">
        <f t="shared" si="15"/>
        <v>2450</v>
      </c>
      <c r="AN23" s="35">
        <f t="shared" si="16"/>
        <v>0.875</v>
      </c>
      <c r="AO23" s="36">
        <f t="shared" si="39"/>
        <v>17150</v>
      </c>
      <c r="AQ23" s="223">
        <f t="shared" si="40"/>
        <v>0.79289989486723067</v>
      </c>
      <c r="AR23" s="38">
        <f t="shared" si="41"/>
        <v>73715.90322580644</v>
      </c>
      <c r="AS23" s="197">
        <f t="shared" si="47"/>
        <v>0</v>
      </c>
      <c r="AT23" s="340"/>
      <c r="AU23" s="548"/>
      <c r="AV23" s="485">
        <f t="shared" si="43"/>
        <v>1.2689999999999999</v>
      </c>
      <c r="AW23" s="279">
        <f>-SUM('B5'!AI22)</f>
        <v>0</v>
      </c>
      <c r="AX23" s="279">
        <f t="shared" si="17"/>
        <v>0</v>
      </c>
      <c r="AY23" s="37">
        <f t="shared" si="37"/>
        <v>0</v>
      </c>
      <c r="AZ23" s="100">
        <f>ELEC!A21</f>
        <v>0</v>
      </c>
      <c r="BA23" s="118">
        <f>'General information '!D22</f>
        <v>0</v>
      </c>
      <c r="BB23" s="378">
        <f>SUM('General information '!E22)</f>
        <v>0</v>
      </c>
      <c r="BC23" s="3">
        <f t="shared" si="44"/>
        <v>0</v>
      </c>
      <c r="BD23" s="102">
        <v>19222</v>
      </c>
      <c r="BE23" s="14">
        <f>(305/1185)*ELEC!Q22</f>
        <v>0</v>
      </c>
      <c r="BF23" s="14"/>
      <c r="BG23" s="14" t="e">
        <f>#REF!-BE23</f>
        <v>#REF!</v>
      </c>
      <c r="BH23" s="11"/>
      <c r="BI23">
        <v>10</v>
      </c>
      <c r="BJ23">
        <f t="shared" si="46"/>
        <v>0</v>
      </c>
      <c r="BK23" s="538" t="e">
        <f>GEN!AF20</f>
        <v>#DIV/0!</v>
      </c>
    </row>
    <row r="24" spans="1:64">
      <c r="A24" s="425">
        <f>ELEC!C22</f>
        <v>44731</v>
      </c>
      <c r="B24">
        <f>'B5'!B23</f>
        <v>239</v>
      </c>
      <c r="C24" s="203">
        <f t="shared" si="18"/>
        <v>5142.3548387096771</v>
      </c>
      <c r="D24">
        <f t="shared" si="19"/>
        <v>239</v>
      </c>
      <c r="E24" s="203">
        <f t="shared" si="18"/>
        <v>5142.3548387096771</v>
      </c>
      <c r="F24">
        <f t="shared" si="20"/>
        <v>239</v>
      </c>
      <c r="G24" s="203">
        <f t="shared" si="1"/>
        <v>5142.3548387096771</v>
      </c>
      <c r="H24" s="203">
        <f t="shared" si="21"/>
        <v>239</v>
      </c>
      <c r="I24" s="203">
        <f t="shared" si="2"/>
        <v>5142.3548387096771</v>
      </c>
      <c r="J24" s="203">
        <f t="shared" si="22"/>
        <v>239</v>
      </c>
      <c r="K24" s="203">
        <f t="shared" si="3"/>
        <v>5142.3548387096771</v>
      </c>
      <c r="L24" s="203">
        <f t="shared" si="23"/>
        <v>239</v>
      </c>
      <c r="M24" s="203">
        <f t="shared" si="4"/>
        <v>5142.3548387096771</v>
      </c>
      <c r="N24" s="203">
        <f t="shared" si="24"/>
        <v>239</v>
      </c>
      <c r="O24" s="203">
        <f t="shared" si="5"/>
        <v>5142.3548387096771</v>
      </c>
      <c r="P24" s="203">
        <f t="shared" si="25"/>
        <v>239</v>
      </c>
      <c r="Q24" s="203">
        <f t="shared" si="6"/>
        <v>5142.3548387096771</v>
      </c>
      <c r="R24" s="203">
        <f t="shared" si="26"/>
        <v>239</v>
      </c>
      <c r="S24" s="203">
        <f t="shared" si="7"/>
        <v>5142.3548387096771</v>
      </c>
      <c r="T24" s="203">
        <f t="shared" si="27"/>
        <v>239</v>
      </c>
      <c r="U24" s="203">
        <f t="shared" si="8"/>
        <v>5142.3548387096771</v>
      </c>
      <c r="V24" s="203">
        <f t="shared" si="28"/>
        <v>239</v>
      </c>
      <c r="W24" s="203">
        <f t="shared" si="9"/>
        <v>5142.3548387096771</v>
      </c>
      <c r="X24" s="35">
        <f t="shared" si="10"/>
        <v>0.77096774193548367</v>
      </c>
      <c r="Y24" s="36">
        <f t="shared" si="29"/>
        <v>56565.90322580644</v>
      </c>
      <c r="Z24" s="203">
        <f>'B5'!C23</f>
        <v>245</v>
      </c>
      <c r="AA24" s="203">
        <f t="shared" si="30"/>
        <v>2450</v>
      </c>
      <c r="AB24" s="203">
        <f t="shared" si="31"/>
        <v>245</v>
      </c>
      <c r="AC24" s="203">
        <f t="shared" si="30"/>
        <v>2450</v>
      </c>
      <c r="AD24" s="203">
        <f t="shared" si="32"/>
        <v>245</v>
      </c>
      <c r="AE24" s="203">
        <f t="shared" si="11"/>
        <v>2450</v>
      </c>
      <c r="AF24" s="203">
        <f t="shared" si="33"/>
        <v>245</v>
      </c>
      <c r="AG24" s="203">
        <f t="shared" si="12"/>
        <v>2450</v>
      </c>
      <c r="AH24" s="203">
        <f t="shared" si="34"/>
        <v>245</v>
      </c>
      <c r="AI24" s="203">
        <f t="shared" si="13"/>
        <v>2450</v>
      </c>
      <c r="AJ24" s="203">
        <f t="shared" si="35"/>
        <v>245</v>
      </c>
      <c r="AK24" s="203">
        <f t="shared" si="14"/>
        <v>2450</v>
      </c>
      <c r="AL24" s="203">
        <f t="shared" si="36"/>
        <v>245</v>
      </c>
      <c r="AM24" s="203">
        <f t="shared" si="15"/>
        <v>2450</v>
      </c>
      <c r="AN24" s="35">
        <f t="shared" si="16"/>
        <v>0.875</v>
      </c>
      <c r="AO24" s="36">
        <f t="shared" si="39"/>
        <v>17150</v>
      </c>
      <c r="AQ24" s="223">
        <f t="shared" si="40"/>
        <v>0.79289989486723067</v>
      </c>
      <c r="AR24" s="38">
        <f t="shared" si="41"/>
        <v>73715.90322580644</v>
      </c>
      <c r="AS24" s="197">
        <f t="shared" si="47"/>
        <v>0</v>
      </c>
      <c r="AT24" s="340"/>
      <c r="AU24" s="548"/>
      <c r="AV24" s="485">
        <f t="shared" si="43"/>
        <v>1.2689999999999999</v>
      </c>
      <c r="AW24" s="279">
        <f>-SUM('B5'!AI23)</f>
        <v>0</v>
      </c>
      <c r="AX24" s="279">
        <f t="shared" si="17"/>
        <v>0</v>
      </c>
      <c r="AY24" s="37">
        <f t="shared" si="37"/>
        <v>0</v>
      </c>
      <c r="AZ24" s="100">
        <f>ELEC!A22</f>
        <v>0</v>
      </c>
      <c r="BA24" s="118">
        <f>'General information '!D23</f>
        <v>0</v>
      </c>
      <c r="BB24" s="378">
        <f>SUM('General information '!E23)</f>
        <v>0</v>
      </c>
      <c r="BC24" s="3">
        <f t="shared" si="44"/>
        <v>0</v>
      </c>
      <c r="BD24" s="102">
        <v>19222</v>
      </c>
      <c r="BE24" s="14">
        <f>(305/1185)*ELEC!Q23</f>
        <v>0</v>
      </c>
      <c r="BF24" s="14"/>
      <c r="BG24" s="14" t="e">
        <f>#REF!-BE24</f>
        <v>#REF!</v>
      </c>
      <c r="BH24" s="11"/>
      <c r="BI24">
        <v>11</v>
      </c>
      <c r="BJ24">
        <f t="shared" si="46"/>
        <v>0</v>
      </c>
      <c r="BK24" s="538" t="e">
        <f>GEN!AF21</f>
        <v>#DIV/0!</v>
      </c>
    </row>
    <row r="25" spans="1:64">
      <c r="A25" s="425">
        <f>ELEC!C23</f>
        <v>44732</v>
      </c>
      <c r="B25">
        <f>'B5'!B24</f>
        <v>239</v>
      </c>
      <c r="C25" s="203">
        <f t="shared" si="18"/>
        <v>5142.3548387096771</v>
      </c>
      <c r="D25">
        <f t="shared" si="19"/>
        <v>239</v>
      </c>
      <c r="E25" s="203">
        <f t="shared" si="18"/>
        <v>5142.3548387096771</v>
      </c>
      <c r="F25">
        <f t="shared" si="20"/>
        <v>239</v>
      </c>
      <c r="G25" s="203">
        <f t="shared" si="1"/>
        <v>5142.3548387096771</v>
      </c>
      <c r="H25" s="203">
        <f t="shared" si="21"/>
        <v>239</v>
      </c>
      <c r="I25" s="203">
        <f t="shared" si="2"/>
        <v>5142.3548387096771</v>
      </c>
      <c r="J25" s="203">
        <f t="shared" si="22"/>
        <v>239</v>
      </c>
      <c r="K25" s="203">
        <f t="shared" si="3"/>
        <v>5142.3548387096771</v>
      </c>
      <c r="L25" s="203">
        <f t="shared" si="23"/>
        <v>239</v>
      </c>
      <c r="M25" s="203">
        <f t="shared" si="4"/>
        <v>5142.3548387096771</v>
      </c>
      <c r="N25" s="203">
        <f t="shared" si="24"/>
        <v>239</v>
      </c>
      <c r="O25" s="203">
        <f t="shared" si="5"/>
        <v>5142.3548387096771</v>
      </c>
      <c r="P25" s="203">
        <f t="shared" si="25"/>
        <v>239</v>
      </c>
      <c r="Q25" s="203">
        <f t="shared" si="6"/>
        <v>5142.3548387096771</v>
      </c>
      <c r="R25" s="203">
        <f t="shared" si="26"/>
        <v>239</v>
      </c>
      <c r="S25" s="203">
        <f t="shared" si="7"/>
        <v>5142.3548387096771</v>
      </c>
      <c r="T25" s="203">
        <f t="shared" si="27"/>
        <v>239</v>
      </c>
      <c r="U25" s="203">
        <f t="shared" si="8"/>
        <v>5142.3548387096771</v>
      </c>
      <c r="V25" s="203">
        <f t="shared" si="28"/>
        <v>239</v>
      </c>
      <c r="W25" s="203">
        <f t="shared" si="9"/>
        <v>5142.3548387096771</v>
      </c>
      <c r="X25" s="35">
        <f t="shared" si="10"/>
        <v>0.77096774193548367</v>
      </c>
      <c r="Y25" s="36">
        <f t="shared" si="29"/>
        <v>56565.90322580644</v>
      </c>
      <c r="Z25" s="203">
        <f>'B5'!C24</f>
        <v>245</v>
      </c>
      <c r="AA25" s="203">
        <f t="shared" si="30"/>
        <v>2450</v>
      </c>
      <c r="AB25" s="203">
        <f t="shared" si="31"/>
        <v>245</v>
      </c>
      <c r="AC25" s="203">
        <f t="shared" si="30"/>
        <v>2450</v>
      </c>
      <c r="AD25" s="203">
        <f t="shared" si="32"/>
        <v>245</v>
      </c>
      <c r="AE25" s="203">
        <f t="shared" si="11"/>
        <v>2450</v>
      </c>
      <c r="AF25" s="203">
        <f t="shared" si="33"/>
        <v>245</v>
      </c>
      <c r="AG25" s="203">
        <f t="shared" si="12"/>
        <v>2450</v>
      </c>
      <c r="AH25" s="203">
        <f t="shared" si="34"/>
        <v>245</v>
      </c>
      <c r="AI25" s="203">
        <f t="shared" si="13"/>
        <v>2450</v>
      </c>
      <c r="AJ25" s="203">
        <f t="shared" si="35"/>
        <v>245</v>
      </c>
      <c r="AK25" s="203">
        <f t="shared" si="14"/>
        <v>2450</v>
      </c>
      <c r="AL25" s="203">
        <f t="shared" si="36"/>
        <v>245</v>
      </c>
      <c r="AM25" s="203">
        <f t="shared" si="15"/>
        <v>2450</v>
      </c>
      <c r="AN25" s="35">
        <f t="shared" si="16"/>
        <v>0.875</v>
      </c>
      <c r="AO25" s="36">
        <f t="shared" si="39"/>
        <v>17150</v>
      </c>
      <c r="AQ25" s="223">
        <f t="shared" si="40"/>
        <v>0.79289989486723067</v>
      </c>
      <c r="AR25" s="38">
        <f>Y25+AO25</f>
        <v>73715.90322580644</v>
      </c>
      <c r="AS25" s="197">
        <f t="shared" si="47"/>
        <v>0</v>
      </c>
      <c r="AT25" s="340"/>
      <c r="AU25" s="549"/>
      <c r="AV25" s="485">
        <f t="shared" si="43"/>
        <v>1.2689999999999999</v>
      </c>
      <c r="AW25" s="279">
        <f>-SUM('B5'!AI24)</f>
        <v>0</v>
      </c>
      <c r="AX25" s="279">
        <f t="shared" si="17"/>
        <v>0</v>
      </c>
      <c r="AY25" s="37">
        <f t="shared" si="37"/>
        <v>0</v>
      </c>
      <c r="AZ25" s="100">
        <f>ELEC!A23</f>
        <v>0</v>
      </c>
      <c r="BA25" s="118">
        <f>'General information '!D24</f>
        <v>0</v>
      </c>
      <c r="BB25" s="378">
        <f>SUM('General information '!E24)</f>
        <v>0</v>
      </c>
      <c r="BC25" s="3">
        <f t="shared" si="44"/>
        <v>0</v>
      </c>
      <c r="BD25" s="102">
        <v>19222</v>
      </c>
      <c r="BE25" s="14">
        <f>(305/1185)*ELEC!Q24</f>
        <v>0</v>
      </c>
      <c r="BF25" s="14"/>
      <c r="BG25" s="14" t="e">
        <f>#REF!-BE25</f>
        <v>#REF!</v>
      </c>
      <c r="BH25" s="11"/>
      <c r="BI25">
        <v>12</v>
      </c>
      <c r="BJ25">
        <f t="shared" si="46"/>
        <v>0</v>
      </c>
      <c r="BK25" s="538"/>
    </row>
    <row r="26" spans="1:64">
      <c r="A26" s="425">
        <f>ELEC!C24</f>
        <v>44733</v>
      </c>
      <c r="B26">
        <f>'B5'!B25</f>
        <v>239</v>
      </c>
      <c r="C26" s="203">
        <f t="shared" si="18"/>
        <v>5142.3548387096771</v>
      </c>
      <c r="D26">
        <f t="shared" si="19"/>
        <v>239</v>
      </c>
      <c r="E26" s="203">
        <f t="shared" si="18"/>
        <v>5142.3548387096771</v>
      </c>
      <c r="F26">
        <f t="shared" si="20"/>
        <v>239</v>
      </c>
      <c r="G26" s="203">
        <f t="shared" si="1"/>
        <v>5142.3548387096771</v>
      </c>
      <c r="H26" s="203">
        <f t="shared" si="21"/>
        <v>239</v>
      </c>
      <c r="I26" s="203">
        <f t="shared" si="2"/>
        <v>5142.3548387096771</v>
      </c>
      <c r="J26" s="203">
        <f t="shared" si="22"/>
        <v>239</v>
      </c>
      <c r="K26" s="203">
        <f t="shared" si="3"/>
        <v>5142.3548387096771</v>
      </c>
      <c r="L26" s="203">
        <f t="shared" si="23"/>
        <v>239</v>
      </c>
      <c r="M26" s="203">
        <f t="shared" si="4"/>
        <v>5142.3548387096771</v>
      </c>
      <c r="N26" s="203">
        <f t="shared" si="24"/>
        <v>239</v>
      </c>
      <c r="O26" s="203">
        <f t="shared" si="5"/>
        <v>5142.3548387096771</v>
      </c>
      <c r="P26" s="203">
        <f t="shared" si="25"/>
        <v>239</v>
      </c>
      <c r="Q26" s="203">
        <f t="shared" si="6"/>
        <v>5142.3548387096771</v>
      </c>
      <c r="R26" s="203">
        <f t="shared" si="26"/>
        <v>239</v>
      </c>
      <c r="S26" s="203">
        <f t="shared" si="7"/>
        <v>5142.3548387096771</v>
      </c>
      <c r="T26" s="203">
        <f t="shared" si="27"/>
        <v>239</v>
      </c>
      <c r="U26" s="203">
        <f t="shared" si="8"/>
        <v>5142.3548387096771</v>
      </c>
      <c r="V26" s="203">
        <f t="shared" si="28"/>
        <v>239</v>
      </c>
      <c r="W26" s="203">
        <f t="shared" si="9"/>
        <v>5142.3548387096771</v>
      </c>
      <c r="X26" s="35">
        <f t="shared" si="10"/>
        <v>0.77096774193548367</v>
      </c>
      <c r="Y26" s="36">
        <f t="shared" si="29"/>
        <v>56565.90322580644</v>
      </c>
      <c r="Z26" s="203">
        <f>'B5'!C25</f>
        <v>245</v>
      </c>
      <c r="AA26" s="203">
        <f t="shared" si="30"/>
        <v>2450</v>
      </c>
      <c r="AB26" s="203">
        <f t="shared" si="31"/>
        <v>245</v>
      </c>
      <c r="AC26" s="203">
        <f t="shared" si="30"/>
        <v>2450</v>
      </c>
      <c r="AD26" s="203">
        <f t="shared" si="32"/>
        <v>245</v>
      </c>
      <c r="AE26" s="203">
        <f t="shared" si="11"/>
        <v>2450</v>
      </c>
      <c r="AF26" s="203">
        <f t="shared" si="33"/>
        <v>245</v>
      </c>
      <c r="AG26" s="203">
        <f t="shared" si="12"/>
        <v>2450</v>
      </c>
      <c r="AH26" s="203">
        <f t="shared" si="34"/>
        <v>245</v>
      </c>
      <c r="AI26" s="203">
        <f t="shared" si="13"/>
        <v>2450</v>
      </c>
      <c r="AJ26" s="203">
        <f t="shared" si="35"/>
        <v>245</v>
      </c>
      <c r="AK26" s="203">
        <f t="shared" si="14"/>
        <v>2450</v>
      </c>
      <c r="AL26" s="203">
        <f t="shared" si="36"/>
        <v>245</v>
      </c>
      <c r="AM26" s="203">
        <f t="shared" si="15"/>
        <v>2450</v>
      </c>
      <c r="AN26" s="35">
        <f t="shared" si="16"/>
        <v>0.875</v>
      </c>
      <c r="AO26" s="36">
        <f t="shared" si="39"/>
        <v>17150</v>
      </c>
      <c r="AQ26" s="223">
        <f t="shared" si="40"/>
        <v>0.79289989486723067</v>
      </c>
      <c r="AR26" s="38">
        <f>Y26+AO26</f>
        <v>73715.90322580644</v>
      </c>
      <c r="AS26" s="197">
        <f t="shared" si="47"/>
        <v>0</v>
      </c>
      <c r="AT26" s="340"/>
      <c r="AU26" s="548"/>
      <c r="AV26" s="485">
        <f t="shared" si="43"/>
        <v>1.2689999999999999</v>
      </c>
      <c r="AW26" s="279">
        <f>-SUM('B5'!AI25)</f>
        <v>0</v>
      </c>
      <c r="AX26" s="279">
        <f t="shared" si="17"/>
        <v>0</v>
      </c>
      <c r="AY26" s="37">
        <f t="shared" si="37"/>
        <v>0</v>
      </c>
      <c r="AZ26" s="100">
        <f>ELEC!A24</f>
        <v>0</v>
      </c>
      <c r="BA26" s="118">
        <f>'General information '!D25</f>
        <v>0</v>
      </c>
      <c r="BB26" s="378">
        <f>SUM('General information '!E25)</f>
        <v>0</v>
      </c>
      <c r="BC26" s="3">
        <f t="shared" si="44"/>
        <v>0</v>
      </c>
      <c r="BD26" s="102">
        <v>19222</v>
      </c>
      <c r="BE26" s="14">
        <f>(305/1185)*ELEC!Q25</f>
        <v>0</v>
      </c>
      <c r="BF26" s="14"/>
      <c r="BG26" s="14" t="e">
        <f>#REF!-BE26</f>
        <v>#REF!</v>
      </c>
      <c r="BH26" s="11"/>
      <c r="BI26">
        <v>13</v>
      </c>
      <c r="BJ26">
        <f t="shared" si="46"/>
        <v>0</v>
      </c>
      <c r="BK26" s="538"/>
    </row>
    <row r="27" spans="1:64">
      <c r="A27" s="425">
        <f>ELEC!C25</f>
        <v>44734</v>
      </c>
      <c r="B27">
        <f>'B5'!B26</f>
        <v>239</v>
      </c>
      <c r="C27" s="203">
        <f t="shared" si="18"/>
        <v>5142.3548387096771</v>
      </c>
      <c r="D27">
        <f t="shared" si="19"/>
        <v>239</v>
      </c>
      <c r="E27" s="203">
        <f t="shared" si="18"/>
        <v>5142.3548387096771</v>
      </c>
      <c r="F27">
        <f t="shared" si="20"/>
        <v>239</v>
      </c>
      <c r="G27" s="203">
        <f t="shared" si="1"/>
        <v>5142.3548387096771</v>
      </c>
      <c r="H27" s="203">
        <f t="shared" si="21"/>
        <v>239</v>
      </c>
      <c r="I27" s="203">
        <f t="shared" si="2"/>
        <v>5142.3548387096771</v>
      </c>
      <c r="J27" s="203">
        <f t="shared" si="22"/>
        <v>239</v>
      </c>
      <c r="K27" s="203">
        <f t="shared" si="3"/>
        <v>5142.3548387096771</v>
      </c>
      <c r="L27" s="203">
        <f t="shared" si="23"/>
        <v>239</v>
      </c>
      <c r="M27" s="203">
        <f t="shared" si="4"/>
        <v>5142.3548387096771</v>
      </c>
      <c r="N27" s="203">
        <f t="shared" si="24"/>
        <v>239</v>
      </c>
      <c r="O27" s="203">
        <f t="shared" si="5"/>
        <v>5142.3548387096771</v>
      </c>
      <c r="P27" s="203">
        <f t="shared" si="25"/>
        <v>239</v>
      </c>
      <c r="Q27" s="203">
        <f t="shared" si="6"/>
        <v>5142.3548387096771</v>
      </c>
      <c r="R27" s="203">
        <f t="shared" si="26"/>
        <v>239</v>
      </c>
      <c r="S27" s="203">
        <f t="shared" si="7"/>
        <v>5142.3548387096771</v>
      </c>
      <c r="T27" s="203">
        <f t="shared" si="27"/>
        <v>239</v>
      </c>
      <c r="U27" s="203">
        <f t="shared" si="8"/>
        <v>5142.3548387096771</v>
      </c>
      <c r="V27" s="203">
        <f t="shared" si="28"/>
        <v>239</v>
      </c>
      <c r="W27" s="203">
        <f t="shared" si="9"/>
        <v>5142.3548387096771</v>
      </c>
      <c r="X27" s="35">
        <f t="shared" si="10"/>
        <v>0.77096774193548367</v>
      </c>
      <c r="Y27" s="36">
        <f t="shared" si="29"/>
        <v>56565.90322580644</v>
      </c>
      <c r="Z27" s="203">
        <f>'B5'!C26</f>
        <v>245</v>
      </c>
      <c r="AA27" s="203">
        <f t="shared" si="30"/>
        <v>2450</v>
      </c>
      <c r="AB27" s="203">
        <f t="shared" si="31"/>
        <v>245</v>
      </c>
      <c r="AC27" s="203">
        <f t="shared" si="30"/>
        <v>2450</v>
      </c>
      <c r="AD27" s="203">
        <f t="shared" si="32"/>
        <v>245</v>
      </c>
      <c r="AE27" s="203">
        <f t="shared" si="11"/>
        <v>2450</v>
      </c>
      <c r="AF27" s="203">
        <f t="shared" si="33"/>
        <v>245</v>
      </c>
      <c r="AG27" s="203">
        <f t="shared" si="12"/>
        <v>2450</v>
      </c>
      <c r="AH27" s="203">
        <f t="shared" si="34"/>
        <v>245</v>
      </c>
      <c r="AI27" s="203">
        <f t="shared" si="13"/>
        <v>2450</v>
      </c>
      <c r="AJ27" s="203">
        <f t="shared" si="35"/>
        <v>245</v>
      </c>
      <c r="AK27" s="203">
        <f t="shared" si="14"/>
        <v>2450</v>
      </c>
      <c r="AL27" s="203">
        <f t="shared" si="36"/>
        <v>245</v>
      </c>
      <c r="AM27" s="203">
        <f t="shared" si="15"/>
        <v>2450</v>
      </c>
      <c r="AN27" s="35">
        <f t="shared" si="16"/>
        <v>0.875</v>
      </c>
      <c r="AO27" s="36">
        <f t="shared" si="39"/>
        <v>17150</v>
      </c>
      <c r="AQ27" s="223">
        <f t="shared" si="40"/>
        <v>0.79289989486723067</v>
      </c>
      <c r="AR27" s="38">
        <f t="shared" si="41"/>
        <v>73715.90322580644</v>
      </c>
      <c r="AS27" s="197">
        <f t="shared" si="47"/>
        <v>0</v>
      </c>
      <c r="AT27" s="340"/>
      <c r="AU27" s="548"/>
      <c r="AV27" s="485">
        <v>0</v>
      </c>
      <c r="AW27" s="279">
        <f>-SUM('B5'!AI26)</f>
        <v>0</v>
      </c>
      <c r="AX27" s="279">
        <f t="shared" si="17"/>
        <v>0</v>
      </c>
      <c r="AY27" s="37">
        <f t="shared" si="37"/>
        <v>0</v>
      </c>
      <c r="AZ27" s="100">
        <f>ELEC!A25</f>
        <v>0</v>
      </c>
      <c r="BA27" s="118">
        <f>'General information '!D26</f>
        <v>0</v>
      </c>
      <c r="BB27" s="378">
        <f>SUM('General information '!E26)</f>
        <v>0</v>
      </c>
      <c r="BC27" s="3">
        <f t="shared" si="44"/>
        <v>0</v>
      </c>
      <c r="BD27" s="102">
        <v>19222</v>
      </c>
      <c r="BE27" s="14">
        <f>(305/1185)*ELEC!Q26</f>
        <v>0</v>
      </c>
      <c r="BF27" s="14"/>
      <c r="BG27" s="14" t="e">
        <f>#REF!-BE27</f>
        <v>#REF!</v>
      </c>
      <c r="BH27" s="11"/>
      <c r="BI27">
        <v>14</v>
      </c>
      <c r="BJ27">
        <f t="shared" si="46"/>
        <v>0</v>
      </c>
      <c r="BK27" s="538" t="e">
        <f>GEN!AF24</f>
        <v>#DIV/0!</v>
      </c>
    </row>
    <row r="28" spans="1:64">
      <c r="A28" s="425">
        <f>ELEC!C26</f>
        <v>44735</v>
      </c>
      <c r="B28">
        <f>'B5'!B27</f>
        <v>239</v>
      </c>
      <c r="C28" s="203">
        <f t="shared" si="18"/>
        <v>5142.3548387096771</v>
      </c>
      <c r="D28">
        <f t="shared" si="19"/>
        <v>239</v>
      </c>
      <c r="E28" s="203">
        <f t="shared" si="18"/>
        <v>5142.3548387096771</v>
      </c>
      <c r="F28">
        <f t="shared" si="20"/>
        <v>239</v>
      </c>
      <c r="G28" s="203">
        <f t="shared" si="1"/>
        <v>5142.3548387096771</v>
      </c>
      <c r="H28" s="203">
        <f t="shared" si="21"/>
        <v>239</v>
      </c>
      <c r="I28" s="203">
        <f t="shared" si="2"/>
        <v>5142.3548387096771</v>
      </c>
      <c r="J28" s="203">
        <f t="shared" si="22"/>
        <v>239</v>
      </c>
      <c r="K28" s="203">
        <f t="shared" si="3"/>
        <v>5142.3548387096771</v>
      </c>
      <c r="L28" s="203">
        <f t="shared" si="23"/>
        <v>239</v>
      </c>
      <c r="M28" s="203">
        <f t="shared" si="4"/>
        <v>5142.3548387096771</v>
      </c>
      <c r="N28" s="203">
        <f t="shared" si="24"/>
        <v>239</v>
      </c>
      <c r="O28" s="203">
        <f t="shared" si="5"/>
        <v>5142.3548387096771</v>
      </c>
      <c r="P28" s="203">
        <f t="shared" si="25"/>
        <v>239</v>
      </c>
      <c r="Q28" s="203">
        <f t="shared" si="6"/>
        <v>5142.3548387096771</v>
      </c>
      <c r="R28" s="203">
        <f t="shared" si="26"/>
        <v>239</v>
      </c>
      <c r="S28" s="203">
        <f t="shared" si="7"/>
        <v>5142.3548387096771</v>
      </c>
      <c r="T28" s="203">
        <f t="shared" si="27"/>
        <v>239</v>
      </c>
      <c r="U28" s="203">
        <f t="shared" si="8"/>
        <v>5142.3548387096771</v>
      </c>
      <c r="V28" s="203">
        <f t="shared" si="28"/>
        <v>239</v>
      </c>
      <c r="W28" s="203">
        <f t="shared" si="9"/>
        <v>5142.3548387096771</v>
      </c>
      <c r="X28" s="35">
        <f t="shared" si="10"/>
        <v>0.77096774193548367</v>
      </c>
      <c r="Y28" s="36">
        <f t="shared" si="29"/>
        <v>56565.90322580644</v>
      </c>
      <c r="Z28" s="203">
        <f>'B5'!C27</f>
        <v>245</v>
      </c>
      <c r="AA28" s="203">
        <f t="shared" si="30"/>
        <v>2450</v>
      </c>
      <c r="AB28" s="203">
        <f t="shared" si="31"/>
        <v>245</v>
      </c>
      <c r="AC28" s="203">
        <f t="shared" si="30"/>
        <v>2450</v>
      </c>
      <c r="AD28" s="203">
        <f t="shared" si="32"/>
        <v>245</v>
      </c>
      <c r="AE28" s="203">
        <f t="shared" si="11"/>
        <v>2450</v>
      </c>
      <c r="AF28" s="203">
        <f t="shared" si="33"/>
        <v>245</v>
      </c>
      <c r="AG28" s="203">
        <f t="shared" si="12"/>
        <v>2450</v>
      </c>
      <c r="AH28" s="203">
        <f t="shared" si="34"/>
        <v>245</v>
      </c>
      <c r="AI28" s="203">
        <f t="shared" si="13"/>
        <v>2450</v>
      </c>
      <c r="AJ28" s="203">
        <f t="shared" si="35"/>
        <v>245</v>
      </c>
      <c r="AK28" s="203">
        <f t="shared" si="14"/>
        <v>2450</v>
      </c>
      <c r="AL28" s="203">
        <f t="shared" si="36"/>
        <v>245</v>
      </c>
      <c r="AM28" s="203">
        <f t="shared" si="15"/>
        <v>2450</v>
      </c>
      <c r="AN28" s="35">
        <f t="shared" si="16"/>
        <v>0.875</v>
      </c>
      <c r="AO28" s="36">
        <f t="shared" si="39"/>
        <v>17150</v>
      </c>
      <c r="AQ28" s="223">
        <f t="shared" si="40"/>
        <v>0.79289989486723067</v>
      </c>
      <c r="AR28" s="38">
        <f t="shared" si="41"/>
        <v>73715.90322580644</v>
      </c>
      <c r="AS28" s="197">
        <f t="shared" si="47"/>
        <v>0</v>
      </c>
      <c r="AT28" s="340"/>
      <c r="AU28" s="549"/>
      <c r="AV28" s="485">
        <f t="shared" si="43"/>
        <v>0</v>
      </c>
      <c r="AW28" s="279">
        <f>-SUM('B5'!AI27)</f>
        <v>0</v>
      </c>
      <c r="AX28" s="279">
        <f t="shared" si="17"/>
        <v>0</v>
      </c>
      <c r="AY28" s="37">
        <f t="shared" si="37"/>
        <v>0</v>
      </c>
      <c r="AZ28" s="100">
        <f>ELEC!A26</f>
        <v>0</v>
      </c>
      <c r="BA28" s="118">
        <f>'General information '!D27</f>
        <v>0</v>
      </c>
      <c r="BB28" s="378">
        <f>SUM('General information '!E27)</f>
        <v>0</v>
      </c>
      <c r="BC28" s="3">
        <f t="shared" si="44"/>
        <v>0</v>
      </c>
      <c r="BD28" s="102">
        <v>19222</v>
      </c>
      <c r="BE28" s="14">
        <f>(305/1185)*ELEC!Q27</f>
        <v>0</v>
      </c>
      <c r="BF28" s="14"/>
      <c r="BG28" s="14" t="e">
        <f>#REF!-BE28</f>
        <v>#REF!</v>
      </c>
      <c r="BH28" s="11"/>
      <c r="BI28">
        <v>15</v>
      </c>
      <c r="BJ28">
        <f t="shared" si="46"/>
        <v>0</v>
      </c>
      <c r="BK28" s="538" t="e">
        <f>GEN!AF25</f>
        <v>#DIV/0!</v>
      </c>
    </row>
    <row r="29" spans="1:64">
      <c r="A29" s="425">
        <f>ELEC!C27</f>
        <v>44736</v>
      </c>
      <c r="B29">
        <f>'B5'!B28</f>
        <v>239</v>
      </c>
      <c r="C29" s="203">
        <f t="shared" si="18"/>
        <v>5142.3548387096771</v>
      </c>
      <c r="D29">
        <f t="shared" si="19"/>
        <v>239</v>
      </c>
      <c r="E29" s="203">
        <f t="shared" si="18"/>
        <v>5142.3548387096771</v>
      </c>
      <c r="F29">
        <f t="shared" si="20"/>
        <v>239</v>
      </c>
      <c r="G29" s="203">
        <f t="shared" si="1"/>
        <v>5142.3548387096771</v>
      </c>
      <c r="H29" s="203">
        <f t="shared" si="21"/>
        <v>239</v>
      </c>
      <c r="I29" s="203">
        <f t="shared" si="2"/>
        <v>5142.3548387096771</v>
      </c>
      <c r="J29" s="203">
        <f t="shared" si="22"/>
        <v>239</v>
      </c>
      <c r="K29" s="203">
        <f t="shared" si="3"/>
        <v>5142.3548387096771</v>
      </c>
      <c r="L29" s="203">
        <f t="shared" si="23"/>
        <v>239</v>
      </c>
      <c r="M29" s="203">
        <f t="shared" si="4"/>
        <v>5142.3548387096771</v>
      </c>
      <c r="N29" s="203">
        <f t="shared" si="24"/>
        <v>239</v>
      </c>
      <c r="O29" s="203">
        <f t="shared" si="5"/>
        <v>5142.3548387096771</v>
      </c>
      <c r="P29" s="203">
        <f t="shared" si="25"/>
        <v>239</v>
      </c>
      <c r="Q29" s="203">
        <f t="shared" si="6"/>
        <v>5142.3548387096771</v>
      </c>
      <c r="R29" s="203">
        <f t="shared" si="26"/>
        <v>239</v>
      </c>
      <c r="S29" s="203">
        <f t="shared" si="7"/>
        <v>5142.3548387096771</v>
      </c>
      <c r="T29" s="203">
        <f t="shared" si="27"/>
        <v>239</v>
      </c>
      <c r="U29" s="203">
        <f t="shared" si="8"/>
        <v>5142.3548387096771</v>
      </c>
      <c r="V29" s="203">
        <f t="shared" si="28"/>
        <v>239</v>
      </c>
      <c r="W29" s="203">
        <f t="shared" si="9"/>
        <v>5142.3548387096771</v>
      </c>
      <c r="X29" s="35">
        <f t="shared" si="10"/>
        <v>0.77096774193548367</v>
      </c>
      <c r="Y29" s="36">
        <f t="shared" si="29"/>
        <v>56565.90322580644</v>
      </c>
      <c r="Z29" s="203">
        <f>'B5'!C28</f>
        <v>245</v>
      </c>
      <c r="AA29" s="203">
        <f t="shared" si="30"/>
        <v>2450</v>
      </c>
      <c r="AB29" s="203">
        <f t="shared" si="31"/>
        <v>245</v>
      </c>
      <c r="AC29" s="203">
        <f t="shared" si="30"/>
        <v>2450</v>
      </c>
      <c r="AD29" s="203">
        <f t="shared" si="32"/>
        <v>245</v>
      </c>
      <c r="AE29" s="203">
        <f t="shared" si="11"/>
        <v>2450</v>
      </c>
      <c r="AF29" s="203">
        <f t="shared" si="33"/>
        <v>245</v>
      </c>
      <c r="AG29" s="203">
        <f t="shared" si="12"/>
        <v>2450</v>
      </c>
      <c r="AH29" s="203">
        <f t="shared" si="34"/>
        <v>245</v>
      </c>
      <c r="AI29" s="203">
        <f t="shared" si="13"/>
        <v>2450</v>
      </c>
      <c r="AJ29" s="203">
        <f t="shared" si="35"/>
        <v>245</v>
      </c>
      <c r="AK29" s="203">
        <f t="shared" si="14"/>
        <v>2450</v>
      </c>
      <c r="AL29" s="203">
        <f t="shared" si="36"/>
        <v>245</v>
      </c>
      <c r="AM29" s="203">
        <f t="shared" si="15"/>
        <v>2450</v>
      </c>
      <c r="AN29" s="35">
        <f t="shared" si="16"/>
        <v>0.875</v>
      </c>
      <c r="AO29" s="36">
        <f t="shared" si="39"/>
        <v>17150</v>
      </c>
      <c r="AQ29" s="223">
        <f t="shared" si="40"/>
        <v>0.79289989486723067</v>
      </c>
      <c r="AR29" s="38">
        <f t="shared" si="41"/>
        <v>73715.90322580644</v>
      </c>
      <c r="AS29" s="197">
        <f>SUM(AR29-AR28-AT29)</f>
        <v>0</v>
      </c>
      <c r="AT29" s="340"/>
      <c r="AU29" s="549"/>
      <c r="AV29" s="485">
        <f t="shared" si="43"/>
        <v>0</v>
      </c>
      <c r="AW29" s="279">
        <f>-SUM('B5'!AI28)</f>
        <v>0</v>
      </c>
      <c r="AX29" s="279">
        <f t="shared" si="17"/>
        <v>0</v>
      </c>
      <c r="AY29" s="37">
        <f t="shared" si="37"/>
        <v>0</v>
      </c>
      <c r="AZ29" s="100">
        <f>ELEC!A27</f>
        <v>0</v>
      </c>
      <c r="BA29" s="118">
        <f>'General information '!D28</f>
        <v>0</v>
      </c>
      <c r="BB29" s="378">
        <f>SUM('General information '!E28)</f>
        <v>0</v>
      </c>
      <c r="BC29" s="3">
        <f t="shared" si="44"/>
        <v>0</v>
      </c>
      <c r="BD29" s="102">
        <v>19222</v>
      </c>
      <c r="BE29" s="14">
        <f>(305/1185)*ELEC!Q28</f>
        <v>0</v>
      </c>
      <c r="BF29" s="14"/>
      <c r="BG29" s="14" t="e">
        <f>#REF!-BE29</f>
        <v>#REF!</v>
      </c>
      <c r="BH29" s="11"/>
      <c r="BI29">
        <v>16</v>
      </c>
      <c r="BJ29">
        <f t="shared" si="46"/>
        <v>0</v>
      </c>
      <c r="BK29" s="538" t="e">
        <f>GEN!AF26</f>
        <v>#DIV/0!</v>
      </c>
    </row>
    <row r="30" spans="1:64">
      <c r="A30" s="425">
        <f>ELEC!C28</f>
        <v>44737</v>
      </c>
      <c r="B30">
        <f>'B5'!B29</f>
        <v>239</v>
      </c>
      <c r="C30" s="203">
        <f t="shared" si="18"/>
        <v>5142.3548387096771</v>
      </c>
      <c r="D30">
        <f>SUM(B30)</f>
        <v>239</v>
      </c>
      <c r="E30" s="203">
        <f t="shared" si="18"/>
        <v>5142.3548387096771</v>
      </c>
      <c r="F30">
        <f>SUM(D30)</f>
        <v>239</v>
      </c>
      <c r="G30" s="203">
        <f t="shared" si="1"/>
        <v>5142.3548387096771</v>
      </c>
      <c r="H30" s="203">
        <f>SUM(F30)</f>
        <v>239</v>
      </c>
      <c r="I30" s="203">
        <f t="shared" si="2"/>
        <v>5142.3548387096771</v>
      </c>
      <c r="J30" s="203">
        <f>SUM(H30)</f>
        <v>239</v>
      </c>
      <c r="K30" s="203">
        <f t="shared" si="3"/>
        <v>5142.3548387096771</v>
      </c>
      <c r="L30" s="203">
        <f>SUM(J30)</f>
        <v>239</v>
      </c>
      <c r="M30" s="203">
        <f t="shared" si="4"/>
        <v>5142.3548387096771</v>
      </c>
      <c r="N30" s="203">
        <f>SUM(L30)</f>
        <v>239</v>
      </c>
      <c r="O30" s="203">
        <f t="shared" si="5"/>
        <v>5142.3548387096771</v>
      </c>
      <c r="P30" s="203">
        <f>SUM(N30)</f>
        <v>239</v>
      </c>
      <c r="Q30" s="203">
        <f t="shared" si="6"/>
        <v>5142.3548387096771</v>
      </c>
      <c r="R30" s="203">
        <f>SUM(P30)</f>
        <v>239</v>
      </c>
      <c r="S30" s="203">
        <f t="shared" si="7"/>
        <v>5142.3548387096771</v>
      </c>
      <c r="T30" s="203">
        <f>SUM(R30)</f>
        <v>239</v>
      </c>
      <c r="U30" s="203">
        <f t="shared" si="8"/>
        <v>5142.3548387096771</v>
      </c>
      <c r="V30" s="203">
        <f>SUM(T30)</f>
        <v>239</v>
      </c>
      <c r="W30" s="203">
        <f t="shared" si="9"/>
        <v>5142.3548387096771</v>
      </c>
      <c r="X30" s="35">
        <f>SUM(Y30/73370)</f>
        <v>0.77096774193548367</v>
      </c>
      <c r="Y30" s="36">
        <f>SUM(C30+E30+G30+I30+K30+M30+O30+Q30+S30+U30+W30)</f>
        <v>56565.90322580644</v>
      </c>
      <c r="Z30" s="203">
        <f>'B5'!C29</f>
        <v>245</v>
      </c>
      <c r="AA30" s="203">
        <f t="shared" si="30"/>
        <v>2450</v>
      </c>
      <c r="AB30" s="203">
        <f>SUM(Z30)</f>
        <v>245</v>
      </c>
      <c r="AC30" s="203">
        <f t="shared" si="30"/>
        <v>2450</v>
      </c>
      <c r="AD30" s="203">
        <f>SUM(AB30)</f>
        <v>245</v>
      </c>
      <c r="AE30" s="203">
        <f t="shared" si="11"/>
        <v>2450</v>
      </c>
      <c r="AF30" s="203">
        <f>SUM(AD30)</f>
        <v>245</v>
      </c>
      <c r="AG30" s="203">
        <f t="shared" si="12"/>
        <v>2450</v>
      </c>
      <c r="AH30" s="203">
        <f>SUM(AF30)</f>
        <v>245</v>
      </c>
      <c r="AI30" s="203">
        <f t="shared" si="13"/>
        <v>2450</v>
      </c>
      <c r="AJ30" s="203">
        <f>SUM(AH30)</f>
        <v>245</v>
      </c>
      <c r="AK30" s="203">
        <f t="shared" si="14"/>
        <v>2450</v>
      </c>
      <c r="AL30" s="203">
        <f>SUM(AJ30)</f>
        <v>245</v>
      </c>
      <c r="AM30" s="203">
        <f t="shared" si="15"/>
        <v>2450</v>
      </c>
      <c r="AN30" s="35">
        <f>SUM(AO30/19600)</f>
        <v>0.875</v>
      </c>
      <c r="AO30" s="36">
        <f>SUM(AA30+AC30+AE30+AG30+AI30+AK30+AM30)</f>
        <v>17150</v>
      </c>
      <c r="AQ30" s="223">
        <f t="shared" si="40"/>
        <v>0.79289989486723067</v>
      </c>
      <c r="AR30" s="38">
        <f t="shared" si="41"/>
        <v>73715.90322580644</v>
      </c>
      <c r="AS30" s="197">
        <f>SUM(AR30-AR29-AT30)</f>
        <v>0</v>
      </c>
      <c r="AT30" s="340"/>
      <c r="AU30" s="549"/>
      <c r="AV30" s="485">
        <f t="shared" si="43"/>
        <v>0</v>
      </c>
      <c r="AW30" s="279">
        <f>-SUM('B5'!AI29)</f>
        <v>0</v>
      </c>
      <c r="AX30" s="279">
        <f t="shared" si="17"/>
        <v>0</v>
      </c>
      <c r="AY30" s="37">
        <f t="shared" si="37"/>
        <v>0</v>
      </c>
      <c r="AZ30" s="100">
        <f>ELEC!A28</f>
        <v>0</v>
      </c>
      <c r="BA30" s="118">
        <f>'General information '!D29</f>
        <v>0</v>
      </c>
      <c r="BB30" s="378">
        <f>SUM('General information '!E29)</f>
        <v>0</v>
      </c>
      <c r="BC30" s="3">
        <f t="shared" si="44"/>
        <v>0</v>
      </c>
      <c r="BD30" s="102">
        <v>19222</v>
      </c>
      <c r="BE30" s="14">
        <f>(305/1185)*ELEC!Q29</f>
        <v>0</v>
      </c>
      <c r="BF30" s="14"/>
      <c r="BG30" s="14" t="e">
        <f>#REF!-BE30</f>
        <v>#REF!</v>
      </c>
      <c r="BH30" s="11"/>
      <c r="BI30">
        <v>17</v>
      </c>
      <c r="BJ30">
        <f t="shared" si="46"/>
        <v>0</v>
      </c>
      <c r="BK30" s="538" t="e">
        <f>GEN!AF27</f>
        <v>#DIV/0!</v>
      </c>
    </row>
    <row r="31" spans="1:64">
      <c r="A31" s="425">
        <f>ELEC!C29</f>
        <v>44738</v>
      </c>
      <c r="B31">
        <f>'B5'!B30</f>
        <v>239</v>
      </c>
      <c r="C31" s="203">
        <f t="shared" si="18"/>
        <v>5142.3548387096771</v>
      </c>
      <c r="D31">
        <f>SUM(B31)</f>
        <v>239</v>
      </c>
      <c r="E31" s="203">
        <f t="shared" si="18"/>
        <v>5142.3548387096771</v>
      </c>
      <c r="F31">
        <f>SUM(D31)</f>
        <v>239</v>
      </c>
      <c r="G31" s="203">
        <f t="shared" si="1"/>
        <v>5142.3548387096771</v>
      </c>
      <c r="H31" s="203">
        <f>SUM(F31)</f>
        <v>239</v>
      </c>
      <c r="I31" s="203">
        <f t="shared" si="2"/>
        <v>5142.3548387096771</v>
      </c>
      <c r="J31" s="203">
        <f>SUM(H31)</f>
        <v>239</v>
      </c>
      <c r="K31" s="203">
        <f t="shared" si="3"/>
        <v>5142.3548387096771</v>
      </c>
      <c r="L31" s="203">
        <f>SUM(J31)</f>
        <v>239</v>
      </c>
      <c r="M31" s="203">
        <f t="shared" si="4"/>
        <v>5142.3548387096771</v>
      </c>
      <c r="N31" s="203">
        <f>SUM(L31)</f>
        <v>239</v>
      </c>
      <c r="O31" s="203">
        <f t="shared" si="5"/>
        <v>5142.3548387096771</v>
      </c>
      <c r="P31" s="203">
        <f>SUM(N31)</f>
        <v>239</v>
      </c>
      <c r="Q31" s="203">
        <f t="shared" si="6"/>
        <v>5142.3548387096771</v>
      </c>
      <c r="R31" s="203">
        <f>SUM(P31)</f>
        <v>239</v>
      </c>
      <c r="S31" s="203">
        <f t="shared" si="7"/>
        <v>5142.3548387096771</v>
      </c>
      <c r="T31" s="203">
        <f>SUM(R31)</f>
        <v>239</v>
      </c>
      <c r="U31" s="203">
        <f t="shared" si="8"/>
        <v>5142.3548387096771</v>
      </c>
      <c r="V31" s="203">
        <f>SUM(T31)</f>
        <v>239</v>
      </c>
      <c r="W31" s="203">
        <f t="shared" si="9"/>
        <v>5142.3548387096771</v>
      </c>
      <c r="X31" s="35">
        <f>SUM(Y31/73370)</f>
        <v>0.77096774193548367</v>
      </c>
      <c r="Y31" s="36">
        <f>SUM(C31+E31+G31+I31+K31+M31+O31+Q31+S31+U31+W31)</f>
        <v>56565.90322580644</v>
      </c>
      <c r="Z31" s="203">
        <f>'B5'!C30</f>
        <v>245</v>
      </c>
      <c r="AA31" s="203">
        <f t="shared" si="30"/>
        <v>2450</v>
      </c>
      <c r="AB31" s="203">
        <f>SUM(Z31)</f>
        <v>245</v>
      </c>
      <c r="AC31" s="203">
        <f t="shared" si="30"/>
        <v>2450</v>
      </c>
      <c r="AD31" s="203">
        <f>SUM(AB31)</f>
        <v>245</v>
      </c>
      <c r="AE31" s="203">
        <f t="shared" si="11"/>
        <v>2450</v>
      </c>
      <c r="AF31" s="203">
        <f>SUM(AD31)</f>
        <v>245</v>
      </c>
      <c r="AG31" s="203">
        <f t="shared" si="12"/>
        <v>2450</v>
      </c>
      <c r="AH31" s="203">
        <f>SUM(AF31)</f>
        <v>245</v>
      </c>
      <c r="AI31" s="203">
        <f t="shared" si="13"/>
        <v>2450</v>
      </c>
      <c r="AJ31" s="203">
        <f>SUM(AH31)</f>
        <v>245</v>
      </c>
      <c r="AK31" s="203">
        <f t="shared" si="14"/>
        <v>2450</v>
      </c>
      <c r="AL31" s="203">
        <f>SUM(AJ31)</f>
        <v>245</v>
      </c>
      <c r="AM31" s="203">
        <f t="shared" si="15"/>
        <v>2450</v>
      </c>
      <c r="AN31" s="35">
        <f>SUM(AO31/19600)</f>
        <v>0.875</v>
      </c>
      <c r="AO31" s="36">
        <f>SUM(AA31+AC31+AE31+AG31+AI31+AK31+AM31)</f>
        <v>17150</v>
      </c>
      <c r="AQ31" s="223">
        <f t="shared" si="40"/>
        <v>0.79289989486723067</v>
      </c>
      <c r="AR31" s="38">
        <f t="shared" si="41"/>
        <v>73715.90322580644</v>
      </c>
      <c r="AS31" s="197">
        <f t="shared" si="47"/>
        <v>0</v>
      </c>
      <c r="AT31" s="340"/>
      <c r="AU31" s="549"/>
      <c r="AV31" s="485">
        <f t="shared" si="43"/>
        <v>0</v>
      </c>
      <c r="AW31" s="279">
        <f>-SUM('B5'!AI30)</f>
        <v>0</v>
      </c>
      <c r="AX31" s="279">
        <f t="shared" si="17"/>
        <v>0</v>
      </c>
      <c r="AY31" s="37">
        <f t="shared" si="37"/>
        <v>0</v>
      </c>
      <c r="AZ31" s="100">
        <f>ELEC!A29</f>
        <v>0</v>
      </c>
      <c r="BA31" s="118">
        <f>'General information '!D30</f>
        <v>0</v>
      </c>
      <c r="BB31" s="378">
        <f>SUM('General information '!E30)</f>
        <v>0</v>
      </c>
      <c r="BC31" s="3">
        <f t="shared" si="44"/>
        <v>0</v>
      </c>
      <c r="BD31" s="102">
        <v>19222</v>
      </c>
      <c r="BE31" s="14">
        <f>(305/1185)*ELEC!Q30</f>
        <v>0</v>
      </c>
      <c r="BF31" s="14"/>
      <c r="BG31" s="14" t="e">
        <f>#REF!-BE31</f>
        <v>#REF!</v>
      </c>
      <c r="BH31" s="11"/>
      <c r="BI31">
        <v>18</v>
      </c>
      <c r="BJ31">
        <f t="shared" si="46"/>
        <v>0</v>
      </c>
      <c r="BK31" s="538" t="e">
        <f>GEN!AF28</f>
        <v>#DIV/0!</v>
      </c>
    </row>
    <row r="32" spans="1:64">
      <c r="A32" s="425">
        <f>ELEC!C30</f>
        <v>44739</v>
      </c>
      <c r="B32">
        <f>'B5'!B31</f>
        <v>239</v>
      </c>
      <c r="C32" s="203">
        <f t="shared" si="18"/>
        <v>5142.3548387096771</v>
      </c>
      <c r="D32">
        <f>SUM(B32)</f>
        <v>239</v>
      </c>
      <c r="E32" s="203">
        <f t="shared" si="18"/>
        <v>5142.3548387096771</v>
      </c>
      <c r="F32">
        <f>SUM(D32)</f>
        <v>239</v>
      </c>
      <c r="G32" s="203">
        <f t="shared" si="1"/>
        <v>5142.3548387096771</v>
      </c>
      <c r="H32" s="203">
        <f>SUM(F32)</f>
        <v>239</v>
      </c>
      <c r="I32" s="203">
        <f t="shared" si="2"/>
        <v>5142.3548387096771</v>
      </c>
      <c r="J32" s="203">
        <f>SUM(H32)</f>
        <v>239</v>
      </c>
      <c r="K32" s="203">
        <f t="shared" si="3"/>
        <v>5142.3548387096771</v>
      </c>
      <c r="L32" s="203">
        <f>SUM(J32)</f>
        <v>239</v>
      </c>
      <c r="M32" s="203">
        <f t="shared" si="4"/>
        <v>5142.3548387096771</v>
      </c>
      <c r="N32" s="203">
        <f>SUM(L32)</f>
        <v>239</v>
      </c>
      <c r="O32" s="203">
        <f t="shared" si="5"/>
        <v>5142.3548387096771</v>
      </c>
      <c r="P32" s="203">
        <f>SUM(N32)</f>
        <v>239</v>
      </c>
      <c r="Q32" s="203">
        <f t="shared" si="6"/>
        <v>5142.3548387096771</v>
      </c>
      <c r="R32" s="203">
        <f>SUM(P32)</f>
        <v>239</v>
      </c>
      <c r="S32" s="203">
        <f t="shared" si="7"/>
        <v>5142.3548387096771</v>
      </c>
      <c r="T32" s="203">
        <f>SUM(R32)</f>
        <v>239</v>
      </c>
      <c r="U32" s="203">
        <f t="shared" si="8"/>
        <v>5142.3548387096771</v>
      </c>
      <c r="V32" s="203">
        <f>SUM(T32)</f>
        <v>239</v>
      </c>
      <c r="W32" s="203">
        <f t="shared" si="9"/>
        <v>5142.3548387096771</v>
      </c>
      <c r="X32" s="35">
        <f>SUM(Y32/73370)</f>
        <v>0.77096774193548367</v>
      </c>
      <c r="Y32" s="36">
        <f>SUM(C32+E32+G32+I32+K32+M32+O32+Q32+S32+U32+W32)</f>
        <v>56565.90322580644</v>
      </c>
      <c r="Z32" s="203">
        <f>'B5'!C31</f>
        <v>245</v>
      </c>
      <c r="AA32" s="203">
        <f t="shared" si="30"/>
        <v>2450</v>
      </c>
      <c r="AB32" s="203">
        <f>SUM(Z32)</f>
        <v>245</v>
      </c>
      <c r="AC32" s="203">
        <f t="shared" si="30"/>
        <v>2450</v>
      </c>
      <c r="AD32" s="203">
        <f>SUM(AB32)</f>
        <v>245</v>
      </c>
      <c r="AE32" s="203">
        <f t="shared" si="11"/>
        <v>2450</v>
      </c>
      <c r="AF32" s="203">
        <f>SUM(AD32)</f>
        <v>245</v>
      </c>
      <c r="AG32" s="203">
        <f t="shared" si="12"/>
        <v>2450</v>
      </c>
      <c r="AH32" s="203">
        <f>SUM(AF32)</f>
        <v>245</v>
      </c>
      <c r="AI32" s="203">
        <f t="shared" si="13"/>
        <v>2450</v>
      </c>
      <c r="AJ32" s="203">
        <f>SUM(AH32)</f>
        <v>245</v>
      </c>
      <c r="AK32" s="203">
        <f t="shared" si="14"/>
        <v>2450</v>
      </c>
      <c r="AL32" s="203">
        <f>SUM(AJ32)</f>
        <v>245</v>
      </c>
      <c r="AM32" s="203">
        <f t="shared" si="15"/>
        <v>2450</v>
      </c>
      <c r="AN32" s="35">
        <f>SUM(AO32/19600)</f>
        <v>0.875</v>
      </c>
      <c r="AO32" s="36">
        <f>SUM(AA32+AC32+AE32+AG32+AI32+AK32+AM32)</f>
        <v>17150</v>
      </c>
      <c r="AQ32" s="223">
        <f t="shared" si="40"/>
        <v>0.79289989486723067</v>
      </c>
      <c r="AR32" s="38">
        <f t="shared" si="41"/>
        <v>73715.90322580644</v>
      </c>
      <c r="AS32" s="197">
        <f t="shared" si="47"/>
        <v>0</v>
      </c>
      <c r="AT32" s="340"/>
      <c r="AU32" s="548"/>
      <c r="AV32" s="485">
        <f>IF(AT32&gt;0,AU32,AV31)</f>
        <v>0</v>
      </c>
      <c r="AW32" s="279">
        <f>-SUM('B5'!AI31)</f>
        <v>0</v>
      </c>
      <c r="AX32" s="279">
        <f t="shared" si="17"/>
        <v>0</v>
      </c>
      <c r="AY32" s="37">
        <f t="shared" si="37"/>
        <v>0</v>
      </c>
      <c r="AZ32" s="100">
        <f>ELEC!A30</f>
        <v>0</v>
      </c>
      <c r="BA32" s="118">
        <f>'General information '!D31</f>
        <v>0</v>
      </c>
      <c r="BB32" s="378">
        <f>SUM('General information '!E31)</f>
        <v>0</v>
      </c>
      <c r="BC32" s="3">
        <f t="shared" si="44"/>
        <v>0</v>
      </c>
      <c r="BD32" s="102">
        <v>19222</v>
      </c>
      <c r="BE32" s="14">
        <f>(305/1185)*ELEC!Q31</f>
        <v>0</v>
      </c>
      <c r="BF32" s="14"/>
      <c r="BG32" s="14" t="e">
        <f>#REF!-BE32</f>
        <v>#REF!</v>
      </c>
      <c r="BH32" s="11"/>
      <c r="BI32">
        <v>19</v>
      </c>
      <c r="BJ32">
        <f t="shared" si="46"/>
        <v>0</v>
      </c>
      <c r="BK32" s="538" t="e">
        <f>GEN!AF29</f>
        <v>#DIV/0!</v>
      </c>
    </row>
    <row r="33" spans="1:63">
      <c r="A33" s="425">
        <f>ELEC!C31</f>
        <v>44740</v>
      </c>
      <c r="B33">
        <f>'B5'!B32</f>
        <v>239</v>
      </c>
      <c r="C33" s="203">
        <f t="shared" si="18"/>
        <v>5142.3548387096771</v>
      </c>
      <c r="D33">
        <f>SUM(B33)</f>
        <v>239</v>
      </c>
      <c r="E33" s="203">
        <f t="shared" si="18"/>
        <v>5142.3548387096771</v>
      </c>
      <c r="F33">
        <f>SUM(D33)</f>
        <v>239</v>
      </c>
      <c r="G33" s="203">
        <f t="shared" si="1"/>
        <v>5142.3548387096771</v>
      </c>
      <c r="H33" s="203">
        <f>SUM(F33)</f>
        <v>239</v>
      </c>
      <c r="I33" s="203">
        <f t="shared" si="2"/>
        <v>5142.3548387096771</v>
      </c>
      <c r="J33" s="203">
        <f>SUM(H33)</f>
        <v>239</v>
      </c>
      <c r="K33" s="203">
        <f t="shared" si="3"/>
        <v>5142.3548387096771</v>
      </c>
      <c r="L33" s="203">
        <f>SUM(J33)</f>
        <v>239</v>
      </c>
      <c r="M33" s="203">
        <f t="shared" si="4"/>
        <v>5142.3548387096771</v>
      </c>
      <c r="N33" s="203">
        <f>SUM(L33)</f>
        <v>239</v>
      </c>
      <c r="O33" s="203">
        <f t="shared" si="5"/>
        <v>5142.3548387096771</v>
      </c>
      <c r="P33" s="203">
        <f>SUM(N33)</f>
        <v>239</v>
      </c>
      <c r="Q33" s="203">
        <f t="shared" si="6"/>
        <v>5142.3548387096771</v>
      </c>
      <c r="R33" s="203">
        <f>SUM(P33)</f>
        <v>239</v>
      </c>
      <c r="S33" s="203">
        <f t="shared" si="7"/>
        <v>5142.3548387096771</v>
      </c>
      <c r="T33" s="203">
        <f>SUM(R33)</f>
        <v>239</v>
      </c>
      <c r="U33" s="203">
        <f t="shared" si="8"/>
        <v>5142.3548387096771</v>
      </c>
      <c r="V33" s="203">
        <f>SUM(T33)</f>
        <v>239</v>
      </c>
      <c r="W33" s="203">
        <f t="shared" si="9"/>
        <v>5142.3548387096771</v>
      </c>
      <c r="X33" s="35">
        <f>SUM(Y33/73370)</f>
        <v>0.77096774193548367</v>
      </c>
      <c r="Y33" s="36">
        <f>SUM(C33+E33+G33+I33+K33+M33+O33+Q33+S33+U33+W33)</f>
        <v>56565.90322580644</v>
      </c>
      <c r="Z33" s="203">
        <f>'B5'!C32</f>
        <v>245</v>
      </c>
      <c r="AA33" s="203">
        <f t="shared" si="30"/>
        <v>2450</v>
      </c>
      <c r="AB33" s="203">
        <f>SUM(Z33)</f>
        <v>245</v>
      </c>
      <c r="AC33" s="203">
        <f t="shared" si="30"/>
        <v>2450</v>
      </c>
      <c r="AD33" s="203">
        <f>SUM(AB33)</f>
        <v>245</v>
      </c>
      <c r="AE33" s="203">
        <f t="shared" si="11"/>
        <v>2450</v>
      </c>
      <c r="AF33" s="203">
        <f>SUM(AD33)</f>
        <v>245</v>
      </c>
      <c r="AG33" s="203">
        <f t="shared" si="12"/>
        <v>2450</v>
      </c>
      <c r="AH33" s="203">
        <f>SUM(AF33)</f>
        <v>245</v>
      </c>
      <c r="AI33" s="203">
        <f t="shared" si="13"/>
        <v>2450</v>
      </c>
      <c r="AJ33" s="203">
        <f>SUM(AH33)</f>
        <v>245</v>
      </c>
      <c r="AK33" s="203">
        <f t="shared" si="14"/>
        <v>2450</v>
      </c>
      <c r="AL33" s="203">
        <f>SUM(AJ33)</f>
        <v>245</v>
      </c>
      <c r="AM33" s="203">
        <f t="shared" si="15"/>
        <v>2450</v>
      </c>
      <c r="AN33" s="35">
        <f>SUM(AO33/19600)</f>
        <v>0.875</v>
      </c>
      <c r="AO33" s="36">
        <f>SUM(AA33+AC33+AE33+AG33+AI33+AK33+AM33)</f>
        <v>17150</v>
      </c>
      <c r="AQ33" s="223">
        <f t="shared" si="40"/>
        <v>0.79289989486723067</v>
      </c>
      <c r="AR33" s="38">
        <f t="shared" si="41"/>
        <v>73715.90322580644</v>
      </c>
      <c r="AS33" s="197">
        <f>SUM(AR33-AR32-AT33)</f>
        <v>0</v>
      </c>
      <c r="AT33" s="340"/>
      <c r="AU33" s="548"/>
      <c r="AV33" s="485">
        <f>IF(AT33&gt;0,AU33,AV32)</f>
        <v>0</v>
      </c>
      <c r="AW33" s="279">
        <f>-SUM('B5'!AI32)</f>
        <v>0</v>
      </c>
      <c r="AX33" s="279">
        <f t="shared" si="17"/>
        <v>0</v>
      </c>
      <c r="AY33" s="37">
        <f t="shared" si="37"/>
        <v>0</v>
      </c>
      <c r="AZ33" s="100">
        <f>ELEC!A31</f>
        <v>0</v>
      </c>
      <c r="BA33" s="118">
        <f>'General information '!D32</f>
        <v>0</v>
      </c>
      <c r="BB33" s="204">
        <f>SUM('General information '!E32)</f>
        <v>0</v>
      </c>
      <c r="BC33" s="3">
        <f t="shared" si="44"/>
        <v>0</v>
      </c>
      <c r="BD33" s="102">
        <v>19222</v>
      </c>
      <c r="BE33" s="14" t="e">
        <f>(305/1185)*ELEC!#REF!</f>
        <v>#REF!</v>
      </c>
      <c r="BF33" s="14"/>
      <c r="BG33" s="14" t="e">
        <f>#REF!-BE33</f>
        <v>#REF!</v>
      </c>
      <c r="BH33" s="11"/>
      <c r="BI33">
        <v>20</v>
      </c>
      <c r="BJ33">
        <f t="shared" si="46"/>
        <v>0</v>
      </c>
      <c r="BK33" s="538" t="e">
        <f>GEN!AF30</f>
        <v>#DIV/0!</v>
      </c>
    </row>
    <row r="34" spans="1:63">
      <c r="A34" s="425">
        <f>ELEC!C32</f>
        <v>44741</v>
      </c>
      <c r="B34">
        <f>'B5'!B33</f>
        <v>239</v>
      </c>
      <c r="C34" s="203">
        <f t="shared" ref="C34:C36" si="48">B34*$B$4</f>
        <v>5142.3548387096771</v>
      </c>
      <c r="D34">
        <f t="shared" ref="D34:D36" si="49">SUM(B34)</f>
        <v>239</v>
      </c>
      <c r="E34" s="203">
        <f t="shared" ref="E34:E36" si="50">D34*$B$4</f>
        <v>5142.3548387096771</v>
      </c>
      <c r="F34">
        <f t="shared" ref="F34:F36" si="51">SUM(D34)</f>
        <v>239</v>
      </c>
      <c r="G34" s="203">
        <f t="shared" ref="G34:G36" si="52">F34*$B$4</f>
        <v>5142.3548387096771</v>
      </c>
      <c r="H34" s="203">
        <f t="shared" ref="H34:H36" si="53">SUM(F34)</f>
        <v>239</v>
      </c>
      <c r="I34" s="203">
        <f t="shared" ref="I34:I36" si="54">H34*$B$4</f>
        <v>5142.3548387096771</v>
      </c>
      <c r="J34" s="203">
        <f t="shared" ref="J34:J36" si="55">SUM(H34)</f>
        <v>239</v>
      </c>
      <c r="K34" s="203">
        <f t="shared" ref="K34:K36" si="56">J34*$B$4</f>
        <v>5142.3548387096771</v>
      </c>
      <c r="L34" s="203">
        <f t="shared" ref="L34:L36" si="57">SUM(J34)</f>
        <v>239</v>
      </c>
      <c r="M34" s="203">
        <f t="shared" ref="M34:M36" si="58">L34*$B$4</f>
        <v>5142.3548387096771</v>
      </c>
      <c r="N34" s="203">
        <f t="shared" ref="N34:N36" si="59">SUM(L34)</f>
        <v>239</v>
      </c>
      <c r="O34" s="203">
        <f t="shared" ref="O34:O36" si="60">N34*$B$4</f>
        <v>5142.3548387096771</v>
      </c>
      <c r="P34" s="203">
        <f t="shared" ref="P34:P36" si="61">SUM(N34)</f>
        <v>239</v>
      </c>
      <c r="Q34" s="203">
        <f t="shared" ref="Q34:Q36" si="62">P34*$B$4</f>
        <v>5142.3548387096771</v>
      </c>
      <c r="R34" s="203">
        <f t="shared" ref="R34:R36" si="63">SUM(P34)</f>
        <v>239</v>
      </c>
      <c r="S34" s="203">
        <f t="shared" ref="S34:S36" si="64">R34*$B$4</f>
        <v>5142.3548387096771</v>
      </c>
      <c r="T34" s="203">
        <f t="shared" ref="T34:T36" si="65">SUM(R34)</f>
        <v>239</v>
      </c>
      <c r="U34" s="203">
        <f t="shared" ref="U34:U36" si="66">T34*$B$4</f>
        <v>5142.3548387096771</v>
      </c>
      <c r="V34" s="203">
        <f t="shared" ref="V34:V36" si="67">SUM(T34)</f>
        <v>239</v>
      </c>
      <c r="W34" s="203">
        <f t="shared" ref="W34:W36" si="68">V34*$B$4</f>
        <v>5142.3548387096771</v>
      </c>
      <c r="X34" s="35">
        <f t="shared" ref="X34:X36" si="69">SUM(Y34/73370)</f>
        <v>0.77096774193548367</v>
      </c>
      <c r="Y34" s="36">
        <f t="shared" ref="Y34:Y36" si="70">SUM(C34+E34+G34+I34+K34+M34+O34+Q34+S34+U34+W34)</f>
        <v>56565.90322580644</v>
      </c>
      <c r="Z34" s="203">
        <f>'B5'!C33</f>
        <v>245</v>
      </c>
      <c r="AA34" s="203">
        <f t="shared" ref="AA34:AA36" si="71">SUM(Z34*$Z$4)</f>
        <v>2450</v>
      </c>
      <c r="AB34" s="203">
        <f t="shared" ref="AB34:AB36" si="72">SUM(Z34)</f>
        <v>245</v>
      </c>
      <c r="AC34" s="203">
        <f t="shared" ref="AC34:AC36" si="73">SUM(AB34*$Z$4)</f>
        <v>2450</v>
      </c>
      <c r="AD34" s="203">
        <f t="shared" ref="AD34:AD36" si="74">SUM(AB34)</f>
        <v>245</v>
      </c>
      <c r="AE34" s="203">
        <f t="shared" ref="AE34:AE36" si="75">SUM(AD34*$Z$4)</f>
        <v>2450</v>
      </c>
      <c r="AF34" s="203">
        <f t="shared" ref="AF34:AF36" si="76">SUM(AD34)</f>
        <v>245</v>
      </c>
      <c r="AG34" s="203">
        <f t="shared" ref="AG34:AG36" si="77">SUM(AF34*$Z$4)</f>
        <v>2450</v>
      </c>
      <c r="AH34" s="203">
        <f t="shared" ref="AH34:AH36" si="78">SUM(AF34)</f>
        <v>245</v>
      </c>
      <c r="AI34" s="203">
        <f t="shared" ref="AI34:AI36" si="79">SUM(AH34*$Z$4)</f>
        <v>2450</v>
      </c>
      <c r="AJ34" s="203">
        <f t="shared" ref="AJ34:AJ36" si="80">SUM(AH34)</f>
        <v>245</v>
      </c>
      <c r="AK34" s="203">
        <f t="shared" ref="AK34:AK36" si="81">SUM(AJ34*$Z$4)</f>
        <v>2450</v>
      </c>
      <c r="AL34" s="203">
        <f t="shared" ref="AL34:AL36" si="82">SUM(AJ34)</f>
        <v>245</v>
      </c>
      <c r="AM34" s="203">
        <f t="shared" ref="AM34:AM36" si="83">SUM(AL34*$Z$4)</f>
        <v>2450</v>
      </c>
      <c r="AN34" s="35">
        <f t="shared" ref="AN34:AN36" si="84">SUM(AO34/19600)</f>
        <v>0.875</v>
      </c>
      <c r="AO34" s="36">
        <f t="shared" ref="AO34:AO36" si="85">SUM(AA34+AC34+AE34+AG34+AI34+AK34+AM34)</f>
        <v>17150</v>
      </c>
      <c r="AQ34" s="223">
        <f t="shared" ref="AQ34:AQ36" si="86">SUM(AR34/92970)</f>
        <v>0.79289989486723067</v>
      </c>
      <c r="AR34" s="38">
        <f t="shared" ref="AR34:AR36" si="87">Y34+AO34</f>
        <v>73715.90322580644</v>
      </c>
      <c r="AS34" s="197">
        <f t="shared" ref="AS34:AS36" si="88">SUM(AR34-AR33-AT34)</f>
        <v>0</v>
      </c>
      <c r="AT34" s="340"/>
      <c r="AU34" s="548"/>
      <c r="AV34" s="485">
        <f t="shared" ref="AV34:AV36" si="89">IF(AT34&gt;0,AU34,AV33)</f>
        <v>0</v>
      </c>
      <c r="AW34" s="279">
        <f>-SUM('B5'!AI33)</f>
        <v>0</v>
      </c>
      <c r="AX34" s="279">
        <f t="shared" ref="AX34:AX36" si="90">-SUM(AW34-AS34)</f>
        <v>0</v>
      </c>
      <c r="AY34" s="37">
        <f t="shared" ref="AY34:AY36" si="91">SUM(AX34+AW34)</f>
        <v>0</v>
      </c>
      <c r="AZ34" s="100">
        <f>ELEC!A32</f>
        <v>0</v>
      </c>
      <c r="BA34" s="118">
        <f>'General information '!D33</f>
        <v>0</v>
      </c>
      <c r="BB34" s="378">
        <f>SUM('General information '!E33)</f>
        <v>0</v>
      </c>
      <c r="BC34" s="3">
        <f t="shared" ref="BC34:BC36" si="92">IF(AR33&gt;=AR34,0,1)</f>
        <v>0</v>
      </c>
      <c r="BD34" s="102">
        <v>19223</v>
      </c>
      <c r="BE34" s="14" t="e">
        <f>(305/1185)*ELEC!#REF!</f>
        <v>#REF!</v>
      </c>
      <c r="BF34" s="14"/>
      <c r="BG34" s="14" t="e">
        <f>#REF!-BE34</f>
        <v>#REF!</v>
      </c>
      <c r="BH34" s="11"/>
      <c r="BI34">
        <v>21</v>
      </c>
      <c r="BJ34">
        <f t="shared" ref="BJ34:BJ36" si="93">AX34/BI34</f>
        <v>0</v>
      </c>
      <c r="BK34" s="538" t="e">
        <f>GEN!AF31</f>
        <v>#DIV/0!</v>
      </c>
    </row>
    <row r="35" spans="1:63">
      <c r="A35" s="425">
        <f>ELEC!C33</f>
        <v>44742</v>
      </c>
      <c r="B35">
        <f>'B5'!B34</f>
        <v>239</v>
      </c>
      <c r="C35" s="203">
        <f t="shared" si="48"/>
        <v>5142.3548387096771</v>
      </c>
      <c r="D35">
        <f t="shared" si="49"/>
        <v>239</v>
      </c>
      <c r="E35" s="203">
        <f t="shared" si="50"/>
        <v>5142.3548387096771</v>
      </c>
      <c r="F35">
        <f t="shared" si="51"/>
        <v>239</v>
      </c>
      <c r="G35" s="203">
        <f t="shared" si="52"/>
        <v>5142.3548387096771</v>
      </c>
      <c r="H35" s="203">
        <f t="shared" si="53"/>
        <v>239</v>
      </c>
      <c r="I35" s="203">
        <f t="shared" si="54"/>
        <v>5142.3548387096771</v>
      </c>
      <c r="J35" s="203">
        <f t="shared" si="55"/>
        <v>239</v>
      </c>
      <c r="K35" s="203">
        <f t="shared" si="56"/>
        <v>5142.3548387096771</v>
      </c>
      <c r="L35" s="203">
        <f t="shared" si="57"/>
        <v>239</v>
      </c>
      <c r="M35" s="203">
        <f t="shared" si="58"/>
        <v>5142.3548387096771</v>
      </c>
      <c r="N35" s="203">
        <f t="shared" si="59"/>
        <v>239</v>
      </c>
      <c r="O35" s="203">
        <f t="shared" si="60"/>
        <v>5142.3548387096771</v>
      </c>
      <c r="P35" s="203">
        <f t="shared" si="61"/>
        <v>239</v>
      </c>
      <c r="Q35" s="203">
        <f t="shared" si="62"/>
        <v>5142.3548387096771</v>
      </c>
      <c r="R35" s="203">
        <f t="shared" si="63"/>
        <v>239</v>
      </c>
      <c r="S35" s="203">
        <f t="shared" si="64"/>
        <v>5142.3548387096771</v>
      </c>
      <c r="T35" s="203">
        <f t="shared" si="65"/>
        <v>239</v>
      </c>
      <c r="U35" s="203">
        <f t="shared" si="66"/>
        <v>5142.3548387096771</v>
      </c>
      <c r="V35" s="203">
        <f t="shared" si="67"/>
        <v>239</v>
      </c>
      <c r="W35" s="203">
        <f t="shared" si="68"/>
        <v>5142.3548387096771</v>
      </c>
      <c r="X35" s="35">
        <f t="shared" si="69"/>
        <v>0.77096774193548367</v>
      </c>
      <c r="Y35" s="36">
        <f t="shared" si="70"/>
        <v>56565.90322580644</v>
      </c>
      <c r="Z35" s="203">
        <f>'B5'!C34</f>
        <v>245</v>
      </c>
      <c r="AA35" s="203">
        <f t="shared" si="71"/>
        <v>2450</v>
      </c>
      <c r="AB35" s="203">
        <f t="shared" si="72"/>
        <v>245</v>
      </c>
      <c r="AC35" s="203">
        <f t="shared" si="73"/>
        <v>2450</v>
      </c>
      <c r="AD35" s="203">
        <f t="shared" si="74"/>
        <v>245</v>
      </c>
      <c r="AE35" s="203">
        <f t="shared" si="75"/>
        <v>2450</v>
      </c>
      <c r="AF35" s="203">
        <f t="shared" si="76"/>
        <v>245</v>
      </c>
      <c r="AG35" s="203">
        <f t="shared" si="77"/>
        <v>2450</v>
      </c>
      <c r="AH35" s="203">
        <f t="shared" si="78"/>
        <v>245</v>
      </c>
      <c r="AI35" s="203">
        <f t="shared" si="79"/>
        <v>2450</v>
      </c>
      <c r="AJ35" s="203">
        <f t="shared" si="80"/>
        <v>245</v>
      </c>
      <c r="AK35" s="203">
        <f t="shared" si="81"/>
        <v>2450</v>
      </c>
      <c r="AL35" s="203">
        <f t="shared" si="82"/>
        <v>245</v>
      </c>
      <c r="AM35" s="203">
        <f t="shared" si="83"/>
        <v>2450</v>
      </c>
      <c r="AN35" s="35">
        <f t="shared" si="84"/>
        <v>0.875</v>
      </c>
      <c r="AO35" s="36">
        <f t="shared" si="85"/>
        <v>17150</v>
      </c>
      <c r="AQ35" s="223">
        <f t="shared" si="86"/>
        <v>0.79289989486723067</v>
      </c>
      <c r="AR35" s="38">
        <f t="shared" si="87"/>
        <v>73715.90322580644</v>
      </c>
      <c r="AS35" s="197">
        <f t="shared" si="88"/>
        <v>0</v>
      </c>
      <c r="AT35" s="340"/>
      <c r="AU35" s="548"/>
      <c r="AV35" s="485">
        <f t="shared" si="89"/>
        <v>0</v>
      </c>
      <c r="AW35" s="279">
        <f>-SUM('B5'!AI34)</f>
        <v>0</v>
      </c>
      <c r="AX35" s="279">
        <f t="shared" si="90"/>
        <v>0</v>
      </c>
      <c r="AY35" s="37">
        <f t="shared" si="91"/>
        <v>0</v>
      </c>
      <c r="AZ35" s="100">
        <f>ELEC!A33</f>
        <v>0</v>
      </c>
      <c r="BA35" s="118">
        <f>'General information '!D34</f>
        <v>0</v>
      </c>
      <c r="BB35" s="378">
        <f>SUM('General information '!E34)</f>
        <v>0</v>
      </c>
      <c r="BC35" s="3">
        <f t="shared" si="92"/>
        <v>0</v>
      </c>
      <c r="BD35" s="102">
        <v>19224</v>
      </c>
      <c r="BE35" s="14" t="e">
        <f>(305/1185)*ELEC!#REF!</f>
        <v>#REF!</v>
      </c>
      <c r="BF35" s="14"/>
      <c r="BG35" s="14" t="e">
        <f>#REF!-BE35</f>
        <v>#REF!</v>
      </c>
      <c r="BH35" s="11"/>
      <c r="BI35">
        <v>22</v>
      </c>
      <c r="BJ35">
        <f t="shared" si="93"/>
        <v>0</v>
      </c>
      <c r="BK35" s="538" t="e">
        <f>GEN!AF32</f>
        <v>#DIV/0!</v>
      </c>
    </row>
    <row r="36" spans="1:63">
      <c r="A36" s="425">
        <f>ELEC!C34</f>
        <v>44743</v>
      </c>
      <c r="B36">
        <f>'B5'!B35</f>
        <v>239</v>
      </c>
      <c r="C36" s="203">
        <f t="shared" si="48"/>
        <v>5142.3548387096771</v>
      </c>
      <c r="D36">
        <f t="shared" si="49"/>
        <v>239</v>
      </c>
      <c r="E36" s="203">
        <f t="shared" si="50"/>
        <v>5142.3548387096771</v>
      </c>
      <c r="F36">
        <f t="shared" si="51"/>
        <v>239</v>
      </c>
      <c r="G36" s="203">
        <f t="shared" si="52"/>
        <v>5142.3548387096771</v>
      </c>
      <c r="H36" s="203">
        <f t="shared" si="53"/>
        <v>239</v>
      </c>
      <c r="I36" s="203">
        <f t="shared" si="54"/>
        <v>5142.3548387096771</v>
      </c>
      <c r="J36" s="203">
        <f t="shared" si="55"/>
        <v>239</v>
      </c>
      <c r="K36" s="203">
        <f t="shared" si="56"/>
        <v>5142.3548387096771</v>
      </c>
      <c r="L36" s="203">
        <f t="shared" si="57"/>
        <v>239</v>
      </c>
      <c r="M36" s="203">
        <f t="shared" si="58"/>
        <v>5142.3548387096771</v>
      </c>
      <c r="N36" s="203">
        <f t="shared" si="59"/>
        <v>239</v>
      </c>
      <c r="O36" s="203">
        <f t="shared" si="60"/>
        <v>5142.3548387096771</v>
      </c>
      <c r="P36" s="203">
        <f t="shared" si="61"/>
        <v>239</v>
      </c>
      <c r="Q36" s="203">
        <f t="shared" si="62"/>
        <v>5142.3548387096771</v>
      </c>
      <c r="R36" s="203">
        <f t="shared" si="63"/>
        <v>239</v>
      </c>
      <c r="S36" s="203">
        <f t="shared" si="64"/>
        <v>5142.3548387096771</v>
      </c>
      <c r="T36" s="203">
        <f t="shared" si="65"/>
        <v>239</v>
      </c>
      <c r="U36" s="203">
        <f t="shared" si="66"/>
        <v>5142.3548387096771</v>
      </c>
      <c r="V36" s="203">
        <f t="shared" si="67"/>
        <v>239</v>
      </c>
      <c r="W36" s="203">
        <f t="shared" si="68"/>
        <v>5142.3548387096771</v>
      </c>
      <c r="X36" s="35">
        <f t="shared" si="69"/>
        <v>0.77096774193548367</v>
      </c>
      <c r="Y36" s="36">
        <f t="shared" si="70"/>
        <v>56565.90322580644</v>
      </c>
      <c r="Z36" s="203">
        <f>'B5'!C35</f>
        <v>245</v>
      </c>
      <c r="AA36" s="203">
        <f t="shared" si="71"/>
        <v>2450</v>
      </c>
      <c r="AB36" s="203">
        <f t="shared" si="72"/>
        <v>245</v>
      </c>
      <c r="AC36" s="203">
        <f t="shared" si="73"/>
        <v>2450</v>
      </c>
      <c r="AD36" s="203">
        <f t="shared" si="74"/>
        <v>245</v>
      </c>
      <c r="AE36" s="203">
        <f t="shared" si="75"/>
        <v>2450</v>
      </c>
      <c r="AF36" s="203">
        <f t="shared" si="76"/>
        <v>245</v>
      </c>
      <c r="AG36" s="203">
        <f t="shared" si="77"/>
        <v>2450</v>
      </c>
      <c r="AH36" s="203">
        <f t="shared" si="78"/>
        <v>245</v>
      </c>
      <c r="AI36" s="203">
        <f t="shared" si="79"/>
        <v>2450</v>
      </c>
      <c r="AJ36" s="203">
        <f t="shared" si="80"/>
        <v>245</v>
      </c>
      <c r="AK36" s="203">
        <f t="shared" si="81"/>
        <v>2450</v>
      </c>
      <c r="AL36" s="203">
        <f t="shared" si="82"/>
        <v>245</v>
      </c>
      <c r="AM36" s="203">
        <f t="shared" si="83"/>
        <v>2450</v>
      </c>
      <c r="AN36" s="35">
        <f t="shared" si="84"/>
        <v>0.875</v>
      </c>
      <c r="AO36" s="36">
        <f t="shared" si="85"/>
        <v>17150</v>
      </c>
      <c r="AQ36" s="223">
        <f t="shared" si="86"/>
        <v>0.79289989486723067</v>
      </c>
      <c r="AR36" s="38">
        <f t="shared" si="87"/>
        <v>73715.90322580644</v>
      </c>
      <c r="AS36" s="197">
        <f t="shared" si="88"/>
        <v>0</v>
      </c>
      <c r="AT36" s="340"/>
      <c r="AU36" s="548"/>
      <c r="AV36" s="485">
        <f t="shared" si="89"/>
        <v>0</v>
      </c>
      <c r="AW36" s="279">
        <f>-SUM('B5'!AI35)</f>
        <v>0</v>
      </c>
      <c r="AX36" s="279">
        <f t="shared" si="90"/>
        <v>0</v>
      </c>
      <c r="AY36" s="37">
        <f t="shared" si="91"/>
        <v>0</v>
      </c>
      <c r="AZ36" s="100">
        <f>ELEC!A34</f>
        <v>0</v>
      </c>
      <c r="BA36" s="118">
        <f>'General information '!D35</f>
        <v>0</v>
      </c>
      <c r="BB36" s="378">
        <f>SUM('General information '!E35)</f>
        <v>0</v>
      </c>
      <c r="BC36" s="3">
        <f t="shared" si="92"/>
        <v>0</v>
      </c>
      <c r="BD36" s="102">
        <v>19225</v>
      </c>
      <c r="BE36" s="14" t="e">
        <f>(305/1185)*ELEC!#REF!</f>
        <v>#REF!</v>
      </c>
      <c r="BF36" s="14"/>
      <c r="BG36" s="14" t="e">
        <f>#REF!-BE36</f>
        <v>#REF!</v>
      </c>
      <c r="BH36" s="11"/>
      <c r="BI36">
        <v>23</v>
      </c>
      <c r="BJ36">
        <f t="shared" si="93"/>
        <v>0</v>
      </c>
      <c r="BK36" s="538" t="e">
        <f>GEN!AF33</f>
        <v>#DIV/0!</v>
      </c>
    </row>
    <row r="37" spans="1:63">
      <c r="AQ37" s="20"/>
      <c r="AR37" s="456" t="s">
        <v>223</v>
      </c>
      <c r="AS37" s="461">
        <f>COUNT(AT6:AT36)</f>
        <v>2</v>
      </c>
      <c r="AT37" s="203">
        <f>SUM(AT6:AT36)</f>
        <v>9895</v>
      </c>
      <c r="AU37" s="544">
        <f>SUM(AU6:AU36)/AS37</f>
        <v>1.208</v>
      </c>
      <c r="AX37" s="203">
        <f>SUM(AX6:AX36)</f>
        <v>-8786.6774193548626</v>
      </c>
      <c r="AY37" s="203">
        <f>SUM(AY6:AY36)</f>
        <v>-10271.677419354863</v>
      </c>
    </row>
    <row r="38" spans="1:63">
      <c r="AS38" s="206"/>
      <c r="AT38" s="82">
        <f>+AT37*AU37</f>
        <v>11953.16</v>
      </c>
    </row>
    <row r="40" spans="1:63">
      <c r="AS40" s="165">
        <f>SUM(AS6:AS36)/'EDl log'!A35</f>
        <v>-1467.3824884792662</v>
      </c>
      <c r="AT40" s="203"/>
    </row>
    <row r="41" spans="1:63">
      <c r="AX41">
        <v>43309</v>
      </c>
    </row>
    <row r="42" spans="1:63">
      <c r="AR42" s="203">
        <f>AR36-22000</f>
        <v>51715.90322580644</v>
      </c>
      <c r="AU42" s="203"/>
      <c r="AX42">
        <f>AX37/AX41</f>
        <v>-0.20288340574372216</v>
      </c>
    </row>
    <row r="43" spans="1:63">
      <c r="AR43">
        <f>AR42/5500</f>
        <v>9.4028914956011711</v>
      </c>
    </row>
    <row r="44" spans="1:63">
      <c r="AR44">
        <f>AR43*2</f>
        <v>18.805782991202342</v>
      </c>
    </row>
    <row r="45" spans="1:63">
      <c r="AR45" s="203"/>
    </row>
    <row r="46" spans="1:63">
      <c r="AT46" s="596"/>
    </row>
  </sheetData>
  <mergeCells count="3">
    <mergeCell ref="AT3:AU3"/>
    <mergeCell ref="AS3:AS4"/>
    <mergeCell ref="AR3:AR4"/>
  </mergeCells>
  <conditionalFormatting sqref="AW6:AX36">
    <cfRule type="cellIs" dxfId="3" priority="8" stopIfTrue="1" operator="greaterThan">
      <formula>0</formula>
    </cfRule>
  </conditionalFormatting>
  <conditionalFormatting sqref="AT6:AU16 AT18:AU36">
    <cfRule type="cellIs" dxfId="2" priority="6" stopIfTrue="1" operator="greaterThan">
      <formula>0</formula>
    </cfRule>
  </conditionalFormatting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>
  <dimension ref="A1:AF80"/>
  <sheetViews>
    <sheetView zoomScale="70" zoomScaleNormal="70" workbookViewId="0">
      <selection activeCell="A36" sqref="A36"/>
    </sheetView>
  </sheetViews>
  <sheetFormatPr defaultRowHeight="15"/>
  <cols>
    <col min="1" max="1" width="15.5703125" customWidth="1"/>
    <col min="2" max="5" width="17.5703125" customWidth="1"/>
    <col min="6" max="7" width="17.42578125" customWidth="1"/>
    <col min="8" max="9" width="16.28515625" customWidth="1"/>
    <col min="10" max="10" width="22" customWidth="1"/>
    <col min="11" max="11" width="11.42578125" customWidth="1"/>
    <col min="12" max="12" width="15.28515625" bestFit="1" customWidth="1"/>
    <col min="13" max="13" width="19.28515625" bestFit="1" customWidth="1"/>
    <col min="14" max="14" width="15.28515625" bestFit="1" customWidth="1"/>
    <col min="15" max="15" width="13.7109375" bestFit="1" customWidth="1"/>
    <col min="16" max="16" width="12.7109375" customWidth="1"/>
    <col min="17" max="17" width="14.28515625" customWidth="1"/>
    <col min="18" max="18" width="13.42578125" bestFit="1" customWidth="1"/>
    <col min="19" max="19" width="15.28515625" style="281" bestFit="1" customWidth="1"/>
    <col min="20" max="20" width="10.28515625" style="322" customWidth="1"/>
    <col min="22" max="22" width="23.28515625" bestFit="1" customWidth="1"/>
    <col min="23" max="23" width="14.7109375" bestFit="1" customWidth="1"/>
    <col min="24" max="24" width="17.7109375" customWidth="1"/>
    <col min="25" max="25" width="12.5703125" bestFit="1" customWidth="1"/>
    <col min="26" max="26" width="15.7109375" bestFit="1" customWidth="1"/>
    <col min="27" max="27" width="18.7109375" bestFit="1" customWidth="1"/>
    <col min="28" max="28" width="23.7109375" bestFit="1" customWidth="1"/>
    <col min="29" max="29" width="16.85546875" bestFit="1" customWidth="1"/>
    <col min="30" max="30" width="13.5703125" style="541" bestFit="1" customWidth="1"/>
    <col min="31" max="31" width="14.28515625" bestFit="1" customWidth="1"/>
    <col min="32" max="32" width="17" bestFit="1" customWidth="1"/>
    <col min="33" max="33" width="10.28515625" bestFit="1" customWidth="1"/>
  </cols>
  <sheetData>
    <row r="1" spans="1:32">
      <c r="A1" s="164" t="s">
        <v>51</v>
      </c>
      <c r="B1" s="164" t="s">
        <v>196</v>
      </c>
      <c r="C1" s="164" t="s">
        <v>410</v>
      </c>
      <c r="D1" s="164"/>
      <c r="E1" s="164"/>
      <c r="F1" s="164" t="s">
        <v>197</v>
      </c>
      <c r="G1" s="164">
        <v>320</v>
      </c>
      <c r="H1" s="164" t="s">
        <v>198</v>
      </c>
      <c r="I1" s="164">
        <v>112</v>
      </c>
      <c r="J1" s="164" t="s">
        <v>199</v>
      </c>
      <c r="K1" s="164">
        <v>80</v>
      </c>
      <c r="L1" s="164"/>
      <c r="M1" s="164"/>
      <c r="N1" s="164"/>
      <c r="O1" s="164"/>
      <c r="P1" s="164"/>
      <c r="Q1" s="164"/>
      <c r="R1" s="164"/>
      <c r="S1" s="286"/>
      <c r="T1" s="320"/>
    </row>
    <row r="2" spans="1:32">
      <c r="A2" s="164"/>
      <c r="B2" s="164"/>
      <c r="C2" s="164"/>
      <c r="D2" s="164"/>
      <c r="E2" s="164"/>
      <c r="F2" s="164"/>
      <c r="G2" s="164"/>
      <c r="H2" s="164"/>
      <c r="I2" s="164"/>
      <c r="J2" s="164"/>
      <c r="K2" s="164"/>
      <c r="L2" s="164" t="s">
        <v>358</v>
      </c>
      <c r="M2" s="164" t="s">
        <v>359</v>
      </c>
      <c r="N2" s="164" t="s">
        <v>360</v>
      </c>
      <c r="O2" s="164" t="s">
        <v>361</v>
      </c>
      <c r="P2" s="164" t="s">
        <v>362</v>
      </c>
      <c r="Q2" s="164" t="s">
        <v>363</v>
      </c>
      <c r="R2" s="164" t="s">
        <v>364</v>
      </c>
      <c r="S2" s="286"/>
      <c r="T2" s="320"/>
    </row>
    <row r="3" spans="1:32" ht="20.100000000000001" customHeight="1" thickBot="1">
      <c r="A3" s="163">
        <f>'[2]EDl log'!$A$34</f>
        <v>44712</v>
      </c>
      <c r="B3" s="254">
        <f>'[2]EDl log'!B34</f>
        <v>1120614</v>
      </c>
      <c r="C3" s="254">
        <f>'[2]EDl log'!C34</f>
        <v>168</v>
      </c>
      <c r="D3" s="254">
        <f>'[2]EDl log'!D34</f>
        <v>170</v>
      </c>
      <c r="E3" s="254">
        <f>'[2]EDl log'!E34</f>
        <v>1120616</v>
      </c>
      <c r="F3" s="254">
        <f>'[2]EDl log'!F34</f>
        <v>161410</v>
      </c>
      <c r="G3" s="254">
        <f>'[2]EDl log'!G34</f>
        <v>0</v>
      </c>
      <c r="H3" s="254">
        <f>'[2]EDl log'!H34</f>
        <v>557476</v>
      </c>
      <c r="I3" s="254">
        <f>'[2]EDl log'!I34</f>
        <v>170</v>
      </c>
      <c r="J3" s="254">
        <f>'[2]EDl log'!J34</f>
        <v>401730</v>
      </c>
      <c r="K3" s="254">
        <f>'[2]EDl log'!K34</f>
        <v>0</v>
      </c>
      <c r="L3" s="254">
        <f>'[2]EDl log'!L34</f>
        <v>0</v>
      </c>
      <c r="M3" s="254">
        <f>'[2]EDl log'!M34</f>
        <v>12.630182421227197</v>
      </c>
      <c r="N3" s="254">
        <f>'[2]EDl log'!N34</f>
        <v>0</v>
      </c>
      <c r="O3" s="254">
        <f>'[2]EDl log'!O34</f>
        <v>154.80303857058792</v>
      </c>
      <c r="P3" s="254">
        <f>'[2]EDl log'!P34</f>
        <v>167.43322099181512</v>
      </c>
      <c r="Q3" s="254">
        <f>'[2]EDl log'!Q34</f>
        <v>1397.6465806451599</v>
      </c>
      <c r="R3" s="254">
        <f>'[2]EDl log'!R34</f>
        <v>1565.0798016369749</v>
      </c>
      <c r="S3" s="254">
        <f>'[2]EDl log'!S34</f>
        <v>4238</v>
      </c>
      <c r="T3" s="254">
        <f>'[2]EDl log'!T34</f>
        <v>0.3692967913253834</v>
      </c>
      <c r="Z3" t="s">
        <v>213</v>
      </c>
      <c r="AA3">
        <v>0.1</v>
      </c>
    </row>
    <row r="4" spans="1:32" ht="20.100000000000001" customHeight="1">
      <c r="A4" s="163">
        <f>ELEC!C4</f>
        <v>44713</v>
      </c>
      <c r="B4" s="536">
        <v>1120755</v>
      </c>
      <c r="C4" s="254">
        <f t="shared" ref="C4:C30" si="0">SUM(B4-B3)</f>
        <v>141</v>
      </c>
      <c r="D4" s="295">
        <f>SUM(G4+I4+K4)</f>
        <v>139</v>
      </c>
      <c r="E4" s="295">
        <f>B3+D4</f>
        <v>1120753</v>
      </c>
      <c r="F4" s="539">
        <f>F3</f>
        <v>161410</v>
      </c>
      <c r="G4" s="160">
        <f t="shared" ref="G4:G30" si="1">F4-F3</f>
        <v>0</v>
      </c>
      <c r="H4" s="539">
        <v>557615</v>
      </c>
      <c r="I4" s="161">
        <f t="shared" ref="I4:I30" si="2">H4-H3</f>
        <v>139</v>
      </c>
      <c r="J4" s="585">
        <f>J3</f>
        <v>401730</v>
      </c>
      <c r="K4" s="162">
        <f>J4-J3</f>
        <v>0</v>
      </c>
      <c r="L4" s="284">
        <f t="shared" ref="L4:L13" si="3">SUM(G4*$Y$28)/1507.5</f>
        <v>0</v>
      </c>
      <c r="M4" s="284">
        <f t="shared" ref="M4:M13" si="4">SUM(I4*$Y$27)/1507.5</f>
        <v>10.327031509121062</v>
      </c>
      <c r="N4" s="284">
        <f t="shared" ref="N4:N13" si="5">SUM(K4*$Y$26)/1507.5</f>
        <v>0</v>
      </c>
      <c r="O4" s="284">
        <f t="shared" ref="O4:O34" si="6">($AC$29/$A$37)/1507.5</f>
        <v>159.96313985627418</v>
      </c>
      <c r="P4" s="285">
        <f>SUM(L4:O4)</f>
        <v>170.29017136539525</v>
      </c>
      <c r="Q4" s="285">
        <f>SUM(-tanks!AX6*tanks!$AU$37)</f>
        <v>1006.3029677419695</v>
      </c>
      <c r="R4" s="285">
        <f>SUM(P4:Q4)</f>
        <v>1176.5931391073648</v>
      </c>
      <c r="S4" s="287">
        <f>SUM(ELEC!N4)</f>
        <v>3033</v>
      </c>
      <c r="T4" s="321">
        <f>IF(S4&gt;0,R4/S4,0)</f>
        <v>0.38793047778020601</v>
      </c>
      <c r="U4" s="245"/>
      <c r="V4" s="166" t="s">
        <v>200</v>
      </c>
      <c r="W4" s="167">
        <f>'[2]EDl log'!$W$21</f>
        <v>44703</v>
      </c>
      <c r="X4" s="168"/>
      <c r="Y4" s="168"/>
      <c r="Z4" s="169" t="s">
        <v>201</v>
      </c>
      <c r="AA4" s="168"/>
      <c r="AB4" s="646"/>
      <c r="AC4" s="647"/>
    </row>
    <row r="5" spans="1:32" ht="20.100000000000001" customHeight="1">
      <c r="A5" s="163">
        <f>ELEC!C5</f>
        <v>44714</v>
      </c>
      <c r="B5" s="609">
        <f t="shared" ref="B5:B34" si="7">B4</f>
        <v>1120755</v>
      </c>
      <c r="C5" s="254">
        <f t="shared" si="0"/>
        <v>0</v>
      </c>
      <c r="D5" s="295">
        <f>SUM(G5+I5+K5)</f>
        <v>0</v>
      </c>
      <c r="E5" s="295">
        <f>B4+D5</f>
        <v>1120755</v>
      </c>
      <c r="F5" s="609">
        <f t="shared" ref="F5:F34" si="8">F4</f>
        <v>161410</v>
      </c>
      <c r="G5" s="160">
        <f t="shared" si="1"/>
        <v>0</v>
      </c>
      <c r="H5" s="609">
        <f t="shared" ref="H5:H34" si="9">H4</f>
        <v>557615</v>
      </c>
      <c r="I5" s="161">
        <f t="shared" si="2"/>
        <v>0</v>
      </c>
      <c r="J5" s="609">
        <f t="shared" ref="J5:J34" si="10">J4</f>
        <v>401730</v>
      </c>
      <c r="K5" s="162">
        <f t="shared" ref="K5:K30" si="11">J5-J4</f>
        <v>0</v>
      </c>
      <c r="L5" s="284">
        <f t="shared" si="3"/>
        <v>0</v>
      </c>
      <c r="M5" s="284">
        <f t="shared" si="4"/>
        <v>0</v>
      </c>
      <c r="N5" s="284">
        <f t="shared" si="5"/>
        <v>0</v>
      </c>
      <c r="O5" s="284">
        <f t="shared" si="6"/>
        <v>159.96313985627418</v>
      </c>
      <c r="P5" s="285">
        <f t="shared" ref="P5:P30" si="12">SUM(L5:O5)</f>
        <v>159.96313985627418</v>
      </c>
      <c r="Q5" s="285">
        <f>SUM(-tanks!AX7*tanks!$AU$37)</f>
        <v>989.39096774191671</v>
      </c>
      <c r="R5" s="285">
        <f t="shared" ref="R5:R30" si="13">SUM(P5:Q5)</f>
        <v>1149.3541075981909</v>
      </c>
      <c r="S5" s="287">
        <f>SUM(ELEC!N5)</f>
        <v>3021</v>
      </c>
      <c r="T5" s="321">
        <f>IF(S5&gt;0,R5/S5,0)</f>
        <v>0.38045485190274442</v>
      </c>
      <c r="U5" s="245"/>
      <c r="V5" s="640"/>
      <c r="W5" s="641"/>
      <c r="X5" s="641"/>
      <c r="Y5" s="642"/>
      <c r="Z5" s="26" t="s">
        <v>202</v>
      </c>
      <c r="AA5" s="26">
        <v>5000</v>
      </c>
      <c r="AB5" s="648"/>
      <c r="AC5" s="649"/>
    </row>
    <row r="6" spans="1:32" ht="20.100000000000001" customHeight="1">
      <c r="A6" s="163">
        <f>ELEC!C6</f>
        <v>44715</v>
      </c>
      <c r="B6" s="609">
        <f t="shared" si="7"/>
        <v>1120755</v>
      </c>
      <c r="C6" s="254">
        <f t="shared" si="0"/>
        <v>0</v>
      </c>
      <c r="D6" s="295">
        <f t="shared" ref="D6:D31" si="14">SUM(G6+I6+K6)</f>
        <v>0</v>
      </c>
      <c r="E6" s="295">
        <f t="shared" ref="E6:E30" si="15">B5+D6</f>
        <v>1120755</v>
      </c>
      <c r="F6" s="609">
        <f t="shared" si="8"/>
        <v>161410</v>
      </c>
      <c r="G6" s="160">
        <f t="shared" si="1"/>
        <v>0</v>
      </c>
      <c r="H6" s="609">
        <f t="shared" si="9"/>
        <v>557615</v>
      </c>
      <c r="I6" s="161">
        <f t="shared" si="2"/>
        <v>0</v>
      </c>
      <c r="J6" s="609">
        <f t="shared" si="10"/>
        <v>401730</v>
      </c>
      <c r="K6" s="162">
        <f t="shared" si="11"/>
        <v>0</v>
      </c>
      <c r="L6" s="284">
        <f t="shared" si="3"/>
        <v>0</v>
      </c>
      <c r="M6" s="284">
        <f t="shared" si="4"/>
        <v>0</v>
      </c>
      <c r="N6" s="284">
        <f t="shared" si="5"/>
        <v>0</v>
      </c>
      <c r="O6" s="284">
        <f t="shared" si="6"/>
        <v>159.96313985627418</v>
      </c>
      <c r="P6" s="285">
        <f t="shared" si="12"/>
        <v>159.96313985627418</v>
      </c>
      <c r="Q6" s="285">
        <f>SUM(-tanks!AX8*tanks!$AU$37)</f>
        <v>0</v>
      </c>
      <c r="R6" s="285">
        <f t="shared" si="13"/>
        <v>159.96313985627418</v>
      </c>
      <c r="S6" s="287">
        <f>SUM(ELEC!N6)</f>
        <v>0</v>
      </c>
      <c r="T6" s="321">
        <f t="shared" ref="T6:T30" si="16">IF(S6&gt;0,R6/S6,0)</f>
        <v>0</v>
      </c>
      <c r="V6" s="643"/>
      <c r="W6" s="644"/>
      <c r="X6" s="644"/>
      <c r="Y6" s="645"/>
      <c r="Z6" s="652"/>
      <c r="AA6" s="653"/>
      <c r="AB6" s="648"/>
      <c r="AC6" s="649"/>
    </row>
    <row r="7" spans="1:32" ht="20.100000000000001" customHeight="1">
      <c r="A7" s="163">
        <f>ELEC!C7</f>
        <v>44716</v>
      </c>
      <c r="B7" s="609">
        <f t="shared" si="7"/>
        <v>1120755</v>
      </c>
      <c r="C7" s="254">
        <f>SUM(B7-B6)</f>
        <v>0</v>
      </c>
      <c r="D7" s="295">
        <f>SUM(G7+I7+K7)</f>
        <v>0</v>
      </c>
      <c r="E7" s="295">
        <f t="shared" si="15"/>
        <v>1120755</v>
      </c>
      <c r="F7" s="609">
        <f t="shared" si="8"/>
        <v>161410</v>
      </c>
      <c r="G7" s="160">
        <f t="shared" si="1"/>
        <v>0</v>
      </c>
      <c r="H7" s="609">
        <f t="shared" si="9"/>
        <v>557615</v>
      </c>
      <c r="I7" s="161">
        <f t="shared" si="2"/>
        <v>0</v>
      </c>
      <c r="J7" s="609">
        <f t="shared" si="10"/>
        <v>401730</v>
      </c>
      <c r="K7" s="162">
        <f t="shared" si="11"/>
        <v>0</v>
      </c>
      <c r="L7" s="284">
        <f t="shared" si="3"/>
        <v>0</v>
      </c>
      <c r="M7" s="284">
        <f t="shared" si="4"/>
        <v>0</v>
      </c>
      <c r="N7" s="284">
        <f t="shared" si="5"/>
        <v>0</v>
      </c>
      <c r="O7" s="284">
        <f t="shared" si="6"/>
        <v>159.96313985627418</v>
      </c>
      <c r="P7" s="285">
        <f t="shared" si="12"/>
        <v>159.96313985627418</v>
      </c>
      <c r="Q7" s="285">
        <f>SUM(-tanks!AX9*tanks!$AU$37)</f>
        <v>0</v>
      </c>
      <c r="R7" s="285">
        <f t="shared" si="13"/>
        <v>159.96313985627418</v>
      </c>
      <c r="S7" s="287">
        <f>SUM(ELEC!N7)</f>
        <v>0</v>
      </c>
      <c r="T7" s="321">
        <f t="shared" si="16"/>
        <v>0</v>
      </c>
      <c r="V7" s="635" t="s">
        <v>203</v>
      </c>
      <c r="W7" s="636"/>
      <c r="X7" s="637" t="s">
        <v>204</v>
      </c>
      <c r="Y7" s="638"/>
      <c r="Z7" s="639"/>
      <c r="AA7" s="170"/>
      <c r="AB7" s="650"/>
      <c r="AC7" s="651"/>
    </row>
    <row r="8" spans="1:32" ht="20.100000000000001" customHeight="1">
      <c r="A8" s="163">
        <f>ELEC!C8</f>
        <v>44717</v>
      </c>
      <c r="B8" s="609">
        <f t="shared" si="7"/>
        <v>1120755</v>
      </c>
      <c r="C8" s="254">
        <f t="shared" si="0"/>
        <v>0</v>
      </c>
      <c r="D8" s="295">
        <f t="shared" si="14"/>
        <v>0</v>
      </c>
      <c r="E8" s="295">
        <f t="shared" si="15"/>
        <v>1120755</v>
      </c>
      <c r="F8" s="609">
        <f t="shared" si="8"/>
        <v>161410</v>
      </c>
      <c r="G8" s="160">
        <f t="shared" si="1"/>
        <v>0</v>
      </c>
      <c r="H8" s="609">
        <f t="shared" si="9"/>
        <v>557615</v>
      </c>
      <c r="I8" s="161">
        <f t="shared" si="2"/>
        <v>0</v>
      </c>
      <c r="J8" s="609">
        <f t="shared" si="10"/>
        <v>401730</v>
      </c>
      <c r="K8" s="162">
        <f>J8-J7</f>
        <v>0</v>
      </c>
      <c r="L8" s="284">
        <f t="shared" si="3"/>
        <v>0</v>
      </c>
      <c r="M8" s="284">
        <f t="shared" si="4"/>
        <v>0</v>
      </c>
      <c r="N8" s="284">
        <f t="shared" si="5"/>
        <v>0</v>
      </c>
      <c r="O8" s="284">
        <f t="shared" si="6"/>
        <v>159.96313985627418</v>
      </c>
      <c r="P8" s="285">
        <f t="shared" si="12"/>
        <v>159.96313985627418</v>
      </c>
      <c r="Q8" s="285">
        <f>SUM(-tanks!AX10*tanks!$AU$37)</f>
        <v>921.74296774193431</v>
      </c>
      <c r="R8" s="285">
        <f t="shared" si="13"/>
        <v>1081.7061075982085</v>
      </c>
      <c r="S8" s="287">
        <f>SUM(ELEC!N8)</f>
        <v>3034.1999999992549</v>
      </c>
      <c r="T8" s="321">
        <f>IF(S8&gt;0,R8/S8,0)</f>
        <v>0.35650455065535369</v>
      </c>
      <c r="V8" s="242" t="s">
        <v>205</v>
      </c>
      <c r="W8" s="243" t="s">
        <v>206</v>
      </c>
      <c r="X8" s="243"/>
      <c r="Y8" s="243" t="s">
        <v>207</v>
      </c>
      <c r="Z8" s="243" t="s">
        <v>208</v>
      </c>
      <c r="AA8" s="243" t="s">
        <v>209</v>
      </c>
      <c r="AB8" s="243" t="s">
        <v>210</v>
      </c>
      <c r="AC8" s="171" t="s">
        <v>211</v>
      </c>
    </row>
    <row r="9" spans="1:32" ht="20.100000000000001" customHeight="1">
      <c r="A9" s="163">
        <f>ELEC!C9</f>
        <v>44718</v>
      </c>
      <c r="B9" s="609">
        <f t="shared" si="7"/>
        <v>1120755</v>
      </c>
      <c r="C9" s="254">
        <f t="shared" si="0"/>
        <v>0</v>
      </c>
      <c r="D9" s="295">
        <f t="shared" si="14"/>
        <v>0</v>
      </c>
      <c r="E9" s="295">
        <f t="shared" si="15"/>
        <v>1120755</v>
      </c>
      <c r="F9" s="609">
        <f t="shared" si="8"/>
        <v>161410</v>
      </c>
      <c r="G9" s="160">
        <f t="shared" si="1"/>
        <v>0</v>
      </c>
      <c r="H9" s="609">
        <f t="shared" si="9"/>
        <v>557615</v>
      </c>
      <c r="I9" s="161">
        <f t="shared" si="2"/>
        <v>0</v>
      </c>
      <c r="J9" s="609">
        <f t="shared" si="10"/>
        <v>401730</v>
      </c>
      <c r="K9" s="162">
        <f>J9-J8</f>
        <v>0</v>
      </c>
      <c r="L9" s="284">
        <f t="shared" si="3"/>
        <v>0</v>
      </c>
      <c r="M9" s="284">
        <f t="shared" si="4"/>
        <v>0</v>
      </c>
      <c r="N9" s="284">
        <f t="shared" si="5"/>
        <v>0</v>
      </c>
      <c r="O9" s="284">
        <f t="shared" si="6"/>
        <v>159.96313985627418</v>
      </c>
      <c r="P9" s="285">
        <f t="shared" si="12"/>
        <v>159.96313985627418</v>
      </c>
      <c r="Q9" s="285">
        <f>SUM(-tanks!AX11*tanks!$AU$37)</f>
        <v>1717.035612903212</v>
      </c>
      <c r="R9" s="285">
        <f>SUM(P9:Q9)</f>
        <v>1876.9987527594863</v>
      </c>
      <c r="S9" s="287">
        <f>SUM(ELEC!N9)</f>
        <v>3098.8000000007451</v>
      </c>
      <c r="T9" s="321">
        <f t="shared" si="16"/>
        <v>0.6057179400926278</v>
      </c>
      <c r="V9" s="246">
        <f>'[2]EDl log'!V26</f>
        <v>401437</v>
      </c>
      <c r="W9" s="246">
        <f>'[2]EDl log'!W26</f>
        <v>401730</v>
      </c>
      <c r="X9" s="246" t="str">
        <f>'[2]EDl log'!X26</f>
        <v>Night</v>
      </c>
      <c r="Y9" s="246">
        <f>'[2]EDl log'!Y26</f>
        <v>80</v>
      </c>
      <c r="Z9" s="246">
        <f>'[2]EDl log'!Z26</f>
        <v>1</v>
      </c>
      <c r="AA9" s="246">
        <f>'[2]EDl log'!AA26</f>
        <v>293</v>
      </c>
      <c r="AB9" s="246">
        <f>'[2]EDl log'!AB26</f>
        <v>23440</v>
      </c>
      <c r="AC9" s="246">
        <f>'[2]EDl log'!AC26</f>
        <v>1033333</v>
      </c>
      <c r="AD9" s="597">
        <f>'[2]EDl log'!AD26</f>
        <v>0.11127990884922141</v>
      </c>
      <c r="AE9" s="246">
        <f>'[2]EDl log'!AE26</f>
        <v>0</v>
      </c>
      <c r="AF9" s="246">
        <f>'[2]EDl log'!AF26</f>
        <v>0</v>
      </c>
    </row>
    <row r="10" spans="1:32" ht="20.100000000000001" customHeight="1">
      <c r="A10" s="163">
        <f>ELEC!C10</f>
        <v>44719</v>
      </c>
      <c r="B10" s="609">
        <v>1121220</v>
      </c>
      <c r="C10" s="254">
        <f t="shared" si="0"/>
        <v>465</v>
      </c>
      <c r="D10" s="295">
        <f t="shared" si="14"/>
        <v>465</v>
      </c>
      <c r="E10" s="295">
        <f t="shared" si="15"/>
        <v>1121220</v>
      </c>
      <c r="F10" s="609">
        <f t="shared" si="8"/>
        <v>161410</v>
      </c>
      <c r="G10" s="160">
        <f t="shared" si="1"/>
        <v>0</v>
      </c>
      <c r="H10" s="609">
        <v>558080</v>
      </c>
      <c r="I10" s="161">
        <f t="shared" si="2"/>
        <v>465</v>
      </c>
      <c r="J10" s="609">
        <v>401730</v>
      </c>
      <c r="K10" s="162">
        <f t="shared" si="11"/>
        <v>0</v>
      </c>
      <c r="L10" s="284">
        <f t="shared" si="3"/>
        <v>0</v>
      </c>
      <c r="M10" s="284">
        <f t="shared" si="4"/>
        <v>34.547263681592042</v>
      </c>
      <c r="N10" s="284">
        <f t="shared" si="5"/>
        <v>0</v>
      </c>
      <c r="O10" s="284">
        <f t="shared" si="6"/>
        <v>159.96313985627418</v>
      </c>
      <c r="P10" s="285">
        <f t="shared" si="12"/>
        <v>194.51040353786624</v>
      </c>
      <c r="Q10" s="285">
        <f>SUM(-tanks!AX12*tanks!$AU$37)</f>
        <v>592.34864516131302</v>
      </c>
      <c r="R10" s="285">
        <f t="shared" si="13"/>
        <v>786.85904869917931</v>
      </c>
      <c r="S10" s="287">
        <f>SUM(ELEC!N10)</f>
        <v>2865</v>
      </c>
      <c r="T10" s="321">
        <f t="shared" si="16"/>
        <v>0.27464539221611844</v>
      </c>
      <c r="V10" s="246">
        <f>'[2]EDl log'!V27</f>
        <v>555135</v>
      </c>
      <c r="W10" s="246">
        <f>'[2]EDl log'!W27</f>
        <v>557476</v>
      </c>
      <c r="X10" s="246" t="str">
        <f>'[2]EDl log'!X27</f>
        <v>day</v>
      </c>
      <c r="Y10" s="246">
        <f>'[2]EDl log'!Y27</f>
        <v>112</v>
      </c>
      <c r="Z10" s="246">
        <f>'[2]EDl log'!Z27</f>
        <v>1</v>
      </c>
      <c r="AA10" s="246">
        <f>'[2]EDl log'!AA27</f>
        <v>2341</v>
      </c>
      <c r="AB10" s="246">
        <f>'[2]EDl log'!AB27</f>
        <v>262192</v>
      </c>
      <c r="AC10" s="246">
        <f>'[2]EDl log'!AC27</f>
        <v>6200000</v>
      </c>
      <c r="AD10" s="597">
        <f>'[2]EDl log'!AD27</f>
        <v>0.88909988606152668</v>
      </c>
      <c r="AE10" s="246">
        <f>'[2]EDl log'!AE27</f>
        <v>0</v>
      </c>
      <c r="AF10" s="246">
        <f>'[2]EDl log'!AF27</f>
        <v>0</v>
      </c>
    </row>
    <row r="11" spans="1:32" ht="20.100000000000001" customHeight="1">
      <c r="A11" s="163">
        <f>ELEC!C11</f>
        <v>44720</v>
      </c>
      <c r="B11" s="609">
        <v>1121406</v>
      </c>
      <c r="C11" s="254">
        <f>SUM(B11-B10)</f>
        <v>186</v>
      </c>
      <c r="D11" s="295">
        <f>SUM(G11+I11+K11)</f>
        <v>188</v>
      </c>
      <c r="E11" s="295">
        <f t="shared" si="15"/>
        <v>1121408</v>
      </c>
      <c r="F11" s="609">
        <f t="shared" si="8"/>
        <v>161410</v>
      </c>
      <c r="G11" s="160">
        <f t="shared" si="1"/>
        <v>0</v>
      </c>
      <c r="H11" s="609">
        <v>558268</v>
      </c>
      <c r="I11" s="161">
        <f t="shared" si="2"/>
        <v>188</v>
      </c>
      <c r="J11" s="609">
        <f t="shared" si="10"/>
        <v>401730</v>
      </c>
      <c r="K11" s="162">
        <f t="shared" si="11"/>
        <v>0</v>
      </c>
      <c r="L11" s="284">
        <f t="shared" si="3"/>
        <v>0</v>
      </c>
      <c r="M11" s="284">
        <f t="shared" si="4"/>
        <v>13.967495854063019</v>
      </c>
      <c r="N11" s="284">
        <f t="shared" si="5"/>
        <v>0</v>
      </c>
      <c r="O11" s="284">
        <f t="shared" si="6"/>
        <v>159.96313985627418</v>
      </c>
      <c r="P11" s="285">
        <f t="shared" si="12"/>
        <v>173.93063571033721</v>
      </c>
      <c r="Q11" s="285">
        <f>SUM(-tanks!AX13*tanks!$AU$37)</f>
        <v>1450.2624516129015</v>
      </c>
      <c r="R11" s="285">
        <f t="shared" si="13"/>
        <v>1624.1930873232386</v>
      </c>
      <c r="S11" s="287">
        <f>SUM(ELEC!N11)</f>
        <v>2797</v>
      </c>
      <c r="T11" s="321">
        <f t="shared" si="16"/>
        <v>0.5806911288248976</v>
      </c>
      <c r="V11" s="246">
        <f>'[2]EDl log'!V28</f>
        <v>161410</v>
      </c>
      <c r="W11" s="246">
        <f>'[2]EDl log'!W28</f>
        <v>161410</v>
      </c>
      <c r="X11" s="246" t="str">
        <f>'[2]EDl log'!X28</f>
        <v>Peak</v>
      </c>
      <c r="Y11" s="246">
        <f>'[2]EDl log'!Y28</f>
        <v>320</v>
      </c>
      <c r="Z11" s="246">
        <f>'[2]EDl log'!Z28</f>
        <v>1</v>
      </c>
      <c r="AA11" s="246">
        <f>'[2]EDl log'!AA28</f>
        <v>0</v>
      </c>
      <c r="AB11" s="246">
        <f>'[2]EDl log'!AB28</f>
        <v>0</v>
      </c>
      <c r="AC11" s="246">
        <f>'[2]EDl log'!AC28</f>
        <v>1000</v>
      </c>
      <c r="AD11" s="597">
        <f>'[2]EDl log'!AD28</f>
        <v>0</v>
      </c>
      <c r="AE11" s="246">
        <f>'[2]EDl log'!AE28</f>
        <v>0</v>
      </c>
      <c r="AF11" s="246">
        <f>'[2]EDl log'!AF28</f>
        <v>0</v>
      </c>
    </row>
    <row r="12" spans="1:32" ht="20.100000000000001" customHeight="1">
      <c r="A12" s="163">
        <f>ELEC!C12</f>
        <v>44721</v>
      </c>
      <c r="B12" s="609">
        <v>1121522</v>
      </c>
      <c r="C12" s="254">
        <f t="shared" si="0"/>
        <v>116</v>
      </c>
      <c r="D12" s="295">
        <f t="shared" si="14"/>
        <v>114</v>
      </c>
      <c r="E12" s="295">
        <f t="shared" si="15"/>
        <v>1121520</v>
      </c>
      <c r="F12" s="609">
        <f t="shared" si="8"/>
        <v>161410</v>
      </c>
      <c r="G12" s="160">
        <f t="shared" si="1"/>
        <v>0</v>
      </c>
      <c r="H12" s="609">
        <v>558382</v>
      </c>
      <c r="I12" s="161">
        <f t="shared" si="2"/>
        <v>114</v>
      </c>
      <c r="J12" s="609">
        <f t="shared" si="10"/>
        <v>401730</v>
      </c>
      <c r="K12" s="162">
        <f t="shared" si="11"/>
        <v>0</v>
      </c>
      <c r="L12" s="284">
        <f t="shared" si="3"/>
        <v>0</v>
      </c>
      <c r="M12" s="284">
        <f t="shared" si="4"/>
        <v>8.4696517412935322</v>
      </c>
      <c r="N12" s="284">
        <f t="shared" si="5"/>
        <v>0</v>
      </c>
      <c r="O12" s="284">
        <f t="shared" si="6"/>
        <v>159.96313985627418</v>
      </c>
      <c r="P12" s="285">
        <f t="shared" si="12"/>
        <v>168.4327915975677</v>
      </c>
      <c r="Q12" s="285">
        <f>SUM(-tanks!AX14*tanks!$AU$37)</f>
        <v>285.08799999999997</v>
      </c>
      <c r="R12" s="285">
        <f t="shared" si="13"/>
        <v>453.52079159756767</v>
      </c>
      <c r="S12" s="287">
        <f>SUM(ELEC!N12)</f>
        <v>2912</v>
      </c>
      <c r="T12" s="321">
        <f t="shared" si="16"/>
        <v>0.1557420300815823</v>
      </c>
      <c r="V12" s="213"/>
      <c r="W12" s="246">
        <f>'[2]EDl log'!W29</f>
        <v>0</v>
      </c>
      <c r="X12" s="214"/>
      <c r="Y12" s="215"/>
      <c r="Z12" s="3"/>
      <c r="AA12" s="246">
        <f>'[2]EDl log'!AA29</f>
        <v>2634</v>
      </c>
      <c r="AB12" s="246">
        <f>'[2]EDl log'!AB29</f>
        <v>285632</v>
      </c>
      <c r="AC12" s="246">
        <f>'[2]EDl log'!AC29</f>
        <v>7234333</v>
      </c>
    </row>
    <row r="13" spans="1:32" ht="20.100000000000001" customHeight="1">
      <c r="A13" s="163">
        <f>ELEC!C13</f>
        <v>44722</v>
      </c>
      <c r="B13" s="609">
        <v>1121647</v>
      </c>
      <c r="C13" s="254">
        <f t="shared" si="0"/>
        <v>125</v>
      </c>
      <c r="D13" s="295">
        <f t="shared" si="14"/>
        <v>125</v>
      </c>
      <c r="E13" s="295">
        <f t="shared" si="15"/>
        <v>1121647</v>
      </c>
      <c r="F13" s="609">
        <f t="shared" si="8"/>
        <v>161410</v>
      </c>
      <c r="G13" s="160">
        <f t="shared" si="1"/>
        <v>0</v>
      </c>
      <c r="H13" s="609">
        <v>558507</v>
      </c>
      <c r="I13" s="161">
        <f t="shared" si="2"/>
        <v>125</v>
      </c>
      <c r="J13" s="609">
        <v>401730</v>
      </c>
      <c r="K13" s="162">
        <f t="shared" si="11"/>
        <v>0</v>
      </c>
      <c r="L13" s="284">
        <f t="shared" si="3"/>
        <v>0</v>
      </c>
      <c r="M13" s="284">
        <f t="shared" si="4"/>
        <v>9.2868988391376455</v>
      </c>
      <c r="N13" s="284">
        <f t="shared" si="5"/>
        <v>0</v>
      </c>
      <c r="O13" s="284">
        <f t="shared" si="6"/>
        <v>159.96313985627418</v>
      </c>
      <c r="P13" s="285">
        <f t="shared" si="12"/>
        <v>169.25003869541183</v>
      </c>
      <c r="Q13" s="285">
        <f>SUM(-tanks!AX15*tanks!$AU$37)</f>
        <v>0</v>
      </c>
      <c r="R13" s="285">
        <f t="shared" si="13"/>
        <v>169.25003869541183</v>
      </c>
      <c r="S13" s="287">
        <f>SUM(ELEC!N13)</f>
        <v>0</v>
      </c>
      <c r="T13" s="321">
        <f>IF(S13&gt;0,R13/S13,0)</f>
        <v>0</v>
      </c>
      <c r="V13" s="216" t="s">
        <v>314</v>
      </c>
      <c r="W13" s="217"/>
      <c r="X13" s="217"/>
      <c r="Y13" s="218" t="s">
        <v>327</v>
      </c>
      <c r="Z13" s="3"/>
      <c r="AA13" s="246">
        <f>'[2]EDl log'!AA30</f>
        <v>0</v>
      </c>
      <c r="AB13" s="246">
        <f>'[2]EDl log'!AB30</f>
        <v>7519965</v>
      </c>
      <c r="AC13" s="246">
        <f>'[2]EDl log'!AC30</f>
        <v>0</v>
      </c>
    </row>
    <row r="14" spans="1:32" ht="20.100000000000001" customHeight="1">
      <c r="A14" s="163">
        <f>ELEC!C14</f>
        <v>44723</v>
      </c>
      <c r="B14" s="609">
        <f t="shared" si="7"/>
        <v>1121647</v>
      </c>
      <c r="C14" s="254">
        <f t="shared" si="0"/>
        <v>0</v>
      </c>
      <c r="D14" s="295">
        <f t="shared" si="14"/>
        <v>0</v>
      </c>
      <c r="E14" s="295">
        <f t="shared" si="15"/>
        <v>1121647</v>
      </c>
      <c r="F14" s="609">
        <f t="shared" si="8"/>
        <v>161410</v>
      </c>
      <c r="G14" s="160">
        <f t="shared" si="1"/>
        <v>0</v>
      </c>
      <c r="H14" s="609">
        <f t="shared" si="9"/>
        <v>558507</v>
      </c>
      <c r="I14" s="161">
        <f t="shared" si="2"/>
        <v>0</v>
      </c>
      <c r="J14" s="609">
        <f t="shared" si="10"/>
        <v>401730</v>
      </c>
      <c r="K14" s="162">
        <f>J14-J13</f>
        <v>0</v>
      </c>
      <c r="L14" s="284">
        <f>SUM(G14*$Y$28)/1507.5</f>
        <v>0</v>
      </c>
      <c r="M14" s="284">
        <f>SUM(I14*$Y$27)/1507.5</f>
        <v>0</v>
      </c>
      <c r="N14" s="284">
        <f>SUM(K14*$Y$26)/1507.5</f>
        <v>0</v>
      </c>
      <c r="O14" s="284">
        <f t="shared" si="6"/>
        <v>159.96313985627418</v>
      </c>
      <c r="P14" s="285">
        <f>SUM(L14:O14)</f>
        <v>159.96313985627418</v>
      </c>
      <c r="Q14" s="285">
        <f>SUM(-tanks!AX16*tanks!$AU$37)</f>
        <v>0</v>
      </c>
      <c r="R14" s="285">
        <f>SUM(P14:Q14)</f>
        <v>159.96313985627418</v>
      </c>
      <c r="S14" s="287">
        <f>SUM(ELEC!N14)</f>
        <v>0</v>
      </c>
      <c r="T14" s="321">
        <f>IF(S14&gt;0,R14/S14,0)</f>
        <v>0</v>
      </c>
      <c r="V14" s="216"/>
      <c r="W14" s="217"/>
      <c r="X14" s="217"/>
      <c r="Y14" s="218"/>
      <c r="Z14" s="3"/>
      <c r="AA14" s="246">
        <f>'[2]EDl log'!AA31</f>
        <v>0</v>
      </c>
      <c r="AB14" s="246">
        <f>'[2]EDl log'!AB31</f>
        <v>0</v>
      </c>
      <c r="AC14" s="246">
        <f>'[2]EDl log'!AC31</f>
        <v>0</v>
      </c>
    </row>
    <row r="15" spans="1:32" ht="20.100000000000001" customHeight="1">
      <c r="A15" s="163">
        <f>ELEC!C15</f>
        <v>44724</v>
      </c>
      <c r="B15" s="609">
        <v>1121759</v>
      </c>
      <c r="C15" s="254">
        <f t="shared" si="0"/>
        <v>112</v>
      </c>
      <c r="D15" s="295">
        <f t="shared" si="14"/>
        <v>113</v>
      </c>
      <c r="E15" s="295">
        <f t="shared" si="15"/>
        <v>1121760</v>
      </c>
      <c r="F15" s="609">
        <f t="shared" si="8"/>
        <v>161410</v>
      </c>
      <c r="G15" s="160">
        <f t="shared" si="1"/>
        <v>0</v>
      </c>
      <c r="H15" s="609">
        <v>558620</v>
      </c>
      <c r="I15" s="161">
        <f t="shared" si="2"/>
        <v>113</v>
      </c>
      <c r="J15" s="609">
        <v>401730</v>
      </c>
      <c r="K15" s="162">
        <f>J15-J14</f>
        <v>0</v>
      </c>
      <c r="L15" s="284">
        <f>SUM(G15*$Y$28)/1507.5</f>
        <v>0</v>
      </c>
      <c r="M15" s="284">
        <f>SUM(I15*$Y$27)/1507.5</f>
        <v>8.3953565505804306</v>
      </c>
      <c r="N15" s="284">
        <f>SUM(K15*$Y$26)/1507.5</f>
        <v>0</v>
      </c>
      <c r="O15" s="284">
        <f t="shared" si="6"/>
        <v>159.96313985627418</v>
      </c>
      <c r="P15" s="285">
        <f>SUM(L15:O15)</f>
        <v>168.35849640685461</v>
      </c>
      <c r="Q15" s="285">
        <f>SUM(-tanks!AX17*tanks!$AU$37)</f>
        <v>685.36464516127785</v>
      </c>
      <c r="R15" s="285">
        <f>SUM(P15:Q15)</f>
        <v>853.72314156813241</v>
      </c>
      <c r="S15" s="287">
        <f>SUM(ELEC!N15)</f>
        <v>2686</v>
      </c>
      <c r="T15" s="321">
        <f>IF(S15&gt;0,R15/S15,0)</f>
        <v>0.31784182485783036</v>
      </c>
      <c r="V15" s="216" t="s">
        <v>315</v>
      </c>
      <c r="W15" s="246">
        <f>'[2]EDl log'!W32</f>
        <v>227</v>
      </c>
      <c r="X15" s="246">
        <f>'[2]EDl log'!X32</f>
        <v>20.636363636363637</v>
      </c>
      <c r="Y15" s="246">
        <f>'[2]EDl log'!Y32</f>
        <v>20.636363636363637</v>
      </c>
      <c r="Z15" s="3"/>
      <c r="AA15" s="246">
        <f>'[2]EDl log'!AA32</f>
        <v>0</v>
      </c>
      <c r="AB15" s="246">
        <f>'[2]EDl log'!AB32</f>
        <v>0</v>
      </c>
      <c r="AC15" s="246">
        <f>'[2]EDl log'!AC32</f>
        <v>0</v>
      </c>
    </row>
    <row r="16" spans="1:32" ht="20.100000000000001" customHeight="1">
      <c r="A16" s="163">
        <f>ELEC!C16</f>
        <v>44725</v>
      </c>
      <c r="B16" s="609">
        <f t="shared" si="7"/>
        <v>1121759</v>
      </c>
      <c r="C16" s="254">
        <f t="shared" si="0"/>
        <v>0</v>
      </c>
      <c r="D16" s="295">
        <f t="shared" si="14"/>
        <v>0</v>
      </c>
      <c r="E16" s="295">
        <f t="shared" si="15"/>
        <v>1121759</v>
      </c>
      <c r="F16" s="609">
        <f t="shared" si="8"/>
        <v>161410</v>
      </c>
      <c r="G16" s="160">
        <f t="shared" si="1"/>
        <v>0</v>
      </c>
      <c r="H16" s="609">
        <f t="shared" si="9"/>
        <v>558620</v>
      </c>
      <c r="I16" s="161">
        <f t="shared" si="2"/>
        <v>0</v>
      </c>
      <c r="J16" s="609">
        <f t="shared" si="10"/>
        <v>401730</v>
      </c>
      <c r="K16" s="162">
        <f>J16-J15</f>
        <v>0</v>
      </c>
      <c r="L16" s="284">
        <f>SUM(G16*$Y$28)/1507.5</f>
        <v>0</v>
      </c>
      <c r="M16" s="284">
        <f>SUM(I16*$Y$27)/1507.5</f>
        <v>0</v>
      </c>
      <c r="N16" s="284">
        <f>SUM(K16*$Y$26)/1507.5</f>
        <v>0</v>
      </c>
      <c r="O16" s="284">
        <f t="shared" si="6"/>
        <v>159.96313985627418</v>
      </c>
      <c r="P16" s="285">
        <f>SUM(L16:O16)</f>
        <v>159.96313985627418</v>
      </c>
      <c r="Q16" s="285">
        <f>SUM(-tanks!AX18*tanks!$AU$37)</f>
        <v>1497.179612903212</v>
      </c>
      <c r="R16" s="285">
        <f>SUM(P16:Q16)</f>
        <v>1657.1427527594863</v>
      </c>
      <c r="S16" s="287">
        <f>SUM(ELEC!N16)</f>
        <v>2997</v>
      </c>
      <c r="T16" s="321">
        <f>IF(S16&gt;0,R16/S16,0)</f>
        <v>0.55293385143793339</v>
      </c>
      <c r="V16" s="216" t="s">
        <v>413</v>
      </c>
      <c r="W16" s="217"/>
      <c r="X16" s="222"/>
      <c r="Y16" s="250"/>
      <c r="Z16" s="3" t="s">
        <v>415</v>
      </c>
      <c r="AA16" s="246">
        <f>'[2]EDl log'!AA33</f>
        <v>0.11</v>
      </c>
      <c r="AB16" s="246">
        <f>'[2]EDl log'!AB33</f>
        <v>827196.15</v>
      </c>
      <c r="AC16" s="246">
        <f>'[2]EDl log'!AC33</f>
        <v>7234333</v>
      </c>
    </row>
    <row r="17" spans="1:32" ht="20.100000000000001" customHeight="1">
      <c r="A17" s="163">
        <f>ELEC!C17</f>
        <v>44726</v>
      </c>
      <c r="B17" s="609">
        <v>1121884</v>
      </c>
      <c r="C17" s="254">
        <f t="shared" si="0"/>
        <v>125</v>
      </c>
      <c r="D17" s="295">
        <f t="shared" si="14"/>
        <v>123</v>
      </c>
      <c r="E17" s="295">
        <f t="shared" si="15"/>
        <v>1121882</v>
      </c>
      <c r="F17" s="609">
        <f t="shared" si="8"/>
        <v>161410</v>
      </c>
      <c r="G17" s="160">
        <f>F17-F16</f>
        <v>0</v>
      </c>
      <c r="H17" s="609">
        <v>558743</v>
      </c>
      <c r="I17" s="161">
        <f t="shared" si="2"/>
        <v>123</v>
      </c>
      <c r="J17" s="609">
        <f t="shared" si="10"/>
        <v>401730</v>
      </c>
      <c r="K17" s="162">
        <f>J17-J16</f>
        <v>0</v>
      </c>
      <c r="L17" s="284">
        <f>SUM(G17*$Y$28)/1507.5</f>
        <v>0</v>
      </c>
      <c r="M17" s="284">
        <f>SUM(I17*$Y$27)/1507.5</f>
        <v>9.1383084577114424</v>
      </c>
      <c r="N17" s="284">
        <f>SUM(K17*$Y$26)/1507.5</f>
        <v>0</v>
      </c>
      <c r="O17" s="284">
        <f t="shared" si="6"/>
        <v>159.96313985627418</v>
      </c>
      <c r="P17" s="285">
        <f>SUM(L17:O17)</f>
        <v>169.10144831398563</v>
      </c>
      <c r="Q17" s="285">
        <f>SUM(-tanks!AX19*tanks!$AU$37)</f>
        <v>-101.27716129032825</v>
      </c>
      <c r="R17" s="285">
        <f>SUM(P17:Q17)</f>
        <v>67.824287023657376</v>
      </c>
      <c r="S17" s="287">
        <f>SUM(ELEC!N17)</f>
        <v>3188</v>
      </c>
      <c r="T17" s="321">
        <f>IF(S17&gt;0,R17/S17,0)</f>
        <v>2.1274870459114609E-2</v>
      </c>
      <c r="V17" s="216" t="s">
        <v>414</v>
      </c>
      <c r="W17" s="217"/>
      <c r="Z17" s="3"/>
      <c r="AA17" s="246">
        <f>'[2]EDl log'!AA34</f>
        <v>0</v>
      </c>
      <c r="AB17" s="246">
        <f>'[2]EDl log'!AB34</f>
        <v>8347161.1500000004</v>
      </c>
      <c r="AC17" s="246">
        <f>'[2]EDl log'!AC34</f>
        <v>0</v>
      </c>
    </row>
    <row r="18" spans="1:32" ht="20.100000000000001" customHeight="1" thickBot="1">
      <c r="A18" s="163">
        <f>ELEC!C18</f>
        <v>44727</v>
      </c>
      <c r="B18" s="609">
        <f t="shared" si="7"/>
        <v>1121884</v>
      </c>
      <c r="C18" s="254">
        <f>SUM(B18-B17)</f>
        <v>0</v>
      </c>
      <c r="D18" s="295">
        <f>SUM(G18+I18+K18)</f>
        <v>0</v>
      </c>
      <c r="E18" s="295">
        <f t="shared" si="15"/>
        <v>1121884</v>
      </c>
      <c r="F18" s="609">
        <f t="shared" si="8"/>
        <v>161410</v>
      </c>
      <c r="G18" s="160">
        <f t="shared" si="1"/>
        <v>0</v>
      </c>
      <c r="H18" s="609">
        <f t="shared" si="9"/>
        <v>558743</v>
      </c>
      <c r="I18" s="161">
        <f t="shared" si="2"/>
        <v>0</v>
      </c>
      <c r="J18" s="609">
        <f t="shared" si="10"/>
        <v>401730</v>
      </c>
      <c r="K18" s="162">
        <f t="shared" si="11"/>
        <v>0</v>
      </c>
      <c r="L18" s="284">
        <f t="shared" ref="L18:L30" si="17">SUM(G18*$Y$28)/1507.5</f>
        <v>0</v>
      </c>
      <c r="M18" s="284">
        <f t="shared" ref="M18:M30" si="18">SUM(I18*$Y$27)/1507.5</f>
        <v>0</v>
      </c>
      <c r="N18" s="284">
        <f t="shared" ref="N18:N30" si="19">SUM(K18*$Y$26)/1507.5</f>
        <v>0</v>
      </c>
      <c r="O18" s="284">
        <f t="shared" si="6"/>
        <v>159.96313985627418</v>
      </c>
      <c r="P18" s="285">
        <f t="shared" si="12"/>
        <v>159.96313985627418</v>
      </c>
      <c r="Q18" s="285">
        <f>SUM(-tanks!AX20*tanks!$AU$37)</f>
        <v>1570.8676129032649</v>
      </c>
      <c r="R18" s="285">
        <f t="shared" si="13"/>
        <v>1730.8307527595391</v>
      </c>
      <c r="S18" s="287">
        <f>SUM(ELEC!N18)</f>
        <v>3113</v>
      </c>
      <c r="T18" s="321">
        <f t="shared" si="16"/>
        <v>0.55600088427868266</v>
      </c>
      <c r="V18" s="226"/>
      <c r="W18" s="227"/>
      <c r="X18" s="227"/>
      <c r="Y18" s="227"/>
      <c r="Z18" s="3"/>
      <c r="AA18" s="246">
        <f>'[2]EDl log'!AA35</f>
        <v>0</v>
      </c>
      <c r="AB18" s="246">
        <f>'[2]EDl log'!AB35</f>
        <v>0</v>
      </c>
      <c r="AC18" s="246">
        <f>'[2]EDl log'!AC35</f>
        <v>0</v>
      </c>
    </row>
    <row r="19" spans="1:32" ht="20.100000000000001" customHeight="1" thickBot="1">
      <c r="A19" s="163">
        <f>ELEC!C19</f>
        <v>44728</v>
      </c>
      <c r="B19" s="609">
        <f t="shared" si="7"/>
        <v>1121884</v>
      </c>
      <c r="C19" s="254">
        <f t="shared" si="0"/>
        <v>0</v>
      </c>
      <c r="D19" s="295">
        <f t="shared" si="14"/>
        <v>0</v>
      </c>
      <c r="E19" s="295">
        <f t="shared" si="15"/>
        <v>1121884</v>
      </c>
      <c r="F19" s="609">
        <f t="shared" si="8"/>
        <v>161410</v>
      </c>
      <c r="G19" s="160">
        <f t="shared" si="1"/>
        <v>0</v>
      </c>
      <c r="H19" s="609">
        <f t="shared" si="9"/>
        <v>558743</v>
      </c>
      <c r="I19" s="161">
        <f t="shared" si="2"/>
        <v>0</v>
      </c>
      <c r="J19" s="609">
        <f t="shared" si="10"/>
        <v>401730</v>
      </c>
      <c r="K19" s="162">
        <f t="shared" si="11"/>
        <v>0</v>
      </c>
      <c r="L19" s="284">
        <f>SUM(G19*$Y$28)/1507.5</f>
        <v>0</v>
      </c>
      <c r="M19" s="284">
        <f>SUM(I19*$Y$27)/1507.5</f>
        <v>0</v>
      </c>
      <c r="N19" s="284">
        <f>SUM(K19*$Y$26)/1507.5</f>
        <v>0</v>
      </c>
      <c r="O19" s="284">
        <f>($AC$29/$A$37)/1507.5</f>
        <v>159.96313985627418</v>
      </c>
      <c r="P19" s="285">
        <f>SUM(L19:O19)</f>
        <v>159.96313985627418</v>
      </c>
      <c r="Q19" s="285">
        <f>SUM(-tanks!AX21*tanks!$AU$37)</f>
        <v>0</v>
      </c>
      <c r="R19" s="285">
        <f>SUM(P19:Q19)</f>
        <v>159.96313985627418</v>
      </c>
      <c r="S19" s="287">
        <f>SUM(ELEC!N19)</f>
        <v>0</v>
      </c>
      <c r="T19" s="321">
        <f>IF(S19&gt;0,R19/S19,0)</f>
        <v>0</v>
      </c>
      <c r="V19" s="226"/>
      <c r="W19" s="227"/>
      <c r="X19" s="227"/>
      <c r="Y19" s="227"/>
      <c r="Z19" s="227"/>
      <c r="AA19" s="246" t="str">
        <f>'[6]EDl log'!AA36</f>
        <v>$ without VAT</v>
      </c>
      <c r="AB19" s="608">
        <f>'[2]EDl log'!$AB$36</f>
        <v>4988.3681592039802</v>
      </c>
      <c r="AC19" s="608">
        <f>'[7]EDl log'!AC36</f>
        <v>0</v>
      </c>
    </row>
    <row r="20" spans="1:32" ht="20.100000000000001" customHeight="1" thickBot="1">
      <c r="A20" s="163">
        <f>ELEC!C20</f>
        <v>44729</v>
      </c>
      <c r="B20" s="609">
        <f t="shared" si="7"/>
        <v>1121884</v>
      </c>
      <c r="C20" s="254">
        <f t="shared" si="0"/>
        <v>0</v>
      </c>
      <c r="D20" s="295">
        <f t="shared" si="14"/>
        <v>0</v>
      </c>
      <c r="E20" s="295">
        <v>160188</v>
      </c>
      <c r="F20" s="609">
        <f t="shared" si="8"/>
        <v>161410</v>
      </c>
      <c r="G20" s="160">
        <f t="shared" si="1"/>
        <v>0</v>
      </c>
      <c r="H20" s="609">
        <f t="shared" si="9"/>
        <v>558743</v>
      </c>
      <c r="I20" s="161">
        <f t="shared" si="2"/>
        <v>0</v>
      </c>
      <c r="J20" s="609">
        <f t="shared" si="10"/>
        <v>401730</v>
      </c>
      <c r="K20" s="162">
        <f t="shared" si="11"/>
        <v>0</v>
      </c>
      <c r="L20" s="284">
        <f t="shared" si="17"/>
        <v>0</v>
      </c>
      <c r="M20" s="284">
        <f t="shared" si="18"/>
        <v>0</v>
      </c>
      <c r="N20" s="284">
        <f t="shared" si="19"/>
        <v>0</v>
      </c>
      <c r="O20" s="284">
        <f t="shared" si="6"/>
        <v>159.96313985627418</v>
      </c>
      <c r="P20" s="285">
        <f t="shared" si="12"/>
        <v>159.96313985627418</v>
      </c>
      <c r="Q20" s="285">
        <f>SUM(-tanks!AX22*tanks!$AU$37)</f>
        <v>0</v>
      </c>
      <c r="R20" s="285">
        <f t="shared" si="13"/>
        <v>159.96313985627418</v>
      </c>
      <c r="S20" s="287">
        <f>SUM(ELEC!N20)</f>
        <v>0</v>
      </c>
      <c r="T20" s="321">
        <f t="shared" si="16"/>
        <v>0</v>
      </c>
      <c r="AB20" s="527"/>
    </row>
    <row r="21" spans="1:32" ht="20.100000000000001" customHeight="1">
      <c r="A21" s="163">
        <f>ELEC!C21</f>
        <v>44730</v>
      </c>
      <c r="B21" s="609">
        <f t="shared" si="7"/>
        <v>1121884</v>
      </c>
      <c r="C21" s="254">
        <f t="shared" si="0"/>
        <v>0</v>
      </c>
      <c r="D21" s="295">
        <f t="shared" si="14"/>
        <v>0</v>
      </c>
      <c r="E21" s="295">
        <f t="shared" si="15"/>
        <v>1121884</v>
      </c>
      <c r="F21" s="609">
        <f t="shared" si="8"/>
        <v>161410</v>
      </c>
      <c r="G21" s="160">
        <f t="shared" si="1"/>
        <v>0</v>
      </c>
      <c r="H21" s="609">
        <f t="shared" si="9"/>
        <v>558743</v>
      </c>
      <c r="I21" s="161">
        <f t="shared" si="2"/>
        <v>0</v>
      </c>
      <c r="J21" s="609">
        <f t="shared" si="10"/>
        <v>401730</v>
      </c>
      <c r="K21" s="162">
        <f t="shared" si="11"/>
        <v>0</v>
      </c>
      <c r="L21" s="284">
        <f t="shared" si="17"/>
        <v>0</v>
      </c>
      <c r="M21" s="284">
        <f t="shared" si="18"/>
        <v>0</v>
      </c>
      <c r="N21" s="284">
        <f t="shared" si="19"/>
        <v>0</v>
      </c>
      <c r="O21" s="284">
        <f t="shared" si="6"/>
        <v>159.96313985627418</v>
      </c>
      <c r="P21" s="285">
        <f t="shared" si="12"/>
        <v>159.96313985627418</v>
      </c>
      <c r="Q21" s="285">
        <f>SUM(-tanks!AX23*tanks!$AU$37)</f>
        <v>0</v>
      </c>
      <c r="R21" s="285">
        <f t="shared" si="13"/>
        <v>159.96313985627418</v>
      </c>
      <c r="S21" s="287">
        <f>SUM(ELEC!N21)</f>
        <v>0</v>
      </c>
      <c r="T21" s="321">
        <f t="shared" si="16"/>
        <v>0</v>
      </c>
      <c r="V21" s="166" t="s">
        <v>200</v>
      </c>
      <c r="W21" s="167">
        <v>44734</v>
      </c>
      <c r="X21" s="168"/>
      <c r="Y21" s="168"/>
      <c r="Z21" s="169" t="s">
        <v>201</v>
      </c>
      <c r="AA21" s="168"/>
      <c r="AB21" s="646"/>
      <c r="AC21" s="647"/>
    </row>
    <row r="22" spans="1:32" ht="20.100000000000001" customHeight="1">
      <c r="A22" s="163">
        <f>ELEC!C22</f>
        <v>44731</v>
      </c>
      <c r="B22" s="609">
        <f t="shared" si="7"/>
        <v>1121884</v>
      </c>
      <c r="C22" s="254">
        <f t="shared" si="0"/>
        <v>0</v>
      </c>
      <c r="D22" s="295">
        <f t="shared" si="14"/>
        <v>0</v>
      </c>
      <c r="E22" s="295">
        <f t="shared" si="15"/>
        <v>1121884</v>
      </c>
      <c r="F22" s="609">
        <f t="shared" si="8"/>
        <v>161410</v>
      </c>
      <c r="G22" s="160">
        <f t="shared" si="1"/>
        <v>0</v>
      </c>
      <c r="H22" s="609">
        <f t="shared" si="9"/>
        <v>558743</v>
      </c>
      <c r="I22" s="161">
        <f t="shared" si="2"/>
        <v>0</v>
      </c>
      <c r="J22" s="609">
        <f t="shared" si="10"/>
        <v>401730</v>
      </c>
      <c r="K22" s="162">
        <f t="shared" si="11"/>
        <v>0</v>
      </c>
      <c r="L22" s="284">
        <f t="shared" si="17"/>
        <v>0</v>
      </c>
      <c r="M22" s="284">
        <f t="shared" si="18"/>
        <v>0</v>
      </c>
      <c r="N22" s="284">
        <f t="shared" si="19"/>
        <v>0</v>
      </c>
      <c r="O22" s="284">
        <f t="shared" si="6"/>
        <v>159.96313985627418</v>
      </c>
      <c r="P22" s="285">
        <f t="shared" si="12"/>
        <v>159.96313985627418</v>
      </c>
      <c r="Q22" s="285">
        <f>SUM(-tanks!AX24*tanks!$AU$37)</f>
        <v>0</v>
      </c>
      <c r="R22" s="285">
        <f t="shared" si="13"/>
        <v>159.96313985627418</v>
      </c>
      <c r="S22" s="287">
        <f>SUM(ELEC!N22)</f>
        <v>0</v>
      </c>
      <c r="T22" s="321">
        <f t="shared" si="16"/>
        <v>0</v>
      </c>
      <c r="V22" s="640"/>
      <c r="W22" s="641"/>
      <c r="X22" s="641"/>
      <c r="Y22" s="642"/>
      <c r="Z22" s="26" t="s">
        <v>202</v>
      </c>
      <c r="AA22" s="26">
        <v>5000</v>
      </c>
      <c r="AB22" s="648"/>
      <c r="AC22" s="649"/>
    </row>
    <row r="23" spans="1:32" ht="20.100000000000001" customHeight="1">
      <c r="A23" s="163">
        <f>ELEC!C23</f>
        <v>44732</v>
      </c>
      <c r="B23" s="609">
        <f t="shared" si="7"/>
        <v>1121884</v>
      </c>
      <c r="C23" s="254">
        <f t="shared" si="0"/>
        <v>0</v>
      </c>
      <c r="D23" s="295">
        <f t="shared" si="14"/>
        <v>0</v>
      </c>
      <c r="E23" s="295">
        <f t="shared" si="15"/>
        <v>1121884</v>
      </c>
      <c r="F23" s="609">
        <f t="shared" si="8"/>
        <v>161410</v>
      </c>
      <c r="G23" s="160">
        <f t="shared" si="1"/>
        <v>0</v>
      </c>
      <c r="H23" s="609">
        <f t="shared" si="9"/>
        <v>558743</v>
      </c>
      <c r="I23" s="161">
        <f t="shared" si="2"/>
        <v>0</v>
      </c>
      <c r="J23" s="609">
        <f t="shared" si="10"/>
        <v>401730</v>
      </c>
      <c r="K23" s="162">
        <f t="shared" si="11"/>
        <v>0</v>
      </c>
      <c r="L23" s="284">
        <f t="shared" si="17"/>
        <v>0</v>
      </c>
      <c r="M23" s="284">
        <f t="shared" si="18"/>
        <v>0</v>
      </c>
      <c r="N23" s="284">
        <f t="shared" si="19"/>
        <v>0</v>
      </c>
      <c r="O23" s="284">
        <f t="shared" si="6"/>
        <v>159.96313985627418</v>
      </c>
      <c r="P23" s="285">
        <f t="shared" si="12"/>
        <v>159.96313985627418</v>
      </c>
      <c r="Q23" s="285">
        <f>SUM(-tanks!AX25*tanks!$AU$37)</f>
        <v>0</v>
      </c>
      <c r="R23" s="285">
        <f t="shared" si="13"/>
        <v>159.96313985627418</v>
      </c>
      <c r="S23" s="287">
        <f>SUM(ELEC!N23)</f>
        <v>0</v>
      </c>
      <c r="T23" s="321">
        <f t="shared" si="16"/>
        <v>0</v>
      </c>
      <c r="V23" s="643"/>
      <c r="W23" s="644"/>
      <c r="X23" s="644"/>
      <c r="Y23" s="645"/>
      <c r="Z23" s="652"/>
      <c r="AA23" s="653"/>
      <c r="AB23" s="648"/>
      <c r="AC23" s="649"/>
    </row>
    <row r="24" spans="1:32" ht="20.100000000000001" customHeight="1">
      <c r="A24" s="163">
        <f>ELEC!C24</f>
        <v>44733</v>
      </c>
      <c r="B24" s="609">
        <f t="shared" si="7"/>
        <v>1121884</v>
      </c>
      <c r="C24" s="254">
        <f t="shared" si="0"/>
        <v>0</v>
      </c>
      <c r="D24" s="295">
        <f t="shared" si="14"/>
        <v>0</v>
      </c>
      <c r="E24" s="295">
        <f t="shared" si="15"/>
        <v>1121884</v>
      </c>
      <c r="F24" s="609">
        <f t="shared" si="8"/>
        <v>161410</v>
      </c>
      <c r="G24" s="160">
        <f t="shared" si="1"/>
        <v>0</v>
      </c>
      <c r="H24" s="609">
        <f t="shared" si="9"/>
        <v>558743</v>
      </c>
      <c r="I24" s="161">
        <f t="shared" si="2"/>
        <v>0</v>
      </c>
      <c r="J24" s="609">
        <f t="shared" si="10"/>
        <v>401730</v>
      </c>
      <c r="K24" s="162">
        <f t="shared" si="11"/>
        <v>0</v>
      </c>
      <c r="L24" s="284">
        <f t="shared" si="17"/>
        <v>0</v>
      </c>
      <c r="M24" s="284">
        <f t="shared" si="18"/>
        <v>0</v>
      </c>
      <c r="N24" s="284">
        <f t="shared" si="19"/>
        <v>0</v>
      </c>
      <c r="O24" s="284">
        <f t="shared" si="6"/>
        <v>159.96313985627418</v>
      </c>
      <c r="P24" s="285">
        <f t="shared" si="12"/>
        <v>159.96313985627418</v>
      </c>
      <c r="Q24" s="285">
        <f>SUM(-tanks!AX26*tanks!$AU$37)</f>
        <v>0</v>
      </c>
      <c r="R24" s="285">
        <f t="shared" si="13"/>
        <v>159.96313985627418</v>
      </c>
      <c r="S24" s="287">
        <f>SUM(ELEC!N24)</f>
        <v>0</v>
      </c>
      <c r="T24" s="321">
        <f t="shared" si="16"/>
        <v>0</v>
      </c>
      <c r="V24" s="635" t="s">
        <v>203</v>
      </c>
      <c r="W24" s="636"/>
      <c r="X24" s="637" t="s">
        <v>204</v>
      </c>
      <c r="Y24" s="638"/>
      <c r="Z24" s="639"/>
      <c r="AA24" s="170"/>
      <c r="AB24" s="650"/>
      <c r="AC24" s="651"/>
    </row>
    <row r="25" spans="1:32" ht="20.100000000000001" customHeight="1">
      <c r="A25" s="163">
        <f>ELEC!C25</f>
        <v>44734</v>
      </c>
      <c r="B25" s="609">
        <f t="shared" si="7"/>
        <v>1121884</v>
      </c>
      <c r="C25" s="254">
        <f t="shared" si="0"/>
        <v>0</v>
      </c>
      <c r="D25" s="295">
        <f t="shared" si="14"/>
        <v>0</v>
      </c>
      <c r="E25" s="295">
        <f t="shared" si="15"/>
        <v>1121884</v>
      </c>
      <c r="F25" s="609">
        <f t="shared" si="8"/>
        <v>161410</v>
      </c>
      <c r="G25" s="160">
        <f t="shared" si="1"/>
        <v>0</v>
      </c>
      <c r="H25" s="609">
        <f t="shared" si="9"/>
        <v>558743</v>
      </c>
      <c r="I25" s="161">
        <f t="shared" si="2"/>
        <v>0</v>
      </c>
      <c r="J25" s="609">
        <f t="shared" si="10"/>
        <v>401730</v>
      </c>
      <c r="K25" s="162">
        <f t="shared" si="11"/>
        <v>0</v>
      </c>
      <c r="L25" s="284">
        <f t="shared" si="17"/>
        <v>0</v>
      </c>
      <c r="M25" s="284">
        <f t="shared" si="18"/>
        <v>0</v>
      </c>
      <c r="N25" s="284">
        <f t="shared" si="19"/>
        <v>0</v>
      </c>
      <c r="O25" s="284">
        <f t="shared" si="6"/>
        <v>159.96313985627418</v>
      </c>
      <c r="P25" s="285">
        <f t="shared" si="12"/>
        <v>159.96313985627418</v>
      </c>
      <c r="Q25" s="285">
        <f>SUM(-tanks!AX27*tanks!$AU$37)</f>
        <v>0</v>
      </c>
      <c r="R25" s="285">
        <f t="shared" si="13"/>
        <v>159.96313985627418</v>
      </c>
      <c r="S25" s="287">
        <f>SUM(ELEC!N25)</f>
        <v>0</v>
      </c>
      <c r="T25" s="321">
        <f t="shared" si="16"/>
        <v>0</v>
      </c>
      <c r="V25" s="242" t="s">
        <v>205</v>
      </c>
      <c r="W25" s="243" t="s">
        <v>206</v>
      </c>
      <c r="X25" s="243"/>
      <c r="Y25" s="243" t="s">
        <v>207</v>
      </c>
      <c r="Z25" s="243" t="s">
        <v>208</v>
      </c>
      <c r="AA25" s="243" t="s">
        <v>209</v>
      </c>
      <c r="AB25" s="243" t="s">
        <v>210</v>
      </c>
      <c r="AC25" s="171" t="s">
        <v>211</v>
      </c>
    </row>
    <row r="26" spans="1:32" ht="20.100000000000001" customHeight="1">
      <c r="A26" s="163">
        <f>ELEC!C26</f>
        <v>44735</v>
      </c>
      <c r="B26" s="609">
        <f t="shared" si="7"/>
        <v>1121884</v>
      </c>
      <c r="C26" s="254">
        <f t="shared" si="0"/>
        <v>0</v>
      </c>
      <c r="D26" s="295">
        <f t="shared" si="14"/>
        <v>0</v>
      </c>
      <c r="E26" s="295">
        <f t="shared" si="15"/>
        <v>1121884</v>
      </c>
      <c r="F26" s="609">
        <f t="shared" si="8"/>
        <v>161410</v>
      </c>
      <c r="G26" s="160">
        <f t="shared" si="1"/>
        <v>0</v>
      </c>
      <c r="H26" s="609">
        <f t="shared" si="9"/>
        <v>558743</v>
      </c>
      <c r="I26" s="161">
        <f t="shared" si="2"/>
        <v>0</v>
      </c>
      <c r="J26" s="609">
        <f t="shared" si="10"/>
        <v>401730</v>
      </c>
      <c r="K26" s="162">
        <f t="shared" si="11"/>
        <v>0</v>
      </c>
      <c r="L26" s="284">
        <f t="shared" si="17"/>
        <v>0</v>
      </c>
      <c r="M26" s="284">
        <f t="shared" si="18"/>
        <v>0</v>
      </c>
      <c r="N26" s="284">
        <f t="shared" si="19"/>
        <v>0</v>
      </c>
      <c r="O26" s="284">
        <f t="shared" si="6"/>
        <v>159.96313985627418</v>
      </c>
      <c r="P26" s="285">
        <f t="shared" si="12"/>
        <v>159.96313985627418</v>
      </c>
      <c r="Q26" s="285">
        <f>SUM(-tanks!AX28*tanks!$AU$37)</f>
        <v>0</v>
      </c>
      <c r="R26" s="285">
        <f t="shared" si="13"/>
        <v>159.96313985627418</v>
      </c>
      <c r="S26" s="287">
        <f>SUM(ELEC!N26)</f>
        <v>0</v>
      </c>
      <c r="T26" s="321">
        <f t="shared" si="16"/>
        <v>0</v>
      </c>
      <c r="V26" s="246">
        <f>W9</f>
        <v>401730</v>
      </c>
      <c r="W26" s="170">
        <f>J34</f>
        <v>401730</v>
      </c>
      <c r="X26" s="172" t="s">
        <v>199</v>
      </c>
      <c r="Y26" s="172">
        <v>80</v>
      </c>
      <c r="Z26" s="172">
        <v>1</v>
      </c>
      <c r="AA26" s="323">
        <f>(W26-V26)*Z26</f>
        <v>0</v>
      </c>
      <c r="AB26" s="323">
        <f>AA26*Y26</f>
        <v>0</v>
      </c>
      <c r="AC26" s="244">
        <f>AC9</f>
        <v>1033333</v>
      </c>
      <c r="AD26" s="476">
        <f>SUM(K36)</f>
        <v>0</v>
      </c>
    </row>
    <row r="27" spans="1:32" ht="20.100000000000001" customHeight="1">
      <c r="A27" s="163">
        <f>ELEC!C27</f>
        <v>44736</v>
      </c>
      <c r="B27" s="609">
        <f t="shared" si="7"/>
        <v>1121884</v>
      </c>
      <c r="C27" s="254">
        <f t="shared" si="0"/>
        <v>0</v>
      </c>
      <c r="D27" s="295">
        <f t="shared" si="14"/>
        <v>0</v>
      </c>
      <c r="E27" s="295">
        <f t="shared" si="15"/>
        <v>1121884</v>
      </c>
      <c r="F27" s="609">
        <f t="shared" si="8"/>
        <v>161410</v>
      </c>
      <c r="G27" s="160">
        <f t="shared" si="1"/>
        <v>0</v>
      </c>
      <c r="H27" s="609">
        <f t="shared" si="9"/>
        <v>558743</v>
      </c>
      <c r="I27" s="161">
        <f t="shared" si="2"/>
        <v>0</v>
      </c>
      <c r="J27" s="609">
        <f t="shared" si="10"/>
        <v>401730</v>
      </c>
      <c r="K27" s="162">
        <f t="shared" si="11"/>
        <v>0</v>
      </c>
      <c r="L27" s="284">
        <f t="shared" si="17"/>
        <v>0</v>
      </c>
      <c r="M27" s="284">
        <f t="shared" si="18"/>
        <v>0</v>
      </c>
      <c r="N27" s="284">
        <f t="shared" si="19"/>
        <v>0</v>
      </c>
      <c r="O27" s="284">
        <f t="shared" si="6"/>
        <v>159.96313985627418</v>
      </c>
      <c r="P27" s="285">
        <f t="shared" si="12"/>
        <v>159.96313985627418</v>
      </c>
      <c r="Q27" s="285">
        <f>SUM(-tanks!AX29*tanks!$AU$37)</f>
        <v>0</v>
      </c>
      <c r="R27" s="285">
        <f t="shared" si="13"/>
        <v>159.96313985627418</v>
      </c>
      <c r="S27" s="287">
        <f>SUM(ELEC!N27)</f>
        <v>0</v>
      </c>
      <c r="T27" s="321">
        <f t="shared" si="16"/>
        <v>0</v>
      </c>
      <c r="V27" s="246">
        <f>W10</f>
        <v>557476</v>
      </c>
      <c r="W27" s="170">
        <f>H34</f>
        <v>558743</v>
      </c>
      <c r="X27" s="172" t="s">
        <v>212</v>
      </c>
      <c r="Y27" s="172">
        <v>112</v>
      </c>
      <c r="Z27" s="172">
        <v>1</v>
      </c>
      <c r="AA27" s="323">
        <f>(W27-V27)*Z27</f>
        <v>1267</v>
      </c>
      <c r="AB27" s="323">
        <f>SUM(AA27*Y27)</f>
        <v>141904</v>
      </c>
      <c r="AC27" s="244">
        <f>AC10</f>
        <v>6200000</v>
      </c>
      <c r="AD27" s="476">
        <f>SUM(I36)</f>
        <v>0.9976377952755906</v>
      </c>
    </row>
    <row r="28" spans="1:32" ht="20.100000000000001" customHeight="1">
      <c r="A28" s="163">
        <f>ELEC!C28</f>
        <v>44737</v>
      </c>
      <c r="B28" s="609">
        <f t="shared" si="7"/>
        <v>1121884</v>
      </c>
      <c r="C28" s="254">
        <f t="shared" si="0"/>
        <v>0</v>
      </c>
      <c r="D28" s="295">
        <f t="shared" si="14"/>
        <v>0</v>
      </c>
      <c r="E28" s="295">
        <f>B27+D28</f>
        <v>1121884</v>
      </c>
      <c r="F28" s="609">
        <f t="shared" si="8"/>
        <v>161410</v>
      </c>
      <c r="G28" s="160">
        <f t="shared" si="1"/>
        <v>0</v>
      </c>
      <c r="H28" s="609">
        <f t="shared" si="9"/>
        <v>558743</v>
      </c>
      <c r="I28" s="161">
        <f t="shared" si="2"/>
        <v>0</v>
      </c>
      <c r="J28" s="609">
        <f t="shared" si="10"/>
        <v>401730</v>
      </c>
      <c r="K28" s="162">
        <f t="shared" si="11"/>
        <v>0</v>
      </c>
      <c r="L28" s="284">
        <f t="shared" si="17"/>
        <v>0</v>
      </c>
      <c r="M28" s="284">
        <f t="shared" si="18"/>
        <v>0</v>
      </c>
      <c r="N28" s="284">
        <f t="shared" si="19"/>
        <v>0</v>
      </c>
      <c r="O28" s="284">
        <f t="shared" si="6"/>
        <v>159.96313985627418</v>
      </c>
      <c r="P28" s="285">
        <f t="shared" si="12"/>
        <v>159.96313985627418</v>
      </c>
      <c r="Q28" s="285">
        <f>SUM(-tanks!AX30*tanks!$AU$37)</f>
        <v>0</v>
      </c>
      <c r="R28" s="285">
        <f t="shared" si="13"/>
        <v>159.96313985627418</v>
      </c>
      <c r="S28" s="287">
        <f>SUM(ELEC!N28)</f>
        <v>0</v>
      </c>
      <c r="T28" s="321">
        <f t="shared" si="16"/>
        <v>0</v>
      </c>
      <c r="V28" s="246">
        <f>W11</f>
        <v>161410</v>
      </c>
      <c r="W28" s="170">
        <f>F34</f>
        <v>161410</v>
      </c>
      <c r="X28" s="172" t="s">
        <v>197</v>
      </c>
      <c r="Y28" s="172">
        <v>320</v>
      </c>
      <c r="Z28" s="172">
        <v>1</v>
      </c>
      <c r="AA28" s="323">
        <f>(W28-V28)*Z28</f>
        <v>0</v>
      </c>
      <c r="AB28" s="323">
        <f>SUM(AA28*Y28)</f>
        <v>0</v>
      </c>
      <c r="AC28" s="244">
        <f>AC11</f>
        <v>1000</v>
      </c>
      <c r="AD28" s="476">
        <f>SUM(G36)</f>
        <v>0</v>
      </c>
      <c r="AE28" s="40">
        <f>SUM(AB28*5%)</f>
        <v>0</v>
      </c>
      <c r="AF28" s="82">
        <f>SUM(AE28/7)*31</f>
        <v>0</v>
      </c>
    </row>
    <row r="29" spans="1:32" ht="20.100000000000001" customHeight="1">
      <c r="A29" s="163">
        <f>ELEC!C29</f>
        <v>44738</v>
      </c>
      <c r="B29" s="609">
        <f t="shared" si="7"/>
        <v>1121884</v>
      </c>
      <c r="C29" s="254">
        <f t="shared" si="0"/>
        <v>0</v>
      </c>
      <c r="D29" s="295">
        <f t="shared" si="14"/>
        <v>0</v>
      </c>
      <c r="E29" s="295">
        <f>B28+D29</f>
        <v>1121884</v>
      </c>
      <c r="F29" s="609">
        <f t="shared" si="8"/>
        <v>161410</v>
      </c>
      <c r="G29" s="160">
        <f t="shared" si="1"/>
        <v>0</v>
      </c>
      <c r="H29" s="609">
        <f t="shared" si="9"/>
        <v>558743</v>
      </c>
      <c r="I29" s="161">
        <f t="shared" si="2"/>
        <v>0</v>
      </c>
      <c r="J29" s="609">
        <f t="shared" si="10"/>
        <v>401730</v>
      </c>
      <c r="K29" s="162">
        <f t="shared" si="11"/>
        <v>0</v>
      </c>
      <c r="L29" s="284">
        <f t="shared" si="17"/>
        <v>0</v>
      </c>
      <c r="M29" s="284">
        <f t="shared" si="18"/>
        <v>0</v>
      </c>
      <c r="N29" s="284">
        <f t="shared" si="19"/>
        <v>0</v>
      </c>
      <c r="O29" s="284">
        <f t="shared" si="6"/>
        <v>159.96313985627418</v>
      </c>
      <c r="P29" s="285">
        <f t="shared" si="12"/>
        <v>159.96313985627418</v>
      </c>
      <c r="Q29" s="285">
        <f>SUM(-tanks!AX31*tanks!$AU$37)</f>
        <v>0</v>
      </c>
      <c r="R29" s="285">
        <f t="shared" si="13"/>
        <v>159.96313985627418</v>
      </c>
      <c r="S29" s="287">
        <f>SUM(ELEC!N29)</f>
        <v>0</v>
      </c>
      <c r="T29" s="321">
        <f t="shared" si="16"/>
        <v>0</v>
      </c>
      <c r="V29" s="213"/>
      <c r="W29" s="214"/>
      <c r="X29" s="214"/>
      <c r="Y29" s="215"/>
      <c r="Z29" s="3"/>
      <c r="AA29" s="323">
        <f>SUM(AA26:AA28)</f>
        <v>1267</v>
      </c>
      <c r="AB29" s="323">
        <f>SUM(AB26:AB28)</f>
        <v>141904</v>
      </c>
      <c r="AC29" s="244">
        <f>SUM(AC26:AC28)</f>
        <v>7234333</v>
      </c>
    </row>
    <row r="30" spans="1:32" ht="20.100000000000001" customHeight="1">
      <c r="A30" s="163">
        <f>ELEC!C30</f>
        <v>44739</v>
      </c>
      <c r="B30" s="609">
        <f t="shared" si="7"/>
        <v>1121884</v>
      </c>
      <c r="C30" s="254">
        <f t="shared" si="0"/>
        <v>0</v>
      </c>
      <c r="D30" s="295">
        <f t="shared" si="14"/>
        <v>0</v>
      </c>
      <c r="E30" s="295">
        <f t="shared" si="15"/>
        <v>1121884</v>
      </c>
      <c r="F30" s="609">
        <f t="shared" si="8"/>
        <v>161410</v>
      </c>
      <c r="G30" s="160">
        <f t="shared" si="1"/>
        <v>0</v>
      </c>
      <c r="H30" s="609">
        <f t="shared" si="9"/>
        <v>558743</v>
      </c>
      <c r="I30" s="161">
        <f t="shared" si="2"/>
        <v>0</v>
      </c>
      <c r="J30" s="609">
        <f t="shared" si="10"/>
        <v>401730</v>
      </c>
      <c r="K30" s="162">
        <f t="shared" si="11"/>
        <v>0</v>
      </c>
      <c r="L30" s="284">
        <f t="shared" si="17"/>
        <v>0</v>
      </c>
      <c r="M30" s="284">
        <f t="shared" si="18"/>
        <v>0</v>
      </c>
      <c r="N30" s="284">
        <f t="shared" si="19"/>
        <v>0</v>
      </c>
      <c r="O30" s="284">
        <f t="shared" si="6"/>
        <v>159.96313985627418</v>
      </c>
      <c r="P30" s="285">
        <f t="shared" si="12"/>
        <v>159.96313985627418</v>
      </c>
      <c r="Q30" s="285">
        <f>SUM(-tanks!AX32*tanks!$AU$37)</f>
        <v>0</v>
      </c>
      <c r="R30" s="285">
        <f t="shared" si="13"/>
        <v>159.96313985627418</v>
      </c>
      <c r="S30" s="287">
        <f>SUM(ELEC!N30)</f>
        <v>0</v>
      </c>
      <c r="T30" s="321">
        <f t="shared" si="16"/>
        <v>0</v>
      </c>
      <c r="V30" s="216" t="s">
        <v>314</v>
      </c>
      <c r="W30" s="424">
        <f>'General information '!F36</f>
        <v>0</v>
      </c>
      <c r="X30" s="217"/>
      <c r="Y30" s="218" t="s">
        <v>327</v>
      </c>
      <c r="Z30" s="3"/>
      <c r="AA30" s="323"/>
      <c r="AB30" s="323">
        <f>AB29+AC29</f>
        <v>7376237</v>
      </c>
      <c r="AC30" s="244"/>
    </row>
    <row r="31" spans="1:32" ht="20.100000000000001" customHeight="1">
      <c r="A31" s="163">
        <f>ELEC!C31</f>
        <v>44740</v>
      </c>
      <c r="B31" s="609">
        <f t="shared" si="7"/>
        <v>1121884</v>
      </c>
      <c r="C31" s="254">
        <f>SUM(B31-B30)</f>
        <v>0</v>
      </c>
      <c r="D31" s="295">
        <f t="shared" si="14"/>
        <v>0</v>
      </c>
      <c r="E31" s="295">
        <f>B30+D31</f>
        <v>1121884</v>
      </c>
      <c r="F31" s="609">
        <f t="shared" si="8"/>
        <v>161410</v>
      </c>
      <c r="G31" s="160">
        <f>F31-F30</f>
        <v>0</v>
      </c>
      <c r="H31" s="609">
        <f t="shared" si="9"/>
        <v>558743</v>
      </c>
      <c r="I31" s="161">
        <f>H31-H30</f>
        <v>0</v>
      </c>
      <c r="J31" s="609">
        <f t="shared" si="10"/>
        <v>401730</v>
      </c>
      <c r="K31" s="162">
        <f>J31-J30</f>
        <v>0</v>
      </c>
      <c r="L31" s="284">
        <f>SUM(G31*$Y$28)/1507.5</f>
        <v>0</v>
      </c>
      <c r="M31" s="284">
        <f>SUM(I31*$Y$27)/1507.5</f>
        <v>0</v>
      </c>
      <c r="N31" s="284">
        <f>SUM(K31*$Y$26)/1507.5</f>
        <v>0</v>
      </c>
      <c r="O31" s="284">
        <f t="shared" si="6"/>
        <v>159.96313985627418</v>
      </c>
      <c r="P31" s="285">
        <f>SUM(L31:O31)</f>
        <v>159.96313985627418</v>
      </c>
      <c r="Q31" s="285">
        <f>SUM(-tanks!AX33*tanks!$AU$37)</f>
        <v>0</v>
      </c>
      <c r="R31" s="285">
        <f>SUM(P31:Q31)</f>
        <v>159.96313985627418</v>
      </c>
      <c r="S31" s="287">
        <f>SUM(ELEC!N31)</f>
        <v>0</v>
      </c>
      <c r="T31" s="321">
        <f>IF(S31&gt;0,R31/S31,0)</f>
        <v>0</v>
      </c>
      <c r="V31" s="216"/>
      <c r="W31" s="514"/>
      <c r="X31" s="217"/>
      <c r="Y31" s="218"/>
      <c r="Z31" s="3"/>
      <c r="AA31" s="323"/>
      <c r="AB31" s="323"/>
      <c r="AC31" s="244"/>
    </row>
    <row r="32" spans="1:32" ht="20.100000000000001" customHeight="1">
      <c r="A32" s="163">
        <f>ELEC!C32</f>
        <v>44741</v>
      </c>
      <c r="B32" s="609">
        <f t="shared" si="7"/>
        <v>1121884</v>
      </c>
      <c r="C32" s="254">
        <f t="shared" ref="C32:C34" si="20">SUM(B32-B31)</f>
        <v>0</v>
      </c>
      <c r="D32" s="295">
        <f t="shared" ref="D32:D34" si="21">SUM(G32+I32+K32)</f>
        <v>0</v>
      </c>
      <c r="E32" s="295">
        <f t="shared" ref="E32:E34" si="22">B31+D32</f>
        <v>1121884</v>
      </c>
      <c r="F32" s="609">
        <f t="shared" si="8"/>
        <v>161410</v>
      </c>
      <c r="G32" s="160">
        <f t="shared" ref="G32:G34" si="23">F32-F31</f>
        <v>0</v>
      </c>
      <c r="H32" s="609">
        <f t="shared" si="9"/>
        <v>558743</v>
      </c>
      <c r="I32" s="161">
        <f t="shared" ref="I32:I34" si="24">H32-H31</f>
        <v>0</v>
      </c>
      <c r="J32" s="609">
        <f t="shared" si="10"/>
        <v>401730</v>
      </c>
      <c r="K32" s="162">
        <f t="shared" ref="K32:K34" si="25">J32-J31</f>
        <v>0</v>
      </c>
      <c r="L32" s="284">
        <f t="shared" ref="L32:L34" si="26">SUM(G32*$Y$28)/1507.5</f>
        <v>0</v>
      </c>
      <c r="M32" s="284">
        <f t="shared" ref="M32:M34" si="27">SUM(I32*$Y$27)/1507.5</f>
        <v>0</v>
      </c>
      <c r="N32" s="284">
        <f t="shared" ref="N32:N34" si="28">SUM(K32*$Y$26)/1507.5</f>
        <v>0</v>
      </c>
      <c r="O32" s="284">
        <f t="shared" si="6"/>
        <v>159.96313985627418</v>
      </c>
      <c r="P32" s="285">
        <f t="shared" ref="P32:P34" si="29">SUM(L32:O32)</f>
        <v>159.96313985627418</v>
      </c>
      <c r="Q32" s="285">
        <f>SUM(-tanks!AX34*tanks!$AU$37)</f>
        <v>0</v>
      </c>
      <c r="R32" s="285">
        <f t="shared" ref="R32:R34" si="30">SUM(P32:Q32)</f>
        <v>159.96313985627418</v>
      </c>
      <c r="S32" s="287">
        <f>SUM(ELEC!N32)</f>
        <v>0</v>
      </c>
      <c r="T32" s="321">
        <f t="shared" ref="T32:T34" si="31">IF(S32&gt;0,R32/S32,0)</f>
        <v>0</v>
      </c>
      <c r="V32" s="216" t="s">
        <v>315</v>
      </c>
      <c r="W32" s="540">
        <f>'Utility Cost '!B18</f>
        <v>104</v>
      </c>
      <c r="X32" s="222">
        <f>SUM(W32/A35)</f>
        <v>14.857142857142858</v>
      </c>
      <c r="Y32" s="250">
        <f>SUM(X32/1)</f>
        <v>14.857142857142858</v>
      </c>
      <c r="Z32" s="3"/>
      <c r="AA32" s="323"/>
      <c r="AB32" s="323"/>
      <c r="AC32" s="244"/>
    </row>
    <row r="33" spans="1:32" ht="20.100000000000001" customHeight="1">
      <c r="A33" s="163">
        <f>ELEC!C33</f>
        <v>44742</v>
      </c>
      <c r="B33" s="609">
        <f t="shared" si="7"/>
        <v>1121884</v>
      </c>
      <c r="C33" s="254">
        <f t="shared" si="20"/>
        <v>0</v>
      </c>
      <c r="D33" s="295">
        <f t="shared" si="21"/>
        <v>0</v>
      </c>
      <c r="E33" s="295">
        <f t="shared" si="22"/>
        <v>1121884</v>
      </c>
      <c r="F33" s="609">
        <f t="shared" si="8"/>
        <v>161410</v>
      </c>
      <c r="G33" s="160">
        <f t="shared" si="23"/>
        <v>0</v>
      </c>
      <c r="H33" s="609">
        <f t="shared" si="9"/>
        <v>558743</v>
      </c>
      <c r="I33" s="161">
        <f t="shared" si="24"/>
        <v>0</v>
      </c>
      <c r="J33" s="609">
        <f t="shared" si="10"/>
        <v>401730</v>
      </c>
      <c r="K33" s="162">
        <f t="shared" si="25"/>
        <v>0</v>
      </c>
      <c r="L33" s="284">
        <f t="shared" si="26"/>
        <v>0</v>
      </c>
      <c r="M33" s="284">
        <f t="shared" si="27"/>
        <v>0</v>
      </c>
      <c r="N33" s="284">
        <f t="shared" si="28"/>
        <v>0</v>
      </c>
      <c r="O33" s="284">
        <f t="shared" si="6"/>
        <v>159.96313985627418</v>
      </c>
      <c r="P33" s="285">
        <f t="shared" si="29"/>
        <v>159.96313985627418</v>
      </c>
      <c r="Q33" s="285">
        <f>SUM(-tanks!AX35*tanks!$AU$37)</f>
        <v>0</v>
      </c>
      <c r="R33" s="285">
        <f t="shared" si="30"/>
        <v>159.96313985627418</v>
      </c>
      <c r="S33" s="287">
        <f>SUM(ELEC!N33)</f>
        <v>0</v>
      </c>
      <c r="T33" s="321">
        <f t="shared" si="31"/>
        <v>0</v>
      </c>
      <c r="V33" s="216" t="s">
        <v>413</v>
      </c>
      <c r="W33" s="540"/>
      <c r="X33" s="222"/>
      <c r="Y33" s="250"/>
      <c r="Z33" s="3" t="s">
        <v>415</v>
      </c>
      <c r="AA33" s="583">
        <v>0.11</v>
      </c>
      <c r="AB33" s="584">
        <f>AB30*AA33</f>
        <v>811386.07</v>
      </c>
      <c r="AC33" s="244">
        <f>SUM(AC29)</f>
        <v>7234333</v>
      </c>
    </row>
    <row r="34" spans="1:32" ht="20.100000000000001" customHeight="1">
      <c r="A34" s="163">
        <f>ELEC!C34</f>
        <v>44743</v>
      </c>
      <c r="B34" s="609">
        <f t="shared" si="7"/>
        <v>1121884</v>
      </c>
      <c r="C34" s="254">
        <f t="shared" si="20"/>
        <v>0</v>
      </c>
      <c r="D34" s="295">
        <f t="shared" si="21"/>
        <v>0</v>
      </c>
      <c r="E34" s="295">
        <f t="shared" si="22"/>
        <v>1121884</v>
      </c>
      <c r="F34" s="609">
        <f t="shared" si="8"/>
        <v>161410</v>
      </c>
      <c r="G34" s="160">
        <f t="shared" si="23"/>
        <v>0</v>
      </c>
      <c r="H34" s="609">
        <f t="shared" si="9"/>
        <v>558743</v>
      </c>
      <c r="I34" s="161">
        <f t="shared" si="24"/>
        <v>0</v>
      </c>
      <c r="J34" s="609">
        <f t="shared" si="10"/>
        <v>401730</v>
      </c>
      <c r="K34" s="162">
        <f t="shared" si="25"/>
        <v>0</v>
      </c>
      <c r="L34" s="284">
        <f t="shared" si="26"/>
        <v>0</v>
      </c>
      <c r="M34" s="284">
        <f t="shared" si="27"/>
        <v>0</v>
      </c>
      <c r="N34" s="284">
        <f t="shared" si="28"/>
        <v>0</v>
      </c>
      <c r="O34" s="284">
        <f t="shared" si="6"/>
        <v>159.96313985627418</v>
      </c>
      <c r="P34" s="285">
        <f t="shared" si="29"/>
        <v>159.96313985627418</v>
      </c>
      <c r="Q34" s="285">
        <f>SUM(-tanks!AX36*tanks!$AU$37)</f>
        <v>0</v>
      </c>
      <c r="R34" s="285">
        <f t="shared" si="30"/>
        <v>159.96313985627418</v>
      </c>
      <c r="S34" s="287">
        <f>SUM(ELEC!N34)</f>
        <v>0</v>
      </c>
      <c r="T34" s="321">
        <f t="shared" si="31"/>
        <v>0</v>
      </c>
      <c r="V34" s="216" t="s">
        <v>414</v>
      </c>
      <c r="Z34" s="3"/>
      <c r="AA34" s="3"/>
      <c r="AB34" s="504">
        <f>AB30+AB33</f>
        <v>8187623.0700000003</v>
      </c>
      <c r="AC34" s="244">
        <f>SUM(AC30)</f>
        <v>0</v>
      </c>
    </row>
    <row r="35" spans="1:32" ht="15.75" thickBot="1">
      <c r="A35" s="501">
        <f>A37-COUNTIF(C4:C33,0)</f>
        <v>7</v>
      </c>
      <c r="C35" s="173">
        <f>SUM(C4:C34)/A35</f>
        <v>181.42857142857142</v>
      </c>
      <c r="D35" s="173"/>
      <c r="E35" s="173"/>
      <c r="F35" s="564"/>
      <c r="G35" s="564">
        <f>SUM(G4:G34)/A35</f>
        <v>0</v>
      </c>
      <c r="H35" s="173"/>
      <c r="I35" s="173">
        <f>SUM(I4:I34)/A35</f>
        <v>181</v>
      </c>
      <c r="K35" s="173">
        <f>SUM(K4:K34)/A35</f>
        <v>0</v>
      </c>
      <c r="L35" s="173">
        <f>SUM(L34*1507.5)</f>
        <v>0</v>
      </c>
      <c r="M35" s="173">
        <f>SUM(M34*1507.5)</f>
        <v>0</v>
      </c>
      <c r="N35" s="173">
        <f>SUM(N34*1507.5)</f>
        <v>0</v>
      </c>
      <c r="O35" s="173">
        <f>SUM(O34*1507.5)</f>
        <v>241144.43333333332</v>
      </c>
      <c r="P35" s="173"/>
      <c r="Q35" s="173"/>
      <c r="R35" s="173"/>
      <c r="S35" s="288"/>
      <c r="V35" s="226"/>
      <c r="W35" s="227"/>
      <c r="X35" s="227"/>
      <c r="Y35" s="227"/>
      <c r="Z35" s="3"/>
      <c r="AA35" s="45"/>
      <c r="AB35" s="280"/>
      <c r="AC35" s="531"/>
    </row>
    <row r="36" spans="1:32" ht="15.75" thickBot="1">
      <c r="A36" s="210"/>
      <c r="C36" s="212">
        <f>SUM(G36:K36)</f>
        <v>0.9976377952755906</v>
      </c>
      <c r="G36" s="225">
        <f>IF(C35&gt;0,G35/C35,0)</f>
        <v>0</v>
      </c>
      <c r="H36" s="212"/>
      <c r="I36" s="225">
        <f>SUM(I35/C35)</f>
        <v>0.9976377952755906</v>
      </c>
      <c r="J36" s="212"/>
      <c r="K36" s="225">
        <f>SUM(K35/C35)</f>
        <v>0</v>
      </c>
      <c r="L36" s="225"/>
      <c r="M36" s="225"/>
      <c r="N36" s="225"/>
      <c r="O36" s="225"/>
      <c r="P36" s="225"/>
      <c r="Q36" s="225"/>
      <c r="R36" s="225"/>
      <c r="S36" s="289"/>
      <c r="V36" s="226"/>
      <c r="W36" s="227"/>
      <c r="X36" s="227"/>
      <c r="Y36" s="227"/>
      <c r="Z36" s="227"/>
      <c r="AA36" s="227" t="s">
        <v>416</v>
      </c>
      <c r="AB36" s="532">
        <f>AB30/1507.5</f>
        <v>4893.0262023217247</v>
      </c>
      <c r="AC36" s="533"/>
    </row>
    <row r="37" spans="1:32" ht="15.75" thickBot="1">
      <c r="A37">
        <v>30</v>
      </c>
      <c r="G37" s="212"/>
      <c r="H37" s="212"/>
      <c r="I37" s="212"/>
      <c r="J37" s="212"/>
      <c r="K37" s="212"/>
      <c r="L37" s="212"/>
      <c r="M37" s="212"/>
      <c r="N37" s="212"/>
      <c r="O37" s="212"/>
      <c r="P37" s="212"/>
      <c r="Q37" s="212"/>
      <c r="R37" s="212"/>
      <c r="V37" s="264"/>
      <c r="W37" s="219"/>
      <c r="X37" s="219"/>
      <c r="Y37" s="220"/>
      <c r="Z37" s="528"/>
      <c r="AA37" s="528"/>
      <c r="AB37" s="529"/>
      <c r="AC37" s="530"/>
    </row>
    <row r="38" spans="1:32">
      <c r="V38" s="217"/>
      <c r="W38" s="82"/>
      <c r="Z38" s="40"/>
      <c r="AA38" s="341"/>
      <c r="AB38" s="282">
        <f>SUM(AB36)</f>
        <v>4893.0262023217247</v>
      </c>
    </row>
    <row r="39" spans="1:32">
      <c r="V39" s="217"/>
      <c r="W39" s="82"/>
      <c r="X39" s="505"/>
      <c r="Z39" s="282"/>
      <c r="AA39" s="281"/>
      <c r="AB39" s="281"/>
    </row>
    <row r="40" spans="1:32">
      <c r="V40" s="17"/>
      <c r="W40" s="82"/>
      <c r="X40" s="505"/>
      <c r="Y40" s="82"/>
      <c r="Z40" s="282"/>
      <c r="AA40" s="101"/>
      <c r="AB40" s="333"/>
    </row>
    <row r="41" spans="1:32" ht="18.75">
      <c r="W41" s="82"/>
      <c r="Z41" s="265"/>
      <c r="AA41" s="281"/>
      <c r="AB41" s="332"/>
    </row>
    <row r="42" spans="1:32">
      <c r="D42" s="486"/>
      <c r="E42" s="486"/>
      <c r="F42" s="486"/>
      <c r="W42" s="82"/>
      <c r="Z42" s="283"/>
    </row>
    <row r="43" spans="1:32">
      <c r="Z43" s="281"/>
    </row>
    <row r="44" spans="1:32">
      <c r="V44" s="17"/>
      <c r="W44" s="17"/>
      <c r="X44" s="17"/>
      <c r="Y44" s="17"/>
      <c r="Z44" s="17"/>
      <c r="AA44" s="17"/>
      <c r="AB44" s="17"/>
      <c r="AC44" s="17"/>
      <c r="AD44" s="542"/>
      <c r="AE44" s="17"/>
      <c r="AF44" s="17"/>
    </row>
    <row r="45" spans="1:32">
      <c r="V45" s="506"/>
      <c r="W45" s="507"/>
      <c r="X45" s="17"/>
      <c r="Y45" s="17"/>
      <c r="Z45" s="508"/>
      <c r="AA45" s="17"/>
      <c r="AB45" s="654"/>
      <c r="AC45" s="654"/>
      <c r="AD45" s="542"/>
      <c r="AE45" s="17"/>
      <c r="AF45" s="17"/>
    </row>
    <row r="46" spans="1:32">
      <c r="V46" s="654"/>
      <c r="W46" s="654"/>
      <c r="X46" s="654"/>
      <c r="Y46" s="654"/>
      <c r="Z46" s="508"/>
      <c r="AA46" s="508"/>
      <c r="AB46" s="654"/>
      <c r="AC46" s="654"/>
      <c r="AD46" s="542"/>
      <c r="AE46" s="17"/>
      <c r="AF46" s="17"/>
    </row>
    <row r="47" spans="1:32">
      <c r="V47" s="654"/>
      <c r="W47" s="654"/>
      <c r="X47" s="654"/>
      <c r="Y47" s="654"/>
      <c r="Z47" s="654"/>
      <c r="AA47" s="654"/>
      <c r="AB47" s="654"/>
      <c r="AC47" s="654"/>
      <c r="AD47" s="542"/>
      <c r="AE47" s="17"/>
      <c r="AF47" s="17"/>
    </row>
    <row r="48" spans="1:32">
      <c r="V48" s="655"/>
      <c r="W48" s="655"/>
      <c r="X48" s="656"/>
      <c r="Y48" s="656"/>
      <c r="Z48" s="656"/>
      <c r="AA48" s="509"/>
      <c r="AB48" s="654"/>
      <c r="AC48" s="654"/>
      <c r="AD48" s="542"/>
      <c r="AE48" s="17"/>
      <c r="AF48" s="17"/>
    </row>
    <row r="49" spans="22:32">
      <c r="V49" s="506"/>
      <c r="W49" s="506"/>
      <c r="X49" s="506"/>
      <c r="Y49" s="506"/>
      <c r="Z49" s="506"/>
      <c r="AA49" s="506"/>
      <c r="AB49" s="506"/>
      <c r="AC49" s="510"/>
      <c r="AD49" s="542"/>
      <c r="AE49" s="17"/>
      <c r="AF49" s="17"/>
    </row>
    <row r="50" spans="22:32">
      <c r="V50" s="509"/>
      <c r="W50" s="509"/>
      <c r="X50" s="511"/>
      <c r="Y50" s="511"/>
      <c r="Z50" s="511"/>
      <c r="AA50" s="73"/>
      <c r="AB50" s="73"/>
      <c r="AC50" s="73"/>
      <c r="AD50" s="542"/>
      <c r="AE50" s="17"/>
      <c r="AF50" s="17"/>
    </row>
    <row r="51" spans="22:32">
      <c r="V51" s="509"/>
      <c r="W51" s="509"/>
      <c r="X51" s="511"/>
      <c r="Y51" s="511"/>
      <c r="Z51" s="511"/>
      <c r="AA51" s="73"/>
      <c r="AB51" s="73"/>
      <c r="AC51" s="73"/>
      <c r="AD51" s="542"/>
      <c r="AE51" s="17"/>
      <c r="AF51" s="17"/>
    </row>
    <row r="52" spans="22:32">
      <c r="V52" s="509"/>
      <c r="W52" s="509"/>
      <c r="X52" s="511"/>
      <c r="Y52" s="511"/>
      <c r="Z52" s="511"/>
      <c r="AA52" s="73"/>
      <c r="AB52" s="73"/>
      <c r="AC52" s="73"/>
      <c r="AD52" s="542"/>
      <c r="AE52" s="512"/>
      <c r="AF52" s="513"/>
    </row>
    <row r="53" spans="22:32">
      <c r="V53" s="217"/>
      <c r="W53" s="217"/>
      <c r="X53" s="217"/>
      <c r="Y53" s="217"/>
      <c r="Z53" s="17"/>
      <c r="AA53" s="73"/>
      <c r="AB53" s="73"/>
      <c r="AC53" s="73"/>
      <c r="AD53" s="542"/>
      <c r="AE53" s="17"/>
      <c r="AF53" s="17"/>
    </row>
    <row r="54" spans="22:32">
      <c r="V54" s="217"/>
      <c r="W54" s="514"/>
      <c r="X54" s="217"/>
      <c r="Y54" s="217"/>
      <c r="Z54" s="17"/>
      <c r="AA54" s="73"/>
      <c r="AB54" s="257"/>
      <c r="AC54" s="73"/>
      <c r="AD54" s="542"/>
      <c r="AE54" s="17"/>
      <c r="AF54" s="17"/>
    </row>
    <row r="55" spans="22:32">
      <c r="V55" s="217"/>
      <c r="W55" s="217"/>
      <c r="X55" s="222"/>
      <c r="Y55" s="515"/>
      <c r="Z55" s="17"/>
      <c r="AA55" s="17"/>
      <c r="AB55" s="73"/>
      <c r="AC55" s="73"/>
      <c r="AD55" s="542"/>
      <c r="AE55" s="17"/>
      <c r="AF55" s="17"/>
    </row>
    <row r="56" spans="22:32">
      <c r="V56" s="217"/>
      <c r="W56" s="217"/>
      <c r="X56" s="217"/>
      <c r="Y56" s="217"/>
      <c r="Z56" s="17"/>
      <c r="AA56" s="17"/>
      <c r="AB56" s="17"/>
      <c r="AC56" s="17"/>
      <c r="AD56" s="542"/>
      <c r="AE56" s="17"/>
      <c r="AF56" s="17"/>
    </row>
    <row r="57" spans="22:32">
      <c r="V57" s="217"/>
      <c r="W57" s="217"/>
      <c r="X57" s="217"/>
      <c r="Y57" s="217"/>
      <c r="Z57" s="17"/>
      <c r="AA57" s="17"/>
      <c r="AB57" s="17"/>
      <c r="AC57" s="17"/>
      <c r="AD57" s="542"/>
      <c r="AE57" s="17"/>
      <c r="AF57" s="17"/>
    </row>
    <row r="58" spans="22:32">
      <c r="V58" s="217"/>
      <c r="W58" s="217"/>
      <c r="X58" s="217"/>
      <c r="Y58" s="217"/>
      <c r="Z58" s="17"/>
      <c r="AA58" s="17"/>
      <c r="AB58" s="17"/>
      <c r="AC58" s="17"/>
      <c r="AD58" s="542"/>
      <c r="AE58" s="17"/>
      <c r="AF58" s="17"/>
    </row>
    <row r="59" spans="22:32">
      <c r="V59" s="17"/>
      <c r="W59" s="17"/>
      <c r="X59" s="17"/>
      <c r="Y59" s="17"/>
      <c r="Z59" s="17"/>
      <c r="AA59" s="516"/>
      <c r="AB59" s="517"/>
      <c r="AC59" s="518"/>
      <c r="AD59" s="542"/>
      <c r="AE59" s="17"/>
      <c r="AF59" s="17"/>
    </row>
    <row r="60" spans="22:32">
      <c r="V60" s="17"/>
      <c r="W60" s="17"/>
      <c r="X60" s="17"/>
      <c r="Y60" s="17"/>
      <c r="Z60" s="17"/>
      <c r="AA60" s="519"/>
      <c r="AB60" s="517"/>
      <c r="AC60" s="518"/>
      <c r="AD60" s="542"/>
      <c r="AE60" s="17"/>
      <c r="AF60" s="17"/>
    </row>
    <row r="61" spans="22:32">
      <c r="V61" s="17"/>
      <c r="W61" s="17"/>
      <c r="X61" s="17"/>
      <c r="Y61" s="17"/>
      <c r="Z61" s="17"/>
      <c r="AA61" s="17"/>
      <c r="AB61" s="517"/>
      <c r="AC61" s="518"/>
      <c r="AD61" s="542"/>
      <c r="AE61" s="17"/>
      <c r="AF61" s="17"/>
    </row>
    <row r="62" spans="22:32">
      <c r="V62" s="217"/>
      <c r="W62" s="217"/>
      <c r="X62" s="217"/>
      <c r="Y62" s="217"/>
      <c r="Z62" s="17"/>
      <c r="AA62" s="17"/>
      <c r="AB62" s="520"/>
      <c r="AC62" s="17"/>
      <c r="AD62" s="542"/>
      <c r="AE62" s="17"/>
      <c r="AF62" s="17"/>
    </row>
    <row r="63" spans="22:32">
      <c r="V63" s="217"/>
      <c r="W63" s="513"/>
      <c r="X63" s="17"/>
      <c r="Y63" s="17"/>
      <c r="Z63" s="512"/>
      <c r="AA63" s="521"/>
      <c r="AB63" s="511"/>
      <c r="AC63" s="17"/>
      <c r="AD63" s="542"/>
      <c r="AE63" s="17"/>
      <c r="AF63" s="17"/>
    </row>
    <row r="64" spans="22:32">
      <c r="V64" s="217"/>
      <c r="W64" s="513"/>
      <c r="X64" s="17"/>
      <c r="Y64" s="17"/>
      <c r="Z64" s="405"/>
      <c r="AA64" s="511"/>
      <c r="AB64" s="511"/>
      <c r="AC64" s="17"/>
      <c r="AD64" s="542"/>
      <c r="AE64" s="17"/>
      <c r="AF64" s="17"/>
    </row>
    <row r="65" spans="22:32">
      <c r="V65" s="17"/>
      <c r="W65" s="513"/>
      <c r="X65" s="17"/>
      <c r="Y65" s="513"/>
      <c r="Z65" s="405"/>
      <c r="AA65" s="511"/>
      <c r="AB65" s="522"/>
      <c r="AC65" s="17"/>
      <c r="AD65" s="542"/>
      <c r="AE65" s="17"/>
      <c r="AF65" s="17"/>
    </row>
    <row r="66" spans="22:32" ht="18.75">
      <c r="V66" s="17"/>
      <c r="W66" s="513"/>
      <c r="X66" s="17"/>
      <c r="Y66" s="17"/>
      <c r="Z66" s="523"/>
      <c r="AA66" s="511"/>
      <c r="AB66" s="524"/>
      <c r="AC66" s="17"/>
      <c r="AD66" s="542"/>
      <c r="AE66" s="17"/>
      <c r="AF66" s="17"/>
    </row>
    <row r="67" spans="22:32">
      <c r="V67" s="17"/>
      <c r="W67" s="513"/>
      <c r="X67" s="17"/>
      <c r="Y67" s="17"/>
      <c r="Z67" s="73"/>
      <c r="AA67" s="17"/>
      <c r="AB67" s="17"/>
      <c r="AC67" s="17"/>
      <c r="AD67" s="542"/>
      <c r="AE67" s="17"/>
      <c r="AF67" s="17"/>
    </row>
    <row r="68" spans="22:32">
      <c r="V68" s="17"/>
      <c r="W68" s="17"/>
      <c r="X68" s="17"/>
      <c r="Y68" s="17"/>
      <c r="Z68" s="511"/>
      <c r="AA68" s="17"/>
      <c r="AB68" s="17"/>
      <c r="AC68" s="17"/>
      <c r="AD68" s="542"/>
      <c r="AE68" s="17"/>
      <c r="AF68" s="17"/>
    </row>
    <row r="69" spans="22:32">
      <c r="V69" s="17"/>
      <c r="W69" s="17"/>
      <c r="X69" s="17"/>
      <c r="Y69" s="17"/>
      <c r="Z69" s="17"/>
      <c r="AA69" s="17"/>
      <c r="AB69" s="17"/>
      <c r="AC69" s="17"/>
      <c r="AD69" s="542"/>
      <c r="AE69" s="17"/>
      <c r="AF69" s="17"/>
    </row>
    <row r="70" spans="22:32">
      <c r="V70" s="17"/>
      <c r="W70" s="17"/>
      <c r="X70" s="17"/>
      <c r="Y70" s="17"/>
      <c r="Z70" s="17"/>
      <c r="AA70" s="17"/>
      <c r="AB70" s="17"/>
      <c r="AC70" s="17"/>
      <c r="AD70" s="542"/>
      <c r="AE70" s="17"/>
      <c r="AF70" s="17"/>
    </row>
    <row r="71" spans="22:32">
      <c r="V71" s="17"/>
      <c r="W71" s="17"/>
      <c r="X71" s="17"/>
      <c r="Y71" s="17"/>
      <c r="Z71" s="17"/>
      <c r="AA71" s="17"/>
      <c r="AB71" s="17"/>
      <c r="AC71" s="17"/>
      <c r="AD71" s="542"/>
      <c r="AE71" s="17"/>
      <c r="AF71" s="17"/>
    </row>
    <row r="72" spans="22:32">
      <c r="V72" s="17"/>
      <c r="W72" s="17"/>
      <c r="X72" s="17"/>
      <c r="Y72" s="17"/>
      <c r="Z72" s="17"/>
      <c r="AA72" s="17"/>
      <c r="AB72" s="17"/>
      <c r="AC72" s="17"/>
      <c r="AD72" s="542"/>
      <c r="AE72" s="17"/>
      <c r="AF72" s="17"/>
    </row>
    <row r="73" spans="22:32">
      <c r="V73" s="17"/>
      <c r="W73" s="17"/>
      <c r="X73" s="17"/>
      <c r="Y73" s="17"/>
      <c r="Z73" s="17"/>
      <c r="AA73" s="17"/>
      <c r="AB73" s="17"/>
      <c r="AC73" s="17"/>
      <c r="AD73" s="542"/>
      <c r="AE73" s="17"/>
      <c r="AF73" s="17"/>
    </row>
    <row r="74" spans="22:32">
      <c r="V74" s="17"/>
      <c r="W74" s="17"/>
      <c r="X74" s="17"/>
      <c r="Y74" s="17"/>
      <c r="Z74" s="17"/>
      <c r="AA74" s="17"/>
      <c r="AB74" s="17"/>
      <c r="AC74" s="17"/>
      <c r="AD74" s="542"/>
      <c r="AE74" s="17"/>
      <c r="AF74" s="17"/>
    </row>
    <row r="75" spans="22:32">
      <c r="V75" s="17"/>
      <c r="W75" s="17"/>
      <c r="X75" s="17"/>
      <c r="Y75" s="17"/>
      <c r="Z75" s="17"/>
      <c r="AA75" s="17"/>
      <c r="AB75" s="17"/>
      <c r="AC75" s="17"/>
      <c r="AD75" s="542"/>
      <c r="AE75" s="17"/>
      <c r="AF75" s="17"/>
    </row>
    <row r="76" spans="22:32">
      <c r="V76" s="17"/>
      <c r="W76" s="17"/>
      <c r="X76" s="17"/>
      <c r="Y76" s="17"/>
      <c r="Z76" s="17"/>
      <c r="AA76" s="17"/>
      <c r="AB76" s="17"/>
      <c r="AC76" s="17"/>
      <c r="AD76" s="542"/>
      <c r="AE76" s="17"/>
      <c r="AF76" s="17"/>
    </row>
    <row r="77" spans="22:32">
      <c r="V77" s="17"/>
      <c r="W77" s="17"/>
      <c r="X77" s="17"/>
      <c r="Y77" s="17"/>
      <c r="Z77" s="17"/>
      <c r="AA77" s="17"/>
      <c r="AB77" s="17"/>
      <c r="AC77" s="17"/>
      <c r="AD77" s="542"/>
      <c r="AE77" s="17"/>
      <c r="AF77" s="17"/>
    </row>
    <row r="78" spans="22:32">
      <c r="V78" s="17"/>
      <c r="W78" s="17"/>
      <c r="X78" s="17"/>
      <c r="Y78" s="17"/>
      <c r="Z78" s="17"/>
      <c r="AA78" s="17"/>
      <c r="AB78" s="17"/>
      <c r="AC78" s="17"/>
      <c r="AD78" s="542"/>
      <c r="AE78" s="17"/>
      <c r="AF78" s="17"/>
    </row>
    <row r="79" spans="22:32">
      <c r="V79" s="17"/>
      <c r="W79" s="17"/>
      <c r="X79" s="17"/>
      <c r="Y79" s="17"/>
      <c r="Z79" s="17"/>
      <c r="AA79" s="17"/>
      <c r="AB79" s="17"/>
      <c r="AC79" s="17"/>
      <c r="AD79" s="542"/>
      <c r="AE79" s="17"/>
      <c r="AF79" s="17"/>
    </row>
    <row r="80" spans="22:32">
      <c r="V80" s="17"/>
      <c r="W80" s="17"/>
      <c r="X80" s="17"/>
      <c r="Y80" s="17"/>
      <c r="Z80" s="17"/>
      <c r="AA80" s="17"/>
      <c r="AB80" s="17"/>
      <c r="AC80" s="17"/>
      <c r="AD80" s="542"/>
      <c r="AE80" s="17"/>
      <c r="AF80" s="17"/>
    </row>
  </sheetData>
  <mergeCells count="15">
    <mergeCell ref="AB45:AC48"/>
    <mergeCell ref="V46:Y47"/>
    <mergeCell ref="Z47:AA47"/>
    <mergeCell ref="V48:W48"/>
    <mergeCell ref="X48:Z48"/>
    <mergeCell ref="V7:W7"/>
    <mergeCell ref="X7:Z7"/>
    <mergeCell ref="V5:Y6"/>
    <mergeCell ref="AB4:AC7"/>
    <mergeCell ref="AB21:AC24"/>
    <mergeCell ref="V22:Y23"/>
    <mergeCell ref="Z23:AA23"/>
    <mergeCell ref="V24:W24"/>
    <mergeCell ref="X24:Z24"/>
    <mergeCell ref="Z6:AA6"/>
  </mergeCells>
  <pageMargins left="0.7" right="0.7" top="0.75" bottom="0.75" header="0.3" footer="0.3"/>
  <pageSetup orientation="portrait" r:id="rId1"/>
  <ignoredErrors>
    <ignoredError sqref="I5:I13 G6:G13" formula="1"/>
  </ignoredErrors>
  <drawing r:id="rId2"/>
</worksheet>
</file>

<file path=xl/worksheets/sheet9.xml><?xml version="1.0" encoding="utf-8"?>
<worksheet xmlns="http://schemas.openxmlformats.org/spreadsheetml/2006/main" xmlns:r="http://schemas.openxmlformats.org/officeDocument/2006/relationships">
  <dimension ref="A1"/>
  <sheetViews>
    <sheetView zoomScale="70" zoomScaleNormal="70" workbookViewId="0">
      <selection activeCell="N56" sqref="N56"/>
    </sheetView>
  </sheetViews>
  <sheetFormatPr defaultRowHeight="15"/>
  <sheetData/>
  <pageMargins left="0.7" right="0.7" top="0.75" bottom="0.75" header="0.3" footer="0.3"/>
  <pageSetup orientation="portrait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>
  <sheetPr>
    <pageSetUpPr fitToPage="1"/>
  </sheetPr>
  <dimension ref="A1:O40"/>
  <sheetViews>
    <sheetView zoomScaleNormal="100" workbookViewId="0">
      <pane ySplit="4" topLeftCell="A5" activePane="bottomLeft" state="frozen"/>
      <selection pane="bottomLeft" activeCell="F19" sqref="F19"/>
    </sheetView>
  </sheetViews>
  <sheetFormatPr defaultRowHeight="15"/>
  <cols>
    <col min="1" max="1" width="11.7109375" style="460" customWidth="1"/>
    <col min="2" max="3" width="7.7109375" bestFit="1" customWidth="1"/>
    <col min="4" max="4" width="10.28515625" bestFit="1" customWidth="1"/>
    <col min="5" max="5" width="13.7109375" bestFit="1" customWidth="1"/>
    <col min="6" max="6" width="11.28515625" bestFit="1" customWidth="1"/>
    <col min="7" max="7" width="15.42578125" customWidth="1"/>
    <col min="8" max="8" width="7.42578125" bestFit="1" customWidth="1"/>
    <col min="9" max="9" width="11.42578125" bestFit="1" customWidth="1"/>
    <col min="10" max="10" width="10.7109375" bestFit="1" customWidth="1"/>
    <col min="11" max="11" width="11.5703125" bestFit="1" customWidth="1"/>
    <col min="12" max="12" width="14.42578125" bestFit="1" customWidth="1"/>
    <col min="13" max="13" width="9" bestFit="1" customWidth="1"/>
    <col min="14" max="14" width="13.5703125" bestFit="1" customWidth="1"/>
    <col min="15" max="15" width="19" bestFit="1" customWidth="1"/>
  </cols>
  <sheetData>
    <row r="1" spans="1:15" ht="15" customHeight="1">
      <c r="A1" s="657" t="s">
        <v>193</v>
      </c>
      <c r="B1" s="658"/>
      <c r="C1" s="658"/>
      <c r="D1" s="658"/>
      <c r="E1" s="658"/>
      <c r="F1" s="658"/>
      <c r="G1" s="658"/>
      <c r="H1" s="658"/>
      <c r="I1" s="658"/>
      <c r="J1" s="658"/>
      <c r="K1" s="658"/>
      <c r="L1" s="658"/>
      <c r="M1" s="658"/>
      <c r="N1" s="658"/>
      <c r="O1" s="659"/>
    </row>
    <row r="2" spans="1:15" ht="15.75" customHeight="1" thickBot="1">
      <c r="A2" s="660"/>
      <c r="B2" s="661"/>
      <c r="C2" s="661"/>
      <c r="D2" s="661"/>
      <c r="E2" s="661"/>
      <c r="F2" s="661"/>
      <c r="G2" s="661"/>
      <c r="H2" s="661"/>
      <c r="I2" s="661"/>
      <c r="J2" s="661"/>
      <c r="K2" s="661"/>
      <c r="L2" s="661"/>
      <c r="M2" s="661"/>
      <c r="N2" s="661"/>
      <c r="O2" s="662"/>
    </row>
    <row r="3" spans="1:15" ht="9" customHeight="1" thickBot="1">
      <c r="A3" s="457"/>
      <c r="B3" s="153"/>
      <c r="C3" s="153"/>
      <c r="D3" s="153"/>
      <c r="E3" s="153"/>
      <c r="F3" s="153"/>
      <c r="G3" s="153"/>
      <c r="H3" s="153"/>
      <c r="I3" s="153"/>
      <c r="J3" s="153"/>
      <c r="K3" s="153"/>
      <c r="L3" s="153"/>
      <c r="M3" s="153"/>
      <c r="N3" s="153"/>
      <c r="O3" s="153"/>
    </row>
    <row r="4" spans="1:15" ht="16.5" thickTop="1" thickBot="1">
      <c r="A4" s="458"/>
      <c r="B4" s="149" t="s">
        <v>383</v>
      </c>
      <c r="C4" s="150" t="s">
        <v>158</v>
      </c>
      <c r="D4" s="147" t="s">
        <v>160</v>
      </c>
      <c r="E4" s="151" t="s">
        <v>159</v>
      </c>
      <c r="F4" s="474" t="s">
        <v>184</v>
      </c>
      <c r="G4" s="148" t="s">
        <v>185</v>
      </c>
      <c r="H4" s="152" t="s">
        <v>186</v>
      </c>
      <c r="I4" s="149" t="s">
        <v>187</v>
      </c>
      <c r="J4" s="150" t="s">
        <v>188</v>
      </c>
      <c r="K4" s="148" t="s">
        <v>189</v>
      </c>
      <c r="L4" s="152" t="s">
        <v>190</v>
      </c>
      <c r="M4" s="150" t="s">
        <v>191</v>
      </c>
      <c r="N4" s="154" t="s">
        <v>192</v>
      </c>
      <c r="O4" s="156" t="s">
        <v>194</v>
      </c>
    </row>
    <row r="5" spans="1:15" ht="15.75" thickTop="1">
      <c r="A5" s="459">
        <f>ELEC!C4</f>
        <v>44713</v>
      </c>
      <c r="B5" s="37">
        <v>25</v>
      </c>
      <c r="C5" s="37">
        <v>21</v>
      </c>
      <c r="D5" s="26">
        <f t="shared" ref="D5:D11" si="0">(C5+B5)/2</f>
        <v>23</v>
      </c>
      <c r="E5" s="325">
        <v>0.77</v>
      </c>
      <c r="F5" s="328">
        <v>0</v>
      </c>
      <c r="G5" s="238">
        <f t="shared" ref="G5:G11" si="1">F5*230</f>
        <v>0</v>
      </c>
      <c r="H5" s="3">
        <v>0</v>
      </c>
      <c r="I5" s="3">
        <v>0</v>
      </c>
      <c r="J5" s="37">
        <v>0</v>
      </c>
      <c r="K5" s="253">
        <f t="shared" ref="K5:K25" si="2">+J5+H5</f>
        <v>0</v>
      </c>
      <c r="L5" s="3"/>
      <c r="M5" s="3"/>
      <c r="N5" s="155"/>
      <c r="O5" s="3"/>
    </row>
    <row r="6" spans="1:15">
      <c r="A6" s="459">
        <f>ELEC!C5</f>
        <v>44714</v>
      </c>
      <c r="B6" s="37">
        <v>25</v>
      </c>
      <c r="C6" s="37">
        <v>22</v>
      </c>
      <c r="D6" s="26">
        <f t="shared" si="0"/>
        <v>23.5</v>
      </c>
      <c r="E6" s="325">
        <v>0.78</v>
      </c>
      <c r="F6" s="328">
        <v>0</v>
      </c>
      <c r="G6" s="238">
        <f t="shared" si="1"/>
        <v>0</v>
      </c>
      <c r="H6" s="3">
        <v>0</v>
      </c>
      <c r="I6" s="3">
        <v>0</v>
      </c>
      <c r="J6" s="37">
        <v>0</v>
      </c>
      <c r="K6" s="253">
        <f t="shared" si="2"/>
        <v>0</v>
      </c>
      <c r="L6" s="3"/>
      <c r="M6" s="3"/>
      <c r="N6" s="155"/>
      <c r="O6" s="3"/>
    </row>
    <row r="7" spans="1:15">
      <c r="A7" s="459">
        <f>ELEC!C6</f>
        <v>44715</v>
      </c>
      <c r="B7" s="37"/>
      <c r="C7" s="37"/>
      <c r="D7" s="26">
        <f t="shared" si="0"/>
        <v>0</v>
      </c>
      <c r="E7" s="378"/>
      <c r="F7" s="325">
        <v>0</v>
      </c>
      <c r="G7" s="238">
        <f t="shared" si="1"/>
        <v>0</v>
      </c>
      <c r="H7" s="3">
        <v>0</v>
      </c>
      <c r="I7" s="3">
        <v>0</v>
      </c>
      <c r="J7" s="37">
        <v>0</v>
      </c>
      <c r="K7" s="253">
        <f t="shared" si="2"/>
        <v>0</v>
      </c>
      <c r="L7" s="3"/>
      <c r="M7" s="170"/>
      <c r="N7" s="155"/>
      <c r="O7" s="3"/>
    </row>
    <row r="8" spans="1:15">
      <c r="A8" s="459">
        <f>ELEC!C7</f>
        <v>44716</v>
      </c>
      <c r="B8" s="37"/>
      <c r="C8" s="37"/>
      <c r="D8" s="26">
        <f>(C8+B8)/2</f>
        <v>0</v>
      </c>
      <c r="E8" s="378"/>
      <c r="F8" s="378">
        <v>0</v>
      </c>
      <c r="G8" s="238">
        <f>F8*230</f>
        <v>0</v>
      </c>
      <c r="H8" s="3">
        <v>0</v>
      </c>
      <c r="I8" s="3">
        <v>0</v>
      </c>
      <c r="J8" s="37">
        <v>0</v>
      </c>
      <c r="K8" s="253">
        <f>+J8+H8</f>
        <v>0</v>
      </c>
      <c r="L8" s="3"/>
      <c r="M8" s="3"/>
      <c r="N8" s="155"/>
      <c r="O8" s="3"/>
    </row>
    <row r="9" spans="1:15">
      <c r="A9" s="459">
        <f>ELEC!C8</f>
        <v>44717</v>
      </c>
      <c r="B9" s="37">
        <v>27</v>
      </c>
      <c r="C9" s="37">
        <v>21</v>
      </c>
      <c r="D9" s="26">
        <f t="shared" si="0"/>
        <v>24</v>
      </c>
      <c r="E9" s="339">
        <v>0.71</v>
      </c>
      <c r="F9" s="325">
        <v>0</v>
      </c>
      <c r="G9" s="238">
        <f t="shared" si="1"/>
        <v>0</v>
      </c>
      <c r="H9" s="3">
        <v>0</v>
      </c>
      <c r="I9" s="3">
        <v>0</v>
      </c>
      <c r="J9" s="37">
        <v>0</v>
      </c>
      <c r="K9" s="253">
        <f t="shared" si="2"/>
        <v>0</v>
      </c>
      <c r="L9" s="3"/>
      <c r="M9" s="3"/>
      <c r="N9" s="155"/>
      <c r="O9" s="3"/>
    </row>
    <row r="10" spans="1:15">
      <c r="A10" s="459">
        <f>ELEC!C9</f>
        <v>44718</v>
      </c>
      <c r="B10" s="37">
        <v>26</v>
      </c>
      <c r="C10" s="37">
        <v>21</v>
      </c>
      <c r="D10" s="26">
        <f t="shared" si="0"/>
        <v>23.5</v>
      </c>
      <c r="E10" s="378">
        <v>0.76</v>
      </c>
      <c r="F10" s="378">
        <v>0</v>
      </c>
      <c r="G10" s="238">
        <f t="shared" si="1"/>
        <v>0</v>
      </c>
      <c r="H10" s="3">
        <v>0</v>
      </c>
      <c r="I10" s="3">
        <v>0</v>
      </c>
      <c r="J10" s="37">
        <v>0</v>
      </c>
      <c r="K10" s="253">
        <f>+J10+H10</f>
        <v>0</v>
      </c>
      <c r="L10" s="3"/>
      <c r="M10" s="3"/>
      <c r="N10" s="155"/>
      <c r="O10" s="3"/>
    </row>
    <row r="11" spans="1:15">
      <c r="A11" s="459">
        <f>ELEC!C10</f>
        <v>44719</v>
      </c>
      <c r="B11" s="37">
        <v>27</v>
      </c>
      <c r="C11" s="37">
        <v>22</v>
      </c>
      <c r="D11" s="26">
        <f t="shared" si="0"/>
        <v>24.5</v>
      </c>
      <c r="E11" s="378">
        <v>0.76</v>
      </c>
      <c r="F11" s="378">
        <v>0</v>
      </c>
      <c r="G11" s="238">
        <f t="shared" si="1"/>
        <v>0</v>
      </c>
      <c r="H11" s="3">
        <v>0</v>
      </c>
      <c r="I11" s="3">
        <v>0</v>
      </c>
      <c r="J11" s="37">
        <v>0</v>
      </c>
      <c r="K11" s="253">
        <f t="shared" si="2"/>
        <v>0</v>
      </c>
      <c r="L11" s="3"/>
      <c r="M11" s="3"/>
      <c r="N11" s="155"/>
      <c r="O11" s="3"/>
    </row>
    <row r="12" spans="1:15">
      <c r="A12" s="459">
        <f>ELEC!C11</f>
        <v>44720</v>
      </c>
      <c r="B12" s="37">
        <v>27</v>
      </c>
      <c r="C12" s="37">
        <v>23</v>
      </c>
      <c r="D12" s="26">
        <f>(C12+B12)/2</f>
        <v>25</v>
      </c>
      <c r="E12" s="339">
        <v>0.77</v>
      </c>
      <c r="F12" s="378">
        <v>0</v>
      </c>
      <c r="G12" s="238">
        <f>F12*230</f>
        <v>0</v>
      </c>
      <c r="H12" s="3">
        <v>0</v>
      </c>
      <c r="I12" s="3">
        <v>0</v>
      </c>
      <c r="J12" s="37">
        <v>0</v>
      </c>
      <c r="K12" s="253">
        <f t="shared" si="2"/>
        <v>0</v>
      </c>
      <c r="L12" s="3"/>
      <c r="M12" s="3"/>
      <c r="N12" s="155"/>
      <c r="O12" s="3"/>
    </row>
    <row r="13" spans="1:15">
      <c r="A13" s="459">
        <f>ELEC!C12</f>
        <v>44721</v>
      </c>
      <c r="B13" s="37"/>
      <c r="C13" s="37"/>
      <c r="D13" s="26">
        <f t="shared" ref="D13:D32" si="3">(C13+B13)/2</f>
        <v>0</v>
      </c>
      <c r="E13" s="378"/>
      <c r="F13" s="378">
        <v>0</v>
      </c>
      <c r="G13" s="238">
        <f t="shared" ref="G13:G32" si="4">F13*230</f>
        <v>0</v>
      </c>
      <c r="H13" s="3">
        <v>0</v>
      </c>
      <c r="I13" s="3">
        <v>0</v>
      </c>
      <c r="J13" s="37">
        <v>0</v>
      </c>
      <c r="K13" s="253">
        <f t="shared" si="2"/>
        <v>0</v>
      </c>
      <c r="L13" s="3"/>
      <c r="M13" s="3"/>
      <c r="N13" s="155"/>
      <c r="O13" s="3"/>
    </row>
    <row r="14" spans="1:15">
      <c r="A14" s="459">
        <f>ELEC!C13</f>
        <v>44722</v>
      </c>
      <c r="B14" s="37"/>
      <c r="C14" s="37"/>
      <c r="D14" s="26">
        <f t="shared" si="3"/>
        <v>0</v>
      </c>
      <c r="E14" s="325"/>
      <c r="F14" s="325">
        <v>0</v>
      </c>
      <c r="G14" s="238">
        <f>F14*230</f>
        <v>0</v>
      </c>
      <c r="H14" s="3">
        <v>0</v>
      </c>
      <c r="I14" s="3">
        <v>0</v>
      </c>
      <c r="J14" s="37">
        <v>0</v>
      </c>
      <c r="K14" s="253">
        <f>+J14+H14</f>
        <v>0</v>
      </c>
      <c r="L14" s="3"/>
      <c r="M14" s="3"/>
      <c r="N14" s="155"/>
      <c r="O14" s="3"/>
    </row>
    <row r="15" spans="1:15">
      <c r="A15" s="459">
        <f>ELEC!C14</f>
        <v>44723</v>
      </c>
      <c r="B15" s="37"/>
      <c r="C15" s="37"/>
      <c r="D15" s="26">
        <f>(C15+B15)/2</f>
        <v>0</v>
      </c>
      <c r="E15" s="378"/>
      <c r="F15" s="325">
        <v>0</v>
      </c>
      <c r="G15" s="238">
        <f t="shared" si="4"/>
        <v>0</v>
      </c>
      <c r="H15" s="3">
        <v>0</v>
      </c>
      <c r="I15" s="3">
        <v>0</v>
      </c>
      <c r="J15" s="37">
        <v>0</v>
      </c>
      <c r="K15" s="253">
        <f>+J15+H15</f>
        <v>0</v>
      </c>
      <c r="L15" s="3"/>
      <c r="M15" s="3"/>
      <c r="N15" s="155"/>
      <c r="O15" s="3"/>
    </row>
    <row r="16" spans="1:15">
      <c r="A16" s="459">
        <f>ELEC!C15</f>
        <v>44724</v>
      </c>
      <c r="B16" s="37"/>
      <c r="C16" s="37"/>
      <c r="D16" s="26">
        <f t="shared" si="3"/>
        <v>0</v>
      </c>
      <c r="E16" s="325"/>
      <c r="F16" s="325">
        <v>0</v>
      </c>
      <c r="G16" s="238">
        <f t="shared" si="4"/>
        <v>0</v>
      </c>
      <c r="H16" s="3">
        <v>0</v>
      </c>
      <c r="I16" s="3">
        <v>0</v>
      </c>
      <c r="J16" s="37">
        <v>0</v>
      </c>
      <c r="K16" s="253">
        <f t="shared" si="2"/>
        <v>0</v>
      </c>
      <c r="L16" s="3"/>
      <c r="M16" s="3"/>
      <c r="N16" s="155"/>
      <c r="O16" s="3"/>
    </row>
    <row r="17" spans="1:15">
      <c r="A17" s="459">
        <f>ELEC!C16</f>
        <v>44725</v>
      </c>
      <c r="B17" s="37"/>
      <c r="C17" s="37"/>
      <c r="D17" s="26">
        <f t="shared" si="3"/>
        <v>0</v>
      </c>
      <c r="E17" s="410"/>
      <c r="F17" s="325">
        <v>0</v>
      </c>
      <c r="G17" s="238">
        <f t="shared" si="4"/>
        <v>0</v>
      </c>
      <c r="H17" s="3">
        <v>0</v>
      </c>
      <c r="I17" s="3">
        <v>0</v>
      </c>
      <c r="J17" s="37">
        <v>0</v>
      </c>
      <c r="K17" s="253">
        <f t="shared" si="2"/>
        <v>0</v>
      </c>
      <c r="L17" s="3"/>
      <c r="M17" s="3"/>
      <c r="N17" s="155"/>
      <c r="O17" s="3"/>
    </row>
    <row r="18" spans="1:15">
      <c r="A18" s="459">
        <f>ELEC!C17</f>
        <v>44726</v>
      </c>
      <c r="B18" s="37">
        <v>27</v>
      </c>
      <c r="C18" s="37">
        <v>23</v>
      </c>
      <c r="D18" s="26">
        <f t="shared" si="3"/>
        <v>25</v>
      </c>
      <c r="E18" s="325">
        <v>0.72</v>
      </c>
      <c r="F18" s="325">
        <v>0</v>
      </c>
      <c r="G18" s="238">
        <f t="shared" si="4"/>
        <v>0</v>
      </c>
      <c r="H18" s="3">
        <v>0</v>
      </c>
      <c r="I18" s="3">
        <v>0</v>
      </c>
      <c r="J18" s="37">
        <v>0</v>
      </c>
      <c r="K18" s="253">
        <f t="shared" si="2"/>
        <v>0</v>
      </c>
      <c r="L18" s="3"/>
      <c r="M18" s="3"/>
      <c r="N18" s="155"/>
      <c r="O18" s="3"/>
    </row>
    <row r="19" spans="1:15">
      <c r="A19" s="459">
        <f>ELEC!C18</f>
        <v>44727</v>
      </c>
      <c r="B19" s="37">
        <v>28</v>
      </c>
      <c r="C19" s="37">
        <v>23</v>
      </c>
      <c r="D19" s="26">
        <f t="shared" si="3"/>
        <v>25.5</v>
      </c>
      <c r="E19" s="325">
        <v>0.7</v>
      </c>
      <c r="F19" s="325">
        <v>0</v>
      </c>
      <c r="G19" s="238">
        <f t="shared" si="4"/>
        <v>0</v>
      </c>
      <c r="H19" s="3">
        <v>0</v>
      </c>
      <c r="I19" s="3">
        <v>0</v>
      </c>
      <c r="J19" s="37">
        <v>0</v>
      </c>
      <c r="K19" s="253">
        <f t="shared" si="2"/>
        <v>0</v>
      </c>
      <c r="L19" s="3"/>
      <c r="M19" s="3"/>
      <c r="N19" s="155"/>
      <c r="O19" s="3"/>
    </row>
    <row r="20" spans="1:15">
      <c r="A20" s="459">
        <f>ELEC!C19</f>
        <v>44728</v>
      </c>
      <c r="B20" s="37"/>
      <c r="C20" s="37"/>
      <c r="D20" s="26">
        <f>(C20+B20)/2</f>
        <v>0</v>
      </c>
      <c r="E20" s="325"/>
      <c r="F20" s="378">
        <v>0</v>
      </c>
      <c r="G20" s="238">
        <f t="shared" si="4"/>
        <v>0</v>
      </c>
      <c r="H20" s="3">
        <v>0</v>
      </c>
      <c r="I20" s="3">
        <v>0</v>
      </c>
      <c r="J20" s="37">
        <v>0</v>
      </c>
      <c r="K20" s="253">
        <f t="shared" si="2"/>
        <v>0</v>
      </c>
      <c r="L20" s="3"/>
      <c r="M20" s="3"/>
      <c r="N20" s="155"/>
      <c r="O20" s="3"/>
    </row>
    <row r="21" spans="1:15">
      <c r="A21" s="459">
        <f>ELEC!C20</f>
        <v>44729</v>
      </c>
      <c r="B21" s="37"/>
      <c r="C21" s="37"/>
      <c r="D21" s="26">
        <f t="shared" si="3"/>
        <v>0</v>
      </c>
      <c r="E21" s="325"/>
      <c r="F21" s="378">
        <v>0</v>
      </c>
      <c r="G21" s="238">
        <f t="shared" si="4"/>
        <v>0</v>
      </c>
      <c r="H21" s="3">
        <v>0</v>
      </c>
      <c r="I21" s="3">
        <v>0</v>
      </c>
      <c r="J21" s="37">
        <v>0</v>
      </c>
      <c r="K21" s="253">
        <f t="shared" si="2"/>
        <v>0</v>
      </c>
      <c r="L21" s="3"/>
      <c r="M21" s="3"/>
      <c r="N21" s="155"/>
      <c r="O21" s="3"/>
    </row>
    <row r="22" spans="1:15">
      <c r="A22" s="459">
        <f>ELEC!C21</f>
        <v>44730</v>
      </c>
      <c r="B22" s="37"/>
      <c r="C22" s="37"/>
      <c r="D22" s="26">
        <f>(C22+B22)/2</f>
        <v>0</v>
      </c>
      <c r="E22" s="325"/>
      <c r="F22" s="378">
        <v>0</v>
      </c>
      <c r="G22" s="238">
        <f t="shared" si="4"/>
        <v>0</v>
      </c>
      <c r="H22" s="3">
        <v>0</v>
      </c>
      <c r="I22" s="3">
        <v>0</v>
      </c>
      <c r="J22" s="37">
        <v>0</v>
      </c>
      <c r="K22" s="253">
        <f t="shared" si="2"/>
        <v>0</v>
      </c>
      <c r="L22" s="3"/>
      <c r="M22" s="3"/>
      <c r="N22" s="155"/>
      <c r="O22" s="3"/>
    </row>
    <row r="23" spans="1:15">
      <c r="A23" s="459">
        <f>ELEC!C22</f>
        <v>44731</v>
      </c>
      <c r="B23" s="37"/>
      <c r="C23" s="37"/>
      <c r="D23" s="26">
        <f>(C23+B23)/2</f>
        <v>0</v>
      </c>
      <c r="E23" s="378"/>
      <c r="F23" s="325">
        <v>0</v>
      </c>
      <c r="G23" s="238">
        <f t="shared" si="4"/>
        <v>0</v>
      </c>
      <c r="H23" s="3">
        <v>0</v>
      </c>
      <c r="I23" s="3">
        <v>0</v>
      </c>
      <c r="J23" s="37">
        <v>0</v>
      </c>
      <c r="K23" s="253">
        <f t="shared" si="2"/>
        <v>0</v>
      </c>
      <c r="L23" s="3"/>
      <c r="M23" s="3"/>
      <c r="N23" s="155"/>
      <c r="O23" s="3"/>
    </row>
    <row r="24" spans="1:15">
      <c r="A24" s="459">
        <f>ELEC!C23</f>
        <v>44732</v>
      </c>
      <c r="B24" s="37"/>
      <c r="C24" s="37"/>
      <c r="D24" s="26">
        <f t="shared" si="3"/>
        <v>0</v>
      </c>
      <c r="E24" s="325"/>
      <c r="F24" s="325">
        <v>0</v>
      </c>
      <c r="G24" s="238">
        <f t="shared" si="4"/>
        <v>0</v>
      </c>
      <c r="H24" s="3">
        <v>0</v>
      </c>
      <c r="I24" s="3">
        <v>0</v>
      </c>
      <c r="J24" s="37">
        <v>0</v>
      </c>
      <c r="K24" s="253">
        <f t="shared" si="2"/>
        <v>0</v>
      </c>
      <c r="L24" s="3"/>
      <c r="M24" s="3"/>
      <c r="N24" s="155"/>
      <c r="O24" s="3"/>
    </row>
    <row r="25" spans="1:15">
      <c r="A25" s="459">
        <f>ELEC!C24</f>
        <v>44733</v>
      </c>
      <c r="B25" s="37"/>
      <c r="C25" s="37"/>
      <c r="D25" s="26">
        <f t="shared" si="3"/>
        <v>0</v>
      </c>
      <c r="E25" s="325"/>
      <c r="F25" s="325">
        <v>0</v>
      </c>
      <c r="G25" s="238">
        <f t="shared" si="4"/>
        <v>0</v>
      </c>
      <c r="H25" s="3">
        <v>0</v>
      </c>
      <c r="I25" s="3">
        <v>0</v>
      </c>
      <c r="J25" s="37">
        <v>0</v>
      </c>
      <c r="K25" s="253">
        <f t="shared" si="2"/>
        <v>0</v>
      </c>
      <c r="L25" s="3"/>
      <c r="M25" s="3"/>
      <c r="N25" s="155"/>
      <c r="O25" s="3"/>
    </row>
    <row r="26" spans="1:15">
      <c r="A26" s="459">
        <f>ELEC!C25</f>
        <v>44734</v>
      </c>
      <c r="B26" s="37"/>
      <c r="C26" s="37"/>
      <c r="D26" s="26">
        <f t="shared" si="3"/>
        <v>0</v>
      </c>
      <c r="E26" s="378"/>
      <c r="F26" s="325">
        <v>0</v>
      </c>
      <c r="G26" s="238">
        <f t="shared" si="4"/>
        <v>0</v>
      </c>
      <c r="H26" s="3">
        <v>0</v>
      </c>
      <c r="I26" s="3">
        <v>0</v>
      </c>
      <c r="J26" s="37">
        <v>0</v>
      </c>
      <c r="K26" s="253">
        <f>+J26+H26+I26</f>
        <v>0</v>
      </c>
      <c r="L26" s="3"/>
      <c r="M26" s="3"/>
      <c r="N26" s="155"/>
      <c r="O26" s="3"/>
    </row>
    <row r="27" spans="1:15">
      <c r="A27" s="459">
        <f>ELEC!C26</f>
        <v>44735</v>
      </c>
      <c r="B27" s="37"/>
      <c r="C27" s="37"/>
      <c r="D27" s="26">
        <f t="shared" si="3"/>
        <v>0</v>
      </c>
      <c r="E27" s="378"/>
      <c r="F27" s="325">
        <v>0</v>
      </c>
      <c r="G27" s="238">
        <f t="shared" si="4"/>
        <v>0</v>
      </c>
      <c r="H27" s="3">
        <v>0</v>
      </c>
      <c r="I27" s="3">
        <v>0</v>
      </c>
      <c r="J27" s="37">
        <v>0</v>
      </c>
      <c r="K27" s="253">
        <f t="shared" ref="K27:K32" si="5">+J27+H27+I27</f>
        <v>0</v>
      </c>
      <c r="L27" s="3"/>
      <c r="M27" s="3"/>
      <c r="N27" s="155"/>
      <c r="O27" s="3"/>
    </row>
    <row r="28" spans="1:15">
      <c r="A28" s="459">
        <f>ELEC!C27</f>
        <v>44736</v>
      </c>
      <c r="B28" s="37"/>
      <c r="C28" s="37"/>
      <c r="D28" s="26">
        <f t="shared" si="3"/>
        <v>0</v>
      </c>
      <c r="E28" s="325"/>
      <c r="F28" s="325">
        <v>0</v>
      </c>
      <c r="G28" s="238">
        <f t="shared" si="4"/>
        <v>0</v>
      </c>
      <c r="H28" s="3">
        <v>0</v>
      </c>
      <c r="I28" s="3">
        <v>0</v>
      </c>
      <c r="J28" s="37">
        <v>0</v>
      </c>
      <c r="K28" s="253">
        <f t="shared" si="5"/>
        <v>0</v>
      </c>
      <c r="L28" s="3"/>
      <c r="M28" s="3"/>
      <c r="N28" s="155"/>
      <c r="O28" s="3"/>
    </row>
    <row r="29" spans="1:15">
      <c r="A29" s="459">
        <f>ELEC!C28</f>
        <v>44737</v>
      </c>
      <c r="B29" s="37"/>
      <c r="C29" s="37"/>
      <c r="D29" s="26">
        <f t="shared" si="3"/>
        <v>0</v>
      </c>
      <c r="E29" s="325"/>
      <c r="F29" s="378">
        <v>0</v>
      </c>
      <c r="G29" s="238">
        <f t="shared" si="4"/>
        <v>0</v>
      </c>
      <c r="H29" s="3">
        <v>0</v>
      </c>
      <c r="I29" s="3">
        <v>0</v>
      </c>
      <c r="J29" s="37">
        <v>0</v>
      </c>
      <c r="K29" s="253">
        <f t="shared" si="5"/>
        <v>0</v>
      </c>
      <c r="L29" s="3"/>
      <c r="M29" s="3"/>
      <c r="N29" s="155"/>
      <c r="O29" s="3"/>
    </row>
    <row r="30" spans="1:15">
      <c r="A30" s="459">
        <f>ELEC!C29</f>
        <v>44738</v>
      </c>
      <c r="B30" s="37"/>
      <c r="C30" s="37"/>
      <c r="D30" s="26">
        <f t="shared" si="3"/>
        <v>0</v>
      </c>
      <c r="E30" s="327"/>
      <c r="F30" s="269">
        <v>0</v>
      </c>
      <c r="G30" s="238">
        <f t="shared" si="4"/>
        <v>0</v>
      </c>
      <c r="H30" s="3">
        <v>0</v>
      </c>
      <c r="I30" s="3">
        <v>0</v>
      </c>
      <c r="J30" s="37">
        <v>0</v>
      </c>
      <c r="K30" s="253">
        <f t="shared" si="5"/>
        <v>0</v>
      </c>
      <c r="L30" s="3"/>
      <c r="M30" s="3"/>
      <c r="N30" s="155"/>
      <c r="O30" s="3"/>
    </row>
    <row r="31" spans="1:15">
      <c r="A31" s="459">
        <f>ELEC!C30</f>
        <v>44739</v>
      </c>
      <c r="B31" s="37"/>
      <c r="C31" s="37"/>
      <c r="D31" s="268">
        <f>(C31+B31)/2</f>
        <v>0</v>
      </c>
      <c r="E31" s="326"/>
      <c r="F31" s="327">
        <v>0</v>
      </c>
      <c r="G31" s="238">
        <f t="shared" si="4"/>
        <v>0</v>
      </c>
      <c r="H31" s="3">
        <v>0</v>
      </c>
      <c r="I31" s="3">
        <v>0</v>
      </c>
      <c r="J31" s="37">
        <v>0</v>
      </c>
      <c r="K31" s="253">
        <f t="shared" si="5"/>
        <v>0</v>
      </c>
      <c r="L31" s="3"/>
      <c r="M31" s="3"/>
      <c r="N31" s="155"/>
      <c r="O31" s="3"/>
    </row>
    <row r="32" spans="1:15">
      <c r="A32" s="459">
        <f>ELEC!C31</f>
        <v>44740</v>
      </c>
      <c r="B32" s="37"/>
      <c r="C32" s="37"/>
      <c r="D32" s="26">
        <f t="shared" si="3"/>
        <v>0</v>
      </c>
      <c r="E32" s="325"/>
      <c r="F32" s="327">
        <v>0</v>
      </c>
      <c r="G32" s="238">
        <f t="shared" si="4"/>
        <v>0</v>
      </c>
      <c r="H32" s="3">
        <v>0</v>
      </c>
      <c r="I32" s="3">
        <v>0</v>
      </c>
      <c r="J32" s="37">
        <v>0</v>
      </c>
      <c r="K32" s="253">
        <f t="shared" si="5"/>
        <v>0</v>
      </c>
      <c r="L32" s="3"/>
      <c r="M32" s="3"/>
      <c r="N32" s="155"/>
      <c r="O32" s="3"/>
    </row>
    <row r="33" spans="1:15">
      <c r="A33" s="459">
        <f>ELEC!C32</f>
        <v>44741</v>
      </c>
      <c r="B33" s="37"/>
      <c r="C33" s="37"/>
      <c r="D33" s="26">
        <f t="shared" ref="D33:D35" si="6">(C33+B33)/2</f>
        <v>0</v>
      </c>
      <c r="E33" s="378"/>
      <c r="F33" s="327">
        <v>0</v>
      </c>
      <c r="G33" s="238">
        <f t="shared" ref="G33:G35" si="7">F33*230</f>
        <v>0</v>
      </c>
      <c r="H33" s="3">
        <v>0</v>
      </c>
      <c r="I33" s="3">
        <v>0</v>
      </c>
      <c r="J33" s="37">
        <v>0</v>
      </c>
      <c r="K33" s="253">
        <f t="shared" ref="K33:K35" si="8">+J33+H33+I33</f>
        <v>0</v>
      </c>
      <c r="L33" s="3"/>
      <c r="M33" s="3"/>
      <c r="N33" s="155"/>
      <c r="O33" s="3"/>
    </row>
    <row r="34" spans="1:15">
      <c r="A34" s="459">
        <f>ELEC!C33</f>
        <v>44742</v>
      </c>
      <c r="B34" s="37"/>
      <c r="C34" s="37"/>
      <c r="D34" s="26">
        <f t="shared" si="6"/>
        <v>0</v>
      </c>
      <c r="E34" s="378"/>
      <c r="F34" s="327">
        <v>0</v>
      </c>
      <c r="G34" s="238">
        <f t="shared" si="7"/>
        <v>0</v>
      </c>
      <c r="H34" s="3">
        <v>0</v>
      </c>
      <c r="I34" s="3">
        <v>0</v>
      </c>
      <c r="J34" s="37">
        <v>0</v>
      </c>
      <c r="K34" s="253">
        <f t="shared" si="8"/>
        <v>0</v>
      </c>
      <c r="L34" s="3"/>
      <c r="M34" s="3"/>
      <c r="N34" s="155"/>
      <c r="O34" s="3"/>
    </row>
    <row r="35" spans="1:15">
      <c r="A35" s="459">
        <f>ELEC!C34</f>
        <v>44743</v>
      </c>
      <c r="B35" s="37"/>
      <c r="C35" s="37"/>
      <c r="D35" s="26">
        <f t="shared" si="6"/>
        <v>0</v>
      </c>
      <c r="E35" s="378"/>
      <c r="F35" s="327">
        <v>0</v>
      </c>
      <c r="G35" s="238">
        <f t="shared" si="7"/>
        <v>0</v>
      </c>
      <c r="H35" s="3">
        <v>0</v>
      </c>
      <c r="I35" s="3">
        <v>0</v>
      </c>
      <c r="J35" s="37">
        <v>0</v>
      </c>
      <c r="K35" s="253">
        <f t="shared" si="8"/>
        <v>0</v>
      </c>
      <c r="L35" s="3"/>
      <c r="M35" s="3"/>
      <c r="N35" s="155"/>
      <c r="O35" s="3"/>
    </row>
    <row r="36" spans="1:15">
      <c r="D36" s="251"/>
      <c r="F36" s="497">
        <f>AVERAGE(F5:F35)</f>
        <v>0</v>
      </c>
      <c r="G36" s="203">
        <f>SUM(G5:G35)</f>
        <v>0</v>
      </c>
    </row>
    <row r="37" spans="1:15">
      <c r="D37" s="251">
        <f>SUM(D5:D35)/'EDl log'!A35</f>
        <v>27.714285714285715</v>
      </c>
      <c r="F37" s="211"/>
    </row>
    <row r="40" spans="1:15">
      <c r="I40" s="394" t="s">
        <v>313</v>
      </c>
    </row>
  </sheetData>
  <mergeCells count="1">
    <mergeCell ref="A1:O2"/>
  </mergeCells>
  <hyperlinks>
    <hyperlink ref="I40" r:id="rId1"/>
  </hyperlinks>
  <pageMargins left="0.7" right="0.7" top="0.75" bottom="0.75" header="0.3" footer="0.3"/>
  <pageSetup paperSize="9" scale="74" fitToHeight="0" orientation="landscape" r:id="rId2"/>
  <drawing r:id="rId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32"/>
  <sheetViews>
    <sheetView topLeftCell="A5" zoomScale="70" zoomScaleNormal="70" workbookViewId="0">
      <selection activeCell="G52" sqref="G51:G52"/>
    </sheetView>
  </sheetViews>
  <sheetFormatPr defaultRowHeight="15"/>
  <cols>
    <col min="1" max="1" width="16.28515625" customWidth="1"/>
    <col min="2" max="2" width="19.42578125" customWidth="1"/>
    <col min="3" max="3" width="18.42578125" customWidth="1"/>
    <col min="4" max="4" width="18.28515625" customWidth="1"/>
    <col min="5" max="7" width="16.7109375" customWidth="1"/>
    <col min="8" max="8" width="13" customWidth="1"/>
    <col min="9" max="9" width="18.42578125" customWidth="1"/>
    <col min="10" max="10" width="21.28515625" customWidth="1"/>
  </cols>
  <sheetData>
    <row r="1" spans="1:10">
      <c r="A1" s="2" t="s">
        <v>83</v>
      </c>
      <c r="B1" s="2" t="s">
        <v>87</v>
      </c>
      <c r="C1" s="2" t="s">
        <v>88</v>
      </c>
      <c r="D1" s="2" t="s">
        <v>84</v>
      </c>
      <c r="E1" s="2" t="s">
        <v>90</v>
      </c>
      <c r="F1" s="2" t="s">
        <v>89</v>
      </c>
      <c r="G1" s="16" t="s">
        <v>91</v>
      </c>
      <c r="H1" s="16" t="s">
        <v>85</v>
      </c>
      <c r="I1" s="16" t="s">
        <v>86</v>
      </c>
      <c r="J1" t="s">
        <v>51</v>
      </c>
    </row>
    <row r="2" spans="1:10">
      <c r="A2" s="3" t="e">
        <f>ELEC!T4+ELEC!X2+ELEC!AB4</f>
        <v>#VALUE!</v>
      </c>
      <c r="B2" s="3">
        <f>ELEC!AF4</f>
        <v>0</v>
      </c>
      <c r="C2" s="3">
        <f>ELEC!N4</f>
        <v>3033</v>
      </c>
      <c r="D2" s="3">
        <f>C2-E2</f>
        <v>149.99999999837019</v>
      </c>
      <c r="E2" s="3">
        <f>ELEC!Q4</f>
        <v>2883.0000000016298</v>
      </c>
      <c r="F2" s="3">
        <f>GEN!Z2</f>
        <v>16</v>
      </c>
      <c r="G2" s="3">
        <f>WATER!C5+WATER!H5</f>
        <v>21</v>
      </c>
      <c r="H2" s="3">
        <f>WATER!L5</f>
        <v>0</v>
      </c>
      <c r="I2" s="15">
        <f>WATER!BC5+WATER!BD5+WATER!BE6-Sheet1!G2</f>
        <v>-28.599999999999994</v>
      </c>
      <c r="J2" s="9">
        <f>'B5'!A4</f>
        <v>44712</v>
      </c>
    </row>
    <row r="3" spans="1:10">
      <c r="A3" s="3">
        <f>ELEC!T5+ELEC!X3+ELEC!AB5</f>
        <v>0</v>
      </c>
      <c r="B3" s="3">
        <f>ELEC!AF5</f>
        <v>0</v>
      </c>
      <c r="C3" s="3">
        <f>ELEC!N5</f>
        <v>3021</v>
      </c>
      <c r="D3" s="3">
        <f t="shared" ref="D3:D30" si="0">C3-E3</f>
        <v>345.00000000052387</v>
      </c>
      <c r="E3" s="3">
        <f>ELEC!Q5</f>
        <v>2675.9999999994761</v>
      </c>
      <c r="F3" s="3">
        <f>GEN!Z3</f>
        <v>10</v>
      </c>
      <c r="G3" s="3">
        <f>WATER!C6+WATER!H6</f>
        <v>0</v>
      </c>
      <c r="H3" s="3">
        <f>WATER!L6</f>
        <v>0</v>
      </c>
      <c r="I3" s="15">
        <f>WATER!BC6+WATER!BD6+WATER!BE7-Sheet1!G3</f>
        <v>44.09999999999998</v>
      </c>
      <c r="J3" s="9">
        <f>'B5'!A5</f>
        <v>44713</v>
      </c>
    </row>
    <row r="4" spans="1:10">
      <c r="A4" s="3">
        <f>ELEC!T6+ELEC!X6+ELEC!AB6</f>
        <v>0</v>
      </c>
      <c r="B4" s="3">
        <f>ELEC!AF6</f>
        <v>0</v>
      </c>
      <c r="C4" s="3">
        <f>ELEC!N6</f>
        <v>0</v>
      </c>
      <c r="D4" s="3">
        <f t="shared" si="0"/>
        <v>0</v>
      </c>
      <c r="E4" s="3">
        <f>ELEC!Q6</f>
        <v>0</v>
      </c>
      <c r="F4" s="3">
        <f>GEN!Z4</f>
        <v>10</v>
      </c>
      <c r="G4" s="3">
        <f>WATER!C7+WATER!H7</f>
        <v>118</v>
      </c>
      <c r="H4" s="3">
        <f>WATER!L7</f>
        <v>0</v>
      </c>
      <c r="I4" s="15">
        <f>WATER!BC7+WATER!BD7+WATER!BE8-Sheet1!G4</f>
        <v>-124.50000000000006</v>
      </c>
      <c r="J4" s="9">
        <f>'B5'!A6</f>
        <v>44714</v>
      </c>
    </row>
    <row r="5" spans="1:10">
      <c r="A5" s="3">
        <f>ELEC!T7+ELEC!X7+ELEC!AB7</f>
        <v>0</v>
      </c>
      <c r="B5" s="3">
        <f>ELEC!AF7</f>
        <v>0</v>
      </c>
      <c r="C5" s="3">
        <f>ELEC!N7</f>
        <v>0</v>
      </c>
      <c r="D5" s="3">
        <f t="shared" si="0"/>
        <v>0</v>
      </c>
      <c r="E5" s="3">
        <f>ELEC!Q7</f>
        <v>0</v>
      </c>
      <c r="F5" s="3">
        <f>GEN!Z5</f>
        <v>0</v>
      </c>
      <c r="G5" s="3">
        <f>WATER!C8+WATER!H8</f>
        <v>0</v>
      </c>
      <c r="H5" s="3">
        <f>WATER!L8</f>
        <v>0</v>
      </c>
      <c r="I5" s="15">
        <f>WATER!BC8+WATER!BD8+WATER!BE9-Sheet1!G5</f>
        <v>0</v>
      </c>
      <c r="J5" s="9">
        <f>'B5'!A7</f>
        <v>44715</v>
      </c>
    </row>
    <row r="6" spans="1:10">
      <c r="A6" s="3">
        <f>ELEC!T8+ELEC!X8+ELEC!AB8</f>
        <v>0</v>
      </c>
      <c r="B6" s="3">
        <f>ELEC!AF8</f>
        <v>0</v>
      </c>
      <c r="C6" s="3">
        <f>ELEC!N8</f>
        <v>3034.1999999992549</v>
      </c>
      <c r="D6" s="3">
        <f t="shared" si="0"/>
        <v>3034.1999999992549</v>
      </c>
      <c r="E6" s="3">
        <f>ELEC!Q25</f>
        <v>0</v>
      </c>
      <c r="F6" s="3">
        <f>GEN!Z6</f>
        <v>0</v>
      </c>
      <c r="G6" s="3">
        <f>WATER!C9+WATER!H9</f>
        <v>0</v>
      </c>
      <c r="H6" s="3">
        <f>WATER!L9</f>
        <v>0</v>
      </c>
      <c r="I6" s="15">
        <f>WATER!BC9+WATER!BD9+WATER!BE10-Sheet1!G6</f>
        <v>-0.89999999999994884</v>
      </c>
      <c r="J6" s="9">
        <f>'B5'!A8</f>
        <v>44716</v>
      </c>
    </row>
    <row r="7" spans="1:10">
      <c r="A7" s="3">
        <f>ELEC!T9+ELEC!X9+ELEC!AB9</f>
        <v>0</v>
      </c>
      <c r="B7" s="3">
        <f>ELEC!AF9</f>
        <v>0</v>
      </c>
      <c r="C7" s="3">
        <f>ELEC!N9</f>
        <v>3098.8000000007451</v>
      </c>
      <c r="D7" s="3">
        <f t="shared" si="0"/>
        <v>276.80000000062864</v>
      </c>
      <c r="E7" s="3">
        <f>ELEC!Q9</f>
        <v>2822.0000000001164</v>
      </c>
      <c r="F7" s="3">
        <f>GEN!Z7</f>
        <v>9</v>
      </c>
      <c r="G7" s="3">
        <f>WATER!C10+WATER!H10</f>
        <v>0</v>
      </c>
      <c r="H7" s="3">
        <f>WATER!L10</f>
        <v>0</v>
      </c>
      <c r="I7" s="15">
        <f>WATER!BC10+WATER!BD10+WATER!BE11-Sheet1!G7</f>
        <v>-14.099999999999966</v>
      </c>
      <c r="J7" s="9">
        <f>'B5'!A9</f>
        <v>44717</v>
      </c>
    </row>
    <row r="8" spans="1:10">
      <c r="A8" s="3">
        <f>ELEC!T10+ELEC!X10+ELEC!AB10</f>
        <v>0</v>
      </c>
      <c r="B8" s="3">
        <f>ELEC!AF10</f>
        <v>0</v>
      </c>
      <c r="C8" s="3">
        <f>ELEC!N10</f>
        <v>2865</v>
      </c>
      <c r="D8" s="3">
        <f t="shared" si="0"/>
        <v>165.99999999947613</v>
      </c>
      <c r="E8" s="3">
        <f>ELEC!Q10</f>
        <v>2699.0000000005239</v>
      </c>
      <c r="F8" s="3">
        <f>GEN!Z8</f>
        <v>9</v>
      </c>
      <c r="G8" s="3">
        <f>WATER!C11+WATER!H11</f>
        <v>71</v>
      </c>
      <c r="H8" s="3">
        <f>WATER!L11</f>
        <v>0</v>
      </c>
      <c r="I8" s="15">
        <f>WATER!BC11+WATER!BD11+WATER!BE12-Sheet1!G8</f>
        <v>-6.5</v>
      </c>
      <c r="J8" s="9">
        <f>'B5'!A10</f>
        <v>44718</v>
      </c>
    </row>
    <row r="9" spans="1:10">
      <c r="A9" s="3">
        <f>ELEC!T11+ELEC!X11+ELEC!AB11</f>
        <v>0</v>
      </c>
      <c r="B9" s="3">
        <f>ELEC!AF11</f>
        <v>0</v>
      </c>
      <c r="C9" s="3">
        <f>ELEC!N11</f>
        <v>2797</v>
      </c>
      <c r="D9" s="3">
        <f t="shared" si="0"/>
        <v>187.99999999962165</v>
      </c>
      <c r="E9" s="3">
        <f>ELEC!Q11</f>
        <v>2609.0000000003783</v>
      </c>
      <c r="F9" s="3">
        <f>GEN!Z9</f>
        <v>10</v>
      </c>
      <c r="G9" s="3">
        <f>WATER!C12+WATER!H12</f>
        <v>25</v>
      </c>
      <c r="H9" s="3">
        <f>WATER!L12</f>
        <v>0</v>
      </c>
      <c r="I9" s="15">
        <f>WATER!BC12+WATER!BD12+WATER!BE13-Sheet1!G9</f>
        <v>23.299999999999983</v>
      </c>
      <c r="J9" s="9">
        <f>'B5'!A11</f>
        <v>44719</v>
      </c>
    </row>
    <row r="10" spans="1:10">
      <c r="A10" s="3">
        <f>ELEC!T12+ELEC!X12+ELEC!AB12</f>
        <v>0</v>
      </c>
      <c r="B10" s="3">
        <f>ELEC!AF12</f>
        <v>0</v>
      </c>
      <c r="C10" s="3">
        <f>ELEC!N12</f>
        <v>2912</v>
      </c>
      <c r="D10" s="3">
        <f t="shared" si="0"/>
        <v>76.000000000669388</v>
      </c>
      <c r="E10" s="3">
        <f>ELEC!Q12</f>
        <v>2835.9999999993306</v>
      </c>
      <c r="F10" s="3">
        <f>GEN!Z10</f>
        <v>9</v>
      </c>
      <c r="G10" s="3">
        <f>WATER!C13+WATER!H13</f>
        <v>0</v>
      </c>
      <c r="H10" s="3">
        <f>WATER!L13</f>
        <v>0</v>
      </c>
      <c r="I10" s="15">
        <f>WATER!BC13+WATER!BD13+WATER!BE14-Sheet1!G10</f>
        <v>-14.900000000000034</v>
      </c>
      <c r="J10" s="9">
        <f>'B5'!A12</f>
        <v>44720</v>
      </c>
    </row>
    <row r="11" spans="1:10">
      <c r="A11" s="3">
        <f>ELEC!T13+ELEC!X13+ELEC!AB13</f>
        <v>0</v>
      </c>
      <c r="B11" s="3">
        <f>ELEC!AF13</f>
        <v>0</v>
      </c>
      <c r="C11" s="3">
        <f>ELEC!N13</f>
        <v>0</v>
      </c>
      <c r="D11" s="3">
        <f t="shared" si="0"/>
        <v>0</v>
      </c>
      <c r="E11" s="3">
        <f>ELEC!Q13</f>
        <v>0</v>
      </c>
      <c r="F11" s="3">
        <f>GEN!Z11</f>
        <v>7</v>
      </c>
      <c r="G11" s="3">
        <f>WATER!C14+WATER!H14</f>
        <v>0</v>
      </c>
      <c r="H11" s="3">
        <f>WATER!L14</f>
        <v>0</v>
      </c>
      <c r="I11" s="15">
        <f>WATER!BC14+WATER!BD14+WATER!BE15-Sheet1!G11</f>
        <v>-8.0000000000000142</v>
      </c>
      <c r="J11" s="9">
        <f>'B5'!A13</f>
        <v>44721</v>
      </c>
    </row>
    <row r="12" spans="1:10">
      <c r="A12" s="3">
        <f>ELEC!T14+ELEC!X14+ELEC!AB14</f>
        <v>0</v>
      </c>
      <c r="B12" s="3">
        <f>ELEC!AF14</f>
        <v>0</v>
      </c>
      <c r="C12" s="3">
        <f>ELEC!N14</f>
        <v>0</v>
      </c>
      <c r="D12" s="3">
        <f t="shared" si="0"/>
        <v>0</v>
      </c>
      <c r="E12" s="3">
        <f>ELEC!Q14</f>
        <v>0</v>
      </c>
      <c r="F12" s="3">
        <f>GEN!Z12</f>
        <v>0</v>
      </c>
      <c r="G12" s="3">
        <f>WATER!C15+WATER!H15</f>
        <v>0</v>
      </c>
      <c r="H12" s="3">
        <f>WATER!L15</f>
        <v>0</v>
      </c>
      <c r="I12" s="15">
        <f>WATER!BC15+WATER!BD15+WATER!BE16-Sheet1!G12</f>
        <v>0</v>
      </c>
      <c r="J12" s="9">
        <f>'B5'!A14</f>
        <v>44722</v>
      </c>
    </row>
    <row r="13" spans="1:10">
      <c r="A13" s="3">
        <f>ELEC!T15+ELEC!X15+ELEC!AB15</f>
        <v>0</v>
      </c>
      <c r="B13" s="3">
        <f>ELEC!AF15</f>
        <v>0</v>
      </c>
      <c r="C13" s="3">
        <f>ELEC!N15</f>
        <v>2686</v>
      </c>
      <c r="D13" s="3">
        <f t="shared" si="0"/>
        <v>175.00000000139698</v>
      </c>
      <c r="E13" s="3">
        <f>ELEC!Q15</f>
        <v>2510.999999998603</v>
      </c>
      <c r="F13" s="3">
        <f>GEN!Z13</f>
        <v>0</v>
      </c>
      <c r="G13" s="3">
        <f>WATER!C16+WATER!H16</f>
        <v>0</v>
      </c>
      <c r="H13" s="3">
        <f>WATER!L16</f>
        <v>0</v>
      </c>
      <c r="I13" s="15">
        <f>WATER!BC16+WATER!BD16+WATER!BE17-Sheet1!G13</f>
        <v>0</v>
      </c>
      <c r="J13" s="9">
        <f>'B5'!A15</f>
        <v>44723</v>
      </c>
    </row>
    <row r="14" spans="1:10">
      <c r="A14" s="3">
        <f>ELEC!T16+ELEC!X16+ELEC!AB16</f>
        <v>0</v>
      </c>
      <c r="B14" s="3">
        <f>ELEC!AF16</f>
        <v>0</v>
      </c>
      <c r="C14" s="3">
        <f>ELEC!N16</f>
        <v>2997</v>
      </c>
      <c r="D14" s="3">
        <f t="shared" si="0"/>
        <v>177.00000000029104</v>
      </c>
      <c r="E14" s="3">
        <f>ELEC!Q16</f>
        <v>2819.999999999709</v>
      </c>
      <c r="F14" s="3">
        <f>GEN!Z14</f>
        <v>10</v>
      </c>
      <c r="G14" s="3">
        <f>WATER!C17+WATER!H17</f>
        <v>0</v>
      </c>
      <c r="H14" s="3">
        <f>WATER!L17</f>
        <v>0</v>
      </c>
      <c r="I14" s="15">
        <f>WATER!BC17+WATER!BD17+WATER!BE18-Sheet1!G14</f>
        <v>-18.499999999999972</v>
      </c>
      <c r="J14" s="9">
        <f>'B5'!A16</f>
        <v>44724</v>
      </c>
    </row>
    <row r="15" spans="1:10">
      <c r="A15" s="3">
        <f>ELEC!T17+ELEC!X17+ELEC!AB17</f>
        <v>0</v>
      </c>
      <c r="B15" s="3">
        <f>ELEC!AF17</f>
        <v>0</v>
      </c>
      <c r="C15" s="3">
        <f>ELEC!N17</f>
        <v>3188</v>
      </c>
      <c r="D15" s="3">
        <f t="shared" si="0"/>
        <v>123.99999999787542</v>
      </c>
      <c r="E15" s="3">
        <f>ELEC!Q17</f>
        <v>3064.0000000021246</v>
      </c>
      <c r="F15" s="3">
        <f>GEN!Z15</f>
        <v>10</v>
      </c>
      <c r="G15" s="3">
        <f>WATER!C18+WATER!H18</f>
        <v>0</v>
      </c>
      <c r="H15" s="3">
        <f>WATER!L18</f>
        <v>0</v>
      </c>
      <c r="I15" s="15">
        <f>WATER!BC18+WATER!BD18+WATER!BE19-Sheet1!G15</f>
        <v>4.5000000000000426</v>
      </c>
      <c r="J15" s="9">
        <f>'B5'!A17</f>
        <v>44725</v>
      </c>
    </row>
    <row r="16" spans="1:10">
      <c r="A16" s="3">
        <f>ELEC!T18+ELEC!X18+ELEC!AB18</f>
        <v>0</v>
      </c>
      <c r="B16" s="3">
        <f>ELEC!AF18</f>
        <v>0</v>
      </c>
      <c r="C16" s="3">
        <f>ELEC!N18</f>
        <v>3113</v>
      </c>
      <c r="D16" s="3">
        <f t="shared" si="0"/>
        <v>144.9999999992433</v>
      </c>
      <c r="E16" s="3">
        <f>ELEC!Q18</f>
        <v>2968.0000000007567</v>
      </c>
      <c r="F16" s="3">
        <f>GEN!Z16</f>
        <v>10</v>
      </c>
      <c r="G16" s="3">
        <f>WATER!C19+WATER!H19</f>
        <v>147</v>
      </c>
      <c r="H16" s="3">
        <f>WATER!L19</f>
        <v>0</v>
      </c>
      <c r="I16" s="15">
        <f>WATER!BC19+WATER!BD19+WATER!BE20-Sheet1!G16</f>
        <v>-157.89999999999998</v>
      </c>
      <c r="J16" s="9">
        <f>'B5'!A18</f>
        <v>44726</v>
      </c>
    </row>
    <row r="17" spans="1:10">
      <c r="A17" s="3">
        <f>ELEC!T19+ELEC!X19+ELEC!AB19</f>
        <v>0</v>
      </c>
      <c r="B17" s="3">
        <f>ELEC!AF19</f>
        <v>0</v>
      </c>
      <c r="C17" s="3">
        <f>ELEC!N19</f>
        <v>0</v>
      </c>
      <c r="D17" s="3">
        <f t="shared" si="0"/>
        <v>0</v>
      </c>
      <c r="E17" s="3">
        <f>ELEC!Q19</f>
        <v>0</v>
      </c>
      <c r="F17" s="3">
        <f>GEN!Z17</f>
        <v>10</v>
      </c>
      <c r="G17" s="3">
        <f>WATER!C20+WATER!H20</f>
        <v>0</v>
      </c>
      <c r="H17" s="3">
        <f>WATER!L20</f>
        <v>0</v>
      </c>
      <c r="I17" s="15">
        <f>WATER!BC20+WATER!BD20+WATER!BE21-Sheet1!G17</f>
        <v>-6.9000000000000199</v>
      </c>
      <c r="J17" s="9">
        <f>'B5'!A19</f>
        <v>44727</v>
      </c>
    </row>
    <row r="18" spans="1:10">
      <c r="A18" s="3">
        <f>ELEC!T20+ELEC!X20+ELEC!AB20</f>
        <v>0</v>
      </c>
      <c r="B18" s="3">
        <f>ELEC!AF20</f>
        <v>0</v>
      </c>
      <c r="C18" s="3">
        <f>ELEC!N20</f>
        <v>0</v>
      </c>
      <c r="D18" s="3">
        <f t="shared" si="0"/>
        <v>0</v>
      </c>
      <c r="E18" s="3">
        <f>ELEC!Q20</f>
        <v>0</v>
      </c>
      <c r="F18" s="3">
        <f>GEN!Z18</f>
        <v>0</v>
      </c>
      <c r="G18" s="3">
        <f>WATER!C21+WATER!H21</f>
        <v>0</v>
      </c>
      <c r="H18" s="3">
        <f>WATER!L21</f>
        <v>0</v>
      </c>
      <c r="I18" s="15">
        <f>WATER!BC21+WATER!BD21+WATER!BE22-Sheet1!G18</f>
        <v>0</v>
      </c>
      <c r="J18" s="9">
        <f>'B5'!A20</f>
        <v>44728</v>
      </c>
    </row>
    <row r="19" spans="1:10">
      <c r="A19" s="3">
        <f>ELEC!T21+ELEC!X21+ELEC!AB21</f>
        <v>0</v>
      </c>
      <c r="B19" s="3">
        <f>ELEC!AF21</f>
        <v>0</v>
      </c>
      <c r="C19" s="3">
        <f>ELEC!N21</f>
        <v>0</v>
      </c>
      <c r="D19" s="3">
        <f t="shared" si="0"/>
        <v>0</v>
      </c>
      <c r="E19" s="3">
        <f>ELEC!Q21</f>
        <v>0</v>
      </c>
      <c r="F19" s="3">
        <f>GEN!Z19</f>
        <v>0</v>
      </c>
      <c r="G19" s="3">
        <f>WATER!C22+WATER!H22</f>
        <v>0</v>
      </c>
      <c r="H19" s="3">
        <f>WATER!L22</f>
        <v>0</v>
      </c>
      <c r="I19" s="15">
        <f>WATER!BC22+WATER!BD22+WATER!BE23-Sheet1!G19</f>
        <v>0</v>
      </c>
      <c r="J19" s="9">
        <f>'B5'!A21</f>
        <v>44729</v>
      </c>
    </row>
    <row r="20" spans="1:10">
      <c r="A20" s="3">
        <f>ELEC!T22+ELEC!X22+ELEC!AB22</f>
        <v>0</v>
      </c>
      <c r="B20" s="3">
        <f>ELEC!AF22</f>
        <v>0</v>
      </c>
      <c r="C20" s="3">
        <f>ELEC!N22</f>
        <v>0</v>
      </c>
      <c r="D20" s="3">
        <f t="shared" si="0"/>
        <v>0</v>
      </c>
      <c r="E20" s="3">
        <f>ELEC!Q22</f>
        <v>0</v>
      </c>
      <c r="F20" s="3">
        <f>GEN!Z20</f>
        <v>0</v>
      </c>
      <c r="G20" s="3">
        <f>WATER!C23+WATER!H23</f>
        <v>0</v>
      </c>
      <c r="H20" s="3">
        <f>WATER!L23</f>
        <v>0</v>
      </c>
      <c r="I20" s="15">
        <f>WATER!BC23+WATER!BD23+WATER!BE24-Sheet1!G20</f>
        <v>0</v>
      </c>
      <c r="J20" s="9">
        <f>'B5'!A22</f>
        <v>44730</v>
      </c>
    </row>
    <row r="21" spans="1:10">
      <c r="A21" s="3">
        <f>ELEC!T23+ELEC!X23+ELEC!AB23</f>
        <v>0</v>
      </c>
      <c r="B21" s="3">
        <f>ELEC!AF23</f>
        <v>0</v>
      </c>
      <c r="C21" s="3">
        <f>ELEC!N23</f>
        <v>0</v>
      </c>
      <c r="D21" s="3">
        <f t="shared" si="0"/>
        <v>0</v>
      </c>
      <c r="E21" s="3">
        <f>ELEC!Q23</f>
        <v>0</v>
      </c>
      <c r="F21" s="3">
        <f>GEN!Z21</f>
        <v>0</v>
      </c>
      <c r="G21" s="3">
        <f>WATER!C24+WATER!H24</f>
        <v>0</v>
      </c>
      <c r="H21" s="3">
        <f>WATER!L24</f>
        <v>0</v>
      </c>
      <c r="I21" s="15">
        <f>WATER!BC24+WATER!BD24+WATER!BE25-Sheet1!G21</f>
        <v>0</v>
      </c>
      <c r="J21" s="9">
        <f>'B5'!A23</f>
        <v>44731</v>
      </c>
    </row>
    <row r="22" spans="1:10">
      <c r="A22" s="3">
        <f>ELEC!T24+ELEC!X24+ELEC!AB24</f>
        <v>0</v>
      </c>
      <c r="B22" s="3">
        <f>ELEC!AF24</f>
        <v>0</v>
      </c>
      <c r="C22" s="3">
        <f>ELEC!N24</f>
        <v>0</v>
      </c>
      <c r="D22" s="3">
        <f t="shared" si="0"/>
        <v>0</v>
      </c>
      <c r="E22" s="3">
        <f>ELEC!Q24</f>
        <v>0</v>
      </c>
      <c r="F22" s="3">
        <f>GEN!Z22</f>
        <v>0</v>
      </c>
      <c r="G22" s="3">
        <f>WATER!C25+WATER!H25</f>
        <v>0</v>
      </c>
      <c r="H22" s="3">
        <f>WATER!L25</f>
        <v>0</v>
      </c>
      <c r="I22" s="15">
        <f>WATER!BC25+WATER!BD25+WATER!BE26-Sheet1!G22</f>
        <v>0</v>
      </c>
      <c r="J22" s="9">
        <f>'B5'!A24</f>
        <v>44732</v>
      </c>
    </row>
    <row r="23" spans="1:10">
      <c r="A23" s="3">
        <f>ELEC!T25+ELEC!X25+ELEC!AB25</f>
        <v>0</v>
      </c>
      <c r="B23" s="3">
        <f>ELEC!AF25</f>
        <v>0</v>
      </c>
      <c r="C23" s="3">
        <f>ELEC!N25</f>
        <v>0</v>
      </c>
      <c r="D23" s="3">
        <f t="shared" si="0"/>
        <v>0</v>
      </c>
      <c r="E23" s="3">
        <f>ELEC!Q25</f>
        <v>0</v>
      </c>
      <c r="F23" s="3">
        <f>GEN!Z23</f>
        <v>0</v>
      </c>
      <c r="G23" s="3">
        <f>WATER!C26+WATER!H26</f>
        <v>0</v>
      </c>
      <c r="H23" s="3">
        <f>WATER!L26</f>
        <v>0</v>
      </c>
      <c r="I23" s="15">
        <f>WATER!BC26+WATER!BD26+WATER!BE27-Sheet1!G23</f>
        <v>0</v>
      </c>
      <c r="J23" s="9">
        <f>'B5'!A25</f>
        <v>44733</v>
      </c>
    </row>
    <row r="24" spans="1:10">
      <c r="A24" s="3">
        <f>ELEC!T26+ELEC!X26+ELEC!AB26</f>
        <v>0</v>
      </c>
      <c r="B24" s="3">
        <f>ELEC!AF26</f>
        <v>0</v>
      </c>
      <c r="C24" s="3">
        <f>ELEC!N26</f>
        <v>0</v>
      </c>
      <c r="D24" s="3">
        <f t="shared" si="0"/>
        <v>0</v>
      </c>
      <c r="E24" s="3">
        <f>ELEC!Q26</f>
        <v>0</v>
      </c>
      <c r="F24" s="3">
        <f>GEN!Z24</f>
        <v>0</v>
      </c>
      <c r="G24" s="3">
        <f>WATER!C27+WATER!H27</f>
        <v>0</v>
      </c>
      <c r="H24" s="3">
        <f>WATER!L27</f>
        <v>0</v>
      </c>
      <c r="I24" s="15">
        <f>WATER!BC27+WATER!BD27+WATER!BE28-Sheet1!G24</f>
        <v>0</v>
      </c>
      <c r="J24" s="9">
        <f>'B5'!A26</f>
        <v>44734</v>
      </c>
    </row>
    <row r="25" spans="1:10">
      <c r="A25" s="3">
        <f>ELEC!T27+ELEC!X27+ELEC!AB27</f>
        <v>0</v>
      </c>
      <c r="B25" s="3">
        <f>ELEC!AF27</f>
        <v>0</v>
      </c>
      <c r="C25" s="3">
        <f>ELEC!N27</f>
        <v>0</v>
      </c>
      <c r="D25" s="3">
        <f t="shared" si="0"/>
        <v>0</v>
      </c>
      <c r="E25" s="3">
        <f>ELEC!Q27</f>
        <v>0</v>
      </c>
      <c r="F25" s="3">
        <f>GEN!Z25</f>
        <v>0</v>
      </c>
      <c r="G25" s="3">
        <f>WATER!C28+WATER!H28</f>
        <v>0</v>
      </c>
      <c r="H25" s="3">
        <f>WATER!L28</f>
        <v>0</v>
      </c>
      <c r="I25" s="15">
        <f>WATER!BC28+WATER!BD28+WATER!BE29-Sheet1!G25</f>
        <v>0</v>
      </c>
      <c r="J25" s="9">
        <f>'B5'!A27</f>
        <v>44735</v>
      </c>
    </row>
    <row r="26" spans="1:10">
      <c r="A26" s="3">
        <f>ELEC!T28+ELEC!X28+ELEC!AB28</f>
        <v>0</v>
      </c>
      <c r="B26" s="3">
        <f>ELEC!AF28</f>
        <v>0</v>
      </c>
      <c r="C26" s="3">
        <f>ELEC!N28</f>
        <v>0</v>
      </c>
      <c r="D26" s="3">
        <f t="shared" si="0"/>
        <v>0</v>
      </c>
      <c r="E26" s="3">
        <f>ELEC!Q28</f>
        <v>0</v>
      </c>
      <c r="F26" s="3">
        <f>GEN!Z26</f>
        <v>0</v>
      </c>
      <c r="G26" s="3">
        <f>WATER!C29+WATER!H29</f>
        <v>0</v>
      </c>
      <c r="H26" s="3">
        <f>WATER!L29</f>
        <v>0</v>
      </c>
      <c r="I26" s="15">
        <f>WATER!BC29+WATER!BD29+WATER!BE30-Sheet1!G26</f>
        <v>0</v>
      </c>
      <c r="J26" s="9">
        <f>'B5'!A28</f>
        <v>44736</v>
      </c>
    </row>
    <row r="27" spans="1:10">
      <c r="A27" s="3">
        <f>ELEC!T29+ELEC!X29+ELEC!AB29</f>
        <v>0</v>
      </c>
      <c r="B27" s="3">
        <f>ELEC!AF29</f>
        <v>0</v>
      </c>
      <c r="C27" s="3">
        <f>ELEC!N29</f>
        <v>0</v>
      </c>
      <c r="D27" s="3">
        <f t="shared" si="0"/>
        <v>0</v>
      </c>
      <c r="E27" s="3">
        <f>ELEC!Q29</f>
        <v>0</v>
      </c>
      <c r="F27" s="3">
        <f>GEN!Z27</f>
        <v>0</v>
      </c>
      <c r="G27" s="3">
        <f>WATER!C30+WATER!H30</f>
        <v>0</v>
      </c>
      <c r="H27" s="3">
        <f>WATER!L30</f>
        <v>0</v>
      </c>
      <c r="I27" s="15">
        <f>WATER!BC30+WATER!BD30+WATER!BE31-Sheet1!G27</f>
        <v>0</v>
      </c>
      <c r="J27" s="9">
        <f>'B5'!A29</f>
        <v>44737</v>
      </c>
    </row>
    <row r="28" spans="1:10">
      <c r="A28" s="3">
        <f>ELEC!T30+ELEC!X30+ELEC!AB30</f>
        <v>0</v>
      </c>
      <c r="B28" s="3">
        <f>ELEC!AF30</f>
        <v>0</v>
      </c>
      <c r="C28" s="3">
        <f>ELEC!N30</f>
        <v>0</v>
      </c>
      <c r="D28" s="3">
        <f t="shared" si="0"/>
        <v>0</v>
      </c>
      <c r="E28" s="3">
        <f>ELEC!Q30</f>
        <v>0</v>
      </c>
      <c r="F28" s="3">
        <f>GEN!Z28</f>
        <v>0</v>
      </c>
      <c r="G28" s="3">
        <f>WATER!C31+WATER!H31</f>
        <v>0</v>
      </c>
      <c r="H28" s="3">
        <f>WATER!L31</f>
        <v>0</v>
      </c>
      <c r="I28" s="15">
        <f>WATER!BC31+WATER!BD31+WATER!BE32-Sheet1!G28</f>
        <v>0</v>
      </c>
      <c r="J28" s="9">
        <f>'B5'!A30</f>
        <v>44738</v>
      </c>
    </row>
    <row r="29" spans="1:10">
      <c r="A29" s="3">
        <f>ELEC!T31+ELEC!X31+ELEC!AB31</f>
        <v>0</v>
      </c>
      <c r="B29" s="3">
        <f>ELEC!AF31</f>
        <v>0</v>
      </c>
      <c r="C29" s="3">
        <f>ELEC!N31</f>
        <v>0</v>
      </c>
      <c r="D29" s="3">
        <f t="shared" si="0"/>
        <v>0</v>
      </c>
      <c r="E29" s="3">
        <f>ELEC!Q31</f>
        <v>0</v>
      </c>
      <c r="F29" s="3">
        <f>GEN!Z29</f>
        <v>0</v>
      </c>
      <c r="G29" s="3">
        <f>WATER!C32+WATER!H32</f>
        <v>0</v>
      </c>
      <c r="H29" s="3">
        <f>WATER!L32</f>
        <v>0</v>
      </c>
      <c r="I29" s="15">
        <f>WATER!BC32+WATER!BD32+WATER!BE33-Sheet1!G29</f>
        <v>0</v>
      </c>
      <c r="J29" s="9">
        <f>'B5'!A31</f>
        <v>44739</v>
      </c>
    </row>
    <row r="30" spans="1:10">
      <c r="A30" s="3" t="e">
        <f>ELEC!#REF!+ELEC!#REF!+ELEC!#REF!</f>
        <v>#REF!</v>
      </c>
      <c r="B30" s="3" t="e">
        <f>ELEC!#REF!</f>
        <v>#REF!</v>
      </c>
      <c r="C30" s="3" t="e">
        <f>ELEC!#REF!</f>
        <v>#REF!</v>
      </c>
      <c r="D30" s="3" t="e">
        <f t="shared" si="0"/>
        <v>#REF!</v>
      </c>
      <c r="E30" s="3" t="e">
        <f>ELEC!#REF!</f>
        <v>#REF!</v>
      </c>
      <c r="F30" s="3">
        <f>GEN!Z30</f>
        <v>0</v>
      </c>
      <c r="G30" s="3">
        <f>WATER!C33+WATER!H33</f>
        <v>0</v>
      </c>
      <c r="H30" s="3">
        <f>WATER!L33</f>
        <v>0</v>
      </c>
      <c r="I30" s="15" t="e">
        <f>WATER!BC33+WATER!BD33+WATER!#REF!-Sheet1!G30</f>
        <v>#REF!</v>
      </c>
      <c r="J30" s="9">
        <f>'B5'!A32</f>
        <v>44740</v>
      </c>
    </row>
    <row r="31" spans="1:10">
      <c r="A31" s="3" t="e">
        <f>ELEC!#REF!+ELEC!#REF!+ELEC!#REF!</f>
        <v>#REF!</v>
      </c>
      <c r="B31" s="3" t="e">
        <f>ELEC!#REF!</f>
        <v>#REF!</v>
      </c>
      <c r="C31" s="3" t="e">
        <f>ELEC!#REF!</f>
        <v>#REF!</v>
      </c>
      <c r="D31" s="3" t="e">
        <f>C31-E31</f>
        <v>#REF!</v>
      </c>
      <c r="E31" s="3" t="e">
        <f>ELEC!#REF!</f>
        <v>#REF!</v>
      </c>
      <c r="F31" s="3" t="e">
        <f>GEN!#REF!</f>
        <v>#REF!</v>
      </c>
      <c r="G31" s="3" t="e">
        <f>WATER!#REF!+WATER!#REF!</f>
        <v>#REF!</v>
      </c>
      <c r="H31" s="3" t="e">
        <f>WATER!#REF!</f>
        <v>#REF!</v>
      </c>
      <c r="I31" s="15" t="e">
        <f>WATER!#REF!+WATER!#REF!+WATER!#REF!-Sheet1!G31</f>
        <v>#REF!</v>
      </c>
      <c r="J31" s="9" t="e">
        <f>'B5'!#REF!</f>
        <v>#REF!</v>
      </c>
    </row>
    <row r="32" spans="1:10">
      <c r="A32" s="3" t="e">
        <f>ELEC!#REF!+ELEC!#REF!+ELEC!#REF!</f>
        <v>#REF!</v>
      </c>
      <c r="B32" s="3" t="e">
        <f>ELEC!#REF!</f>
        <v>#REF!</v>
      </c>
      <c r="C32" s="3" t="e">
        <f>ELEC!#REF!</f>
        <v>#REF!</v>
      </c>
      <c r="D32" s="3" t="e">
        <f>C32-E32</f>
        <v>#REF!</v>
      </c>
      <c r="E32" s="3" t="e">
        <f>ELEC!#REF!</f>
        <v>#REF!</v>
      </c>
      <c r="F32" s="3" t="e">
        <f>GEN!#REF!</f>
        <v>#REF!</v>
      </c>
      <c r="G32" s="3" t="e">
        <f>WATER!#REF!+WATER!#REF!</f>
        <v>#REF!</v>
      </c>
      <c r="H32" s="3" t="e">
        <f>WATER!#REF!</f>
        <v>#REF!</v>
      </c>
      <c r="I32" s="15" t="e">
        <f>WATER!#REF!+WATER!#REF!+WATER!BE37-Sheet1!G32</f>
        <v>#REF!</v>
      </c>
      <c r="J32" s="9"/>
    </row>
  </sheetData>
  <pageMargins left="0.7" right="0.7" top="0.75" bottom="0.75" header="0.3" footer="0.3"/>
  <pageSetup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>
  <dimension ref="A1:N34"/>
  <sheetViews>
    <sheetView zoomScale="115" zoomScaleNormal="115" workbookViewId="0">
      <selection activeCell="B4" sqref="B4"/>
    </sheetView>
  </sheetViews>
  <sheetFormatPr defaultRowHeight="15"/>
  <cols>
    <col min="1" max="1" width="10.7109375" style="41" bestFit="1" customWidth="1"/>
    <col min="2" max="2" width="11.28515625" bestFit="1" customWidth="1"/>
    <col min="3" max="3" width="12.28515625" customWidth="1"/>
    <col min="4" max="4" width="11.5703125" customWidth="1"/>
    <col min="5" max="5" width="12.42578125" bestFit="1" customWidth="1"/>
    <col min="6" max="6" width="8.7109375" customWidth="1"/>
    <col min="7" max="7" width="15.28515625" style="74" customWidth="1"/>
    <col min="8" max="8" width="11.28515625" bestFit="1" customWidth="1"/>
    <col min="9" max="9" width="12.28515625" customWidth="1"/>
    <col min="10" max="10" width="8.5703125" bestFit="1" customWidth="1"/>
    <col min="13" max="13" width="9.28515625" customWidth="1"/>
  </cols>
  <sheetData>
    <row r="1" spans="1:14">
      <c r="A1" s="669"/>
      <c r="B1" s="667" t="s">
        <v>119</v>
      </c>
      <c r="C1" s="667" t="s">
        <v>118</v>
      </c>
      <c r="D1" s="671" t="s">
        <v>113</v>
      </c>
      <c r="E1" s="671" t="s">
        <v>114</v>
      </c>
      <c r="F1" s="672" t="s">
        <v>120</v>
      </c>
      <c r="G1" s="673" t="s">
        <v>75</v>
      </c>
      <c r="H1" s="664" t="s">
        <v>115</v>
      </c>
      <c r="I1" s="665" t="s">
        <v>116</v>
      </c>
      <c r="J1" s="664" t="s">
        <v>117</v>
      </c>
      <c r="K1" s="663" t="s">
        <v>121</v>
      </c>
      <c r="L1" s="663" t="s">
        <v>122</v>
      </c>
      <c r="M1" s="663" t="s">
        <v>123</v>
      </c>
      <c r="N1" s="663" t="s">
        <v>124</v>
      </c>
    </row>
    <row r="2" spans="1:14">
      <c r="A2" s="670"/>
      <c r="B2" s="668"/>
      <c r="C2" s="668"/>
      <c r="D2" s="671"/>
      <c r="E2" s="671"/>
      <c r="F2" s="672"/>
      <c r="G2" s="673"/>
      <c r="H2" s="664"/>
      <c r="I2" s="666"/>
      <c r="J2" s="664"/>
      <c r="K2" s="663"/>
      <c r="L2" s="663"/>
      <c r="M2" s="663"/>
      <c r="N2" s="663"/>
    </row>
    <row r="3" spans="1:14">
      <c r="A3" s="43"/>
      <c r="B3" s="76">
        <f>'B5'!V3</f>
        <v>0</v>
      </c>
      <c r="C3" s="76">
        <f>'B5'!AH3</f>
        <v>0</v>
      </c>
      <c r="D3" s="76"/>
      <c r="E3" s="77">
        <f>B3+C3+D3</f>
        <v>0</v>
      </c>
      <c r="F3" s="75"/>
      <c r="G3" s="78"/>
      <c r="H3" s="79"/>
      <c r="I3" s="79"/>
      <c r="J3" s="79"/>
      <c r="K3" s="3"/>
      <c r="L3" s="3"/>
      <c r="M3" s="3"/>
      <c r="N3" s="3"/>
    </row>
    <row r="4" spans="1:14">
      <c r="A4" s="63">
        <v>42704</v>
      </c>
      <c r="B4" s="252">
        <v>810</v>
      </c>
      <c r="C4" s="252">
        <v>-606.10000000000582</v>
      </c>
      <c r="D4" s="252">
        <v>1420.5021097047013</v>
      </c>
      <c r="E4" s="252">
        <v>1624.4021097046955</v>
      </c>
      <c r="F4" s="252">
        <v>106</v>
      </c>
      <c r="G4" s="252">
        <v>-58.399999999999977</v>
      </c>
      <c r="H4" s="252">
        <v>6284</v>
      </c>
      <c r="I4" s="252">
        <v>2398.9999999994325</v>
      </c>
      <c r="J4" s="252">
        <v>23932.000000000568</v>
      </c>
      <c r="K4" s="252">
        <v>0</v>
      </c>
      <c r="L4" s="252">
        <v>0</v>
      </c>
      <c r="M4" s="252">
        <v>0</v>
      </c>
      <c r="N4" s="252">
        <v>0</v>
      </c>
    </row>
    <row r="5" spans="1:14">
      <c r="A5" s="63">
        <f>'B5'!A5</f>
        <v>44713</v>
      </c>
      <c r="B5" s="76">
        <f>'B5'!V5</f>
        <v>136</v>
      </c>
      <c r="C5" s="76">
        <f>'B5'!AH5</f>
        <v>91</v>
      </c>
      <c r="D5" s="76">
        <f>GEN!AI3</f>
        <v>742.03797468396385</v>
      </c>
      <c r="E5" s="239">
        <f t="shared" ref="E5:E33" si="0">B5+C5+D5</f>
        <v>969.03797468396385</v>
      </c>
      <c r="F5" s="75">
        <f>WATER!L5</f>
        <v>0</v>
      </c>
      <c r="G5" s="78">
        <f>WATER!BG5</f>
        <v>0.29999999999996874</v>
      </c>
      <c r="H5" s="79">
        <f>ELEC!AF4</f>
        <v>0</v>
      </c>
      <c r="I5" s="79">
        <f>ELEC!Q4</f>
        <v>2883.0000000016298</v>
      </c>
      <c r="J5" s="79">
        <f>ELEC!R4</f>
        <v>149.99999999837019</v>
      </c>
      <c r="K5" s="80"/>
      <c r="L5" s="3"/>
      <c r="M5" s="3"/>
      <c r="N5" s="3"/>
    </row>
    <row r="6" spans="1:14">
      <c r="A6" s="63">
        <f>'B5'!A6</f>
        <v>44714</v>
      </c>
      <c r="B6" s="76">
        <f>'B5'!V6</f>
        <v>31</v>
      </c>
      <c r="C6" s="76">
        <f>'B5'!AH6</f>
        <v>0</v>
      </c>
      <c r="D6" s="76">
        <f>GEN!AI4</f>
        <v>688.75949367075134</v>
      </c>
      <c r="E6" s="239">
        <f t="shared" si="0"/>
        <v>719.75949367075134</v>
      </c>
      <c r="F6" s="75">
        <f>WATER!L6</f>
        <v>0</v>
      </c>
      <c r="G6" s="78">
        <f>WATER!BG6</f>
        <v>-10.599999999999966</v>
      </c>
      <c r="H6" s="79">
        <f>ELEC!AF5</f>
        <v>0</v>
      </c>
      <c r="I6" s="79">
        <f>ELEC!Q5</f>
        <v>2675.9999999994761</v>
      </c>
      <c r="J6" s="79">
        <f>ELEC!R5</f>
        <v>345.00000000052387</v>
      </c>
      <c r="K6" s="3"/>
      <c r="L6" s="3"/>
      <c r="M6" s="3"/>
      <c r="N6" s="3"/>
    </row>
    <row r="7" spans="1:14">
      <c r="A7" s="63">
        <f>'B5'!A7</f>
        <v>44715</v>
      </c>
      <c r="B7" s="76">
        <f>'B5'!V7</f>
        <v>0</v>
      </c>
      <c r="C7" s="76">
        <f>'B5'!AH7</f>
        <v>0</v>
      </c>
      <c r="D7" s="76">
        <f>GEN!AI5</f>
        <v>0</v>
      </c>
      <c r="E7" s="239">
        <f t="shared" si="0"/>
        <v>0</v>
      </c>
      <c r="F7" s="75">
        <f>WATER!L7</f>
        <v>0</v>
      </c>
      <c r="G7" s="78">
        <f>WATER!BG7</f>
        <v>54.699999999999946</v>
      </c>
      <c r="H7" s="79">
        <f>ELEC!AF6</f>
        <v>0</v>
      </c>
      <c r="I7" s="79">
        <f>ELEC!Q6</f>
        <v>0</v>
      </c>
      <c r="J7" s="79">
        <f>ELEC!R6</f>
        <v>0</v>
      </c>
      <c r="K7" s="3"/>
      <c r="L7" s="3"/>
      <c r="M7" s="3"/>
      <c r="N7" s="3"/>
    </row>
    <row r="8" spans="1:14">
      <c r="A8" s="63">
        <f>'B5'!A8</f>
        <v>44716</v>
      </c>
      <c r="B8" s="76">
        <f>'B5'!V8</f>
        <v>0</v>
      </c>
      <c r="C8" s="76">
        <f>'B5'!AH8</f>
        <v>0</v>
      </c>
      <c r="D8" s="76">
        <f>GEN!AI6</f>
        <v>0</v>
      </c>
      <c r="E8" s="239">
        <f t="shared" si="0"/>
        <v>0</v>
      </c>
      <c r="F8" s="75">
        <f>WATER!L8</f>
        <v>0</v>
      </c>
      <c r="G8" s="78">
        <f>WATER!BG8</f>
        <v>0</v>
      </c>
      <c r="H8" s="79">
        <f>ELEC!AF7</f>
        <v>0</v>
      </c>
      <c r="I8" s="79">
        <f>ELEC!Q7</f>
        <v>0</v>
      </c>
      <c r="J8" s="79">
        <f>ELEC!R7</f>
        <v>0</v>
      </c>
      <c r="K8" s="3"/>
      <c r="L8" s="3"/>
      <c r="M8" s="3"/>
      <c r="N8" s="3"/>
    </row>
    <row r="9" spans="1:14">
      <c r="A9" s="63">
        <f>'B5'!A9</f>
        <v>44717</v>
      </c>
      <c r="B9" s="76">
        <f>'B5'!V9</f>
        <v>157</v>
      </c>
      <c r="C9" s="76">
        <f>'B5'!AH9</f>
        <v>0</v>
      </c>
      <c r="D9" s="76">
        <f>GEN!AI7</f>
        <v>730.71308016876139</v>
      </c>
      <c r="E9" s="239">
        <f t="shared" si="0"/>
        <v>887.71308016876139</v>
      </c>
      <c r="F9" s="75">
        <f>WATER!L9</f>
        <v>0</v>
      </c>
      <c r="G9" s="78">
        <f>WATER!BG9</f>
        <v>0</v>
      </c>
      <c r="H9" s="79">
        <f>ELEC!AF8</f>
        <v>0</v>
      </c>
      <c r="I9" s="79">
        <f>ELEC!Q8</f>
        <v>2838.9999999999418</v>
      </c>
      <c r="J9" s="79">
        <f>ELEC!R8</f>
        <v>195.19999999931315</v>
      </c>
      <c r="K9" s="3"/>
      <c r="L9" s="3"/>
      <c r="M9" s="3"/>
      <c r="N9" s="3"/>
    </row>
    <row r="10" spans="1:14">
      <c r="A10" s="63">
        <f>'B5'!A10</f>
        <v>44718</v>
      </c>
      <c r="B10" s="76">
        <f>'B5'!V10</f>
        <v>112</v>
      </c>
      <c r="C10" s="76">
        <f>'B5'!AH10</f>
        <v>0</v>
      </c>
      <c r="D10" s="76">
        <f>GEN!AI8</f>
        <v>726.33755274264604</v>
      </c>
      <c r="E10" s="239">
        <f t="shared" si="0"/>
        <v>838.33755274264604</v>
      </c>
      <c r="F10" s="75">
        <f>WATER!L10</f>
        <v>0</v>
      </c>
      <c r="G10" s="78">
        <f>WATER!BG10</f>
        <v>-0.89999999999994884</v>
      </c>
      <c r="H10" s="79">
        <f>ELEC!AF9</f>
        <v>0</v>
      </c>
      <c r="I10" s="79">
        <f>ELEC!Q9</f>
        <v>2822.0000000001164</v>
      </c>
      <c r="J10" s="79">
        <f>ELEC!R9</f>
        <v>276.80000000062864</v>
      </c>
      <c r="K10" s="3"/>
      <c r="L10" s="3"/>
      <c r="M10" s="3"/>
      <c r="N10" s="3"/>
    </row>
    <row r="11" spans="1:14">
      <c r="A11" s="63">
        <f>'B5'!A11</f>
        <v>44719</v>
      </c>
      <c r="B11" s="76">
        <f>'B5'!V11</f>
        <v>32</v>
      </c>
      <c r="C11" s="76">
        <f>'B5'!AH11</f>
        <v>91</v>
      </c>
      <c r="D11" s="76">
        <f>GEN!AI9</f>
        <v>694.67932489464965</v>
      </c>
      <c r="E11" s="239">
        <f t="shared" si="0"/>
        <v>817.67932489464965</v>
      </c>
      <c r="F11" s="75">
        <f>WATER!L11</f>
        <v>0</v>
      </c>
      <c r="G11" s="78">
        <f>WATER!BG11</f>
        <v>-12.300000000000011</v>
      </c>
      <c r="H11" s="79">
        <f>ELEC!AF10</f>
        <v>0</v>
      </c>
      <c r="I11" s="79">
        <f>ELEC!Q10</f>
        <v>2699.0000000005239</v>
      </c>
      <c r="J11" s="79">
        <f>ELEC!R10</f>
        <v>165.99999999947613</v>
      </c>
      <c r="K11" s="3"/>
      <c r="L11" s="3"/>
      <c r="M11" s="3"/>
      <c r="N11" s="3"/>
    </row>
    <row r="12" spans="1:14">
      <c r="A12" s="63">
        <f>'B5'!A12</f>
        <v>44720</v>
      </c>
      <c r="B12" s="76">
        <f>'B5'!V12</f>
        <v>146</v>
      </c>
      <c r="C12" s="76">
        <f>'B5'!AH12</f>
        <v>0</v>
      </c>
      <c r="D12" s="76">
        <f>GEN!AI10</f>
        <v>671.51476793258689</v>
      </c>
      <c r="E12" s="239">
        <f t="shared" si="0"/>
        <v>817.51476793258689</v>
      </c>
      <c r="F12" s="75">
        <f>WATER!L12</f>
        <v>0</v>
      </c>
      <c r="G12" s="78">
        <f>WATER!BG12</f>
        <v>17.400000000000006</v>
      </c>
      <c r="H12" s="79">
        <f>ELEC!AF11</f>
        <v>0</v>
      </c>
      <c r="I12" s="79">
        <f>ELEC!Q11</f>
        <v>2609.0000000003783</v>
      </c>
      <c r="J12" s="79">
        <f>ELEC!R11</f>
        <v>187.99999999962165</v>
      </c>
      <c r="K12" s="3"/>
      <c r="L12" s="3"/>
      <c r="M12" s="3"/>
      <c r="N12" s="3"/>
    </row>
    <row r="13" spans="1:14">
      <c r="A13" s="63">
        <f>'B5'!A13</f>
        <v>44721</v>
      </c>
      <c r="B13" s="76">
        <f>'B5'!V13</f>
        <v>44</v>
      </c>
      <c r="C13" s="76">
        <f>'B5'!AH13</f>
        <v>0</v>
      </c>
      <c r="D13" s="76">
        <f>GEN!AI11</f>
        <v>729.94092826986991</v>
      </c>
      <c r="E13" s="239">
        <f t="shared" si="0"/>
        <v>773.94092826986991</v>
      </c>
      <c r="F13" s="75">
        <f>WATER!L13</f>
        <v>0</v>
      </c>
      <c r="G13" s="78">
        <f>WATER!BG13</f>
        <v>27.299999999999983</v>
      </c>
      <c r="H13" s="79">
        <f>ELEC!AF12</f>
        <v>0</v>
      </c>
      <c r="I13" s="79">
        <f>ELEC!Q12</f>
        <v>2835.9999999993306</v>
      </c>
      <c r="J13" s="79">
        <f>ELEC!R12</f>
        <v>76.000000000669388</v>
      </c>
      <c r="K13" s="3"/>
      <c r="L13" s="3"/>
      <c r="M13" s="3"/>
      <c r="N13" s="3"/>
    </row>
    <row r="14" spans="1:14">
      <c r="A14" s="63">
        <f>'B5'!A14</f>
        <v>44722</v>
      </c>
      <c r="B14" s="76">
        <f>'B5'!V14</f>
        <v>0</v>
      </c>
      <c r="C14" s="76">
        <f>'B5'!AH14</f>
        <v>0</v>
      </c>
      <c r="D14" s="76">
        <f>GEN!AI12</f>
        <v>0</v>
      </c>
      <c r="E14" s="239">
        <f t="shared" si="0"/>
        <v>0</v>
      </c>
      <c r="F14" s="75">
        <f>WATER!L14</f>
        <v>0</v>
      </c>
      <c r="G14" s="78">
        <f>WATER!BG14</f>
        <v>-8.0000000000000142</v>
      </c>
      <c r="H14" s="79">
        <f>ELEC!AF13</f>
        <v>0</v>
      </c>
      <c r="I14" s="79">
        <f>ELEC!Q13</f>
        <v>0</v>
      </c>
      <c r="J14" s="79">
        <f>ELEC!R13</f>
        <v>0</v>
      </c>
      <c r="K14" s="3"/>
      <c r="L14" s="3"/>
      <c r="M14" s="3"/>
      <c r="N14" s="3"/>
    </row>
    <row r="15" spans="1:14">
      <c r="A15" s="63">
        <f>'B5'!A15</f>
        <v>44723</v>
      </c>
      <c r="B15" s="76">
        <f>'B5'!V15</f>
        <v>0</v>
      </c>
      <c r="C15" s="76">
        <f>'B5'!AH15</f>
        <v>0</v>
      </c>
      <c r="D15" s="76">
        <f>GEN!AI13</f>
        <v>0</v>
      </c>
      <c r="E15" s="239">
        <f t="shared" si="0"/>
        <v>0</v>
      </c>
      <c r="F15" s="75">
        <f>WATER!L15</f>
        <v>0</v>
      </c>
      <c r="G15" s="78">
        <f>WATER!BG15</f>
        <v>0</v>
      </c>
      <c r="H15" s="79">
        <f>ELEC!AF14</f>
        <v>0</v>
      </c>
      <c r="I15" s="79">
        <f>ELEC!Q14</f>
        <v>0</v>
      </c>
      <c r="J15" s="79">
        <f>ELEC!R14</f>
        <v>0</v>
      </c>
      <c r="K15" s="3"/>
      <c r="L15" s="3"/>
      <c r="M15" s="3"/>
      <c r="N15" s="3"/>
    </row>
    <row r="16" spans="1:14">
      <c r="A16" s="63">
        <f>'B5'!A16</f>
        <v>44724</v>
      </c>
      <c r="B16" s="76">
        <f>'B5'!V16</f>
        <v>116</v>
      </c>
      <c r="C16" s="76">
        <f>'B5'!AH16</f>
        <v>0</v>
      </c>
      <c r="D16" s="76">
        <f>GEN!AI14</f>
        <v>646.29113924014678</v>
      </c>
      <c r="E16" s="239">
        <f t="shared" si="0"/>
        <v>762.29113924014678</v>
      </c>
      <c r="F16" s="75">
        <f>WATER!L16</f>
        <v>0</v>
      </c>
      <c r="G16" s="78">
        <f>WATER!BG16</f>
        <v>0</v>
      </c>
      <c r="H16" s="79">
        <f>ELEC!AF15</f>
        <v>0</v>
      </c>
      <c r="I16" s="79">
        <f>ELEC!Q15</f>
        <v>2510.999999998603</v>
      </c>
      <c r="J16" s="79">
        <f>ELEC!R15</f>
        <v>175.00000000139698</v>
      </c>
      <c r="K16" s="3"/>
      <c r="L16" s="3"/>
      <c r="M16" s="3"/>
      <c r="N16" s="3"/>
    </row>
    <row r="17" spans="1:14">
      <c r="A17" s="63">
        <f>'B5'!A17</f>
        <v>44725</v>
      </c>
      <c r="B17" s="76">
        <f>'B5'!V17</f>
        <v>163</v>
      </c>
      <c r="C17" s="76">
        <f>'B5'!AH17</f>
        <v>61</v>
      </c>
      <c r="D17" s="76">
        <f>GEN!AI15</f>
        <v>725.82278481005176</v>
      </c>
      <c r="E17" s="239">
        <f t="shared" si="0"/>
        <v>949.82278481005176</v>
      </c>
      <c r="F17" s="75">
        <f>WATER!L17</f>
        <v>0</v>
      </c>
      <c r="G17" s="78">
        <f>WATER!BG17</f>
        <v>0</v>
      </c>
      <c r="H17" s="79">
        <f>ELEC!AF16</f>
        <v>0</v>
      </c>
      <c r="I17" s="79">
        <f>ELEC!Q16</f>
        <v>2819.999999999709</v>
      </c>
      <c r="J17" s="79">
        <f>ELEC!R16</f>
        <v>177.00000000029104</v>
      </c>
      <c r="K17" s="3"/>
      <c r="L17" s="3"/>
      <c r="M17" s="3"/>
      <c r="N17" s="3"/>
    </row>
    <row r="18" spans="1:14">
      <c r="A18" s="63">
        <f>'B5'!A18</f>
        <v>44726</v>
      </c>
      <c r="B18" s="76">
        <f>'B5'!V18</f>
        <v>21</v>
      </c>
      <c r="C18" s="76">
        <f>'B5'!AH18</f>
        <v>51</v>
      </c>
      <c r="D18" s="76">
        <f>GEN!AI16</f>
        <v>788.62447257438657</v>
      </c>
      <c r="E18" s="239">
        <f t="shared" si="0"/>
        <v>860.62447257438657</v>
      </c>
      <c r="F18" s="75">
        <f>WATER!L18</f>
        <v>0</v>
      </c>
      <c r="G18" s="78">
        <f>WATER!BG18</f>
        <v>-18.499999999999972</v>
      </c>
      <c r="H18" s="79">
        <f>ELEC!AF17</f>
        <v>0</v>
      </c>
      <c r="I18" s="79">
        <f>ELEC!Q17</f>
        <v>3064.0000000021246</v>
      </c>
      <c r="J18" s="79">
        <f>ELEC!R17</f>
        <v>123.99999999787542</v>
      </c>
      <c r="K18" s="3"/>
      <c r="L18" s="3"/>
      <c r="M18" s="3"/>
      <c r="N18" s="3"/>
    </row>
    <row r="19" spans="1:14">
      <c r="A19" s="63">
        <f>'B5'!A19</f>
        <v>44727</v>
      </c>
      <c r="B19" s="76">
        <f>'B5'!V19</f>
        <v>161</v>
      </c>
      <c r="C19" s="76">
        <f>'B5'!AH19</f>
        <v>72</v>
      </c>
      <c r="D19" s="76">
        <f>GEN!AI17</f>
        <v>763.91561181454085</v>
      </c>
      <c r="E19" s="239">
        <f t="shared" si="0"/>
        <v>996.91561181454085</v>
      </c>
      <c r="F19" s="75">
        <f>WATER!L19</f>
        <v>0</v>
      </c>
      <c r="G19" s="78">
        <f>WATER!BG19</f>
        <v>23.000000000000014</v>
      </c>
      <c r="H19" s="79">
        <f>ELEC!AF18</f>
        <v>0</v>
      </c>
      <c r="I19" s="79">
        <f>ELEC!Q18</f>
        <v>2968.0000000007567</v>
      </c>
      <c r="J19" s="79">
        <f>ELEC!R18</f>
        <v>144.9999999992433</v>
      </c>
      <c r="K19" s="3"/>
      <c r="L19" s="3"/>
      <c r="M19" s="3"/>
      <c r="N19" s="3"/>
    </row>
    <row r="20" spans="1:14">
      <c r="A20" s="63">
        <f>'B5'!A20</f>
        <v>44728</v>
      </c>
      <c r="B20" s="76">
        <f>'B5'!V20</f>
        <v>0</v>
      </c>
      <c r="C20" s="76">
        <f>'B5'!AH20</f>
        <v>0</v>
      </c>
      <c r="D20" s="76">
        <f>GEN!AI18</f>
        <v>0</v>
      </c>
      <c r="E20" s="239">
        <f t="shared" si="0"/>
        <v>0</v>
      </c>
      <c r="F20" s="75">
        <f>WATER!L20</f>
        <v>0</v>
      </c>
      <c r="G20" s="78">
        <f>WATER!BG20</f>
        <v>-6.9000000000000199</v>
      </c>
      <c r="H20" s="79">
        <f>ELEC!AF19</f>
        <v>0</v>
      </c>
      <c r="I20" s="79">
        <f>ELEC!Q19</f>
        <v>0</v>
      </c>
      <c r="J20" s="79">
        <f>ELEC!R19</f>
        <v>0</v>
      </c>
      <c r="K20" s="3"/>
      <c r="L20" s="3"/>
      <c r="M20" s="3"/>
      <c r="N20" s="3"/>
    </row>
    <row r="21" spans="1:14">
      <c r="A21" s="63">
        <f>'B5'!A21</f>
        <v>44729</v>
      </c>
      <c r="B21" s="76">
        <f>'B5'!V21</f>
        <v>0</v>
      </c>
      <c r="C21" s="76">
        <f>'B5'!AH21</f>
        <v>0</v>
      </c>
      <c r="D21" s="76">
        <f>GEN!AI19</f>
        <v>0</v>
      </c>
      <c r="E21" s="239">
        <f t="shared" si="0"/>
        <v>0</v>
      </c>
      <c r="F21" s="75">
        <f>WATER!L21</f>
        <v>0</v>
      </c>
      <c r="G21" s="78">
        <f>WATER!BG21</f>
        <v>0</v>
      </c>
      <c r="H21" s="79">
        <f>ELEC!AF20</f>
        <v>0</v>
      </c>
      <c r="I21" s="79">
        <f>ELEC!Q20</f>
        <v>0</v>
      </c>
      <c r="J21" s="79">
        <f>ELEC!R20</f>
        <v>0</v>
      </c>
      <c r="K21" s="3"/>
      <c r="L21" s="3"/>
      <c r="M21" s="3"/>
      <c r="N21" s="3"/>
    </row>
    <row r="22" spans="1:14">
      <c r="A22" s="63">
        <f>'B5'!A22</f>
        <v>44730</v>
      </c>
      <c r="B22" s="76">
        <f>'B5'!V22</f>
        <v>0</v>
      </c>
      <c r="C22" s="76">
        <f>'B5'!AH22</f>
        <v>0</v>
      </c>
      <c r="D22" s="76">
        <f>GEN!AI20</f>
        <v>0</v>
      </c>
      <c r="E22" s="239">
        <f t="shared" si="0"/>
        <v>0</v>
      </c>
      <c r="F22" s="75">
        <f>WATER!L22</f>
        <v>0</v>
      </c>
      <c r="G22" s="78">
        <f>WATER!BG22</f>
        <v>0</v>
      </c>
      <c r="H22" s="79">
        <f>ELEC!AF21</f>
        <v>0</v>
      </c>
      <c r="I22" s="79">
        <f>ELEC!Q21</f>
        <v>0</v>
      </c>
      <c r="J22" s="79">
        <f>ELEC!R21</f>
        <v>0</v>
      </c>
      <c r="K22" s="3"/>
      <c r="L22" s="3"/>
      <c r="M22" s="3"/>
      <c r="N22" s="3"/>
    </row>
    <row r="23" spans="1:14">
      <c r="A23" s="63">
        <f>'B5'!A23</f>
        <v>44731</v>
      </c>
      <c r="B23" s="76">
        <f>'B5'!V23</f>
        <v>0</v>
      </c>
      <c r="C23" s="76">
        <f>'B5'!AH23</f>
        <v>0</v>
      </c>
      <c r="D23" s="76">
        <f>GEN!AI21</f>
        <v>0</v>
      </c>
      <c r="E23" s="239">
        <f t="shared" si="0"/>
        <v>0</v>
      </c>
      <c r="F23" s="75">
        <f>WATER!L23</f>
        <v>0</v>
      </c>
      <c r="G23" s="78">
        <f>WATER!BG23</f>
        <v>0</v>
      </c>
      <c r="H23" s="79">
        <f>ELEC!AF22</f>
        <v>0</v>
      </c>
      <c r="I23" s="79">
        <f>ELEC!Q22</f>
        <v>0</v>
      </c>
      <c r="J23" s="79">
        <f>ELEC!R22</f>
        <v>0</v>
      </c>
      <c r="K23" s="3"/>
      <c r="L23" s="3"/>
      <c r="M23" s="3"/>
      <c r="N23" s="3"/>
    </row>
    <row r="24" spans="1:14">
      <c r="A24" s="63">
        <f>'B5'!A24</f>
        <v>44732</v>
      </c>
      <c r="B24" s="76">
        <f>'B5'!V24</f>
        <v>0</v>
      </c>
      <c r="C24" s="76">
        <f>'B5'!AH24</f>
        <v>0</v>
      </c>
      <c r="D24" s="76">
        <f>GEN!AI22</f>
        <v>0</v>
      </c>
      <c r="E24" s="239">
        <f t="shared" si="0"/>
        <v>0</v>
      </c>
      <c r="F24" s="75">
        <f>WATER!L24</f>
        <v>0</v>
      </c>
      <c r="G24" s="78">
        <f>WATER!BG24</f>
        <v>0</v>
      </c>
      <c r="H24" s="79">
        <f>ELEC!AF23</f>
        <v>0</v>
      </c>
      <c r="I24" s="79">
        <f>ELEC!Q23</f>
        <v>0</v>
      </c>
      <c r="J24" s="79">
        <f>ELEC!R23</f>
        <v>0</v>
      </c>
      <c r="K24" s="3"/>
      <c r="L24" s="3"/>
      <c r="M24" s="3"/>
      <c r="N24" s="3"/>
    </row>
    <row r="25" spans="1:14">
      <c r="A25" s="63">
        <f>'B5'!A25</f>
        <v>44733</v>
      </c>
      <c r="B25" s="76">
        <f>'B5'!V25</f>
        <v>0</v>
      </c>
      <c r="C25" s="76">
        <f>'B5'!AH25</f>
        <v>0</v>
      </c>
      <c r="D25" s="76">
        <f>GEN!AI23</f>
        <v>0</v>
      </c>
      <c r="E25" s="239">
        <f t="shared" si="0"/>
        <v>0</v>
      </c>
      <c r="F25" s="75">
        <f>WATER!L25</f>
        <v>0</v>
      </c>
      <c r="G25" s="78">
        <f>WATER!BG25</f>
        <v>0</v>
      </c>
      <c r="H25" s="79">
        <f>ELEC!AF24</f>
        <v>0</v>
      </c>
      <c r="I25" s="79">
        <f>ELEC!Q24</f>
        <v>0</v>
      </c>
      <c r="J25" s="79">
        <f>ELEC!R24</f>
        <v>0</v>
      </c>
      <c r="K25" s="3"/>
      <c r="L25" s="3"/>
      <c r="M25" s="3"/>
      <c r="N25" s="3"/>
    </row>
    <row r="26" spans="1:14">
      <c r="A26" s="63">
        <f>'B5'!A26</f>
        <v>44734</v>
      </c>
      <c r="B26" s="76">
        <f>'B5'!V26</f>
        <v>0</v>
      </c>
      <c r="C26" s="76">
        <f>'B5'!AH26</f>
        <v>0</v>
      </c>
      <c r="D26" s="76">
        <f>GEN!AI24</f>
        <v>0</v>
      </c>
      <c r="E26" s="239">
        <f t="shared" si="0"/>
        <v>0</v>
      </c>
      <c r="F26" s="75">
        <f>WATER!L26</f>
        <v>0</v>
      </c>
      <c r="G26" s="78">
        <f>WATER!BG26</f>
        <v>0</v>
      </c>
      <c r="H26" s="79">
        <f>ELEC!AF25</f>
        <v>0</v>
      </c>
      <c r="I26" s="79">
        <f>ELEC!Q25</f>
        <v>0</v>
      </c>
      <c r="J26" s="79">
        <f>ELEC!R25</f>
        <v>0</v>
      </c>
      <c r="K26" s="3"/>
      <c r="L26" s="3"/>
      <c r="M26" s="3"/>
      <c r="N26" s="3"/>
    </row>
    <row r="27" spans="1:14">
      <c r="A27" s="63">
        <f>'B5'!A27</f>
        <v>44735</v>
      </c>
      <c r="B27" s="76">
        <f>'B5'!V27</f>
        <v>0</v>
      </c>
      <c r="C27" s="76">
        <f>'B5'!AH27</f>
        <v>0</v>
      </c>
      <c r="D27" s="76">
        <f>GEN!AI25</f>
        <v>0</v>
      </c>
      <c r="E27" s="239">
        <f t="shared" si="0"/>
        <v>0</v>
      </c>
      <c r="F27" s="75">
        <f>WATER!L27</f>
        <v>0</v>
      </c>
      <c r="G27" s="78">
        <f>WATER!BG27</f>
        <v>0</v>
      </c>
      <c r="H27" s="79">
        <f>ELEC!AF26</f>
        <v>0</v>
      </c>
      <c r="I27" s="79">
        <f>ELEC!Q26</f>
        <v>0</v>
      </c>
      <c r="J27" s="79">
        <f>ELEC!R26</f>
        <v>0</v>
      </c>
      <c r="K27" s="3"/>
      <c r="L27" s="3"/>
      <c r="M27" s="3"/>
      <c r="N27" s="3"/>
    </row>
    <row r="28" spans="1:14">
      <c r="A28" s="63">
        <f>'B5'!A28</f>
        <v>44736</v>
      </c>
      <c r="B28" s="76">
        <f>'B5'!V28</f>
        <v>0</v>
      </c>
      <c r="C28" s="76">
        <f>'B5'!AH28</f>
        <v>0</v>
      </c>
      <c r="D28" s="76">
        <f>GEN!AI26</f>
        <v>0</v>
      </c>
      <c r="E28" s="239">
        <f t="shared" si="0"/>
        <v>0</v>
      </c>
      <c r="F28" s="75">
        <f>WATER!L28</f>
        <v>0</v>
      </c>
      <c r="G28" s="78">
        <f>WATER!BG28</f>
        <v>0</v>
      </c>
      <c r="H28" s="79">
        <f>ELEC!AF27</f>
        <v>0</v>
      </c>
      <c r="I28" s="79">
        <f>ELEC!Q27</f>
        <v>0</v>
      </c>
      <c r="J28" s="79">
        <f>ELEC!R27</f>
        <v>0</v>
      </c>
      <c r="K28" s="3"/>
      <c r="L28" s="3"/>
      <c r="M28" s="3"/>
      <c r="N28" s="3"/>
    </row>
    <row r="29" spans="1:14">
      <c r="A29" s="63">
        <f>'B5'!A29</f>
        <v>44737</v>
      </c>
      <c r="B29" s="76">
        <f>'B5'!V29</f>
        <v>0</v>
      </c>
      <c r="C29" s="76">
        <f>'B5'!AH29</f>
        <v>0</v>
      </c>
      <c r="D29" s="76">
        <f>GEN!AI27</f>
        <v>0</v>
      </c>
      <c r="E29" s="77">
        <f t="shared" si="0"/>
        <v>0</v>
      </c>
      <c r="F29" s="75">
        <f>WATER!L29</f>
        <v>0</v>
      </c>
      <c r="G29" s="78">
        <f>WATER!BG29</f>
        <v>0</v>
      </c>
      <c r="H29" s="79">
        <f>ELEC!AF28</f>
        <v>0</v>
      </c>
      <c r="I29" s="79">
        <f>ELEC!Q28</f>
        <v>0</v>
      </c>
      <c r="J29" s="79">
        <f>ELEC!R28</f>
        <v>0</v>
      </c>
      <c r="K29" s="3"/>
      <c r="L29" s="3"/>
      <c r="M29" s="3"/>
      <c r="N29" s="3"/>
    </row>
    <row r="30" spans="1:14">
      <c r="A30" s="63">
        <f>'B5'!A30</f>
        <v>44738</v>
      </c>
      <c r="B30" s="76">
        <f>'B5'!V30</f>
        <v>0</v>
      </c>
      <c r="C30" s="76">
        <f>'B5'!AH30</f>
        <v>0</v>
      </c>
      <c r="D30" s="76">
        <f>GEN!AI28</f>
        <v>0</v>
      </c>
      <c r="E30" s="77">
        <f t="shared" si="0"/>
        <v>0</v>
      </c>
      <c r="F30" s="75">
        <f>WATER!L30</f>
        <v>0</v>
      </c>
      <c r="G30" s="78">
        <f>WATER!BG30</f>
        <v>0</v>
      </c>
      <c r="H30" s="79">
        <f>ELEC!AF29</f>
        <v>0</v>
      </c>
      <c r="I30" s="79">
        <f>ELEC!Q29</f>
        <v>0</v>
      </c>
      <c r="J30" s="79">
        <f>ELEC!R29</f>
        <v>0</v>
      </c>
      <c r="K30" s="3"/>
      <c r="L30" s="3"/>
      <c r="M30" s="3"/>
      <c r="N30" s="3"/>
    </row>
    <row r="31" spans="1:14">
      <c r="A31" s="63">
        <f>'B5'!A31</f>
        <v>44739</v>
      </c>
      <c r="B31" s="76">
        <f>'B5'!V31</f>
        <v>0</v>
      </c>
      <c r="C31" s="76">
        <f>'B5'!AH31</f>
        <v>0</v>
      </c>
      <c r="D31" s="76">
        <f>GEN!AI29</f>
        <v>0</v>
      </c>
      <c r="E31" s="77">
        <f t="shared" si="0"/>
        <v>0</v>
      </c>
      <c r="F31" s="75">
        <f>WATER!L31</f>
        <v>0</v>
      </c>
      <c r="G31" s="78">
        <f>WATER!BG31</f>
        <v>0</v>
      </c>
      <c r="H31" s="79">
        <f>ELEC!AF30</f>
        <v>0</v>
      </c>
      <c r="I31" s="79">
        <f>ELEC!Q30</f>
        <v>0</v>
      </c>
      <c r="J31" s="79">
        <f>ELEC!R30</f>
        <v>0</v>
      </c>
      <c r="K31" s="3"/>
      <c r="L31" s="3"/>
      <c r="M31" s="3"/>
      <c r="N31" s="3"/>
    </row>
    <row r="32" spans="1:14">
      <c r="A32" s="63">
        <f>'B5'!A32</f>
        <v>44740</v>
      </c>
      <c r="B32" s="76">
        <f>'B5'!V32</f>
        <v>0</v>
      </c>
      <c r="C32" s="76">
        <f>'B5'!AH32</f>
        <v>0</v>
      </c>
      <c r="D32" s="76">
        <f>GEN!AI30</f>
        <v>0</v>
      </c>
      <c r="E32" s="77">
        <f t="shared" si="0"/>
        <v>0</v>
      </c>
      <c r="F32" s="75">
        <f>WATER!L32</f>
        <v>0</v>
      </c>
      <c r="G32" s="78">
        <f>WATER!BG32</f>
        <v>0</v>
      </c>
      <c r="H32" s="79">
        <f>ELEC!AF31</f>
        <v>0</v>
      </c>
      <c r="I32" s="79">
        <f>ELEC!Q31</f>
        <v>0</v>
      </c>
      <c r="J32" s="79">
        <f>ELEC!R31</f>
        <v>0</v>
      </c>
      <c r="K32" s="3"/>
      <c r="L32" s="3"/>
      <c r="M32" s="3"/>
      <c r="N32" s="3"/>
    </row>
    <row r="33" spans="1:14">
      <c r="A33" s="63" t="e">
        <f>'B5'!#REF!</f>
        <v>#REF!</v>
      </c>
      <c r="B33" s="76" t="e">
        <f>'B5'!#REF!</f>
        <v>#REF!</v>
      </c>
      <c r="C33" s="76" t="e">
        <f>'B5'!#REF!</f>
        <v>#REF!</v>
      </c>
      <c r="D33" s="76" t="e">
        <f>GEN!#REF!</f>
        <v>#REF!</v>
      </c>
      <c r="E33" s="77" t="e">
        <f t="shared" si="0"/>
        <v>#REF!</v>
      </c>
      <c r="F33" s="75">
        <f>WATER!L33</f>
        <v>0</v>
      </c>
      <c r="G33" s="78">
        <f>WATER!BG33</f>
        <v>0</v>
      </c>
      <c r="H33" s="79" t="e">
        <f>ELEC!#REF!</f>
        <v>#REF!</v>
      </c>
      <c r="I33" s="79" t="e">
        <f>ELEC!#REF!</f>
        <v>#REF!</v>
      </c>
      <c r="J33" s="79" t="e">
        <f>ELEC!#REF!</f>
        <v>#REF!</v>
      </c>
      <c r="K33" s="3"/>
      <c r="L33" s="3"/>
      <c r="M33" s="3"/>
      <c r="N33" s="3"/>
    </row>
    <row r="34" spans="1:14">
      <c r="A34" s="63" t="e">
        <f>'B5'!#REF!</f>
        <v>#REF!</v>
      </c>
      <c r="B34" s="76" t="e">
        <f>'B5'!#REF!</f>
        <v>#REF!</v>
      </c>
      <c r="C34" s="76" t="e">
        <f>'B5'!#REF!</f>
        <v>#REF!</v>
      </c>
      <c r="D34" s="76" t="e">
        <f>GEN!#REF!</f>
        <v>#REF!</v>
      </c>
      <c r="E34" s="77" t="e">
        <f>B34+C34+D34</f>
        <v>#REF!</v>
      </c>
      <c r="F34" s="75" t="e">
        <f>WATER!#REF!</f>
        <v>#REF!</v>
      </c>
      <c r="G34" s="78" t="e">
        <f>WATER!#REF!</f>
        <v>#REF!</v>
      </c>
      <c r="H34" s="79" t="e">
        <f>ELEC!#REF!</f>
        <v>#REF!</v>
      </c>
      <c r="I34" s="79" t="e">
        <f>ELEC!#REF!</f>
        <v>#REF!</v>
      </c>
      <c r="J34" s="79" t="e">
        <f>ELEC!#REF!</f>
        <v>#REF!</v>
      </c>
      <c r="K34" s="3"/>
      <c r="L34" s="3"/>
      <c r="M34" s="3"/>
      <c r="N34" s="3"/>
    </row>
  </sheetData>
  <mergeCells count="14">
    <mergeCell ref="B1:B2"/>
    <mergeCell ref="C1:C2"/>
    <mergeCell ref="K1:K2"/>
    <mergeCell ref="A1:A2"/>
    <mergeCell ref="D1:D2"/>
    <mergeCell ref="E1:E2"/>
    <mergeCell ref="F1:F2"/>
    <mergeCell ref="G1:G2"/>
    <mergeCell ref="L1:L2"/>
    <mergeCell ref="M1:M2"/>
    <mergeCell ref="N1:N2"/>
    <mergeCell ref="H1:H2"/>
    <mergeCell ref="J1:J2"/>
    <mergeCell ref="I1:I2"/>
  </mergeCells>
  <pageMargins left="0.7" right="0.7" top="0.75" bottom="0.75" header="0.3" footer="0.3"/>
  <pageSetup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>
  <dimension ref="C3:U38"/>
  <sheetViews>
    <sheetView topLeftCell="A3" workbookViewId="0">
      <selection activeCell="K31" sqref="K31"/>
    </sheetView>
  </sheetViews>
  <sheetFormatPr defaultRowHeight="15"/>
  <cols>
    <col min="3" max="3" width="11.5703125" bestFit="1" customWidth="1"/>
    <col min="4" max="4" width="12.5703125" customWidth="1"/>
    <col min="5" max="5" width="9" bestFit="1" customWidth="1"/>
    <col min="6" max="6" width="12.7109375" bestFit="1" customWidth="1"/>
    <col min="8" max="8" width="10" bestFit="1" customWidth="1"/>
    <col min="10" max="10" width="13.42578125" customWidth="1"/>
    <col min="11" max="11" width="12.7109375" bestFit="1" customWidth="1"/>
    <col min="12" max="12" width="9.7109375" bestFit="1" customWidth="1"/>
    <col min="13" max="13" width="9" bestFit="1" customWidth="1"/>
    <col min="14" max="14" width="8.5703125" bestFit="1" customWidth="1"/>
    <col min="15" max="15" width="10.42578125" bestFit="1" customWidth="1"/>
    <col min="16" max="16" width="11.28515625" bestFit="1" customWidth="1"/>
    <col min="17" max="17" width="12.5703125" bestFit="1" customWidth="1"/>
    <col min="18" max="18" width="11" bestFit="1" customWidth="1"/>
    <col min="19" max="19" width="11" customWidth="1"/>
  </cols>
  <sheetData>
    <row r="3" spans="3:21">
      <c r="T3" s="674" t="s">
        <v>151</v>
      </c>
      <c r="U3" s="674"/>
    </row>
    <row r="4" spans="3:21" ht="45">
      <c r="C4" s="3" t="s">
        <v>152</v>
      </c>
      <c r="D4" s="98" t="s">
        <v>135</v>
      </c>
      <c r="E4" s="97" t="s">
        <v>137</v>
      </c>
      <c r="F4" s="97" t="s">
        <v>136</v>
      </c>
      <c r="G4" s="97" t="s">
        <v>137</v>
      </c>
      <c r="H4" s="97" t="s">
        <v>138</v>
      </c>
      <c r="I4" s="97" t="s">
        <v>137</v>
      </c>
      <c r="J4" s="97" t="s">
        <v>139</v>
      </c>
      <c r="K4" s="97" t="s">
        <v>140</v>
      </c>
      <c r="L4" s="97" t="s">
        <v>141</v>
      </c>
      <c r="M4" s="97" t="s">
        <v>142</v>
      </c>
      <c r="N4" s="97" t="s">
        <v>143</v>
      </c>
      <c r="O4" s="97" t="s">
        <v>144</v>
      </c>
      <c r="P4" s="97" t="s">
        <v>145</v>
      </c>
      <c r="Q4" s="97" t="s">
        <v>146</v>
      </c>
      <c r="R4" s="97" t="s">
        <v>147</v>
      </c>
      <c r="S4" s="97" t="s">
        <v>148</v>
      </c>
      <c r="T4" s="97" t="s">
        <v>149</v>
      </c>
      <c r="U4" s="97" t="s">
        <v>150</v>
      </c>
    </row>
    <row r="5" spans="3:21">
      <c r="C5" s="99">
        <v>42429</v>
      </c>
      <c r="D5">
        <f>'B5'!AL4</f>
        <v>1</v>
      </c>
      <c r="E5">
        <f t="shared" ref="E5:E37" si="0">D5*90</f>
        <v>90</v>
      </c>
      <c r="F5">
        <f>'B5'!AM4</f>
        <v>1</v>
      </c>
      <c r="G5">
        <f t="shared" ref="G5:G37" si="1">F5*107</f>
        <v>107</v>
      </c>
      <c r="H5">
        <f>GEN!Z3</f>
        <v>10</v>
      </c>
    </row>
    <row r="6" spans="3:21">
      <c r="C6" s="99">
        <v>42430</v>
      </c>
      <c r="D6">
        <f>'B5'!AL5</f>
        <v>2</v>
      </c>
      <c r="E6">
        <f t="shared" si="0"/>
        <v>180</v>
      </c>
      <c r="F6">
        <f>'B5'!AM5</f>
        <v>2</v>
      </c>
      <c r="G6">
        <f t="shared" si="1"/>
        <v>214</v>
      </c>
    </row>
    <row r="7" spans="3:21">
      <c r="C7" s="99">
        <v>42431</v>
      </c>
      <c r="D7">
        <f>'B5'!AL6</f>
        <v>0</v>
      </c>
      <c r="E7">
        <f t="shared" si="0"/>
        <v>0</v>
      </c>
      <c r="F7">
        <f>'B5'!AM6</f>
        <v>0</v>
      </c>
      <c r="G7">
        <f t="shared" si="1"/>
        <v>0</v>
      </c>
    </row>
    <row r="8" spans="3:21">
      <c r="C8" s="99">
        <v>42432</v>
      </c>
      <c r="D8">
        <f>'B5'!AL7</f>
        <v>0</v>
      </c>
      <c r="E8">
        <f t="shared" si="0"/>
        <v>0</v>
      </c>
      <c r="F8">
        <f>'B5'!AM7</f>
        <v>0</v>
      </c>
      <c r="G8">
        <f t="shared" si="1"/>
        <v>0</v>
      </c>
    </row>
    <row r="9" spans="3:21">
      <c r="C9" s="99">
        <v>42433</v>
      </c>
      <c r="D9">
        <f>'B5'!AL8</f>
        <v>0</v>
      </c>
      <c r="E9">
        <f t="shared" si="0"/>
        <v>0</v>
      </c>
      <c r="F9">
        <f>'B5'!AM8</f>
        <v>0</v>
      </c>
      <c r="G9">
        <f t="shared" si="1"/>
        <v>0</v>
      </c>
    </row>
    <row r="10" spans="3:21">
      <c r="C10" s="99">
        <v>42434</v>
      </c>
      <c r="D10">
        <f>'B5'!AL9</f>
        <v>2</v>
      </c>
      <c r="E10">
        <f t="shared" si="0"/>
        <v>180</v>
      </c>
      <c r="F10">
        <f>'B5'!AM9</f>
        <v>0</v>
      </c>
      <c r="G10">
        <f t="shared" si="1"/>
        <v>0</v>
      </c>
    </row>
    <row r="11" spans="3:21">
      <c r="C11" s="99">
        <v>42435</v>
      </c>
      <c r="D11">
        <f>'B5'!AL10</f>
        <v>2</v>
      </c>
      <c r="E11">
        <f t="shared" si="0"/>
        <v>180</v>
      </c>
      <c r="F11">
        <f>'B5'!AM10</f>
        <v>0</v>
      </c>
      <c r="G11">
        <f t="shared" si="1"/>
        <v>0</v>
      </c>
    </row>
    <row r="12" spans="3:21">
      <c r="C12" s="99">
        <v>42436</v>
      </c>
      <c r="D12">
        <f>'B5'!AL11</f>
        <v>0</v>
      </c>
      <c r="E12">
        <f t="shared" si="0"/>
        <v>0</v>
      </c>
      <c r="F12">
        <f>'B5'!AM11</f>
        <v>1</v>
      </c>
      <c r="G12">
        <f t="shared" si="1"/>
        <v>107</v>
      </c>
    </row>
    <row r="13" spans="3:21">
      <c r="C13" s="99">
        <v>42437</v>
      </c>
      <c r="D13">
        <f>'B5'!AL12</f>
        <v>2</v>
      </c>
      <c r="E13">
        <f t="shared" si="0"/>
        <v>180</v>
      </c>
      <c r="F13">
        <f>'B5'!AM12</f>
        <v>0</v>
      </c>
      <c r="G13">
        <f t="shared" si="1"/>
        <v>0</v>
      </c>
    </row>
    <row r="14" spans="3:21">
      <c r="C14" s="99">
        <v>42438</v>
      </c>
      <c r="D14">
        <f>'B5'!AL13</f>
        <v>1</v>
      </c>
      <c r="E14">
        <f t="shared" si="0"/>
        <v>90</v>
      </c>
      <c r="F14">
        <f>'B5'!AM13</f>
        <v>0</v>
      </c>
      <c r="G14">
        <f t="shared" si="1"/>
        <v>0</v>
      </c>
    </row>
    <row r="15" spans="3:21">
      <c r="C15" s="99">
        <v>42439</v>
      </c>
      <c r="D15">
        <f>'B5'!AL14</f>
        <v>0</v>
      </c>
      <c r="E15">
        <f t="shared" si="0"/>
        <v>0</v>
      </c>
      <c r="F15">
        <f>'B5'!AM14</f>
        <v>0</v>
      </c>
      <c r="G15">
        <f t="shared" si="1"/>
        <v>0</v>
      </c>
    </row>
    <row r="16" spans="3:21">
      <c r="C16" s="99">
        <v>42440</v>
      </c>
      <c r="D16">
        <f>'B5'!AL15</f>
        <v>0</v>
      </c>
      <c r="E16">
        <f t="shared" si="0"/>
        <v>0</v>
      </c>
      <c r="F16">
        <f>'B5'!AM15</f>
        <v>0</v>
      </c>
      <c r="G16">
        <f t="shared" si="1"/>
        <v>0</v>
      </c>
    </row>
    <row r="17" spans="3:7">
      <c r="C17" s="99">
        <v>42441</v>
      </c>
      <c r="D17">
        <f>'B5'!AL16</f>
        <v>1</v>
      </c>
      <c r="E17">
        <f t="shared" si="0"/>
        <v>90</v>
      </c>
      <c r="F17">
        <f>'B5'!AM16</f>
        <v>0</v>
      </c>
      <c r="G17">
        <f t="shared" si="1"/>
        <v>0</v>
      </c>
    </row>
    <row r="18" spans="3:7">
      <c r="C18" s="99">
        <v>42442</v>
      </c>
      <c r="D18">
        <f>'B5'!AL17</f>
        <v>1</v>
      </c>
      <c r="E18">
        <f t="shared" si="0"/>
        <v>90</v>
      </c>
      <c r="F18">
        <f>'B5'!AM17</f>
        <v>0</v>
      </c>
      <c r="G18">
        <f t="shared" si="1"/>
        <v>0</v>
      </c>
    </row>
    <row r="19" spans="3:7">
      <c r="C19" s="99">
        <v>42443</v>
      </c>
      <c r="D19">
        <f>'B5'!AL18</f>
        <v>1</v>
      </c>
      <c r="E19">
        <f t="shared" si="0"/>
        <v>90</v>
      </c>
      <c r="F19">
        <f>'B5'!AM18</f>
        <v>0</v>
      </c>
      <c r="G19">
        <f t="shared" si="1"/>
        <v>0</v>
      </c>
    </row>
    <row r="20" spans="3:7">
      <c r="C20" s="99">
        <v>42444</v>
      </c>
      <c r="D20">
        <f>'B5'!AL19</f>
        <v>0</v>
      </c>
      <c r="E20">
        <f t="shared" si="0"/>
        <v>0</v>
      </c>
      <c r="F20">
        <f>'B5'!AM19</f>
        <v>1</v>
      </c>
      <c r="G20">
        <f t="shared" si="1"/>
        <v>107</v>
      </c>
    </row>
    <row r="21" spans="3:7">
      <c r="C21" s="99">
        <v>42445</v>
      </c>
      <c r="D21">
        <f>'B5'!AL20</f>
        <v>0</v>
      </c>
      <c r="E21">
        <f t="shared" si="0"/>
        <v>0</v>
      </c>
      <c r="F21">
        <f>'B5'!AM20</f>
        <v>0</v>
      </c>
      <c r="G21">
        <f t="shared" si="1"/>
        <v>0</v>
      </c>
    </row>
    <row r="22" spans="3:7">
      <c r="C22" s="99">
        <v>42446</v>
      </c>
      <c r="D22">
        <f>'B5'!AL21</f>
        <v>0</v>
      </c>
      <c r="E22">
        <f t="shared" si="0"/>
        <v>0</v>
      </c>
      <c r="F22">
        <f>'B5'!AM21</f>
        <v>0</v>
      </c>
      <c r="G22">
        <f t="shared" si="1"/>
        <v>0</v>
      </c>
    </row>
    <row r="23" spans="3:7">
      <c r="C23" s="99">
        <v>42447</v>
      </c>
      <c r="D23">
        <f>'B5'!AL22</f>
        <v>0</v>
      </c>
      <c r="E23">
        <f t="shared" si="0"/>
        <v>0</v>
      </c>
      <c r="F23">
        <f>'B5'!AM22</f>
        <v>0</v>
      </c>
      <c r="G23">
        <f t="shared" si="1"/>
        <v>0</v>
      </c>
    </row>
    <row r="24" spans="3:7">
      <c r="C24" s="99">
        <v>42448</v>
      </c>
      <c r="D24">
        <f>'B5'!AL23</f>
        <v>0</v>
      </c>
      <c r="E24">
        <f t="shared" si="0"/>
        <v>0</v>
      </c>
      <c r="F24">
        <f>'B5'!AM23</f>
        <v>0</v>
      </c>
      <c r="G24">
        <f t="shared" si="1"/>
        <v>0</v>
      </c>
    </row>
    <row r="25" spans="3:7">
      <c r="C25" s="99">
        <v>42449</v>
      </c>
      <c r="D25">
        <f>'B5'!AL24</f>
        <v>0</v>
      </c>
      <c r="E25">
        <f t="shared" si="0"/>
        <v>0</v>
      </c>
      <c r="F25">
        <f>'B5'!AM24</f>
        <v>0</v>
      </c>
      <c r="G25">
        <f t="shared" si="1"/>
        <v>0</v>
      </c>
    </row>
    <row r="26" spans="3:7">
      <c r="C26" s="99">
        <v>42450</v>
      </c>
      <c r="D26">
        <f>'B5'!AL25</f>
        <v>0</v>
      </c>
      <c r="E26">
        <f t="shared" si="0"/>
        <v>0</v>
      </c>
      <c r="F26">
        <f>'B5'!AM25</f>
        <v>-2</v>
      </c>
      <c r="G26">
        <f t="shared" si="1"/>
        <v>-214</v>
      </c>
    </row>
    <row r="27" spans="3:7">
      <c r="C27" s="99">
        <v>42451</v>
      </c>
      <c r="D27">
        <f>'B5'!AL26</f>
        <v>0</v>
      </c>
      <c r="E27">
        <f t="shared" si="0"/>
        <v>0</v>
      </c>
      <c r="F27">
        <f>'B5'!AM26</f>
        <v>0</v>
      </c>
      <c r="G27">
        <f t="shared" si="1"/>
        <v>0</v>
      </c>
    </row>
    <row r="28" spans="3:7">
      <c r="C28" s="99">
        <v>42452</v>
      </c>
      <c r="D28">
        <f>'B5'!AL27</f>
        <v>0</v>
      </c>
      <c r="E28">
        <f t="shared" si="0"/>
        <v>0</v>
      </c>
      <c r="F28">
        <f>'B5'!AM27</f>
        <v>0</v>
      </c>
      <c r="G28">
        <f t="shared" si="1"/>
        <v>0</v>
      </c>
    </row>
    <row r="29" spans="3:7">
      <c r="C29" s="99">
        <v>42453</v>
      </c>
      <c r="D29">
        <f>'B5'!AL28</f>
        <v>0</v>
      </c>
      <c r="E29">
        <f t="shared" si="0"/>
        <v>0</v>
      </c>
      <c r="F29">
        <f>'B5'!AM28</f>
        <v>0</v>
      </c>
      <c r="G29">
        <f t="shared" si="1"/>
        <v>0</v>
      </c>
    </row>
    <row r="30" spans="3:7">
      <c r="C30" s="99">
        <v>42454</v>
      </c>
      <c r="D30">
        <f>'B5'!AL29</f>
        <v>0</v>
      </c>
      <c r="E30">
        <f t="shared" si="0"/>
        <v>0</v>
      </c>
      <c r="F30">
        <f>'B5'!AM29</f>
        <v>0</v>
      </c>
      <c r="G30">
        <f t="shared" si="1"/>
        <v>0</v>
      </c>
    </row>
    <row r="31" spans="3:7">
      <c r="C31" s="99">
        <v>42455</v>
      </c>
      <c r="D31">
        <f>'B5'!AL30</f>
        <v>0</v>
      </c>
      <c r="E31">
        <f t="shared" si="0"/>
        <v>0</v>
      </c>
      <c r="F31">
        <f>'B5'!AM30</f>
        <v>0</v>
      </c>
      <c r="G31">
        <f t="shared" si="1"/>
        <v>0</v>
      </c>
    </row>
    <row r="32" spans="3:7">
      <c r="C32" s="99">
        <v>42456</v>
      </c>
      <c r="D32">
        <f>'B5'!AL31</f>
        <v>0</v>
      </c>
      <c r="E32">
        <f t="shared" si="0"/>
        <v>0</v>
      </c>
      <c r="F32">
        <f>'B5'!AM31</f>
        <v>0</v>
      </c>
      <c r="G32">
        <f t="shared" si="1"/>
        <v>0</v>
      </c>
    </row>
    <row r="33" spans="3:7">
      <c r="C33" s="99">
        <v>42457</v>
      </c>
      <c r="D33">
        <f>'B5'!AL32</f>
        <v>0</v>
      </c>
      <c r="E33">
        <f t="shared" si="0"/>
        <v>0</v>
      </c>
      <c r="F33">
        <f>'B5'!AM32</f>
        <v>0</v>
      </c>
      <c r="G33">
        <f t="shared" si="1"/>
        <v>0</v>
      </c>
    </row>
    <row r="34" spans="3:7">
      <c r="C34" s="99">
        <v>42458</v>
      </c>
      <c r="D34" t="e">
        <f>'B5'!#REF!</f>
        <v>#REF!</v>
      </c>
      <c r="E34" t="e">
        <f t="shared" si="0"/>
        <v>#REF!</v>
      </c>
      <c r="F34" t="e">
        <f>'B5'!#REF!</f>
        <v>#REF!</v>
      </c>
      <c r="G34" t="e">
        <f t="shared" si="1"/>
        <v>#REF!</v>
      </c>
    </row>
    <row r="35" spans="3:7">
      <c r="C35" s="99">
        <v>42459</v>
      </c>
      <c r="D35" t="e">
        <f>'B5'!#REF!</f>
        <v>#REF!</v>
      </c>
      <c r="E35" t="e">
        <f t="shared" si="0"/>
        <v>#REF!</v>
      </c>
      <c r="F35" t="e">
        <f>'B5'!#REF!</f>
        <v>#REF!</v>
      </c>
      <c r="G35" t="e">
        <f t="shared" si="1"/>
        <v>#REF!</v>
      </c>
    </row>
    <row r="36" spans="3:7">
      <c r="C36" s="99">
        <v>42460</v>
      </c>
      <c r="D36" t="e">
        <f>'B5'!#REF!</f>
        <v>#REF!</v>
      </c>
      <c r="E36" t="e">
        <f t="shared" si="0"/>
        <v>#REF!</v>
      </c>
      <c r="F36" t="e">
        <f>'B5'!#REF!</f>
        <v>#REF!</v>
      </c>
      <c r="G36" t="e">
        <f t="shared" si="1"/>
        <v>#REF!</v>
      </c>
    </row>
    <row r="37" spans="3:7">
      <c r="C37" s="99">
        <v>42461</v>
      </c>
      <c r="D37" t="e">
        <f>'B5'!#REF!</f>
        <v>#REF!</v>
      </c>
      <c r="E37" t="e">
        <f t="shared" si="0"/>
        <v>#REF!</v>
      </c>
      <c r="F37" t="e">
        <f>'B5'!#REF!</f>
        <v>#REF!</v>
      </c>
      <c r="G37" t="e">
        <f t="shared" si="1"/>
        <v>#REF!</v>
      </c>
    </row>
    <row r="38" spans="3:7">
      <c r="C38" s="3"/>
    </row>
  </sheetData>
  <mergeCells count="1">
    <mergeCell ref="T3:U3"/>
  </mergeCells>
  <pageMargins left="0.7" right="0.7" top="0.75" bottom="0.75" header="0.3" footer="0.3"/>
  <pageSetup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>
  <dimension ref="A1:R36"/>
  <sheetViews>
    <sheetView zoomScale="70" zoomScaleNormal="70" workbookViewId="0">
      <pane ySplit="1" topLeftCell="A2" activePane="bottomLeft" state="frozen"/>
      <selection pane="bottomLeft" activeCell="L8" sqref="L8"/>
    </sheetView>
  </sheetViews>
  <sheetFormatPr defaultRowHeight="15"/>
  <cols>
    <col min="1" max="1" width="14.42578125" bestFit="1" customWidth="1"/>
    <col min="2" max="2" width="6.7109375" customWidth="1"/>
    <col min="3" max="7" width="6.7109375" bestFit="1" customWidth="1"/>
    <col min="8" max="8" width="11.5703125" style="74" customWidth="1"/>
    <col min="9" max="9" width="25.7109375" customWidth="1"/>
    <col min="10" max="10" width="25.42578125" style="464" customWidth="1"/>
    <col min="12" max="12" width="26.42578125" bestFit="1" customWidth="1"/>
    <col min="14" max="14" width="14.28515625" customWidth="1"/>
  </cols>
  <sheetData>
    <row r="1" spans="1:18" ht="39.75" customHeight="1" thickBot="1">
      <c r="A1" s="684" t="s">
        <v>51</v>
      </c>
      <c r="B1" s="696" t="s">
        <v>316</v>
      </c>
      <c r="C1" s="697"/>
      <c r="D1" s="699"/>
      <c r="E1" s="696" t="s">
        <v>317</v>
      </c>
      <c r="F1" s="697"/>
      <c r="G1" s="698"/>
      <c r="H1" s="693" t="s">
        <v>321</v>
      </c>
      <c r="I1" s="690" t="s">
        <v>322</v>
      </c>
      <c r="J1" s="687" t="s">
        <v>43</v>
      </c>
    </row>
    <row r="2" spans="1:18" ht="38.25" thickBot="1">
      <c r="A2" s="685"/>
      <c r="B2" s="247" t="s">
        <v>318</v>
      </c>
      <c r="C2" s="248" t="s">
        <v>319</v>
      </c>
      <c r="D2" s="232"/>
      <c r="E2" s="233">
        <v>3.5</v>
      </c>
      <c r="F2" s="249" t="s">
        <v>319</v>
      </c>
      <c r="G2" s="234"/>
      <c r="H2" s="694"/>
      <c r="I2" s="691"/>
      <c r="J2" s="688"/>
    </row>
    <row r="3" spans="1:18" ht="24" customHeight="1" thickBot="1">
      <c r="A3" s="686"/>
      <c r="B3" s="235" t="s">
        <v>325</v>
      </c>
      <c r="C3" s="236" t="s">
        <v>320</v>
      </c>
      <c r="D3" s="236" t="s">
        <v>326</v>
      </c>
      <c r="E3" s="237" t="s">
        <v>325</v>
      </c>
      <c r="F3" s="236" t="s">
        <v>320</v>
      </c>
      <c r="G3" s="237" t="s">
        <v>326</v>
      </c>
      <c r="H3" s="695"/>
      <c r="I3" s="692"/>
      <c r="J3" s="689"/>
    </row>
    <row r="4" spans="1:18" ht="19.5" thickBot="1">
      <c r="A4" s="581"/>
      <c r="B4" s="586" t="s">
        <v>325</v>
      </c>
      <c r="C4" s="587" t="s">
        <v>320</v>
      </c>
      <c r="D4" s="588" t="s">
        <v>326</v>
      </c>
      <c r="E4" s="589" t="s">
        <v>325</v>
      </c>
      <c r="F4" s="588" t="s">
        <v>320</v>
      </c>
      <c r="G4" s="589" t="s">
        <v>326</v>
      </c>
      <c r="H4" s="572">
        <v>0</v>
      </c>
      <c r="I4" s="573"/>
      <c r="J4" s="574"/>
      <c r="L4" s="3"/>
      <c r="M4" s="3" t="s">
        <v>385</v>
      </c>
      <c r="N4" s="3" t="s">
        <v>386</v>
      </c>
      <c r="O4" s="3" t="s">
        <v>387</v>
      </c>
    </row>
    <row r="5" spans="1:18" ht="16.5" customHeight="1" thickBot="1">
      <c r="A5" s="605"/>
      <c r="B5" s="675" t="s">
        <v>417</v>
      </c>
      <c r="C5" s="676"/>
      <c r="D5" s="676"/>
      <c r="E5" s="676"/>
      <c r="F5" s="676"/>
      <c r="G5" s="677"/>
      <c r="H5" s="606"/>
      <c r="I5" s="607"/>
      <c r="J5" s="594"/>
      <c r="K5" s="582"/>
      <c r="L5" s="500"/>
      <c r="M5" s="477"/>
      <c r="N5" s="477"/>
      <c r="O5" s="477"/>
    </row>
    <row r="6" spans="1:18" ht="15.75" customHeight="1">
      <c r="A6" s="599">
        <f>ELEC!C4</f>
        <v>44713</v>
      </c>
      <c r="B6" s="678"/>
      <c r="C6" s="679"/>
      <c r="D6" s="679"/>
      <c r="E6" s="679"/>
      <c r="F6" s="679"/>
      <c r="G6" s="680"/>
      <c r="H6" s="598">
        <f>H5</f>
        <v>0</v>
      </c>
      <c r="I6" s="604">
        <f>H6-H5</f>
        <v>0</v>
      </c>
      <c r="J6" s="593">
        <v>0.29166666666666669</v>
      </c>
      <c r="L6" s="99">
        <f t="shared" ref="L6:L33" si="0">A6</f>
        <v>44713</v>
      </c>
      <c r="M6" s="3">
        <f>M5</f>
        <v>0</v>
      </c>
      <c r="N6" s="477"/>
      <c r="O6" s="477">
        <f>M6+N6</f>
        <v>0</v>
      </c>
    </row>
    <row r="7" spans="1:18">
      <c r="A7" s="600">
        <f>ELEC!C5</f>
        <v>44714</v>
      </c>
      <c r="B7" s="678"/>
      <c r="C7" s="679"/>
      <c r="D7" s="679"/>
      <c r="E7" s="679"/>
      <c r="F7" s="679"/>
      <c r="G7" s="680"/>
      <c r="H7" s="598">
        <f t="shared" ref="H7:H36" si="1">H6</f>
        <v>0</v>
      </c>
      <c r="I7" s="477">
        <f>H7-H6</f>
        <v>0</v>
      </c>
      <c r="J7" s="462">
        <v>0.29166666666666669</v>
      </c>
      <c r="L7" s="99">
        <f t="shared" si="0"/>
        <v>44714</v>
      </c>
      <c r="M7" s="3">
        <f t="shared" ref="M7:M36" si="2">M6</f>
        <v>0</v>
      </c>
      <c r="N7" s="477"/>
      <c r="O7" s="477">
        <f t="shared" ref="O7:O33" si="3">M7+N7</f>
        <v>0</v>
      </c>
    </row>
    <row r="8" spans="1:18">
      <c r="A8" s="600">
        <f>ELEC!C6</f>
        <v>44715</v>
      </c>
      <c r="B8" s="678"/>
      <c r="C8" s="679"/>
      <c r="D8" s="679"/>
      <c r="E8" s="679"/>
      <c r="F8" s="679"/>
      <c r="G8" s="680"/>
      <c r="H8" s="598">
        <f t="shared" si="1"/>
        <v>0</v>
      </c>
      <c r="I8" s="477">
        <f t="shared" ref="I8:I33" si="4">H8-H7</f>
        <v>0</v>
      </c>
      <c r="J8" s="462">
        <v>0.29166666666666669</v>
      </c>
      <c r="L8" s="99">
        <f t="shared" si="0"/>
        <v>44715</v>
      </c>
      <c r="M8" s="3">
        <f t="shared" si="2"/>
        <v>0</v>
      </c>
      <c r="N8" s="477"/>
      <c r="O8" s="477">
        <f t="shared" si="3"/>
        <v>0</v>
      </c>
    </row>
    <row r="9" spans="1:18">
      <c r="A9" s="600">
        <f>ELEC!C7</f>
        <v>44716</v>
      </c>
      <c r="B9" s="678"/>
      <c r="C9" s="679"/>
      <c r="D9" s="679"/>
      <c r="E9" s="679"/>
      <c r="F9" s="679"/>
      <c r="G9" s="680"/>
      <c r="H9" s="598">
        <v>7082</v>
      </c>
      <c r="I9" s="477">
        <f t="shared" si="4"/>
        <v>7082</v>
      </c>
      <c r="J9" s="462">
        <v>0.25</v>
      </c>
      <c r="L9" s="99">
        <f t="shared" si="0"/>
        <v>44716</v>
      </c>
      <c r="M9" s="3">
        <f t="shared" si="2"/>
        <v>0</v>
      </c>
      <c r="N9" s="477"/>
      <c r="O9" s="477">
        <f t="shared" si="3"/>
        <v>0</v>
      </c>
    </row>
    <row r="10" spans="1:18">
      <c r="A10" s="600">
        <f>ELEC!C8</f>
        <v>44717</v>
      </c>
      <c r="B10" s="678"/>
      <c r="C10" s="679"/>
      <c r="D10" s="679"/>
      <c r="E10" s="679"/>
      <c r="F10" s="679"/>
      <c r="G10" s="680"/>
      <c r="H10" s="598">
        <f t="shared" si="1"/>
        <v>7082</v>
      </c>
      <c r="I10" s="477">
        <f t="shared" si="4"/>
        <v>0</v>
      </c>
      <c r="J10" s="462">
        <v>0.29166666666666669</v>
      </c>
      <c r="L10" s="99">
        <f t="shared" si="0"/>
        <v>44717</v>
      </c>
      <c r="M10" s="3">
        <f t="shared" si="2"/>
        <v>0</v>
      </c>
      <c r="N10" s="477"/>
      <c r="O10" s="477">
        <f t="shared" si="3"/>
        <v>0</v>
      </c>
    </row>
    <row r="11" spans="1:18">
      <c r="A11" s="600">
        <f>ELEC!C9</f>
        <v>44718</v>
      </c>
      <c r="B11" s="678"/>
      <c r="C11" s="679"/>
      <c r="D11" s="679"/>
      <c r="E11" s="679"/>
      <c r="F11" s="679"/>
      <c r="G11" s="680"/>
      <c r="H11" s="598">
        <f t="shared" si="1"/>
        <v>7082</v>
      </c>
      <c r="I11" s="477">
        <f t="shared" si="4"/>
        <v>0</v>
      </c>
      <c r="J11" s="462">
        <v>0.29166666666666669</v>
      </c>
      <c r="L11" s="99">
        <f t="shared" si="0"/>
        <v>44718</v>
      </c>
      <c r="M11" s="3">
        <f t="shared" si="2"/>
        <v>0</v>
      </c>
      <c r="N11" s="477"/>
      <c r="O11" s="477">
        <f t="shared" si="3"/>
        <v>0</v>
      </c>
    </row>
    <row r="12" spans="1:18" ht="15.75">
      <c r="A12" s="600">
        <f>ELEC!C10</f>
        <v>44719</v>
      </c>
      <c r="B12" s="678"/>
      <c r="C12" s="679"/>
      <c r="D12" s="679"/>
      <c r="E12" s="679"/>
      <c r="F12" s="679"/>
      <c r="G12" s="680"/>
      <c r="H12" s="598">
        <f t="shared" si="1"/>
        <v>7082</v>
      </c>
      <c r="I12" s="477">
        <f t="shared" si="4"/>
        <v>0</v>
      </c>
      <c r="J12" s="462">
        <v>0.29166666666666669</v>
      </c>
      <c r="L12" s="99">
        <f t="shared" si="0"/>
        <v>44719</v>
      </c>
      <c r="M12" s="3">
        <f t="shared" si="2"/>
        <v>0</v>
      </c>
      <c r="N12" s="477"/>
      <c r="O12" s="477">
        <f t="shared" si="3"/>
        <v>0</v>
      </c>
      <c r="P12" s="419"/>
      <c r="Q12" s="342"/>
      <c r="R12" s="342"/>
    </row>
    <row r="13" spans="1:18">
      <c r="A13" s="600">
        <f>ELEC!C11</f>
        <v>44720</v>
      </c>
      <c r="B13" s="678"/>
      <c r="C13" s="679"/>
      <c r="D13" s="679"/>
      <c r="E13" s="679"/>
      <c r="F13" s="679"/>
      <c r="G13" s="680"/>
      <c r="H13" s="598">
        <f t="shared" si="1"/>
        <v>7082</v>
      </c>
      <c r="I13" s="477">
        <f t="shared" si="4"/>
        <v>0</v>
      </c>
      <c r="J13" s="462">
        <v>0.29166666666666669</v>
      </c>
      <c r="L13" s="99">
        <f t="shared" si="0"/>
        <v>44720</v>
      </c>
      <c r="M13" s="3">
        <f t="shared" si="2"/>
        <v>0</v>
      </c>
      <c r="N13" s="477"/>
      <c r="O13" s="477">
        <f t="shared" si="3"/>
        <v>0</v>
      </c>
    </row>
    <row r="14" spans="1:18">
      <c r="A14" s="600">
        <f>ELEC!C12</f>
        <v>44721</v>
      </c>
      <c r="B14" s="678"/>
      <c r="C14" s="679"/>
      <c r="D14" s="679"/>
      <c r="E14" s="679"/>
      <c r="F14" s="679"/>
      <c r="G14" s="680"/>
      <c r="H14" s="598">
        <v>7088</v>
      </c>
      <c r="I14" s="477">
        <f t="shared" si="4"/>
        <v>6</v>
      </c>
      <c r="J14" s="462">
        <v>0.29166666666666669</v>
      </c>
      <c r="L14" s="99">
        <f t="shared" si="0"/>
        <v>44721</v>
      </c>
      <c r="M14" s="3">
        <f t="shared" si="2"/>
        <v>0</v>
      </c>
      <c r="N14" s="477"/>
      <c r="O14" s="477">
        <f t="shared" si="3"/>
        <v>0</v>
      </c>
    </row>
    <row r="15" spans="1:18">
      <c r="A15" s="600">
        <f>ELEC!C13</f>
        <v>44722</v>
      </c>
      <c r="B15" s="678"/>
      <c r="C15" s="679"/>
      <c r="D15" s="679"/>
      <c r="E15" s="679"/>
      <c r="F15" s="679"/>
      <c r="G15" s="680"/>
      <c r="H15" s="598">
        <f t="shared" si="1"/>
        <v>7088</v>
      </c>
      <c r="I15" s="477">
        <f t="shared" si="4"/>
        <v>0</v>
      </c>
      <c r="J15" s="462">
        <v>0.29166666666666669</v>
      </c>
      <c r="L15" s="99">
        <f t="shared" si="0"/>
        <v>44722</v>
      </c>
      <c r="M15" s="3">
        <f t="shared" si="2"/>
        <v>0</v>
      </c>
      <c r="N15" s="477"/>
      <c r="O15" s="477">
        <f t="shared" si="3"/>
        <v>0</v>
      </c>
    </row>
    <row r="16" spans="1:18">
      <c r="A16" s="600">
        <f>ELEC!C14</f>
        <v>44723</v>
      </c>
      <c r="B16" s="678"/>
      <c r="C16" s="679"/>
      <c r="D16" s="679"/>
      <c r="E16" s="679"/>
      <c r="F16" s="679"/>
      <c r="G16" s="680"/>
      <c r="H16" s="598">
        <v>7089</v>
      </c>
      <c r="I16" s="477">
        <f t="shared" si="4"/>
        <v>1</v>
      </c>
      <c r="J16" s="462">
        <v>0.29166666666666669</v>
      </c>
      <c r="L16" s="99">
        <f t="shared" si="0"/>
        <v>44723</v>
      </c>
      <c r="M16" s="3">
        <f t="shared" si="2"/>
        <v>0</v>
      </c>
      <c r="N16" s="477"/>
      <c r="O16" s="477">
        <f t="shared" si="3"/>
        <v>0</v>
      </c>
    </row>
    <row r="17" spans="1:15">
      <c r="A17" s="600">
        <f>ELEC!C15</f>
        <v>44724</v>
      </c>
      <c r="B17" s="678"/>
      <c r="C17" s="679"/>
      <c r="D17" s="679"/>
      <c r="E17" s="679"/>
      <c r="F17" s="679"/>
      <c r="G17" s="680"/>
      <c r="H17" s="598">
        <f t="shared" si="1"/>
        <v>7089</v>
      </c>
      <c r="I17" s="477">
        <f t="shared" si="4"/>
        <v>0</v>
      </c>
      <c r="J17" s="462">
        <v>0.29166666666666669</v>
      </c>
      <c r="L17" s="99">
        <f t="shared" si="0"/>
        <v>44724</v>
      </c>
      <c r="M17" s="3">
        <f t="shared" si="2"/>
        <v>0</v>
      </c>
      <c r="N17" s="477"/>
      <c r="O17" s="477">
        <f t="shared" si="3"/>
        <v>0</v>
      </c>
    </row>
    <row r="18" spans="1:15">
      <c r="A18" s="600">
        <f>ELEC!C16</f>
        <v>44725</v>
      </c>
      <c r="B18" s="678"/>
      <c r="C18" s="679"/>
      <c r="D18" s="679"/>
      <c r="E18" s="679"/>
      <c r="F18" s="679"/>
      <c r="G18" s="680"/>
      <c r="H18" s="598">
        <f t="shared" si="1"/>
        <v>7089</v>
      </c>
      <c r="I18" s="477">
        <f t="shared" si="4"/>
        <v>0</v>
      </c>
      <c r="J18" s="462">
        <v>0.29166666666666669</v>
      </c>
      <c r="L18" s="99">
        <f t="shared" si="0"/>
        <v>44725</v>
      </c>
      <c r="M18" s="3">
        <f t="shared" si="2"/>
        <v>0</v>
      </c>
      <c r="N18" s="477"/>
      <c r="O18" s="477">
        <f t="shared" si="3"/>
        <v>0</v>
      </c>
    </row>
    <row r="19" spans="1:15">
      <c r="A19" s="600">
        <f>ELEC!C17</f>
        <v>44726</v>
      </c>
      <c r="B19" s="678"/>
      <c r="C19" s="679"/>
      <c r="D19" s="679"/>
      <c r="E19" s="679"/>
      <c r="F19" s="679"/>
      <c r="G19" s="680"/>
      <c r="H19" s="598">
        <f t="shared" si="1"/>
        <v>7089</v>
      </c>
      <c r="I19" s="477">
        <f t="shared" si="4"/>
        <v>0</v>
      </c>
      <c r="J19" s="462">
        <v>0.29166666666666669</v>
      </c>
      <c r="L19" s="99">
        <f t="shared" si="0"/>
        <v>44726</v>
      </c>
      <c r="M19" s="3">
        <f t="shared" si="2"/>
        <v>0</v>
      </c>
      <c r="N19" s="477"/>
      <c r="O19" s="477">
        <f t="shared" si="3"/>
        <v>0</v>
      </c>
    </row>
    <row r="20" spans="1:15">
      <c r="A20" s="600">
        <f>ELEC!C18</f>
        <v>44727</v>
      </c>
      <c r="B20" s="678"/>
      <c r="C20" s="679"/>
      <c r="D20" s="679"/>
      <c r="E20" s="679"/>
      <c r="F20" s="679"/>
      <c r="G20" s="680"/>
      <c r="H20" s="598">
        <f t="shared" si="1"/>
        <v>7089</v>
      </c>
      <c r="I20" s="477">
        <f t="shared" si="4"/>
        <v>0</v>
      </c>
      <c r="J20" s="462">
        <v>0.29166666666666669</v>
      </c>
      <c r="L20" s="99">
        <f t="shared" si="0"/>
        <v>44727</v>
      </c>
      <c r="M20" s="3">
        <f t="shared" si="2"/>
        <v>0</v>
      </c>
      <c r="N20" s="477"/>
      <c r="O20" s="477">
        <f t="shared" si="3"/>
        <v>0</v>
      </c>
    </row>
    <row r="21" spans="1:15">
      <c r="A21" s="600">
        <f>ELEC!C19</f>
        <v>44728</v>
      </c>
      <c r="B21" s="678"/>
      <c r="C21" s="679"/>
      <c r="D21" s="679"/>
      <c r="E21" s="679"/>
      <c r="F21" s="679"/>
      <c r="G21" s="680"/>
      <c r="H21" s="598">
        <f t="shared" si="1"/>
        <v>7089</v>
      </c>
      <c r="I21" s="477">
        <f t="shared" si="4"/>
        <v>0</v>
      </c>
      <c r="J21" s="535" t="s">
        <v>409</v>
      </c>
      <c r="L21" s="99">
        <f t="shared" si="0"/>
        <v>44728</v>
      </c>
      <c r="M21" s="3">
        <f t="shared" si="2"/>
        <v>0</v>
      </c>
      <c r="N21" s="477"/>
      <c r="O21" s="477">
        <f t="shared" si="3"/>
        <v>0</v>
      </c>
    </row>
    <row r="22" spans="1:15">
      <c r="A22" s="600">
        <f>ELEC!C20</f>
        <v>44729</v>
      </c>
      <c r="B22" s="678"/>
      <c r="C22" s="679"/>
      <c r="D22" s="679"/>
      <c r="E22" s="679"/>
      <c r="F22" s="679"/>
      <c r="G22" s="680"/>
      <c r="H22" s="598">
        <f t="shared" si="1"/>
        <v>7089</v>
      </c>
      <c r="I22" s="477">
        <f t="shared" si="4"/>
        <v>0</v>
      </c>
      <c r="J22" s="462">
        <v>0.29166666666666669</v>
      </c>
      <c r="L22" s="99">
        <f t="shared" si="0"/>
        <v>44729</v>
      </c>
      <c r="M22" s="3">
        <f t="shared" si="2"/>
        <v>0</v>
      </c>
      <c r="N22" s="477"/>
      <c r="O22" s="477">
        <f t="shared" si="3"/>
        <v>0</v>
      </c>
    </row>
    <row r="23" spans="1:15">
      <c r="A23" s="600">
        <f>ELEC!C21</f>
        <v>44730</v>
      </c>
      <c r="B23" s="678"/>
      <c r="C23" s="679"/>
      <c r="D23" s="679"/>
      <c r="E23" s="679"/>
      <c r="F23" s="679"/>
      <c r="G23" s="680"/>
      <c r="H23" s="598">
        <f t="shared" si="1"/>
        <v>7089</v>
      </c>
      <c r="I23" s="477">
        <f t="shared" si="4"/>
        <v>0</v>
      </c>
      <c r="J23" s="462">
        <v>0.29166666666666669</v>
      </c>
      <c r="L23" s="99">
        <f t="shared" si="0"/>
        <v>44730</v>
      </c>
      <c r="M23" s="3">
        <f t="shared" si="2"/>
        <v>0</v>
      </c>
      <c r="N23" s="477"/>
      <c r="O23" s="477">
        <f t="shared" si="3"/>
        <v>0</v>
      </c>
    </row>
    <row r="24" spans="1:15">
      <c r="A24" s="600">
        <f>ELEC!C22</f>
        <v>44731</v>
      </c>
      <c r="B24" s="678"/>
      <c r="C24" s="679"/>
      <c r="D24" s="679"/>
      <c r="E24" s="679"/>
      <c r="F24" s="679"/>
      <c r="G24" s="680"/>
      <c r="H24" s="598">
        <f t="shared" si="1"/>
        <v>7089</v>
      </c>
      <c r="I24" s="477">
        <f t="shared" si="4"/>
        <v>0</v>
      </c>
      <c r="J24" s="462">
        <v>0.29166666666666702</v>
      </c>
      <c r="L24" s="99">
        <f t="shared" si="0"/>
        <v>44731</v>
      </c>
      <c r="M24" s="3">
        <f t="shared" si="2"/>
        <v>0</v>
      </c>
      <c r="N24" s="477"/>
      <c r="O24" s="477">
        <f t="shared" si="3"/>
        <v>0</v>
      </c>
    </row>
    <row r="25" spans="1:15">
      <c r="A25" s="600">
        <f>ELEC!C23</f>
        <v>44732</v>
      </c>
      <c r="B25" s="678"/>
      <c r="C25" s="679"/>
      <c r="D25" s="679"/>
      <c r="E25" s="679"/>
      <c r="F25" s="679"/>
      <c r="G25" s="680"/>
      <c r="H25" s="598">
        <f t="shared" si="1"/>
        <v>7089</v>
      </c>
      <c r="I25" s="477">
        <f t="shared" si="4"/>
        <v>0</v>
      </c>
      <c r="J25" s="462">
        <v>0.29166666666666702</v>
      </c>
      <c r="L25" s="99">
        <f t="shared" si="0"/>
        <v>44732</v>
      </c>
      <c r="M25" s="3">
        <f t="shared" si="2"/>
        <v>0</v>
      </c>
      <c r="N25" s="477"/>
      <c r="O25" s="477">
        <f t="shared" si="3"/>
        <v>0</v>
      </c>
    </row>
    <row r="26" spans="1:15">
      <c r="A26" s="600">
        <f>ELEC!C24</f>
        <v>44733</v>
      </c>
      <c r="B26" s="678"/>
      <c r="C26" s="679"/>
      <c r="D26" s="679"/>
      <c r="E26" s="679"/>
      <c r="F26" s="679"/>
      <c r="G26" s="680"/>
      <c r="H26" s="598">
        <f t="shared" si="1"/>
        <v>7089</v>
      </c>
      <c r="I26" s="477">
        <f t="shared" si="4"/>
        <v>0</v>
      </c>
      <c r="J26" s="462">
        <v>0.29166666666666702</v>
      </c>
      <c r="L26" s="99">
        <f t="shared" si="0"/>
        <v>44733</v>
      </c>
      <c r="M26" s="3">
        <f t="shared" si="2"/>
        <v>0</v>
      </c>
      <c r="N26" s="477"/>
      <c r="O26" s="477">
        <f t="shared" si="3"/>
        <v>0</v>
      </c>
    </row>
    <row r="27" spans="1:15">
      <c r="A27" s="600">
        <f>ELEC!C25</f>
        <v>44734</v>
      </c>
      <c r="B27" s="678"/>
      <c r="C27" s="679"/>
      <c r="D27" s="679"/>
      <c r="E27" s="679"/>
      <c r="F27" s="679"/>
      <c r="G27" s="680"/>
      <c r="H27" s="598">
        <f t="shared" si="1"/>
        <v>7089</v>
      </c>
      <c r="I27" s="477">
        <f t="shared" si="4"/>
        <v>0</v>
      </c>
      <c r="J27" s="462">
        <v>0.29166666666666702</v>
      </c>
      <c r="L27" s="99">
        <f t="shared" si="0"/>
        <v>44734</v>
      </c>
      <c r="M27" s="3">
        <f t="shared" si="2"/>
        <v>0</v>
      </c>
      <c r="N27" s="477"/>
      <c r="O27" s="477">
        <f t="shared" si="3"/>
        <v>0</v>
      </c>
    </row>
    <row r="28" spans="1:15">
      <c r="A28" s="600">
        <f>ELEC!C26</f>
        <v>44735</v>
      </c>
      <c r="B28" s="678"/>
      <c r="C28" s="679"/>
      <c r="D28" s="679"/>
      <c r="E28" s="679"/>
      <c r="F28" s="679"/>
      <c r="G28" s="680"/>
      <c r="H28" s="598">
        <f t="shared" si="1"/>
        <v>7089</v>
      </c>
      <c r="I28" s="477">
        <f t="shared" si="4"/>
        <v>0</v>
      </c>
      <c r="J28" s="463">
        <v>0.29166666666666702</v>
      </c>
      <c r="L28" s="99">
        <f t="shared" si="0"/>
        <v>44735</v>
      </c>
      <c r="M28" s="3">
        <f t="shared" si="2"/>
        <v>0</v>
      </c>
      <c r="N28" s="477"/>
      <c r="O28" s="477">
        <f t="shared" si="3"/>
        <v>0</v>
      </c>
    </row>
    <row r="29" spans="1:15">
      <c r="A29" s="600">
        <f>ELEC!C27</f>
        <v>44736</v>
      </c>
      <c r="B29" s="678"/>
      <c r="C29" s="679"/>
      <c r="D29" s="679"/>
      <c r="E29" s="679"/>
      <c r="F29" s="679"/>
      <c r="G29" s="680"/>
      <c r="H29" s="598">
        <f t="shared" si="1"/>
        <v>7089</v>
      </c>
      <c r="I29" s="477">
        <f t="shared" si="4"/>
        <v>0</v>
      </c>
      <c r="J29" s="462">
        <v>0.29166666666666702</v>
      </c>
      <c r="L29" s="99">
        <f t="shared" si="0"/>
        <v>44736</v>
      </c>
      <c r="M29" s="3">
        <f t="shared" si="2"/>
        <v>0</v>
      </c>
      <c r="N29" s="477"/>
      <c r="O29" s="477">
        <f t="shared" si="3"/>
        <v>0</v>
      </c>
    </row>
    <row r="30" spans="1:15">
      <c r="A30" s="600">
        <f>ELEC!C28</f>
        <v>44737</v>
      </c>
      <c r="B30" s="678"/>
      <c r="C30" s="679"/>
      <c r="D30" s="679"/>
      <c r="E30" s="679"/>
      <c r="F30" s="679"/>
      <c r="G30" s="680"/>
      <c r="H30" s="598">
        <f t="shared" si="1"/>
        <v>7089</v>
      </c>
      <c r="I30" s="477">
        <f t="shared" si="4"/>
        <v>0</v>
      </c>
      <c r="J30" s="462">
        <v>0.29166666666666702</v>
      </c>
      <c r="L30" s="99">
        <f t="shared" si="0"/>
        <v>44737</v>
      </c>
      <c r="M30" s="3">
        <f t="shared" si="2"/>
        <v>0</v>
      </c>
      <c r="N30" s="477"/>
      <c r="O30" s="477">
        <f t="shared" si="3"/>
        <v>0</v>
      </c>
    </row>
    <row r="31" spans="1:15">
      <c r="A31" s="600">
        <f>ELEC!C29</f>
        <v>44738</v>
      </c>
      <c r="B31" s="678"/>
      <c r="C31" s="679"/>
      <c r="D31" s="679"/>
      <c r="E31" s="679"/>
      <c r="F31" s="679"/>
      <c r="G31" s="680"/>
      <c r="H31" s="598">
        <f t="shared" si="1"/>
        <v>7089</v>
      </c>
      <c r="I31" s="477">
        <f t="shared" si="4"/>
        <v>0</v>
      </c>
      <c r="J31" s="462">
        <v>0.29166666666666702</v>
      </c>
      <c r="L31" s="99">
        <f t="shared" si="0"/>
        <v>44738</v>
      </c>
      <c r="M31" s="3">
        <f t="shared" si="2"/>
        <v>0</v>
      </c>
      <c r="N31" s="477"/>
      <c r="O31" s="477">
        <f t="shared" si="3"/>
        <v>0</v>
      </c>
    </row>
    <row r="32" spans="1:15">
      <c r="A32" s="600">
        <f>ELEC!C30</f>
        <v>44739</v>
      </c>
      <c r="B32" s="678"/>
      <c r="C32" s="679"/>
      <c r="D32" s="679"/>
      <c r="E32" s="679"/>
      <c r="F32" s="679"/>
      <c r="G32" s="680"/>
      <c r="H32" s="598">
        <f t="shared" si="1"/>
        <v>7089</v>
      </c>
      <c r="I32" s="477">
        <f t="shared" si="4"/>
        <v>0</v>
      </c>
      <c r="J32" s="462">
        <v>0.29166666666666702</v>
      </c>
      <c r="L32" s="99">
        <f t="shared" si="0"/>
        <v>44739</v>
      </c>
      <c r="M32" s="3">
        <f t="shared" si="2"/>
        <v>0</v>
      </c>
      <c r="N32" s="477"/>
      <c r="O32" s="477">
        <v>6879</v>
      </c>
    </row>
    <row r="33" spans="1:15">
      <c r="A33" s="600">
        <f>ELEC!C31</f>
        <v>44740</v>
      </c>
      <c r="B33" s="678"/>
      <c r="C33" s="679"/>
      <c r="D33" s="679"/>
      <c r="E33" s="679"/>
      <c r="F33" s="679"/>
      <c r="G33" s="680"/>
      <c r="H33" s="598">
        <f t="shared" si="1"/>
        <v>7089</v>
      </c>
      <c r="I33" s="477">
        <f t="shared" si="4"/>
        <v>0</v>
      </c>
      <c r="J33" s="462">
        <v>0.29166666666666702</v>
      </c>
      <c r="L33" s="99">
        <f t="shared" si="0"/>
        <v>44740</v>
      </c>
      <c r="M33" s="3">
        <f t="shared" si="2"/>
        <v>0</v>
      </c>
      <c r="N33" s="477"/>
      <c r="O33" s="477">
        <f t="shared" si="3"/>
        <v>0</v>
      </c>
    </row>
    <row r="34" spans="1:15">
      <c r="A34" s="600">
        <f>ELEC!C32</f>
        <v>44741</v>
      </c>
      <c r="B34" s="678"/>
      <c r="C34" s="679"/>
      <c r="D34" s="679"/>
      <c r="E34" s="679"/>
      <c r="F34" s="679"/>
      <c r="G34" s="680"/>
      <c r="H34" s="598">
        <f t="shared" si="1"/>
        <v>7089</v>
      </c>
      <c r="I34" s="477">
        <f t="shared" ref="I34:I36" si="5">H34-H33</f>
        <v>0</v>
      </c>
      <c r="J34" s="462">
        <v>0.33333333333333398</v>
      </c>
      <c r="L34" s="99">
        <f t="shared" ref="L34:L36" si="6">A34</f>
        <v>44741</v>
      </c>
      <c r="M34" s="3">
        <f t="shared" si="2"/>
        <v>0</v>
      </c>
      <c r="N34" s="477"/>
      <c r="O34" s="477">
        <f t="shared" ref="O34:O36" si="7">M34+N34</f>
        <v>0</v>
      </c>
    </row>
    <row r="35" spans="1:15">
      <c r="A35" s="600">
        <f>ELEC!C33</f>
        <v>44742</v>
      </c>
      <c r="B35" s="678"/>
      <c r="C35" s="679"/>
      <c r="D35" s="679"/>
      <c r="E35" s="679"/>
      <c r="F35" s="679"/>
      <c r="G35" s="680"/>
      <c r="H35" s="598">
        <f t="shared" si="1"/>
        <v>7089</v>
      </c>
      <c r="I35" s="477">
        <f t="shared" si="5"/>
        <v>0</v>
      </c>
      <c r="J35" s="462">
        <v>0.375</v>
      </c>
      <c r="L35" s="99">
        <f t="shared" si="6"/>
        <v>44742</v>
      </c>
      <c r="M35" s="3">
        <f t="shared" si="2"/>
        <v>0</v>
      </c>
      <c r="N35" s="477"/>
      <c r="O35" s="477">
        <f t="shared" si="7"/>
        <v>0</v>
      </c>
    </row>
    <row r="36" spans="1:15" ht="15.75" thickBot="1">
      <c r="A36" s="601">
        <f>ELEC!C34</f>
        <v>44743</v>
      </c>
      <c r="B36" s="681"/>
      <c r="C36" s="682"/>
      <c r="D36" s="682"/>
      <c r="E36" s="682"/>
      <c r="F36" s="682"/>
      <c r="G36" s="683"/>
      <c r="H36" s="598">
        <f t="shared" si="1"/>
        <v>7089</v>
      </c>
      <c r="I36" s="602">
        <f t="shared" si="5"/>
        <v>0</v>
      </c>
      <c r="J36" s="603">
        <v>0.41666666666666702</v>
      </c>
      <c r="L36" s="99">
        <f t="shared" si="6"/>
        <v>44743</v>
      </c>
      <c r="M36" s="3">
        <f t="shared" si="2"/>
        <v>0</v>
      </c>
      <c r="N36" s="477"/>
      <c r="O36" s="477">
        <f t="shared" si="7"/>
        <v>0</v>
      </c>
    </row>
  </sheetData>
  <mergeCells count="7">
    <mergeCell ref="B5:G36"/>
    <mergeCell ref="A1:A3"/>
    <mergeCell ref="J1:J3"/>
    <mergeCell ref="I1:I3"/>
    <mergeCell ref="H1:H3"/>
    <mergeCell ref="E1:G1"/>
    <mergeCell ref="B1:D1"/>
  </mergeCells>
  <pageMargins left="0.7" right="0.7" top="0.75" bottom="0.75" header="0.3" footer="0.3"/>
  <pageSetup paperSize="9"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B96"/>
  <sheetViews>
    <sheetView topLeftCell="I8" zoomScale="80" zoomScaleNormal="80" workbookViewId="0">
      <selection activeCell="Y13" sqref="Y13"/>
    </sheetView>
  </sheetViews>
  <sheetFormatPr defaultRowHeight="15"/>
  <cols>
    <col min="1" max="1" width="9.28515625" style="104" customWidth="1"/>
    <col min="4" max="4" width="9.28515625" style="10" customWidth="1"/>
    <col min="5" max="5" width="9.28515625" style="104" customWidth="1"/>
    <col min="8" max="8" width="9.28515625" style="10" customWidth="1"/>
    <col min="9" max="9" width="9.28515625" style="104" customWidth="1"/>
    <col min="12" max="12" width="9.28515625" style="10" customWidth="1"/>
    <col min="13" max="13" width="9.28515625" style="104" customWidth="1"/>
    <col min="16" max="16" width="9.28515625" style="10" customWidth="1"/>
    <col min="17" max="17" width="9.28515625" style="104" customWidth="1"/>
    <col min="20" max="20" width="9.28515625" style="10" customWidth="1"/>
    <col min="21" max="21" width="9.28515625" style="104" customWidth="1"/>
    <col min="24" max="24" width="9.28515625" style="10" customWidth="1"/>
  </cols>
  <sheetData>
    <row r="1" spans="1:28" ht="18.75">
      <c r="A1" s="711" t="s">
        <v>161</v>
      </c>
      <c r="B1" s="711"/>
      <c r="C1" s="711"/>
      <c r="D1" s="711"/>
      <c r="E1" s="711"/>
      <c r="F1" s="711"/>
      <c r="G1" s="711"/>
      <c r="H1" s="711"/>
      <c r="I1" s="711"/>
      <c r="J1" s="711"/>
      <c r="K1" s="711"/>
      <c r="L1" s="711"/>
      <c r="M1" s="711"/>
      <c r="N1" s="711"/>
      <c r="O1" s="711"/>
      <c r="P1" s="711"/>
      <c r="Q1" s="711"/>
      <c r="R1" s="711"/>
      <c r="S1" s="711"/>
      <c r="T1" s="711"/>
      <c r="U1" s="711"/>
      <c r="V1" s="711"/>
      <c r="W1" s="711"/>
      <c r="X1" s="711"/>
    </row>
    <row r="2" spans="1:28" ht="19.5">
      <c r="A2" s="712"/>
      <c r="B2" s="712"/>
      <c r="C2" s="712"/>
      <c r="D2" s="712"/>
      <c r="E2" s="712"/>
      <c r="F2" s="712"/>
      <c r="G2" s="712"/>
      <c r="H2" s="712"/>
      <c r="I2" s="712"/>
      <c r="J2" s="712"/>
      <c r="K2" s="712"/>
      <c r="L2" s="712"/>
      <c r="M2" s="712"/>
      <c r="N2" s="712"/>
      <c r="O2" s="712"/>
      <c r="P2" s="712"/>
      <c r="Q2" s="712"/>
      <c r="R2" s="712"/>
      <c r="S2" s="712"/>
      <c r="T2" s="712"/>
      <c r="U2" s="712"/>
      <c r="V2" s="712"/>
      <c r="W2" s="712"/>
      <c r="X2" s="712"/>
    </row>
    <row r="3" spans="1:28" ht="19.5">
      <c r="A3" s="712" t="s">
        <v>162</v>
      </c>
      <c r="B3" s="712"/>
      <c r="C3" s="712"/>
      <c r="D3" s="712"/>
      <c r="E3" s="712"/>
      <c r="F3" s="712"/>
      <c r="G3" s="712"/>
      <c r="H3" s="712"/>
      <c r="I3" s="712"/>
      <c r="J3" s="712"/>
      <c r="K3" s="712"/>
      <c r="L3" s="712"/>
      <c r="M3" s="712"/>
      <c r="N3" s="712"/>
      <c r="O3" s="712"/>
      <c r="P3" s="712"/>
      <c r="Q3" s="712"/>
      <c r="R3" s="712"/>
      <c r="S3" s="712"/>
      <c r="T3" s="712"/>
      <c r="U3" s="712"/>
      <c r="V3" s="712"/>
      <c r="W3" s="712"/>
      <c r="X3" s="712"/>
    </row>
    <row r="4" spans="1:28" ht="19.5">
      <c r="A4" s="103"/>
      <c r="B4" s="103"/>
      <c r="C4" s="103"/>
      <c r="D4" s="103"/>
      <c r="E4" s="103"/>
      <c r="F4" s="103"/>
      <c r="G4" s="103"/>
      <c r="H4" s="103"/>
      <c r="I4" s="103"/>
      <c r="J4" s="103"/>
      <c r="K4" s="103"/>
      <c r="L4" s="103"/>
      <c r="M4" s="103"/>
      <c r="N4" s="103"/>
      <c r="O4" s="103"/>
      <c r="P4" s="103"/>
      <c r="Q4" s="103"/>
      <c r="R4" s="103"/>
      <c r="S4" s="103"/>
      <c r="T4" s="103"/>
      <c r="U4" s="103"/>
      <c r="V4" s="103"/>
      <c r="W4" s="103"/>
      <c r="X4" s="103"/>
    </row>
    <row r="5" spans="1:28" ht="19.5">
      <c r="A5" s="712" t="s">
        <v>404</v>
      </c>
      <c r="B5" s="712"/>
      <c r="C5" s="712"/>
      <c r="D5" s="712"/>
      <c r="E5" s="712"/>
      <c r="F5" s="712"/>
      <c r="G5" s="712"/>
      <c r="H5" s="712"/>
      <c r="I5" s="712"/>
      <c r="J5" s="712"/>
      <c r="K5" s="712"/>
      <c r="L5" s="712"/>
      <c r="M5" s="712"/>
      <c r="N5" s="712"/>
      <c r="O5" s="712"/>
      <c r="P5" s="712"/>
      <c r="Q5" s="712"/>
      <c r="R5" s="712"/>
      <c r="S5" s="712"/>
      <c r="T5" s="712"/>
      <c r="U5" s="712"/>
      <c r="V5" s="712"/>
      <c r="W5" s="712"/>
      <c r="X5" s="712"/>
    </row>
    <row r="6" spans="1:28" ht="15.75" thickBot="1">
      <c r="A6" s="713"/>
      <c r="B6" s="713"/>
      <c r="C6" s="713"/>
      <c r="D6" s="713"/>
      <c r="E6" s="713"/>
      <c r="F6" s="713"/>
      <c r="G6" s="713"/>
      <c r="H6" s="713"/>
      <c r="I6" s="713"/>
      <c r="J6" s="713"/>
      <c r="K6" s="713"/>
      <c r="L6" s="713"/>
      <c r="M6" s="713"/>
      <c r="N6" s="713"/>
      <c r="O6" s="713"/>
      <c r="P6" s="713"/>
      <c r="Q6" s="713"/>
      <c r="R6" s="713"/>
      <c r="S6" s="713"/>
      <c r="T6" s="713"/>
      <c r="U6" s="713"/>
      <c r="V6" s="713"/>
      <c r="W6" s="713"/>
      <c r="X6" s="713"/>
    </row>
    <row r="7" spans="1:28" ht="15.75" thickBot="1">
      <c r="A7" s="701" t="s">
        <v>163</v>
      </c>
      <c r="B7" s="702"/>
      <c r="C7" s="703" t="s">
        <v>164</v>
      </c>
      <c r="D7" s="704"/>
      <c r="E7" s="704"/>
      <c r="F7" s="704"/>
      <c r="G7" s="704"/>
      <c r="H7" s="704"/>
      <c r="I7" s="704"/>
      <c r="J7" s="704"/>
      <c r="K7" s="705"/>
    </row>
    <row r="8" spans="1:28" ht="15.75">
      <c r="A8" s="105"/>
      <c r="B8" s="106"/>
      <c r="C8" s="107"/>
      <c r="D8" s="108"/>
      <c r="E8" s="105"/>
      <c r="F8" s="106"/>
      <c r="G8" s="107"/>
      <c r="H8" s="108"/>
      <c r="I8" s="105"/>
      <c r="J8" s="109"/>
      <c r="K8" s="106"/>
      <c r="L8" s="110"/>
      <c r="M8" s="105"/>
      <c r="N8" s="106"/>
      <c r="O8" s="107"/>
      <c r="P8" s="108"/>
      <c r="Q8" s="111"/>
      <c r="R8" s="109"/>
      <c r="S8" s="106"/>
      <c r="T8" s="110"/>
      <c r="U8" s="111"/>
      <c r="V8" s="109"/>
      <c r="W8" s="106"/>
      <c r="X8" s="110"/>
    </row>
    <row r="9" spans="1:28" s="116" customFormat="1" ht="33.75">
      <c r="A9" s="112" t="s">
        <v>297</v>
      </c>
      <c r="B9" s="113" t="s">
        <v>166</v>
      </c>
      <c r="C9" s="113" t="s">
        <v>167</v>
      </c>
      <c r="D9" s="114" t="s">
        <v>168</v>
      </c>
      <c r="E9" s="112" t="s">
        <v>169</v>
      </c>
      <c r="F9" s="113" t="s">
        <v>166</v>
      </c>
      <c r="G9" s="113" t="s">
        <v>167</v>
      </c>
      <c r="H9" s="115" t="s">
        <v>168</v>
      </c>
      <c r="I9" s="112" t="s">
        <v>170</v>
      </c>
      <c r="J9" s="113" t="s">
        <v>166</v>
      </c>
      <c r="K9" s="113" t="s">
        <v>167</v>
      </c>
      <c r="L9" s="115" t="s">
        <v>168</v>
      </c>
      <c r="M9" s="112" t="s">
        <v>171</v>
      </c>
      <c r="N9" s="113" t="s">
        <v>166</v>
      </c>
      <c r="O9" s="113" t="s">
        <v>167</v>
      </c>
      <c r="P9" s="115" t="s">
        <v>168</v>
      </c>
      <c r="Q9" s="112" t="s">
        <v>172</v>
      </c>
      <c r="R9" s="113" t="s">
        <v>166</v>
      </c>
      <c r="S9" s="113" t="s">
        <v>167</v>
      </c>
      <c r="T9" s="115" t="s">
        <v>168</v>
      </c>
      <c r="U9" s="112" t="s">
        <v>173</v>
      </c>
      <c r="V9" s="113" t="s">
        <v>166</v>
      </c>
      <c r="W9" s="113" t="s">
        <v>167</v>
      </c>
      <c r="X9" s="115" t="s">
        <v>168</v>
      </c>
      <c r="AA9" s="158" t="s">
        <v>174</v>
      </c>
      <c r="AB9" s="158" t="s">
        <v>175</v>
      </c>
    </row>
    <row r="10" spans="1:28">
      <c r="A10" s="117">
        <v>1</v>
      </c>
      <c r="B10" s="261">
        <f>'[5]Degree Days 2022'!B10</f>
        <v>0</v>
      </c>
      <c r="C10" s="261">
        <f>'General information '!C5</f>
        <v>21</v>
      </c>
      <c r="D10" s="261">
        <f>'[8]Degree Days 2020'!D10</f>
        <v>-0.80000000000000071</v>
      </c>
      <c r="E10" s="498">
        <v>1</v>
      </c>
      <c r="F10" s="261">
        <f>'[9]Degree Days 2022'!F10</f>
        <v>17</v>
      </c>
      <c r="G10" s="261">
        <f>'[9]Degree Days 2022'!G10</f>
        <v>12</v>
      </c>
      <c r="H10" s="261">
        <f>'[8]Degree Days 2020'!H10</f>
        <v>0.19999999999999929</v>
      </c>
      <c r="I10" s="498">
        <f>'[8]Degree Days 2020'!I10</f>
        <v>1</v>
      </c>
      <c r="J10" s="261">
        <f>'[6]Degree Days 2022'!J10</f>
        <v>17</v>
      </c>
      <c r="K10" s="261">
        <f>'[6]Degree Days 2022'!K10</f>
        <v>14</v>
      </c>
      <c r="L10" s="261">
        <f>'[8]Degree Days 2020'!L10</f>
        <v>-2.3000000000000007</v>
      </c>
      <c r="M10" s="498">
        <f>'[10]Degree Days 2020'!M10</f>
        <v>1</v>
      </c>
      <c r="N10" s="261">
        <f>'[7]Degree Days 2022'!N10</f>
        <v>0</v>
      </c>
      <c r="O10" s="261">
        <f>'[7]Degree Days 2022'!O10</f>
        <v>0</v>
      </c>
      <c r="P10" s="261">
        <f>(N10+O10)/2-18.3</f>
        <v>-18.3</v>
      </c>
      <c r="Q10" s="498">
        <v>1</v>
      </c>
      <c r="R10" s="261">
        <f>'[2]Degree Days 2022'!R10</f>
        <v>0</v>
      </c>
      <c r="S10" s="261">
        <f>'[2]Degree Days 2022'!S10</f>
        <v>0</v>
      </c>
      <c r="T10" s="261">
        <f>(R10+S10)/2-18.3</f>
        <v>-18.3</v>
      </c>
      <c r="U10" s="498">
        <v>1</v>
      </c>
      <c r="V10" s="261">
        <f>'General information '!B5</f>
        <v>25</v>
      </c>
      <c r="W10" s="261">
        <f>'General information '!C5</f>
        <v>21</v>
      </c>
      <c r="X10" s="261">
        <f>(V10+W10)/2-18.3</f>
        <v>4.6999999999999993</v>
      </c>
      <c r="Z10" t="s">
        <v>165</v>
      </c>
      <c r="AA10" s="261">
        <f>'[8]Degree Days 2020'!AA10</f>
        <v>-92.59999999999998</v>
      </c>
      <c r="AB10" s="261">
        <f>'[8]Degree Days 2020'!AB10</f>
        <v>2.7999999999999936</v>
      </c>
    </row>
    <row r="11" spans="1:28">
      <c r="A11" s="117">
        <v>2</v>
      </c>
      <c r="B11" s="261">
        <f>'[5]Degree Days 2022'!B11</f>
        <v>0</v>
      </c>
      <c r="C11" s="261">
        <f>'General information '!C6</f>
        <v>22</v>
      </c>
      <c r="D11" s="261">
        <f>'[8]Degree Days 2020'!D11</f>
        <v>-0.30000000000000071</v>
      </c>
      <c r="E11" s="498">
        <v>2</v>
      </c>
      <c r="F11" s="261">
        <f>'[9]Degree Days 2022'!F11</f>
        <v>19</v>
      </c>
      <c r="G11" s="261">
        <f>'[9]Degree Days 2022'!G11</f>
        <v>11</v>
      </c>
      <c r="H11" s="261">
        <f>'[8]Degree Days 2020'!H11</f>
        <v>1.6999999999999993</v>
      </c>
      <c r="I11" s="498">
        <f>'[8]Degree Days 2020'!I11</f>
        <v>2</v>
      </c>
      <c r="J11" s="261">
        <f>'[6]Degree Days 2022'!J11</f>
        <v>24</v>
      </c>
      <c r="K11" s="261">
        <f>'[6]Degree Days 2022'!K11</f>
        <v>15</v>
      </c>
      <c r="L11" s="261">
        <f>'[8]Degree Days 2020'!L11</f>
        <v>-2.8000000000000007</v>
      </c>
      <c r="M11" s="498">
        <f>'[10]Degree Days 2020'!M11</f>
        <v>2</v>
      </c>
      <c r="N11" s="261">
        <f>'[7]Degree Days 2022'!N11</f>
        <v>0</v>
      </c>
      <c r="O11" s="261">
        <f>'[7]Degree Days 2022'!O11</f>
        <v>0</v>
      </c>
      <c r="P11" s="261">
        <f t="shared" ref="P11:P39" si="0">(N11+O11)/2-18.3</f>
        <v>-18.3</v>
      </c>
      <c r="Q11" s="498">
        <v>2</v>
      </c>
      <c r="R11" s="261">
        <f>'[2]Degree Days 2022'!R11</f>
        <v>0</v>
      </c>
      <c r="S11" s="261">
        <f>'[2]Degree Days 2022'!S11</f>
        <v>0</v>
      </c>
      <c r="T11" s="261">
        <f t="shared" ref="T11:T40" si="1">(R11+S11)/2-18.3</f>
        <v>-18.3</v>
      </c>
      <c r="U11" s="498">
        <v>2</v>
      </c>
      <c r="V11" s="261">
        <f>'General information '!B6</f>
        <v>25</v>
      </c>
      <c r="W11" s="261">
        <f>'General information '!C6</f>
        <v>22</v>
      </c>
      <c r="X11" s="261">
        <f t="shared" ref="X11:X39" si="2">(V11+W11)/2-18.3</f>
        <v>5.1999999999999993</v>
      </c>
      <c r="Z11" t="s">
        <v>169</v>
      </c>
      <c r="AA11" s="261">
        <f>'[8]Degree Days 2020'!AA11</f>
        <v>-75.899999999999977</v>
      </c>
      <c r="AB11" s="261">
        <f>'[8]Degree Days 2020'!AB11</f>
        <v>6.4999999999999964</v>
      </c>
    </row>
    <row r="12" spans="1:28">
      <c r="A12" s="117">
        <v>3</v>
      </c>
      <c r="B12" s="261">
        <f>'[5]Degree Days 2022'!B12</f>
        <v>0</v>
      </c>
      <c r="C12" s="261">
        <f>'General information '!C7</f>
        <v>0</v>
      </c>
      <c r="D12" s="261">
        <f>'[8]Degree Days 2020'!D12</f>
        <v>0.19999999999999929</v>
      </c>
      <c r="E12" s="498">
        <v>3</v>
      </c>
      <c r="F12" s="261">
        <f>'[9]Degree Days 2022'!F12</f>
        <v>19</v>
      </c>
      <c r="G12" s="261">
        <f>'[9]Degree Days 2022'!G12</f>
        <v>11</v>
      </c>
      <c r="H12" s="261">
        <f>'[8]Degree Days 2020'!H12</f>
        <v>-0.80000000000000071</v>
      </c>
      <c r="I12" s="498">
        <f>'[8]Degree Days 2020'!I12</f>
        <v>3</v>
      </c>
      <c r="J12" s="261">
        <f>'[6]Degree Days 2022'!J12</f>
        <v>20</v>
      </c>
      <c r="K12" s="261">
        <f>'[6]Degree Days 2022'!K12</f>
        <v>13</v>
      </c>
      <c r="L12" s="261">
        <f>'[8]Degree Days 2020'!L12</f>
        <v>-2.8000000000000007</v>
      </c>
      <c r="M12" s="498">
        <f>'[10]Degree Days 2020'!M12</f>
        <v>3</v>
      </c>
      <c r="N12" s="261">
        <f>'[7]Degree Days 2022'!N12</f>
        <v>24</v>
      </c>
      <c r="O12" s="261">
        <f>'[7]Degree Days 2022'!O12</f>
        <v>17</v>
      </c>
      <c r="P12" s="261">
        <f t="shared" si="0"/>
        <v>2.1999999999999993</v>
      </c>
      <c r="Q12" s="498">
        <v>3</v>
      </c>
      <c r="R12" s="261">
        <f>'[2]Degree Days 2022'!R12</f>
        <v>0</v>
      </c>
      <c r="S12" s="261">
        <f>'[2]Degree Days 2022'!S12</f>
        <v>0</v>
      </c>
      <c r="T12" s="261">
        <f t="shared" si="1"/>
        <v>-18.3</v>
      </c>
      <c r="U12" s="498">
        <v>3</v>
      </c>
      <c r="V12" s="261">
        <f>'General information '!B7</f>
        <v>0</v>
      </c>
      <c r="W12" s="261">
        <f>'General information '!C7</f>
        <v>0</v>
      </c>
      <c r="X12" s="261">
        <f t="shared" si="2"/>
        <v>-18.3</v>
      </c>
      <c r="Z12" t="s">
        <v>170</v>
      </c>
      <c r="AA12" s="261">
        <f>'[8]Degree Days 2020'!AA12</f>
        <v>-56.899999999999991</v>
      </c>
      <c r="AB12" s="261">
        <f>'[8]Degree Days 2020'!AB12</f>
        <v>11.499999999999996</v>
      </c>
    </row>
    <row r="13" spans="1:28">
      <c r="A13" s="117">
        <v>4</v>
      </c>
      <c r="B13" s="261">
        <f>'[5]Degree Days 2022'!B13</f>
        <v>18</v>
      </c>
      <c r="C13" s="261">
        <f>'General information '!C8</f>
        <v>0</v>
      </c>
      <c r="D13" s="261">
        <f>'[8]Degree Days 2020'!D13</f>
        <v>0.19999999999999929</v>
      </c>
      <c r="E13" s="498">
        <f>'[8]Degree Days 2020'!E13</f>
        <v>4</v>
      </c>
      <c r="F13" s="261">
        <f>'[9]Degree Days 2022'!F13</f>
        <v>0</v>
      </c>
      <c r="G13" s="261">
        <f>'[9]Degree Days 2022'!G13</f>
        <v>0</v>
      </c>
      <c r="H13" s="261">
        <f>'[8]Degree Days 2020'!H13</f>
        <v>-0.80000000000000071</v>
      </c>
      <c r="I13" s="498">
        <f>'[8]Degree Days 2020'!I13</f>
        <v>4</v>
      </c>
      <c r="J13" s="261">
        <f>'[6]Degree Days 2022'!J13</f>
        <v>0</v>
      </c>
      <c r="K13" s="261">
        <f>'[6]Degree Days 2022'!K13</f>
        <v>0</v>
      </c>
      <c r="L13" s="261">
        <f>'[8]Degree Days 2020'!L13</f>
        <v>-2.8000000000000007</v>
      </c>
      <c r="M13" s="498">
        <f>'[10]Degree Days 2020'!M13</f>
        <v>4</v>
      </c>
      <c r="N13" s="261">
        <f>'[7]Degree Days 2022'!N13</f>
        <v>24</v>
      </c>
      <c r="O13" s="261">
        <f>'[7]Degree Days 2022'!O13</f>
        <v>16</v>
      </c>
      <c r="P13" s="261">
        <f t="shared" si="0"/>
        <v>1.6999999999999993</v>
      </c>
      <c r="Q13" s="498">
        <v>4</v>
      </c>
      <c r="R13" s="261">
        <f>'[2]Degree Days 2022'!R13</f>
        <v>23</v>
      </c>
      <c r="S13" s="261">
        <f>'[2]Degree Days 2022'!S13</f>
        <v>19</v>
      </c>
      <c r="T13" s="261">
        <f t="shared" si="1"/>
        <v>2.6999999999999993</v>
      </c>
      <c r="U13" s="498">
        <v>4</v>
      </c>
      <c r="V13" s="261">
        <f>'General information '!B8</f>
        <v>0</v>
      </c>
      <c r="W13" s="261">
        <f>'General information '!C8</f>
        <v>0</v>
      </c>
      <c r="X13" s="261">
        <f t="shared" si="2"/>
        <v>-18.3</v>
      </c>
      <c r="Z13" t="s">
        <v>171</v>
      </c>
      <c r="AA13" s="261">
        <f>N43</f>
        <v>-220.20000000000007</v>
      </c>
      <c r="AB13" s="261">
        <f>O43</f>
        <v>34.299999999999997</v>
      </c>
    </row>
    <row r="14" spans="1:28">
      <c r="A14" s="117">
        <v>5</v>
      </c>
      <c r="B14" s="261">
        <f>'[5]Degree Days 2022'!B14</f>
        <v>19</v>
      </c>
      <c r="C14" s="261">
        <f>'General information '!C9</f>
        <v>21</v>
      </c>
      <c r="D14" s="261">
        <f>'[8]Degree Days 2020'!D14</f>
        <v>0.69999999999999929</v>
      </c>
      <c r="E14" s="498">
        <f>'[8]Degree Days 2020'!E14</f>
        <v>5</v>
      </c>
      <c r="F14" s="261">
        <f>'[9]Degree Days 2022'!F14</f>
        <v>0</v>
      </c>
      <c r="G14" s="261">
        <f>'[9]Degree Days 2022'!G14</f>
        <v>0</v>
      </c>
      <c r="H14" s="261">
        <f>'[8]Degree Days 2020'!H14</f>
        <v>-0.80000000000000071</v>
      </c>
      <c r="I14" s="498">
        <f>'[8]Degree Days 2020'!I14</f>
        <v>5</v>
      </c>
      <c r="J14" s="261">
        <f>'[6]Degree Days 2022'!J14</f>
        <v>0</v>
      </c>
      <c r="K14" s="261">
        <f>'[6]Degree Days 2022'!K14</f>
        <v>0</v>
      </c>
      <c r="L14" s="261">
        <f>'[8]Degree Days 2020'!L14</f>
        <v>-2.8000000000000007</v>
      </c>
      <c r="M14" s="498">
        <f>'[10]Degree Days 2020'!M14</f>
        <v>5</v>
      </c>
      <c r="N14" s="261">
        <f>'[7]Degree Days 2022'!N14</f>
        <v>30</v>
      </c>
      <c r="O14" s="261">
        <f>'[7]Degree Days 2022'!O14</f>
        <v>16</v>
      </c>
      <c r="P14" s="261">
        <f t="shared" si="0"/>
        <v>4.6999999999999993</v>
      </c>
      <c r="Q14" s="498">
        <v>5</v>
      </c>
      <c r="R14" s="261">
        <f>'[2]Degree Days 2022'!R14</f>
        <v>22</v>
      </c>
      <c r="S14" s="261">
        <f>'[2]Degree Days 2022'!S14</f>
        <v>18</v>
      </c>
      <c r="T14" s="261">
        <f t="shared" si="1"/>
        <v>1.6999999999999993</v>
      </c>
      <c r="U14" s="498">
        <v>5</v>
      </c>
      <c r="V14" s="261">
        <f>'General information '!B9</f>
        <v>27</v>
      </c>
      <c r="W14" s="261">
        <f>'General information '!C9</f>
        <v>21</v>
      </c>
      <c r="X14" s="261">
        <f t="shared" si="2"/>
        <v>5.6999999999999993</v>
      </c>
      <c r="Z14" t="s">
        <v>172</v>
      </c>
      <c r="AA14" s="261">
        <f>R43</f>
        <v>-201.30000000000004</v>
      </c>
      <c r="AB14" s="261">
        <f>S43</f>
        <v>43.399999999999991</v>
      </c>
    </row>
    <row r="15" spans="1:28">
      <c r="A15" s="117">
        <v>6</v>
      </c>
      <c r="B15" s="261">
        <f>'[5]Degree Days 2022'!B15</f>
        <v>21</v>
      </c>
      <c r="C15" s="261">
        <f>'General information '!C10</f>
        <v>21</v>
      </c>
      <c r="D15" s="261">
        <f>'[8]Degree Days 2020'!D15</f>
        <v>0.19999999999999929</v>
      </c>
      <c r="E15" s="498">
        <f>'[8]Degree Days 2020'!E15</f>
        <v>6</v>
      </c>
      <c r="F15" s="261">
        <f>'[9]Degree Days 2022'!F15</f>
        <v>17</v>
      </c>
      <c r="G15" s="261">
        <f>'[9]Degree Days 2022'!G15</f>
        <v>12</v>
      </c>
      <c r="H15" s="261">
        <f>'[8]Degree Days 2020'!H15</f>
        <v>-1.3000000000000007</v>
      </c>
      <c r="I15" s="498">
        <f>'[8]Degree Days 2020'!I15</f>
        <v>6</v>
      </c>
      <c r="J15" s="261">
        <f>'[6]Degree Days 2022'!J15</f>
        <v>22</v>
      </c>
      <c r="K15" s="261">
        <f>'[6]Degree Days 2022'!K15</f>
        <v>13</v>
      </c>
      <c r="L15" s="261">
        <f>'[8]Degree Days 2020'!L15</f>
        <v>-2.3000000000000007</v>
      </c>
      <c r="M15" s="498">
        <f>'[10]Degree Days 2020'!M15</f>
        <v>6</v>
      </c>
      <c r="N15" s="261">
        <f>'[7]Degree Days 2022'!N15</f>
        <v>34</v>
      </c>
      <c r="O15" s="261">
        <f>'[7]Degree Days 2022'!O15</f>
        <v>18</v>
      </c>
      <c r="P15" s="261">
        <f t="shared" si="0"/>
        <v>7.6999999999999993</v>
      </c>
      <c r="Q15" s="498">
        <v>6</v>
      </c>
      <c r="R15" s="261">
        <f>'[2]Degree Days 2022'!R15</f>
        <v>0</v>
      </c>
      <c r="S15" s="261">
        <f>'[2]Degree Days 2022'!S15</f>
        <v>0</v>
      </c>
      <c r="T15" s="261">
        <f t="shared" si="1"/>
        <v>-18.3</v>
      </c>
      <c r="U15" s="498">
        <v>6</v>
      </c>
      <c r="V15" s="261">
        <f>'General information '!B10</f>
        <v>26</v>
      </c>
      <c r="W15" s="261">
        <f>'General information '!C10</f>
        <v>21</v>
      </c>
      <c r="X15" s="261">
        <f t="shared" si="2"/>
        <v>5.1999999999999993</v>
      </c>
      <c r="Z15" t="s">
        <v>173</v>
      </c>
      <c r="AA15" s="261"/>
      <c r="AB15" s="261"/>
    </row>
    <row r="16" spans="1:28">
      <c r="A16" s="117">
        <v>7</v>
      </c>
      <c r="B16" s="261">
        <f>'[5]Degree Days 2022'!B16</f>
        <v>0</v>
      </c>
      <c r="C16" s="261">
        <f>'General information '!C11</f>
        <v>22</v>
      </c>
      <c r="D16" s="261">
        <f>'[8]Degree Days 2020'!D16</f>
        <v>-1.3000000000000007</v>
      </c>
      <c r="E16" s="498">
        <f>'[8]Degree Days 2020'!E16</f>
        <v>7</v>
      </c>
      <c r="F16" s="261">
        <f>'[9]Degree Days 2022'!F16</f>
        <v>17</v>
      </c>
      <c r="G16" s="261">
        <f>'[9]Degree Days 2022'!G16</f>
        <v>13</v>
      </c>
      <c r="H16" s="261">
        <f>'[8]Degree Days 2020'!H16</f>
        <v>0.69999999999999929</v>
      </c>
      <c r="I16" s="498">
        <f>'[8]Degree Days 2020'!I16</f>
        <v>7</v>
      </c>
      <c r="J16" s="261">
        <f>'[6]Degree Days 2022'!J16</f>
        <v>17</v>
      </c>
      <c r="K16" s="261">
        <f>'[6]Degree Days 2022'!K16</f>
        <v>13</v>
      </c>
      <c r="L16" s="261">
        <f>'[8]Degree Days 2020'!L16</f>
        <v>-1.8000000000000007</v>
      </c>
      <c r="M16" s="498">
        <f>'[10]Degree Days 2020'!M16</f>
        <v>7</v>
      </c>
      <c r="N16" s="261">
        <f>'[7]Degree Days 2022'!N16</f>
        <v>21</v>
      </c>
      <c r="O16" s="261">
        <f>'[7]Degree Days 2022'!O16</f>
        <v>16</v>
      </c>
      <c r="P16" s="261">
        <f t="shared" si="0"/>
        <v>0.19999999999999929</v>
      </c>
      <c r="Q16" s="498">
        <v>7</v>
      </c>
      <c r="R16" s="261">
        <f>'[2]Degree Days 2022'!R16</f>
        <v>0</v>
      </c>
      <c r="S16" s="261">
        <f>'[2]Degree Days 2022'!S16</f>
        <v>0</v>
      </c>
      <c r="T16" s="261">
        <f t="shared" si="1"/>
        <v>-18.3</v>
      </c>
      <c r="U16" s="498">
        <v>7</v>
      </c>
      <c r="V16" s="261">
        <f>'General information '!B11</f>
        <v>27</v>
      </c>
      <c r="W16" s="261">
        <f>'General information '!C11</f>
        <v>22</v>
      </c>
      <c r="X16" s="261">
        <f t="shared" si="2"/>
        <v>6.1999999999999993</v>
      </c>
      <c r="Z16" t="s">
        <v>176</v>
      </c>
      <c r="AA16" s="261"/>
      <c r="AB16" s="261"/>
    </row>
    <row r="17" spans="1:28">
      <c r="A17" s="117">
        <v>8</v>
      </c>
      <c r="B17" s="261">
        <f>'[5]Degree Days 2022'!B17</f>
        <v>0</v>
      </c>
      <c r="C17" s="261">
        <f>'General information '!C12</f>
        <v>23</v>
      </c>
      <c r="D17" s="261">
        <f>'[8]Degree Days 2020'!D17</f>
        <v>-0.80000000000000071</v>
      </c>
      <c r="E17" s="498">
        <f>'[8]Degree Days 2020'!E17</f>
        <v>8</v>
      </c>
      <c r="F17" s="261">
        <f>'[9]Degree Days 2022'!F17</f>
        <v>0</v>
      </c>
      <c r="G17" s="261">
        <f>'[9]Degree Days 2022'!G17</f>
        <v>0</v>
      </c>
      <c r="H17" s="261">
        <f>'[8]Degree Days 2020'!H17</f>
        <v>2.6999999999999993</v>
      </c>
      <c r="I17" s="498">
        <f>'[8]Degree Days 2020'!I17</f>
        <v>8</v>
      </c>
      <c r="J17" s="261">
        <f>'[6]Degree Days 2022'!J17</f>
        <v>8</v>
      </c>
      <c r="K17" s="261">
        <f>'[6]Degree Days 2022'!K17</f>
        <v>13</v>
      </c>
      <c r="L17" s="261">
        <f>'[8]Degree Days 2020'!L17</f>
        <v>-0.30000000000000071</v>
      </c>
      <c r="M17" s="498">
        <f>'[10]Degree Days 2020'!M17</f>
        <v>8</v>
      </c>
      <c r="N17" s="261">
        <f>'[7]Degree Days 2022'!N17</f>
        <v>0</v>
      </c>
      <c r="O17" s="261">
        <f>'[7]Degree Days 2022'!O17</f>
        <v>0</v>
      </c>
      <c r="P17" s="261">
        <f t="shared" si="0"/>
        <v>-18.3</v>
      </c>
      <c r="Q17" s="498">
        <v>8</v>
      </c>
      <c r="R17" s="261">
        <f>'[2]Degree Days 2022'!R17</f>
        <v>22</v>
      </c>
      <c r="S17" s="261">
        <f>'[2]Degree Days 2022'!S17</f>
        <v>17</v>
      </c>
      <c r="T17" s="261">
        <f t="shared" si="1"/>
        <v>1.1999999999999993</v>
      </c>
      <c r="U17" s="498">
        <v>8</v>
      </c>
      <c r="V17" s="261">
        <f>'General information '!B12</f>
        <v>27</v>
      </c>
      <c r="W17" s="261">
        <f>'General information '!C12</f>
        <v>23</v>
      </c>
      <c r="X17" s="261">
        <f t="shared" si="2"/>
        <v>6.6999999999999993</v>
      </c>
      <c r="Z17" t="s">
        <v>177</v>
      </c>
      <c r="AA17" s="261"/>
      <c r="AB17" s="261"/>
    </row>
    <row r="18" spans="1:28">
      <c r="A18" s="117">
        <v>9</v>
      </c>
      <c r="B18" s="261">
        <f>'[5]Degree Days 2022'!B18</f>
        <v>23</v>
      </c>
      <c r="C18" s="261">
        <f>'General information '!C13</f>
        <v>0</v>
      </c>
      <c r="D18" s="261">
        <f>'[8]Degree Days 2020'!D18</f>
        <v>0.19999999999999929</v>
      </c>
      <c r="E18" s="498">
        <f>'[8]Degree Days 2020'!E18</f>
        <v>9</v>
      </c>
      <c r="F18" s="261">
        <f>'[9]Degree Days 2022'!F18</f>
        <v>21</v>
      </c>
      <c r="G18" s="261">
        <f>'[9]Degree Days 2022'!G18</f>
        <v>10</v>
      </c>
      <c r="H18" s="261">
        <f>'[8]Degree Days 2020'!H18</f>
        <v>1.1999999999999993</v>
      </c>
      <c r="I18" s="498">
        <f>'[8]Degree Days 2020'!I18</f>
        <v>9</v>
      </c>
      <c r="J18" s="261">
        <f>'[6]Degree Days 2022'!J18</f>
        <v>16</v>
      </c>
      <c r="K18" s="261">
        <f>'[6]Degree Days 2022'!K18</f>
        <v>14</v>
      </c>
      <c r="L18" s="261">
        <f>'[8]Degree Days 2020'!L18</f>
        <v>1.6999999999999993</v>
      </c>
      <c r="M18" s="498">
        <f>'[10]Degree Days 2020'!M18</f>
        <v>9</v>
      </c>
      <c r="N18" s="261">
        <f>'[7]Degree Days 2022'!N18</f>
        <v>0</v>
      </c>
      <c r="O18" s="261">
        <f>'[7]Degree Days 2022'!O18</f>
        <v>0</v>
      </c>
      <c r="P18" s="261">
        <f t="shared" si="0"/>
        <v>-18.3</v>
      </c>
      <c r="Q18" s="498">
        <v>9</v>
      </c>
      <c r="R18" s="261">
        <f>'[2]Degree Days 2022'!R18</f>
        <v>23</v>
      </c>
      <c r="S18" s="261">
        <f>'[2]Degree Days 2022'!S18</f>
        <v>18</v>
      </c>
      <c r="T18" s="261">
        <f t="shared" si="1"/>
        <v>2.1999999999999993</v>
      </c>
      <c r="U18" s="498">
        <v>9</v>
      </c>
      <c r="V18" s="261">
        <f>'General information '!B13</f>
        <v>0</v>
      </c>
      <c r="W18" s="261">
        <f>'General information '!C13</f>
        <v>0</v>
      </c>
      <c r="X18" s="261">
        <f t="shared" si="2"/>
        <v>-18.3</v>
      </c>
      <c r="Z18" t="s">
        <v>178</v>
      </c>
      <c r="AA18" s="261"/>
      <c r="AB18" s="261"/>
    </row>
    <row r="19" spans="1:28">
      <c r="A19" s="117">
        <v>10</v>
      </c>
      <c r="B19" s="261">
        <f>'[5]Degree Days 2022'!B19</f>
        <v>18</v>
      </c>
      <c r="C19" s="261">
        <f>'General information '!C14</f>
        <v>0</v>
      </c>
      <c r="D19" s="261">
        <f>'[8]Degree Days 2020'!D19</f>
        <v>0.19999999999999929</v>
      </c>
      <c r="E19" s="498">
        <f>'[8]Degree Days 2020'!E19</f>
        <v>10</v>
      </c>
      <c r="F19" s="261">
        <f>'[9]Degree Days 2022'!F19</f>
        <v>0</v>
      </c>
      <c r="G19" s="261">
        <f>'[9]Degree Days 2022'!G19</f>
        <v>0</v>
      </c>
      <c r="H19" s="261">
        <f>'[8]Degree Days 2020'!H19</f>
        <v>-1.8000000000000007</v>
      </c>
      <c r="I19" s="498">
        <f>'[8]Degree Days 2020'!I19</f>
        <v>10</v>
      </c>
      <c r="J19" s="261">
        <f>'[6]Degree Days 2022'!J19</f>
        <v>14</v>
      </c>
      <c r="K19" s="261">
        <f>'[6]Degree Days 2022'!K19</f>
        <v>11</v>
      </c>
      <c r="L19" s="261">
        <f>'[8]Degree Days 2020'!L19</f>
        <v>-2.3000000000000007</v>
      </c>
      <c r="M19" s="498">
        <f>'[10]Degree Days 2020'!M19</f>
        <v>10</v>
      </c>
      <c r="N19" s="261">
        <f>'[7]Degree Days 2022'!N19</f>
        <v>22</v>
      </c>
      <c r="O19" s="261">
        <f>'[7]Degree Days 2022'!O19</f>
        <v>15</v>
      </c>
      <c r="P19" s="261">
        <f t="shared" si="0"/>
        <v>0.19999999999999929</v>
      </c>
      <c r="Q19" s="498">
        <v>10</v>
      </c>
      <c r="R19" s="261">
        <f>'[2]Degree Days 2022'!R19</f>
        <v>23</v>
      </c>
      <c r="S19" s="261">
        <f>'[2]Degree Days 2022'!S19</f>
        <v>17</v>
      </c>
      <c r="T19" s="261">
        <f t="shared" si="1"/>
        <v>1.6999999999999993</v>
      </c>
      <c r="U19" s="498">
        <v>10</v>
      </c>
      <c r="V19" s="261">
        <f>'General information '!B14</f>
        <v>0</v>
      </c>
      <c r="W19" s="261">
        <f>'General information '!C14</f>
        <v>0</v>
      </c>
      <c r="X19" s="261">
        <f t="shared" si="2"/>
        <v>-18.3</v>
      </c>
      <c r="Z19" t="s">
        <v>179</v>
      </c>
      <c r="AA19" s="261"/>
      <c r="AB19" s="261"/>
    </row>
    <row r="20" spans="1:28">
      <c r="A20" s="117">
        <v>11</v>
      </c>
      <c r="B20" s="261">
        <f>'[5]Degree Days 2022'!B20</f>
        <v>19</v>
      </c>
      <c r="C20" s="261">
        <f>'General information '!C15</f>
        <v>0</v>
      </c>
      <c r="D20" s="261">
        <f>'[8]Degree Days 2020'!D20</f>
        <v>0.69999999999999929</v>
      </c>
      <c r="E20" s="498">
        <f>'[8]Degree Days 2020'!E20</f>
        <v>11</v>
      </c>
      <c r="F20" s="261">
        <f>'[9]Degree Days 2022'!F20</f>
        <v>0</v>
      </c>
      <c r="G20" s="261">
        <f>'[9]Degree Days 2022'!G20</f>
        <v>0</v>
      </c>
      <c r="H20" s="261">
        <f>'[8]Degree Days 2020'!H20</f>
        <v>-2.8000000000000007</v>
      </c>
      <c r="I20" s="498">
        <f>'[8]Degree Days 2020'!I20</f>
        <v>11</v>
      </c>
      <c r="J20" s="261">
        <f>'[6]Degree Days 2022'!J20</f>
        <v>14</v>
      </c>
      <c r="K20" s="261">
        <f>'[6]Degree Days 2022'!K20</f>
        <v>9</v>
      </c>
      <c r="L20" s="261">
        <f>'[8]Degree Days 2020'!L20</f>
        <v>-3.8000000000000007</v>
      </c>
      <c r="M20" s="498">
        <f>'[10]Degree Days 2020'!M20</f>
        <v>11</v>
      </c>
      <c r="N20" s="261">
        <f>'[7]Degree Days 2022'!N20</f>
        <v>21</v>
      </c>
      <c r="O20" s="261">
        <f>'[7]Degree Days 2022'!O20</f>
        <v>16</v>
      </c>
      <c r="P20" s="261">
        <f t="shared" si="0"/>
        <v>0.19999999999999929</v>
      </c>
      <c r="Q20" s="498">
        <v>11</v>
      </c>
      <c r="R20" s="261">
        <f>'[2]Degree Days 2022'!R20</f>
        <v>23</v>
      </c>
      <c r="S20" s="261">
        <f>'[2]Degree Days 2022'!S20</f>
        <v>17</v>
      </c>
      <c r="T20" s="261">
        <f t="shared" si="1"/>
        <v>1.6999999999999993</v>
      </c>
      <c r="U20" s="498">
        <v>11</v>
      </c>
      <c r="V20" s="261">
        <f>'General information '!B15</f>
        <v>0</v>
      </c>
      <c r="W20" s="261">
        <f>'General information '!C15</f>
        <v>0</v>
      </c>
      <c r="X20" s="261">
        <f t="shared" si="2"/>
        <v>-18.3</v>
      </c>
      <c r="Z20" t="s">
        <v>180</v>
      </c>
      <c r="AA20" s="261"/>
      <c r="AB20" s="261"/>
    </row>
    <row r="21" spans="1:28">
      <c r="A21" s="117">
        <v>12</v>
      </c>
      <c r="B21" s="261">
        <f>'[5]Degree Days 2022'!B21</f>
        <v>0</v>
      </c>
      <c r="C21" s="261">
        <f>'General information '!C16</f>
        <v>0</v>
      </c>
      <c r="D21" s="261">
        <f>'[8]Degree Days 2020'!D21</f>
        <v>0.19999999999999929</v>
      </c>
      <c r="E21" s="498">
        <f>'[8]Degree Days 2020'!E21</f>
        <v>12</v>
      </c>
      <c r="F21" s="261">
        <f>'[9]Degree Days 2022'!F21</f>
        <v>0</v>
      </c>
      <c r="G21" s="261">
        <f>'[9]Degree Days 2022'!G21</f>
        <v>0</v>
      </c>
      <c r="H21" s="261">
        <f>'[8]Degree Days 2020'!H21</f>
        <v>-2.8000000000000007</v>
      </c>
      <c r="I21" s="498">
        <f>'[8]Degree Days 2020'!I21</f>
        <v>12</v>
      </c>
      <c r="J21" s="261">
        <f>'[6]Degree Days 2022'!J21</f>
        <v>0</v>
      </c>
      <c r="K21" s="261">
        <f>'[6]Degree Days 2022'!K21</f>
        <v>0</v>
      </c>
      <c r="L21" s="261">
        <f>'[8]Degree Days 2020'!L21</f>
        <v>-2.8000000000000007</v>
      </c>
      <c r="M21" s="498">
        <f>'[10]Degree Days 2020'!M21</f>
        <v>12</v>
      </c>
      <c r="N21" s="261">
        <f>'[7]Degree Days 2022'!N21</f>
        <v>20</v>
      </c>
      <c r="O21" s="261">
        <f>'[7]Degree Days 2022'!O21</f>
        <v>16</v>
      </c>
      <c r="P21" s="261">
        <f t="shared" si="0"/>
        <v>-0.30000000000000071</v>
      </c>
      <c r="Q21" s="498">
        <v>12</v>
      </c>
      <c r="R21" s="261">
        <f>'[2]Degree Days 2022'!R21</f>
        <v>22</v>
      </c>
      <c r="S21" s="261">
        <f>'[2]Degree Days 2022'!S21</f>
        <v>17</v>
      </c>
      <c r="T21" s="261">
        <f t="shared" si="1"/>
        <v>1.1999999999999993</v>
      </c>
      <c r="U21" s="498">
        <v>12</v>
      </c>
      <c r="V21" s="261">
        <f>'General information '!B16</f>
        <v>0</v>
      </c>
      <c r="W21" s="261">
        <f>'General information '!C16</f>
        <v>0</v>
      </c>
      <c r="X21" s="261">
        <f t="shared" si="2"/>
        <v>-18.3</v>
      </c>
      <c r="Z21" t="s">
        <v>181</v>
      </c>
      <c r="AA21" s="134">
        <f>SUM(B54)</f>
        <v>0</v>
      </c>
      <c r="AB21" s="134">
        <f>SUM(C54)</f>
        <v>0</v>
      </c>
    </row>
    <row r="22" spans="1:28">
      <c r="A22" s="117">
        <v>13</v>
      </c>
      <c r="B22" s="261">
        <f>'[5]Degree Days 2022'!B22</f>
        <v>16</v>
      </c>
      <c r="C22" s="261">
        <f>'General information '!C17</f>
        <v>0</v>
      </c>
      <c r="D22" s="261">
        <f>'[8]Degree Days 2020'!D22</f>
        <v>-3.3000000000000007</v>
      </c>
      <c r="E22" s="498">
        <f>'[8]Degree Days 2020'!E22</f>
        <v>13</v>
      </c>
      <c r="F22" s="261">
        <f>'[9]Degree Days 2022'!F22</f>
        <v>17</v>
      </c>
      <c r="G22" s="261">
        <f>'[9]Degree Days 2022'!G22</f>
        <v>12</v>
      </c>
      <c r="H22" s="261">
        <f>'[8]Degree Days 2020'!H22</f>
        <v>-1.8000000000000007</v>
      </c>
      <c r="I22" s="498">
        <f>'[8]Degree Days 2020'!I22</f>
        <v>13</v>
      </c>
      <c r="J22" s="261">
        <f>'[6]Degree Days 2022'!J22</f>
        <v>13</v>
      </c>
      <c r="K22" s="261">
        <f>'[6]Degree Days 2022'!K22</f>
        <v>9</v>
      </c>
      <c r="L22" s="261">
        <f>'[8]Degree Days 2020'!L22</f>
        <v>-1.3000000000000007</v>
      </c>
      <c r="M22" s="498">
        <f>'[10]Degree Days 2020'!M22</f>
        <v>13</v>
      </c>
      <c r="N22" s="261">
        <f>'[7]Degree Days 2022'!N22</f>
        <v>20</v>
      </c>
      <c r="O22" s="261">
        <f>'[7]Degree Days 2022'!O22</f>
        <v>17</v>
      </c>
      <c r="P22" s="261">
        <f t="shared" si="0"/>
        <v>0.19999999999999929</v>
      </c>
      <c r="Q22" s="498">
        <v>13</v>
      </c>
      <c r="R22" s="261">
        <f>'[2]Degree Days 2022'!R22</f>
        <v>0</v>
      </c>
      <c r="S22" s="261">
        <f>'[2]Degree Days 2022'!S22</f>
        <v>0</v>
      </c>
      <c r="T22" s="261">
        <f t="shared" si="1"/>
        <v>-18.3</v>
      </c>
      <c r="U22" s="498">
        <v>13</v>
      </c>
      <c r="V22" s="261">
        <f>'General information '!B17</f>
        <v>0</v>
      </c>
      <c r="W22" s="261">
        <f>'General information '!C17</f>
        <v>0</v>
      </c>
      <c r="X22" s="261">
        <f t="shared" si="2"/>
        <v>-18.3</v>
      </c>
    </row>
    <row r="23" spans="1:28">
      <c r="A23" s="117">
        <v>14</v>
      </c>
      <c r="B23" s="261">
        <f>'[5]Degree Days 2022'!B23</f>
        <v>0</v>
      </c>
      <c r="C23" s="261">
        <f>'General information '!C18</f>
        <v>23</v>
      </c>
      <c r="D23" s="261">
        <f>'[8]Degree Days 2020'!D23</f>
        <v>-3.8000000000000007</v>
      </c>
      <c r="E23" s="498">
        <f>'[8]Degree Days 2020'!E23</f>
        <v>14</v>
      </c>
      <c r="F23" s="261">
        <f>'[9]Degree Days 2022'!F23</f>
        <v>18</v>
      </c>
      <c r="G23" s="261">
        <f>'[9]Degree Days 2022'!G23</f>
        <v>12</v>
      </c>
      <c r="H23" s="261">
        <f>'[8]Degree Days 2020'!H23</f>
        <v>-2.8000000000000007</v>
      </c>
      <c r="I23" s="498">
        <f>'[8]Degree Days 2020'!I23</f>
        <v>14</v>
      </c>
      <c r="J23" s="261">
        <f>'[6]Degree Days 2022'!J23</f>
        <v>12</v>
      </c>
      <c r="K23" s="261">
        <f>'[6]Degree Days 2022'!K23</f>
        <v>8</v>
      </c>
      <c r="L23" s="261">
        <f>'[8]Degree Days 2020'!L23</f>
        <v>-1.3000000000000007</v>
      </c>
      <c r="M23" s="498">
        <f>'[10]Degree Days 2020'!M23</f>
        <v>14</v>
      </c>
      <c r="N23" s="261">
        <f>'[7]Degree Days 2022'!N23</f>
        <v>0</v>
      </c>
      <c r="O23" s="261">
        <f>'[7]Degree Days 2022'!O23</f>
        <v>0</v>
      </c>
      <c r="P23" s="261">
        <f t="shared" si="0"/>
        <v>-18.3</v>
      </c>
      <c r="Q23" s="498">
        <v>14</v>
      </c>
      <c r="R23" s="261">
        <f>'[2]Degree Days 2022'!R23</f>
        <v>0</v>
      </c>
      <c r="S23" s="261">
        <f>'[2]Degree Days 2022'!S23</f>
        <v>0</v>
      </c>
      <c r="T23" s="261">
        <f t="shared" si="1"/>
        <v>-18.3</v>
      </c>
      <c r="U23" s="498">
        <v>14</v>
      </c>
      <c r="V23" s="261">
        <f>'General information '!B18</f>
        <v>27</v>
      </c>
      <c r="W23" s="261">
        <f>'General information '!C18</f>
        <v>23</v>
      </c>
      <c r="X23" s="261">
        <f t="shared" si="2"/>
        <v>6.6999999999999993</v>
      </c>
      <c r="AA23" s="134">
        <f>SUM(AA10:AA22)</f>
        <v>-646.90000000000009</v>
      </c>
      <c r="AB23" s="134">
        <f>SUM(AB10:AB22)</f>
        <v>98.499999999999972</v>
      </c>
    </row>
    <row r="24" spans="1:28">
      <c r="A24" s="117">
        <v>15</v>
      </c>
      <c r="B24" s="261">
        <f>'[5]Degree Days 2022'!B24</f>
        <v>0</v>
      </c>
      <c r="C24" s="261">
        <f>'General information '!C19</f>
        <v>23</v>
      </c>
      <c r="D24" s="261">
        <f>'[8]Degree Days 2020'!D24</f>
        <v>-2.3000000000000007</v>
      </c>
      <c r="E24" s="498">
        <f>'[8]Degree Days 2020'!E24</f>
        <v>15</v>
      </c>
      <c r="F24" s="261">
        <f>'[9]Degree Days 2022'!F24</f>
        <v>17</v>
      </c>
      <c r="G24" s="261">
        <f>'[9]Degree Days 2022'!G24</f>
        <v>14</v>
      </c>
      <c r="H24" s="261">
        <f>'[8]Degree Days 2020'!H24</f>
        <v>-3.3000000000000007</v>
      </c>
      <c r="I24" s="498">
        <f>'[8]Degree Days 2020'!I24</f>
        <v>15</v>
      </c>
      <c r="J24" s="261">
        <f>'[6]Degree Days 2022'!J24</f>
        <v>10</v>
      </c>
      <c r="K24" s="261">
        <f>'[6]Degree Days 2022'!K24</f>
        <v>5</v>
      </c>
      <c r="L24" s="261">
        <f>'[8]Degree Days 2020'!L24</f>
        <v>-1.3000000000000007</v>
      </c>
      <c r="M24" s="498">
        <f>'[10]Degree Days 2020'!M24</f>
        <v>15</v>
      </c>
      <c r="N24" s="261">
        <f>'[7]Degree Days 2022'!N24</f>
        <v>0</v>
      </c>
      <c r="O24" s="261">
        <f>'[7]Degree Days 2022'!O24</f>
        <v>0</v>
      </c>
      <c r="P24" s="261">
        <f t="shared" si="0"/>
        <v>-18.3</v>
      </c>
      <c r="Q24" s="498">
        <v>15</v>
      </c>
      <c r="R24" s="261">
        <f>'[2]Degree Days 2022'!R24</f>
        <v>22</v>
      </c>
      <c r="S24" s="261">
        <f>'[2]Degree Days 2022'!S24</f>
        <v>18</v>
      </c>
      <c r="T24" s="261">
        <f t="shared" si="1"/>
        <v>1.6999999999999993</v>
      </c>
      <c r="U24" s="498">
        <v>15</v>
      </c>
      <c r="V24" s="261">
        <f>'General information '!B19</f>
        <v>28</v>
      </c>
      <c r="W24" s="261">
        <f>'General information '!C19</f>
        <v>23</v>
      </c>
      <c r="X24" s="261">
        <f t="shared" si="2"/>
        <v>7.1999999999999993</v>
      </c>
    </row>
    <row r="25" spans="1:28">
      <c r="A25" s="117">
        <v>16</v>
      </c>
      <c r="B25" s="261">
        <f>'[5]Degree Days 2022'!B25</f>
        <v>14</v>
      </c>
      <c r="C25" s="261">
        <f>'General information '!C20</f>
        <v>0</v>
      </c>
      <c r="D25" s="261">
        <f>'[8]Degree Days 2020'!D25</f>
        <v>-6.3000000000000007</v>
      </c>
      <c r="E25" s="498">
        <f>'[8]Degree Days 2020'!E25</f>
        <v>16</v>
      </c>
      <c r="F25" s="261">
        <f>'[9]Degree Days 2022'!F25</f>
        <v>17</v>
      </c>
      <c r="G25" s="261">
        <f>'[9]Degree Days 2022'!G25</f>
        <v>13</v>
      </c>
      <c r="H25" s="261">
        <f>'[8]Degree Days 2020'!H25</f>
        <v>-9.3000000000000007</v>
      </c>
      <c r="I25" s="498">
        <f>'[8]Degree Days 2020'!I25</f>
        <v>16</v>
      </c>
      <c r="J25" s="261">
        <f>'[6]Degree Days 2022'!J25</f>
        <v>0</v>
      </c>
      <c r="K25" s="261">
        <f>'[6]Degree Days 2022'!K25</f>
        <v>0</v>
      </c>
      <c r="L25" s="261">
        <f>'[8]Degree Days 2020'!L25</f>
        <v>-1.8000000000000007</v>
      </c>
      <c r="M25" s="498">
        <f>'[10]Degree Days 2020'!M25</f>
        <v>16</v>
      </c>
      <c r="N25" s="261">
        <f>'[7]Degree Days 2022'!N25</f>
        <v>0</v>
      </c>
      <c r="O25" s="261">
        <f>'[7]Degree Days 2022'!O25</f>
        <v>0</v>
      </c>
      <c r="P25" s="261">
        <f t="shared" si="0"/>
        <v>-18.3</v>
      </c>
      <c r="Q25" s="498">
        <v>16</v>
      </c>
      <c r="R25" s="261">
        <f>'[2]Degree Days 2022'!R25</f>
        <v>22</v>
      </c>
      <c r="S25" s="261">
        <f>'[2]Degree Days 2022'!S25</f>
        <v>18</v>
      </c>
      <c r="T25" s="261">
        <f t="shared" si="1"/>
        <v>1.6999999999999993</v>
      </c>
      <c r="U25" s="498">
        <v>16</v>
      </c>
      <c r="V25" s="261">
        <f>'General information '!B20</f>
        <v>0</v>
      </c>
      <c r="W25" s="261">
        <f>'General information '!C20</f>
        <v>0</v>
      </c>
      <c r="X25" s="261">
        <f t="shared" si="2"/>
        <v>-18.3</v>
      </c>
    </row>
    <row r="26" spans="1:28">
      <c r="A26" s="117">
        <v>17</v>
      </c>
      <c r="B26" s="261">
        <f>'[5]Degree Days 2022'!B26</f>
        <v>12</v>
      </c>
      <c r="C26" s="261">
        <f>'General information '!C21</f>
        <v>0</v>
      </c>
      <c r="D26" s="261">
        <f>'[8]Degree Days 2020'!D26</f>
        <v>-4.8000000000000007</v>
      </c>
      <c r="E26" s="498">
        <f>'[8]Degree Days 2020'!E26</f>
        <v>17</v>
      </c>
      <c r="F26" s="261">
        <f>'[9]Degree Days 2022'!F26</f>
        <v>18</v>
      </c>
      <c r="G26" s="261">
        <f>'[9]Degree Days 2022'!G26</f>
        <v>12</v>
      </c>
      <c r="H26" s="261">
        <f>'[8]Degree Days 2020'!H26</f>
        <v>-8.3000000000000007</v>
      </c>
      <c r="I26" s="498">
        <f>'[8]Degree Days 2020'!I26</f>
        <v>17</v>
      </c>
      <c r="J26" s="261">
        <f>'[6]Degree Days 2022'!J26</f>
        <v>16</v>
      </c>
      <c r="K26" s="261">
        <f>'[6]Degree Days 2022'!K26</f>
        <v>9</v>
      </c>
      <c r="L26" s="261">
        <f>'[8]Degree Days 2020'!L26</f>
        <v>-0.80000000000000071</v>
      </c>
      <c r="M26" s="498">
        <f>'[10]Degree Days 2020'!M26</f>
        <v>17</v>
      </c>
      <c r="N26" s="261">
        <f>'[7]Degree Days 2022'!N26</f>
        <v>0</v>
      </c>
      <c r="O26" s="261">
        <f>'[7]Degree Days 2022'!O26</f>
        <v>0</v>
      </c>
      <c r="P26" s="261">
        <f t="shared" si="0"/>
        <v>-18.3</v>
      </c>
      <c r="Q26" s="498">
        <v>17</v>
      </c>
      <c r="R26" s="261">
        <f>'[2]Degree Days 2022'!R26</f>
        <v>23</v>
      </c>
      <c r="S26" s="261">
        <f>'[2]Degree Days 2022'!S26</f>
        <v>18</v>
      </c>
      <c r="T26" s="261">
        <f t="shared" si="1"/>
        <v>2.1999999999999993</v>
      </c>
      <c r="U26" s="498">
        <v>17</v>
      </c>
      <c r="V26" s="261">
        <f>'General information '!B21</f>
        <v>0</v>
      </c>
      <c r="W26" s="261">
        <f>'General information '!C21</f>
        <v>0</v>
      </c>
      <c r="X26" s="261">
        <f t="shared" si="2"/>
        <v>-18.3</v>
      </c>
    </row>
    <row r="27" spans="1:28">
      <c r="A27" s="117">
        <v>18</v>
      </c>
      <c r="B27" s="261">
        <f>'[5]Degree Days 2022'!B27</f>
        <v>15</v>
      </c>
      <c r="C27" s="261">
        <f>'General information '!C22</f>
        <v>0</v>
      </c>
      <c r="D27" s="261">
        <f>'[8]Degree Days 2020'!D27</f>
        <v>-7.3000000000000007</v>
      </c>
      <c r="E27" s="498">
        <f>'[8]Degree Days 2020'!E27</f>
        <v>18</v>
      </c>
      <c r="F27" s="261">
        <f>'[9]Degree Days 2022'!F27</f>
        <v>0</v>
      </c>
      <c r="G27" s="261">
        <f>'[9]Degree Days 2022'!G27</f>
        <v>0</v>
      </c>
      <c r="H27" s="261">
        <f>'[8]Degree Days 2020'!H27</f>
        <v>-8.3000000000000007</v>
      </c>
      <c r="I27" s="498">
        <f>'[8]Degree Days 2020'!I27</f>
        <v>18</v>
      </c>
      <c r="J27" s="261">
        <f>'[6]Degree Days 2022'!J27</f>
        <v>0</v>
      </c>
      <c r="K27" s="261">
        <f>'[6]Degree Days 2022'!K27</f>
        <v>0</v>
      </c>
      <c r="L27" s="261">
        <f>'[8]Degree Days 2020'!L27</f>
        <v>-0.80000000000000071</v>
      </c>
      <c r="M27" s="498">
        <f>'[10]Degree Days 2020'!M27</f>
        <v>18</v>
      </c>
      <c r="N27" s="261">
        <f>'[7]Degree Days 2022'!N27</f>
        <v>35</v>
      </c>
      <c r="O27" s="261">
        <f>'[7]Degree Days 2022'!O27</f>
        <v>19</v>
      </c>
      <c r="P27" s="261">
        <f t="shared" si="0"/>
        <v>8.6999999999999993</v>
      </c>
      <c r="Q27" s="498">
        <v>18</v>
      </c>
      <c r="R27" s="261">
        <f>'[2]Degree Days 2022'!R27</f>
        <v>23</v>
      </c>
      <c r="S27" s="261">
        <f>'[2]Degree Days 2022'!S27</f>
        <v>17</v>
      </c>
      <c r="T27" s="261">
        <f t="shared" si="1"/>
        <v>1.6999999999999993</v>
      </c>
      <c r="U27" s="498">
        <v>18</v>
      </c>
      <c r="V27" s="261">
        <f>'General information '!B22</f>
        <v>0</v>
      </c>
      <c r="W27" s="261">
        <f>'General information '!C22</f>
        <v>0</v>
      </c>
      <c r="X27" s="261">
        <f t="shared" si="2"/>
        <v>-18.3</v>
      </c>
    </row>
    <row r="28" spans="1:28">
      <c r="A28" s="117">
        <v>19</v>
      </c>
      <c r="B28" s="261">
        <f>'[5]Degree Days 2022'!B28</f>
        <v>14</v>
      </c>
      <c r="C28" s="261">
        <f>'General information '!C23</f>
        <v>0</v>
      </c>
      <c r="D28" s="261">
        <f>'[8]Degree Days 2020'!D28</f>
        <v>-4.8000000000000007</v>
      </c>
      <c r="E28" s="498">
        <f>'[8]Degree Days 2020'!E28</f>
        <v>19</v>
      </c>
      <c r="F28" s="261">
        <f>'[9]Degree Days 2022'!F28</f>
        <v>0</v>
      </c>
      <c r="G28" s="261">
        <f>'[9]Degree Days 2022'!G28</f>
        <v>0</v>
      </c>
      <c r="H28" s="261">
        <f>'[8]Degree Days 2020'!H28</f>
        <v>-7.8000000000000007</v>
      </c>
      <c r="I28" s="498">
        <f>'[8]Degree Days 2020'!I28</f>
        <v>19</v>
      </c>
      <c r="J28" s="261">
        <f>'[6]Degree Days 2022'!J28</f>
        <v>0</v>
      </c>
      <c r="K28" s="261">
        <f>'[6]Degree Days 2022'!K28</f>
        <v>0</v>
      </c>
      <c r="L28" s="261">
        <f>'[8]Degree Days 2020'!L28</f>
        <v>-0.30000000000000071</v>
      </c>
      <c r="M28" s="498">
        <f>'[10]Degree Days 2020'!M28</f>
        <v>19</v>
      </c>
      <c r="N28" s="261">
        <f>'[7]Degree Days 2022'!N28</f>
        <v>21</v>
      </c>
      <c r="O28" s="261">
        <f>'[7]Degree Days 2022'!O28</f>
        <v>16</v>
      </c>
      <c r="P28" s="261">
        <f t="shared" si="0"/>
        <v>0.19999999999999929</v>
      </c>
      <c r="Q28" s="498">
        <v>19</v>
      </c>
      <c r="R28" s="261">
        <f>'[2]Degree Days 2022'!R28</f>
        <v>24</v>
      </c>
      <c r="S28" s="261">
        <f>'[2]Degree Days 2022'!S28</f>
        <v>19</v>
      </c>
      <c r="T28" s="261">
        <f t="shared" si="1"/>
        <v>3.1999999999999993</v>
      </c>
      <c r="U28" s="498">
        <v>19</v>
      </c>
      <c r="V28" s="261">
        <f>'General information '!B23</f>
        <v>0</v>
      </c>
      <c r="W28" s="261">
        <f>'General information '!C23</f>
        <v>0</v>
      </c>
      <c r="X28" s="261">
        <f t="shared" si="2"/>
        <v>-18.3</v>
      </c>
    </row>
    <row r="29" spans="1:28">
      <c r="A29" s="117">
        <v>20</v>
      </c>
      <c r="B29" s="261">
        <f>'[5]Degree Days 2022'!B29</f>
        <v>11</v>
      </c>
      <c r="C29" s="261">
        <f>'General information '!C24</f>
        <v>0</v>
      </c>
      <c r="D29" s="261">
        <f>'[8]Degree Days 2020'!D29</f>
        <v>-4.8000000000000007</v>
      </c>
      <c r="E29" s="498">
        <f>'[8]Degree Days 2020'!E29</f>
        <v>20</v>
      </c>
      <c r="F29" s="261">
        <f>'[9]Degree Days 2022'!F29</f>
        <v>18</v>
      </c>
      <c r="G29" s="261">
        <f>'[9]Degree Days 2022'!G29</f>
        <v>13</v>
      </c>
      <c r="H29" s="261">
        <f>'[8]Degree Days 2020'!H29</f>
        <v>-1.8000000000000007</v>
      </c>
      <c r="I29" s="498">
        <f>'[8]Degree Days 2020'!I29</f>
        <v>20</v>
      </c>
      <c r="J29" s="261">
        <f>'[6]Degree Days 2022'!J29</f>
        <v>11</v>
      </c>
      <c r="K29" s="261">
        <f>'[6]Degree Days 2022'!K29</f>
        <v>9</v>
      </c>
      <c r="L29" s="261">
        <f>'[8]Degree Days 2020'!L29</f>
        <v>1.1999999999999993</v>
      </c>
      <c r="M29" s="498">
        <f>'[10]Degree Days 2020'!M29</f>
        <v>20</v>
      </c>
      <c r="N29" s="261">
        <f>'[7]Degree Days 2022'!N29</f>
        <v>20</v>
      </c>
      <c r="O29" s="261">
        <f>'[7]Degree Days 2022'!O29</f>
        <v>16</v>
      </c>
      <c r="P29" s="261">
        <f t="shared" si="0"/>
        <v>-0.30000000000000071</v>
      </c>
      <c r="Q29" s="498">
        <v>20</v>
      </c>
      <c r="R29" s="261">
        <f>'[2]Degree Days 2022'!R29</f>
        <v>0</v>
      </c>
      <c r="S29" s="261">
        <f>'[2]Degree Days 2022'!S29</f>
        <v>0</v>
      </c>
      <c r="T29" s="261">
        <f t="shared" si="1"/>
        <v>-18.3</v>
      </c>
      <c r="U29" s="498">
        <v>20</v>
      </c>
      <c r="V29" s="261">
        <f>'General information '!B24</f>
        <v>0</v>
      </c>
      <c r="W29" s="261">
        <f>'General information '!C24</f>
        <v>0</v>
      </c>
      <c r="X29" s="261">
        <f t="shared" si="2"/>
        <v>-18.3</v>
      </c>
    </row>
    <row r="30" spans="1:28">
      <c r="A30" s="117">
        <v>21</v>
      </c>
      <c r="B30" s="261">
        <f>'[5]Degree Days 2022'!B30</f>
        <v>0</v>
      </c>
      <c r="C30" s="261">
        <f>'General information '!C25</f>
        <v>0</v>
      </c>
      <c r="D30" s="261">
        <f>'[8]Degree Days 2020'!D30</f>
        <v>-5.8000000000000007</v>
      </c>
      <c r="E30" s="498">
        <f>'[8]Degree Days 2020'!E30</f>
        <v>21</v>
      </c>
      <c r="F30" s="261">
        <f>'[9]Degree Days 2022'!F30</f>
        <v>19</v>
      </c>
      <c r="G30" s="261">
        <f>'[9]Degree Days 2022'!G30</f>
        <v>13</v>
      </c>
      <c r="H30" s="261">
        <f>'[8]Degree Days 2020'!H30</f>
        <v>-2.8000000000000007</v>
      </c>
      <c r="I30" s="498">
        <f>'[8]Degree Days 2020'!I30</f>
        <v>21</v>
      </c>
      <c r="J30" s="261">
        <f>'[6]Degree Days 2022'!J30</f>
        <v>14</v>
      </c>
      <c r="K30" s="261">
        <f>'[6]Degree Days 2022'!K30</f>
        <v>8</v>
      </c>
      <c r="L30" s="261">
        <f>'[8]Degree Days 2020'!L30</f>
        <v>0.19999999999999929</v>
      </c>
      <c r="M30" s="498">
        <f>'[10]Degree Days 2020'!M30</f>
        <v>21</v>
      </c>
      <c r="N30" s="261">
        <f>'[7]Degree Days 2022'!N30</f>
        <v>0</v>
      </c>
      <c r="O30" s="261">
        <f>'[7]Degree Days 2022'!O30</f>
        <v>0</v>
      </c>
      <c r="P30" s="261">
        <f t="shared" si="0"/>
        <v>-18.3</v>
      </c>
      <c r="Q30" s="498">
        <v>21</v>
      </c>
      <c r="R30" s="261">
        <f>'[2]Degree Days 2022'!R30</f>
        <v>0</v>
      </c>
      <c r="S30" s="261">
        <f>'[2]Degree Days 2022'!S30</f>
        <v>0</v>
      </c>
      <c r="T30" s="261">
        <f t="shared" si="1"/>
        <v>-18.3</v>
      </c>
      <c r="U30" s="498">
        <v>21</v>
      </c>
      <c r="V30" s="261">
        <f>'General information '!B25</f>
        <v>0</v>
      </c>
      <c r="W30" s="261">
        <f>'General information '!C25</f>
        <v>0</v>
      </c>
      <c r="X30" s="261">
        <f t="shared" si="2"/>
        <v>-18.3</v>
      </c>
    </row>
    <row r="31" spans="1:28">
      <c r="A31" s="117">
        <v>22</v>
      </c>
      <c r="B31" s="261">
        <f>'[5]Degree Days 2022'!B31</f>
        <v>0</v>
      </c>
      <c r="C31" s="261">
        <f>'General information '!C26</f>
        <v>0</v>
      </c>
      <c r="D31" s="261">
        <f>'[8]Degree Days 2020'!D31</f>
        <v>-4.8000000000000007</v>
      </c>
      <c r="E31" s="498">
        <f>'[8]Degree Days 2020'!E31</f>
        <v>22</v>
      </c>
      <c r="F31" s="261">
        <f>'[9]Degree Days 2022'!F31</f>
        <v>23</v>
      </c>
      <c r="G31" s="261">
        <f>'[9]Degree Days 2022'!G31</f>
        <v>14</v>
      </c>
      <c r="H31" s="261">
        <f>'[8]Degree Days 2020'!H31</f>
        <v>-1.8000000000000007</v>
      </c>
      <c r="I31" s="498">
        <f>'[8]Degree Days 2020'!I31</f>
        <v>22</v>
      </c>
      <c r="J31" s="261">
        <f>'[6]Degree Days 2022'!J31</f>
        <v>15</v>
      </c>
      <c r="K31" s="261">
        <f>'[6]Degree Days 2022'!K31</f>
        <v>11</v>
      </c>
      <c r="L31" s="261">
        <f>'[8]Degree Days 2020'!L31</f>
        <v>1.6999999999999993</v>
      </c>
      <c r="M31" s="498">
        <f>'[10]Degree Days 2020'!M31</f>
        <v>22</v>
      </c>
      <c r="N31" s="261">
        <f>'[7]Degree Days 2022'!N31</f>
        <v>0</v>
      </c>
      <c r="O31" s="261">
        <f>'[7]Degree Days 2022'!O31</f>
        <v>0</v>
      </c>
      <c r="P31" s="261">
        <f t="shared" si="0"/>
        <v>-18.3</v>
      </c>
      <c r="Q31" s="498">
        <v>22</v>
      </c>
      <c r="R31" s="261">
        <f>'[2]Degree Days 2022'!R31</f>
        <v>24</v>
      </c>
      <c r="S31" s="261">
        <f>'[2]Degree Days 2022'!S31</f>
        <v>21</v>
      </c>
      <c r="T31" s="261">
        <f t="shared" si="1"/>
        <v>4.1999999999999993</v>
      </c>
      <c r="U31" s="498">
        <v>22</v>
      </c>
      <c r="V31" s="261">
        <f>'General information '!B26</f>
        <v>0</v>
      </c>
      <c r="W31" s="261">
        <f>'General information '!C26</f>
        <v>0</v>
      </c>
      <c r="X31" s="261">
        <f t="shared" si="2"/>
        <v>-18.3</v>
      </c>
    </row>
    <row r="32" spans="1:28">
      <c r="A32" s="117">
        <v>23</v>
      </c>
      <c r="B32" s="261">
        <f>'[5]Degree Days 2022'!B32</f>
        <v>0</v>
      </c>
      <c r="C32" s="261">
        <f>'General information '!C27</f>
        <v>0</v>
      </c>
      <c r="D32" s="261">
        <f>'[8]Degree Days 2020'!D32</f>
        <v>-3.3000000000000007</v>
      </c>
      <c r="E32" s="498">
        <f>'[8]Degree Days 2020'!E32</f>
        <v>23</v>
      </c>
      <c r="F32" s="261">
        <f>'[9]Degree Days 2022'!F32</f>
        <v>25</v>
      </c>
      <c r="G32" s="261">
        <f>'[9]Degree Days 2022'!G32</f>
        <v>14</v>
      </c>
      <c r="H32" s="261">
        <f>'[8]Degree Days 2020'!H32</f>
        <v>-2.3000000000000007</v>
      </c>
      <c r="I32" s="498">
        <f>'[8]Degree Days 2020'!I32</f>
        <v>23</v>
      </c>
      <c r="J32" s="261">
        <f>'[6]Degree Days 2022'!J32</f>
        <v>15</v>
      </c>
      <c r="K32" s="261">
        <f>'[6]Degree Days 2022'!K32</f>
        <v>9</v>
      </c>
      <c r="L32" s="261">
        <f>'[8]Degree Days 2020'!L32</f>
        <v>6.6999999999999993</v>
      </c>
      <c r="M32" s="498">
        <f>'[10]Degree Days 2020'!M32</f>
        <v>23</v>
      </c>
      <c r="N32" s="261">
        <f>'[7]Degree Days 2022'!N32</f>
        <v>0</v>
      </c>
      <c r="O32" s="261">
        <f>'[7]Degree Days 2022'!O32</f>
        <v>0</v>
      </c>
      <c r="P32" s="261">
        <f t="shared" si="0"/>
        <v>-18.3</v>
      </c>
      <c r="Q32" s="498">
        <v>23</v>
      </c>
      <c r="R32" s="261">
        <f>'[2]Degree Days 2022'!R32</f>
        <v>24</v>
      </c>
      <c r="S32" s="261">
        <f>'[2]Degree Days 2022'!S32</f>
        <v>20</v>
      </c>
      <c r="T32" s="261">
        <f t="shared" si="1"/>
        <v>3.6999999999999993</v>
      </c>
      <c r="U32" s="498">
        <v>23</v>
      </c>
      <c r="V32" s="261">
        <f>'General information '!B27</f>
        <v>0</v>
      </c>
      <c r="W32" s="261">
        <f>'General information '!C27</f>
        <v>0</v>
      </c>
      <c r="X32" s="261">
        <f t="shared" si="2"/>
        <v>-18.3</v>
      </c>
    </row>
    <row r="33" spans="1:24">
      <c r="A33" s="117">
        <v>24</v>
      </c>
      <c r="B33" s="261">
        <f>'[5]Degree Days 2022'!B33</f>
        <v>13</v>
      </c>
      <c r="C33" s="261">
        <f>'General information '!C28</f>
        <v>0</v>
      </c>
      <c r="D33" s="261">
        <f>'[8]Degree Days 2020'!D33</f>
        <v>-4.3000000000000007</v>
      </c>
      <c r="E33" s="498">
        <f>'[8]Degree Days 2020'!E33</f>
        <v>24</v>
      </c>
      <c r="F33" s="261">
        <f>'[9]Degree Days 2022'!F33</f>
        <v>26</v>
      </c>
      <c r="G33" s="261">
        <f>'[9]Degree Days 2022'!G33</f>
        <v>12</v>
      </c>
      <c r="H33" s="261">
        <f>'[8]Degree Days 2020'!H33</f>
        <v>-2.8000000000000007</v>
      </c>
      <c r="I33" s="498">
        <f>'[8]Degree Days 2020'!I33</f>
        <v>24</v>
      </c>
      <c r="J33" s="261">
        <f>'[6]Degree Days 2022'!J33</f>
        <v>13</v>
      </c>
      <c r="K33" s="261">
        <f>'[6]Degree Days 2022'!K33</f>
        <v>9</v>
      </c>
      <c r="L33" s="261">
        <f>'[8]Degree Days 2020'!L33</f>
        <v>-4.8000000000000007</v>
      </c>
      <c r="M33" s="498">
        <f>'[10]Degree Days 2020'!M33</f>
        <v>24</v>
      </c>
      <c r="N33" s="261">
        <f>'[7]Degree Days 2022'!N33</f>
        <v>0</v>
      </c>
      <c r="O33" s="261">
        <f>'[7]Degree Days 2022'!O33</f>
        <v>0</v>
      </c>
      <c r="P33" s="261">
        <f t="shared" si="0"/>
        <v>-18.3</v>
      </c>
      <c r="Q33" s="498">
        <v>24</v>
      </c>
      <c r="R33" s="261">
        <f>'[2]Degree Days 2022'!R33</f>
        <v>24</v>
      </c>
      <c r="S33" s="261">
        <f>'[2]Degree Days 2022'!S33</f>
        <v>20</v>
      </c>
      <c r="T33" s="261">
        <f t="shared" si="1"/>
        <v>3.6999999999999993</v>
      </c>
      <c r="U33" s="498">
        <v>24</v>
      </c>
      <c r="V33" s="261">
        <f>'General information '!B28</f>
        <v>0</v>
      </c>
      <c r="W33" s="261">
        <f>'General information '!C28</f>
        <v>0</v>
      </c>
      <c r="X33" s="261">
        <f t="shared" si="2"/>
        <v>-18.3</v>
      </c>
    </row>
    <row r="34" spans="1:24">
      <c r="A34" s="117">
        <v>25</v>
      </c>
      <c r="B34" s="261">
        <f>'[5]Degree Days 2022'!B34</f>
        <v>16</v>
      </c>
      <c r="C34" s="261">
        <f>'General information '!C29</f>
        <v>0</v>
      </c>
      <c r="D34" s="261">
        <f>'[8]Degree Days 2020'!D34</f>
        <v>-1.8000000000000007</v>
      </c>
      <c r="E34" s="498">
        <f>'[8]Degree Days 2020'!E34</f>
        <v>25</v>
      </c>
      <c r="F34" s="261">
        <f>'[9]Degree Days 2022'!F34</f>
        <v>0</v>
      </c>
      <c r="G34" s="261">
        <f>'[9]Degree Days 2022'!G34</f>
        <v>0</v>
      </c>
      <c r="H34" s="261">
        <f>'[8]Degree Days 2020'!H34</f>
        <v>-2.8000000000000007</v>
      </c>
      <c r="I34" s="498">
        <f>'[8]Degree Days 2020'!I34</f>
        <v>25</v>
      </c>
      <c r="J34" s="261">
        <f>'[6]Degree Days 2022'!J34</f>
        <v>0</v>
      </c>
      <c r="K34" s="261">
        <f>'[6]Degree Days 2022'!K34</f>
        <v>0</v>
      </c>
      <c r="L34" s="261">
        <f>'[8]Degree Days 2020'!L34</f>
        <v>-4.8000000000000007</v>
      </c>
      <c r="M34" s="498">
        <f>'[10]Degree Days 2020'!M34</f>
        <v>25</v>
      </c>
      <c r="N34" s="261">
        <f>'[7]Degree Days 2022'!N34</f>
        <v>23</v>
      </c>
      <c r="O34" s="261">
        <f>'[7]Degree Days 2022'!O34</f>
        <v>18</v>
      </c>
      <c r="P34" s="261">
        <f t="shared" si="0"/>
        <v>2.1999999999999993</v>
      </c>
      <c r="Q34" s="498">
        <v>25</v>
      </c>
      <c r="R34" s="261">
        <f>'[2]Degree Days 2022'!R34</f>
        <v>24</v>
      </c>
      <c r="S34" s="261">
        <f>'[2]Degree Days 2022'!S34</f>
        <v>20</v>
      </c>
      <c r="T34" s="261">
        <f t="shared" si="1"/>
        <v>3.6999999999999993</v>
      </c>
      <c r="U34" s="498">
        <v>25</v>
      </c>
      <c r="V34" s="261">
        <f>'General information '!B29</f>
        <v>0</v>
      </c>
      <c r="W34" s="261">
        <f>'General information '!C29</f>
        <v>0</v>
      </c>
      <c r="X34" s="261">
        <f t="shared" si="2"/>
        <v>-18.3</v>
      </c>
    </row>
    <row r="35" spans="1:24">
      <c r="A35" s="117">
        <v>26</v>
      </c>
      <c r="B35" s="261">
        <f>'[5]Degree Days 2022'!B35</f>
        <v>12</v>
      </c>
      <c r="C35" s="261">
        <f>'General information '!C30</f>
        <v>0</v>
      </c>
      <c r="D35" s="261">
        <f>'[8]Degree Days 2020'!D35</f>
        <v>-3.8000000000000007</v>
      </c>
      <c r="E35" s="498">
        <f>'[8]Degree Days 2020'!E35</f>
        <v>26</v>
      </c>
      <c r="F35" s="261">
        <f>'[9]Degree Days 2022'!F35</f>
        <v>0</v>
      </c>
      <c r="G35" s="261">
        <f>'[9]Degree Days 2022'!G35</f>
        <v>0</v>
      </c>
      <c r="H35" s="261">
        <f>'[8]Degree Days 2020'!H35</f>
        <v>-2.8000000000000007</v>
      </c>
      <c r="I35" s="498">
        <f>'[8]Degree Days 2020'!I35</f>
        <v>26</v>
      </c>
      <c r="J35" s="261">
        <f>'[6]Degree Days 2022'!J35</f>
        <v>0</v>
      </c>
      <c r="K35" s="261">
        <f>'[6]Degree Days 2022'!K35</f>
        <v>0</v>
      </c>
      <c r="L35" s="261">
        <f>'[8]Degree Days 2020'!L35</f>
        <v>-5.3000000000000007</v>
      </c>
      <c r="M35" s="498">
        <f>'[10]Degree Days 2020'!M35</f>
        <v>26</v>
      </c>
      <c r="N35" s="261">
        <f>'[7]Degree Days 2022'!N35</f>
        <v>25</v>
      </c>
      <c r="O35" s="261">
        <f>'[7]Degree Days 2022'!O35</f>
        <v>16</v>
      </c>
      <c r="P35" s="261">
        <f t="shared" si="0"/>
        <v>2.1999999999999993</v>
      </c>
      <c r="Q35" s="498">
        <v>26</v>
      </c>
      <c r="R35" s="261">
        <f>'[2]Degree Days 2022'!R35</f>
        <v>28</v>
      </c>
      <c r="S35" s="261">
        <f>'[2]Degree Days 2022'!S35</f>
        <v>19</v>
      </c>
      <c r="T35" s="261">
        <f t="shared" si="1"/>
        <v>5.1999999999999993</v>
      </c>
      <c r="U35" s="498">
        <v>26</v>
      </c>
      <c r="V35" s="261">
        <f>'General information '!B30</f>
        <v>0</v>
      </c>
      <c r="W35" s="261">
        <f>'General information '!C30</f>
        <v>0</v>
      </c>
      <c r="X35" s="261">
        <f t="shared" si="2"/>
        <v>-18.3</v>
      </c>
    </row>
    <row r="36" spans="1:24">
      <c r="A36" s="117">
        <v>27</v>
      </c>
      <c r="B36" s="261">
        <f>'[5]Degree Days 2022'!B36</f>
        <v>14</v>
      </c>
      <c r="C36" s="261">
        <f>'General information '!C31</f>
        <v>0</v>
      </c>
      <c r="D36" s="261">
        <f>'[8]Degree Days 2020'!D36</f>
        <v>-6.3000000000000007</v>
      </c>
      <c r="E36" s="498">
        <f>'[8]Degree Days 2020'!E36</f>
        <v>27</v>
      </c>
      <c r="F36" s="261">
        <f>'[9]Degree Days 2022'!F36</f>
        <v>18</v>
      </c>
      <c r="G36" s="261">
        <f>'[9]Degree Days 2022'!G36</f>
        <v>14</v>
      </c>
      <c r="H36" s="261">
        <f>'[8]Degree Days 2020'!H36</f>
        <v>-2.8000000000000007</v>
      </c>
      <c r="I36" s="498">
        <f>'[8]Degree Days 2020'!I36</f>
        <v>27</v>
      </c>
      <c r="J36" s="261">
        <f>'[6]Degree Days 2022'!J36</f>
        <v>18</v>
      </c>
      <c r="K36" s="261">
        <f>'[6]Degree Days 2022'!K36</f>
        <v>11</v>
      </c>
      <c r="L36" s="261">
        <f>'[8]Degree Days 2020'!L36</f>
        <v>-4.3000000000000007</v>
      </c>
      <c r="M36" s="498">
        <f>'[10]Degree Days 2020'!M36</f>
        <v>27</v>
      </c>
      <c r="N36" s="261">
        <f>'[7]Degree Days 2022'!N36</f>
        <v>23</v>
      </c>
      <c r="O36" s="261">
        <f>'[7]Degree Days 2022'!O36</f>
        <v>17</v>
      </c>
      <c r="P36" s="261">
        <f t="shared" si="0"/>
        <v>1.6999999999999993</v>
      </c>
      <c r="Q36" s="498">
        <v>27</v>
      </c>
      <c r="R36" s="261">
        <f>'[2]Degree Days 2022'!R36</f>
        <v>0</v>
      </c>
      <c r="S36" s="261">
        <f>'[2]Degree Days 2022'!S36</f>
        <v>0</v>
      </c>
      <c r="T36" s="261">
        <f t="shared" si="1"/>
        <v>-18.3</v>
      </c>
      <c r="U36" s="498">
        <v>27</v>
      </c>
      <c r="V36" s="261">
        <f>'General information '!B31</f>
        <v>0</v>
      </c>
      <c r="W36" s="261">
        <f>'General information '!C31</f>
        <v>0</v>
      </c>
      <c r="X36" s="261">
        <f t="shared" si="2"/>
        <v>-18.3</v>
      </c>
    </row>
    <row r="37" spans="1:24">
      <c r="A37" s="117">
        <v>28</v>
      </c>
      <c r="B37" s="261">
        <f>'[5]Degree Days 2022'!B37</f>
        <v>0</v>
      </c>
      <c r="C37" s="261">
        <f>'General information '!C32</f>
        <v>0</v>
      </c>
      <c r="D37" s="261">
        <f>'[8]Degree Days 2020'!D37</f>
        <v>-6.3000000000000007</v>
      </c>
      <c r="E37" s="498">
        <f>'[8]Degree Days 2020'!E37</f>
        <v>28</v>
      </c>
      <c r="F37" s="261">
        <f>'[9]Degree Days 2022'!F37</f>
        <v>17</v>
      </c>
      <c r="G37" s="261">
        <f>'[9]Degree Days 2022'!G37</f>
        <v>12</v>
      </c>
      <c r="H37" s="261">
        <f>'[8]Degree Days 2020'!H37</f>
        <v>-3.3000000000000007</v>
      </c>
      <c r="I37" s="498">
        <f>'[8]Degree Days 2020'!I37</f>
        <v>28</v>
      </c>
      <c r="J37" s="261">
        <f>'[6]Degree Days 2022'!J37</f>
        <v>18</v>
      </c>
      <c r="K37" s="261">
        <f>'[6]Degree Days 2022'!K37</f>
        <v>11</v>
      </c>
      <c r="L37" s="261">
        <f>'[8]Degree Days 2020'!L37</f>
        <v>-3.3000000000000007</v>
      </c>
      <c r="M37" s="498">
        <f>'[10]Degree Days 2020'!M37</f>
        <v>28</v>
      </c>
      <c r="N37" s="261">
        <f>'[7]Degree Days 2022'!N37</f>
        <v>22</v>
      </c>
      <c r="O37" s="261">
        <f>'[7]Degree Days 2022'!O37</f>
        <v>19</v>
      </c>
      <c r="P37" s="261">
        <f t="shared" si="0"/>
        <v>2.1999999999999993</v>
      </c>
      <c r="Q37" s="498">
        <v>28</v>
      </c>
      <c r="R37" s="261">
        <f>'[2]Degree Days 2022'!R37</f>
        <v>0</v>
      </c>
      <c r="S37" s="261">
        <f>'[2]Degree Days 2022'!S37</f>
        <v>0</v>
      </c>
      <c r="T37" s="261">
        <f t="shared" si="1"/>
        <v>-18.3</v>
      </c>
      <c r="U37" s="498">
        <v>28</v>
      </c>
      <c r="V37" s="261">
        <f>'General information '!B32</f>
        <v>0</v>
      </c>
      <c r="W37" s="261">
        <f>'General information '!C32</f>
        <v>0</v>
      </c>
      <c r="X37" s="261">
        <f t="shared" si="2"/>
        <v>-18.3</v>
      </c>
    </row>
    <row r="38" spans="1:24">
      <c r="A38" s="117">
        <v>29</v>
      </c>
      <c r="B38" s="261">
        <f>'[5]Degree Days 2022'!B38</f>
        <v>0</v>
      </c>
      <c r="C38" s="261">
        <f>'General information '!C33</f>
        <v>0</v>
      </c>
      <c r="D38" s="261">
        <f>'[8]Degree Days 2020'!D38</f>
        <v>-4.3000000000000007</v>
      </c>
      <c r="E38" s="498"/>
      <c r="F38" s="261"/>
      <c r="G38" s="261"/>
      <c r="H38" s="261"/>
      <c r="I38" s="498">
        <f>'[8]Degree Days 2020'!I38</f>
        <v>29</v>
      </c>
      <c r="J38" s="261">
        <f>'[6]Degree Days 2022'!J38</f>
        <v>22</v>
      </c>
      <c r="K38" s="261">
        <f>'[6]Degree Days 2022'!K38</f>
        <v>12</v>
      </c>
      <c r="L38" s="261">
        <f>'[8]Degree Days 2020'!L38</f>
        <v>-2.8000000000000007</v>
      </c>
      <c r="M38" s="498">
        <f>'[10]Degree Days 2020'!M38</f>
        <v>29</v>
      </c>
      <c r="N38" s="261">
        <f>'[7]Degree Days 2022'!N38</f>
        <v>0</v>
      </c>
      <c r="O38" s="261">
        <f>'[7]Degree Days 2022'!O38</f>
        <v>0</v>
      </c>
      <c r="P38" s="261">
        <f t="shared" si="0"/>
        <v>-18.3</v>
      </c>
      <c r="Q38" s="498">
        <v>29</v>
      </c>
      <c r="R38" s="261">
        <f>'[2]Degree Days 2022'!R38</f>
        <v>0</v>
      </c>
      <c r="S38" s="261">
        <f>'[2]Degree Days 2022'!S38</f>
        <v>0</v>
      </c>
      <c r="T38" s="261">
        <f t="shared" si="1"/>
        <v>-18.3</v>
      </c>
      <c r="U38" s="498">
        <v>29</v>
      </c>
      <c r="V38" s="261">
        <f>'General information '!B33</f>
        <v>0</v>
      </c>
      <c r="W38" s="261">
        <f>'General information '!C33</f>
        <v>0</v>
      </c>
      <c r="X38" s="261">
        <f t="shared" si="2"/>
        <v>-18.3</v>
      </c>
    </row>
    <row r="39" spans="1:24">
      <c r="A39" s="117">
        <v>30</v>
      </c>
      <c r="B39" s="261">
        <f>'[5]Degree Days 2022'!B39</f>
        <v>17</v>
      </c>
      <c r="C39" s="261">
        <f>'General information '!C34</f>
        <v>0</v>
      </c>
      <c r="D39" s="261">
        <f>'[8]Degree Days 2020'!D39</f>
        <v>-11.3</v>
      </c>
      <c r="E39" s="498"/>
      <c r="F39" s="261"/>
      <c r="G39" s="261"/>
      <c r="H39" s="261"/>
      <c r="I39" s="498">
        <f>'[8]Degree Days 2020'!I39</f>
        <v>30</v>
      </c>
      <c r="J39" s="261">
        <f>'[6]Degree Days 2022'!J39</f>
        <v>19</v>
      </c>
      <c r="K39" s="261">
        <f>'[6]Degree Days 2022'!K39</f>
        <v>15</v>
      </c>
      <c r="L39" s="261">
        <f>'[8]Degree Days 2020'!L39</f>
        <v>-2.3000000000000007</v>
      </c>
      <c r="M39" s="498">
        <f>'[10]Degree Days 2020'!M39</f>
        <v>30</v>
      </c>
      <c r="N39" s="261">
        <f>'[7]Degree Days 2022'!N39</f>
        <v>0</v>
      </c>
      <c r="O39" s="261">
        <f>'[7]Degree Days 2022'!O39</f>
        <v>0</v>
      </c>
      <c r="P39" s="261">
        <f t="shared" si="0"/>
        <v>-18.3</v>
      </c>
      <c r="Q39" s="498">
        <v>30</v>
      </c>
      <c r="R39" s="261">
        <f>'[2]Degree Days 2022'!R39</f>
        <v>27</v>
      </c>
      <c r="S39" s="261">
        <f>'[2]Degree Days 2022'!S39</f>
        <v>22</v>
      </c>
      <c r="T39" s="261">
        <f t="shared" si="1"/>
        <v>6.1999999999999993</v>
      </c>
      <c r="U39" s="498">
        <v>30</v>
      </c>
      <c r="V39" s="261">
        <f>'General information '!B34</f>
        <v>0</v>
      </c>
      <c r="W39" s="261">
        <f>'General information '!C34</f>
        <v>0</v>
      </c>
      <c r="X39" s="261">
        <f t="shared" si="2"/>
        <v>-18.3</v>
      </c>
    </row>
    <row r="40" spans="1:24">
      <c r="A40" s="117">
        <v>31</v>
      </c>
      <c r="B40" s="261">
        <f>'[5]Degree Days 2022'!B40</f>
        <v>17</v>
      </c>
      <c r="C40" s="261">
        <f>'General information '!C35</f>
        <v>0</v>
      </c>
      <c r="D40" s="261">
        <f>'[8]Degree Days 2020'!D40</f>
        <v>0.19999999999999929</v>
      </c>
      <c r="E40" s="498"/>
      <c r="F40" s="261"/>
      <c r="G40" s="261"/>
      <c r="H40" s="261"/>
      <c r="I40" s="498">
        <f>'[8]Degree Days 2020'!I40</f>
        <v>31</v>
      </c>
      <c r="J40" s="261">
        <f>'[6]Degree Days 2022'!J40</f>
        <v>21</v>
      </c>
      <c r="K40" s="261">
        <f>'[6]Degree Days 2022'!K40</f>
        <v>13</v>
      </c>
      <c r="L40" s="261">
        <f>'[8]Degree Days 2020'!L40</f>
        <v>-2.8000000000000007</v>
      </c>
      <c r="M40" s="498"/>
      <c r="N40" s="261"/>
      <c r="O40" s="261"/>
      <c r="P40" s="261"/>
      <c r="Q40" s="498">
        <v>31</v>
      </c>
      <c r="R40" s="261">
        <f>'[2]Degree Days 2022'!R40</f>
        <v>26</v>
      </c>
      <c r="S40" s="261">
        <f>'[2]Degree Days 2022'!S40</f>
        <v>22</v>
      </c>
      <c r="T40" s="261">
        <f t="shared" si="1"/>
        <v>5.6999999999999993</v>
      </c>
      <c r="U40" s="261"/>
      <c r="V40" s="261"/>
      <c r="W40" s="261"/>
      <c r="X40" s="261"/>
    </row>
    <row r="41" spans="1:24">
      <c r="A41" s="123"/>
      <c r="B41" s="124"/>
      <c r="C41" s="124"/>
      <c r="D41" s="121"/>
      <c r="E41" s="123"/>
      <c r="F41" s="124"/>
      <c r="G41" s="124"/>
      <c r="H41" s="121"/>
      <c r="I41" s="123"/>
      <c r="J41" s="124"/>
      <c r="K41" s="124"/>
      <c r="L41" s="121"/>
      <c r="M41" s="123"/>
      <c r="N41" s="124"/>
      <c r="O41" s="124"/>
      <c r="P41" s="121"/>
      <c r="Q41" s="123"/>
      <c r="R41" s="124"/>
      <c r="S41" s="124"/>
      <c r="T41" s="121"/>
      <c r="U41" s="123"/>
      <c r="V41" s="124"/>
      <c r="W41" s="124"/>
      <c r="X41" s="121"/>
    </row>
    <row r="42" spans="1:24" s="128" customFormat="1" ht="21">
      <c r="A42" s="125"/>
      <c r="B42" s="126" t="s">
        <v>174</v>
      </c>
      <c r="C42" s="126" t="s">
        <v>175</v>
      </c>
      <c r="D42" s="127"/>
      <c r="E42" s="125"/>
      <c r="F42" s="126" t="s">
        <v>174</v>
      </c>
      <c r="G42" s="126" t="s">
        <v>175</v>
      </c>
      <c r="H42" s="127"/>
      <c r="I42" s="125"/>
      <c r="J42" s="126" t="s">
        <v>174</v>
      </c>
      <c r="K42" s="126" t="s">
        <v>175</v>
      </c>
      <c r="L42" s="127"/>
      <c r="M42" s="125"/>
      <c r="N42" s="126" t="s">
        <v>174</v>
      </c>
      <c r="O42" s="126" t="s">
        <v>175</v>
      </c>
      <c r="P42" s="127"/>
      <c r="Q42" s="125"/>
      <c r="R42" s="126" t="s">
        <v>174</v>
      </c>
      <c r="S42" s="126" t="s">
        <v>175</v>
      </c>
      <c r="T42" s="127"/>
      <c r="U42" s="125"/>
      <c r="V42" s="126" t="s">
        <v>174</v>
      </c>
      <c r="W42" s="126" t="s">
        <v>175</v>
      </c>
      <c r="X42" s="127"/>
    </row>
    <row r="43" spans="1:24">
      <c r="A43" s="129"/>
      <c r="B43" s="119">
        <f>SUMIF(D10:D37,"&lt;0")</f>
        <v>-76.999999999999986</v>
      </c>
      <c r="C43" s="119">
        <f>SUMIF(D10:D37,"&gt;0")</f>
        <v>2.5999999999999943</v>
      </c>
      <c r="D43" s="130"/>
      <c r="E43" s="129"/>
      <c r="F43" s="119">
        <f>SUMIF(H10:H37,"&lt;0")</f>
        <v>-75.899999999999977</v>
      </c>
      <c r="G43" s="119">
        <f>SUMIF(H10:H37,"&gt;0")</f>
        <v>6.4999999999999964</v>
      </c>
      <c r="H43" s="130"/>
      <c r="I43" s="129"/>
      <c r="J43" s="119">
        <f>SUMIF(L10:L37,"&lt;0")</f>
        <v>-56.899999999999991</v>
      </c>
      <c r="K43" s="119">
        <f>SUMIF(L10:L37,"&gt;0")</f>
        <v>11.499999999999996</v>
      </c>
      <c r="L43" s="130"/>
      <c r="M43" s="129"/>
      <c r="N43" s="119">
        <f>SUMIF(P10:P37,"&lt;0")</f>
        <v>-220.20000000000007</v>
      </c>
      <c r="O43" s="119">
        <f>SUMIF(P10:P37,"&gt;0")</f>
        <v>34.299999999999997</v>
      </c>
      <c r="P43" s="130"/>
      <c r="Q43" s="129"/>
      <c r="R43" s="119">
        <f>SUMIF(T10:T37,"&lt;0")</f>
        <v>-201.30000000000004</v>
      </c>
      <c r="S43" s="119">
        <f>SUMIF(T10:T37,"&gt;0")</f>
        <v>43.399999999999991</v>
      </c>
      <c r="T43" s="130"/>
      <c r="U43" s="129"/>
      <c r="V43" s="119">
        <f>SUMIF(X10:X37,"&lt;0")</f>
        <v>-366.00000000000011</v>
      </c>
      <c r="W43" s="119">
        <f>SUMIF(X10:X37,"&gt;0")</f>
        <v>47.599999999999994</v>
      </c>
      <c r="X43" s="130"/>
    </row>
    <row r="44" spans="1:24">
      <c r="A44" s="131"/>
      <c r="B44" s="132"/>
      <c r="C44" s="132"/>
      <c r="D44" s="133"/>
      <c r="E44" s="131"/>
      <c r="F44" s="132"/>
      <c r="G44" s="132"/>
      <c r="H44" s="133"/>
      <c r="I44" s="131"/>
      <c r="J44" s="132"/>
      <c r="K44" s="132"/>
      <c r="L44" s="133"/>
      <c r="M44" s="131"/>
      <c r="N44" s="132"/>
      <c r="O44" s="132"/>
      <c r="P44" s="133"/>
      <c r="Q44" s="131"/>
      <c r="R44" s="132"/>
      <c r="S44" s="132"/>
      <c r="T44" s="133"/>
      <c r="U44" s="131"/>
      <c r="V44" s="132"/>
      <c r="W44" s="132"/>
      <c r="X44" s="133"/>
    </row>
    <row r="45" spans="1:24">
      <c r="D45" s="134"/>
      <c r="H45" s="134"/>
      <c r="L45" s="134"/>
      <c r="P45" s="134"/>
      <c r="T45" s="134"/>
      <c r="X45" s="134"/>
    </row>
    <row r="46" spans="1:24" ht="15.75">
      <c r="A46" s="105"/>
      <c r="B46" s="106"/>
      <c r="C46" s="107"/>
      <c r="D46" s="135"/>
      <c r="E46" s="105"/>
      <c r="F46" s="106"/>
      <c r="G46" s="107"/>
      <c r="H46" s="135"/>
      <c r="I46" s="105"/>
      <c r="J46" s="109"/>
      <c r="K46" s="106"/>
      <c r="L46" s="136"/>
      <c r="M46" s="105"/>
      <c r="N46" s="106"/>
      <c r="O46" s="107"/>
      <c r="P46" s="135"/>
      <c r="Q46" s="111"/>
      <c r="R46" s="109"/>
      <c r="S46" s="106"/>
      <c r="T46" s="136"/>
      <c r="U46" s="111"/>
      <c r="V46" s="109"/>
      <c r="W46" s="106"/>
      <c r="X46" s="136"/>
    </row>
    <row r="47" spans="1:24" ht="22.5">
      <c r="A47" s="137" t="s">
        <v>176</v>
      </c>
      <c r="B47" s="113" t="s">
        <v>166</v>
      </c>
      <c r="C47" s="113" t="s">
        <v>167</v>
      </c>
      <c r="D47" s="138" t="s">
        <v>168</v>
      </c>
      <c r="E47" s="137" t="s">
        <v>177</v>
      </c>
      <c r="F47" s="113" t="s">
        <v>166</v>
      </c>
      <c r="G47" s="113" t="s">
        <v>167</v>
      </c>
      <c r="H47" s="138" t="s">
        <v>168</v>
      </c>
      <c r="I47" s="137" t="s">
        <v>178</v>
      </c>
      <c r="J47" s="113" t="s">
        <v>166</v>
      </c>
      <c r="K47" s="113" t="s">
        <v>167</v>
      </c>
      <c r="L47" s="138" t="s">
        <v>168</v>
      </c>
      <c r="M47" s="137" t="s">
        <v>179</v>
      </c>
      <c r="N47" s="113" t="s">
        <v>166</v>
      </c>
      <c r="O47" s="113" t="s">
        <v>167</v>
      </c>
      <c r="P47" s="138" t="s">
        <v>168</v>
      </c>
      <c r="Q47" s="137" t="s">
        <v>180</v>
      </c>
      <c r="R47" s="113" t="s">
        <v>166</v>
      </c>
      <c r="S47" s="113" t="s">
        <v>167</v>
      </c>
      <c r="T47" s="138" t="s">
        <v>168</v>
      </c>
      <c r="U47" s="137" t="s">
        <v>181</v>
      </c>
      <c r="V47" s="113" t="s">
        <v>166</v>
      </c>
      <c r="W47" s="113" t="s">
        <v>167</v>
      </c>
      <c r="X47" s="138" t="s">
        <v>168</v>
      </c>
    </row>
    <row r="48" spans="1:24">
      <c r="A48" s="117">
        <v>1</v>
      </c>
      <c r="B48" s="261"/>
      <c r="C48" s="261"/>
      <c r="D48" s="119">
        <f t="shared" ref="D48:D56" si="3">(B48+C48)/2-18.3</f>
        <v>-18.3</v>
      </c>
      <c r="E48" s="117">
        <v>1</v>
      </c>
      <c r="F48" s="261"/>
      <c r="G48" s="261"/>
      <c r="H48" s="119">
        <f t="shared" ref="H48:H78" si="4">(F48+G48)/2-18.3</f>
        <v>-18.3</v>
      </c>
      <c r="I48" s="117">
        <v>1</v>
      </c>
      <c r="J48" s="261"/>
      <c r="K48" s="261"/>
      <c r="L48" s="119">
        <f>(J48+K48)/2-18.3</f>
        <v>-18.3</v>
      </c>
      <c r="M48" s="117">
        <v>1</v>
      </c>
      <c r="N48" s="261"/>
      <c r="O48" s="261"/>
      <c r="P48" s="119">
        <f>(N48+O48)/2-18.3</f>
        <v>-18.3</v>
      </c>
      <c r="Q48" s="117">
        <v>1</v>
      </c>
      <c r="R48" s="261"/>
      <c r="S48" s="261"/>
      <c r="T48" s="119">
        <f>(R48+S48)/2-18.3</f>
        <v>-18.3</v>
      </c>
      <c r="U48" s="117">
        <v>1</v>
      </c>
      <c r="V48" s="261"/>
      <c r="W48" s="261"/>
      <c r="X48" s="119">
        <f t="shared" ref="X48:X78" si="5">(V48+W48)/2-18.3</f>
        <v>-18.3</v>
      </c>
    </row>
    <row r="49" spans="1:24">
      <c r="A49" s="117">
        <v>2</v>
      </c>
      <c r="B49" s="261"/>
      <c r="C49" s="261"/>
      <c r="D49" s="119">
        <f t="shared" si="3"/>
        <v>-18.3</v>
      </c>
      <c r="E49" s="117">
        <v>2</v>
      </c>
      <c r="F49" s="261"/>
      <c r="G49" s="261"/>
      <c r="H49" s="119">
        <f t="shared" si="4"/>
        <v>-18.3</v>
      </c>
      <c r="I49" s="117">
        <v>2</v>
      </c>
      <c r="J49" s="261"/>
      <c r="K49" s="261"/>
      <c r="L49" s="119">
        <f t="shared" ref="L49:L77" si="6">(J49+K49)/2-18.3</f>
        <v>-18.3</v>
      </c>
      <c r="M49" s="117">
        <v>2</v>
      </c>
      <c r="N49" s="261"/>
      <c r="O49" s="261"/>
      <c r="P49" s="119">
        <f t="shared" ref="P49:P78" si="7">(N49+O49)/2-18.3</f>
        <v>-18.3</v>
      </c>
      <c r="Q49" s="117">
        <v>2</v>
      </c>
      <c r="R49" s="261"/>
      <c r="S49" s="261"/>
      <c r="T49" s="119">
        <f t="shared" ref="T49:T77" si="8">(R49+S49)/2-18.3</f>
        <v>-18.3</v>
      </c>
      <c r="U49" s="117">
        <v>2</v>
      </c>
      <c r="V49" s="261"/>
      <c r="W49" s="261"/>
      <c r="X49" s="119">
        <f t="shared" si="5"/>
        <v>-18.3</v>
      </c>
    </row>
    <row r="50" spans="1:24">
      <c r="A50" s="117">
        <v>3</v>
      </c>
      <c r="B50" s="261"/>
      <c r="C50" s="261"/>
      <c r="D50" s="119">
        <f t="shared" si="3"/>
        <v>-18.3</v>
      </c>
      <c r="E50" s="117">
        <v>3</v>
      </c>
      <c r="F50" s="261"/>
      <c r="G50" s="261"/>
      <c r="H50" s="119">
        <f t="shared" si="4"/>
        <v>-18.3</v>
      </c>
      <c r="I50" s="117">
        <v>3</v>
      </c>
      <c r="J50" s="261"/>
      <c r="K50" s="261"/>
      <c r="L50" s="119">
        <f t="shared" si="6"/>
        <v>-18.3</v>
      </c>
      <c r="M50" s="117">
        <v>3</v>
      </c>
      <c r="N50" s="261"/>
      <c r="O50" s="261"/>
      <c r="P50" s="119">
        <f t="shared" si="7"/>
        <v>-18.3</v>
      </c>
      <c r="Q50" s="117">
        <v>3</v>
      </c>
      <c r="R50" s="261"/>
      <c r="S50" s="261"/>
      <c r="T50" s="119">
        <f t="shared" si="8"/>
        <v>-18.3</v>
      </c>
      <c r="U50" s="117">
        <v>3</v>
      </c>
      <c r="V50" s="261"/>
      <c r="W50" s="261"/>
      <c r="X50" s="119">
        <f t="shared" si="5"/>
        <v>-18.3</v>
      </c>
    </row>
    <row r="51" spans="1:24">
      <c r="A51" s="117">
        <v>4</v>
      </c>
      <c r="B51" s="261"/>
      <c r="C51" s="261"/>
      <c r="D51" s="119">
        <f t="shared" si="3"/>
        <v>-18.3</v>
      </c>
      <c r="E51" s="117">
        <v>4</v>
      </c>
      <c r="F51" s="261"/>
      <c r="G51" s="261"/>
      <c r="H51" s="119">
        <f t="shared" si="4"/>
        <v>-18.3</v>
      </c>
      <c r="I51" s="117">
        <v>4</v>
      </c>
      <c r="J51" s="261"/>
      <c r="K51" s="261"/>
      <c r="L51" s="119">
        <f t="shared" si="6"/>
        <v>-18.3</v>
      </c>
      <c r="M51" s="117">
        <v>4</v>
      </c>
      <c r="N51" s="261"/>
      <c r="O51" s="261"/>
      <c r="P51" s="119">
        <f t="shared" si="7"/>
        <v>-18.3</v>
      </c>
      <c r="Q51" s="117">
        <v>4</v>
      </c>
      <c r="R51" s="261"/>
      <c r="S51" s="261"/>
      <c r="T51" s="119">
        <f t="shared" si="8"/>
        <v>-18.3</v>
      </c>
      <c r="U51" s="117">
        <v>4</v>
      </c>
      <c r="V51" s="261"/>
      <c r="W51" s="261"/>
      <c r="X51" s="119">
        <f t="shared" si="5"/>
        <v>-18.3</v>
      </c>
    </row>
    <row r="52" spans="1:24">
      <c r="A52" s="117">
        <v>5</v>
      </c>
      <c r="B52" s="261"/>
      <c r="C52" s="261"/>
      <c r="D52" s="119">
        <f t="shared" si="3"/>
        <v>-18.3</v>
      </c>
      <c r="E52" s="117">
        <v>5</v>
      </c>
      <c r="F52" s="261"/>
      <c r="G52" s="261"/>
      <c r="H52" s="119">
        <f t="shared" si="4"/>
        <v>-18.3</v>
      </c>
      <c r="I52" s="117">
        <v>5</v>
      </c>
      <c r="J52" s="261"/>
      <c r="K52" s="261"/>
      <c r="L52" s="119">
        <f t="shared" si="6"/>
        <v>-18.3</v>
      </c>
      <c r="M52" s="117">
        <v>5</v>
      </c>
      <c r="N52" s="261"/>
      <c r="O52" s="261"/>
      <c r="P52" s="119">
        <f t="shared" si="7"/>
        <v>-18.3</v>
      </c>
      <c r="Q52" s="117">
        <v>5</v>
      </c>
      <c r="R52" s="261"/>
      <c r="S52" s="261"/>
      <c r="T52" s="119">
        <f t="shared" si="8"/>
        <v>-18.3</v>
      </c>
      <c r="U52" s="117">
        <v>5</v>
      </c>
      <c r="V52" s="261"/>
      <c r="W52" s="261"/>
      <c r="X52" s="119">
        <f t="shared" si="5"/>
        <v>-18.3</v>
      </c>
    </row>
    <row r="53" spans="1:24">
      <c r="A53" s="117">
        <v>6</v>
      </c>
      <c r="B53" s="261"/>
      <c r="C53" s="261"/>
      <c r="D53" s="119">
        <f t="shared" si="3"/>
        <v>-18.3</v>
      </c>
      <c r="E53" s="117">
        <v>6</v>
      </c>
      <c r="F53" s="261"/>
      <c r="G53" s="261"/>
      <c r="H53" s="119">
        <f t="shared" si="4"/>
        <v>-18.3</v>
      </c>
      <c r="I53" s="117">
        <v>6</v>
      </c>
      <c r="J53" s="261"/>
      <c r="K53" s="261"/>
      <c r="L53" s="119">
        <f t="shared" si="6"/>
        <v>-18.3</v>
      </c>
      <c r="M53" s="117">
        <v>6</v>
      </c>
      <c r="N53" s="261"/>
      <c r="O53" s="261"/>
      <c r="P53" s="119">
        <f t="shared" si="7"/>
        <v>-18.3</v>
      </c>
      <c r="Q53" s="117">
        <v>6</v>
      </c>
      <c r="R53" s="261"/>
      <c r="S53" s="261"/>
      <c r="T53" s="119">
        <f t="shared" si="8"/>
        <v>-18.3</v>
      </c>
      <c r="U53" s="117">
        <v>6</v>
      </c>
      <c r="V53" s="261"/>
      <c r="W53" s="261"/>
      <c r="X53" s="119">
        <f t="shared" si="5"/>
        <v>-18.3</v>
      </c>
    </row>
    <row r="54" spans="1:24">
      <c r="A54" s="117">
        <v>7</v>
      </c>
      <c r="B54" s="261"/>
      <c r="C54" s="261"/>
      <c r="D54" s="119">
        <f t="shared" si="3"/>
        <v>-18.3</v>
      </c>
      <c r="E54" s="117">
        <v>7</v>
      </c>
      <c r="F54" s="261"/>
      <c r="G54" s="261"/>
      <c r="H54" s="119">
        <f t="shared" si="4"/>
        <v>-18.3</v>
      </c>
      <c r="I54" s="117">
        <v>7</v>
      </c>
      <c r="J54" s="261"/>
      <c r="K54" s="261"/>
      <c r="L54" s="119">
        <f t="shared" si="6"/>
        <v>-18.3</v>
      </c>
      <c r="M54" s="117">
        <v>7</v>
      </c>
      <c r="N54" s="261"/>
      <c r="O54" s="261"/>
      <c r="P54" s="119">
        <f t="shared" si="7"/>
        <v>-18.3</v>
      </c>
      <c r="Q54" s="117">
        <v>7</v>
      </c>
      <c r="R54" s="261"/>
      <c r="S54" s="261"/>
      <c r="T54" s="119">
        <f t="shared" si="8"/>
        <v>-18.3</v>
      </c>
      <c r="U54" s="117">
        <v>7</v>
      </c>
      <c r="V54" s="261"/>
      <c r="W54" s="261"/>
      <c r="X54" s="119">
        <f t="shared" si="5"/>
        <v>-18.3</v>
      </c>
    </row>
    <row r="55" spans="1:24">
      <c r="A55" s="117">
        <v>8</v>
      </c>
      <c r="B55" s="261"/>
      <c r="C55" s="261"/>
      <c r="D55" s="119">
        <f t="shared" si="3"/>
        <v>-18.3</v>
      </c>
      <c r="E55" s="117">
        <v>8</v>
      </c>
      <c r="F55" s="261"/>
      <c r="G55" s="261"/>
      <c r="H55" s="119">
        <f t="shared" si="4"/>
        <v>-18.3</v>
      </c>
      <c r="I55" s="117">
        <v>8</v>
      </c>
      <c r="J55" s="261"/>
      <c r="K55" s="261"/>
      <c r="L55" s="119">
        <f t="shared" si="6"/>
        <v>-18.3</v>
      </c>
      <c r="M55" s="117">
        <v>8</v>
      </c>
      <c r="N55" s="261"/>
      <c r="O55" s="261"/>
      <c r="P55" s="119">
        <f t="shared" si="7"/>
        <v>-18.3</v>
      </c>
      <c r="Q55" s="117">
        <v>8</v>
      </c>
      <c r="R55" s="261"/>
      <c r="S55" s="261"/>
      <c r="T55" s="119">
        <f t="shared" si="8"/>
        <v>-18.3</v>
      </c>
      <c r="U55" s="117">
        <v>8</v>
      </c>
      <c r="V55" s="261"/>
      <c r="W55" s="261"/>
      <c r="X55" s="119">
        <f t="shared" si="5"/>
        <v>-18.3</v>
      </c>
    </row>
    <row r="56" spans="1:24">
      <c r="A56" s="117">
        <v>9</v>
      </c>
      <c r="B56" s="261"/>
      <c r="C56" s="261"/>
      <c r="D56" s="119">
        <f t="shared" si="3"/>
        <v>-18.3</v>
      </c>
      <c r="E56" s="117">
        <v>9</v>
      </c>
      <c r="F56" s="261"/>
      <c r="G56" s="261"/>
      <c r="H56" s="119">
        <f t="shared" si="4"/>
        <v>-18.3</v>
      </c>
      <c r="I56" s="117">
        <v>9</v>
      </c>
      <c r="J56" s="261"/>
      <c r="K56" s="261"/>
      <c r="L56" s="119">
        <f t="shared" si="6"/>
        <v>-18.3</v>
      </c>
      <c r="M56" s="117">
        <v>9</v>
      </c>
      <c r="N56" s="261"/>
      <c r="O56" s="261"/>
      <c r="P56" s="119">
        <f t="shared" si="7"/>
        <v>-18.3</v>
      </c>
      <c r="Q56" s="117">
        <v>9</v>
      </c>
      <c r="R56" s="261"/>
      <c r="S56" s="261"/>
      <c r="T56" s="119">
        <f t="shared" si="8"/>
        <v>-18.3</v>
      </c>
      <c r="U56" s="117">
        <v>9</v>
      </c>
      <c r="V56" s="261"/>
      <c r="W56" s="261"/>
      <c r="X56" s="119">
        <f t="shared" si="5"/>
        <v>-18.3</v>
      </c>
    </row>
    <row r="57" spans="1:24">
      <c r="A57" s="117">
        <v>10</v>
      </c>
      <c r="B57" s="261"/>
      <c r="C57" s="261"/>
      <c r="D57" s="119">
        <f t="shared" ref="D57:D78" si="9">(B57+C57)/2-18.3</f>
        <v>-18.3</v>
      </c>
      <c r="E57" s="117">
        <v>10</v>
      </c>
      <c r="F57" s="261"/>
      <c r="G57" s="261"/>
      <c r="H57" s="119">
        <f t="shared" si="4"/>
        <v>-18.3</v>
      </c>
      <c r="I57" s="117">
        <v>10</v>
      </c>
      <c r="J57" s="261"/>
      <c r="K57" s="261"/>
      <c r="L57" s="119">
        <f t="shared" si="6"/>
        <v>-18.3</v>
      </c>
      <c r="M57" s="117">
        <v>10</v>
      </c>
      <c r="N57" s="261"/>
      <c r="O57" s="261"/>
      <c r="P57" s="119">
        <f t="shared" si="7"/>
        <v>-18.3</v>
      </c>
      <c r="Q57" s="117">
        <v>10</v>
      </c>
      <c r="R57" s="261"/>
      <c r="S57" s="261"/>
      <c r="T57" s="119">
        <f t="shared" si="8"/>
        <v>-18.3</v>
      </c>
      <c r="U57" s="117">
        <v>10</v>
      </c>
      <c r="V57" s="261"/>
      <c r="W57" s="261"/>
      <c r="X57" s="119">
        <f t="shared" si="5"/>
        <v>-18.3</v>
      </c>
    </row>
    <row r="58" spans="1:24">
      <c r="A58" s="117">
        <v>11</v>
      </c>
      <c r="B58" s="261"/>
      <c r="C58" s="261"/>
      <c r="D58" s="119">
        <f t="shared" si="9"/>
        <v>-18.3</v>
      </c>
      <c r="E58" s="117">
        <v>11</v>
      </c>
      <c r="F58" s="261"/>
      <c r="G58" s="261"/>
      <c r="H58" s="119">
        <f t="shared" si="4"/>
        <v>-18.3</v>
      </c>
      <c r="I58" s="117">
        <v>11</v>
      </c>
      <c r="J58" s="261"/>
      <c r="K58" s="261"/>
      <c r="L58" s="119">
        <f t="shared" si="6"/>
        <v>-18.3</v>
      </c>
      <c r="M58" s="117">
        <v>11</v>
      </c>
      <c r="N58" s="261"/>
      <c r="O58" s="261"/>
      <c r="P58" s="119">
        <f t="shared" si="7"/>
        <v>-18.3</v>
      </c>
      <c r="Q58" s="117">
        <v>11</v>
      </c>
      <c r="R58" s="261"/>
      <c r="S58" s="261"/>
      <c r="T58" s="119">
        <f t="shared" si="8"/>
        <v>-18.3</v>
      </c>
      <c r="U58" s="117">
        <v>11</v>
      </c>
      <c r="V58" s="261"/>
      <c r="W58" s="261"/>
      <c r="X58" s="119">
        <f t="shared" si="5"/>
        <v>-18.3</v>
      </c>
    </row>
    <row r="59" spans="1:24">
      <c r="A59" s="117">
        <v>12</v>
      </c>
      <c r="B59" s="261"/>
      <c r="C59" s="261"/>
      <c r="D59" s="119">
        <f t="shared" si="9"/>
        <v>-18.3</v>
      </c>
      <c r="E59" s="117">
        <v>12</v>
      </c>
      <c r="F59" s="261"/>
      <c r="G59" s="261"/>
      <c r="H59" s="119">
        <f t="shared" si="4"/>
        <v>-18.3</v>
      </c>
      <c r="I59" s="117">
        <v>12</v>
      </c>
      <c r="J59" s="261"/>
      <c r="K59" s="261"/>
      <c r="L59" s="119">
        <f t="shared" si="6"/>
        <v>-18.3</v>
      </c>
      <c r="M59" s="117">
        <v>12</v>
      </c>
      <c r="N59" s="261"/>
      <c r="O59" s="261"/>
      <c r="P59" s="119">
        <f t="shared" si="7"/>
        <v>-18.3</v>
      </c>
      <c r="Q59" s="117">
        <v>12</v>
      </c>
      <c r="R59" s="261"/>
      <c r="S59" s="261"/>
      <c r="T59" s="119">
        <f t="shared" si="8"/>
        <v>-18.3</v>
      </c>
      <c r="U59" s="117">
        <v>12</v>
      </c>
      <c r="V59" s="261"/>
      <c r="W59" s="261"/>
      <c r="X59" s="119">
        <f t="shared" si="5"/>
        <v>-18.3</v>
      </c>
    </row>
    <row r="60" spans="1:24">
      <c r="A60" s="117">
        <v>13</v>
      </c>
      <c r="B60" s="261"/>
      <c r="C60" s="261"/>
      <c r="D60" s="119">
        <f t="shared" si="9"/>
        <v>-18.3</v>
      </c>
      <c r="E60" s="117">
        <v>13</v>
      </c>
      <c r="F60" s="261"/>
      <c r="G60" s="261"/>
      <c r="H60" s="119">
        <f t="shared" si="4"/>
        <v>-18.3</v>
      </c>
      <c r="I60" s="117">
        <v>13</v>
      </c>
      <c r="J60" s="261"/>
      <c r="K60" s="261"/>
      <c r="L60" s="119">
        <f t="shared" si="6"/>
        <v>-18.3</v>
      </c>
      <c r="M60" s="117">
        <v>13</v>
      </c>
      <c r="N60" s="261"/>
      <c r="O60" s="261"/>
      <c r="P60" s="119">
        <f t="shared" si="7"/>
        <v>-18.3</v>
      </c>
      <c r="Q60" s="117">
        <v>13</v>
      </c>
      <c r="R60" s="261"/>
      <c r="S60" s="261"/>
      <c r="T60" s="119">
        <f t="shared" si="8"/>
        <v>-18.3</v>
      </c>
      <c r="U60" s="117">
        <v>13</v>
      </c>
      <c r="V60" s="261"/>
      <c r="W60" s="261"/>
      <c r="X60" s="119">
        <f t="shared" si="5"/>
        <v>-18.3</v>
      </c>
    </row>
    <row r="61" spans="1:24">
      <c r="A61" s="117">
        <v>14</v>
      </c>
      <c r="B61" s="261"/>
      <c r="C61" s="261"/>
      <c r="D61" s="119">
        <f t="shared" si="9"/>
        <v>-18.3</v>
      </c>
      <c r="E61" s="117">
        <v>14</v>
      </c>
      <c r="F61" s="261"/>
      <c r="G61" s="261"/>
      <c r="H61" s="119">
        <f t="shared" si="4"/>
        <v>-18.3</v>
      </c>
      <c r="I61" s="117">
        <v>14</v>
      </c>
      <c r="J61" s="261"/>
      <c r="K61" s="261"/>
      <c r="L61" s="119">
        <f t="shared" si="6"/>
        <v>-18.3</v>
      </c>
      <c r="M61" s="117">
        <v>14</v>
      </c>
      <c r="N61" s="261"/>
      <c r="O61" s="261"/>
      <c r="P61" s="119">
        <f t="shared" si="7"/>
        <v>-18.3</v>
      </c>
      <c r="Q61" s="117">
        <v>14</v>
      </c>
      <c r="R61" s="261"/>
      <c r="S61" s="261"/>
      <c r="T61" s="119">
        <f t="shared" si="8"/>
        <v>-18.3</v>
      </c>
      <c r="U61" s="117">
        <v>14</v>
      </c>
      <c r="V61" s="261"/>
      <c r="W61" s="261"/>
      <c r="X61" s="119">
        <f t="shared" si="5"/>
        <v>-18.3</v>
      </c>
    </row>
    <row r="62" spans="1:24">
      <c r="A62" s="117">
        <v>15</v>
      </c>
      <c r="B62" s="261"/>
      <c r="C62" s="261"/>
      <c r="D62" s="119">
        <f t="shared" si="9"/>
        <v>-18.3</v>
      </c>
      <c r="E62" s="117">
        <v>15</v>
      </c>
      <c r="F62" s="261"/>
      <c r="G62" s="261"/>
      <c r="H62" s="119">
        <f t="shared" si="4"/>
        <v>-18.3</v>
      </c>
      <c r="I62" s="117">
        <v>15</v>
      </c>
      <c r="J62" s="261"/>
      <c r="K62" s="261"/>
      <c r="L62" s="119">
        <f t="shared" si="6"/>
        <v>-18.3</v>
      </c>
      <c r="M62" s="117">
        <v>15</v>
      </c>
      <c r="N62" s="261"/>
      <c r="O62" s="261"/>
      <c r="P62" s="119">
        <f t="shared" si="7"/>
        <v>-18.3</v>
      </c>
      <c r="Q62" s="117">
        <v>15</v>
      </c>
      <c r="R62" s="261"/>
      <c r="S62" s="261"/>
      <c r="T62" s="119">
        <f t="shared" si="8"/>
        <v>-18.3</v>
      </c>
      <c r="U62" s="117">
        <v>15</v>
      </c>
      <c r="V62" s="261"/>
      <c r="W62" s="261"/>
      <c r="X62" s="119">
        <f t="shared" si="5"/>
        <v>-18.3</v>
      </c>
    </row>
    <row r="63" spans="1:24">
      <c r="A63" s="117">
        <v>16</v>
      </c>
      <c r="B63" s="261"/>
      <c r="C63" s="261"/>
      <c r="D63" s="119">
        <f t="shared" si="9"/>
        <v>-18.3</v>
      </c>
      <c r="E63" s="117">
        <v>16</v>
      </c>
      <c r="F63" s="261"/>
      <c r="G63" s="261"/>
      <c r="H63" s="119">
        <f t="shared" si="4"/>
        <v>-18.3</v>
      </c>
      <c r="I63" s="117">
        <v>16</v>
      </c>
      <c r="J63" s="261"/>
      <c r="K63" s="261"/>
      <c r="L63" s="119">
        <f t="shared" si="6"/>
        <v>-18.3</v>
      </c>
      <c r="M63" s="117">
        <v>16</v>
      </c>
      <c r="N63" s="261"/>
      <c r="O63" s="261"/>
      <c r="P63" s="119">
        <f t="shared" si="7"/>
        <v>-18.3</v>
      </c>
      <c r="Q63" s="117">
        <v>16</v>
      </c>
      <c r="R63" s="261"/>
      <c r="S63" s="261"/>
      <c r="T63" s="119">
        <f t="shared" si="8"/>
        <v>-18.3</v>
      </c>
      <c r="U63" s="117">
        <v>16</v>
      </c>
      <c r="V63" s="261"/>
      <c r="W63" s="261"/>
      <c r="X63" s="119">
        <f t="shared" si="5"/>
        <v>-18.3</v>
      </c>
    </row>
    <row r="64" spans="1:24">
      <c r="A64" s="117">
        <v>17</v>
      </c>
      <c r="B64" s="261"/>
      <c r="C64" s="261"/>
      <c r="D64" s="119">
        <f t="shared" si="9"/>
        <v>-18.3</v>
      </c>
      <c r="E64" s="117">
        <v>17</v>
      </c>
      <c r="F64" s="261"/>
      <c r="G64" s="261"/>
      <c r="H64" s="119">
        <f t="shared" si="4"/>
        <v>-18.3</v>
      </c>
      <c r="I64" s="117">
        <v>17</v>
      </c>
      <c r="J64" s="261"/>
      <c r="K64" s="261"/>
      <c r="L64" s="119">
        <f t="shared" si="6"/>
        <v>-18.3</v>
      </c>
      <c r="M64" s="117">
        <v>17</v>
      </c>
      <c r="N64" s="261"/>
      <c r="O64" s="261"/>
      <c r="P64" s="119">
        <f t="shared" si="7"/>
        <v>-18.3</v>
      </c>
      <c r="Q64" s="117">
        <v>17</v>
      </c>
      <c r="R64" s="261"/>
      <c r="S64" s="261"/>
      <c r="T64" s="119">
        <f t="shared" si="8"/>
        <v>-18.3</v>
      </c>
      <c r="U64" s="117">
        <v>17</v>
      </c>
      <c r="V64" s="261"/>
      <c r="W64" s="261"/>
      <c r="X64" s="119">
        <f t="shared" si="5"/>
        <v>-18.3</v>
      </c>
    </row>
    <row r="65" spans="1:24">
      <c r="A65" s="117">
        <v>18</v>
      </c>
      <c r="B65" s="261"/>
      <c r="C65" s="261"/>
      <c r="D65" s="119">
        <f t="shared" si="9"/>
        <v>-18.3</v>
      </c>
      <c r="E65" s="117">
        <v>18</v>
      </c>
      <c r="F65" s="261"/>
      <c r="G65" s="261"/>
      <c r="H65" s="119">
        <f t="shared" si="4"/>
        <v>-18.3</v>
      </c>
      <c r="I65" s="117">
        <v>18</v>
      </c>
      <c r="J65" s="261"/>
      <c r="K65" s="261"/>
      <c r="L65" s="119">
        <f t="shared" si="6"/>
        <v>-18.3</v>
      </c>
      <c r="M65" s="117">
        <v>18</v>
      </c>
      <c r="N65" s="261"/>
      <c r="O65" s="261"/>
      <c r="P65" s="119">
        <f t="shared" si="7"/>
        <v>-18.3</v>
      </c>
      <c r="Q65" s="117">
        <v>18</v>
      </c>
      <c r="R65" s="261"/>
      <c r="S65" s="261"/>
      <c r="T65" s="119">
        <f t="shared" si="8"/>
        <v>-18.3</v>
      </c>
      <c r="U65" s="117">
        <v>18</v>
      </c>
      <c r="V65" s="261"/>
      <c r="W65" s="261"/>
      <c r="X65" s="119">
        <f t="shared" si="5"/>
        <v>-18.3</v>
      </c>
    </row>
    <row r="66" spans="1:24">
      <c r="A66" s="117">
        <v>19</v>
      </c>
      <c r="B66" s="261"/>
      <c r="C66" s="261"/>
      <c r="D66" s="119">
        <f t="shared" si="9"/>
        <v>-18.3</v>
      </c>
      <c r="E66" s="117">
        <v>19</v>
      </c>
      <c r="F66" s="261"/>
      <c r="G66" s="261"/>
      <c r="H66" s="119">
        <f t="shared" si="4"/>
        <v>-18.3</v>
      </c>
      <c r="I66" s="117">
        <v>19</v>
      </c>
      <c r="J66" s="261"/>
      <c r="K66" s="261"/>
      <c r="L66" s="119">
        <f t="shared" si="6"/>
        <v>-18.3</v>
      </c>
      <c r="M66" s="117">
        <v>19</v>
      </c>
      <c r="N66" s="261"/>
      <c r="O66" s="261"/>
      <c r="P66" s="119">
        <f t="shared" si="7"/>
        <v>-18.3</v>
      </c>
      <c r="Q66" s="117">
        <v>19</v>
      </c>
      <c r="R66" s="261"/>
      <c r="S66" s="261"/>
      <c r="T66" s="119">
        <f t="shared" si="8"/>
        <v>-18.3</v>
      </c>
      <c r="U66" s="117">
        <v>19</v>
      </c>
      <c r="V66" s="261"/>
      <c r="W66" s="261"/>
      <c r="X66" s="119">
        <f t="shared" si="5"/>
        <v>-18.3</v>
      </c>
    </row>
    <row r="67" spans="1:24">
      <c r="A67" s="117">
        <v>20</v>
      </c>
      <c r="B67" s="261"/>
      <c r="C67" s="261"/>
      <c r="D67" s="119">
        <f t="shared" si="9"/>
        <v>-18.3</v>
      </c>
      <c r="E67" s="117">
        <v>20</v>
      </c>
      <c r="F67" s="261"/>
      <c r="G67" s="261"/>
      <c r="H67" s="119">
        <f t="shared" si="4"/>
        <v>-18.3</v>
      </c>
      <c r="I67" s="117">
        <v>20</v>
      </c>
      <c r="J67" s="261"/>
      <c r="K67" s="261"/>
      <c r="L67" s="119">
        <f t="shared" si="6"/>
        <v>-18.3</v>
      </c>
      <c r="M67" s="117">
        <v>20</v>
      </c>
      <c r="N67" s="261"/>
      <c r="O67" s="261"/>
      <c r="P67" s="119">
        <f t="shared" si="7"/>
        <v>-18.3</v>
      </c>
      <c r="Q67" s="117">
        <v>20</v>
      </c>
      <c r="R67" s="261"/>
      <c r="S67" s="261"/>
      <c r="T67" s="119">
        <f t="shared" si="8"/>
        <v>-18.3</v>
      </c>
      <c r="U67" s="117">
        <v>20</v>
      </c>
      <c r="V67" s="261"/>
      <c r="W67" s="261"/>
      <c r="X67" s="119">
        <f t="shared" si="5"/>
        <v>-18.3</v>
      </c>
    </row>
    <row r="68" spans="1:24">
      <c r="A68" s="117">
        <v>21</v>
      </c>
      <c r="B68" s="261"/>
      <c r="C68" s="261"/>
      <c r="D68" s="119">
        <f t="shared" si="9"/>
        <v>-18.3</v>
      </c>
      <c r="E68" s="117">
        <v>21</v>
      </c>
      <c r="F68" s="261"/>
      <c r="G68" s="261"/>
      <c r="H68" s="119">
        <f t="shared" si="4"/>
        <v>-18.3</v>
      </c>
      <c r="I68" s="117">
        <v>21</v>
      </c>
      <c r="J68" s="261"/>
      <c r="K68" s="261"/>
      <c r="L68" s="119">
        <f t="shared" si="6"/>
        <v>-18.3</v>
      </c>
      <c r="M68" s="117">
        <v>21</v>
      </c>
      <c r="N68" s="261"/>
      <c r="O68" s="261"/>
      <c r="P68" s="119">
        <f t="shared" si="7"/>
        <v>-18.3</v>
      </c>
      <c r="Q68" s="117">
        <v>21</v>
      </c>
      <c r="R68" s="261"/>
      <c r="S68" s="261"/>
      <c r="T68" s="119">
        <f t="shared" si="8"/>
        <v>-18.3</v>
      </c>
      <c r="U68" s="117">
        <v>21</v>
      </c>
      <c r="V68" s="261"/>
      <c r="W68" s="261"/>
      <c r="X68" s="119">
        <f t="shared" si="5"/>
        <v>-18.3</v>
      </c>
    </row>
    <row r="69" spans="1:24">
      <c r="A69" s="117">
        <v>22</v>
      </c>
      <c r="B69" s="261"/>
      <c r="C69" s="261"/>
      <c r="D69" s="119">
        <f t="shared" si="9"/>
        <v>-18.3</v>
      </c>
      <c r="E69" s="117">
        <v>22</v>
      </c>
      <c r="F69" s="261"/>
      <c r="G69" s="261"/>
      <c r="H69" s="119">
        <f t="shared" si="4"/>
        <v>-18.3</v>
      </c>
      <c r="I69" s="117">
        <v>22</v>
      </c>
      <c r="J69" s="261"/>
      <c r="K69" s="261"/>
      <c r="L69" s="119">
        <f t="shared" si="6"/>
        <v>-18.3</v>
      </c>
      <c r="M69" s="117">
        <v>22</v>
      </c>
      <c r="N69" s="261"/>
      <c r="O69" s="261"/>
      <c r="P69" s="119">
        <f t="shared" si="7"/>
        <v>-18.3</v>
      </c>
      <c r="Q69" s="117">
        <v>22</v>
      </c>
      <c r="R69" s="261"/>
      <c r="S69" s="261"/>
      <c r="T69" s="119">
        <f>(R69+S69)/2-18.3</f>
        <v>-18.3</v>
      </c>
      <c r="U69" s="117">
        <v>22</v>
      </c>
      <c r="V69" s="261"/>
      <c r="W69" s="261"/>
      <c r="X69" s="119">
        <f t="shared" si="5"/>
        <v>-18.3</v>
      </c>
    </row>
    <row r="70" spans="1:24">
      <c r="A70" s="117">
        <v>23</v>
      </c>
      <c r="B70" s="261"/>
      <c r="C70" s="261"/>
      <c r="D70" s="119">
        <f t="shared" si="9"/>
        <v>-18.3</v>
      </c>
      <c r="E70" s="117">
        <v>23</v>
      </c>
      <c r="F70" s="261"/>
      <c r="G70" s="261"/>
      <c r="H70" s="119">
        <f t="shared" si="4"/>
        <v>-18.3</v>
      </c>
      <c r="I70" s="117">
        <v>23</v>
      </c>
      <c r="J70" s="261"/>
      <c r="K70" s="261"/>
      <c r="L70" s="119">
        <f t="shared" si="6"/>
        <v>-18.3</v>
      </c>
      <c r="M70" s="117">
        <v>23</v>
      </c>
      <c r="N70" s="261"/>
      <c r="O70" s="261"/>
      <c r="P70" s="119">
        <f t="shared" si="7"/>
        <v>-18.3</v>
      </c>
      <c r="Q70" s="117">
        <v>23</v>
      </c>
      <c r="R70" s="261"/>
      <c r="S70" s="261"/>
      <c r="T70" s="119">
        <f t="shared" si="8"/>
        <v>-18.3</v>
      </c>
      <c r="U70" s="117">
        <v>23</v>
      </c>
      <c r="V70" s="261"/>
      <c r="W70" s="261"/>
      <c r="X70" s="119">
        <f t="shared" si="5"/>
        <v>-18.3</v>
      </c>
    </row>
    <row r="71" spans="1:24">
      <c r="A71" s="117">
        <v>24</v>
      </c>
      <c r="B71" s="261"/>
      <c r="C71" s="261"/>
      <c r="D71" s="119">
        <f t="shared" si="9"/>
        <v>-18.3</v>
      </c>
      <c r="E71" s="117">
        <v>24</v>
      </c>
      <c r="F71" s="261"/>
      <c r="G71" s="261"/>
      <c r="H71" s="119">
        <f t="shared" si="4"/>
        <v>-18.3</v>
      </c>
      <c r="I71" s="117">
        <v>24</v>
      </c>
      <c r="J71" s="261"/>
      <c r="K71" s="261"/>
      <c r="L71" s="119">
        <f t="shared" si="6"/>
        <v>-18.3</v>
      </c>
      <c r="M71" s="117">
        <v>24</v>
      </c>
      <c r="N71" s="261"/>
      <c r="O71" s="261"/>
      <c r="P71" s="119">
        <f t="shared" si="7"/>
        <v>-18.3</v>
      </c>
      <c r="Q71" s="117">
        <v>24</v>
      </c>
      <c r="R71" s="261"/>
      <c r="S71" s="261"/>
      <c r="T71" s="119">
        <f t="shared" si="8"/>
        <v>-18.3</v>
      </c>
      <c r="U71" s="117">
        <v>24</v>
      </c>
      <c r="V71" s="261"/>
      <c r="W71" s="261"/>
      <c r="X71" s="119">
        <f t="shared" si="5"/>
        <v>-18.3</v>
      </c>
    </row>
    <row r="72" spans="1:24">
      <c r="A72" s="117">
        <v>25</v>
      </c>
      <c r="B72" s="261"/>
      <c r="C72" s="261"/>
      <c r="D72" s="119">
        <f t="shared" si="9"/>
        <v>-18.3</v>
      </c>
      <c r="E72" s="117">
        <v>25</v>
      </c>
      <c r="F72" s="261"/>
      <c r="G72" s="261"/>
      <c r="H72" s="119">
        <f t="shared" si="4"/>
        <v>-18.3</v>
      </c>
      <c r="I72" s="117">
        <v>25</v>
      </c>
      <c r="J72" s="261"/>
      <c r="K72" s="261"/>
      <c r="L72" s="119">
        <f t="shared" si="6"/>
        <v>-18.3</v>
      </c>
      <c r="M72" s="117">
        <v>25</v>
      </c>
      <c r="N72" s="261"/>
      <c r="O72" s="261"/>
      <c r="P72" s="119">
        <f t="shared" si="7"/>
        <v>-18.3</v>
      </c>
      <c r="Q72" s="117">
        <v>25</v>
      </c>
      <c r="R72" s="261"/>
      <c r="S72" s="261"/>
      <c r="T72" s="119">
        <f t="shared" si="8"/>
        <v>-18.3</v>
      </c>
      <c r="U72" s="117">
        <v>25</v>
      </c>
      <c r="V72" s="261"/>
      <c r="W72" s="261"/>
      <c r="X72" s="119">
        <f t="shared" si="5"/>
        <v>-18.3</v>
      </c>
    </row>
    <row r="73" spans="1:24">
      <c r="A73" s="117">
        <v>26</v>
      </c>
      <c r="B73" s="261"/>
      <c r="C73" s="261"/>
      <c r="D73" s="119">
        <f t="shared" si="9"/>
        <v>-18.3</v>
      </c>
      <c r="E73" s="117">
        <v>26</v>
      </c>
      <c r="F73" s="261"/>
      <c r="G73" s="261"/>
      <c r="H73" s="119">
        <f t="shared" si="4"/>
        <v>-18.3</v>
      </c>
      <c r="I73" s="117">
        <v>26</v>
      </c>
      <c r="J73" s="261"/>
      <c r="K73" s="261"/>
      <c r="L73" s="119">
        <f t="shared" si="6"/>
        <v>-18.3</v>
      </c>
      <c r="M73" s="117">
        <v>26</v>
      </c>
      <c r="N73" s="261"/>
      <c r="O73" s="261"/>
      <c r="P73" s="119">
        <f t="shared" si="7"/>
        <v>-18.3</v>
      </c>
      <c r="Q73" s="117">
        <v>26</v>
      </c>
      <c r="R73" s="261"/>
      <c r="S73" s="261"/>
      <c r="T73" s="119">
        <f t="shared" si="8"/>
        <v>-18.3</v>
      </c>
      <c r="U73" s="117">
        <v>26</v>
      </c>
      <c r="V73" s="261"/>
      <c r="W73" s="261"/>
      <c r="X73" s="119">
        <f t="shared" si="5"/>
        <v>-18.3</v>
      </c>
    </row>
    <row r="74" spans="1:24">
      <c r="A74" s="117">
        <v>27</v>
      </c>
      <c r="B74" s="261"/>
      <c r="C74" s="261"/>
      <c r="D74" s="119">
        <f t="shared" si="9"/>
        <v>-18.3</v>
      </c>
      <c r="E74" s="117">
        <v>27</v>
      </c>
      <c r="F74" s="261"/>
      <c r="G74" s="261"/>
      <c r="H74" s="119">
        <f t="shared" si="4"/>
        <v>-18.3</v>
      </c>
      <c r="I74" s="117">
        <v>27</v>
      </c>
      <c r="J74" s="261"/>
      <c r="K74" s="261"/>
      <c r="L74" s="119">
        <f t="shared" si="6"/>
        <v>-18.3</v>
      </c>
      <c r="M74" s="117">
        <v>27</v>
      </c>
      <c r="N74" s="261"/>
      <c r="O74" s="261"/>
      <c r="P74" s="119">
        <f t="shared" si="7"/>
        <v>-18.3</v>
      </c>
      <c r="Q74" s="117">
        <v>27</v>
      </c>
      <c r="R74" s="261"/>
      <c r="S74" s="261"/>
      <c r="T74" s="119">
        <f t="shared" si="8"/>
        <v>-18.3</v>
      </c>
      <c r="U74" s="117">
        <v>27</v>
      </c>
      <c r="V74" s="261"/>
      <c r="W74" s="261"/>
      <c r="X74" s="119">
        <f t="shared" si="5"/>
        <v>-18.3</v>
      </c>
    </row>
    <row r="75" spans="1:24">
      <c r="A75" s="117">
        <v>28</v>
      </c>
      <c r="B75" s="261"/>
      <c r="C75" s="261"/>
      <c r="D75" s="119">
        <f t="shared" si="9"/>
        <v>-18.3</v>
      </c>
      <c r="E75" s="117">
        <v>28</v>
      </c>
      <c r="F75" s="261"/>
      <c r="G75" s="261"/>
      <c r="H75" s="119">
        <f t="shared" si="4"/>
        <v>-18.3</v>
      </c>
      <c r="I75" s="117">
        <v>28</v>
      </c>
      <c r="J75" s="261"/>
      <c r="K75" s="261"/>
      <c r="L75" s="119">
        <f t="shared" si="6"/>
        <v>-18.3</v>
      </c>
      <c r="M75" s="117">
        <v>28</v>
      </c>
      <c r="N75" s="261"/>
      <c r="O75" s="261"/>
      <c r="P75" s="119">
        <f t="shared" si="7"/>
        <v>-18.3</v>
      </c>
      <c r="Q75" s="117">
        <v>28</v>
      </c>
      <c r="R75" s="261"/>
      <c r="S75" s="261"/>
      <c r="T75" s="119">
        <f t="shared" si="8"/>
        <v>-18.3</v>
      </c>
      <c r="U75" s="117">
        <v>28</v>
      </c>
      <c r="V75" s="261"/>
      <c r="W75" s="261"/>
      <c r="X75" s="119">
        <f t="shared" si="5"/>
        <v>-18.3</v>
      </c>
    </row>
    <row r="76" spans="1:24">
      <c r="A76" s="117">
        <v>29</v>
      </c>
      <c r="B76" s="261"/>
      <c r="C76" s="261"/>
      <c r="D76" s="119">
        <f t="shared" si="9"/>
        <v>-18.3</v>
      </c>
      <c r="E76" s="117">
        <v>29</v>
      </c>
      <c r="F76" s="261"/>
      <c r="G76" s="261"/>
      <c r="H76" s="119">
        <f t="shared" si="4"/>
        <v>-18.3</v>
      </c>
      <c r="I76" s="117">
        <v>29</v>
      </c>
      <c r="J76" s="261"/>
      <c r="K76" s="261"/>
      <c r="L76" s="119">
        <f t="shared" si="6"/>
        <v>-18.3</v>
      </c>
      <c r="M76" s="117">
        <v>29</v>
      </c>
      <c r="N76" s="261"/>
      <c r="O76" s="261"/>
      <c r="P76" s="119">
        <f t="shared" si="7"/>
        <v>-18.3</v>
      </c>
      <c r="Q76" s="117">
        <v>29</v>
      </c>
      <c r="R76" s="261"/>
      <c r="S76" s="261"/>
      <c r="T76" s="119">
        <f t="shared" si="8"/>
        <v>-18.3</v>
      </c>
      <c r="U76" s="117">
        <v>29</v>
      </c>
      <c r="V76" s="261"/>
      <c r="W76" s="261"/>
      <c r="X76" s="119">
        <f t="shared" si="5"/>
        <v>-18.3</v>
      </c>
    </row>
    <row r="77" spans="1:24">
      <c r="A77" s="117">
        <v>30</v>
      </c>
      <c r="B77" s="261"/>
      <c r="C77" s="261"/>
      <c r="D77" s="119">
        <f t="shared" si="9"/>
        <v>-18.3</v>
      </c>
      <c r="E77" s="117">
        <v>30</v>
      </c>
      <c r="F77" s="261"/>
      <c r="G77" s="261"/>
      <c r="H77" s="119">
        <f t="shared" si="4"/>
        <v>-18.3</v>
      </c>
      <c r="I77" s="117">
        <v>30</v>
      </c>
      <c r="J77" s="261"/>
      <c r="K77" s="261"/>
      <c r="L77" s="119">
        <f t="shared" si="6"/>
        <v>-18.3</v>
      </c>
      <c r="M77" s="117">
        <v>30</v>
      </c>
      <c r="N77" s="261"/>
      <c r="O77" s="261"/>
      <c r="P77" s="119">
        <f t="shared" si="7"/>
        <v>-18.3</v>
      </c>
      <c r="Q77" s="117">
        <v>30</v>
      </c>
      <c r="R77" s="261"/>
      <c r="S77" s="261"/>
      <c r="T77" s="119">
        <f t="shared" si="8"/>
        <v>-18.3</v>
      </c>
      <c r="U77" s="117">
        <v>30</v>
      </c>
      <c r="V77" s="261"/>
      <c r="W77" s="261"/>
      <c r="X77" s="119">
        <f t="shared" si="5"/>
        <v>-18.3</v>
      </c>
    </row>
    <row r="78" spans="1:24">
      <c r="A78" s="120">
        <v>31</v>
      </c>
      <c r="B78" s="261"/>
      <c r="C78" s="261"/>
      <c r="D78" s="119">
        <f t="shared" si="9"/>
        <v>-18.3</v>
      </c>
      <c r="E78" s="120">
        <v>31</v>
      </c>
      <c r="F78" s="261"/>
      <c r="G78" s="261"/>
      <c r="H78" s="119">
        <f t="shared" si="4"/>
        <v>-18.3</v>
      </c>
      <c r="I78" s="120"/>
      <c r="J78" s="261"/>
      <c r="K78" s="261"/>
      <c r="L78" s="122"/>
      <c r="M78" s="120">
        <v>31</v>
      </c>
      <c r="N78" s="261"/>
      <c r="O78" s="261"/>
      <c r="P78" s="122">
        <f t="shared" si="7"/>
        <v>-18.3</v>
      </c>
      <c r="Q78" s="120"/>
      <c r="R78" s="261"/>
      <c r="S78" s="261"/>
      <c r="T78" s="122"/>
      <c r="U78" s="120">
        <v>31</v>
      </c>
      <c r="V78" s="261"/>
      <c r="W78" s="261"/>
      <c r="X78" s="119">
        <f t="shared" si="5"/>
        <v>-18.3</v>
      </c>
    </row>
    <row r="79" spans="1:24" s="17" customFormat="1">
      <c r="A79" s="123"/>
      <c r="B79" s="124"/>
      <c r="C79" s="124"/>
      <c r="D79" s="121"/>
      <c r="E79" s="123"/>
      <c r="F79" s="124"/>
      <c r="G79" s="124"/>
      <c r="H79" s="121"/>
      <c r="I79" s="123"/>
      <c r="J79" s="124"/>
      <c r="K79" s="124"/>
      <c r="L79" s="121"/>
      <c r="M79" s="123"/>
      <c r="N79" s="124"/>
      <c r="O79" s="124"/>
      <c r="P79" s="121"/>
      <c r="Q79" s="123"/>
      <c r="R79" s="124"/>
      <c r="S79" s="124"/>
      <c r="T79" s="121"/>
      <c r="U79" s="123"/>
      <c r="V79" s="124"/>
      <c r="W79" s="124"/>
      <c r="X79" s="121"/>
    </row>
    <row r="80" spans="1:24" s="128" customFormat="1" ht="21">
      <c r="A80" s="125"/>
      <c r="B80" s="126" t="s">
        <v>174</v>
      </c>
      <c r="C80" s="126" t="s">
        <v>175</v>
      </c>
      <c r="D80" s="127"/>
      <c r="E80" s="125"/>
      <c r="F80" s="126" t="s">
        <v>174</v>
      </c>
      <c r="G80" s="126" t="s">
        <v>175</v>
      </c>
      <c r="H80" s="127"/>
      <c r="I80" s="125"/>
      <c r="J80" s="126" t="s">
        <v>174</v>
      </c>
      <c r="K80" s="126" t="s">
        <v>175</v>
      </c>
      <c r="L80" s="127"/>
      <c r="M80" s="125"/>
      <c r="N80" s="126" t="s">
        <v>174</v>
      </c>
      <c r="O80" s="126" t="s">
        <v>175</v>
      </c>
      <c r="P80" s="127"/>
      <c r="Q80" s="125"/>
      <c r="R80" s="126" t="s">
        <v>174</v>
      </c>
      <c r="S80" s="126" t="s">
        <v>175</v>
      </c>
      <c r="T80" s="127"/>
      <c r="U80" s="125"/>
      <c r="V80" s="126" t="s">
        <v>174</v>
      </c>
      <c r="W80" s="126" t="s">
        <v>175</v>
      </c>
      <c r="X80" s="127"/>
    </row>
    <row r="81" spans="1:24">
      <c r="A81" s="129"/>
      <c r="B81" s="119">
        <f>SUMIF(D48:D78,"&lt;0")</f>
        <v>-567.30000000000007</v>
      </c>
      <c r="C81" s="119">
        <f>SUMIF(D48:D78,"&gt;0")</f>
        <v>0</v>
      </c>
      <c r="D81" s="130"/>
      <c r="E81" s="129"/>
      <c r="F81" s="119">
        <f>SUMIF(H48:H78,"&lt;0")</f>
        <v>-567.30000000000007</v>
      </c>
      <c r="G81" s="119">
        <f>SUMIF(H48:H78,"&gt;0")</f>
        <v>0</v>
      </c>
      <c r="H81" s="130"/>
      <c r="I81" s="129"/>
      <c r="J81" s="119">
        <f>SUMIF(L48:L78,"&lt;0")</f>
        <v>-549.00000000000011</v>
      </c>
      <c r="K81" s="119">
        <f>SUMIF(L48:L78,"&gt;0")</f>
        <v>0</v>
      </c>
      <c r="L81" s="130"/>
      <c r="M81" s="129"/>
      <c r="N81" s="119">
        <f>SUMIF(P48:P78,"&lt;0")</f>
        <v>-567.30000000000007</v>
      </c>
      <c r="O81" s="119">
        <f>SUMIF(P48:P78,"&gt;0")</f>
        <v>0</v>
      </c>
      <c r="P81" s="130"/>
      <c r="Q81" s="129"/>
      <c r="R81" s="119">
        <f>SUMIF(T48:T78,"&lt;0")</f>
        <v>-549.00000000000011</v>
      </c>
      <c r="S81" s="119">
        <f>SUMIF(T48:T78,"&gt;0")</f>
        <v>0</v>
      </c>
      <c r="T81" s="130"/>
      <c r="U81" s="129"/>
      <c r="V81" s="119">
        <f>SUMIF(X48:X78,"&lt;0")</f>
        <v>-567.30000000000007</v>
      </c>
      <c r="W81" s="119">
        <f>SUMIF(X48:X78,"&gt;0")</f>
        <v>0</v>
      </c>
      <c r="X81" s="130"/>
    </row>
    <row r="82" spans="1:24">
      <c r="A82" s="131"/>
      <c r="B82" s="132"/>
      <c r="C82" s="132"/>
      <c r="D82" s="133"/>
      <c r="E82" s="131"/>
      <c r="F82" s="132"/>
      <c r="G82" s="132"/>
      <c r="H82" s="139"/>
      <c r="I82" s="131"/>
      <c r="J82" s="132"/>
      <c r="K82" s="132"/>
      <c r="L82" s="133"/>
      <c r="M82" s="131"/>
      <c r="N82" s="132"/>
      <c r="O82" s="132"/>
      <c r="P82" s="133"/>
      <c r="Q82" s="131"/>
      <c r="R82" s="132"/>
      <c r="S82" s="132"/>
      <c r="T82" s="133"/>
      <c r="U82" s="131"/>
      <c r="V82" s="132"/>
      <c r="W82" s="132"/>
      <c r="X82" s="133"/>
    </row>
    <row r="83" spans="1:24" ht="15.75" thickBot="1">
      <c r="D83" s="134"/>
      <c r="L83" s="134"/>
      <c r="P83" s="134"/>
      <c r="T83" s="134"/>
      <c r="X83" s="134"/>
    </row>
    <row r="84" spans="1:24">
      <c r="D84" s="134"/>
      <c r="L84" s="134"/>
      <c r="N84" s="706" t="s">
        <v>174</v>
      </c>
      <c r="O84" s="706" t="s">
        <v>175</v>
      </c>
      <c r="P84" s="134"/>
      <c r="T84" s="134"/>
      <c r="X84" s="134"/>
    </row>
    <row r="85" spans="1:24" ht="20.25" thickBot="1">
      <c r="D85" s="134"/>
      <c r="I85" s="708" t="s">
        <v>182</v>
      </c>
      <c r="J85" s="709"/>
      <c r="K85" s="709"/>
      <c r="L85" s="709"/>
      <c r="N85" s="707"/>
      <c r="O85" s="707"/>
      <c r="P85" s="134"/>
      <c r="R85" s="17"/>
      <c r="S85" s="17"/>
      <c r="T85" s="140"/>
      <c r="U85" s="141"/>
      <c r="X85" s="134"/>
    </row>
    <row r="86" spans="1:24" ht="18.75" thickBot="1">
      <c r="D86" s="134"/>
      <c r="I86" s="710" t="s">
        <v>183</v>
      </c>
      <c r="J86" s="710"/>
      <c r="K86" s="710"/>
      <c r="L86" s="710"/>
      <c r="N86" s="142">
        <f>B43+F43+J43+N43+R43+V43+B81+F81+J81+N81+R81+V81</f>
        <v>-4364.5000000000009</v>
      </c>
      <c r="O86" s="142">
        <f>C43+G43+K43+O43+S43+W43+C81+G81+K81+O81+S81+W81</f>
        <v>145.89999999999998</v>
      </c>
      <c r="P86" s="134"/>
      <c r="R86" s="143"/>
      <c r="S86" s="143"/>
      <c r="T86" s="144"/>
      <c r="U86" s="145"/>
      <c r="X86" s="134"/>
    </row>
    <row r="87" spans="1:24" ht="18">
      <c r="D87" s="134"/>
      <c r="L87" s="134"/>
      <c r="P87" s="134"/>
      <c r="R87" s="143"/>
      <c r="S87" s="143"/>
      <c r="T87" s="146"/>
      <c r="U87" s="145"/>
      <c r="X87" s="134"/>
    </row>
    <row r="88" spans="1:24" ht="15.75">
      <c r="B88" s="700"/>
      <c r="C88" s="700"/>
      <c r="D88" s="700"/>
      <c r="E88" s="700"/>
      <c r="F88" s="700"/>
      <c r="G88" s="700"/>
      <c r="H88" s="700"/>
      <c r="I88" s="700"/>
      <c r="J88" s="700"/>
      <c r="K88" s="700"/>
      <c r="L88" s="700"/>
      <c r="M88" s="700"/>
      <c r="N88" s="700"/>
      <c r="O88" s="700"/>
      <c r="P88" s="700"/>
      <c r="Q88" s="700"/>
      <c r="R88" s="700"/>
      <c r="S88" s="700"/>
      <c r="T88" s="700"/>
      <c r="U88" s="700"/>
      <c r="V88" s="700"/>
      <c r="W88" s="700"/>
      <c r="X88" s="134"/>
    </row>
    <row r="89" spans="1:24">
      <c r="D89" s="134"/>
      <c r="P89" s="134"/>
      <c r="X89" s="134"/>
    </row>
    <row r="90" spans="1:24">
      <c r="D90" s="134"/>
      <c r="P90" s="134"/>
    </row>
    <row r="91" spans="1:24">
      <c r="D91" s="134"/>
      <c r="P91" s="134"/>
    </row>
    <row r="92" spans="1:24">
      <c r="D92" s="159" t="s">
        <v>195</v>
      </c>
      <c r="P92" s="134"/>
    </row>
    <row r="93" spans="1:24">
      <c r="D93" s="134"/>
      <c r="P93" s="134"/>
    </row>
    <row r="94" spans="1:24">
      <c r="D94" s="134"/>
      <c r="P94" s="134"/>
    </row>
    <row r="95" spans="1:24">
      <c r="D95" s="134"/>
      <c r="P95" s="134"/>
    </row>
    <row r="96" spans="1:24">
      <c r="D96" s="134"/>
    </row>
  </sheetData>
  <mergeCells count="12">
    <mergeCell ref="A1:X1"/>
    <mergeCell ref="A2:X2"/>
    <mergeCell ref="A3:X3"/>
    <mergeCell ref="A5:X5"/>
    <mergeCell ref="A6:X6"/>
    <mergeCell ref="B88:W88"/>
    <mergeCell ref="A7:B7"/>
    <mergeCell ref="C7:K7"/>
    <mergeCell ref="N84:N85"/>
    <mergeCell ref="O84:O85"/>
    <mergeCell ref="I85:L85"/>
    <mergeCell ref="I86:L86"/>
  </mergeCells>
  <hyperlinks>
    <hyperlink ref="D92" r:id="rId1"/>
  </hyperlinks>
  <pageMargins left="0.70866141732283472" right="0.70866141732283472" top="0.74803149606299213" bottom="0.74803149606299213" header="0.31496062992125984" footer="0.31496062992125984"/>
  <pageSetup paperSize="8" orientation="landscape" r:id="rId2"/>
  <drawing r:id="rId3"/>
  <legacyDrawing r:id="rId4"/>
</worksheet>
</file>

<file path=xl/worksheets/sheet16.xml><?xml version="1.0" encoding="utf-8"?>
<worksheet xmlns="http://schemas.openxmlformats.org/spreadsheetml/2006/main" xmlns:r="http://schemas.openxmlformats.org/officeDocument/2006/relationships">
  <dimension ref="A2:K34"/>
  <sheetViews>
    <sheetView zoomScale="70" zoomScaleNormal="70" workbookViewId="0">
      <pane xSplit="1" topLeftCell="B1" activePane="topRight" state="frozen"/>
      <selection pane="topRight" activeCell="H26" sqref="H26"/>
    </sheetView>
  </sheetViews>
  <sheetFormatPr defaultRowHeight="15"/>
  <cols>
    <col min="1" max="1" width="14.7109375" customWidth="1"/>
    <col min="2" max="2" width="12.28515625" bestFit="1" customWidth="1"/>
    <col min="3" max="3" width="10" bestFit="1" customWidth="1"/>
    <col min="4" max="4" width="17.7109375" bestFit="1" customWidth="1"/>
    <col min="5" max="5" width="15" bestFit="1" customWidth="1"/>
    <col min="6" max="6" width="17.28515625" style="174" bestFit="1" customWidth="1"/>
    <col min="7" max="7" width="19.7109375" bestFit="1" customWidth="1"/>
    <col min="8" max="8" width="17.42578125" bestFit="1" customWidth="1"/>
    <col min="9" max="9" width="17.7109375" bestFit="1" customWidth="1"/>
    <col min="10" max="10" width="15.28515625" bestFit="1" customWidth="1"/>
    <col min="11" max="11" width="16.28515625" bestFit="1" customWidth="1"/>
    <col min="12" max="12" width="10.5703125" bestFit="1" customWidth="1"/>
    <col min="14" max="14" width="15.28515625" bestFit="1" customWidth="1"/>
    <col min="15" max="15" width="10.5703125" bestFit="1" customWidth="1"/>
  </cols>
  <sheetData>
    <row r="2" spans="1:11">
      <c r="A2" s="714" t="s">
        <v>214</v>
      </c>
      <c r="B2" s="714"/>
      <c r="C2" s="714"/>
      <c r="D2" s="714"/>
      <c r="E2" s="714"/>
      <c r="F2" s="714"/>
      <c r="G2" s="714"/>
      <c r="H2" s="714"/>
      <c r="I2" s="714"/>
    </row>
    <row r="3" spans="1:11">
      <c r="A3" s="193">
        <v>44734</v>
      </c>
      <c r="B3" s="177"/>
      <c r="C3" s="177"/>
      <c r="D3" s="177"/>
      <c r="E3" s="177"/>
      <c r="F3" s="177"/>
      <c r="G3" s="177"/>
      <c r="H3" s="177"/>
      <c r="I3" s="3"/>
    </row>
    <row r="4" spans="1:11">
      <c r="A4" s="3"/>
      <c r="B4" s="3"/>
      <c r="C4" s="3" t="s">
        <v>220</v>
      </c>
      <c r="D4" s="3">
        <v>1507.5</v>
      </c>
      <c r="E4" s="3"/>
      <c r="F4" s="196">
        <v>30</v>
      </c>
      <c r="G4" s="195">
        <v>15</v>
      </c>
      <c r="H4" s="195"/>
      <c r="I4" s="195"/>
    </row>
    <row r="5" spans="1:11">
      <c r="A5" s="240" t="s">
        <v>229</v>
      </c>
      <c r="B5" s="175" t="s">
        <v>228</v>
      </c>
      <c r="C5" s="175" t="s">
        <v>225</v>
      </c>
      <c r="D5" s="175" t="s">
        <v>226</v>
      </c>
      <c r="E5" s="175" t="s">
        <v>227</v>
      </c>
      <c r="F5" s="241" t="s">
        <v>224</v>
      </c>
      <c r="G5" s="243" t="s">
        <v>331</v>
      </c>
      <c r="H5" s="243" t="s">
        <v>330</v>
      </c>
      <c r="I5" s="194" t="s">
        <v>230</v>
      </c>
      <c r="K5" s="412"/>
    </row>
    <row r="6" spans="1:11">
      <c r="A6" s="184" t="s">
        <v>215</v>
      </c>
      <c r="B6" s="335">
        <f>WATER!C37</f>
        <v>0</v>
      </c>
      <c r="C6" s="314">
        <v>1.66</v>
      </c>
      <c r="D6" s="184">
        <f>SUM(C6*B6)*D4</f>
        <v>0</v>
      </c>
      <c r="E6" s="418">
        <f>SUM(D6/D4)/F4</f>
        <v>0</v>
      </c>
      <c r="F6" s="185">
        <f>SUM(E6*F4)</f>
        <v>0</v>
      </c>
      <c r="G6" s="186">
        <f>SUM(B6*C6)</f>
        <v>0</v>
      </c>
      <c r="H6" s="185">
        <v>0</v>
      </c>
      <c r="I6" s="534">
        <v>0</v>
      </c>
      <c r="J6" s="265"/>
    </row>
    <row r="7" spans="1:11">
      <c r="A7" s="184" t="s">
        <v>216</v>
      </c>
      <c r="B7" s="335">
        <f>WATER!H37</f>
        <v>361</v>
      </c>
      <c r="C7" s="184">
        <v>8200</v>
      </c>
      <c r="D7" s="187">
        <f>SUM(C7)*D4</f>
        <v>12361500</v>
      </c>
      <c r="E7" s="185">
        <f>SUM(D7/D4/F4)</f>
        <v>273.33333333333331</v>
      </c>
      <c r="F7" s="185">
        <f>SUM(E7*F4)</f>
        <v>8200</v>
      </c>
      <c r="G7" s="478">
        <v>8200</v>
      </c>
      <c r="H7" s="189">
        <v>8200</v>
      </c>
      <c r="I7" s="185">
        <f>'[11]Budget 2021'!$I$15</f>
        <v>8701</v>
      </c>
      <c r="J7" s="265"/>
    </row>
    <row r="8" spans="1:11">
      <c r="A8" s="190" t="s">
        <v>217</v>
      </c>
      <c r="B8" s="336">
        <f>tanks!AT37</f>
        <v>9895</v>
      </c>
      <c r="C8" s="466">
        <f>SUM(tanks!AU37)</f>
        <v>1.208</v>
      </c>
      <c r="D8" s="191">
        <f>SUM(B8*C8)*D4</f>
        <v>18019388.699999999</v>
      </c>
      <c r="E8" s="192">
        <f>SUM(D8/D4/F4)</f>
        <v>398.43866666666668</v>
      </c>
      <c r="F8" s="192">
        <f>SUM(E8*F4)</f>
        <v>11953.16</v>
      </c>
      <c r="G8" s="570">
        <f>E8*$G$4</f>
        <v>5976.58</v>
      </c>
      <c r="H8" s="189">
        <v>30289.9</v>
      </c>
      <c r="I8" s="192">
        <f>'[11]Budget 2021'!$L$14</f>
        <v>23542.919720430109</v>
      </c>
      <c r="J8" s="265"/>
    </row>
    <row r="9" spans="1:11">
      <c r="A9" s="2" t="s">
        <v>408</v>
      </c>
      <c r="B9" s="337">
        <f>'B5'!AV36</f>
        <v>0</v>
      </c>
      <c r="C9" s="334">
        <v>0.7</v>
      </c>
      <c r="D9" s="188">
        <f>SUM(B9*C9)*D4</f>
        <v>0</v>
      </c>
      <c r="E9" s="189">
        <f>SUM(C9*B9)/F4</f>
        <v>0</v>
      </c>
      <c r="F9" s="189">
        <f>SUM(E9*F4)</f>
        <v>0</v>
      </c>
      <c r="G9" s="478">
        <f>E9*$G$4</f>
        <v>0</v>
      </c>
      <c r="H9" s="189">
        <v>22639</v>
      </c>
      <c r="I9" s="189">
        <v>0</v>
      </c>
      <c r="J9" s="265"/>
    </row>
    <row r="10" spans="1:11">
      <c r="A10" s="181" t="s">
        <v>218</v>
      </c>
      <c r="B10" s="338">
        <f>'EDl log'!AA29</f>
        <v>1267</v>
      </c>
      <c r="C10" s="181"/>
      <c r="D10" s="183">
        <f>'EDl log'!AB30</f>
        <v>7376237</v>
      </c>
      <c r="E10" s="182">
        <f>SUM(D10/D4/F4)</f>
        <v>163.10087341072415</v>
      </c>
      <c r="F10" s="182">
        <f>SUM(E10*F4)</f>
        <v>4893.0262023217247</v>
      </c>
      <c r="G10" s="478">
        <f>E10*$G$4</f>
        <v>2446.5131011608623</v>
      </c>
      <c r="H10" s="189">
        <v>19000</v>
      </c>
      <c r="I10" s="267">
        <v>19000</v>
      </c>
      <c r="J10" s="265"/>
      <c r="K10" s="265"/>
    </row>
    <row r="11" spans="1:11">
      <c r="I11" s="265"/>
      <c r="J11" s="265"/>
      <c r="K11" s="265"/>
    </row>
    <row r="12" spans="1:11" ht="42.75" customHeight="1">
      <c r="E12" s="411">
        <f>SUM(E6:E11)</f>
        <v>834.87287341072408</v>
      </c>
      <c r="F12" s="180">
        <f>SUM(F6:F10)</f>
        <v>25046.186202321725</v>
      </c>
      <c r="G12" s="179">
        <f>SUM(G6:G10)</f>
        <v>16623.093101160863</v>
      </c>
      <c r="H12" s="179">
        <f>SUM(H6:H11)</f>
        <v>80128.899999999994</v>
      </c>
      <c r="I12" s="221">
        <f>SUM(I6:I11)</f>
        <v>51243.919720430109</v>
      </c>
      <c r="J12" s="265"/>
    </row>
    <row r="13" spans="1:11" ht="30">
      <c r="A13" s="3"/>
      <c r="B13" s="175" t="s">
        <v>224</v>
      </c>
      <c r="C13" s="403" t="s">
        <v>380</v>
      </c>
      <c r="D13" s="403" t="s">
        <v>384</v>
      </c>
      <c r="E13" s="403" t="s">
        <v>381</v>
      </c>
      <c r="F13" s="403" t="s">
        <v>405</v>
      </c>
      <c r="G13" s="405"/>
      <c r="H13" s="17"/>
      <c r="I13" s="17"/>
      <c r="J13" s="17"/>
    </row>
    <row r="14" spans="1:11">
      <c r="A14" s="428" t="s">
        <v>300</v>
      </c>
      <c r="B14" s="97">
        <f>'Degree Days 2022'!K81</f>
        <v>0</v>
      </c>
      <c r="C14" s="416">
        <f>'[12]Utility Cost '!D14</f>
        <v>157.19999999999999</v>
      </c>
      <c r="D14" s="170"/>
      <c r="E14" s="416">
        <f>B14-C14</f>
        <v>-157.19999999999999</v>
      </c>
      <c r="F14" s="477">
        <v>0</v>
      </c>
      <c r="G14" s="405"/>
      <c r="H14" s="406">
        <f>SUM(G12-H12)</f>
        <v>-63505.806898839131</v>
      </c>
      <c r="I14" s="406">
        <f>SUM(G12-I12)</f>
        <v>-34620.826619269246</v>
      </c>
    </row>
    <row r="15" spans="1:11">
      <c r="A15" s="428" t="s">
        <v>301</v>
      </c>
      <c r="B15" s="97">
        <f>'Degree Days 2022'!J81</f>
        <v>-549.00000000000011</v>
      </c>
      <c r="C15" s="416">
        <f>'[12]Utility Cost '!D15</f>
        <v>0</v>
      </c>
      <c r="D15" s="170"/>
      <c r="E15" s="416">
        <f>B15-C15</f>
        <v>-549.00000000000011</v>
      </c>
      <c r="F15" s="477">
        <v>0</v>
      </c>
      <c r="G15" s="405"/>
      <c r="H15" s="17"/>
      <c r="I15" s="17"/>
      <c r="J15" s="17"/>
    </row>
    <row r="16" spans="1:11">
      <c r="A16" s="428" t="s">
        <v>302</v>
      </c>
      <c r="B16" s="526">
        <f>'General information '!D37</f>
        <v>27.714285714285715</v>
      </c>
      <c r="C16" s="416">
        <f>'[12]Utility Cost '!D16</f>
        <v>20.951612903225808</v>
      </c>
      <c r="D16" s="415"/>
      <c r="E16" s="575">
        <f>B16-C16</f>
        <v>6.7626728110599075</v>
      </c>
      <c r="F16" s="496">
        <v>0</v>
      </c>
      <c r="G16" s="405"/>
      <c r="H16" s="17"/>
      <c r="I16" s="17"/>
      <c r="J16" s="17"/>
    </row>
    <row r="17" spans="1:10">
      <c r="A17" s="488" t="s">
        <v>314</v>
      </c>
      <c r="B17" s="491">
        <f>'General information '!F36</f>
        <v>0</v>
      </c>
      <c r="C17" s="416">
        <f>'[12]Utility Cost '!D17</f>
        <v>0</v>
      </c>
      <c r="D17" s="455">
        <v>0</v>
      </c>
      <c r="E17" s="490">
        <f>B17-C17</f>
        <v>0</v>
      </c>
      <c r="F17" s="494">
        <f>B17-D17</f>
        <v>0</v>
      </c>
      <c r="G17" s="17"/>
      <c r="H17" s="17"/>
      <c r="I17" s="17"/>
      <c r="J17" s="17"/>
    </row>
    <row r="18" spans="1:10">
      <c r="A18" s="489" t="s">
        <v>382</v>
      </c>
      <c r="B18" s="493">
        <f>GEN!Z34</f>
        <v>104</v>
      </c>
      <c r="C18" s="416">
        <f>'[12]Utility Cost '!D18</f>
        <v>172.73885330486587</v>
      </c>
      <c r="D18" s="413">
        <f>'[13]Other Fuel Calculation 2021'!$G$116</f>
        <v>202.66666666666666</v>
      </c>
      <c r="E18" s="492">
        <f>B18-C18</f>
        <v>-68.73885330486587</v>
      </c>
      <c r="F18" s="495">
        <f>B18-D18</f>
        <v>-98.666666666666657</v>
      </c>
    </row>
    <row r="19" spans="1:10">
      <c r="A19" s="489" t="s">
        <v>412</v>
      </c>
      <c r="B19" s="493">
        <f>GEN!AL34</f>
        <v>11</v>
      </c>
      <c r="C19" s="416"/>
      <c r="D19" s="413"/>
      <c r="E19" s="492"/>
      <c r="F19" s="495"/>
    </row>
    <row r="20" spans="1:10">
      <c r="A20" s="489" t="s">
        <v>406</v>
      </c>
      <c r="B20" s="487">
        <f>B18/B19</f>
        <v>9.454545454545455</v>
      </c>
      <c r="C20" s="416"/>
      <c r="D20" s="414"/>
      <c r="E20" s="414"/>
      <c r="F20" s="477"/>
    </row>
    <row r="21" spans="1:10">
      <c r="F21"/>
    </row>
    <row r="22" spans="1:10" ht="27" customHeight="1">
      <c r="F22"/>
    </row>
    <row r="23" spans="1:10">
      <c r="F23"/>
    </row>
    <row r="24" spans="1:10">
      <c r="F24"/>
    </row>
    <row r="25" spans="1:10">
      <c r="F25"/>
    </row>
    <row r="26" spans="1:10">
      <c r="F26"/>
    </row>
    <row r="27" spans="1:10">
      <c r="F27"/>
    </row>
    <row r="28" spans="1:10">
      <c r="F28"/>
    </row>
    <row r="29" spans="1:10">
      <c r="F29"/>
    </row>
    <row r="30" spans="1:10">
      <c r="F30"/>
    </row>
    <row r="31" spans="1:10">
      <c r="F31"/>
    </row>
    <row r="32" spans="1:10">
      <c r="F32"/>
    </row>
    <row r="33" spans="6:6">
      <c r="F33"/>
    </row>
    <row r="34" spans="6:6">
      <c r="F34"/>
    </row>
  </sheetData>
  <mergeCells count="1">
    <mergeCell ref="A2:I2"/>
  </mergeCells>
  <conditionalFormatting sqref="E14:E19">
    <cfRule type="cellIs" dxfId="1" priority="2" stopIfTrue="1" operator="lessThan">
      <formula>0</formula>
    </cfRule>
  </conditionalFormatting>
  <conditionalFormatting sqref="F14:F19">
    <cfRule type="cellIs" dxfId="0" priority="1" stopIfTrue="1" operator="lessThan">
      <formula>0</formula>
    </cfRule>
  </conditionalFormatting>
  <pageMargins left="0.7" right="0.7" top="0.75" bottom="0.75" header="0.3" footer="0.3"/>
  <pageSetup orientation="landscape" r:id="rId1"/>
</worksheet>
</file>

<file path=xl/worksheets/sheet17.xml><?xml version="1.0" encoding="utf-8"?>
<worksheet xmlns="http://schemas.openxmlformats.org/spreadsheetml/2006/main" xmlns:r="http://schemas.openxmlformats.org/officeDocument/2006/relationships">
  <dimension ref="A1:I37"/>
  <sheetViews>
    <sheetView workbookViewId="0">
      <selection activeCell="G60" sqref="G60"/>
    </sheetView>
  </sheetViews>
  <sheetFormatPr defaultRowHeight="15"/>
  <cols>
    <col min="2" max="2" width="12" bestFit="1" customWidth="1"/>
    <col min="6" max="6" width="15.28515625" bestFit="1" customWidth="1"/>
    <col min="7" max="7" width="35.28515625" bestFit="1" customWidth="1"/>
  </cols>
  <sheetData>
    <row r="1" spans="1:9" ht="15.75" thickBot="1">
      <c r="A1" s="198" t="s">
        <v>232</v>
      </c>
      <c r="B1" s="199" t="s">
        <v>233</v>
      </c>
      <c r="C1" s="199" t="s">
        <v>234</v>
      </c>
      <c r="D1" s="199" t="s">
        <v>235</v>
      </c>
      <c r="E1" s="199" t="s">
        <v>305</v>
      </c>
      <c r="F1" s="199" t="s">
        <v>236</v>
      </c>
      <c r="G1" s="199" t="s">
        <v>237</v>
      </c>
      <c r="H1" s="199" t="s">
        <v>238</v>
      </c>
      <c r="I1" s="199" t="s">
        <v>51</v>
      </c>
    </row>
    <row r="2" spans="1:9">
      <c r="A2" s="200" t="s">
        <v>239</v>
      </c>
      <c r="B2" s="200" t="s">
        <v>240</v>
      </c>
      <c r="C2" s="200"/>
      <c r="D2" s="200"/>
      <c r="E2" s="200"/>
      <c r="F2" s="200"/>
      <c r="G2" s="200" t="s">
        <v>241</v>
      </c>
      <c r="H2" s="200"/>
      <c r="I2" s="200"/>
    </row>
    <row r="3" spans="1:9">
      <c r="A3" s="201" t="s">
        <v>242</v>
      </c>
      <c r="B3" s="201" t="s">
        <v>243</v>
      </c>
      <c r="C3" s="201"/>
      <c r="D3" s="201"/>
      <c r="E3" s="201"/>
      <c r="F3" s="201"/>
      <c r="G3" s="201" t="s">
        <v>303</v>
      </c>
      <c r="H3" s="201"/>
      <c r="I3" s="201"/>
    </row>
    <row r="4" spans="1:9">
      <c r="A4" s="201" t="s">
        <v>244</v>
      </c>
      <c r="B4" s="201" t="s">
        <v>245</v>
      </c>
      <c r="C4" s="201"/>
      <c r="D4" s="201"/>
      <c r="E4" s="201"/>
      <c r="F4" s="201"/>
      <c r="G4" s="201" t="s">
        <v>304</v>
      </c>
      <c r="H4" s="201"/>
      <c r="I4" s="201"/>
    </row>
    <row r="5" spans="1:9">
      <c r="A5" s="201" t="s">
        <v>246</v>
      </c>
      <c r="B5" s="201" t="s">
        <v>245</v>
      </c>
      <c r="C5" s="201"/>
      <c r="D5" s="201"/>
      <c r="E5" s="201"/>
      <c r="F5" s="201"/>
      <c r="G5" s="201" t="s">
        <v>246</v>
      </c>
      <c r="H5" s="201"/>
      <c r="I5" s="201"/>
    </row>
    <row r="6" spans="1:9" ht="15.75" thickBot="1">
      <c r="A6" s="202" t="s">
        <v>247</v>
      </c>
      <c r="B6" s="202" t="s">
        <v>245</v>
      </c>
      <c r="C6" s="202"/>
      <c r="D6" s="202"/>
      <c r="E6" s="202"/>
      <c r="F6" s="202"/>
      <c r="G6" s="202" t="s">
        <v>304</v>
      </c>
      <c r="H6" s="202"/>
      <c r="I6" s="202"/>
    </row>
    <row r="7" spans="1:9" ht="15.75" thickBot="1">
      <c r="A7" s="198" t="s">
        <v>248</v>
      </c>
      <c r="B7" s="199" t="s">
        <v>233</v>
      </c>
      <c r="C7" s="199" t="s">
        <v>234</v>
      </c>
      <c r="D7" s="199" t="s">
        <v>249</v>
      </c>
      <c r="E7" s="199" t="s">
        <v>305</v>
      </c>
      <c r="F7" s="199" t="s">
        <v>250</v>
      </c>
      <c r="G7" s="199"/>
      <c r="H7" s="199"/>
      <c r="I7" s="199"/>
    </row>
    <row r="8" spans="1:9">
      <c r="A8" s="200" t="s">
        <v>251</v>
      </c>
      <c r="B8" s="200" t="s">
        <v>240</v>
      </c>
      <c r="C8" s="200"/>
      <c r="D8" s="200"/>
      <c r="E8" s="200"/>
      <c r="F8" s="200"/>
      <c r="G8" s="205" t="s">
        <v>306</v>
      </c>
      <c r="H8" s="200"/>
      <c r="I8" s="200"/>
    </row>
    <row r="9" spans="1:9">
      <c r="A9" s="201" t="s">
        <v>252</v>
      </c>
      <c r="B9" s="201" t="s">
        <v>253</v>
      </c>
      <c r="C9" s="201"/>
      <c r="D9" s="201"/>
      <c r="E9" s="201"/>
      <c r="F9" s="201"/>
      <c r="G9" s="201" t="s">
        <v>307</v>
      </c>
      <c r="H9" s="201"/>
      <c r="I9" s="201"/>
    </row>
    <row r="10" spans="1:9">
      <c r="A10" s="201" t="s">
        <v>254</v>
      </c>
      <c r="B10" s="201" t="s">
        <v>253</v>
      </c>
      <c r="C10" s="201"/>
      <c r="D10" s="201"/>
      <c r="E10" s="201"/>
      <c r="F10" s="201"/>
      <c r="G10" s="201" t="s">
        <v>308</v>
      </c>
      <c r="H10" s="201"/>
      <c r="I10" s="201"/>
    </row>
    <row r="11" spans="1:9">
      <c r="A11" s="201" t="s">
        <v>255</v>
      </c>
      <c r="B11" s="201" t="s">
        <v>253</v>
      </c>
      <c r="C11" s="201"/>
      <c r="D11" s="201"/>
      <c r="E11" s="201"/>
      <c r="F11" s="201"/>
      <c r="G11" s="201" t="s">
        <v>309</v>
      </c>
      <c r="H11" s="201"/>
      <c r="I11" s="201"/>
    </row>
    <row r="12" spans="1:9">
      <c r="A12" s="201" t="s">
        <v>256</v>
      </c>
      <c r="B12" s="201" t="s">
        <v>257</v>
      </c>
      <c r="C12" s="201"/>
      <c r="D12" s="201"/>
      <c r="E12" s="201"/>
      <c r="F12" s="201"/>
      <c r="G12" s="201" t="s">
        <v>307</v>
      </c>
      <c r="H12" s="201"/>
      <c r="I12" s="201"/>
    </row>
    <row r="13" spans="1:9" ht="15.75" thickBot="1">
      <c r="A13" s="202" t="s">
        <v>258</v>
      </c>
      <c r="B13" s="202" t="s">
        <v>240</v>
      </c>
      <c r="C13" s="202"/>
      <c r="D13" s="202"/>
      <c r="E13" s="202"/>
      <c r="F13" s="202"/>
      <c r="G13" s="202" t="s">
        <v>259</v>
      </c>
      <c r="H13" s="202"/>
      <c r="I13" s="202"/>
    </row>
    <row r="14" spans="1:9" ht="15.75" thickBot="1">
      <c r="A14" s="198" t="s">
        <v>260</v>
      </c>
      <c r="B14" s="199" t="s">
        <v>261</v>
      </c>
      <c r="C14" s="199" t="s">
        <v>262</v>
      </c>
      <c r="D14" s="199" t="s">
        <v>263</v>
      </c>
      <c r="E14" s="199" t="s">
        <v>305</v>
      </c>
      <c r="F14" s="199" t="s">
        <v>264</v>
      </c>
      <c r="G14" s="199"/>
      <c r="H14" s="199"/>
      <c r="I14" s="199"/>
    </row>
    <row r="15" spans="1:9">
      <c r="A15" s="200" t="s">
        <v>265</v>
      </c>
      <c r="B15" s="200" t="s">
        <v>240</v>
      </c>
      <c r="C15" s="200"/>
      <c r="D15" s="200"/>
      <c r="E15" s="200"/>
      <c r="F15" s="200"/>
      <c r="G15" s="205" t="s">
        <v>310</v>
      </c>
      <c r="H15" s="200"/>
      <c r="I15" s="200"/>
    </row>
    <row r="16" spans="1:9">
      <c r="A16" s="201" t="s">
        <v>266</v>
      </c>
      <c r="B16" s="201">
        <v>400</v>
      </c>
      <c r="C16" s="201"/>
      <c r="D16" s="201"/>
      <c r="E16" s="201"/>
      <c r="F16" s="201"/>
      <c r="G16" s="201" t="s">
        <v>267</v>
      </c>
      <c r="H16" s="201"/>
      <c r="I16" s="201"/>
    </row>
    <row r="17" spans="1:9">
      <c r="A17" s="201" t="s">
        <v>268</v>
      </c>
      <c r="B17" s="201">
        <v>400</v>
      </c>
      <c r="C17" s="201"/>
      <c r="D17" s="201"/>
      <c r="E17" s="201"/>
      <c r="F17" s="201"/>
      <c r="G17" s="201" t="s">
        <v>269</v>
      </c>
      <c r="H17" s="201"/>
      <c r="I17" s="201"/>
    </row>
    <row r="18" spans="1:9">
      <c r="A18" s="201" t="s">
        <v>270</v>
      </c>
      <c r="B18" s="201">
        <v>400</v>
      </c>
      <c r="C18" s="201"/>
      <c r="D18" s="201"/>
      <c r="E18" s="201"/>
      <c r="F18" s="201"/>
      <c r="G18" s="201" t="s">
        <v>271</v>
      </c>
      <c r="H18" s="201"/>
      <c r="I18" s="201"/>
    </row>
    <row r="19" spans="1:9">
      <c r="A19" s="201" t="s">
        <v>272</v>
      </c>
      <c r="B19" s="201">
        <v>400</v>
      </c>
      <c r="C19" s="201"/>
      <c r="D19" s="201"/>
      <c r="E19" s="201"/>
      <c r="F19" s="201"/>
      <c r="G19" s="178" t="s">
        <v>273</v>
      </c>
      <c r="H19" s="201"/>
      <c r="I19" s="201"/>
    </row>
    <row r="20" spans="1:9">
      <c r="A20" s="201" t="s">
        <v>274</v>
      </c>
      <c r="B20" s="201">
        <v>400</v>
      </c>
      <c r="C20" s="201"/>
      <c r="D20" s="201"/>
      <c r="E20" s="201"/>
      <c r="F20" s="201"/>
      <c r="G20" s="201" t="s">
        <v>275</v>
      </c>
      <c r="H20" s="201"/>
      <c r="I20" s="201"/>
    </row>
    <row r="21" spans="1:9">
      <c r="A21" s="201" t="s">
        <v>276</v>
      </c>
      <c r="B21" s="201">
        <v>800</v>
      </c>
      <c r="C21" s="201"/>
      <c r="D21" s="201"/>
      <c r="E21" s="201"/>
      <c r="F21" s="201"/>
      <c r="G21" s="201" t="s">
        <v>277</v>
      </c>
      <c r="H21" s="201"/>
      <c r="I21" s="201"/>
    </row>
    <row r="22" spans="1:9" ht="15.75" thickBot="1">
      <c r="A22" s="202" t="s">
        <v>278</v>
      </c>
      <c r="B22" s="202" t="s">
        <v>240</v>
      </c>
      <c r="C22" s="202"/>
      <c r="D22" s="202"/>
      <c r="E22" s="202"/>
      <c r="F22" s="202"/>
      <c r="G22" s="202" t="s">
        <v>259</v>
      </c>
      <c r="H22" s="202"/>
      <c r="I22" s="202"/>
    </row>
    <row r="23" spans="1:9" ht="15.75" thickBot="1">
      <c r="A23" s="198" t="s">
        <v>279</v>
      </c>
      <c r="B23" s="199" t="s">
        <v>261</v>
      </c>
      <c r="C23" s="199" t="s">
        <v>262</v>
      </c>
      <c r="D23" s="199" t="s">
        <v>263</v>
      </c>
      <c r="E23" s="199" t="s">
        <v>305</v>
      </c>
      <c r="F23" s="199" t="s">
        <v>264</v>
      </c>
      <c r="G23" s="199"/>
      <c r="H23" s="199"/>
      <c r="I23" s="199"/>
    </row>
    <row r="24" spans="1:9">
      <c r="A24" s="200" t="s">
        <v>280</v>
      </c>
      <c r="B24" s="200" t="s">
        <v>240</v>
      </c>
      <c r="C24" s="200"/>
      <c r="D24" s="200"/>
      <c r="E24" s="200"/>
      <c r="F24" s="200"/>
      <c r="G24" s="178" t="s">
        <v>241</v>
      </c>
      <c r="H24" s="200"/>
      <c r="I24" s="200"/>
    </row>
    <row r="25" spans="1:9">
      <c r="A25" s="201" t="s">
        <v>281</v>
      </c>
      <c r="B25" s="201">
        <v>400</v>
      </c>
      <c r="C25" s="201" t="s">
        <v>282</v>
      </c>
      <c r="D25" s="201"/>
      <c r="E25" s="201"/>
      <c r="F25" s="201"/>
      <c r="G25" s="201" t="s">
        <v>131</v>
      </c>
      <c r="H25" s="201"/>
      <c r="I25" s="201"/>
    </row>
    <row r="26" spans="1:9">
      <c r="A26" s="201" t="s">
        <v>283</v>
      </c>
      <c r="B26" s="201">
        <v>400</v>
      </c>
      <c r="C26" s="201" t="s">
        <v>282</v>
      </c>
      <c r="D26" s="201"/>
      <c r="E26" s="201"/>
      <c r="F26" s="201"/>
      <c r="G26" s="201" t="s">
        <v>311</v>
      </c>
      <c r="H26" s="201"/>
      <c r="I26" s="201"/>
    </row>
    <row r="27" spans="1:9">
      <c r="A27" s="201" t="s">
        <v>284</v>
      </c>
      <c r="B27" s="201">
        <v>400</v>
      </c>
      <c r="C27" s="201"/>
      <c r="D27" s="201"/>
      <c r="E27" s="201"/>
      <c r="F27" s="201"/>
      <c r="G27" s="201" t="s">
        <v>312</v>
      </c>
      <c r="H27" s="201"/>
      <c r="I27" s="201"/>
    </row>
    <row r="28" spans="1:9">
      <c r="A28" s="201" t="s">
        <v>285</v>
      </c>
      <c r="B28" s="201">
        <v>1000</v>
      </c>
      <c r="C28" s="201"/>
      <c r="D28" s="201"/>
      <c r="E28" s="201"/>
      <c r="F28" s="201"/>
      <c r="G28" s="201" t="s">
        <v>285</v>
      </c>
      <c r="H28" s="201"/>
      <c r="I28" s="201"/>
    </row>
    <row r="29" spans="1:9" ht="15.75" thickBot="1">
      <c r="A29" s="389" t="s">
        <v>375</v>
      </c>
      <c r="B29" s="202">
        <v>1000</v>
      </c>
      <c r="C29" s="202"/>
      <c r="D29" s="202"/>
      <c r="E29" s="202"/>
      <c r="F29" s="202"/>
      <c r="G29" s="202"/>
      <c r="H29" s="202"/>
      <c r="I29" s="202"/>
    </row>
    <row r="30" spans="1:9" ht="15.75" thickBot="1">
      <c r="A30" s="198" t="s">
        <v>287</v>
      </c>
      <c r="B30" s="199" t="s">
        <v>261</v>
      </c>
      <c r="C30" s="199" t="s">
        <v>262</v>
      </c>
      <c r="D30" s="199" t="s">
        <v>263</v>
      </c>
      <c r="E30" s="199" t="s">
        <v>305</v>
      </c>
      <c r="F30" s="199" t="s">
        <v>264</v>
      </c>
      <c r="G30" s="199"/>
      <c r="H30" s="199"/>
      <c r="I30" s="199"/>
    </row>
    <row r="31" spans="1:9">
      <c r="A31" s="200" t="s">
        <v>28</v>
      </c>
      <c r="B31" s="200" t="s">
        <v>240</v>
      </c>
      <c r="C31" s="200"/>
      <c r="D31" s="200"/>
      <c r="E31" s="200"/>
      <c r="F31" s="200"/>
      <c r="G31" s="178" t="s">
        <v>241</v>
      </c>
      <c r="H31" s="200"/>
      <c r="I31" s="200"/>
    </row>
    <row r="32" spans="1:9">
      <c r="A32" s="201" t="s">
        <v>288</v>
      </c>
      <c r="B32" s="201">
        <v>1000</v>
      </c>
      <c r="C32" s="201"/>
      <c r="D32" s="201"/>
      <c r="E32" s="201"/>
      <c r="F32" s="201"/>
      <c r="G32" s="201" t="s">
        <v>289</v>
      </c>
      <c r="H32" s="201"/>
      <c r="I32" s="201"/>
    </row>
    <row r="33" spans="1:9">
      <c r="A33" s="201" t="s">
        <v>290</v>
      </c>
      <c r="B33" s="201">
        <v>630</v>
      </c>
      <c r="C33" s="201"/>
      <c r="D33" s="201"/>
      <c r="E33" s="201"/>
      <c r="F33" s="201"/>
      <c r="G33" s="201" t="s">
        <v>291</v>
      </c>
      <c r="H33" s="201"/>
      <c r="I33" s="201"/>
    </row>
    <row r="34" spans="1:9">
      <c r="A34" s="201" t="s">
        <v>292</v>
      </c>
      <c r="B34" s="201">
        <v>630</v>
      </c>
      <c r="C34" s="201"/>
      <c r="D34" s="201"/>
      <c r="E34" s="201"/>
      <c r="F34" s="201"/>
      <c r="G34" s="201" t="s">
        <v>293</v>
      </c>
      <c r="H34" s="201"/>
      <c r="I34" s="201"/>
    </row>
    <row r="35" spans="1:9">
      <c r="A35" s="201" t="s">
        <v>294</v>
      </c>
      <c r="B35" s="201">
        <v>630</v>
      </c>
      <c r="C35" s="201"/>
      <c r="D35" s="201"/>
      <c r="E35" s="201"/>
      <c r="F35" s="201"/>
      <c r="G35" s="201" t="s">
        <v>295</v>
      </c>
      <c r="H35" s="201"/>
      <c r="I35" s="201"/>
    </row>
    <row r="36" spans="1:9">
      <c r="A36" s="201" t="s">
        <v>296</v>
      </c>
      <c r="B36" s="201">
        <v>400</v>
      </c>
      <c r="C36" s="201"/>
      <c r="D36" s="201"/>
      <c r="E36" s="201"/>
      <c r="F36" s="201"/>
      <c r="G36" s="201" t="s">
        <v>271</v>
      </c>
      <c r="H36" s="201"/>
      <c r="I36" s="201"/>
    </row>
    <row r="37" spans="1:9">
      <c r="A37" s="202" t="s">
        <v>286</v>
      </c>
      <c r="B37" s="202">
        <v>1000</v>
      </c>
      <c r="C37" s="202"/>
      <c r="D37" s="202"/>
      <c r="E37" s="202"/>
      <c r="F37" s="202"/>
      <c r="G37" s="202" t="s">
        <v>286</v>
      </c>
      <c r="H37" s="202"/>
      <c r="I37" s="202"/>
    </row>
  </sheetData>
  <pageMargins left="0.7" right="0.7" top="0.75" bottom="0.75" header="0.3" footer="0.3"/>
  <pageSetup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18</vt:i4>
      </vt:variant>
      <vt:variant>
        <vt:lpstr>Named Ranges</vt:lpstr>
      </vt:variant>
      <vt:variant>
        <vt:i4>2</vt:i4>
      </vt:variant>
    </vt:vector>
  </HeadingPairs>
  <TitlesOfParts>
    <vt:vector size="20" baseType="lpstr">
      <vt:lpstr>Total</vt:lpstr>
      <vt:lpstr>Submetering</vt:lpstr>
      <vt:lpstr>ELEC</vt:lpstr>
      <vt:lpstr>B5</vt:lpstr>
      <vt:lpstr>WATER</vt:lpstr>
      <vt:lpstr>GEN</vt:lpstr>
      <vt:lpstr>tanks</vt:lpstr>
      <vt:lpstr>EDl log</vt:lpstr>
      <vt:lpstr>graphic</vt:lpstr>
      <vt:lpstr>General information </vt:lpstr>
      <vt:lpstr>Sheet1</vt:lpstr>
      <vt:lpstr>Report</vt:lpstr>
      <vt:lpstr>Sheet5</vt:lpstr>
      <vt:lpstr>Swimming Pool quality check </vt:lpstr>
      <vt:lpstr>Degree Days 2022</vt:lpstr>
      <vt:lpstr>Utility Cost </vt:lpstr>
      <vt:lpstr>MDB</vt:lpstr>
      <vt:lpstr>Sheet2</vt:lpstr>
      <vt:lpstr>'Degree Days 2022'!Print_Area</vt:lpstr>
      <vt:lpstr>WATER!Print_Area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bei.eng</dc:creator>
  <cp:lastModifiedBy>suzan.abousleiman</cp:lastModifiedBy>
  <cp:lastPrinted>2022-05-10T05:55:23Z</cp:lastPrinted>
  <dcterms:created xsi:type="dcterms:W3CDTF">2015-01-02T09:20:21Z</dcterms:created>
  <dcterms:modified xsi:type="dcterms:W3CDTF">2022-06-16T05:51:48Z</dcterms:modified>
</cp:coreProperties>
</file>