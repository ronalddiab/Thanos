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1"/>
  <workbookPr filterPrivacy="1" defaultThemeVersion="124226"/>
  <xr:revisionPtr revIDLastSave="0" documentId="13_ncr:1_{1A55185B-BAD6-4C81-8036-8C6F4CFBE564}" xr6:coauthVersionLast="36" xr6:coauthVersionMax="36" xr10:uidLastSave="{00000000-0000-0000-0000-000000000000}"/>
  <bookViews>
    <workbookView xWindow="0" yWindow="0" windowWidth="19440" windowHeight="754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V20" i="2" s="1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X30" i="8" s="1"/>
  <c r="U30" i="8"/>
  <c r="S30" i="8"/>
  <c r="Q30" i="8"/>
  <c r="R30" i="8" s="1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X26" i="8" s="1"/>
  <c r="U26" i="8"/>
  <c r="S26" i="8"/>
  <c r="Q26" i="8"/>
  <c r="O26" i="8"/>
  <c r="P26" i="8" s="1"/>
  <c r="M26" i="8"/>
  <c r="K26" i="8"/>
  <c r="I26" i="8"/>
  <c r="J26" i="8" s="1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J15" i="8" s="1"/>
  <c r="E15" i="8"/>
  <c r="C15" i="8"/>
  <c r="A15" i="8"/>
  <c r="W14" i="8"/>
  <c r="U14" i="8"/>
  <c r="S14" i="8"/>
  <c r="Q14" i="8"/>
  <c r="O14" i="8"/>
  <c r="P14" i="8" s="1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T12" i="8" s="1"/>
  <c r="Q12" i="8"/>
  <c r="O12" i="8"/>
  <c r="M12" i="8"/>
  <c r="K12" i="8"/>
  <c r="I12" i="8"/>
  <c r="E12" i="8"/>
  <c r="C12" i="8"/>
  <c r="A12" i="8"/>
  <c r="W11" i="8"/>
  <c r="U11" i="8"/>
  <c r="S11" i="8"/>
  <c r="Q11" i="8"/>
  <c r="R11" i="8" s="1"/>
  <c r="O11" i="8"/>
  <c r="M11" i="8"/>
  <c r="K11" i="8"/>
  <c r="I11" i="8"/>
  <c r="J11" i="8" s="1"/>
  <c r="E11" i="8"/>
  <c r="C11" i="8"/>
  <c r="A11" i="8"/>
  <c r="W10" i="8"/>
  <c r="X10" i="8" s="1"/>
  <c r="U10" i="8"/>
  <c r="S10" i="8"/>
  <c r="Q10" i="8"/>
  <c r="O10" i="8"/>
  <c r="P10" i="8" s="1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T8" i="8" s="1"/>
  <c r="Q8" i="8"/>
  <c r="O8" i="8"/>
  <c r="M8" i="8"/>
  <c r="K8" i="8"/>
  <c r="I8" i="8"/>
  <c r="E8" i="8"/>
  <c r="C8" i="8"/>
  <c r="A8" i="8"/>
  <c r="W7" i="8"/>
  <c r="U7" i="8"/>
  <c r="S7" i="8"/>
  <c r="Q7" i="8"/>
  <c r="R7" i="8" s="1"/>
  <c r="O7" i="8"/>
  <c r="M7" i="8"/>
  <c r="K7" i="8"/>
  <c r="I7" i="8"/>
  <c r="J7" i="8" s="1"/>
  <c r="E7" i="8"/>
  <c r="C7" i="8"/>
  <c r="A7" i="8"/>
  <c r="W6" i="8"/>
  <c r="X6" i="8" s="1"/>
  <c r="U6" i="8"/>
  <c r="S6" i="8"/>
  <c r="Q6" i="8"/>
  <c r="O6" i="8"/>
  <c r="P6" i="8" s="1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J23" i="8" l="1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H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T35" i="2" l="1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M14" i="3"/>
  <c r="C13" i="4"/>
  <c r="K17" i="4"/>
  <c r="H17" i="4"/>
  <c r="F14" i="3"/>
  <c r="D11" i="3"/>
  <c r="D8" i="3"/>
  <c r="D12" i="3"/>
  <c r="D7" i="3"/>
  <c r="D5" i="3"/>
  <c r="D9" i="3"/>
  <c r="M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7" authorId="0" shapeId="0" xr:uid="{00000000-0006-0000-0500-000001000000}">
      <text>
        <r>
          <rPr>
            <sz val="9"/>
            <color indexed="81"/>
            <rFont val="Tahoma"/>
            <family val="2"/>
          </rPr>
          <t>farhad
new meter fixed
14/01/21 evening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<sst xmlns="http://schemas.openxmlformats.org/spreadsheetml/2006/main" count="201" uniqueCount="128">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</sst>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-334740.00000000006</c:v>
                </c:pt>
                <c:pt idx="1">
                  <c:v>-1935500</c:v>
                </c:pt>
                <c:pt idx="2">
                  <c:v>-187450</c:v>
                </c:pt>
                <c:pt idx="3">
                  <c:v>-750470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-44506</c:v>
                </c:pt>
                <c:pt idx="1">
                  <c:v>0.19373345869898315</c:v>
                </c:pt>
                <c:pt idx="2" formatCode="_(* #,##0.00_);_(* \(#,##0.00\);_(* &quot;-&quot;??_);_(@_)">
                  <c:v>-177785</c:v>
                </c:pt>
                <c:pt idx="3">
                  <c:v>0.77389347402145148</c:v>
                </c:pt>
                <c:pt idx="4" formatCode="0.00">
                  <c:v>-25641</c:v>
                </c:pt>
                <c:pt idx="5">
                  <c:v>0.11161460509820309</c:v>
                </c:pt>
                <c:pt idx="6" formatCode="0.00">
                  <c:v>-56825</c:v>
                </c:pt>
                <c:pt idx="7">
                  <c:v>0.24735774481125505</c:v>
                </c:pt>
                <c:pt idx="8" formatCode="0.00">
                  <c:v>-5252</c:v>
                </c:pt>
                <c:pt idx="9">
                  <c:v>2.2861819194873938E-2</c:v>
                </c:pt>
                <c:pt idx="10" formatCode="0.00">
                  <c:v>43</c:v>
                </c:pt>
                <c:pt idx="11">
                  <c:v>-1.8717787992756651E-4</c:v>
                </c:pt>
                <c:pt idx="12" formatCode="0.00">
                  <c:v>-66831</c:v>
                </c:pt>
                <c:pt idx="13">
                  <c:v>0.2909136021730046</c:v>
                </c:pt>
                <c:pt idx="14" formatCode="_(* #,##0.00_);_(* \(#,##0.00\);_(* &quot;-&quot;??_);_(@_)">
                  <c:v>-237039</c:v>
                </c:pt>
                <c:pt idx="15">
                  <c:v>1.0318245925616381</c:v>
                </c:pt>
                <c:pt idx="16" formatCode="0.00">
                  <c:v>-108009</c:v>
                </c:pt>
                <c:pt idx="17">
                  <c:v>0.47016036356038443</c:v>
                </c:pt>
                <c:pt idx="18" formatCode="0.00">
                  <c:v>-17981</c:v>
                </c:pt>
                <c:pt idx="19">
                  <c:v>7.8270824627385424E-2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5631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-229728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-739826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439808"/>
        <c:axId val="148441344"/>
      </c:barChart>
      <c:catAx>
        <c:axId val="148439808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441344"/>
        <c:crosses val="autoZero"/>
        <c:auto val="1"/>
        <c:lblAlgn val="ctr"/>
        <c:lblOffset val="100"/>
        <c:noMultiLvlLbl val="0"/>
      </c:catAx>
      <c:valAx>
        <c:axId val="14844134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439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opLeftCell="A7" zoomScale="85" zoomScaleNormal="85" workbookViewId="0">
      <selection activeCell="M19" sqref="M19:O20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1</v>
      </c>
      <c r="D2" s="46">
        <v>2021</v>
      </c>
      <c r="E2" s="107">
        <v>19019.999999999302</v>
      </c>
      <c r="F2" s="48">
        <v>0.14000000000000001</v>
      </c>
      <c r="G2" s="107">
        <v>5588</v>
      </c>
      <c r="H2" s="48">
        <v>0.4453480216384178</v>
      </c>
      <c r="I2" s="65">
        <v>306</v>
      </c>
      <c r="J2" s="76">
        <v>0.4</v>
      </c>
      <c r="K2" s="108">
        <f>K33/31</f>
        <v>0</v>
      </c>
      <c r="L2" s="76">
        <v>1.5287027707808565</v>
      </c>
      <c r="M2" s="72">
        <v>65</v>
      </c>
      <c r="N2" s="72">
        <v>182</v>
      </c>
      <c r="O2" s="72">
        <v>488</v>
      </c>
    </row>
    <row r="3" spans="1:15" ht="15" x14ac:dyDescent="0.25">
      <c r="A3" s="45" t="s">
        <v>9</v>
      </c>
      <c r="B3" s="46">
        <f>B2+1</f>
        <v>2</v>
      </c>
      <c r="C3" s="47">
        <v>1</v>
      </c>
      <c r="D3" s="46">
        <v>2021</v>
      </c>
      <c r="E3" s="107">
        <v>22269.999999999527</v>
      </c>
      <c r="F3" s="48">
        <v>0.14000000000000001</v>
      </c>
      <c r="G3" s="107">
        <v>4990</v>
      </c>
      <c r="H3" s="48">
        <v>0.4453480216384178</v>
      </c>
      <c r="I3" s="65">
        <v>253</v>
      </c>
      <c r="J3" s="76">
        <v>0.4</v>
      </c>
      <c r="K3" s="108">
        <v>0</v>
      </c>
      <c r="L3" s="76">
        <v>1.5287027707808565</v>
      </c>
      <c r="M3" s="72">
        <v>57</v>
      </c>
      <c r="N3" s="72">
        <v>161</v>
      </c>
      <c r="O3" s="72">
        <v>468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1</v>
      </c>
      <c r="D4" s="46">
        <v>2021</v>
      </c>
      <c r="E4" s="107">
        <v>23276.000000001208</v>
      </c>
      <c r="F4" s="48">
        <v>0.14000000000000001</v>
      </c>
      <c r="G4" s="107">
        <v>6922</v>
      </c>
      <c r="H4" s="48">
        <v>0.4453480216384178</v>
      </c>
      <c r="I4" s="65">
        <v>266</v>
      </c>
      <c r="J4" s="76">
        <v>0.4</v>
      </c>
      <c r="K4" s="108">
        <v>0</v>
      </c>
      <c r="L4" s="76">
        <v>1.5287027707808565</v>
      </c>
      <c r="M4" s="72">
        <v>55</v>
      </c>
      <c r="N4" s="72">
        <v>157</v>
      </c>
      <c r="O4" s="72">
        <v>427</v>
      </c>
    </row>
    <row r="5" spans="1:15" ht="15" x14ac:dyDescent="0.25">
      <c r="A5" s="45" t="s">
        <v>9</v>
      </c>
      <c r="B5" s="46">
        <f t="shared" si="0"/>
        <v>4</v>
      </c>
      <c r="C5" s="47">
        <v>1</v>
      </c>
      <c r="D5" s="46">
        <v>2021</v>
      </c>
      <c r="E5" s="107">
        <v>20043.99999999896</v>
      </c>
      <c r="F5" s="48">
        <v>0.14000000000000001</v>
      </c>
      <c r="G5" s="107">
        <v>5624</v>
      </c>
      <c r="H5" s="48">
        <v>0.4453480216384178</v>
      </c>
      <c r="I5" s="65">
        <v>316</v>
      </c>
      <c r="J5" s="76">
        <v>0.4</v>
      </c>
      <c r="K5" s="108">
        <v>0</v>
      </c>
      <c r="L5" s="76">
        <v>1.5287027707808565</v>
      </c>
      <c r="M5" s="72">
        <v>55</v>
      </c>
      <c r="N5" s="72">
        <v>157</v>
      </c>
      <c r="O5" s="72">
        <v>415</v>
      </c>
    </row>
    <row r="6" spans="1:15" ht="15" x14ac:dyDescent="0.25">
      <c r="A6" s="45" t="s">
        <v>9</v>
      </c>
      <c r="B6" s="46">
        <f t="shared" si="0"/>
        <v>5</v>
      </c>
      <c r="C6" s="47">
        <v>1</v>
      </c>
      <c r="D6" s="46">
        <v>2021</v>
      </c>
      <c r="E6" s="107">
        <v>19110.000000000582</v>
      </c>
      <c r="F6" s="48">
        <v>0.14000000000000001</v>
      </c>
      <c r="G6" s="107">
        <v>5163</v>
      </c>
      <c r="H6" s="48">
        <v>0.4453480216384178</v>
      </c>
      <c r="I6" s="65">
        <v>318</v>
      </c>
      <c r="J6" s="76">
        <v>0.4</v>
      </c>
      <c r="K6" s="108">
        <v>0</v>
      </c>
      <c r="L6" s="76">
        <v>1.5287027707808565</v>
      </c>
      <c r="M6" s="72">
        <v>60</v>
      </c>
      <c r="N6" s="72">
        <v>168</v>
      </c>
      <c r="O6" s="72">
        <v>428</v>
      </c>
    </row>
    <row r="7" spans="1:15" ht="15" x14ac:dyDescent="0.25">
      <c r="A7" s="45" t="s">
        <v>9</v>
      </c>
      <c r="B7" s="46">
        <f t="shared" si="0"/>
        <v>6</v>
      </c>
      <c r="C7" s="47">
        <v>1</v>
      </c>
      <c r="D7" s="46">
        <v>2021</v>
      </c>
      <c r="E7" s="107">
        <v>18760.000000000218</v>
      </c>
      <c r="F7" s="48">
        <v>0.14000000000000001</v>
      </c>
      <c r="G7" s="107">
        <v>4645</v>
      </c>
      <c r="H7" s="48">
        <v>0.4453480216384178</v>
      </c>
      <c r="I7" s="65">
        <v>283</v>
      </c>
      <c r="J7" s="76">
        <v>0.4</v>
      </c>
      <c r="K7" s="108">
        <v>0</v>
      </c>
      <c r="L7" s="76">
        <v>1.5287027707808565</v>
      </c>
      <c r="M7" s="72">
        <v>59</v>
      </c>
      <c r="N7" s="72">
        <v>167</v>
      </c>
      <c r="O7" s="72">
        <v>430</v>
      </c>
    </row>
    <row r="8" spans="1:15" ht="15" x14ac:dyDescent="0.25">
      <c r="A8" s="45" t="s">
        <v>9</v>
      </c>
      <c r="B8" s="46">
        <f t="shared" si="0"/>
        <v>7</v>
      </c>
      <c r="C8" s="47">
        <v>1</v>
      </c>
      <c r="D8" s="46">
        <v>2021</v>
      </c>
      <c r="E8" s="107">
        <v>22079.999999999472</v>
      </c>
      <c r="F8" s="48">
        <v>0.14000000000000001</v>
      </c>
      <c r="G8" s="107">
        <v>6483</v>
      </c>
      <c r="H8" s="48">
        <v>0.4453480216384178</v>
      </c>
      <c r="I8" s="65">
        <v>253</v>
      </c>
      <c r="J8" s="76">
        <v>0.4</v>
      </c>
      <c r="K8" s="108">
        <v>0</v>
      </c>
      <c r="L8" s="76">
        <v>1.5287027707808565</v>
      </c>
      <c r="M8" s="72">
        <v>58</v>
      </c>
      <c r="N8" s="72">
        <v>165</v>
      </c>
      <c r="O8" s="72">
        <v>448</v>
      </c>
    </row>
    <row r="9" spans="1:15" ht="15" x14ac:dyDescent="0.25">
      <c r="A9" s="45" t="s">
        <v>9</v>
      </c>
      <c r="B9" s="46">
        <f t="shared" si="0"/>
        <v>8</v>
      </c>
      <c r="C9" s="47">
        <v>1</v>
      </c>
      <c r="D9" s="46">
        <v>2021</v>
      </c>
      <c r="E9" s="107">
        <v>19940.000000000055</v>
      </c>
      <c r="F9" s="48">
        <v>0.14000000000000001</v>
      </c>
      <c r="G9" s="107">
        <v>5790</v>
      </c>
      <c r="H9" s="48">
        <v>0.4453480216384178</v>
      </c>
      <c r="I9" s="65">
        <v>296</v>
      </c>
      <c r="J9" s="76">
        <v>0.4</v>
      </c>
      <c r="K9" s="108">
        <v>0</v>
      </c>
      <c r="L9" s="76">
        <v>1.5287027707808565</v>
      </c>
      <c r="M9" s="72">
        <v>61</v>
      </c>
      <c r="N9" s="72">
        <v>173</v>
      </c>
      <c r="O9" s="72">
        <v>450</v>
      </c>
    </row>
    <row r="10" spans="1:15" ht="15" x14ac:dyDescent="0.25">
      <c r="A10" s="45" t="s">
        <v>9</v>
      </c>
      <c r="B10" s="46">
        <f t="shared" si="0"/>
        <v>9</v>
      </c>
      <c r="C10" s="47">
        <v>1</v>
      </c>
      <c r="D10" s="46">
        <v>2021</v>
      </c>
      <c r="E10" s="107">
        <v>20900.000000000771</v>
      </c>
      <c r="F10" s="48">
        <v>0.14000000000000001</v>
      </c>
      <c r="G10" s="107">
        <v>5075</v>
      </c>
      <c r="H10" s="48">
        <v>0.4453480216384178</v>
      </c>
      <c r="I10" s="65">
        <v>266</v>
      </c>
      <c r="J10" s="76">
        <v>0.4</v>
      </c>
      <c r="K10" s="108">
        <v>0</v>
      </c>
      <c r="L10" s="76">
        <v>1.5287027707808565</v>
      </c>
      <c r="M10" s="72">
        <v>55</v>
      </c>
      <c r="N10" s="72">
        <v>158</v>
      </c>
      <c r="O10" s="72">
        <v>427</v>
      </c>
    </row>
    <row r="11" spans="1:15" ht="15" x14ac:dyDescent="0.25">
      <c r="A11" s="45" t="s">
        <v>9</v>
      </c>
      <c r="B11" s="46">
        <f t="shared" si="0"/>
        <v>10</v>
      </c>
      <c r="C11" s="47">
        <v>1</v>
      </c>
      <c r="D11" s="46">
        <v>2021</v>
      </c>
      <c r="E11" s="107">
        <v>21479.999999999112</v>
      </c>
      <c r="F11" s="48">
        <v>0.14000000000000001</v>
      </c>
      <c r="G11" s="107">
        <v>6434</v>
      </c>
      <c r="H11" s="48">
        <v>0.4453480216384178</v>
      </c>
      <c r="I11" s="65">
        <v>276</v>
      </c>
      <c r="J11" s="76">
        <v>0.4</v>
      </c>
      <c r="K11" s="108">
        <v>0</v>
      </c>
      <c r="L11" s="76">
        <v>1.5287027707808565</v>
      </c>
      <c r="M11" s="72">
        <v>42</v>
      </c>
      <c r="N11" s="72">
        <v>113</v>
      </c>
      <c r="O11" s="72">
        <v>371</v>
      </c>
    </row>
    <row r="12" spans="1:15" ht="15" x14ac:dyDescent="0.25">
      <c r="A12" s="45" t="s">
        <v>9</v>
      </c>
      <c r="B12" s="46">
        <f t="shared" si="0"/>
        <v>11</v>
      </c>
      <c r="C12" s="47">
        <v>1</v>
      </c>
      <c r="D12" s="46">
        <v>2021</v>
      </c>
      <c r="E12" s="107">
        <v>20740.000000001142</v>
      </c>
      <c r="F12" s="48">
        <v>0.14000000000000001</v>
      </c>
      <c r="G12" s="107">
        <v>5948</v>
      </c>
      <c r="H12" s="48">
        <v>0.4453480216384178</v>
      </c>
      <c r="I12" s="65">
        <v>318</v>
      </c>
      <c r="J12" s="76">
        <v>0.4</v>
      </c>
      <c r="K12" s="108">
        <v>0</v>
      </c>
      <c r="L12" s="76">
        <v>1.5287027707808565</v>
      </c>
      <c r="M12" s="72">
        <v>50</v>
      </c>
      <c r="N12" s="72">
        <v>126</v>
      </c>
      <c r="O12" s="72">
        <v>380</v>
      </c>
    </row>
    <row r="13" spans="1:15" ht="15" x14ac:dyDescent="0.25">
      <c r="A13" s="45" t="s">
        <v>9</v>
      </c>
      <c r="B13" s="46">
        <f t="shared" si="0"/>
        <v>12</v>
      </c>
      <c r="C13" s="47">
        <v>1</v>
      </c>
      <c r="D13" s="46">
        <v>2021</v>
      </c>
      <c r="E13" s="107">
        <v>19419.999999999389</v>
      </c>
      <c r="F13" s="48">
        <v>0.14000000000000001</v>
      </c>
      <c r="G13" s="107">
        <v>5364</v>
      </c>
      <c r="H13" s="48">
        <v>0.4453480216384178</v>
      </c>
      <c r="I13" s="65">
        <v>268</v>
      </c>
      <c r="J13" s="76">
        <v>0.4</v>
      </c>
      <c r="K13" s="108">
        <v>0</v>
      </c>
      <c r="L13" s="76">
        <v>1.5287027707808565</v>
      </c>
      <c r="M13" s="72">
        <v>48</v>
      </c>
      <c r="N13" s="72">
        <v>122</v>
      </c>
      <c r="O13" s="72">
        <v>351</v>
      </c>
    </row>
    <row r="14" spans="1:15" ht="15" x14ac:dyDescent="0.25">
      <c r="A14" s="45" t="s">
        <v>9</v>
      </c>
      <c r="B14" s="46">
        <f t="shared" si="0"/>
        <v>13</v>
      </c>
      <c r="C14" s="47">
        <v>1</v>
      </c>
      <c r="D14" s="46">
        <v>2021</v>
      </c>
      <c r="E14" s="107">
        <v>19699.999999999593</v>
      </c>
      <c r="F14" s="48">
        <v>0.14000000000000001</v>
      </c>
      <c r="G14" s="107">
        <v>4856</v>
      </c>
      <c r="H14" s="48">
        <v>0.4453480216384178</v>
      </c>
      <c r="I14" s="65">
        <v>279</v>
      </c>
      <c r="J14" s="76">
        <v>0.4</v>
      </c>
      <c r="K14" s="108">
        <v>0</v>
      </c>
      <c r="L14" s="76">
        <v>1.5287027707808565</v>
      </c>
      <c r="M14" s="72">
        <v>45</v>
      </c>
      <c r="N14" s="72">
        <v>107</v>
      </c>
      <c r="O14" s="72">
        <v>343</v>
      </c>
    </row>
    <row r="15" spans="1:15" ht="15" x14ac:dyDescent="0.25">
      <c r="A15" s="45" t="s">
        <v>9</v>
      </c>
      <c r="B15" s="46">
        <f t="shared" si="0"/>
        <v>14</v>
      </c>
      <c r="C15" s="47">
        <v>1</v>
      </c>
      <c r="D15" s="46">
        <v>2021</v>
      </c>
      <c r="E15" s="107">
        <v>22230.000000000244</v>
      </c>
      <c r="F15" s="48">
        <v>0.14000000000000001</v>
      </c>
      <c r="G15" s="107">
        <v>6651</v>
      </c>
      <c r="H15" s="48">
        <v>0.4453480216384178</v>
      </c>
      <c r="I15" s="65">
        <v>296</v>
      </c>
      <c r="J15" s="76">
        <v>0.4</v>
      </c>
      <c r="K15" s="108">
        <v>0</v>
      </c>
      <c r="L15" s="76">
        <v>1.5287027707808565</v>
      </c>
      <c r="M15" s="72">
        <v>41</v>
      </c>
      <c r="N15" s="72">
        <v>102</v>
      </c>
      <c r="O15" s="72">
        <v>322</v>
      </c>
    </row>
    <row r="16" spans="1:15" ht="15" x14ac:dyDescent="0.25">
      <c r="A16" s="45" t="s">
        <v>9</v>
      </c>
      <c r="B16" s="46">
        <f t="shared" si="0"/>
        <v>15</v>
      </c>
      <c r="C16" s="47">
        <v>1</v>
      </c>
      <c r="D16" s="46">
        <v>2021</v>
      </c>
      <c r="E16" s="107">
        <v>20079.999999999698</v>
      </c>
      <c r="F16" s="48">
        <v>0.14000000000000001</v>
      </c>
      <c r="G16" s="107">
        <v>5703</v>
      </c>
      <c r="H16" s="48">
        <v>0.4453480216384178</v>
      </c>
      <c r="I16" s="65">
        <v>309</v>
      </c>
      <c r="J16" s="76">
        <v>0.4</v>
      </c>
      <c r="K16" s="108">
        <v>0</v>
      </c>
      <c r="L16" s="76">
        <v>1.5287027707808565</v>
      </c>
      <c r="M16" s="72">
        <v>45</v>
      </c>
      <c r="N16" s="72">
        <v>107</v>
      </c>
      <c r="O16" s="72">
        <v>310</v>
      </c>
    </row>
    <row r="17" spans="1:15" ht="15" x14ac:dyDescent="0.25">
      <c r="A17" s="45" t="s">
        <v>9</v>
      </c>
      <c r="B17" s="46">
        <f t="shared" si="0"/>
        <v>16</v>
      </c>
      <c r="C17" s="47">
        <v>1</v>
      </c>
      <c r="D17" s="46">
        <v>2021</v>
      </c>
      <c r="E17" s="107">
        <v>20619.999999999665</v>
      </c>
      <c r="F17" s="48">
        <v>0.14000000000000001</v>
      </c>
      <c r="G17" s="107">
        <v>5815</v>
      </c>
      <c r="H17" s="48">
        <v>0.4453480216384178</v>
      </c>
      <c r="I17" s="65">
        <v>253</v>
      </c>
      <c r="J17" s="76">
        <v>0.4</v>
      </c>
      <c r="K17" s="108">
        <v>0</v>
      </c>
      <c r="L17" s="76">
        <v>1.5287027707808565</v>
      </c>
      <c r="M17" s="72">
        <v>45</v>
      </c>
      <c r="N17" s="72">
        <v>104</v>
      </c>
      <c r="O17" s="72">
        <v>293</v>
      </c>
    </row>
    <row r="18" spans="1:15" ht="15" x14ac:dyDescent="0.25">
      <c r="A18" s="45" t="s">
        <v>9</v>
      </c>
      <c r="B18" s="46">
        <f t="shared" si="0"/>
        <v>17</v>
      </c>
      <c r="C18" s="47">
        <v>1</v>
      </c>
      <c r="D18" s="46">
        <v>2021</v>
      </c>
      <c r="E18" s="107">
        <v>21550.000000000407</v>
      </c>
      <c r="F18" s="48">
        <v>0.14000000000000001</v>
      </c>
      <c r="G18" s="107">
        <v>5890</v>
      </c>
      <c r="H18" s="48">
        <v>0.4453480216384178</v>
      </c>
      <c r="I18" s="65">
        <v>240</v>
      </c>
      <c r="J18" s="76">
        <v>0.4</v>
      </c>
      <c r="K18" s="108">
        <v>0</v>
      </c>
      <c r="L18" s="76">
        <v>1.5287027707808565</v>
      </c>
      <c r="M18" s="72">
        <v>46</v>
      </c>
      <c r="N18" s="72">
        <v>107</v>
      </c>
      <c r="O18" s="72">
        <v>299</v>
      </c>
    </row>
    <row r="19" spans="1:15" ht="15" x14ac:dyDescent="0.25">
      <c r="A19" s="45" t="s">
        <v>9</v>
      </c>
      <c r="B19" s="46">
        <f t="shared" si="0"/>
        <v>18</v>
      </c>
      <c r="C19" s="47">
        <v>1</v>
      </c>
      <c r="D19" s="46">
        <v>2021</v>
      </c>
      <c r="E19" s="107">
        <v>21250.000000000229</v>
      </c>
      <c r="F19" s="48">
        <v>0.14000000000000001</v>
      </c>
      <c r="G19" s="107">
        <v>6076</v>
      </c>
      <c r="H19" s="48">
        <v>0.4453480216384178</v>
      </c>
      <c r="I19" s="65">
        <v>327</v>
      </c>
      <c r="J19" s="76">
        <v>0.4</v>
      </c>
      <c r="K19" s="108">
        <v>0</v>
      </c>
      <c r="L19" s="76">
        <v>1.5287027707808565</v>
      </c>
      <c r="M19" s="72">
        <v>42</v>
      </c>
      <c r="N19" s="72">
        <v>96</v>
      </c>
      <c r="O19" s="72">
        <v>279</v>
      </c>
    </row>
    <row r="20" spans="1:15" ht="15" x14ac:dyDescent="0.25">
      <c r="A20" s="45" t="s">
        <v>9</v>
      </c>
      <c r="B20" s="46">
        <f t="shared" si="0"/>
        <v>19</v>
      </c>
      <c r="C20" s="47">
        <v>1</v>
      </c>
      <c r="D20" s="46">
        <v>2021</v>
      </c>
      <c r="E20" s="107">
        <v>21239.999999999782</v>
      </c>
      <c r="F20" s="48">
        <v>0.14000000000000001</v>
      </c>
      <c r="G20" s="107">
        <v>5656</v>
      </c>
      <c r="H20" s="48">
        <v>0.4453480216384178</v>
      </c>
      <c r="I20" s="65">
        <v>205</v>
      </c>
      <c r="J20" s="76">
        <v>0.4</v>
      </c>
      <c r="K20" s="108">
        <v>0</v>
      </c>
      <c r="L20" s="76">
        <v>1.5287027707808565</v>
      </c>
      <c r="M20" s="72">
        <v>41</v>
      </c>
      <c r="N20" s="72">
        <v>91</v>
      </c>
      <c r="O20" s="72">
        <v>275</v>
      </c>
    </row>
    <row r="21" spans="1:15" ht="15" x14ac:dyDescent="0.25">
      <c r="A21" s="45" t="s">
        <v>9</v>
      </c>
      <c r="B21" s="46">
        <f t="shared" si="0"/>
        <v>20</v>
      </c>
      <c r="C21" s="47">
        <v>1</v>
      </c>
      <c r="D21" s="46">
        <v>2021</v>
      </c>
      <c r="E21" s="107">
        <v>21230.000000000247</v>
      </c>
      <c r="F21" s="48">
        <v>0.14000000000000001</v>
      </c>
      <c r="G21" s="107">
        <v>5928</v>
      </c>
      <c r="H21" s="48">
        <v>0.4453480216384178</v>
      </c>
      <c r="I21" s="65">
        <v>303</v>
      </c>
      <c r="J21" s="76">
        <v>0.4</v>
      </c>
      <c r="K21" s="108">
        <v>0</v>
      </c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1</v>
      </c>
      <c r="D22" s="46">
        <v>2021</v>
      </c>
      <c r="E22" s="107">
        <v>0</v>
      </c>
      <c r="F22" s="48">
        <v>0.14000000000000001</v>
      </c>
      <c r="G22" s="107">
        <v>0</v>
      </c>
      <c r="H22" s="48">
        <v>0.4453480216384178</v>
      </c>
      <c r="I22" s="65">
        <v>0</v>
      </c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1</v>
      </c>
      <c r="D23" s="46">
        <v>2021</v>
      </c>
      <c r="E23" s="107">
        <v>0</v>
      </c>
      <c r="F23" s="48">
        <v>0.14000000000000001</v>
      </c>
      <c r="G23" s="107">
        <v>0</v>
      </c>
      <c r="H23" s="48">
        <v>0.4453480216384178</v>
      </c>
      <c r="I23" s="65">
        <v>0</v>
      </c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1</v>
      </c>
      <c r="D24" s="46">
        <v>2021</v>
      </c>
      <c r="E24" s="107">
        <v>0</v>
      </c>
      <c r="F24" s="48">
        <v>0.14000000000000001</v>
      </c>
      <c r="G24" s="107">
        <v>0</v>
      </c>
      <c r="H24" s="48">
        <v>0.4453480216384178</v>
      </c>
      <c r="I24" s="65">
        <v>0</v>
      </c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1</v>
      </c>
      <c r="D25" s="46">
        <v>2021</v>
      </c>
      <c r="E25" s="107">
        <v>0</v>
      </c>
      <c r="F25" s="48">
        <v>0.14000000000000001</v>
      </c>
      <c r="G25" s="107">
        <v>0</v>
      </c>
      <c r="H25" s="48">
        <v>0.4453480216384178</v>
      </c>
      <c r="I25" s="65">
        <v>0</v>
      </c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1</v>
      </c>
      <c r="D26" s="46">
        <v>2021</v>
      </c>
      <c r="E26" s="107">
        <v>0</v>
      </c>
      <c r="F26" s="48">
        <v>0.14000000000000001</v>
      </c>
      <c r="G26" s="107">
        <v>0</v>
      </c>
      <c r="H26" s="48">
        <v>0.4453480216384178</v>
      </c>
      <c r="I26" s="65">
        <v>0</v>
      </c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1</v>
      </c>
      <c r="D27" s="46">
        <v>2021</v>
      </c>
      <c r="E27" s="107">
        <v>0</v>
      </c>
      <c r="F27" s="48">
        <v>0.14000000000000001</v>
      </c>
      <c r="G27" s="107">
        <v>0</v>
      </c>
      <c r="H27" s="48">
        <v>0.4453480216384178</v>
      </c>
      <c r="I27" s="65">
        <v>0</v>
      </c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1</v>
      </c>
      <c r="D28" s="46">
        <v>2021</v>
      </c>
      <c r="E28" s="107">
        <v>0</v>
      </c>
      <c r="F28" s="48">
        <v>0.14000000000000001</v>
      </c>
      <c r="G28" s="107">
        <v>0</v>
      </c>
      <c r="H28" s="48">
        <v>0.4453480216384178</v>
      </c>
      <c r="I28" s="65">
        <v>0</v>
      </c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1</v>
      </c>
      <c r="D29" s="46">
        <v>2021</v>
      </c>
      <c r="E29" s="107">
        <v>0</v>
      </c>
      <c r="F29" s="48">
        <v>0.14000000000000001</v>
      </c>
      <c r="G29" s="107">
        <v>0</v>
      </c>
      <c r="H29" s="48">
        <v>0.4453480216384178</v>
      </c>
      <c r="I29" s="65">
        <v>0</v>
      </c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1</v>
      </c>
      <c r="D30" s="46">
        <v>2021</v>
      </c>
      <c r="E30" s="107">
        <v>0</v>
      </c>
      <c r="F30" s="48">
        <v>0.14000000000000001</v>
      </c>
      <c r="G30" s="107">
        <v>0</v>
      </c>
      <c r="H30" s="48">
        <v>0.4453480216384178</v>
      </c>
      <c r="I30" s="65">
        <v>0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1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1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414939.99999999959</v>
      </c>
      <c r="F33" s="104">
        <v>0</v>
      </c>
      <c r="G33" s="101">
        <f>SUM(G2:G32)</f>
        <v>114601</v>
      </c>
      <c r="H33" s="102">
        <v>0</v>
      </c>
      <c r="I33" s="103">
        <f>SUM(I2:I32)</f>
        <v>5631</v>
      </c>
      <c r="J33" s="104">
        <v>0</v>
      </c>
      <c r="K33" s="105">
        <v>0</v>
      </c>
      <c r="L33" s="102">
        <v>0</v>
      </c>
      <c r="M33" s="106">
        <f t="shared" ref="M33:O33" si="1">SUM(M2:M32)</f>
        <v>970</v>
      </c>
      <c r="N33" s="106">
        <f t="shared" si="1"/>
        <v>2563</v>
      </c>
      <c r="O33" s="106">
        <f t="shared" si="1"/>
        <v>7204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A7" zoomScale="78" zoomScaleNormal="78" workbookViewId="0">
      <selection activeCell="W25" sqref="W25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0" t="s">
        <v>10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77"/>
      <c r="V1" s="77"/>
    </row>
    <row r="2" spans="1:25" s="17" customFormat="1" ht="33" customHeight="1" x14ac:dyDescent="0.25">
      <c r="A2" s="29" t="s">
        <v>2</v>
      </c>
      <c r="B2" s="117" t="s">
        <v>11</v>
      </c>
      <c r="C2" s="117" t="s">
        <v>12</v>
      </c>
      <c r="D2" s="117" t="s">
        <v>13</v>
      </c>
      <c r="E2" s="117" t="s">
        <v>14</v>
      </c>
      <c r="F2" s="117" t="s">
        <v>15</v>
      </c>
      <c r="G2" s="112" t="s">
        <v>16</v>
      </c>
      <c r="H2" s="114" t="s">
        <v>17</v>
      </c>
      <c r="I2" s="117" t="s">
        <v>18</v>
      </c>
      <c r="J2" s="119" t="s">
        <v>19</v>
      </c>
      <c r="K2" s="120"/>
      <c r="L2" s="121"/>
      <c r="M2" s="112" t="s">
        <v>20</v>
      </c>
      <c r="N2" s="114" t="s">
        <v>21</v>
      </c>
      <c r="O2" s="115" t="s">
        <v>22</v>
      </c>
      <c r="P2" s="114" t="s">
        <v>23</v>
      </c>
      <c r="Q2" s="122" t="s">
        <v>24</v>
      </c>
      <c r="R2" s="117" t="s">
        <v>25</v>
      </c>
      <c r="S2" s="117" t="s">
        <v>26</v>
      </c>
      <c r="T2" s="117" t="s">
        <v>27</v>
      </c>
      <c r="V2" s="124" t="s">
        <v>6</v>
      </c>
      <c r="W2" s="124" t="s">
        <v>7</v>
      </c>
      <c r="X2" s="124" t="s">
        <v>8</v>
      </c>
    </row>
    <row r="3" spans="1:25" s="17" customFormat="1" ht="45" customHeight="1" x14ac:dyDescent="0.25">
      <c r="A3" s="30"/>
      <c r="B3" s="118"/>
      <c r="C3" s="118"/>
      <c r="D3" s="118"/>
      <c r="E3" s="118"/>
      <c r="F3" s="118"/>
      <c r="G3" s="113"/>
      <c r="H3" s="114"/>
      <c r="I3" s="118"/>
      <c r="J3" s="18" t="s">
        <v>28</v>
      </c>
      <c r="K3" s="18" t="s">
        <v>29</v>
      </c>
      <c r="L3" s="18" t="s">
        <v>30</v>
      </c>
      <c r="M3" s="113"/>
      <c r="N3" s="114"/>
      <c r="O3" s="116"/>
      <c r="P3" s="114"/>
      <c r="Q3" s="123"/>
      <c r="R3" s="118"/>
      <c r="S3" s="118"/>
      <c r="T3" s="118"/>
      <c r="V3" s="124"/>
      <c r="W3" s="124"/>
      <c r="X3" s="124"/>
    </row>
    <row r="4" spans="1:25" ht="21" customHeight="1" x14ac:dyDescent="0.25">
      <c r="A4" s="8">
        <v>44197</v>
      </c>
      <c r="B4" s="1">
        <v>754.53</v>
      </c>
      <c r="C4" s="1">
        <v>187.45</v>
      </c>
      <c r="D4" s="1">
        <v>7066749.8099999996</v>
      </c>
      <c r="E4" s="1">
        <v>7644266.0700000003</v>
      </c>
      <c r="F4" s="1">
        <v>1.9355</v>
      </c>
      <c r="G4" s="1">
        <v>583.6</v>
      </c>
      <c r="H4" s="1">
        <v>482.03</v>
      </c>
      <c r="I4" s="1">
        <v>181.59</v>
      </c>
      <c r="J4" s="1">
        <v>272.08999999999997</v>
      </c>
      <c r="K4" s="1">
        <v>283.61</v>
      </c>
      <c r="L4" s="1">
        <v>194.77</v>
      </c>
      <c r="M4" s="1">
        <v>387.46</v>
      </c>
      <c r="N4" s="1">
        <v>331.81</v>
      </c>
      <c r="O4" s="1">
        <v>107.36</v>
      </c>
      <c r="P4" s="1">
        <v>447.39</v>
      </c>
      <c r="Q4" s="1">
        <v>331.31</v>
      </c>
      <c r="R4" s="1">
        <v>114.3</v>
      </c>
      <c r="S4" s="1">
        <v>91.218000000000004</v>
      </c>
      <c r="T4" s="1">
        <v>334.74</v>
      </c>
      <c r="V4" s="71">
        <v>65</v>
      </c>
      <c r="W4" s="71">
        <v>182</v>
      </c>
      <c r="X4" s="71">
        <v>488</v>
      </c>
      <c r="Y4" s="17"/>
    </row>
    <row r="5" spans="1:25" ht="21" customHeight="1" x14ac:dyDescent="0.25">
      <c r="A5" s="8">
        <v>44198</v>
      </c>
      <c r="B5" s="1">
        <v>755.46</v>
      </c>
      <c r="C5" s="1">
        <v>187.73</v>
      </c>
      <c r="D5" s="1">
        <v>7068521.6500000004</v>
      </c>
      <c r="E5" s="1">
        <v>7646855.7199999997</v>
      </c>
      <c r="F5" s="1">
        <v>1.9380999999999999</v>
      </c>
      <c r="G5" s="1">
        <v>584.27</v>
      </c>
      <c r="H5" s="1">
        <v>482.67</v>
      </c>
      <c r="I5" s="1">
        <v>181.77</v>
      </c>
      <c r="J5" s="1">
        <v>272.49</v>
      </c>
      <c r="K5" s="1">
        <v>284</v>
      </c>
      <c r="L5" s="1">
        <v>195.1</v>
      </c>
      <c r="M5" s="1">
        <v>387.99</v>
      </c>
      <c r="N5" s="1">
        <v>332.4</v>
      </c>
      <c r="O5" s="1">
        <v>107.59</v>
      </c>
      <c r="P5" s="1">
        <v>448.11</v>
      </c>
      <c r="Q5" s="1">
        <v>331.75</v>
      </c>
      <c r="R5" s="1">
        <v>114.49</v>
      </c>
      <c r="S5" s="1">
        <v>91.361999999999995</v>
      </c>
      <c r="T5" s="1">
        <v>335.27</v>
      </c>
      <c r="V5" s="71">
        <v>57</v>
      </c>
      <c r="W5" s="71">
        <v>161</v>
      </c>
      <c r="X5" s="71">
        <v>468</v>
      </c>
      <c r="Y5" s="17"/>
    </row>
    <row r="6" spans="1:25" ht="21" customHeight="1" x14ac:dyDescent="0.25">
      <c r="A6" s="8">
        <v>44199</v>
      </c>
      <c r="B6" s="1">
        <v>756.55</v>
      </c>
      <c r="C6" s="1">
        <v>188</v>
      </c>
      <c r="D6" s="1">
        <v>7070662.0700000003</v>
      </c>
      <c r="E6" s="1">
        <v>7649705.3300000001</v>
      </c>
      <c r="F6" s="1">
        <v>1.9407000000000001</v>
      </c>
      <c r="G6" s="1">
        <v>585.12</v>
      </c>
      <c r="H6" s="1">
        <v>483.37</v>
      </c>
      <c r="I6" s="1">
        <v>182.01</v>
      </c>
      <c r="J6" s="1">
        <v>272.7</v>
      </c>
      <c r="K6" s="1">
        <v>284.41000000000003</v>
      </c>
      <c r="L6" s="1">
        <v>195.37</v>
      </c>
      <c r="M6" s="1">
        <v>388.69</v>
      </c>
      <c r="N6" s="1">
        <v>333.12</v>
      </c>
      <c r="O6" s="1">
        <v>107.9</v>
      </c>
      <c r="P6" s="1">
        <v>448.95</v>
      </c>
      <c r="Q6" s="1">
        <v>332.33</v>
      </c>
      <c r="R6" s="1">
        <v>114.6</v>
      </c>
      <c r="S6" s="1">
        <v>91.495000000000005</v>
      </c>
      <c r="T6" s="1">
        <v>335.86</v>
      </c>
      <c r="V6" s="71">
        <v>55</v>
      </c>
      <c r="W6" s="71">
        <v>157</v>
      </c>
      <c r="X6" s="71">
        <v>427</v>
      </c>
      <c r="Y6" s="17"/>
    </row>
    <row r="7" spans="1:25" ht="21" customHeight="1" x14ac:dyDescent="0.25">
      <c r="A7" s="8">
        <v>44200</v>
      </c>
      <c r="B7" s="1">
        <v>757.72</v>
      </c>
      <c r="C7" s="1">
        <v>188.25</v>
      </c>
      <c r="D7" s="1">
        <v>7072890.6299999999</v>
      </c>
      <c r="E7" s="1">
        <v>7652764.2699999996</v>
      </c>
      <c r="F7" s="1">
        <v>1.9433</v>
      </c>
      <c r="G7" s="1">
        <v>585.91999999999996</v>
      </c>
      <c r="H7" s="1">
        <v>484.15</v>
      </c>
      <c r="I7" s="1">
        <v>182.28</v>
      </c>
      <c r="J7" s="1">
        <v>273.22000000000003</v>
      </c>
      <c r="K7" s="1">
        <v>284.87</v>
      </c>
      <c r="L7" s="1">
        <v>195.73</v>
      </c>
      <c r="M7" s="1">
        <v>389.45</v>
      </c>
      <c r="N7" s="1">
        <v>333.86</v>
      </c>
      <c r="O7" s="1">
        <v>108.17</v>
      </c>
      <c r="P7" s="1">
        <v>449.84</v>
      </c>
      <c r="Q7" s="1">
        <v>332.94</v>
      </c>
      <c r="R7" s="1">
        <v>114.78</v>
      </c>
      <c r="S7" s="1">
        <v>91.641999999999996</v>
      </c>
      <c r="T7" s="1">
        <v>336.41</v>
      </c>
      <c r="V7" s="71">
        <v>55</v>
      </c>
      <c r="W7" s="71">
        <v>157</v>
      </c>
      <c r="X7" s="71">
        <v>415</v>
      </c>
      <c r="Y7" s="17"/>
    </row>
    <row r="8" spans="1:25" ht="21" customHeight="1" x14ac:dyDescent="0.25">
      <c r="A8" s="8">
        <v>44201</v>
      </c>
      <c r="B8" s="1">
        <v>758.78</v>
      </c>
      <c r="C8" s="1">
        <v>188.52</v>
      </c>
      <c r="D8" s="1">
        <v>7074706.2300000004</v>
      </c>
      <c r="E8" s="1">
        <v>7655451.1799999997</v>
      </c>
      <c r="F8" s="1">
        <v>1.9458</v>
      </c>
      <c r="G8" s="1">
        <v>586.64</v>
      </c>
      <c r="H8" s="1">
        <v>484.79</v>
      </c>
      <c r="I8" s="1">
        <v>182.49</v>
      </c>
      <c r="J8" s="1">
        <v>273.51</v>
      </c>
      <c r="K8" s="1">
        <v>285.23</v>
      </c>
      <c r="L8" s="1">
        <v>196.01</v>
      </c>
      <c r="M8" s="1">
        <v>390.1</v>
      </c>
      <c r="N8" s="1">
        <v>334.5</v>
      </c>
      <c r="O8" s="1">
        <v>108.44</v>
      </c>
      <c r="P8" s="1">
        <v>450.54</v>
      </c>
      <c r="Q8" s="1">
        <v>333.44</v>
      </c>
      <c r="R8" s="1">
        <v>114.96</v>
      </c>
      <c r="S8" s="1">
        <v>91.784000000000006</v>
      </c>
      <c r="T8" s="1">
        <v>336.72</v>
      </c>
      <c r="V8" s="71">
        <v>60</v>
      </c>
      <c r="W8" s="71">
        <v>168</v>
      </c>
      <c r="X8" s="71">
        <v>428</v>
      </c>
      <c r="Y8" s="17"/>
    </row>
    <row r="9" spans="1:25" ht="21" customHeight="1" x14ac:dyDescent="0.25">
      <c r="A9" s="8">
        <v>44202</v>
      </c>
      <c r="B9" s="1">
        <v>759.78</v>
      </c>
      <c r="C9" s="1">
        <v>188.81</v>
      </c>
      <c r="D9" s="1">
        <v>7076240.7800000003</v>
      </c>
      <c r="E9" s="1">
        <v>7657898.0599999996</v>
      </c>
      <c r="F9" s="1">
        <v>1.9482999999999999</v>
      </c>
      <c r="G9" s="1">
        <v>587.33000000000004</v>
      </c>
      <c r="H9" s="1">
        <v>485.38</v>
      </c>
      <c r="I9" s="1">
        <v>182.69</v>
      </c>
      <c r="J9" s="1">
        <v>273.81</v>
      </c>
      <c r="K9" s="1">
        <v>285.81</v>
      </c>
      <c r="L9" s="1">
        <v>196.33</v>
      </c>
      <c r="M9" s="1">
        <v>390.6</v>
      </c>
      <c r="N9" s="1">
        <v>334.98</v>
      </c>
      <c r="O9" s="1">
        <v>108.72</v>
      </c>
      <c r="P9" s="1">
        <v>451.28</v>
      </c>
      <c r="Q9" s="1">
        <v>333.96</v>
      </c>
      <c r="R9" s="1">
        <v>115.11</v>
      </c>
      <c r="S9" s="1">
        <v>91.935000000000002</v>
      </c>
      <c r="T9" s="1">
        <v>337.58</v>
      </c>
      <c r="V9" s="71">
        <v>59</v>
      </c>
      <c r="W9" s="71">
        <v>167</v>
      </c>
      <c r="X9" s="71">
        <v>430</v>
      </c>
      <c r="Y9" s="17"/>
    </row>
    <row r="10" spans="1:25" ht="21" customHeight="1" x14ac:dyDescent="0.25">
      <c r="A10" s="8">
        <v>44203</v>
      </c>
      <c r="B10" s="1">
        <v>760.82</v>
      </c>
      <c r="C10" s="1">
        <v>189.06</v>
      </c>
      <c r="D10" s="1">
        <v>7078000.8700000001</v>
      </c>
      <c r="E10" s="1">
        <v>7660426.4900000002</v>
      </c>
      <c r="F10" s="1">
        <v>1.9507000000000001</v>
      </c>
      <c r="G10" s="1">
        <v>588.11</v>
      </c>
      <c r="H10" s="1">
        <v>486.04</v>
      </c>
      <c r="I10" s="1">
        <v>182.92</v>
      </c>
      <c r="J10" s="1">
        <v>274.13</v>
      </c>
      <c r="K10" s="1">
        <v>286.2</v>
      </c>
      <c r="L10" s="1">
        <v>196.61</v>
      </c>
      <c r="M10" s="1">
        <v>391.09</v>
      </c>
      <c r="N10" s="1">
        <v>335.31</v>
      </c>
      <c r="O10" s="1">
        <v>109.01</v>
      </c>
      <c r="P10" s="1">
        <v>452.01</v>
      </c>
      <c r="Q10" s="1">
        <v>334.5</v>
      </c>
      <c r="R10" s="1">
        <v>115.32</v>
      </c>
      <c r="S10" s="1">
        <v>92.078000000000003</v>
      </c>
      <c r="T10" s="1">
        <v>338.18</v>
      </c>
      <c r="V10" s="71">
        <v>58</v>
      </c>
      <c r="W10" s="71">
        <v>165</v>
      </c>
      <c r="X10" s="71">
        <v>448</v>
      </c>
      <c r="Y10" s="17"/>
    </row>
    <row r="11" spans="1:25" ht="21" customHeight="1" x14ac:dyDescent="0.25">
      <c r="A11" s="8">
        <v>44204</v>
      </c>
      <c r="B11" s="1">
        <v>762.21</v>
      </c>
      <c r="C11" s="1">
        <v>189.34</v>
      </c>
      <c r="D11" s="1">
        <v>7080122.8600000003</v>
      </c>
      <c r="E11" s="1">
        <v>7663424.1799999997</v>
      </c>
      <c r="F11" s="1">
        <v>1.9534</v>
      </c>
      <c r="G11" s="1">
        <v>589.01</v>
      </c>
      <c r="H11" s="1">
        <v>486.81</v>
      </c>
      <c r="I11" s="1">
        <v>183.15</v>
      </c>
      <c r="J11" s="1">
        <v>274.68</v>
      </c>
      <c r="K11" s="1">
        <v>286.7</v>
      </c>
      <c r="L11" s="1">
        <v>196.97</v>
      </c>
      <c r="M11" s="1">
        <v>391.7</v>
      </c>
      <c r="N11" s="1">
        <v>336.21</v>
      </c>
      <c r="O11" s="1">
        <v>109.28</v>
      </c>
      <c r="P11" s="1">
        <v>452.86</v>
      </c>
      <c r="Q11" s="1">
        <v>335.13</v>
      </c>
      <c r="R11" s="1">
        <v>115.57</v>
      </c>
      <c r="S11" s="1">
        <v>92.221999999999994</v>
      </c>
      <c r="T11" s="1">
        <v>338.43</v>
      </c>
      <c r="V11" s="71">
        <v>61</v>
      </c>
      <c r="W11" s="71">
        <v>173</v>
      </c>
      <c r="X11" s="71">
        <v>450</v>
      </c>
      <c r="Y11" s="17"/>
    </row>
    <row r="12" spans="1:25" ht="21" customHeight="1" x14ac:dyDescent="0.25">
      <c r="A12" s="8">
        <v>44205</v>
      </c>
      <c r="B12" s="1">
        <v>763.27</v>
      </c>
      <c r="C12" s="1">
        <v>189.6</v>
      </c>
      <c r="D12" s="1">
        <v>7082216.7400000002</v>
      </c>
      <c r="E12" s="1">
        <v>7666193.9800000004</v>
      </c>
      <c r="F12" s="1">
        <v>1.9559</v>
      </c>
      <c r="G12" s="1">
        <v>589.78</v>
      </c>
      <c r="H12" s="1">
        <v>487.52</v>
      </c>
      <c r="I12" s="1">
        <v>183.38</v>
      </c>
      <c r="J12" s="1">
        <v>275.23</v>
      </c>
      <c r="K12" s="1">
        <v>287.16000000000003</v>
      </c>
      <c r="L12" s="1">
        <v>197.28</v>
      </c>
      <c r="M12" s="1">
        <v>392.26</v>
      </c>
      <c r="N12" s="1">
        <v>336.84</v>
      </c>
      <c r="O12" s="1">
        <v>109.54</v>
      </c>
      <c r="P12" s="1">
        <v>453.65</v>
      </c>
      <c r="Q12" s="1">
        <v>335.74</v>
      </c>
      <c r="R12" s="1">
        <v>115.69</v>
      </c>
      <c r="S12" s="1">
        <v>92.379000000000005</v>
      </c>
      <c r="T12" s="1">
        <v>339.28</v>
      </c>
      <c r="V12" s="71">
        <v>55</v>
      </c>
      <c r="W12" s="71">
        <v>158</v>
      </c>
      <c r="X12" s="71">
        <v>427</v>
      </c>
      <c r="Y12" s="17"/>
    </row>
    <row r="13" spans="1:25" ht="21" customHeight="1" x14ac:dyDescent="0.25">
      <c r="A13" s="8">
        <v>44206</v>
      </c>
      <c r="B13" s="1">
        <v>764.37</v>
      </c>
      <c r="C13" s="1">
        <v>189.85</v>
      </c>
      <c r="D13" s="1">
        <v>7084075.3600000003</v>
      </c>
      <c r="E13" s="1">
        <v>7668813.6399999997</v>
      </c>
      <c r="F13" s="1">
        <v>1.9582999999999999</v>
      </c>
      <c r="G13" s="1">
        <v>590.54</v>
      </c>
      <c r="H13" s="1">
        <v>488.27</v>
      </c>
      <c r="I13" s="1">
        <v>183.58</v>
      </c>
      <c r="J13" s="1">
        <v>275.39999999999998</v>
      </c>
      <c r="K13" s="1">
        <v>287.52999999999997</v>
      </c>
      <c r="L13" s="1">
        <v>197.51</v>
      </c>
      <c r="M13" s="1">
        <v>392.87</v>
      </c>
      <c r="N13" s="1">
        <v>337.48</v>
      </c>
      <c r="O13" s="1">
        <v>109.84</v>
      </c>
      <c r="P13" s="1">
        <v>454.37</v>
      </c>
      <c r="Q13" s="1">
        <v>336.26</v>
      </c>
      <c r="R13" s="1">
        <v>115.94</v>
      </c>
      <c r="S13" s="1">
        <v>92.518000000000001</v>
      </c>
      <c r="T13" s="1">
        <v>339.82</v>
      </c>
      <c r="V13" s="71">
        <v>42</v>
      </c>
      <c r="W13" s="71">
        <v>113</v>
      </c>
      <c r="X13" s="71">
        <v>371</v>
      </c>
      <c r="Y13" s="17"/>
    </row>
    <row r="14" spans="1:25" ht="21" customHeight="1" x14ac:dyDescent="0.25">
      <c r="A14" s="8">
        <v>44207</v>
      </c>
      <c r="B14" s="1">
        <v>765.85</v>
      </c>
      <c r="C14" s="1">
        <v>190.11</v>
      </c>
      <c r="D14" s="1">
        <v>7086031.1699999999</v>
      </c>
      <c r="E14" s="1">
        <v>7671644.1200000001</v>
      </c>
      <c r="F14" s="1">
        <v>1.9608000000000001</v>
      </c>
      <c r="G14" s="1">
        <v>591.35</v>
      </c>
      <c r="H14" s="1">
        <v>489.06</v>
      </c>
      <c r="I14" s="1">
        <v>183.81</v>
      </c>
      <c r="J14" s="1">
        <v>275.74</v>
      </c>
      <c r="K14" s="1">
        <v>287.91000000000003</v>
      </c>
      <c r="L14" s="1">
        <v>197.77</v>
      </c>
      <c r="M14" s="1">
        <v>393.5</v>
      </c>
      <c r="N14" s="1">
        <v>338.22</v>
      </c>
      <c r="O14" s="1">
        <v>110.08</v>
      </c>
      <c r="P14" s="1">
        <v>455.12</v>
      </c>
      <c r="Q14" s="1">
        <v>336.85</v>
      </c>
      <c r="R14" s="1">
        <v>116.14</v>
      </c>
      <c r="S14" s="1">
        <v>92.668000000000006</v>
      </c>
      <c r="T14" s="1">
        <v>340.25</v>
      </c>
      <c r="V14" s="71">
        <v>50</v>
      </c>
      <c r="W14" s="71">
        <v>126</v>
      </c>
      <c r="X14" s="71">
        <v>380</v>
      </c>
      <c r="Y14" s="17"/>
    </row>
    <row r="15" spans="1:25" ht="21" customHeight="1" x14ac:dyDescent="0.25">
      <c r="A15" s="8">
        <v>44208</v>
      </c>
      <c r="B15" s="1">
        <v>766.77</v>
      </c>
      <c r="C15" s="1">
        <v>190.36</v>
      </c>
      <c r="D15" s="1">
        <v>7088047.6799999997</v>
      </c>
      <c r="E15" s="1">
        <v>7674635.46</v>
      </c>
      <c r="F15" s="1">
        <v>1.9633</v>
      </c>
      <c r="G15" s="1">
        <v>592.25</v>
      </c>
      <c r="H15" s="1">
        <v>489.94</v>
      </c>
      <c r="I15" s="1">
        <v>184.04</v>
      </c>
      <c r="J15" s="1">
        <v>276.04000000000002</v>
      </c>
      <c r="K15" s="1">
        <v>288.23</v>
      </c>
      <c r="L15" s="1">
        <v>198.01</v>
      </c>
      <c r="M15" s="1">
        <v>394.14</v>
      </c>
      <c r="N15" s="1">
        <v>338.85</v>
      </c>
      <c r="O15" s="1">
        <v>110.34</v>
      </c>
      <c r="P15" s="1">
        <v>455.87</v>
      </c>
      <c r="Q15" s="1">
        <v>337.49</v>
      </c>
      <c r="R15" s="1">
        <v>116.32</v>
      </c>
      <c r="S15" s="1">
        <v>92.804000000000002</v>
      </c>
      <c r="T15" s="1">
        <v>340.99</v>
      </c>
      <c r="V15" s="71">
        <v>48</v>
      </c>
      <c r="W15" s="71">
        <v>122</v>
      </c>
      <c r="X15" s="71">
        <v>351</v>
      </c>
      <c r="Y15" s="17"/>
    </row>
    <row r="16" spans="1:25" ht="21" customHeight="1" x14ac:dyDescent="0.25">
      <c r="A16" s="8">
        <v>44209</v>
      </c>
      <c r="B16" s="1">
        <v>767.85</v>
      </c>
      <c r="C16" s="1">
        <v>190.65</v>
      </c>
      <c r="D16" s="1">
        <v>7089819.6799999997</v>
      </c>
      <c r="E16" s="1">
        <v>7677656.7400000002</v>
      </c>
      <c r="F16" s="1">
        <v>1.9658</v>
      </c>
      <c r="G16" s="1">
        <v>593.01</v>
      </c>
      <c r="H16" s="1">
        <v>490.77</v>
      </c>
      <c r="I16" s="1">
        <v>184.29</v>
      </c>
      <c r="J16" s="1">
        <v>276.39</v>
      </c>
      <c r="K16" s="1">
        <v>288.64999999999998</v>
      </c>
      <c r="L16" s="1">
        <v>198.28</v>
      </c>
      <c r="M16" s="1">
        <v>394.75</v>
      </c>
      <c r="N16" s="1">
        <v>339.49</v>
      </c>
      <c r="O16" s="1">
        <v>110.58</v>
      </c>
      <c r="P16" s="1">
        <v>456.63</v>
      </c>
      <c r="Q16" s="1">
        <v>338.02</v>
      </c>
      <c r="R16" s="1">
        <v>116.48</v>
      </c>
      <c r="S16" s="1">
        <v>92.950999999999993</v>
      </c>
      <c r="T16" s="1">
        <v>341.37</v>
      </c>
      <c r="V16" s="71">
        <v>45</v>
      </c>
      <c r="W16" s="71">
        <v>107</v>
      </c>
      <c r="X16" s="71">
        <v>343</v>
      </c>
      <c r="Y16" s="17"/>
    </row>
    <row r="17" spans="1:25" ht="21" customHeight="1" x14ac:dyDescent="0.25">
      <c r="A17" s="8">
        <v>44210</v>
      </c>
      <c r="B17" s="1">
        <v>768.83</v>
      </c>
      <c r="C17" s="1">
        <v>190.89</v>
      </c>
      <c r="D17" s="1">
        <v>7091219.9199999999</v>
      </c>
      <c r="E17" s="1">
        <v>7680468.4100000001</v>
      </c>
      <c r="F17" s="1">
        <v>1.9681999999999999</v>
      </c>
      <c r="G17" s="1">
        <v>593.67999999999995</v>
      </c>
      <c r="H17" s="1">
        <v>491.54</v>
      </c>
      <c r="I17" s="1">
        <v>184.52</v>
      </c>
      <c r="J17" s="1">
        <v>276.61</v>
      </c>
      <c r="K17" s="1">
        <v>288.95999999999998</v>
      </c>
      <c r="L17" s="1">
        <v>198.49</v>
      </c>
      <c r="M17" s="1">
        <v>395.25</v>
      </c>
      <c r="N17" s="1">
        <v>340</v>
      </c>
      <c r="O17" s="1">
        <v>110.82</v>
      </c>
      <c r="P17" s="1">
        <v>457.4</v>
      </c>
      <c r="Q17" s="1">
        <v>338.6</v>
      </c>
      <c r="R17" s="1">
        <v>116.69</v>
      </c>
      <c r="S17" s="1">
        <v>93.078999999999994</v>
      </c>
      <c r="T17" s="1">
        <v>341.84</v>
      </c>
      <c r="V17" s="71">
        <v>41</v>
      </c>
      <c r="W17" s="71">
        <v>102</v>
      </c>
      <c r="X17" s="71">
        <v>322</v>
      </c>
      <c r="Y17" s="17"/>
    </row>
    <row r="18" spans="1:25" ht="21" customHeight="1" x14ac:dyDescent="0.25">
      <c r="A18" s="8">
        <v>44211</v>
      </c>
      <c r="B18" s="1">
        <v>770.06</v>
      </c>
      <c r="C18" s="1">
        <v>191.14</v>
      </c>
      <c r="D18" s="1">
        <v>7092839.4100000001</v>
      </c>
      <c r="E18" s="1">
        <v>7683426.1299999999</v>
      </c>
      <c r="F18" s="1">
        <v>1.9708000000000001</v>
      </c>
      <c r="G18" s="1">
        <v>594.51</v>
      </c>
      <c r="H18" s="1">
        <v>492.42</v>
      </c>
      <c r="I18" s="1">
        <v>184.75</v>
      </c>
      <c r="J18" s="1">
        <v>276.86</v>
      </c>
      <c r="K18" s="1">
        <v>289.36</v>
      </c>
      <c r="L18" s="1">
        <v>198.77</v>
      </c>
      <c r="M18" s="1">
        <v>395.91</v>
      </c>
      <c r="N18" s="1">
        <v>340.67</v>
      </c>
      <c r="O18" s="1">
        <v>111.07</v>
      </c>
      <c r="P18" s="1">
        <v>458.24</v>
      </c>
      <c r="Q18" s="1">
        <v>339.3</v>
      </c>
      <c r="R18" s="1">
        <v>116.83</v>
      </c>
      <c r="S18" s="1">
        <v>93.179000000000002</v>
      </c>
      <c r="T18" s="1">
        <v>342.36</v>
      </c>
      <c r="V18" s="71">
        <v>45</v>
      </c>
      <c r="W18" s="71">
        <v>107</v>
      </c>
      <c r="X18" s="71">
        <v>310</v>
      </c>
      <c r="Y18" s="17"/>
    </row>
    <row r="19" spans="1:25" ht="21" customHeight="1" x14ac:dyDescent="0.25">
      <c r="A19" s="8">
        <v>44212</v>
      </c>
      <c r="B19" s="1">
        <v>771.35</v>
      </c>
      <c r="C19" s="1">
        <v>191.43</v>
      </c>
      <c r="D19" s="1">
        <v>7094528.5899999999</v>
      </c>
      <c r="E19" s="1">
        <v>7685836.2999999998</v>
      </c>
      <c r="F19" s="1">
        <v>1.9735</v>
      </c>
      <c r="G19" s="1">
        <v>595.37</v>
      </c>
      <c r="H19" s="1">
        <v>493.3</v>
      </c>
      <c r="I19" s="1">
        <v>185.01</v>
      </c>
      <c r="J19" s="1">
        <v>277.25</v>
      </c>
      <c r="K19" s="1">
        <v>289.8</v>
      </c>
      <c r="L19" s="1">
        <v>199.06</v>
      </c>
      <c r="M19" s="1">
        <v>396.59</v>
      </c>
      <c r="N19" s="1">
        <v>341.32</v>
      </c>
      <c r="O19" s="1">
        <v>111.31</v>
      </c>
      <c r="P19" s="1">
        <v>459.01</v>
      </c>
      <c r="Q19" s="1">
        <v>340.02</v>
      </c>
      <c r="R19" s="1">
        <v>116.95</v>
      </c>
      <c r="S19" s="1">
        <v>93.326999999999998</v>
      </c>
      <c r="T19" s="1">
        <v>342.63</v>
      </c>
      <c r="V19" s="71">
        <v>45</v>
      </c>
      <c r="W19" s="71">
        <v>104</v>
      </c>
      <c r="X19" s="71">
        <v>293</v>
      </c>
      <c r="Y19" s="17"/>
    </row>
    <row r="20" spans="1:25" ht="21" customHeight="1" x14ac:dyDescent="0.25">
      <c r="A20" s="8">
        <v>44213</v>
      </c>
      <c r="B20" s="1">
        <v>772.61</v>
      </c>
      <c r="C20" s="1">
        <v>191.69</v>
      </c>
      <c r="D20" s="1">
        <v>7096286.7699999996</v>
      </c>
      <c r="E20" s="1">
        <v>7688356.0999999996</v>
      </c>
      <c r="F20" s="1">
        <v>1.9759</v>
      </c>
      <c r="G20" s="1">
        <v>596.23</v>
      </c>
      <c r="H20" s="1">
        <v>494.19</v>
      </c>
      <c r="I20" s="1">
        <v>185.26</v>
      </c>
      <c r="J20" s="1">
        <v>277.61</v>
      </c>
      <c r="K20" s="1">
        <v>290.12</v>
      </c>
      <c r="L20" s="1">
        <v>199.29</v>
      </c>
      <c r="M20" s="1">
        <v>397.26</v>
      </c>
      <c r="N20" s="1">
        <v>342</v>
      </c>
      <c r="O20" s="1">
        <v>111.59</v>
      </c>
      <c r="P20" s="1">
        <v>459.74</v>
      </c>
      <c r="Q20" s="1">
        <v>340.73</v>
      </c>
      <c r="R20" s="1">
        <v>117.09</v>
      </c>
      <c r="S20" s="1">
        <v>93.456999999999994</v>
      </c>
      <c r="T20" s="1">
        <v>343.15</v>
      </c>
      <c r="V20" s="71">
        <v>46</v>
      </c>
      <c r="W20" s="71">
        <v>107</v>
      </c>
      <c r="X20" s="71">
        <v>299</v>
      </c>
      <c r="Y20" s="17"/>
    </row>
    <row r="21" spans="1:25" ht="21" customHeight="1" x14ac:dyDescent="0.25">
      <c r="A21" s="8">
        <v>44214</v>
      </c>
      <c r="B21" s="1">
        <v>773.85</v>
      </c>
      <c r="C21" s="1">
        <v>191.91</v>
      </c>
      <c r="D21" s="1">
        <v>7098396.9199999999</v>
      </c>
      <c r="E21" s="1">
        <v>7691015.5099999998</v>
      </c>
      <c r="F21" s="1">
        <v>1.9782999999999999</v>
      </c>
      <c r="G21" s="1">
        <v>597.05999999999995</v>
      </c>
      <c r="H21" s="1">
        <v>495.06</v>
      </c>
      <c r="I21" s="1">
        <v>185.53</v>
      </c>
      <c r="J21" s="1">
        <v>277.88</v>
      </c>
      <c r="K21" s="1">
        <v>290.45</v>
      </c>
      <c r="L21" s="1">
        <v>199.52</v>
      </c>
      <c r="M21" s="1">
        <v>397.91</v>
      </c>
      <c r="N21" s="1">
        <v>342.69</v>
      </c>
      <c r="O21" s="1">
        <v>111.83</v>
      </c>
      <c r="P21" s="1">
        <v>460.52</v>
      </c>
      <c r="Q21" s="1">
        <v>341.48</v>
      </c>
      <c r="R21" s="1">
        <v>117.23</v>
      </c>
      <c r="S21" s="1">
        <v>93.593000000000004</v>
      </c>
      <c r="T21" s="1">
        <v>343.67</v>
      </c>
      <c r="V21" s="71">
        <v>42</v>
      </c>
      <c r="W21" s="71">
        <v>96</v>
      </c>
      <c r="X21" s="71">
        <v>279</v>
      </c>
      <c r="Y21" s="17"/>
    </row>
    <row r="22" spans="1:25" ht="21" customHeight="1" x14ac:dyDescent="0.25">
      <c r="A22" s="8">
        <v>44215</v>
      </c>
      <c r="B22" s="1">
        <v>775.1</v>
      </c>
      <c r="C22" s="1">
        <v>192.19</v>
      </c>
      <c r="D22" s="1">
        <v>7100653.5499999998</v>
      </c>
      <c r="E22" s="1">
        <v>7694084.4500000002</v>
      </c>
      <c r="F22" s="1">
        <v>1.9810000000000001</v>
      </c>
      <c r="G22" s="1">
        <v>597.92999999999995</v>
      </c>
      <c r="H22" s="1">
        <v>495.98</v>
      </c>
      <c r="I22" s="1">
        <v>185.82</v>
      </c>
      <c r="J22" s="1">
        <v>278.35000000000002</v>
      </c>
      <c r="K22" s="1">
        <v>290.89</v>
      </c>
      <c r="L22" s="1">
        <v>197.8</v>
      </c>
      <c r="M22" s="1">
        <v>398.61</v>
      </c>
      <c r="N22" s="1">
        <v>343.47</v>
      </c>
      <c r="O22" s="1">
        <v>112.06</v>
      </c>
      <c r="P22" s="1">
        <v>461.28</v>
      </c>
      <c r="Q22" s="1">
        <v>342.16</v>
      </c>
      <c r="R22" s="28">
        <v>117.38</v>
      </c>
      <c r="S22" s="28">
        <v>93.710999999999999</v>
      </c>
      <c r="T22" s="1">
        <v>344.2</v>
      </c>
      <c r="V22" s="71">
        <v>41</v>
      </c>
      <c r="W22" s="71">
        <v>91</v>
      </c>
      <c r="X22" s="71">
        <v>275</v>
      </c>
      <c r="Y22" s="17"/>
    </row>
    <row r="23" spans="1:25" ht="21" customHeight="1" x14ac:dyDescent="0.25">
      <c r="A23" s="8">
        <v>44216</v>
      </c>
      <c r="B23" s="1">
        <v>776.27</v>
      </c>
      <c r="C23" s="1">
        <v>192.44</v>
      </c>
      <c r="D23" s="1">
        <v>7102819.96</v>
      </c>
      <c r="E23" s="1">
        <v>7696975.79</v>
      </c>
      <c r="F23" s="1">
        <v>1.9834000000000001</v>
      </c>
      <c r="G23" s="1">
        <v>598.76</v>
      </c>
      <c r="H23" s="1">
        <v>496.83</v>
      </c>
      <c r="I23" s="1">
        <v>186.07</v>
      </c>
      <c r="J23" s="1">
        <v>278.49</v>
      </c>
      <c r="K23" s="1">
        <v>291.25</v>
      </c>
      <c r="L23" s="1">
        <v>200.01</v>
      </c>
      <c r="M23" s="1">
        <v>399.25</v>
      </c>
      <c r="N23" s="1">
        <v>344.28</v>
      </c>
      <c r="O23" s="1">
        <v>112.28</v>
      </c>
      <c r="P23" s="1">
        <v>461.98</v>
      </c>
      <c r="Q23" s="1">
        <v>342.75</v>
      </c>
      <c r="R23" s="1">
        <v>117.49</v>
      </c>
      <c r="S23" s="1">
        <v>93.852999999999994</v>
      </c>
      <c r="T23" s="1">
        <v>344.36</v>
      </c>
      <c r="V23" s="71"/>
      <c r="W23" s="71"/>
      <c r="X23" s="71"/>
      <c r="Y23" s="17"/>
    </row>
    <row r="24" spans="1:25" ht="21" customHeight="1" x14ac:dyDescent="0.25">
      <c r="A24" s="8">
        <v>44217</v>
      </c>
      <c r="B24" s="1">
        <v>777.36</v>
      </c>
      <c r="C24" s="1">
        <v>192.67</v>
      </c>
      <c r="D24" s="1">
        <v>7104728.8300000001</v>
      </c>
      <c r="E24" s="1">
        <v>7699549.6100000003</v>
      </c>
      <c r="F24" s="1">
        <v>1.9859</v>
      </c>
      <c r="G24" s="1">
        <v>599.5</v>
      </c>
      <c r="H24" s="1">
        <v>497.7</v>
      </c>
      <c r="I24" s="1">
        <v>186.33</v>
      </c>
      <c r="J24" s="1">
        <v>278.7</v>
      </c>
      <c r="K24" s="1">
        <v>291.52999999999997</v>
      </c>
      <c r="L24" s="1">
        <v>200.2</v>
      </c>
      <c r="M24" s="1">
        <v>399.94</v>
      </c>
      <c r="N24" s="1">
        <v>345.01</v>
      </c>
      <c r="O24" s="1">
        <v>112.49</v>
      </c>
      <c r="P24" s="1">
        <v>462.66</v>
      </c>
      <c r="Q24" s="1">
        <v>343.29</v>
      </c>
      <c r="R24" s="1">
        <v>117.6</v>
      </c>
      <c r="S24" s="1">
        <v>93.992000000000004</v>
      </c>
      <c r="T24" s="1">
        <v>345.21</v>
      </c>
      <c r="V24" s="71"/>
      <c r="W24" s="71"/>
      <c r="X24" s="71"/>
      <c r="Y24" s="17"/>
    </row>
    <row r="25" spans="1:25" ht="21" customHeight="1" x14ac:dyDescent="0.25">
      <c r="A25" s="8">
        <v>44218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44219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44220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44221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44222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44223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44225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44226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44227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44228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970</v>
      </c>
      <c r="W35" s="78">
        <f>SUM(W4:W34)</f>
        <v>2563</v>
      </c>
      <c r="X35" s="78">
        <f>SUM(X4:X34)</f>
        <v>7204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B16" sqref="B16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5" t="s">
        <v>32</v>
      </c>
      <c r="B2" s="117" t="s">
        <v>33</v>
      </c>
      <c r="C2" s="117" t="s">
        <v>34</v>
      </c>
      <c r="D2" s="117" t="s">
        <v>120</v>
      </c>
      <c r="E2" s="115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6"/>
      <c r="B3" s="118"/>
      <c r="C3" s="118"/>
      <c r="D3" s="118"/>
      <c r="E3" s="116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44197</v>
      </c>
      <c r="B4" s="26">
        <f>TOTAL!E2</f>
        <v>19019.999999999302</v>
      </c>
      <c r="C4" s="4">
        <f>('Kwh Reading'!T5-'Kwh Reading'!T4)*1000</f>
        <v>529.99999999997272</v>
      </c>
      <c r="D4" s="2">
        <f>('Kwh Reading'!F5-'Kwh Reading'!F4)*1000000</f>
        <v>2599.9999999999359</v>
      </c>
      <c r="E4" s="2">
        <f>('Kwh Reading'!C5-'Kwh Reading'!C4)*1000</f>
        <v>280.00000000000114</v>
      </c>
      <c r="F4" s="2">
        <f>('Kwh Reading'!J5-'Kwh Reading'!J4)*1000</f>
        <v>400.00000000003411</v>
      </c>
      <c r="G4" s="2">
        <f>('Kwh Reading'!K5-'Kwh Reading'!K4)*1000</f>
        <v>389.99999999998636</v>
      </c>
      <c r="H4" s="2">
        <f>('Kwh Reading'!L5-'Kwh Reading'!L4)*1000</f>
        <v>329.99999999998408</v>
      </c>
      <c r="I4" s="2">
        <f>('Kwh Reading'!R5-'Kwh Reading'!R4)*1000</f>
        <v>189.99999999999773</v>
      </c>
      <c r="J4" s="2">
        <f>('Kwh Reading'!S5-'Kwh Reading'!S4)*1000</f>
        <v>143.99999999999125</v>
      </c>
      <c r="K4" s="2">
        <f>('Kwh Reading'!I5-'Kwh Reading'!I4)*1000</f>
        <v>180.00000000000682</v>
      </c>
      <c r="L4" s="2">
        <f>('Kwh Reading'!B5-'Kwh Reading'!B4)*1000</f>
        <v>930.00000000006366</v>
      </c>
      <c r="M4" s="2">
        <f>('Kwh Reading'!M5-'Kwh Reading'!M4)*1000</f>
        <v>530.00000000002956</v>
      </c>
      <c r="N4" s="2">
        <f>('Kwh Reading'!H5-'Kwh Reading'!H4)*1000</f>
        <v>640.0000000000432</v>
      </c>
      <c r="O4" s="2">
        <f>('Kwh Reading'!P5-'Kwh Reading'!P4)*1000</f>
        <v>720.00000000002728</v>
      </c>
      <c r="P4" s="2">
        <f>('Kwh Reading'!G5-'Kwh Reading'!G4)*1000</f>
        <v>669.99999999995907</v>
      </c>
      <c r="Q4" s="2">
        <f>('Kwh Reading'!Q5-'Kwh Reading'!Q4)*1000</f>
        <v>439.99999999999773</v>
      </c>
      <c r="R4" s="2">
        <f>('Kwh Reading'!N5-'Kwh Reading'!N4)*1000</f>
        <v>589.99999999997499</v>
      </c>
      <c r="S4" s="2">
        <f>'Kwh Reading'!E5-'Kwh Reading'!E4</f>
        <v>2589.6499999994412</v>
      </c>
      <c r="T4" s="2">
        <f>'Kwh Reading'!D5-'Kwh Reading'!D4</f>
        <v>1771.8400000007823</v>
      </c>
      <c r="U4" s="27">
        <f>('Kwh Reading'!O5-'Kwh Reading'!O4)*1000</f>
        <v>230.00000000000398</v>
      </c>
      <c r="V4" s="16">
        <f>B4-(SUM(C4:U4))</f>
        <v>4864.5099999990689</v>
      </c>
    </row>
    <row r="5" spans="1:22" x14ac:dyDescent="0.25">
      <c r="A5" s="3">
        <f>'Kwh Reading'!A5</f>
        <v>44198</v>
      </c>
      <c r="B5" s="26">
        <f>TOTAL!E3</f>
        <v>22269.999999999527</v>
      </c>
      <c r="C5" s="4">
        <f>('Kwh Reading'!T6-'Kwh Reading'!T5)*1000</f>
        <v>590.00000000003183</v>
      </c>
      <c r="D5" s="2">
        <f>('Kwh Reading'!F6-'Kwh Reading'!F5)*1000000</f>
        <v>2600.0000000001578</v>
      </c>
      <c r="E5" s="2">
        <f>('Kwh Reading'!C6-'Kwh Reading'!C5)*1000</f>
        <v>270.00000000001023</v>
      </c>
      <c r="F5" s="2">
        <f>('Kwh Reading'!J6-'Kwh Reading'!J5)*1000</f>
        <v>209.99999999997954</v>
      </c>
      <c r="G5" s="2">
        <f>('Kwh Reading'!K6-'Kwh Reading'!K5)*1000</f>
        <v>410.00000000002501</v>
      </c>
      <c r="H5" s="2">
        <f>('Kwh Reading'!L6-'Kwh Reading'!L5)*1000</f>
        <v>270.00000000001023</v>
      </c>
      <c r="I5" s="2">
        <f>('Kwh Reading'!R6-'Kwh Reading'!R5)*1000</f>
        <v>109.99999999999943</v>
      </c>
      <c r="J5" s="2">
        <f>('Kwh Reading'!S6-'Kwh Reading'!S5)*1000</f>
        <v>133.00000000000978</v>
      </c>
      <c r="K5" s="2">
        <f>('Kwh Reading'!I6-'Kwh Reading'!I5)*1000</f>
        <v>239.99999999998067</v>
      </c>
      <c r="L5" s="2">
        <f>('Kwh Reading'!B6-'Kwh Reading'!B5)*1000</f>
        <v>1089.9999999999181</v>
      </c>
      <c r="M5" s="2">
        <f>('Kwh Reading'!M6-'Kwh Reading'!M5)*1000</f>
        <v>699.99999999998863</v>
      </c>
      <c r="N5" s="2">
        <f>('Kwh Reading'!H6-'Kwh Reading'!H5)*1000</f>
        <v>699.99999999998863</v>
      </c>
      <c r="O5" s="2">
        <f>('Kwh Reading'!P6-'Kwh Reading'!P5)*1000</f>
        <v>839.99999999997499</v>
      </c>
      <c r="P5" s="2">
        <f>('Kwh Reading'!G6-'Kwh Reading'!G5)*1000</f>
        <v>850.00000000002274</v>
      </c>
      <c r="Q5" s="2">
        <f>('Kwh Reading'!Q6-'Kwh Reading'!Q5)*1000</f>
        <v>579.99999999998408</v>
      </c>
      <c r="R5" s="2">
        <f>('Kwh Reading'!N6-'Kwh Reading'!N5)*1000</f>
        <v>720.00000000002728</v>
      </c>
      <c r="S5" s="2">
        <f>'Kwh Reading'!E6-'Kwh Reading'!E5</f>
        <v>2849.6100000003353</v>
      </c>
      <c r="T5" s="2">
        <f>'Kwh Reading'!D6-'Kwh Reading'!D5</f>
        <v>2140.4199999999255</v>
      </c>
      <c r="U5" s="27">
        <f>('Kwh Reading'!O6-'Kwh Reading'!O5)*1000</f>
        <v>310.00000000000227</v>
      </c>
      <c r="V5" s="16">
        <f>B5-(SUM(C5:U5))</f>
        <v>6656.9699999991553</v>
      </c>
    </row>
    <row r="6" spans="1:22" x14ac:dyDescent="0.25">
      <c r="A6" s="3">
        <f>'Kwh Reading'!A6</f>
        <v>44199</v>
      </c>
      <c r="B6" s="26">
        <f>TOTAL!E4</f>
        <v>23276.000000001208</v>
      </c>
      <c r="C6" s="4">
        <f>('Kwh Reading'!T7-'Kwh Reading'!T6)*1000</f>
        <v>550.00000000001137</v>
      </c>
      <c r="D6" s="2">
        <f>('Kwh Reading'!F7-'Kwh Reading'!F6)*1000000</f>
        <v>2599.9999999999359</v>
      </c>
      <c r="E6" s="2">
        <f>('Kwh Reading'!C7-'Kwh Reading'!C6)*1000</f>
        <v>250</v>
      </c>
      <c r="F6" s="2">
        <f>('Kwh Reading'!J7-'Kwh Reading'!J6)*1000</f>
        <v>520.00000000003865</v>
      </c>
      <c r="G6" s="2">
        <f>('Kwh Reading'!K7-'Kwh Reading'!K6)*1000</f>
        <v>459.99999999997954</v>
      </c>
      <c r="H6" s="2">
        <f>('Kwh Reading'!L7-'Kwh Reading'!L6)*1000</f>
        <v>359.99999999998522</v>
      </c>
      <c r="I6" s="2">
        <f>('Kwh Reading'!R7-'Kwh Reading'!R6)*1000</f>
        <v>180.00000000000682</v>
      </c>
      <c r="J6" s="2">
        <f>('Kwh Reading'!S7-'Kwh Reading'!S6)*1000</f>
        <v>146.99999999999136</v>
      </c>
      <c r="K6" s="2">
        <f>('Kwh Reading'!I7-'Kwh Reading'!I6)*1000</f>
        <v>270.00000000001023</v>
      </c>
      <c r="L6" s="2">
        <f>('Kwh Reading'!B7-'Kwh Reading'!B6)*1000</f>
        <v>1170.0000000000728</v>
      </c>
      <c r="M6" s="2">
        <f>('Kwh Reading'!M7-'Kwh Reading'!M6)*1000</f>
        <v>759.99999999999091</v>
      </c>
      <c r="N6" s="2">
        <f>('Kwh Reading'!H7-'Kwh Reading'!H6)*1000</f>
        <v>779.99999999997272</v>
      </c>
      <c r="O6" s="2">
        <f>('Kwh Reading'!P7-'Kwh Reading'!P6)*1000</f>
        <v>889.99999999998636</v>
      </c>
      <c r="P6" s="2">
        <f>('Kwh Reading'!G7-'Kwh Reading'!G6)*1000</f>
        <v>799.99999999995453</v>
      </c>
      <c r="Q6" s="2">
        <f>('Kwh Reading'!Q7-'Kwh Reading'!Q6)*1000</f>
        <v>610.00000000001364</v>
      </c>
      <c r="R6" s="2">
        <f>('Kwh Reading'!N7-'Kwh Reading'!N6)*1000</f>
        <v>740.00000000000909</v>
      </c>
      <c r="S6" s="2">
        <f>'Kwh Reading'!E7-'Kwh Reading'!E6</f>
        <v>3058.9399999994785</v>
      </c>
      <c r="T6" s="2">
        <f>'Kwh Reading'!D7-'Kwh Reading'!D6</f>
        <v>2228.5599999995902</v>
      </c>
      <c r="U6" s="27">
        <f>('Kwh Reading'!O7-'Kwh Reading'!O6)*1000</f>
        <v>269.99999999999602</v>
      </c>
      <c r="V6" s="16">
        <f t="shared" ref="V6:V34" si="0">B6-(SUM(C6:U6))</f>
        <v>6631.5000000021864</v>
      </c>
    </row>
    <row r="7" spans="1:22" x14ac:dyDescent="0.25">
      <c r="A7" s="3">
        <f>'Kwh Reading'!A7</f>
        <v>44200</v>
      </c>
      <c r="B7" s="26">
        <f>TOTAL!E5</f>
        <v>20043.99999999896</v>
      </c>
      <c r="C7" s="4">
        <f>('Kwh Reading'!T8-'Kwh Reading'!T7)*1000</f>
        <v>310.00000000000227</v>
      </c>
      <c r="D7" s="2">
        <f>('Kwh Reading'!F8-'Kwh Reading'!F7)*1000000</f>
        <v>2499.9999999999468</v>
      </c>
      <c r="E7" s="2">
        <f>('Kwh Reading'!C8-'Kwh Reading'!C7)*1000</f>
        <v>270.00000000001023</v>
      </c>
      <c r="F7" s="2">
        <f>('Kwh Reading'!J8-'Kwh Reading'!J7)*1000</f>
        <v>289.99999999996362</v>
      </c>
      <c r="G7" s="2">
        <f>('Kwh Reading'!K8-'Kwh Reading'!K7)*1000</f>
        <v>360.00000000001364</v>
      </c>
      <c r="H7" s="2">
        <f>('Kwh Reading'!L8-'Kwh Reading'!L7)*1000</f>
        <v>280.00000000000114</v>
      </c>
      <c r="I7" s="2">
        <f>('Kwh Reading'!R8-'Kwh Reading'!R7)*1000</f>
        <v>179.99999999999261</v>
      </c>
      <c r="J7" s="2">
        <f>('Kwh Reading'!S8-'Kwh Reading'!S7)*1000</f>
        <v>142.00000000001012</v>
      </c>
      <c r="K7" s="2">
        <f>('Kwh Reading'!I8-'Kwh Reading'!I7)*1000</f>
        <v>210.00000000000796</v>
      </c>
      <c r="L7" s="2">
        <f>('Kwh Reading'!B8-'Kwh Reading'!B7)*1000</f>
        <v>1059.9999999999454</v>
      </c>
      <c r="M7" s="2">
        <f>('Kwh Reading'!M8-'Kwh Reading'!M7)*1000</f>
        <v>650.00000000003411</v>
      </c>
      <c r="N7" s="2">
        <f>('Kwh Reading'!H8-'Kwh Reading'!H7)*1000</f>
        <v>640.0000000000432</v>
      </c>
      <c r="O7" s="2">
        <f>('Kwh Reading'!P8-'Kwh Reading'!P7)*1000</f>
        <v>700.00000000004547</v>
      </c>
      <c r="P7" s="2">
        <f>('Kwh Reading'!G8-'Kwh Reading'!G7)*1000</f>
        <v>720.00000000002728</v>
      </c>
      <c r="Q7" s="2">
        <f>('Kwh Reading'!Q8-'Kwh Reading'!Q7)*1000</f>
        <v>500</v>
      </c>
      <c r="R7" s="2">
        <f>('Kwh Reading'!N8-'Kwh Reading'!N7)*1000</f>
        <v>639.99999999998636</v>
      </c>
      <c r="S7" s="2">
        <f>'Kwh Reading'!E8-'Kwh Reading'!E7</f>
        <v>2686.910000000149</v>
      </c>
      <c r="T7" s="2">
        <f>'Kwh Reading'!D8-'Kwh Reading'!D7</f>
        <v>1815.6000000005588</v>
      </c>
      <c r="U7" s="27">
        <f>('Kwh Reading'!O8-'Kwh Reading'!O7)*1000</f>
        <v>269.99999999999602</v>
      </c>
      <c r="V7" s="16">
        <f t="shared" si="0"/>
        <v>5819.4899999982263</v>
      </c>
    </row>
    <row r="8" spans="1:22" x14ac:dyDescent="0.25">
      <c r="A8" s="3">
        <f>'Kwh Reading'!A8</f>
        <v>44201</v>
      </c>
      <c r="B8" s="26">
        <f>TOTAL!E6</f>
        <v>19110.000000000582</v>
      </c>
      <c r="C8" s="4">
        <f>('Kwh Reading'!T9-'Kwh Reading'!T8)*1000</f>
        <v>859.9999999999568</v>
      </c>
      <c r="D8" s="2">
        <f>('Kwh Reading'!F9-'Kwh Reading'!F8)*1000000</f>
        <v>2499.9999999999468</v>
      </c>
      <c r="E8" s="2">
        <f>('Kwh Reading'!C9-'Kwh Reading'!C8)*1000</f>
        <v>289.99999999999204</v>
      </c>
      <c r="F8" s="2">
        <f>('Kwh Reading'!J9-'Kwh Reading'!J8)*1000</f>
        <v>300.00000000001137</v>
      </c>
      <c r="G8" s="2">
        <f>('Kwh Reading'!K9-'Kwh Reading'!K8)*1000</f>
        <v>579.99999999998408</v>
      </c>
      <c r="H8" s="2">
        <f>('Kwh Reading'!L9-'Kwh Reading'!L8)*1000</f>
        <v>320.0000000000216</v>
      </c>
      <c r="I8" s="2">
        <f>('Kwh Reading'!R9-'Kwh Reading'!R8)*1000</f>
        <v>150.00000000000568</v>
      </c>
      <c r="J8" s="2">
        <f>('Kwh Reading'!S9-'Kwh Reading'!S8)*1000</f>
        <v>150.99999999999625</v>
      </c>
      <c r="K8" s="2">
        <f>('Kwh Reading'!I9-'Kwh Reading'!I8)*1000</f>
        <v>199.99999999998863</v>
      </c>
      <c r="L8" s="2">
        <f>('Kwh Reading'!B9-'Kwh Reading'!B8)*1000</f>
        <v>1000</v>
      </c>
      <c r="M8" s="2">
        <f>('Kwh Reading'!M9-'Kwh Reading'!M8)*1000</f>
        <v>500</v>
      </c>
      <c r="N8" s="2">
        <f>('Kwh Reading'!H9-'Kwh Reading'!H8)*1000</f>
        <v>589.99999999997499</v>
      </c>
      <c r="O8" s="2">
        <f>('Kwh Reading'!P9-'Kwh Reading'!P8)*1000</f>
        <v>739.99999999995225</v>
      </c>
      <c r="P8" s="2">
        <f>('Kwh Reading'!G9-'Kwh Reading'!G8)*1000</f>
        <v>690.00000000005457</v>
      </c>
      <c r="Q8" s="2">
        <f>('Kwh Reading'!Q9-'Kwh Reading'!Q8)*1000</f>
        <v>519.99999999998181</v>
      </c>
      <c r="R8" s="2">
        <f>('Kwh Reading'!N9-'Kwh Reading'!N8)*1000</f>
        <v>480.00000000001819</v>
      </c>
      <c r="S8" s="2">
        <f>'Kwh Reading'!E9-'Kwh Reading'!E8</f>
        <v>2446.8799999998882</v>
      </c>
      <c r="T8" s="2">
        <f>'Kwh Reading'!D9-'Kwh Reading'!D8</f>
        <v>1534.5499999998137</v>
      </c>
      <c r="U8" s="27">
        <f>('Kwh Reading'!O9-'Kwh Reading'!O8)*1000</f>
        <v>280.00000000000114</v>
      </c>
      <c r="V8" s="16">
        <f t="shared" si="0"/>
        <v>4977.5700000009929</v>
      </c>
    </row>
    <row r="9" spans="1:22" x14ac:dyDescent="0.25">
      <c r="A9" s="3">
        <f>'Kwh Reading'!A9</f>
        <v>44202</v>
      </c>
      <c r="B9" s="26">
        <f>TOTAL!E7</f>
        <v>18760.000000000218</v>
      </c>
      <c r="C9" s="4">
        <f>('Kwh Reading'!T10-'Kwh Reading'!T9)*1000</f>
        <v>600.00000000002274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319.99999999999318</v>
      </c>
      <c r="G9" s="2">
        <f>('Kwh Reading'!K10-'Kwh Reading'!K9)*1000</f>
        <v>389.99999999998636</v>
      </c>
      <c r="H9" s="2">
        <f>('Kwh Reading'!L10-'Kwh Reading'!L9)*1000</f>
        <v>280.00000000000114</v>
      </c>
      <c r="I9" s="2">
        <f>('Kwh Reading'!R10-'Kwh Reading'!R9)*1000</f>
        <v>209.99999999999375</v>
      </c>
      <c r="J9" s="2">
        <f>('Kwh Reading'!S10-'Kwh Reading'!S9)*1000</f>
        <v>143.00000000000068</v>
      </c>
      <c r="K9" s="2">
        <f>('Kwh Reading'!I10-'Kwh Reading'!I9)*1000</f>
        <v>229.99999999998977</v>
      </c>
      <c r="L9" s="2">
        <f>('Kwh Reading'!B10-'Kwh Reading'!B9)*1000</f>
        <v>1040.0000000000773</v>
      </c>
      <c r="M9" s="2">
        <f>('Kwh Reading'!M10-'Kwh Reading'!M9)*1000</f>
        <v>489.99999999995225</v>
      </c>
      <c r="N9" s="2">
        <f>('Kwh Reading'!H10-'Kwh Reading'!H9)*1000</f>
        <v>660.00000000002501</v>
      </c>
      <c r="O9" s="2">
        <f>('Kwh Reading'!P10-'Kwh Reading'!P9)*1000</f>
        <v>730.00000000001819</v>
      </c>
      <c r="P9" s="2">
        <f>('Kwh Reading'!G10-'Kwh Reading'!G9)*1000</f>
        <v>779.99999999997272</v>
      </c>
      <c r="Q9" s="2">
        <f>('Kwh Reading'!Q10-'Kwh Reading'!Q9)*1000</f>
        <v>540.00000000002046</v>
      </c>
      <c r="R9" s="2">
        <f>('Kwh Reading'!N10-'Kwh Reading'!N9)*1000</f>
        <v>329.99999999998408</v>
      </c>
      <c r="S9" s="2">
        <f>'Kwh Reading'!E10-'Kwh Reading'!E9</f>
        <v>2528.4300000006333</v>
      </c>
      <c r="T9" s="2">
        <f>'Kwh Reading'!D10-'Kwh Reading'!D9</f>
        <v>1760.089999999851</v>
      </c>
      <c r="U9" s="27">
        <f>('Kwh Reading'!O10-'Kwh Reading'!O9)*1000</f>
        <v>290.00000000000625</v>
      </c>
      <c r="V9" s="16">
        <f t="shared" si="0"/>
        <v>4788.4799999995121</v>
      </c>
    </row>
    <row r="10" spans="1:22" x14ac:dyDescent="0.25">
      <c r="A10" s="3">
        <f>'Kwh Reading'!A10</f>
        <v>44203</v>
      </c>
      <c r="B10" s="26">
        <f>TOTAL!E8</f>
        <v>22079.999999999472</v>
      </c>
      <c r="C10" s="4">
        <f>('Kwh Reading'!T11-'Kwh Reading'!T10)*1000</f>
        <v>250</v>
      </c>
      <c r="D10" s="2">
        <f>('Kwh Reading'!F11-'Kwh Reading'!F10)*1000000</f>
        <v>2699.9999999999245</v>
      </c>
      <c r="E10" s="2">
        <f>('Kwh Reading'!C11-'Kwh Reading'!C10)*1000</f>
        <v>280.00000000000114</v>
      </c>
      <c r="F10" s="2">
        <f>('Kwh Reading'!J11-'Kwh Reading'!J10)*1000</f>
        <v>550.00000000001137</v>
      </c>
      <c r="G10" s="2">
        <f>('Kwh Reading'!K11-'Kwh Reading'!K10)*1000</f>
        <v>500</v>
      </c>
      <c r="H10" s="2">
        <f>('Kwh Reading'!L11-'Kwh Reading'!L10)*1000</f>
        <v>359.99999999998522</v>
      </c>
      <c r="I10" s="2">
        <f>('Kwh Reading'!R11-'Kwh Reading'!R10)*1000</f>
        <v>250</v>
      </c>
      <c r="J10" s="2">
        <f>('Kwh Reading'!S11-'Kwh Reading'!S10)*1000</f>
        <v>143.99999999999125</v>
      </c>
      <c r="K10" s="2">
        <f>('Kwh Reading'!I11-'Kwh Reading'!I10)*1000</f>
        <v>230.00000000001819</v>
      </c>
      <c r="L10" s="2">
        <f>('Kwh Reading'!B11-'Kwh Reading'!B10)*1000</f>
        <v>1389.9999999999864</v>
      </c>
      <c r="M10" s="2">
        <f>('Kwh Reading'!M11-'Kwh Reading'!M10)*1000</f>
        <v>610.00000000001364</v>
      </c>
      <c r="N10" s="2">
        <f>('Kwh Reading'!H11-'Kwh Reading'!H10)*1000</f>
        <v>769.99999999998181</v>
      </c>
      <c r="O10" s="2">
        <f>('Kwh Reading'!P11-'Kwh Reading'!P10)*1000</f>
        <v>850.00000000002274</v>
      </c>
      <c r="P10" s="2">
        <f>('Kwh Reading'!G11-'Kwh Reading'!G10)*1000</f>
        <v>899.99999999997726</v>
      </c>
      <c r="Q10" s="2">
        <f>('Kwh Reading'!Q11-'Kwh Reading'!Q10)*1000</f>
        <v>629.99999999999545</v>
      </c>
      <c r="R10" s="2">
        <f>('Kwh Reading'!N11-'Kwh Reading'!N10)*1000</f>
        <v>899.99999999997726</v>
      </c>
      <c r="S10" s="34">
        <f>'Kwh Reading'!E11-'Kwh Reading'!E10</f>
        <v>2997.6899999994785</v>
      </c>
      <c r="T10" s="34">
        <f>'Kwh Reading'!D11-'Kwh Reading'!D10</f>
        <v>2121.9900000002235</v>
      </c>
      <c r="U10" s="27">
        <f>('Kwh Reading'!O11-'Kwh Reading'!O10)*1000</f>
        <v>269.99999999999602</v>
      </c>
      <c r="V10" s="16">
        <f t="shared" si="0"/>
        <v>5376.3199999998869</v>
      </c>
    </row>
    <row r="11" spans="1:22" x14ac:dyDescent="0.25">
      <c r="A11" s="3">
        <f>'Kwh Reading'!A11</f>
        <v>44204</v>
      </c>
      <c r="B11" s="26">
        <f>TOTAL!E9</f>
        <v>19940.000000000055</v>
      </c>
      <c r="C11" s="4">
        <f>('Kwh Reading'!T12-'Kwh Reading'!T11)*1000</f>
        <v>849.99999999996589</v>
      </c>
      <c r="D11" s="2">
        <f>('Kwh Reading'!F12-'Kwh Reading'!F11)*1000000</f>
        <v>2499.9999999999468</v>
      </c>
      <c r="E11" s="2">
        <f>('Kwh Reading'!C12-'Kwh Reading'!C11)*1000</f>
        <v>259.99999999999091</v>
      </c>
      <c r="F11" s="2">
        <f>('Kwh Reading'!J12-'Kwh Reading'!J11)*1000</f>
        <v>550.00000000001137</v>
      </c>
      <c r="G11" s="2">
        <f>('Kwh Reading'!K12-'Kwh Reading'!K11)*1000</f>
        <v>460.00000000003638</v>
      </c>
      <c r="H11" s="2">
        <f>('Kwh Reading'!L12-'Kwh Reading'!L11)*1000</f>
        <v>310.00000000000227</v>
      </c>
      <c r="I11" s="2">
        <f>('Kwh Reading'!R12-'Kwh Reading'!R11)*1000</f>
        <v>120.00000000000455</v>
      </c>
      <c r="J11" s="2">
        <f>('Kwh Reading'!S12-'Kwh Reading'!S11)*1000</f>
        <v>157.00000000001069</v>
      </c>
      <c r="K11" s="2">
        <f>('Kwh Reading'!I12-'Kwh Reading'!I11)*1000</f>
        <v>229.99999999998977</v>
      </c>
      <c r="L11" s="2">
        <f>('Kwh Reading'!B12-'Kwh Reading'!B11)*1000</f>
        <v>1059.9999999999454</v>
      </c>
      <c r="M11" s="2">
        <f>('Kwh Reading'!M12-'Kwh Reading'!M11)*1000</f>
        <v>560.00000000000227</v>
      </c>
      <c r="N11" s="2">
        <f>('Kwh Reading'!H12-'Kwh Reading'!H11)*1000</f>
        <v>709.99999999997954</v>
      </c>
      <c r="O11" s="2">
        <f>('Kwh Reading'!P12-'Kwh Reading'!P11)*1000</f>
        <v>789.99999999996362</v>
      </c>
      <c r="P11" s="2">
        <f>('Kwh Reading'!G12-'Kwh Reading'!G11)*1000</f>
        <v>769.99999999998181</v>
      </c>
      <c r="Q11" s="2">
        <f>('Kwh Reading'!Q12-'Kwh Reading'!Q11)*1000</f>
        <v>610.00000000001364</v>
      </c>
      <c r="R11" s="2">
        <f>('Kwh Reading'!N12-'Kwh Reading'!N11)*1000</f>
        <v>629.99999999999545</v>
      </c>
      <c r="S11" s="34">
        <f>'Kwh Reading'!E12-'Kwh Reading'!E11</f>
        <v>2769.8000000007451</v>
      </c>
      <c r="T11" s="34">
        <f>'Kwh Reading'!D12-'Kwh Reading'!D11</f>
        <v>2093.8799999998882</v>
      </c>
      <c r="U11" s="27">
        <f>('Kwh Reading'!O12-'Kwh Reading'!O11)*1000</f>
        <v>260.00000000000512</v>
      </c>
      <c r="V11" s="16">
        <f t="shared" si="0"/>
        <v>4249.3199999995759</v>
      </c>
    </row>
    <row r="12" spans="1:22" x14ac:dyDescent="0.25">
      <c r="A12" s="3">
        <f>'Kwh Reading'!A12</f>
        <v>44205</v>
      </c>
      <c r="B12" s="26">
        <f>TOTAL!E10</f>
        <v>20900.000000000771</v>
      </c>
      <c r="C12" s="4">
        <f>('Kwh Reading'!T13-'Kwh Reading'!T12)*1000</f>
        <v>540.00000000002046</v>
      </c>
      <c r="D12" s="2">
        <f>('Kwh Reading'!F13-'Kwh Reading'!F12)*1000000</f>
        <v>2399.9999999999577</v>
      </c>
      <c r="E12" s="2">
        <f>('Kwh Reading'!C13-'Kwh Reading'!C12)*1000</f>
        <v>250</v>
      </c>
      <c r="F12" s="2">
        <f>('Kwh Reading'!J13-'Kwh Reading'!J12)*1000</f>
        <v>169.99999999995907</v>
      </c>
      <c r="G12" s="2">
        <f>('Kwh Reading'!K13-'Kwh Reading'!K12)*1000</f>
        <v>369.9999999999477</v>
      </c>
      <c r="H12" s="2">
        <f>('Kwh Reading'!L13-'Kwh Reading'!L12)*1000</f>
        <v>229.99999999998977</v>
      </c>
      <c r="I12" s="2">
        <f>('Kwh Reading'!R13-'Kwh Reading'!R12)*1000</f>
        <v>250</v>
      </c>
      <c r="J12" s="2">
        <f>('Kwh Reading'!S13-'Kwh Reading'!S12)*1000</f>
        <v>138.99999999999579</v>
      </c>
      <c r="K12" s="2">
        <f>('Kwh Reading'!I13-'Kwh Reading'!I12)*1000</f>
        <v>200.00000000001705</v>
      </c>
      <c r="L12" s="2">
        <f>('Kwh Reading'!B13-'Kwh Reading'!B12)*1000</f>
        <v>1100.0000000000227</v>
      </c>
      <c r="M12" s="2">
        <f>('Kwh Reading'!M13-'Kwh Reading'!M12)*1000</f>
        <v>610.00000000001364</v>
      </c>
      <c r="N12" s="2">
        <f>('Kwh Reading'!H13-'Kwh Reading'!H12)*1000</f>
        <v>750</v>
      </c>
      <c r="O12" s="2">
        <f>('Kwh Reading'!P13-'Kwh Reading'!P12)*1000</f>
        <v>720.00000000002728</v>
      </c>
      <c r="P12" s="2">
        <f>('Kwh Reading'!G13-'Kwh Reading'!G12)*1000</f>
        <v>759.99999999999091</v>
      </c>
      <c r="Q12" s="2">
        <f>('Kwh Reading'!Q13-'Kwh Reading'!Q12)*1000</f>
        <v>519.99999999998181</v>
      </c>
      <c r="R12" s="2">
        <f>('Kwh Reading'!N13-'Kwh Reading'!N12)*1000</f>
        <v>640.0000000000432</v>
      </c>
      <c r="S12" s="34">
        <f>'Kwh Reading'!E13-'Kwh Reading'!E12</f>
        <v>2619.6599999992177</v>
      </c>
      <c r="T12" s="34">
        <f>'Kwh Reading'!D13-'Kwh Reading'!D12</f>
        <v>1858.6200000001118</v>
      </c>
      <c r="U12" s="27">
        <f>('Kwh Reading'!O13-'Kwh Reading'!O12)*1000</f>
        <v>299.99999999999716</v>
      </c>
      <c r="V12" s="16">
        <f t="shared" si="0"/>
        <v>6472.7200000014782</v>
      </c>
    </row>
    <row r="13" spans="1:22" x14ac:dyDescent="0.25">
      <c r="A13" s="3">
        <f>'Kwh Reading'!A13</f>
        <v>44206</v>
      </c>
      <c r="B13" s="26">
        <f>TOTAL!E11</f>
        <v>21479.999999999112</v>
      </c>
      <c r="C13" s="4">
        <f>('Kwh Reading'!T14-'Kwh Reading'!T13)*1000</f>
        <v>430.00000000000682</v>
      </c>
      <c r="D13" s="2">
        <f>('Kwh Reading'!F14-'Kwh Reading'!F13)*1000000</f>
        <v>2500.0000000001687</v>
      </c>
      <c r="E13" s="2">
        <f>('Kwh Reading'!C14-'Kwh Reading'!C13)*1000</f>
        <v>260.00000000001933</v>
      </c>
      <c r="F13" s="2">
        <f>('Kwh Reading'!J14-'Kwh Reading'!J13)*1000</f>
        <v>340.00000000003183</v>
      </c>
      <c r="G13" s="2">
        <f>('Kwh Reading'!K14-'Kwh Reading'!K13)*1000</f>
        <v>380.0000000000523</v>
      </c>
      <c r="H13" s="2">
        <f>('Kwh Reading'!L14-'Kwh Reading'!L13)*1000</f>
        <v>260.00000000001933</v>
      </c>
      <c r="I13" s="2">
        <f>('Kwh Reading'!R14-'Kwh Reading'!R13)*1000</f>
        <v>200.00000000000284</v>
      </c>
      <c r="J13" s="2">
        <f>('Kwh Reading'!S14-'Kwh Reading'!S13)*1000</f>
        <v>150.00000000000568</v>
      </c>
      <c r="K13" s="2">
        <f>('Kwh Reading'!I14-'Kwh Reading'!I13)*1000</f>
        <v>229.99999999998977</v>
      </c>
      <c r="L13" s="2">
        <f>('Kwh Reading'!B14-'Kwh Reading'!B13)*1000</f>
        <v>1480.0000000000182</v>
      </c>
      <c r="M13" s="2">
        <f>('Kwh Reading'!M14-'Kwh Reading'!M13)*1000</f>
        <v>629.99999999999545</v>
      </c>
      <c r="N13" s="2">
        <f>('Kwh Reading'!H14-'Kwh Reading'!H13)*1000</f>
        <v>790.00000000002046</v>
      </c>
      <c r="O13" s="2">
        <f>('Kwh Reading'!P14-'Kwh Reading'!P13)*1000</f>
        <v>750</v>
      </c>
      <c r="P13" s="2">
        <f>('Kwh Reading'!G14-'Kwh Reading'!G13)*1000</f>
        <v>810.00000000005912</v>
      </c>
      <c r="Q13" s="2">
        <f>('Kwh Reading'!Q14-'Kwh Reading'!Q13)*1000</f>
        <v>590.00000000003183</v>
      </c>
      <c r="R13" s="2">
        <f>('Kwh Reading'!N14-'Kwh Reading'!N13)*1000</f>
        <v>740.00000000000909</v>
      </c>
      <c r="S13" s="34">
        <f>'Kwh Reading'!E14-'Kwh Reading'!E13</f>
        <v>2830.480000000447</v>
      </c>
      <c r="T13" s="34">
        <f>'Kwh Reading'!D14-'Kwh Reading'!D13</f>
        <v>1955.8099999995902</v>
      </c>
      <c r="U13" s="27">
        <f>('Kwh Reading'!O14-'Kwh Reading'!O13)*1000</f>
        <v>239.99999999999488</v>
      </c>
      <c r="V13" s="16">
        <f t="shared" si="0"/>
        <v>5913.7099999986494</v>
      </c>
    </row>
    <row r="14" spans="1:22" x14ac:dyDescent="0.25">
      <c r="A14" s="3">
        <f>'Kwh Reading'!A14</f>
        <v>44207</v>
      </c>
      <c r="B14" s="26">
        <f>TOTAL!E12</f>
        <v>20740.000000001142</v>
      </c>
      <c r="C14" s="4">
        <f>('Kwh Reading'!T15-'Kwh Reading'!T14)*1000</f>
        <v>740.00000000000909</v>
      </c>
      <c r="D14" s="2">
        <f>('Kwh Reading'!F15-'Kwh Reading'!F14)*1000000</f>
        <v>2499.9999999999468</v>
      </c>
      <c r="E14" s="2">
        <f>('Kwh Reading'!C15-'Kwh Reading'!C14)*1000</f>
        <v>250</v>
      </c>
      <c r="F14" s="2">
        <f>('Kwh Reading'!J15-'Kwh Reading'!J14)*1000</f>
        <v>300.00000000001137</v>
      </c>
      <c r="G14" s="2">
        <f>('Kwh Reading'!K15-'Kwh Reading'!K14)*1000</f>
        <v>319.99999999999318</v>
      </c>
      <c r="H14" s="2">
        <f>('Kwh Reading'!L15-'Kwh Reading'!L14)*1000</f>
        <v>239.99999999998067</v>
      </c>
      <c r="I14" s="2">
        <f>('Kwh Reading'!R15-'Kwh Reading'!R14)*1000</f>
        <v>179.99999999999261</v>
      </c>
      <c r="J14" s="2">
        <f>('Kwh Reading'!S15-'Kwh Reading'!S14)*1000</f>
        <v>135.99999999999568</v>
      </c>
      <c r="K14" s="2">
        <f>('Kwh Reading'!I15-'Kwh Reading'!I14)*1000</f>
        <v>229.99999999998977</v>
      </c>
      <c r="L14" s="2">
        <f>('Kwh Reading'!B15-'Kwh Reading'!B14)*1000</f>
        <v>919.99999999995907</v>
      </c>
      <c r="M14" s="2">
        <f>('Kwh Reading'!M15-'Kwh Reading'!M14)*1000</f>
        <v>639.99999999998636</v>
      </c>
      <c r="N14" s="2">
        <f>('Kwh Reading'!H15-'Kwh Reading'!H14)*1000</f>
        <v>879.99999999999545</v>
      </c>
      <c r="O14" s="2">
        <f>('Kwh Reading'!P15-'Kwh Reading'!P14)*1000</f>
        <v>750</v>
      </c>
      <c r="P14" s="2">
        <f>('Kwh Reading'!G15-'Kwh Reading'!G14)*1000</f>
        <v>899.99999999997726</v>
      </c>
      <c r="Q14" s="2">
        <f>('Kwh Reading'!Q15-'Kwh Reading'!Q14)*1000</f>
        <v>639.99999999998636</v>
      </c>
      <c r="R14" s="2">
        <f>('Kwh Reading'!N15-'Kwh Reading'!N14)*1000</f>
        <v>629.99999999999545</v>
      </c>
      <c r="S14" s="34">
        <f>'Kwh Reading'!E15-'Kwh Reading'!E14</f>
        <v>2991.339999999851</v>
      </c>
      <c r="T14" s="34">
        <f>'Kwh Reading'!D15-'Kwh Reading'!D14</f>
        <v>2016.5099999997765</v>
      </c>
      <c r="U14" s="27">
        <f>('Kwh Reading'!O15-'Kwh Reading'!O14)*1000</f>
        <v>260.00000000000512</v>
      </c>
      <c r="V14" s="16">
        <f t="shared" si="0"/>
        <v>5216.1500000016913</v>
      </c>
    </row>
    <row r="15" spans="1:22" x14ac:dyDescent="0.25">
      <c r="A15" s="3">
        <f>'Kwh Reading'!A15</f>
        <v>44208</v>
      </c>
      <c r="B15" s="26">
        <f>TOTAL!E13</f>
        <v>19419.999999999389</v>
      </c>
      <c r="C15" s="4">
        <f>('Kwh Reading'!T16-'Kwh Reading'!T15)*1000</f>
        <v>379.99999999999545</v>
      </c>
      <c r="D15" s="2">
        <f>('Kwh Reading'!F16-'Kwh Reading'!F15)*1000000</f>
        <v>2499.9999999999468</v>
      </c>
      <c r="E15" s="2">
        <f>('Kwh Reading'!C16-'Kwh Reading'!C15)*1000</f>
        <v>289.99999999999204</v>
      </c>
      <c r="F15" s="2">
        <f>('Kwh Reading'!J16-'Kwh Reading'!J15)*1000</f>
        <v>349.99999999996589</v>
      </c>
      <c r="G15" s="2">
        <f>('Kwh Reading'!K16-'Kwh Reading'!K15)*1000</f>
        <v>419.99999999995907</v>
      </c>
      <c r="H15" s="2">
        <f>('Kwh Reading'!L16-'Kwh Reading'!L15)*1000</f>
        <v>270.00000000001023</v>
      </c>
      <c r="I15" s="2">
        <f>('Kwh Reading'!R16-'Kwh Reading'!R15)*1000</f>
        <v>160.0000000000108</v>
      </c>
      <c r="J15" s="2">
        <f>('Kwh Reading'!S16-'Kwh Reading'!S15)*1000</f>
        <v>146.99999999999136</v>
      </c>
      <c r="K15" s="2">
        <f>('Kwh Reading'!I16-'Kwh Reading'!I15)*1000</f>
        <v>250</v>
      </c>
      <c r="L15" s="2">
        <f>('Kwh Reading'!B16-'Kwh Reading'!B15)*1000</f>
        <v>1080.0000000000409</v>
      </c>
      <c r="M15" s="2">
        <f>('Kwh Reading'!M16-'Kwh Reading'!M15)*1000</f>
        <v>610.00000000001364</v>
      </c>
      <c r="N15" s="2">
        <f>('Kwh Reading'!H16-'Kwh Reading'!H15)*1000</f>
        <v>829.99999999998408</v>
      </c>
      <c r="O15" s="2">
        <f>('Kwh Reading'!P16-'Kwh Reading'!P15)*1000</f>
        <v>759.99999999999091</v>
      </c>
      <c r="P15" s="2">
        <f>('Kwh Reading'!G16-'Kwh Reading'!G15)*1000</f>
        <v>759.99999999999091</v>
      </c>
      <c r="Q15" s="2">
        <f>('Kwh Reading'!Q16-'Kwh Reading'!Q15)*1000</f>
        <v>529.99999999997272</v>
      </c>
      <c r="R15" s="2">
        <f>('Kwh Reading'!N16-'Kwh Reading'!N15)*1000</f>
        <v>639.99999999998636</v>
      </c>
      <c r="S15" s="34">
        <f>'Kwh Reading'!E16-'Kwh Reading'!E15</f>
        <v>3021.2800000002608</v>
      </c>
      <c r="T15" s="34">
        <f>'Kwh Reading'!D16-'Kwh Reading'!D15</f>
        <v>1772</v>
      </c>
      <c r="U15" s="27">
        <f>('Kwh Reading'!O16-'Kwh Reading'!O15)*1000</f>
        <v>239.99999999999488</v>
      </c>
      <c r="V15" s="16">
        <f t="shared" si="0"/>
        <v>4409.7199999992827</v>
      </c>
    </row>
    <row r="16" spans="1:22" x14ac:dyDescent="0.25">
      <c r="A16" s="3">
        <f>'Kwh Reading'!A16</f>
        <v>44209</v>
      </c>
      <c r="B16" s="26">
        <f>TOTAL!E14</f>
        <v>19699.999999999593</v>
      </c>
      <c r="C16" s="4">
        <f>('Kwh Reading'!T17-'Kwh Reading'!T16)*1000</f>
        <v>469.99999999997044</v>
      </c>
      <c r="D16" s="2">
        <f>('Kwh Reading'!F17-'Kwh Reading'!F16)*1000000</f>
        <v>2399.9999999999577</v>
      </c>
      <c r="E16" s="2">
        <f>('Kwh Reading'!C17-'Kwh Reading'!C16)*1000</f>
        <v>239.99999999998067</v>
      </c>
      <c r="F16" s="2">
        <f>('Kwh Reading'!J17-'Kwh Reading'!J16)*1000</f>
        <v>220.00000000002728</v>
      </c>
      <c r="G16" s="2">
        <f>('Kwh Reading'!K17-'Kwh Reading'!K16)*1000</f>
        <v>310.00000000000227</v>
      </c>
      <c r="H16" s="2">
        <f>('Kwh Reading'!L17-'Kwh Reading'!L16)*1000</f>
        <v>210.00000000000796</v>
      </c>
      <c r="I16" s="2">
        <f>('Kwh Reading'!R17-'Kwh Reading'!R16)*1000</f>
        <v>209.99999999999375</v>
      </c>
      <c r="J16" s="2">
        <f>('Kwh Reading'!S17-'Kwh Reading'!S16)*1000</f>
        <v>128.00000000000011</v>
      </c>
      <c r="K16" s="2">
        <f>('Kwh Reading'!I17-'Kwh Reading'!I16)*1000</f>
        <v>230.00000000001819</v>
      </c>
      <c r="L16" s="2">
        <f>('Kwh Reading'!B17-'Kwh Reading'!B16)*1000</f>
        <v>980.00000000001819</v>
      </c>
      <c r="M16" s="2">
        <f>('Kwh Reading'!M17-'Kwh Reading'!M16)*1000</f>
        <v>500</v>
      </c>
      <c r="N16" s="2">
        <f>('Kwh Reading'!H17-'Kwh Reading'!H16)*1000</f>
        <v>770.00000000003865</v>
      </c>
      <c r="O16" s="2">
        <f>('Kwh Reading'!P17-'Kwh Reading'!P16)*1000</f>
        <v>769.99999999998181</v>
      </c>
      <c r="P16" s="2">
        <f>('Kwh Reading'!G17-'Kwh Reading'!G16)*1000</f>
        <v>669.99999999995907</v>
      </c>
      <c r="Q16" s="2">
        <f>('Kwh Reading'!Q17-'Kwh Reading'!Q16)*1000</f>
        <v>580.00000000004093</v>
      </c>
      <c r="R16" s="2">
        <f>('Kwh Reading'!N17-'Kwh Reading'!N16)*1000</f>
        <v>509.99999999999091</v>
      </c>
      <c r="S16" s="34">
        <f>'Kwh Reading'!E17-'Kwh Reading'!E16</f>
        <v>2811.6699999999255</v>
      </c>
      <c r="T16" s="34">
        <f>'Kwh Reading'!D17-'Kwh Reading'!D16</f>
        <v>1400.2400000002235</v>
      </c>
      <c r="U16" s="27">
        <f>('Kwh Reading'!O17-'Kwh Reading'!O16)*1000</f>
        <v>239.99999999999488</v>
      </c>
      <c r="V16" s="16">
        <f t="shared" si="0"/>
        <v>6050.0899999994617</v>
      </c>
    </row>
    <row r="17" spans="1:22" x14ac:dyDescent="0.25">
      <c r="A17" s="3">
        <f>'Kwh Reading'!A17</f>
        <v>44210</v>
      </c>
      <c r="B17" s="26">
        <f>TOTAL!E15</f>
        <v>22230.000000000244</v>
      </c>
      <c r="C17" s="4">
        <f>('Kwh Reading'!T18-'Kwh Reading'!T17)*1000</f>
        <v>520.00000000003865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250</v>
      </c>
      <c r="G17" s="2">
        <f>('Kwh Reading'!K18-'Kwh Reading'!K17)*1000</f>
        <v>400.00000000003411</v>
      </c>
      <c r="H17" s="2">
        <f>('Kwh Reading'!L18-'Kwh Reading'!L17)*1000</f>
        <v>280.00000000000114</v>
      </c>
      <c r="I17" s="2">
        <f>('Kwh Reading'!R18-'Kwh Reading'!R17)*1000</f>
        <v>140.00000000000057</v>
      </c>
      <c r="J17" s="2">
        <f>('Kwh Reading'!S18-'Kwh Reading'!S17)*1000</f>
        <v>100.00000000000853</v>
      </c>
      <c r="K17" s="2">
        <f>('Kwh Reading'!I18-'Kwh Reading'!I17)*1000</f>
        <v>229.99999999998977</v>
      </c>
      <c r="L17" s="2">
        <f>('Kwh Reading'!B18-'Kwh Reading'!B17)*1000</f>
        <v>1229.9999999999045</v>
      </c>
      <c r="M17" s="2">
        <f>('Kwh Reading'!M18-'Kwh Reading'!M17)*1000</f>
        <v>660.00000000002501</v>
      </c>
      <c r="N17" s="2">
        <f>('Kwh Reading'!H18-'Kwh Reading'!H17)*1000</f>
        <v>879.99999999999545</v>
      </c>
      <c r="O17" s="2">
        <f>('Kwh Reading'!P18-'Kwh Reading'!P17)*1000</f>
        <v>840.00000000003183</v>
      </c>
      <c r="P17" s="2">
        <f>('Kwh Reading'!G18-'Kwh Reading'!G17)*1000</f>
        <v>830.00000000004093</v>
      </c>
      <c r="Q17" s="2">
        <f>('Kwh Reading'!Q18-'Kwh Reading'!Q17)*1000</f>
        <v>699.99999999998863</v>
      </c>
      <c r="R17" s="2">
        <f>('Kwh Reading'!N18-'Kwh Reading'!N17)*1000</f>
        <v>670.00000000001592</v>
      </c>
      <c r="S17" s="34">
        <f>'Kwh Reading'!E18-'Kwh Reading'!E17</f>
        <v>2957.7199999997392</v>
      </c>
      <c r="T17" s="34">
        <f>'Kwh Reading'!D18-'Kwh Reading'!D17</f>
        <v>1619.4900000002235</v>
      </c>
      <c r="U17" s="27">
        <f>('Kwh Reading'!O18-'Kwh Reading'!O17)*1000</f>
        <v>250</v>
      </c>
      <c r="V17" s="16">
        <f t="shared" si="0"/>
        <v>6822.7900000000463</v>
      </c>
    </row>
    <row r="18" spans="1:22" x14ac:dyDescent="0.25">
      <c r="A18" s="3">
        <f>'Kwh Reading'!A18</f>
        <v>44211</v>
      </c>
      <c r="B18" s="26">
        <f>TOTAL!E16</f>
        <v>20079.999999999698</v>
      </c>
      <c r="C18" s="4">
        <f>('Kwh Reading'!T19-'Kwh Reading'!T18)*1000</f>
        <v>269.99999999998181</v>
      </c>
      <c r="D18" s="2">
        <f>('Kwh Reading'!F19-'Kwh Reading'!F18)*1000000</f>
        <v>2699.9999999999245</v>
      </c>
      <c r="E18" s="2">
        <f>('Kwh Reading'!C19-'Kwh Reading'!C18)*1000</f>
        <v>290.00000000002046</v>
      </c>
      <c r="F18" s="2">
        <f>('Kwh Reading'!J19-'Kwh Reading'!J18)*1000</f>
        <v>389.99999999998636</v>
      </c>
      <c r="G18" s="2">
        <f>('Kwh Reading'!K19-'Kwh Reading'!K18)*1000</f>
        <v>439.99999999999773</v>
      </c>
      <c r="H18" s="2">
        <f>('Kwh Reading'!L19-'Kwh Reading'!L18)*1000</f>
        <v>289.99999999999204</v>
      </c>
      <c r="I18" s="2">
        <f>('Kwh Reading'!R19-'Kwh Reading'!R18)*1000</f>
        <v>120.00000000000455</v>
      </c>
      <c r="J18" s="2">
        <f>('Kwh Reading'!S19-'Kwh Reading'!S18)*1000</f>
        <v>147.99999999999613</v>
      </c>
      <c r="K18" s="2">
        <f>('Kwh Reading'!I19-'Kwh Reading'!I18)*1000</f>
        <v>259.99999999999091</v>
      </c>
      <c r="L18" s="2">
        <f>('Kwh Reading'!B19-'Kwh Reading'!B18)*1000</f>
        <v>1290.0000000000773</v>
      </c>
      <c r="M18" s="2">
        <f>('Kwh Reading'!M19-'Kwh Reading'!M18)*1000</f>
        <v>679.99999999994998</v>
      </c>
      <c r="N18" s="2">
        <f>('Kwh Reading'!H19-'Kwh Reading'!H18)*1000</f>
        <v>879.99999999999545</v>
      </c>
      <c r="O18" s="2">
        <f>('Kwh Reading'!P19-'Kwh Reading'!P18)*1000</f>
        <v>769.99999999998181</v>
      </c>
      <c r="P18" s="2">
        <f>('Kwh Reading'!G19-'Kwh Reading'!G18)*1000</f>
        <v>860.00000000001364</v>
      </c>
      <c r="Q18" s="2">
        <f>('Kwh Reading'!Q19-'Kwh Reading'!Q18)*1000</f>
        <v>719.99999999997044</v>
      </c>
      <c r="R18" s="2">
        <f>('Kwh Reading'!N19-'Kwh Reading'!N18)*1000</f>
        <v>649.99999999997726</v>
      </c>
      <c r="S18" s="34">
        <f>'Kwh Reading'!E19-'Kwh Reading'!E18</f>
        <v>2410.1699999999255</v>
      </c>
      <c r="T18" s="34">
        <f>'Kwh Reading'!D19-'Kwh Reading'!D18</f>
        <v>1689.179999999702</v>
      </c>
      <c r="U18" s="27">
        <f>('Kwh Reading'!O19-'Kwh Reading'!O18)*1000</f>
        <v>240.00000000000909</v>
      </c>
      <c r="V18" s="16">
        <f t="shared" si="0"/>
        <v>4982.6500000001997</v>
      </c>
    </row>
    <row r="19" spans="1:22" x14ac:dyDescent="0.25">
      <c r="A19" s="3">
        <f>'Kwh Reading'!A19</f>
        <v>44212</v>
      </c>
      <c r="B19" s="26">
        <f>TOTAL!E17</f>
        <v>20619.999999999665</v>
      </c>
      <c r="C19" s="4">
        <f>('Kwh Reading'!T20-'Kwh Reading'!T19)*1000</f>
        <v>519.99999999998181</v>
      </c>
      <c r="D19" s="2">
        <f>('Kwh Reading'!F20-'Kwh Reading'!F19)*1000000</f>
        <v>2399.9999999999577</v>
      </c>
      <c r="E19" s="2">
        <f>('Kwh Reading'!C20-'Kwh Reading'!C19)*1000</f>
        <v>259.99999999999091</v>
      </c>
      <c r="F19" s="2">
        <f>('Kwh Reading'!J20-'Kwh Reading'!J19)*1000</f>
        <v>360.00000000001364</v>
      </c>
      <c r="G19" s="2">
        <f>('Kwh Reading'!K20-'Kwh Reading'!K19)*1000</f>
        <v>319.99999999999318</v>
      </c>
      <c r="H19" s="2">
        <f>('Kwh Reading'!L20-'Kwh Reading'!L19)*1000</f>
        <v>229.99999999998977</v>
      </c>
      <c r="I19" s="2">
        <f>('Kwh Reading'!R20-'Kwh Reading'!R19)*1000</f>
        <v>140.00000000000057</v>
      </c>
      <c r="J19" s="2">
        <f>('Kwh Reading'!S20-'Kwh Reading'!S19)*1000</f>
        <v>129.99999999999545</v>
      </c>
      <c r="K19" s="2">
        <f>('Kwh Reading'!I20-'Kwh Reading'!I19)*1000</f>
        <v>250</v>
      </c>
      <c r="L19" s="2">
        <f>('Kwh Reading'!B20-'Kwh Reading'!B19)*1000</f>
        <v>1259.9999999999909</v>
      </c>
      <c r="M19" s="2">
        <f>('Kwh Reading'!M20-'Kwh Reading'!M19)*1000</f>
        <v>670.00000000001592</v>
      </c>
      <c r="N19" s="2">
        <f>('Kwh Reading'!H20-'Kwh Reading'!H19)*1000</f>
        <v>889.99999999998636</v>
      </c>
      <c r="O19" s="2">
        <f>('Kwh Reading'!P20-'Kwh Reading'!P19)*1000</f>
        <v>730.00000000001819</v>
      </c>
      <c r="P19" s="2">
        <f>('Kwh Reading'!G20-'Kwh Reading'!G19)*1000</f>
        <v>860.00000000001364</v>
      </c>
      <c r="Q19" s="2">
        <f>('Kwh Reading'!Q20-'Kwh Reading'!Q19)*1000</f>
        <v>710.00000000003638</v>
      </c>
      <c r="R19" s="2">
        <f>('Kwh Reading'!N20-'Kwh Reading'!N19)*1000</f>
        <v>680.00000000000682</v>
      </c>
      <c r="S19" s="34">
        <f>'Kwh Reading'!E20-'Kwh Reading'!E19</f>
        <v>2519.7999999998137</v>
      </c>
      <c r="T19" s="34">
        <f>'Kwh Reading'!D20-'Kwh Reading'!D19</f>
        <v>1758.179999999702</v>
      </c>
      <c r="U19" s="27">
        <f>('Kwh Reading'!O20-'Kwh Reading'!O19)*1000</f>
        <v>280.00000000000114</v>
      </c>
      <c r="V19" s="16">
        <f t="shared" si="0"/>
        <v>5652.0200000001551</v>
      </c>
    </row>
    <row r="20" spans="1:22" x14ac:dyDescent="0.25">
      <c r="A20" s="3">
        <f>'Kwh Reading'!A20</f>
        <v>44213</v>
      </c>
      <c r="B20" s="26">
        <f>TOTAL!E18</f>
        <v>21550.000000000407</v>
      </c>
      <c r="C20" s="4">
        <f>('Kwh Reading'!T21-'Kwh Reading'!T20)*1000</f>
        <v>520.00000000003865</v>
      </c>
      <c r="D20" s="2">
        <f>('Kwh Reading'!F21-'Kwh Reading'!F20)*1000000</f>
        <v>2399.9999999999577</v>
      </c>
      <c r="E20" s="2">
        <f>('Kwh Reading'!C21-'Kwh Reading'!C20)*1000</f>
        <v>219.99999999999886</v>
      </c>
      <c r="F20" s="2">
        <f>('Kwh Reading'!J21-'Kwh Reading'!J20)*1000</f>
        <v>269.99999999998181</v>
      </c>
      <c r="G20" s="2">
        <f>('Kwh Reading'!K21-'Kwh Reading'!K20)*1000</f>
        <v>329.99999999998408</v>
      </c>
      <c r="H20" s="2">
        <f>('Kwh Reading'!L21-'Kwh Reading'!L20)*1000</f>
        <v>230.00000000001819</v>
      </c>
      <c r="I20" s="2">
        <f>('Kwh Reading'!R21-'Kwh Reading'!R20)*1000</f>
        <v>140.00000000000057</v>
      </c>
      <c r="J20" s="2">
        <f>('Kwh Reading'!S21-'Kwh Reading'!S20)*1000</f>
        <v>136.00000000000989</v>
      </c>
      <c r="K20" s="2">
        <f>('Kwh Reading'!I21-'Kwh Reading'!I20)*1000</f>
        <v>270.00000000001023</v>
      </c>
      <c r="L20" s="2">
        <f>('Kwh Reading'!B21-'Kwh Reading'!B20)*1000</f>
        <v>1240.0000000000091</v>
      </c>
      <c r="M20" s="2">
        <f>('Kwh Reading'!M21-'Kwh Reading'!M20)*1000</f>
        <v>650.00000000003411</v>
      </c>
      <c r="N20" s="2">
        <f>('Kwh Reading'!H21-'Kwh Reading'!H20)*1000</f>
        <v>870.00000000000455</v>
      </c>
      <c r="O20" s="2">
        <f>('Kwh Reading'!P21-'Kwh Reading'!P20)*1000</f>
        <v>779.99999999997272</v>
      </c>
      <c r="P20" s="2">
        <f>('Kwh Reading'!G21-'Kwh Reading'!G20)*1000</f>
        <v>829.99999999992724</v>
      </c>
      <c r="Q20" s="2">
        <f>('Kwh Reading'!Q21-'Kwh Reading'!Q20)*1000</f>
        <v>750</v>
      </c>
      <c r="R20" s="2">
        <f>('Kwh Reading'!N21-'Kwh Reading'!N20)*1000</f>
        <v>689.99999999999773</v>
      </c>
      <c r="S20" s="34">
        <f>'Kwh Reading'!E21-'Kwh Reading'!E20</f>
        <v>2659.410000000149</v>
      </c>
      <c r="T20" s="34">
        <f>'Kwh Reading'!D21-'Kwh Reading'!D20</f>
        <v>2110.1500000003725</v>
      </c>
      <c r="U20" s="27">
        <f>('Kwh Reading'!O21-'Kwh Reading'!O20)*1000</f>
        <v>239.99999999999488</v>
      </c>
      <c r="V20" s="16">
        <f t="shared" si="0"/>
        <v>6214.4399999999441</v>
      </c>
    </row>
    <row r="21" spans="1:22" ht="16.5" customHeight="1" x14ac:dyDescent="0.25">
      <c r="A21" s="3">
        <f>'Kwh Reading'!A21</f>
        <v>44214</v>
      </c>
      <c r="B21" s="26">
        <f>TOTAL!E19</f>
        <v>21250.000000000229</v>
      </c>
      <c r="C21" s="4">
        <f>('Kwh Reading'!T22-'Kwh Reading'!T21)*1000</f>
        <v>529.99999999997272</v>
      </c>
      <c r="D21" s="2">
        <f>('Kwh Reading'!F22-'Kwh Reading'!F21)*1000000</f>
        <v>2700.0000000001469</v>
      </c>
      <c r="E21" s="2">
        <f>('Kwh Reading'!C22-'Kwh Reading'!C21)*1000</f>
        <v>280.00000000000114</v>
      </c>
      <c r="F21" s="2">
        <f>('Kwh Reading'!J22-'Kwh Reading'!J21)*1000</f>
        <v>470.00000000002728</v>
      </c>
      <c r="G21" s="2">
        <f>('Kwh Reading'!K22-'Kwh Reading'!K21)*1000</f>
        <v>439.99999999999773</v>
      </c>
      <c r="H21" s="2">
        <f>('Kwh Reading'!L22-'Kwh Reading'!L21)*1000</f>
        <v>-1719.9999999999989</v>
      </c>
      <c r="I21" s="2">
        <f>('Kwh Reading'!R22-'Kwh Reading'!R21)*1000</f>
        <v>149.99999999999147</v>
      </c>
      <c r="J21" s="2">
        <f>('Kwh Reading'!S22-'Kwh Reading'!S21)*1000</f>
        <v>117.999999999995</v>
      </c>
      <c r="K21" s="2">
        <f>('Kwh Reading'!I22-'Kwh Reading'!I21)*1000</f>
        <v>289.99999999999204</v>
      </c>
      <c r="L21" s="2">
        <f>('Kwh Reading'!B22-'Kwh Reading'!B21)*1000</f>
        <v>1250</v>
      </c>
      <c r="M21" s="2">
        <f>('Kwh Reading'!M22-'Kwh Reading'!M21)*1000</f>
        <v>699.99999999998863</v>
      </c>
      <c r="N21" s="2">
        <f>('Kwh Reading'!H22-'Kwh Reading'!H21)*1000</f>
        <v>920.00000000001592</v>
      </c>
      <c r="O21" s="2">
        <f>('Kwh Reading'!P22-'Kwh Reading'!P21)*1000</f>
        <v>759.99999999999091</v>
      </c>
      <c r="P21" s="2">
        <f>('Kwh Reading'!G22-'Kwh Reading'!G21)*1000</f>
        <v>870.00000000000455</v>
      </c>
      <c r="Q21" s="2">
        <f>('Kwh Reading'!Q22-'Kwh Reading'!Q21)*1000</f>
        <v>680.00000000000682</v>
      </c>
      <c r="R21" s="2">
        <f>('Kwh Reading'!N22-'Kwh Reading'!N21)*1000</f>
        <v>780.00000000002956</v>
      </c>
      <c r="S21" s="34">
        <f>'Kwh Reading'!E22-'Kwh Reading'!E21</f>
        <v>3068.9400000004098</v>
      </c>
      <c r="T21" s="34">
        <f>'Kwh Reading'!D22-'Kwh Reading'!D21</f>
        <v>2256.6299999998882</v>
      </c>
      <c r="U21" s="27">
        <f>('Kwh Reading'!O22-'Kwh Reading'!O21)*1000</f>
        <v>230.00000000000398</v>
      </c>
      <c r="V21" s="16">
        <f t="shared" si="0"/>
        <v>6476.4299999997675</v>
      </c>
    </row>
    <row r="22" spans="1:22" x14ac:dyDescent="0.25">
      <c r="A22" s="3">
        <f>'Kwh Reading'!A22</f>
        <v>44215</v>
      </c>
      <c r="B22" s="26">
        <f>TOTAL!E20</f>
        <v>21239.999999999782</v>
      </c>
      <c r="C22" s="4">
        <f>('Kwh Reading'!T23-'Kwh Reading'!T22)*1000</f>
        <v>160.00000000002501</v>
      </c>
      <c r="D22" s="2">
        <f>('Kwh Reading'!F23-'Kwh Reading'!F22)*1000000</f>
        <v>2399.9999999999577</v>
      </c>
      <c r="E22" s="2">
        <f>('Kwh Reading'!C23-'Kwh Reading'!C22)*1000</f>
        <v>250</v>
      </c>
      <c r="F22" s="2">
        <f>('Kwh Reading'!J23-'Kwh Reading'!J22)*1000</f>
        <v>139.99999999998636</v>
      </c>
      <c r="G22" s="2">
        <f>('Kwh Reading'!K23-'Kwh Reading'!K22)*1000</f>
        <v>360.00000000001364</v>
      </c>
      <c r="H22" s="2">
        <f>('Kwh Reading'!L23-'Kwh Reading'!L22)*1000</f>
        <v>2209.9999999999795</v>
      </c>
      <c r="I22" s="2">
        <f>('Kwh Reading'!R23-'Kwh Reading'!R22)*1000</f>
        <v>109.99999999999943</v>
      </c>
      <c r="J22" s="2">
        <f>('Kwh Reading'!S23-'Kwh Reading'!S22)*1000</f>
        <v>141.99999999999591</v>
      </c>
      <c r="K22" s="2">
        <f>('Kwh Reading'!I23-'Kwh Reading'!I22)*1000</f>
        <v>250</v>
      </c>
      <c r="L22" s="2">
        <f>('Kwh Reading'!B23-'Kwh Reading'!B22)*1000</f>
        <v>1169.9999999999591</v>
      </c>
      <c r="M22" s="2">
        <f>('Kwh Reading'!M23-'Kwh Reading'!M22)*1000</f>
        <v>639.99999999998636</v>
      </c>
      <c r="N22" s="2">
        <f>('Kwh Reading'!H23-'Kwh Reading'!H22)*1000</f>
        <v>849.99999999996589</v>
      </c>
      <c r="O22" s="2">
        <f>('Kwh Reading'!P23-'Kwh Reading'!P22)*1000</f>
        <v>700.00000000004547</v>
      </c>
      <c r="P22" s="2">
        <f>('Kwh Reading'!G23-'Kwh Reading'!G22)*1000</f>
        <v>830.00000000004093</v>
      </c>
      <c r="Q22" s="2">
        <f>('Kwh Reading'!Q23-'Kwh Reading'!Q22)*1000</f>
        <v>589.99999999997499</v>
      </c>
      <c r="R22" s="2">
        <f>('Kwh Reading'!N23-'Kwh Reading'!N22)*1000</f>
        <v>809.99999999994543</v>
      </c>
      <c r="S22" s="34">
        <f>'Kwh Reading'!E23-'Kwh Reading'!E22</f>
        <v>2891.339999999851</v>
      </c>
      <c r="T22" s="34">
        <f>'Kwh Reading'!D23-'Kwh Reading'!D22</f>
        <v>2166.410000000149</v>
      </c>
      <c r="U22" s="27">
        <f>('Kwh Reading'!O23-'Kwh Reading'!O22)*1000</f>
        <v>219.99999999999886</v>
      </c>
      <c r="V22" s="16">
        <f t="shared" si="0"/>
        <v>4350.2499999999091</v>
      </c>
    </row>
    <row r="23" spans="1:22" x14ac:dyDescent="0.25">
      <c r="A23" s="3">
        <f>'Kwh Reading'!A23</f>
        <v>44216</v>
      </c>
      <c r="B23" s="26">
        <f>TOTAL!E21</f>
        <v>21230.000000000247</v>
      </c>
      <c r="C23" s="4">
        <f>('Kwh Reading'!T24-'Kwh Reading'!T23)*1000</f>
        <v>849.99999999996589</v>
      </c>
      <c r="D23" s="2">
        <f>('Kwh Reading'!F24-'Kwh Reading'!F23)*1000000</f>
        <v>2499.9999999999468</v>
      </c>
      <c r="E23" s="2">
        <f>('Kwh Reading'!C24-'Kwh Reading'!C23)*1000</f>
        <v>229.99999999998977</v>
      </c>
      <c r="F23" s="2">
        <f>('Kwh Reading'!J24-'Kwh Reading'!J23)*1000</f>
        <v>209.99999999997954</v>
      </c>
      <c r="G23" s="2">
        <f>('Kwh Reading'!K24-'Kwh Reading'!K23)*1000</f>
        <v>279.99999999997272</v>
      </c>
      <c r="H23" s="2">
        <f>('Kwh Reading'!L24-'Kwh Reading'!L23)*1000</f>
        <v>189.99999999999773</v>
      </c>
      <c r="I23" s="2">
        <f>('Kwh Reading'!R24-'Kwh Reading'!R23)*1000</f>
        <v>109.99999999999943</v>
      </c>
      <c r="J23" s="2">
        <f>('Kwh Reading'!S24-'Kwh Reading'!S23)*1000</f>
        <v>139.00000000001</v>
      </c>
      <c r="K23" s="2">
        <f>('Kwh Reading'!I24-'Kwh Reading'!I23)*1000</f>
        <v>260.00000000001933</v>
      </c>
      <c r="L23" s="2">
        <f>('Kwh Reading'!B24-'Kwh Reading'!B23)*1000</f>
        <v>1090.0000000000318</v>
      </c>
      <c r="M23" s="2">
        <f>('Kwh Reading'!M24-'Kwh Reading'!M23)*1000</f>
        <v>689.99999999999773</v>
      </c>
      <c r="N23" s="2">
        <f>('Kwh Reading'!H24-'Kwh Reading'!H23)*1000</f>
        <v>870.00000000000455</v>
      </c>
      <c r="O23" s="2">
        <f>('Kwh Reading'!P24-'Kwh Reading'!P23)*1000</f>
        <v>680.00000000000682</v>
      </c>
      <c r="P23" s="2">
        <f>('Kwh Reading'!G24-'Kwh Reading'!G23)*1000</f>
        <v>740.00000000000909</v>
      </c>
      <c r="Q23" s="2">
        <f>('Kwh Reading'!Q24-'Kwh Reading'!Q23)*1000</f>
        <v>540.00000000002046</v>
      </c>
      <c r="R23" s="2">
        <f>('Kwh Reading'!N24-'Kwh Reading'!N23)*1000</f>
        <v>730.00000000001819</v>
      </c>
      <c r="S23" s="34">
        <f>'Kwh Reading'!E24-'Kwh Reading'!E23</f>
        <v>2573.820000000298</v>
      </c>
      <c r="T23" s="34">
        <f>'Kwh Reading'!D24-'Kwh Reading'!D23</f>
        <v>1908.8700000001118</v>
      </c>
      <c r="U23" s="27">
        <f>('Kwh Reading'!O24-'Kwh Reading'!O23)*1000</f>
        <v>209.99999999999375</v>
      </c>
      <c r="V23" s="16">
        <f t="shared" si="0"/>
        <v>6428.309999999874</v>
      </c>
    </row>
    <row r="24" spans="1:22" x14ac:dyDescent="0.25">
      <c r="A24" s="3">
        <f>'Kwh Reading'!A24</f>
        <v>44217</v>
      </c>
      <c r="B24" s="26">
        <f>TOTAL!E22</f>
        <v>0</v>
      </c>
      <c r="C24" s="4">
        <f>('Kwh Reading'!T25-'Kwh Reading'!T24)*1000</f>
        <v>-345210</v>
      </c>
      <c r="D24" s="2">
        <f>('Kwh Reading'!F25-'Kwh Reading'!F24)*1000000</f>
        <v>-1985900</v>
      </c>
      <c r="E24" s="2">
        <f>('Kwh Reading'!C25-'Kwh Reading'!C24)*1000</f>
        <v>-192670</v>
      </c>
      <c r="F24" s="2">
        <f>('Kwh Reading'!J25-'Kwh Reading'!J24)*1000</f>
        <v>-278700</v>
      </c>
      <c r="G24" s="2">
        <f>('Kwh Reading'!K25-'Kwh Reading'!K24)*1000</f>
        <v>-291530</v>
      </c>
      <c r="H24" s="2">
        <f>('Kwh Reading'!L25-'Kwh Reading'!L24)*1000</f>
        <v>-200200</v>
      </c>
      <c r="I24" s="2">
        <f>('Kwh Reading'!R25-'Kwh Reading'!R24)*1000</f>
        <v>-117600</v>
      </c>
      <c r="J24" s="2">
        <f>('Kwh Reading'!S25-'Kwh Reading'!S24)*1000</f>
        <v>-93992</v>
      </c>
      <c r="K24" s="2">
        <f>('Kwh Reading'!I25-'Kwh Reading'!I24)*1000</f>
        <v>-186330</v>
      </c>
      <c r="L24" s="2">
        <f>('Kwh Reading'!B25-'Kwh Reading'!B24)*1000</f>
        <v>-777360</v>
      </c>
      <c r="M24" s="2">
        <f>('Kwh Reading'!M25-'Kwh Reading'!M24)*1000</f>
        <v>-399940</v>
      </c>
      <c r="N24" s="2">
        <f>('Kwh Reading'!H25-'Kwh Reading'!H24)*1000</f>
        <v>-497700</v>
      </c>
      <c r="O24" s="2">
        <f>('Kwh Reading'!P25-'Kwh Reading'!P24)*1000</f>
        <v>-462660</v>
      </c>
      <c r="P24" s="2">
        <f>('Kwh Reading'!G25-'Kwh Reading'!G24)*1000</f>
        <v>-599500</v>
      </c>
      <c r="Q24" s="2">
        <f>('Kwh Reading'!Q25-'Kwh Reading'!Q24)*1000</f>
        <v>-343290</v>
      </c>
      <c r="R24" s="2">
        <f>('Kwh Reading'!N25-'Kwh Reading'!N24)*1000</f>
        <v>-345010</v>
      </c>
      <c r="S24" s="2">
        <f>'Kwh Reading'!E25-'Kwh Reading'!E24</f>
        <v>-7699549.6100000003</v>
      </c>
      <c r="T24" s="2">
        <f>'Kwh Reading'!D25-'Kwh Reading'!D24</f>
        <v>-7104728.8300000001</v>
      </c>
      <c r="U24" s="27">
        <f>('Kwh Reading'!O25-'Kwh Reading'!O24)*1000</f>
        <v>-112490</v>
      </c>
      <c r="V24" s="16">
        <f t="shared" si="0"/>
        <v>22034360.439999998</v>
      </c>
    </row>
    <row r="25" spans="1:22" x14ac:dyDescent="0.25">
      <c r="A25" s="3">
        <f>'Kwh Reading'!A25</f>
        <v>44218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0"/>
        <v>0</v>
      </c>
    </row>
    <row r="26" spans="1:22" x14ac:dyDescent="0.25">
      <c r="A26" s="3">
        <f>'Kwh Reading'!A26</f>
        <v>44219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44220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44221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44222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44223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44224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44225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44226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44227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414939.99999999959</v>
      </c>
      <c r="C35" s="75">
        <f t="shared" ref="C35" si="1">SUM(C4:C34)</f>
        <v>-334740.00000000006</v>
      </c>
      <c r="D35" s="75">
        <f t="shared" ref="D35" si="2">SUM(D4:D34)</f>
        <v>-1935500</v>
      </c>
      <c r="E35" s="75">
        <f t="shared" ref="E35" si="3">SUM(E4:E34)</f>
        <v>-187450</v>
      </c>
      <c r="F35" s="75">
        <f t="shared" ref="F35" si="4">SUM(F4:F34)</f>
        <v>-272090</v>
      </c>
      <c r="G35" s="75">
        <f t="shared" ref="G35:U35" si="5">SUM(G4:G34)</f>
        <v>-283610.00000000006</v>
      </c>
      <c r="H35" s="75">
        <f t="shared" si="5"/>
        <v>-194770.00000000003</v>
      </c>
      <c r="I35" s="75">
        <f t="shared" si="5"/>
        <v>-114300</v>
      </c>
      <c r="J35" s="75">
        <f t="shared" si="5"/>
        <v>-91218</v>
      </c>
      <c r="K35" s="75">
        <f t="shared" si="5"/>
        <v>-181590</v>
      </c>
      <c r="L35" s="75">
        <f t="shared" si="5"/>
        <v>-754530</v>
      </c>
      <c r="M35" s="75">
        <f t="shared" si="5"/>
        <v>-387460</v>
      </c>
      <c r="N35" s="75">
        <f t="shared" si="5"/>
        <v>-482030</v>
      </c>
      <c r="O35" s="75">
        <f t="shared" si="5"/>
        <v>-447389.99999999994</v>
      </c>
      <c r="P35" s="75">
        <f t="shared" si="5"/>
        <v>-583600</v>
      </c>
      <c r="Q35" s="75">
        <f t="shared" si="5"/>
        <v>-331310</v>
      </c>
      <c r="R35" s="75">
        <f t="shared" si="5"/>
        <v>-331810</v>
      </c>
      <c r="S35" s="75">
        <f t="shared" si="5"/>
        <v>-7644266.0700000003</v>
      </c>
      <c r="T35" s="75">
        <f t="shared" si="5"/>
        <v>-7066749.8099999996</v>
      </c>
      <c r="U35" s="75">
        <f t="shared" si="5"/>
        <v>-107360</v>
      </c>
      <c r="V35" s="75">
        <f>SUM(V4:V34)</f>
        <v>22146713.879999995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E12" activePane="bottomRight" state="frozen"/>
      <selection pane="topRight" activeCell="C1" sqref="C1"/>
      <selection pane="bottomLeft" activeCell="A3" sqref="A3"/>
      <selection pane="bottomRight" activeCell="B18" sqref="B18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44197</v>
      </c>
      <c r="B3" s="83">
        <f>TOTAL!E2</f>
        <v>19019.999999999302</v>
      </c>
      <c r="C3" s="1">
        <f>'Kwh Consumption'!C4</f>
        <v>529.99999999997272</v>
      </c>
      <c r="D3" s="1">
        <f>'Kwh Consumption'!D4</f>
        <v>2599.9999999999359</v>
      </c>
      <c r="E3" s="1">
        <f>'Kwh Consumption'!E4</f>
        <v>280.00000000000114</v>
      </c>
      <c r="F3" s="1">
        <f>('Kwh Consumption'!F4+'Kwh Consumption'!G4+'Kwh Consumption'!H4)</f>
        <v>1120.0000000000045</v>
      </c>
      <c r="G3" s="16">
        <f>('Kwh Consumption'!I4+'Kwh Consumption'!J4)</f>
        <v>333.99999999998897</v>
      </c>
      <c r="H3" s="1">
        <f>('Kwh Consumption'!K4+'Kwh Consumption'!L4)</f>
        <v>1110.0000000000705</v>
      </c>
      <c r="I3" s="1">
        <f>('Kwh Consumption'!M4+'Kwh Consumption'!N4+'Kwh Consumption'!O4+'Kwh Consumption'!P4+'Kwh Consumption'!Q4+'Kwh Consumption'!R4)</f>
        <v>3590.0000000000318</v>
      </c>
      <c r="J3" s="1">
        <f>('Kwh Consumption'!S4+'Kwh Consumption'!T4)</f>
        <v>4361.4900000002235</v>
      </c>
      <c r="K3" s="1">
        <f>'Kwh Consumption'!U4</f>
        <v>230.00000000000398</v>
      </c>
      <c r="L3" s="32">
        <f t="shared" ref="L3:L33" si="0">B3-C3-D3-E3-F3-G3-H3-I3-J3-K3</f>
        <v>4864.5099999990707</v>
      </c>
    </row>
    <row r="4" spans="1:12" x14ac:dyDescent="0.25">
      <c r="A4" s="14">
        <f>'Kwh Reading'!A5</f>
        <v>44198</v>
      </c>
      <c r="B4" s="83">
        <f>TOTAL!E3</f>
        <v>22269.999999999527</v>
      </c>
      <c r="C4" s="1">
        <f>'Kwh Consumption'!C5</f>
        <v>590.00000000003183</v>
      </c>
      <c r="D4" s="1">
        <f>'Kwh Consumption'!D5</f>
        <v>2600.0000000001578</v>
      </c>
      <c r="E4" s="1">
        <f>'Kwh Consumption'!E5</f>
        <v>270.00000000001023</v>
      </c>
      <c r="F4" s="1">
        <f>('Kwh Consumption'!F5+'Kwh Consumption'!G5+'Kwh Consumption'!H5)</f>
        <v>890.00000000001478</v>
      </c>
      <c r="G4" s="16">
        <f>('Kwh Consumption'!I5+'Kwh Consumption'!J5)</f>
        <v>243.00000000000921</v>
      </c>
      <c r="H4" s="1">
        <f>('Kwh Consumption'!K5+'Kwh Consumption'!L5)</f>
        <v>1329.9999999998988</v>
      </c>
      <c r="I4" s="1">
        <f>('Kwh Consumption'!M5+'Kwh Consumption'!N5+'Kwh Consumption'!O5+'Kwh Consumption'!P5+'Kwh Consumption'!Q5+'Kwh Consumption'!R5)</f>
        <v>4389.9999999999864</v>
      </c>
      <c r="J4" s="1">
        <f>('Kwh Consumption'!S5+'Kwh Consumption'!T5)</f>
        <v>4990.0300000002608</v>
      </c>
      <c r="K4" s="1">
        <f>'Kwh Consumption'!U5</f>
        <v>310.00000000000227</v>
      </c>
      <c r="L4" s="32">
        <f t="shared" si="0"/>
        <v>6656.9699999991553</v>
      </c>
    </row>
    <row r="5" spans="1:12" x14ac:dyDescent="0.25">
      <c r="A5" s="14">
        <f>'Kwh Reading'!A6</f>
        <v>44199</v>
      </c>
      <c r="B5" s="83">
        <f>TOTAL!E4</f>
        <v>23276.000000001208</v>
      </c>
      <c r="C5" s="1">
        <f>'Kwh Consumption'!C6</f>
        <v>550.00000000001137</v>
      </c>
      <c r="D5" s="1">
        <f>'Kwh Consumption'!D6</f>
        <v>2599.9999999999359</v>
      </c>
      <c r="E5" s="1">
        <f>'Kwh Consumption'!E6</f>
        <v>250</v>
      </c>
      <c r="F5" s="1">
        <f>('Kwh Consumption'!F6+'Kwh Consumption'!G6+'Kwh Consumption'!H6)</f>
        <v>1340.0000000000034</v>
      </c>
      <c r="G5" s="16">
        <f>('Kwh Consumption'!I6+'Kwh Consumption'!J6)</f>
        <v>326.99999999999818</v>
      </c>
      <c r="H5" s="1">
        <f>('Kwh Consumption'!K6+'Kwh Consumption'!L6)</f>
        <v>1440.000000000083</v>
      </c>
      <c r="I5" s="1">
        <f>('Kwh Consumption'!M6+'Kwh Consumption'!N6+'Kwh Consumption'!O6+'Kwh Consumption'!P6+'Kwh Consumption'!Q6+'Kwh Consumption'!R6)</f>
        <v>4579.9999999999272</v>
      </c>
      <c r="J5" s="1">
        <f>('Kwh Consumption'!S6+'Kwh Consumption'!T6)</f>
        <v>5287.4999999990687</v>
      </c>
      <c r="K5" s="1">
        <f>'Kwh Consumption'!U6</f>
        <v>269.99999999999602</v>
      </c>
      <c r="L5" s="32">
        <f t="shared" si="0"/>
        <v>6631.5000000021828</v>
      </c>
    </row>
    <row r="6" spans="1:12" x14ac:dyDescent="0.25">
      <c r="A6" s="14">
        <f>'Kwh Reading'!A7</f>
        <v>44200</v>
      </c>
      <c r="B6" s="83">
        <f>TOTAL!E5</f>
        <v>20043.99999999896</v>
      </c>
      <c r="C6" s="1">
        <f>'Kwh Consumption'!C7</f>
        <v>310.00000000000227</v>
      </c>
      <c r="D6" s="1">
        <f>'Kwh Consumption'!D7</f>
        <v>2499.9999999999468</v>
      </c>
      <c r="E6" s="1">
        <f>'Kwh Consumption'!E7</f>
        <v>270.00000000001023</v>
      </c>
      <c r="F6" s="1">
        <f>('Kwh Consumption'!F7+'Kwh Consumption'!G7+'Kwh Consumption'!H7)</f>
        <v>929.9999999999784</v>
      </c>
      <c r="G6" s="16">
        <f>('Kwh Consumption'!I7+'Kwh Consumption'!J7)</f>
        <v>322.00000000000273</v>
      </c>
      <c r="H6" s="1">
        <f>('Kwh Consumption'!K7+'Kwh Consumption'!L7)</f>
        <v>1269.9999999999534</v>
      </c>
      <c r="I6" s="1">
        <f>('Kwh Consumption'!M7+'Kwh Consumption'!N7+'Kwh Consumption'!O7+'Kwh Consumption'!P7+'Kwh Consumption'!Q7+'Kwh Consumption'!R7)</f>
        <v>3850.0000000001364</v>
      </c>
      <c r="J6" s="1">
        <f>('Kwh Consumption'!S7+'Kwh Consumption'!T7)</f>
        <v>4502.5100000007078</v>
      </c>
      <c r="K6" s="1">
        <f>'Kwh Consumption'!U7</f>
        <v>269.99999999999602</v>
      </c>
      <c r="L6" s="32">
        <f t="shared" si="0"/>
        <v>5819.4899999982244</v>
      </c>
    </row>
    <row r="7" spans="1:12" x14ac:dyDescent="0.25">
      <c r="A7" s="14">
        <f>'Kwh Reading'!A8</f>
        <v>44201</v>
      </c>
      <c r="B7" s="83">
        <f>TOTAL!E6</f>
        <v>19110.000000000582</v>
      </c>
      <c r="C7" s="1">
        <f>'Kwh Consumption'!C8</f>
        <v>859.9999999999568</v>
      </c>
      <c r="D7" s="1">
        <f>'Kwh Consumption'!D8</f>
        <v>2499.9999999999468</v>
      </c>
      <c r="E7" s="1">
        <f>'Kwh Consumption'!E8</f>
        <v>289.99999999999204</v>
      </c>
      <c r="F7" s="1">
        <f>('Kwh Consumption'!F8+'Kwh Consumption'!G8+'Kwh Consumption'!H8)</f>
        <v>1200.0000000000171</v>
      </c>
      <c r="G7" s="16">
        <f>('Kwh Consumption'!I8+'Kwh Consumption'!J8)</f>
        <v>301.00000000000193</v>
      </c>
      <c r="H7" s="1">
        <f>('Kwh Consumption'!K8+'Kwh Consumption'!L8)</f>
        <v>1199.9999999999886</v>
      </c>
      <c r="I7" s="1">
        <f>('Kwh Consumption'!M8+'Kwh Consumption'!N8+'Kwh Consumption'!O8+'Kwh Consumption'!P8+'Kwh Consumption'!Q8+'Kwh Consumption'!R8)</f>
        <v>3519.9999999999818</v>
      </c>
      <c r="J7" s="1">
        <f>('Kwh Consumption'!S8+'Kwh Consumption'!T8)</f>
        <v>3981.429999999702</v>
      </c>
      <c r="K7" s="1">
        <f>'Kwh Consumption'!U8</f>
        <v>280.00000000000114</v>
      </c>
      <c r="L7" s="32">
        <f t="shared" si="0"/>
        <v>4977.5700000009938</v>
      </c>
    </row>
    <row r="8" spans="1:12" x14ac:dyDescent="0.25">
      <c r="A8" s="14">
        <f>'Kwh Reading'!A9</f>
        <v>44202</v>
      </c>
      <c r="B8" s="83">
        <f>TOTAL!E7</f>
        <v>18760.000000000218</v>
      </c>
      <c r="C8" s="1">
        <f>'Kwh Consumption'!C9</f>
        <v>600.00000000002274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989.99999999998067</v>
      </c>
      <c r="G8" s="16">
        <f>('Kwh Consumption'!I9+'Kwh Consumption'!J9)</f>
        <v>352.99999999999443</v>
      </c>
      <c r="H8" s="1">
        <f>('Kwh Consumption'!K9+'Kwh Consumption'!L9)</f>
        <v>1270.0000000000671</v>
      </c>
      <c r="I8" s="1">
        <f>('Kwh Consumption'!M9+'Kwh Consumption'!N9+'Kwh Consumption'!O9+'Kwh Consumption'!P9+'Kwh Consumption'!Q9+'Kwh Consumption'!R9)</f>
        <v>3529.9999999999727</v>
      </c>
      <c r="J8" s="1">
        <f>('Kwh Consumption'!S9+'Kwh Consumption'!T9)</f>
        <v>4288.5200000004843</v>
      </c>
      <c r="K8" s="1">
        <f>'Kwh Consumption'!U9</f>
        <v>290.00000000000625</v>
      </c>
      <c r="L8" s="32">
        <f t="shared" si="0"/>
        <v>4788.4799999995112</v>
      </c>
    </row>
    <row r="9" spans="1:12" x14ac:dyDescent="0.25">
      <c r="A9" s="14">
        <f>'Kwh Reading'!A10</f>
        <v>44203</v>
      </c>
      <c r="B9" s="83">
        <f>TOTAL!E8</f>
        <v>22079.999999999472</v>
      </c>
      <c r="C9" s="1">
        <f>'Kwh Consumption'!C10</f>
        <v>250</v>
      </c>
      <c r="D9" s="1">
        <f>'Kwh Consumption'!D10</f>
        <v>2699.9999999999245</v>
      </c>
      <c r="E9" s="1">
        <f>'Kwh Consumption'!E10</f>
        <v>280.00000000000114</v>
      </c>
      <c r="F9" s="1">
        <f>('Kwh Consumption'!F10+'Kwh Consumption'!G10+'Kwh Consumption'!H10)</f>
        <v>1409.9999999999966</v>
      </c>
      <c r="G9" s="16">
        <f>('Kwh Consumption'!I10+'Kwh Consumption'!J10)</f>
        <v>393.99999999999125</v>
      </c>
      <c r="H9" s="1">
        <f>('Kwh Consumption'!K10+'Kwh Consumption'!L10)</f>
        <v>1620.0000000000045</v>
      </c>
      <c r="I9" s="1">
        <f>('Kwh Consumption'!M10+'Kwh Consumption'!N10+'Kwh Consumption'!O10+'Kwh Consumption'!P10+'Kwh Consumption'!Q10+'Kwh Consumption'!R10)</f>
        <v>4659.9999999999682</v>
      </c>
      <c r="J9" s="1">
        <f>('Kwh Consumption'!S10+'Kwh Consumption'!T10)</f>
        <v>5119.679999999702</v>
      </c>
      <c r="K9" s="1">
        <f>'Kwh Consumption'!U10</f>
        <v>269.99999999999602</v>
      </c>
      <c r="L9" s="32">
        <f t="shared" si="0"/>
        <v>5376.3199999998906</v>
      </c>
    </row>
    <row r="10" spans="1:12" x14ac:dyDescent="0.25">
      <c r="A10" s="14">
        <f>'Kwh Reading'!A11</f>
        <v>44204</v>
      </c>
      <c r="B10" s="83">
        <f>TOTAL!E9</f>
        <v>19940.000000000055</v>
      </c>
      <c r="C10" s="1">
        <f>'Kwh Consumption'!C11</f>
        <v>849.99999999996589</v>
      </c>
      <c r="D10" s="1">
        <f>'Kwh Consumption'!D11</f>
        <v>2499.9999999999468</v>
      </c>
      <c r="E10" s="1">
        <f>'Kwh Consumption'!E11</f>
        <v>259.99999999999091</v>
      </c>
      <c r="F10" s="1">
        <f>('Kwh Consumption'!F11+'Kwh Consumption'!G11+'Kwh Consumption'!H11)</f>
        <v>1320.00000000005</v>
      </c>
      <c r="G10" s="16">
        <f>('Kwh Consumption'!I11+'Kwh Consumption'!J11)</f>
        <v>277.00000000001523</v>
      </c>
      <c r="H10" s="1">
        <f>('Kwh Consumption'!K11+'Kwh Consumption'!L11)</f>
        <v>1289.9999999999352</v>
      </c>
      <c r="I10" s="1">
        <f>('Kwh Consumption'!M11+'Kwh Consumption'!N11+'Kwh Consumption'!O11+'Kwh Consumption'!P11+'Kwh Consumption'!Q11+'Kwh Consumption'!R11)</f>
        <v>4069.9999999999363</v>
      </c>
      <c r="J10" s="1">
        <f>('Kwh Consumption'!S11+'Kwh Consumption'!T11)</f>
        <v>4863.6800000006333</v>
      </c>
      <c r="K10" s="1">
        <f>'Kwh Consumption'!U11</f>
        <v>260.00000000000512</v>
      </c>
      <c r="L10" s="32">
        <f t="shared" si="0"/>
        <v>4249.3199999995777</v>
      </c>
    </row>
    <row r="11" spans="1:12" x14ac:dyDescent="0.25">
      <c r="A11" s="14">
        <f>'Kwh Reading'!A12</f>
        <v>44205</v>
      </c>
      <c r="B11" s="83">
        <f>TOTAL!E10</f>
        <v>20900.000000000771</v>
      </c>
      <c r="C11" s="1">
        <f>'Kwh Consumption'!C12</f>
        <v>540.00000000002046</v>
      </c>
      <c r="D11" s="1">
        <f>'Kwh Consumption'!D12</f>
        <v>2399.9999999999577</v>
      </c>
      <c r="E11" s="1">
        <f>'Kwh Consumption'!E12</f>
        <v>250</v>
      </c>
      <c r="F11" s="1">
        <f>('Kwh Consumption'!F12+'Kwh Consumption'!G12+'Kwh Consumption'!H12)</f>
        <v>769.99999999989654</v>
      </c>
      <c r="G11" s="16">
        <f>('Kwh Consumption'!I12+'Kwh Consumption'!J12)</f>
        <v>388.99999999999579</v>
      </c>
      <c r="H11" s="1">
        <f>('Kwh Consumption'!K12+'Kwh Consumption'!L12)</f>
        <v>1300.0000000000398</v>
      </c>
      <c r="I11" s="1">
        <f>('Kwh Consumption'!M12+'Kwh Consumption'!N12+'Kwh Consumption'!O12+'Kwh Consumption'!P12+'Kwh Consumption'!Q12+'Kwh Consumption'!R12)</f>
        <v>4000.0000000000568</v>
      </c>
      <c r="J11" s="1">
        <f>('Kwh Consumption'!S12+'Kwh Consumption'!T12)</f>
        <v>4478.2799999993294</v>
      </c>
      <c r="K11" s="1">
        <f>'Kwh Consumption'!U12</f>
        <v>299.99999999999716</v>
      </c>
      <c r="L11" s="32">
        <f t="shared" si="0"/>
        <v>6472.7200000014755</v>
      </c>
    </row>
    <row r="12" spans="1:12" x14ac:dyDescent="0.25">
      <c r="A12" s="14">
        <f>'Kwh Reading'!A13</f>
        <v>44206</v>
      </c>
      <c r="B12" s="83">
        <f>TOTAL!E11</f>
        <v>21479.999999999112</v>
      </c>
      <c r="C12" s="1">
        <f>'Kwh Consumption'!C13</f>
        <v>430.00000000000682</v>
      </c>
      <c r="D12" s="1">
        <f>'Kwh Consumption'!D13</f>
        <v>2500.0000000001687</v>
      </c>
      <c r="E12" s="1">
        <f>'Kwh Consumption'!E13</f>
        <v>260.00000000001933</v>
      </c>
      <c r="F12" s="1">
        <f>('Kwh Consumption'!F13+'Kwh Consumption'!G13+'Kwh Consumption'!H13)</f>
        <v>980.00000000010346</v>
      </c>
      <c r="G12" s="16">
        <f>('Kwh Consumption'!I13+'Kwh Consumption'!J13)</f>
        <v>350.00000000000853</v>
      </c>
      <c r="H12" s="1">
        <f>('Kwh Consumption'!K13+'Kwh Consumption'!L13)</f>
        <v>1710.000000000008</v>
      </c>
      <c r="I12" s="1">
        <f>('Kwh Consumption'!M13+'Kwh Consumption'!N13+'Kwh Consumption'!O13+'Kwh Consumption'!P13+'Kwh Consumption'!Q13+'Kwh Consumption'!R13)</f>
        <v>4310.0000000001164</v>
      </c>
      <c r="J12" s="1">
        <f>('Kwh Consumption'!S13+'Kwh Consumption'!T13)</f>
        <v>4786.2900000000373</v>
      </c>
      <c r="K12" s="1">
        <f>'Kwh Consumption'!U13</f>
        <v>239.99999999999488</v>
      </c>
      <c r="L12" s="32">
        <f t="shared" si="0"/>
        <v>5913.7099999986549</v>
      </c>
    </row>
    <row r="13" spans="1:12" x14ac:dyDescent="0.25">
      <c r="A13" s="14">
        <f>'Kwh Reading'!A14</f>
        <v>44207</v>
      </c>
      <c r="B13" s="83">
        <f>TOTAL!E12</f>
        <v>20740.000000001142</v>
      </c>
      <c r="C13" s="1">
        <f>'Kwh Consumption'!C14</f>
        <v>740.00000000000909</v>
      </c>
      <c r="D13" s="1">
        <f>'Kwh Consumption'!D14</f>
        <v>2499.9999999999468</v>
      </c>
      <c r="E13" s="1">
        <f>'Kwh Consumption'!E14</f>
        <v>250</v>
      </c>
      <c r="F13" s="1">
        <f>('Kwh Consumption'!F14+'Kwh Consumption'!G14+'Kwh Consumption'!H14)</f>
        <v>859.99999999998522</v>
      </c>
      <c r="G13" s="16">
        <f>('Kwh Consumption'!I14+'Kwh Consumption'!J14)</f>
        <v>315.99999999998829</v>
      </c>
      <c r="H13" s="1">
        <f>('Kwh Consumption'!K14+'Kwh Consumption'!L14)</f>
        <v>1149.9999999999488</v>
      </c>
      <c r="I13" s="1">
        <f>('Kwh Consumption'!M14+'Kwh Consumption'!N14+'Kwh Consumption'!O14+'Kwh Consumption'!P14+'Kwh Consumption'!Q14+'Kwh Consumption'!R14)</f>
        <v>4439.9999999999409</v>
      </c>
      <c r="J13" s="1">
        <f>('Kwh Consumption'!S14+'Kwh Consumption'!T14)</f>
        <v>5007.8499999996275</v>
      </c>
      <c r="K13" s="1">
        <f>'Kwh Consumption'!U14</f>
        <v>260.00000000000512</v>
      </c>
      <c r="L13" s="32">
        <f t="shared" si="0"/>
        <v>5216.1500000016913</v>
      </c>
    </row>
    <row r="14" spans="1:12" x14ac:dyDescent="0.25">
      <c r="A14" s="14">
        <f>'Kwh Reading'!A15</f>
        <v>44208</v>
      </c>
      <c r="B14" s="83">
        <f>TOTAL!E13</f>
        <v>19419.999999999389</v>
      </c>
      <c r="C14" s="1">
        <f>'Kwh Consumption'!C15</f>
        <v>379.99999999999545</v>
      </c>
      <c r="D14" s="1">
        <f>'Kwh Consumption'!D15</f>
        <v>2499.9999999999468</v>
      </c>
      <c r="E14" s="1">
        <f>'Kwh Consumption'!E15</f>
        <v>289.99999999999204</v>
      </c>
      <c r="F14" s="1">
        <f>('Kwh Consumption'!F15+'Kwh Consumption'!G15+'Kwh Consumption'!H15)</f>
        <v>1039.9999999999352</v>
      </c>
      <c r="G14" s="16">
        <f>('Kwh Consumption'!I15+'Kwh Consumption'!J15)</f>
        <v>307.00000000000216</v>
      </c>
      <c r="H14" s="1">
        <f>('Kwh Consumption'!K15+'Kwh Consumption'!L15)</f>
        <v>1330.0000000000409</v>
      </c>
      <c r="I14" s="1">
        <f>('Kwh Consumption'!M15+'Kwh Consumption'!N15+'Kwh Consumption'!O15+'Kwh Consumption'!P15+'Kwh Consumption'!Q15+'Kwh Consumption'!R15)</f>
        <v>4129.9999999999382</v>
      </c>
      <c r="J14" s="1">
        <f>('Kwh Consumption'!S15+'Kwh Consumption'!T15)</f>
        <v>4793.2800000002608</v>
      </c>
      <c r="K14" s="1">
        <f>'Kwh Consumption'!U15</f>
        <v>239.99999999999488</v>
      </c>
      <c r="L14" s="32">
        <f t="shared" si="0"/>
        <v>4409.7199999992827</v>
      </c>
    </row>
    <row r="15" spans="1:12" x14ac:dyDescent="0.25">
      <c r="A15" s="14">
        <f>'Kwh Reading'!A16</f>
        <v>44209</v>
      </c>
      <c r="B15" s="83">
        <f>TOTAL!E14</f>
        <v>19699.999999999593</v>
      </c>
      <c r="C15" s="1">
        <f>'Kwh Consumption'!C16</f>
        <v>469.99999999997044</v>
      </c>
      <c r="D15" s="1">
        <f>'Kwh Consumption'!D16</f>
        <v>2399.9999999999577</v>
      </c>
      <c r="E15" s="1">
        <f>'Kwh Consumption'!E16</f>
        <v>239.99999999998067</v>
      </c>
      <c r="F15" s="1">
        <f>('Kwh Consumption'!F16+'Kwh Consumption'!G16+'Kwh Consumption'!H16)</f>
        <v>740.00000000003752</v>
      </c>
      <c r="G15" s="16">
        <f>('Kwh Consumption'!I16+'Kwh Consumption'!J16)</f>
        <v>337.99999999999386</v>
      </c>
      <c r="H15" s="1">
        <f>('Kwh Consumption'!K16+'Kwh Consumption'!L16)</f>
        <v>1210.0000000000364</v>
      </c>
      <c r="I15" s="1">
        <f>('Kwh Consumption'!M16+'Kwh Consumption'!N16+'Kwh Consumption'!O16+'Kwh Consumption'!P16+'Kwh Consumption'!Q16+'Kwh Consumption'!R16)</f>
        <v>3800.0000000000114</v>
      </c>
      <c r="J15" s="1">
        <f>('Kwh Consumption'!S16+'Kwh Consumption'!T16)</f>
        <v>4211.910000000149</v>
      </c>
      <c r="K15" s="1">
        <f>'Kwh Consumption'!U16</f>
        <v>239.99999999999488</v>
      </c>
      <c r="L15" s="32">
        <f t="shared" si="0"/>
        <v>6050.0899999994599</v>
      </c>
    </row>
    <row r="16" spans="1:12" x14ac:dyDescent="0.25">
      <c r="A16" s="14">
        <f>'Kwh Reading'!A17</f>
        <v>44210</v>
      </c>
      <c r="B16" s="83">
        <f>TOTAL!E15</f>
        <v>22230.000000000244</v>
      </c>
      <c r="C16" s="1">
        <f>'Kwh Consumption'!C17</f>
        <v>520.00000000003865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930.00000000003524</v>
      </c>
      <c r="G16" s="16">
        <f>('Kwh Consumption'!I17+'Kwh Consumption'!J17)</f>
        <v>240.00000000000909</v>
      </c>
      <c r="H16" s="1">
        <f>('Kwh Consumption'!K17+'Kwh Consumption'!L17)</f>
        <v>1459.9999999998943</v>
      </c>
      <c r="I16" s="1">
        <f>('Kwh Consumption'!M17+'Kwh Consumption'!N17+'Kwh Consumption'!O17+'Kwh Consumption'!P17+'Kwh Consumption'!Q17+'Kwh Consumption'!R17)</f>
        <v>4580.0000000000982</v>
      </c>
      <c r="J16" s="1">
        <f>('Kwh Consumption'!S17+'Kwh Consumption'!T17)</f>
        <v>4577.2099999999627</v>
      </c>
      <c r="K16" s="1">
        <f>'Kwh Consumption'!U17</f>
        <v>250</v>
      </c>
      <c r="L16" s="32">
        <f t="shared" si="0"/>
        <v>6822.7900000000445</v>
      </c>
    </row>
    <row r="17" spans="1:12" x14ac:dyDescent="0.25">
      <c r="A17" s="14">
        <f>'Kwh Reading'!A18</f>
        <v>44211</v>
      </c>
      <c r="B17" s="83">
        <f>TOTAL!E16</f>
        <v>20079.999999999698</v>
      </c>
      <c r="C17" s="1">
        <f>'Kwh Consumption'!C18</f>
        <v>269.99999999998181</v>
      </c>
      <c r="D17" s="1">
        <f>'Kwh Consumption'!D18</f>
        <v>2699.9999999999245</v>
      </c>
      <c r="E17" s="1">
        <f>'Kwh Consumption'!E18</f>
        <v>290.00000000002046</v>
      </c>
      <c r="F17" s="1">
        <f>('Kwh Consumption'!F18+'Kwh Consumption'!G18+'Kwh Consumption'!H18)</f>
        <v>1119.9999999999761</v>
      </c>
      <c r="G17" s="16">
        <f>('Kwh Consumption'!I18+'Kwh Consumption'!J18)</f>
        <v>268.00000000000068</v>
      </c>
      <c r="H17" s="1">
        <f>('Kwh Consumption'!K18+'Kwh Consumption'!L18)</f>
        <v>1550.0000000000682</v>
      </c>
      <c r="I17" s="1">
        <f>('Kwh Consumption'!M18+'Kwh Consumption'!N18+'Kwh Consumption'!O18+'Kwh Consumption'!P18+'Kwh Consumption'!Q18+'Kwh Consumption'!R18)</f>
        <v>4559.999999999889</v>
      </c>
      <c r="J17" s="1">
        <f>('Kwh Consumption'!S18+'Kwh Consumption'!T18)</f>
        <v>4099.3499999996275</v>
      </c>
      <c r="K17" s="31">
        <f>'Kwh Consumption'!U18</f>
        <v>240.00000000000909</v>
      </c>
      <c r="L17" s="32">
        <f t="shared" si="0"/>
        <v>4982.6500000002015</v>
      </c>
    </row>
    <row r="18" spans="1:12" x14ac:dyDescent="0.25">
      <c r="A18" s="14">
        <f>'Kwh Reading'!A19</f>
        <v>44212</v>
      </c>
      <c r="B18" s="83">
        <f>TOTAL!E17</f>
        <v>20619.999999999665</v>
      </c>
      <c r="C18" s="1">
        <f>'Kwh Consumption'!C19</f>
        <v>519.99999999998181</v>
      </c>
      <c r="D18" s="1">
        <f>'Kwh Consumption'!D19</f>
        <v>2399.9999999999577</v>
      </c>
      <c r="E18" s="1">
        <f>'Kwh Consumption'!E19</f>
        <v>259.99999999999091</v>
      </c>
      <c r="F18" s="1">
        <f>('Kwh Consumption'!F19+'Kwh Consumption'!G19+'Kwh Consumption'!H19)</f>
        <v>909.99999999999659</v>
      </c>
      <c r="G18" s="16">
        <f>('Kwh Consumption'!I19+'Kwh Consumption'!J19)</f>
        <v>269.99999999999602</v>
      </c>
      <c r="H18" s="1">
        <f>('Kwh Consumption'!K19+'Kwh Consumption'!L19)</f>
        <v>1509.9999999999909</v>
      </c>
      <c r="I18" s="1">
        <f>('Kwh Consumption'!M19+'Kwh Consumption'!N19+'Kwh Consumption'!O19+'Kwh Consumption'!P19+'Kwh Consumption'!Q19+'Kwh Consumption'!R19)</f>
        <v>4540.0000000000773</v>
      </c>
      <c r="J18" s="1">
        <f>('Kwh Consumption'!S19+'Kwh Consumption'!T19)</f>
        <v>4277.9799999995157</v>
      </c>
      <c r="K18" s="31">
        <f>'Kwh Consumption'!U19</f>
        <v>280.00000000000114</v>
      </c>
      <c r="L18" s="32">
        <f t="shared" si="0"/>
        <v>5652.0200000001596</v>
      </c>
    </row>
    <row r="19" spans="1:12" x14ac:dyDescent="0.25">
      <c r="A19" s="14">
        <f>'Kwh Reading'!A20</f>
        <v>44213</v>
      </c>
      <c r="B19" s="83">
        <f>TOTAL!E18</f>
        <v>21550.000000000407</v>
      </c>
      <c r="C19" s="1">
        <f>'Kwh Consumption'!C20</f>
        <v>520.00000000003865</v>
      </c>
      <c r="D19" s="1">
        <f>'Kwh Consumption'!D20</f>
        <v>2399.9999999999577</v>
      </c>
      <c r="E19" s="1">
        <f>'Kwh Consumption'!E20</f>
        <v>219.99999999999886</v>
      </c>
      <c r="F19" s="1">
        <f>('Kwh Consumption'!F20+'Kwh Consumption'!G20+'Kwh Consumption'!H20)</f>
        <v>829.99999999998408</v>
      </c>
      <c r="G19" s="16">
        <f>('Kwh Consumption'!I20+'Kwh Consumption'!J20)</f>
        <v>276.00000000001046</v>
      </c>
      <c r="H19" s="1">
        <f>('Kwh Consumption'!K20+'Kwh Consumption'!L20)</f>
        <v>1510.0000000000193</v>
      </c>
      <c r="I19" s="1">
        <f>('Kwh Consumption'!M20+'Kwh Consumption'!N20+'Kwh Consumption'!O20+'Kwh Consumption'!P20+'Kwh Consumption'!Q20+'Kwh Consumption'!R20)</f>
        <v>4569.9999999999363</v>
      </c>
      <c r="J19" s="1">
        <f>('Kwh Consumption'!S20+'Kwh Consumption'!T20)</f>
        <v>4769.5600000005215</v>
      </c>
      <c r="K19" s="1">
        <f>'Kwh Consumption'!U20</f>
        <v>239.99999999999488</v>
      </c>
      <c r="L19" s="32">
        <f t="shared" si="0"/>
        <v>6214.4399999999423</v>
      </c>
    </row>
    <row r="20" spans="1:12" x14ac:dyDescent="0.25">
      <c r="A20" s="14">
        <f>'Kwh Reading'!A21</f>
        <v>44214</v>
      </c>
      <c r="B20" s="83">
        <f>TOTAL!E19</f>
        <v>21250.000000000229</v>
      </c>
      <c r="C20" s="1">
        <f>'Kwh Consumption'!C21</f>
        <v>529.99999999997272</v>
      </c>
      <c r="D20" s="1">
        <f>'Kwh Consumption'!D21</f>
        <v>2700.0000000001469</v>
      </c>
      <c r="E20" s="1">
        <f>'Kwh Consumption'!E21</f>
        <v>280.00000000000114</v>
      </c>
      <c r="F20" s="1">
        <f>('Kwh Consumption'!F21+'Kwh Consumption'!G21+'Kwh Consumption'!H21)</f>
        <v>-809.99999999997385</v>
      </c>
      <c r="G20" s="16">
        <f>('Kwh Consumption'!I21+'Kwh Consumption'!J21)</f>
        <v>267.99999999998647</v>
      </c>
      <c r="H20" s="1">
        <f>('Kwh Consumption'!K21+'Kwh Consumption'!L21)</f>
        <v>1539.999999999992</v>
      </c>
      <c r="I20" s="1">
        <f>('Kwh Consumption'!M21+'Kwh Consumption'!N21+'Kwh Consumption'!O21+'Kwh Consumption'!P21+'Kwh Consumption'!Q21+'Kwh Consumption'!R21)</f>
        <v>4710.0000000000364</v>
      </c>
      <c r="J20" s="1">
        <f>('Kwh Consumption'!S21+'Kwh Consumption'!T21)</f>
        <v>5325.570000000298</v>
      </c>
      <c r="K20" s="1">
        <f>'Kwh Consumption'!U21</f>
        <v>230.00000000000398</v>
      </c>
      <c r="L20" s="32">
        <f t="shared" si="0"/>
        <v>6476.4299999997675</v>
      </c>
    </row>
    <row r="21" spans="1:12" x14ac:dyDescent="0.25">
      <c r="A21" s="14">
        <f>'Kwh Reading'!A22</f>
        <v>44215</v>
      </c>
      <c r="B21" s="83">
        <f>TOTAL!E20</f>
        <v>21239.999999999782</v>
      </c>
      <c r="C21" s="1">
        <f>'Kwh Consumption'!C22</f>
        <v>160.00000000002501</v>
      </c>
      <c r="D21" s="1">
        <f>'Kwh Consumption'!D22</f>
        <v>2399.9999999999577</v>
      </c>
      <c r="E21" s="1">
        <f>'Kwh Consumption'!E22</f>
        <v>250</v>
      </c>
      <c r="F21" s="1">
        <f>('Kwh Consumption'!F22+'Kwh Consumption'!G22+'Kwh Consumption'!H22)</f>
        <v>2709.9999999999795</v>
      </c>
      <c r="G21" s="16">
        <f>('Kwh Consumption'!I22+'Kwh Consumption'!J22)</f>
        <v>251.99999999999534</v>
      </c>
      <c r="H21" s="1">
        <f>('Kwh Consumption'!K22+'Kwh Consumption'!L22)</f>
        <v>1419.9999999999591</v>
      </c>
      <c r="I21" s="1">
        <f>('Kwh Consumption'!M22+'Kwh Consumption'!N22+'Kwh Consumption'!O22+'Kwh Consumption'!P22+'Kwh Consumption'!Q22+'Kwh Consumption'!R22)</f>
        <v>4419.9999999999591</v>
      </c>
      <c r="J21" s="1">
        <f>('Kwh Consumption'!S22+'Kwh Consumption'!T22)</f>
        <v>5057.75</v>
      </c>
      <c r="K21" s="1">
        <f>'Kwh Consumption'!U22</f>
        <v>219.99999999999886</v>
      </c>
      <c r="L21" s="32">
        <f t="shared" si="0"/>
        <v>4350.2499999999063</v>
      </c>
    </row>
    <row r="22" spans="1:12" x14ac:dyDescent="0.25">
      <c r="A22" s="14">
        <f>'Kwh Reading'!A23</f>
        <v>44216</v>
      </c>
      <c r="B22" s="83">
        <f>TOTAL!E21</f>
        <v>21230.000000000247</v>
      </c>
      <c r="C22" s="1">
        <f>'Kwh Consumption'!C23</f>
        <v>849.99999999996589</v>
      </c>
      <c r="D22" s="1">
        <f>'Kwh Consumption'!D23</f>
        <v>2499.9999999999468</v>
      </c>
      <c r="E22" s="1">
        <f>'Kwh Consumption'!E23</f>
        <v>229.99999999998977</v>
      </c>
      <c r="F22" s="1">
        <f>('Kwh Consumption'!F23+'Kwh Consumption'!G23+'Kwh Consumption'!H23)</f>
        <v>679.99999999994998</v>
      </c>
      <c r="G22" s="16">
        <f>('Kwh Consumption'!I23+'Kwh Consumption'!J23)</f>
        <v>249.00000000000944</v>
      </c>
      <c r="H22" s="1">
        <f>('Kwh Consumption'!K23+'Kwh Consumption'!L23)</f>
        <v>1350.0000000000512</v>
      </c>
      <c r="I22" s="1">
        <f>('Kwh Consumption'!M23+'Kwh Consumption'!N23+'Kwh Consumption'!O23+'Kwh Consumption'!P23+'Kwh Consumption'!Q23+'Kwh Consumption'!R23)</f>
        <v>4250.0000000000564</v>
      </c>
      <c r="J22" s="1">
        <f>('Kwh Consumption'!S23+'Kwh Consumption'!T23)</f>
        <v>4482.6900000004098</v>
      </c>
      <c r="K22" s="1">
        <f>'Kwh Consumption'!U23</f>
        <v>209.99999999999375</v>
      </c>
      <c r="L22" s="32">
        <f t="shared" si="0"/>
        <v>6428.3099999998749</v>
      </c>
    </row>
    <row r="23" spans="1:12" x14ac:dyDescent="0.25">
      <c r="A23" s="14">
        <f>'Kwh Reading'!A24</f>
        <v>44217</v>
      </c>
      <c r="B23" s="83">
        <f>TOTAL!E22</f>
        <v>0</v>
      </c>
      <c r="C23" s="1">
        <f>'Kwh Consumption'!C24</f>
        <v>-345210</v>
      </c>
      <c r="D23" s="1">
        <f>'Kwh Consumption'!D24</f>
        <v>-1985900</v>
      </c>
      <c r="E23" s="1">
        <f>'Kwh Consumption'!E24</f>
        <v>-192670</v>
      </c>
      <c r="F23" s="1">
        <f>('Kwh Consumption'!F24+'Kwh Consumption'!G24+'Kwh Consumption'!H24)</f>
        <v>-770430</v>
      </c>
      <c r="G23" s="16">
        <f>('Kwh Consumption'!I24+'Kwh Consumption'!J24)</f>
        <v>-211592</v>
      </c>
      <c r="H23" s="1">
        <f>('Kwh Consumption'!K24+'Kwh Consumption'!L24)</f>
        <v>-963690</v>
      </c>
      <c r="I23" s="1">
        <f>('Kwh Consumption'!M24+'Kwh Consumption'!N24+'Kwh Consumption'!O24+'Kwh Consumption'!P24+'Kwh Consumption'!Q24+'Kwh Consumption'!R24)</f>
        <v>-2648100</v>
      </c>
      <c r="J23" s="1">
        <f>('Kwh Consumption'!S24+'Kwh Consumption'!T24)</f>
        <v>-14804278.440000001</v>
      </c>
      <c r="K23" s="1">
        <f>'Kwh Consumption'!U24</f>
        <v>-112490</v>
      </c>
      <c r="L23" s="32">
        <f t="shared" si="0"/>
        <v>22034360.440000001</v>
      </c>
    </row>
    <row r="24" spans="1:12" x14ac:dyDescent="0.25">
      <c r="A24" s="14">
        <f>'Kwh Reading'!A25</f>
        <v>44218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44219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44220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44221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44222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44223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44224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44225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44226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44227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414939.99999999959</v>
      </c>
      <c r="C34" s="75">
        <f>SUM(C3:C33)</f>
        <v>-334740.00000000006</v>
      </c>
      <c r="D34" s="75">
        <f t="shared" ref="D34:L34" si="1">SUM(D3:D33)</f>
        <v>-1935500</v>
      </c>
      <c r="E34" s="75">
        <f t="shared" si="1"/>
        <v>-187450</v>
      </c>
      <c r="F34" s="75">
        <f t="shared" si="1"/>
        <v>-750470</v>
      </c>
      <c r="G34" s="75">
        <f t="shared" si="1"/>
        <v>-205518</v>
      </c>
      <c r="H34" s="75">
        <f t="shared" si="1"/>
        <v>-936120</v>
      </c>
      <c r="I34" s="75">
        <f t="shared" si="1"/>
        <v>-2563600</v>
      </c>
      <c r="J34" s="75">
        <f t="shared" si="1"/>
        <v>-14711015.880000001</v>
      </c>
      <c r="K34" s="75">
        <f t="shared" si="1"/>
        <v>-107360</v>
      </c>
      <c r="L34" s="75">
        <f t="shared" si="1"/>
        <v>22146713.879999999</v>
      </c>
      <c r="M34" s="84">
        <f>C34+D34+E34+F34+G34+H34+I34+J34+K34+L34</f>
        <v>414939.99999999627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-46863.600000000013</v>
      </c>
      <c r="D36" s="75">
        <f>D34*B36</f>
        <v>-270970</v>
      </c>
      <c r="E36" s="75">
        <f>E34*B36</f>
        <v>-26243.000000000004</v>
      </c>
      <c r="F36" s="75">
        <f>F34*B36</f>
        <v>-105065.8</v>
      </c>
      <c r="G36" s="75">
        <f>G34*B36</f>
        <v>-28772.520000000004</v>
      </c>
      <c r="H36" s="75">
        <f>H34*B36</f>
        <v>-131056.80000000002</v>
      </c>
      <c r="I36" s="75">
        <f>I34*B36</f>
        <v>-358904.00000000006</v>
      </c>
      <c r="J36" s="75">
        <f>J34*B36</f>
        <v>-2059542.2232000004</v>
      </c>
      <c r="K36" s="75">
        <f>K34*B36</f>
        <v>-15030.400000000001</v>
      </c>
      <c r="L36" s="75">
        <f>L34*B36</f>
        <v>3100539.9432000001</v>
      </c>
      <c r="M36" s="84">
        <f>C36+D36+E36+F36+G36+H36+I36+J36+K36+L36</f>
        <v>58091.599999999627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44197</v>
      </c>
      <c r="B3" s="11">
        <f>TOTAL!F2</f>
        <v>0.14000000000000001</v>
      </c>
      <c r="C3" s="11">
        <f>'Kwh Consumption'!B4*' Kwh area wise $ '!B3</f>
        <v>2662.7999999999024</v>
      </c>
      <c r="D3" s="1">
        <f>'Kwh Consumption'!C4*' Kwh area wise $ '!B3</f>
        <v>74.19999999999618</v>
      </c>
      <c r="E3" s="1">
        <f>'Kwh Consumption'!D4*' Kwh area wise $ '!B3</f>
        <v>363.99999999999108</v>
      </c>
      <c r="F3" s="1">
        <f>'Kwh Consumption'!E4*' Kwh area wise $ '!B3</f>
        <v>39.200000000000166</v>
      </c>
      <c r="G3" s="1">
        <f>('Kwh Consumption'!F4+'Kwh Consumption'!G4+'Kwh Consumption'!H4)*' Kwh area wise $ '!B3</f>
        <v>156.80000000000067</v>
      </c>
      <c r="H3" s="16">
        <f>('Kwh Consumption'!I4+'Kwh Consumption'!J4)*' Kwh area wise $ '!B3</f>
        <v>46.759999999998463</v>
      </c>
      <c r="I3" s="1">
        <f>('Kwh Consumption'!K4+'Kwh Consumption'!L4)*' Kwh area wise $ '!B3</f>
        <v>155.4000000000099</v>
      </c>
      <c r="J3" s="1">
        <f>('Kwh Consumption'!M4+'Kwh Consumption'!N4+'Kwh Consumption'!O4+'Kwh Consumption'!P4+'Kwh Consumption'!Q4+'Kwh Consumption'!R4)*' Kwh area wise $ '!B3</f>
        <v>502.60000000000451</v>
      </c>
      <c r="K3" s="1">
        <f>('Kwh Consumption'!S4+'Kwh Consumption'!T4)*' Kwh area wise $ '!B3</f>
        <v>610.6086000000314</v>
      </c>
      <c r="L3" s="1">
        <f>'Kwh Consumption'!U4*' Kwh area wise $ '!B3</f>
        <v>32.200000000000557</v>
      </c>
      <c r="M3" s="1">
        <f>'Kwh Consumption'!V4*' Kwh area wise $ '!B3</f>
        <v>681.03139999986968</v>
      </c>
    </row>
    <row r="4" spans="1:13" x14ac:dyDescent="0.25">
      <c r="A4" s="14">
        <f>'Kwh Reading'!A5</f>
        <v>44198</v>
      </c>
      <c r="B4" s="11">
        <f>TOTAL!F3</f>
        <v>0.14000000000000001</v>
      </c>
      <c r="C4" s="11">
        <f>'Kwh Consumption'!B5*' Kwh area wise $ '!B4</f>
        <v>3117.7999999999342</v>
      </c>
      <c r="D4" s="1">
        <f>'Kwh Consumption'!C5*' Kwh area wise $ '!B4</f>
        <v>82.600000000004471</v>
      </c>
      <c r="E4" s="1">
        <f>'Kwh Consumption'!D5*' Kwh area wise $ '!B4</f>
        <v>364.00000000002211</v>
      </c>
      <c r="F4" s="1">
        <f>'Kwh Consumption'!E5*' Kwh area wise $ '!B4</f>
        <v>37.80000000000144</v>
      </c>
      <c r="G4" s="1">
        <f>('Kwh Consumption'!F5+'Kwh Consumption'!G5+'Kwh Consumption'!H5)*' Kwh area wise $ '!B4</f>
        <v>124.60000000000208</v>
      </c>
      <c r="H4" s="16">
        <f>('Kwh Consumption'!I5+'Kwh Consumption'!J5)*' Kwh area wise $ '!B4</f>
        <v>34.020000000001289</v>
      </c>
      <c r="I4" s="1">
        <f>('Kwh Consumption'!K5+'Kwh Consumption'!L5)*' Kwh area wise $ '!B4</f>
        <v>186.19999999998586</v>
      </c>
      <c r="J4" s="1">
        <f>('Kwh Consumption'!M5+'Kwh Consumption'!N5+'Kwh Consumption'!O5+'Kwh Consumption'!P5+'Kwh Consumption'!Q5+'Kwh Consumption'!R5)*' Kwh area wise $ '!B4</f>
        <v>614.5999999999982</v>
      </c>
      <c r="K4" s="1">
        <f>('Kwh Consumption'!S5+'Kwh Consumption'!T5)*' Kwh area wise $ '!B4</f>
        <v>698.6042000000366</v>
      </c>
      <c r="L4" s="1">
        <f>'Kwh Consumption'!U5*' Kwh area wise $ '!B4</f>
        <v>43.400000000000325</v>
      </c>
      <c r="M4" s="1">
        <f>'Kwh Consumption'!V5*' Kwh area wise $ '!B4</f>
        <v>931.97579999988181</v>
      </c>
    </row>
    <row r="5" spans="1:13" x14ac:dyDescent="0.25">
      <c r="A5" s="14">
        <f>'Kwh Reading'!A6</f>
        <v>44199</v>
      </c>
      <c r="B5" s="11">
        <f>TOTAL!F4</f>
        <v>0.14000000000000001</v>
      </c>
      <c r="C5" s="11">
        <f>'Kwh Consumption'!B6*' Kwh area wise $ '!B5</f>
        <v>3258.6400000001695</v>
      </c>
      <c r="D5" s="1">
        <f>'Kwh Consumption'!C6*' Kwh area wise $ '!B5</f>
        <v>77.000000000001606</v>
      </c>
      <c r="E5" s="1">
        <f>'Kwh Consumption'!D6*' Kwh area wise $ '!B5</f>
        <v>363.99999999999108</v>
      </c>
      <c r="F5" s="1">
        <f>'Kwh Consumption'!E6*' Kwh area wise $ '!B5</f>
        <v>35</v>
      </c>
      <c r="G5" s="1">
        <f>('Kwh Consumption'!F6+'Kwh Consumption'!G6+'Kwh Consumption'!H6)*' Kwh area wise $ '!B5</f>
        <v>187.60000000000051</v>
      </c>
      <c r="H5" s="16">
        <f>('Kwh Consumption'!I6+'Kwh Consumption'!J6)*' Kwh area wise $ '!B5</f>
        <v>45.779999999999752</v>
      </c>
      <c r="I5" s="1">
        <f>('Kwh Consumption'!K6+'Kwh Consumption'!L6)*' Kwh area wise $ '!B5</f>
        <v>201.60000000001165</v>
      </c>
      <c r="J5" s="1">
        <f>('Kwh Consumption'!M6+'Kwh Consumption'!N6+'Kwh Consumption'!O6+'Kwh Consumption'!P6+'Kwh Consumption'!Q6+'Kwh Consumption'!R6)*' Kwh area wise $ '!B5</f>
        <v>641.19999999998993</v>
      </c>
      <c r="K5" s="1">
        <f>('Kwh Consumption'!S6+'Kwh Consumption'!T6)*' Kwh area wise $ '!B5</f>
        <v>740.24999999986971</v>
      </c>
      <c r="L5" s="1">
        <f>'Kwh Consumption'!U6*' Kwh area wise $ '!B5</f>
        <v>37.79999999999945</v>
      </c>
      <c r="M5" s="1">
        <f>'Kwh Consumption'!V6*' Kwh area wise $ '!B5</f>
        <v>928.41000000030624</v>
      </c>
    </row>
    <row r="6" spans="1:13" x14ac:dyDescent="0.25">
      <c r="A6" s="14">
        <f>'Kwh Reading'!A7</f>
        <v>44200</v>
      </c>
      <c r="B6" s="11">
        <f>TOTAL!F5</f>
        <v>0.14000000000000001</v>
      </c>
      <c r="C6" s="11">
        <f>'Kwh Consumption'!B7*' Kwh area wise $ '!B6</f>
        <v>2806.1599999998548</v>
      </c>
      <c r="D6" s="1">
        <f>'Kwh Consumption'!C7*' Kwh area wise $ '!B6</f>
        <v>43.400000000000325</v>
      </c>
      <c r="E6" s="1">
        <f>'Kwh Consumption'!D7*' Kwh area wise $ '!B6</f>
        <v>349.99999999999261</v>
      </c>
      <c r="F6" s="1">
        <f>'Kwh Consumption'!E7*' Kwh area wise $ '!B6</f>
        <v>37.80000000000144</v>
      </c>
      <c r="G6" s="1">
        <f>('Kwh Consumption'!F7+'Kwh Consumption'!G7+'Kwh Consumption'!H7)*' Kwh area wise $ '!B6</f>
        <v>130.19999999999698</v>
      </c>
      <c r="H6" s="16">
        <f>('Kwh Consumption'!I7+'Kwh Consumption'!J7)*' Kwh area wise $ '!B6</f>
        <v>45.080000000000389</v>
      </c>
      <c r="I6" s="1">
        <f>('Kwh Consumption'!K7+'Kwh Consumption'!L7)*' Kwh area wise $ '!B6</f>
        <v>177.7999999999935</v>
      </c>
      <c r="J6" s="1">
        <f>('Kwh Consumption'!M7+'Kwh Consumption'!N7+'Kwh Consumption'!O7+'Kwh Consumption'!P7+'Kwh Consumption'!Q7+'Kwh Consumption'!R7)*' Kwh area wise $ '!B6</f>
        <v>539.0000000000191</v>
      </c>
      <c r="K6" s="1">
        <f>('Kwh Consumption'!S7+'Kwh Consumption'!T7)*' Kwh area wise $ '!B6</f>
        <v>630.35140000009915</v>
      </c>
      <c r="L6" s="1">
        <f>'Kwh Consumption'!U7*' Kwh area wise $ '!B6</f>
        <v>37.79999999999945</v>
      </c>
      <c r="M6" s="1">
        <f>'Kwh Consumption'!V7*' Kwh area wise $ '!B6</f>
        <v>814.72859999975174</v>
      </c>
    </row>
    <row r="7" spans="1:13" x14ac:dyDescent="0.25">
      <c r="A7" s="14">
        <f>'Kwh Reading'!A8</f>
        <v>44201</v>
      </c>
      <c r="B7" s="11">
        <f>TOTAL!F6</f>
        <v>0.14000000000000001</v>
      </c>
      <c r="C7" s="11">
        <f>'Kwh Consumption'!B8*' Kwh area wise $ '!B7</f>
        <v>2675.4000000000819</v>
      </c>
      <c r="D7" s="1">
        <f>'Kwh Consumption'!C8*' Kwh area wise $ '!B7</f>
        <v>120.39999999999397</v>
      </c>
      <c r="E7" s="1">
        <f>'Kwh Consumption'!D8*' Kwh area wise $ '!B7</f>
        <v>349.99999999999261</v>
      </c>
      <c r="F7" s="1">
        <f>'Kwh Consumption'!E8*' Kwh area wise $ '!B7</f>
        <v>40.599999999998893</v>
      </c>
      <c r="G7" s="1">
        <f>('Kwh Consumption'!F8+'Kwh Consumption'!G8+'Kwh Consumption'!H8)*' Kwh area wise $ '!B7</f>
        <v>168.00000000000242</v>
      </c>
      <c r="H7" s="16">
        <f>('Kwh Consumption'!I8+'Kwh Consumption'!J8)*' Kwh area wise $ '!B7</f>
        <v>42.140000000000278</v>
      </c>
      <c r="I7" s="1">
        <f>('Kwh Consumption'!K8+'Kwh Consumption'!L8)*' Kwh area wise $ '!B7</f>
        <v>167.99999999999844</v>
      </c>
      <c r="J7" s="1">
        <f>('Kwh Consumption'!M8+'Kwh Consumption'!N8+'Kwh Consumption'!O8+'Kwh Consumption'!P8+'Kwh Consumption'!Q8+'Kwh Consumption'!R8)*' Kwh area wise $ '!B7</f>
        <v>492.79999999999751</v>
      </c>
      <c r="K7" s="1">
        <f>('Kwh Consumption'!S8+'Kwh Consumption'!T8)*' Kwh area wise $ '!B7</f>
        <v>557.40019999995832</v>
      </c>
      <c r="L7" s="1">
        <f>'Kwh Consumption'!U8*' Kwh area wise $ '!B7</f>
        <v>39.200000000000166</v>
      </c>
      <c r="M7" s="1">
        <f>'Kwh Consumption'!V8*' Kwh area wise $ '!B7</f>
        <v>696.8598000001391</v>
      </c>
    </row>
    <row r="8" spans="1:13" x14ac:dyDescent="0.25">
      <c r="A8" s="14">
        <f>'Kwh Reading'!A9</f>
        <v>44202</v>
      </c>
      <c r="B8" s="11">
        <f>TOTAL!F7</f>
        <v>0.14000000000000001</v>
      </c>
      <c r="C8" s="11">
        <f>'Kwh Consumption'!B9*' Kwh area wise $ '!B8</f>
        <v>2626.400000000031</v>
      </c>
      <c r="D8" s="1">
        <f>'Kwh Consumption'!C9*' Kwh area wise $ '!B8</f>
        <v>84.000000000003197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138.59999999999729</v>
      </c>
      <c r="H8" s="16">
        <f>('Kwh Consumption'!I9+'Kwh Consumption'!J9)*' Kwh area wise $ '!B8</f>
        <v>49.419999999999227</v>
      </c>
      <c r="I8" s="1">
        <f>('Kwh Consumption'!K9+'Kwh Consumption'!L9)*' Kwh area wise $ '!B8</f>
        <v>177.80000000000942</v>
      </c>
      <c r="J8" s="1">
        <f>('Kwh Consumption'!M9+'Kwh Consumption'!N9+'Kwh Consumption'!O9+'Kwh Consumption'!P9+'Kwh Consumption'!Q9+'Kwh Consumption'!R9)*' Kwh area wise $ '!B8</f>
        <v>494.19999999999624</v>
      </c>
      <c r="K8" s="1">
        <f>('Kwh Consumption'!S9+'Kwh Consumption'!T9)*' Kwh area wise $ '!B8</f>
        <v>600.39280000006784</v>
      </c>
      <c r="L8" s="1">
        <f>'Kwh Consumption'!U9*' Kwh area wise $ '!B8</f>
        <v>40.600000000000882</v>
      </c>
      <c r="M8" s="1">
        <f>'Kwh Consumption'!V9*' Kwh area wise $ '!B8</f>
        <v>670.38719999993179</v>
      </c>
    </row>
    <row r="9" spans="1:13" x14ac:dyDescent="0.25">
      <c r="A9" s="14">
        <f>'Kwh Reading'!A10</f>
        <v>44203</v>
      </c>
      <c r="B9" s="11">
        <f>TOTAL!F8</f>
        <v>0.14000000000000001</v>
      </c>
      <c r="C9" s="11">
        <f>'Kwh Consumption'!B10*' Kwh area wise $ '!B9</f>
        <v>3091.1999999999266</v>
      </c>
      <c r="D9" s="1">
        <f>'Kwh Consumption'!C10*' Kwh area wise $ '!B9</f>
        <v>35</v>
      </c>
      <c r="E9" s="1">
        <f>'Kwh Consumption'!D10*' Kwh area wise $ '!B9</f>
        <v>377.99999999998948</v>
      </c>
      <c r="F9" s="1">
        <f>'Kwh Consumption'!E10*' Kwh area wise $ '!B9</f>
        <v>39.200000000000166</v>
      </c>
      <c r="G9" s="1">
        <f>('Kwh Consumption'!F10+'Kwh Consumption'!G10+'Kwh Consumption'!H10)*' Kwh area wise $ '!B9</f>
        <v>197.39999999999955</v>
      </c>
      <c r="H9" s="16">
        <f>('Kwh Consumption'!I10+'Kwh Consumption'!J10)*' Kwh area wise $ '!B9</f>
        <v>55.159999999998782</v>
      </c>
      <c r="I9" s="1">
        <f>('Kwh Consumption'!K10+'Kwh Consumption'!L10)*' Kwh area wise $ '!B9</f>
        <v>226.80000000000067</v>
      </c>
      <c r="J9" s="1">
        <f>('Kwh Consumption'!M10+'Kwh Consumption'!N10+'Kwh Consumption'!O10+'Kwh Consumption'!P10+'Kwh Consumption'!Q10+'Kwh Consumption'!R10)*' Kwh area wise $ '!B9</f>
        <v>652.39999999999566</v>
      </c>
      <c r="K9" s="1">
        <f>('Kwh Consumption'!S10+'Kwh Consumption'!T10)*' Kwh area wise $ '!B9</f>
        <v>716.75519999995834</v>
      </c>
      <c r="L9" s="1">
        <f>'Kwh Consumption'!U10*' Kwh area wise $ '!B9</f>
        <v>37.79999999999945</v>
      </c>
      <c r="M9" s="1">
        <f>'Kwh Consumption'!V10*' Kwh area wise $ '!B9</f>
        <v>752.68479999998419</v>
      </c>
    </row>
    <row r="10" spans="1:13" x14ac:dyDescent="0.25">
      <c r="A10" s="14">
        <f>'Kwh Reading'!A11</f>
        <v>44204</v>
      </c>
      <c r="B10" s="11">
        <f>TOTAL!F9</f>
        <v>0.14000000000000001</v>
      </c>
      <c r="C10" s="11">
        <f>'Kwh Consumption'!B11*' Kwh area wise $ '!B10</f>
        <v>2791.6000000000081</v>
      </c>
      <c r="D10" s="1">
        <f>'Kwh Consumption'!C11*' Kwh area wise $ '!B10</f>
        <v>118.99999999999524</v>
      </c>
      <c r="E10" s="1">
        <f>'Kwh Consumption'!D11*' Kwh area wise $ '!B10</f>
        <v>349.99999999999261</v>
      </c>
      <c r="F10" s="1">
        <f>'Kwh Consumption'!E11*' Kwh area wise $ '!B10</f>
        <v>36.399999999998727</v>
      </c>
      <c r="G10" s="1">
        <f>('Kwh Consumption'!F11+'Kwh Consumption'!G11+'Kwh Consumption'!H11)*' Kwh area wise $ '!B10</f>
        <v>184.80000000000703</v>
      </c>
      <c r="H10" s="16">
        <f>('Kwh Consumption'!I11+'Kwh Consumption'!J11)*' Kwh area wise $ '!B10</f>
        <v>38.78000000000214</v>
      </c>
      <c r="I10" s="1">
        <f>('Kwh Consumption'!K11+'Kwh Consumption'!L11)*' Kwh area wise $ '!B10</f>
        <v>180.59999999999096</v>
      </c>
      <c r="J10" s="1">
        <f>('Kwh Consumption'!M11+'Kwh Consumption'!N11+'Kwh Consumption'!O11+'Kwh Consumption'!P11+'Kwh Consumption'!Q11+'Kwh Consumption'!R11)*' Kwh area wise $ '!B10</f>
        <v>569.79999999999109</v>
      </c>
      <c r="K10" s="1">
        <f>('Kwh Consumption'!S11+'Kwh Consumption'!T11)*' Kwh area wise $ '!B10</f>
        <v>680.9152000000887</v>
      </c>
      <c r="L10" s="1">
        <f>'Kwh Consumption'!U11*' Kwh area wise $ '!B10</f>
        <v>36.400000000000716</v>
      </c>
      <c r="M10" s="1">
        <f>'Kwh Consumption'!V11*' Kwh area wise $ '!B10</f>
        <v>594.90479999994068</v>
      </c>
    </row>
    <row r="11" spans="1:13" x14ac:dyDescent="0.25">
      <c r="A11" s="14">
        <f>'Kwh Reading'!A12</f>
        <v>44205</v>
      </c>
      <c r="B11" s="11">
        <f>TOTAL!F10</f>
        <v>0.14000000000000001</v>
      </c>
      <c r="C11" s="11">
        <f>'Kwh Consumption'!B12*' Kwh area wise $ '!B11</f>
        <v>2926.0000000001082</v>
      </c>
      <c r="D11" s="1">
        <f>'Kwh Consumption'!C12*' Kwh area wise $ '!B11</f>
        <v>75.600000000002879</v>
      </c>
      <c r="E11" s="1">
        <f>'Kwh Consumption'!D12*' Kwh area wise $ '!B11</f>
        <v>335.99999999999409</v>
      </c>
      <c r="F11" s="1">
        <f>'Kwh Consumption'!E12*' Kwh area wise $ '!B11</f>
        <v>35</v>
      </c>
      <c r="G11" s="1">
        <f>('Kwh Consumption'!F12+'Kwh Consumption'!G12+'Kwh Consumption'!H12)*' Kwh area wise $ '!B11</f>
        <v>107.79999999998553</v>
      </c>
      <c r="H11" s="16">
        <f>('Kwh Consumption'!I12+'Kwh Consumption'!J12)*' Kwh area wise $ '!B11</f>
        <v>54.459999999999418</v>
      </c>
      <c r="I11" s="1">
        <f>('Kwh Consumption'!K12+'Kwh Consumption'!L12)*' Kwh area wise $ '!B11</f>
        <v>182.0000000000056</v>
      </c>
      <c r="J11" s="1">
        <f>('Kwh Consumption'!M12+'Kwh Consumption'!N12+'Kwh Consumption'!O12+'Kwh Consumption'!P12+'Kwh Consumption'!Q12+'Kwh Consumption'!R12)*' Kwh area wise $ '!B11</f>
        <v>560.00000000000796</v>
      </c>
      <c r="K11" s="1">
        <f>('Kwh Consumption'!S12+'Kwh Consumption'!T12)*' Kwh area wise $ '!B11</f>
        <v>626.95919999990622</v>
      </c>
      <c r="L11" s="1">
        <f>'Kwh Consumption'!U12*' Kwh area wise $ '!B11</f>
        <v>41.999999999999609</v>
      </c>
      <c r="M11" s="1">
        <f>'Kwh Consumption'!V12*' Kwh area wise $ '!B11</f>
        <v>906.180800000207</v>
      </c>
    </row>
    <row r="12" spans="1:13" x14ac:dyDescent="0.25">
      <c r="A12" s="14">
        <f>'Kwh Reading'!A13</f>
        <v>44206</v>
      </c>
      <c r="B12" s="11">
        <f>TOTAL!F11</f>
        <v>0.14000000000000001</v>
      </c>
      <c r="C12" s="11">
        <f>'Kwh Consumption'!B13*' Kwh area wise $ '!B12</f>
        <v>3007.1999999998761</v>
      </c>
      <c r="D12" s="1">
        <f>'Kwh Consumption'!C13*' Kwh area wise $ '!B12</f>
        <v>60.200000000000962</v>
      </c>
      <c r="E12" s="1">
        <f>'Kwh Consumption'!D13*' Kwh area wise $ '!B12</f>
        <v>350.00000000002365</v>
      </c>
      <c r="F12" s="1">
        <f>'Kwh Consumption'!E13*' Kwh area wise $ '!B12</f>
        <v>36.400000000002706</v>
      </c>
      <c r="G12" s="1">
        <f>('Kwh Consumption'!F13+'Kwh Consumption'!G13+'Kwh Consumption'!H13)*' Kwh area wise $ '!B12</f>
        <v>137.20000000001448</v>
      </c>
      <c r="H12" s="16">
        <f>('Kwh Consumption'!I13+'Kwh Consumption'!J13)*' Kwh area wise $ '!B12</f>
        <v>49.000000000001201</v>
      </c>
      <c r="I12" s="1">
        <f>('Kwh Consumption'!K13+'Kwh Consumption'!L13)*' Kwh area wise $ '!B12</f>
        <v>239.40000000000114</v>
      </c>
      <c r="J12" s="1">
        <f>('Kwh Consumption'!M13+'Kwh Consumption'!N13+'Kwh Consumption'!O13+'Kwh Consumption'!P13+'Kwh Consumption'!Q13+'Kwh Consumption'!R13)*' Kwh area wise $ '!B12</f>
        <v>603.40000000001635</v>
      </c>
      <c r="K12" s="1">
        <f>('Kwh Consumption'!S13+'Kwh Consumption'!T13)*' Kwh area wise $ '!B12</f>
        <v>670.08060000000523</v>
      </c>
      <c r="L12" s="1">
        <f>'Kwh Consumption'!U13*' Kwh area wise $ '!B12</f>
        <v>33.599999999999284</v>
      </c>
      <c r="M12" s="1">
        <f>'Kwh Consumption'!V13*' Kwh area wise $ '!B12</f>
        <v>827.91939999981105</v>
      </c>
    </row>
    <row r="13" spans="1:13" x14ac:dyDescent="0.25">
      <c r="A13" s="14">
        <f>'Kwh Reading'!A14</f>
        <v>44207</v>
      </c>
      <c r="B13" s="11">
        <f>TOTAL!F12</f>
        <v>0.14000000000000001</v>
      </c>
      <c r="C13" s="11">
        <f>'Kwh Consumption'!B14*' Kwh area wise $ '!B13</f>
        <v>2903.60000000016</v>
      </c>
      <c r="D13" s="1">
        <f>'Kwh Consumption'!C14*' Kwh area wise $ '!B13</f>
        <v>103.60000000000129</v>
      </c>
      <c r="E13" s="1">
        <f>'Kwh Consumption'!D14*' Kwh area wise $ '!B13</f>
        <v>349.99999999999261</v>
      </c>
      <c r="F13" s="1">
        <f>'Kwh Consumption'!E14*' Kwh area wise $ '!B13</f>
        <v>35</v>
      </c>
      <c r="G13" s="1">
        <f>('Kwh Consumption'!F14+'Kwh Consumption'!G14+'Kwh Consumption'!H14)*' Kwh area wise $ '!B13</f>
        <v>120.39999999999795</v>
      </c>
      <c r="H13" s="16">
        <f>('Kwh Consumption'!I14+'Kwh Consumption'!J14)*' Kwh area wise $ '!B13</f>
        <v>44.239999999998368</v>
      </c>
      <c r="I13" s="1">
        <f>('Kwh Consumption'!K14+'Kwh Consumption'!L14)*' Kwh area wise $ '!B13</f>
        <v>160.99999999999287</v>
      </c>
      <c r="J13" s="1">
        <f>('Kwh Consumption'!M14+'Kwh Consumption'!N14+'Kwh Consumption'!O14+'Kwh Consumption'!P14+'Kwh Consumption'!Q14+'Kwh Consumption'!R14)*' Kwh area wise $ '!B13</f>
        <v>621.59999999999184</v>
      </c>
      <c r="K13" s="1">
        <f>('Kwh Consumption'!S14+'Kwh Consumption'!T14)*' Kwh area wise $ '!B13</f>
        <v>701.09899999994786</v>
      </c>
      <c r="L13" s="1">
        <f>'Kwh Consumption'!U14*' Kwh area wise $ '!B13</f>
        <v>36.400000000000716</v>
      </c>
      <c r="M13" s="1">
        <f>'Kwh Consumption'!V14*' Kwh area wise $ '!B13</f>
        <v>730.26100000023689</v>
      </c>
    </row>
    <row r="14" spans="1:13" x14ac:dyDescent="0.25">
      <c r="A14" s="14">
        <f>'Kwh Reading'!A15</f>
        <v>44208</v>
      </c>
      <c r="B14" s="11">
        <f>TOTAL!F13</f>
        <v>0.14000000000000001</v>
      </c>
      <c r="C14" s="11">
        <f>'Kwh Consumption'!B15*' Kwh area wise $ '!B14</f>
        <v>2718.7999999999147</v>
      </c>
      <c r="D14" s="1">
        <f>'Kwh Consumption'!C15*' Kwh area wise $ '!B14</f>
        <v>53.19999999999937</v>
      </c>
      <c r="E14" s="1">
        <f>'Kwh Consumption'!D15*' Kwh area wise $ '!B14</f>
        <v>349.99999999999261</v>
      </c>
      <c r="F14" s="1">
        <f>'Kwh Consumption'!E15*' Kwh area wise $ '!B14</f>
        <v>40.599999999998893</v>
      </c>
      <c r="G14" s="1">
        <f>('Kwh Consumption'!F15+'Kwh Consumption'!G15+'Kwh Consumption'!H15)*' Kwh area wise $ '!B14</f>
        <v>145.59999999999093</v>
      </c>
      <c r="H14" s="16">
        <f>('Kwh Consumption'!I15+'Kwh Consumption'!J15)*' Kwh area wise $ '!B14</f>
        <v>42.98000000000031</v>
      </c>
      <c r="I14" s="1">
        <f>('Kwh Consumption'!K15+'Kwh Consumption'!L15)*' Kwh area wise $ '!B14</f>
        <v>186.20000000000576</v>
      </c>
      <c r="J14" s="1">
        <f>('Kwh Consumption'!M15+'Kwh Consumption'!N15+'Kwh Consumption'!O15+'Kwh Consumption'!P15+'Kwh Consumption'!Q15+'Kwh Consumption'!R15)*' Kwh area wise $ '!B14</f>
        <v>578.19999999999141</v>
      </c>
      <c r="K14" s="1">
        <f>('Kwh Consumption'!S15+'Kwh Consumption'!T15)*' Kwh area wise $ '!B14</f>
        <v>671.05920000003653</v>
      </c>
      <c r="L14" s="1">
        <f>'Kwh Consumption'!U15*' Kwh area wise $ '!B14</f>
        <v>33.599999999999284</v>
      </c>
      <c r="M14" s="1">
        <f>'Kwh Consumption'!V15*' Kwh area wise $ '!B14</f>
        <v>617.36079999989965</v>
      </c>
    </row>
    <row r="15" spans="1:13" x14ac:dyDescent="0.25">
      <c r="A15" s="14">
        <f>'Kwh Reading'!A16</f>
        <v>44209</v>
      </c>
      <c r="B15" s="11">
        <f>TOTAL!F14</f>
        <v>0.14000000000000001</v>
      </c>
      <c r="C15" s="11">
        <f>'Kwh Consumption'!B16*' Kwh area wise $ '!B15</f>
        <v>2757.9999999999432</v>
      </c>
      <c r="D15" s="1">
        <f>'Kwh Consumption'!C16*' Kwh area wise $ '!B15</f>
        <v>65.799999999995862</v>
      </c>
      <c r="E15" s="1">
        <f>'Kwh Consumption'!D16*' Kwh area wise $ '!B15</f>
        <v>335.99999999999409</v>
      </c>
      <c r="F15" s="1">
        <f>'Kwh Consumption'!E16*' Kwh area wise $ '!B15</f>
        <v>33.599999999997294</v>
      </c>
      <c r="G15" s="1">
        <f>('Kwh Consumption'!F16+'Kwh Consumption'!G16+'Kwh Consumption'!H16)*' Kwh area wise $ '!B15</f>
        <v>103.60000000000527</v>
      </c>
      <c r="H15" s="16">
        <f>('Kwh Consumption'!I16+'Kwh Consumption'!J16)*' Kwh area wise $ '!B15</f>
        <v>47.319999999999148</v>
      </c>
      <c r="I15" s="1">
        <f>('Kwh Consumption'!K16+'Kwh Consumption'!L16)*' Kwh area wise $ '!B15</f>
        <v>169.40000000000512</v>
      </c>
      <c r="J15" s="1">
        <f>('Kwh Consumption'!M16+'Kwh Consumption'!N16+'Kwh Consumption'!O16+'Kwh Consumption'!P16+'Kwh Consumption'!Q16+'Kwh Consumption'!R16)*' Kwh area wise $ '!B15</f>
        <v>532.00000000000159</v>
      </c>
      <c r="K15" s="1">
        <f>('Kwh Consumption'!S16+'Kwh Consumption'!T16)*' Kwh area wise $ '!B15</f>
        <v>589.66740000002096</v>
      </c>
      <c r="L15" s="1">
        <f>'Kwh Consumption'!U16*' Kwh area wise $ '!B15</f>
        <v>33.599999999999284</v>
      </c>
      <c r="M15" s="1">
        <f>'Kwh Consumption'!V16*' Kwh area wise $ '!B15</f>
        <v>847.01259999992476</v>
      </c>
    </row>
    <row r="16" spans="1:13" x14ac:dyDescent="0.25">
      <c r="A16" s="14">
        <f>'Kwh Reading'!A17</f>
        <v>44210</v>
      </c>
      <c r="B16" s="11">
        <f>TOTAL!F15</f>
        <v>0.14000000000000001</v>
      </c>
      <c r="C16" s="11">
        <f>'Kwh Consumption'!B17*' Kwh area wise $ '!B16</f>
        <v>3112.2000000000344</v>
      </c>
      <c r="D16" s="1">
        <f>'Kwh Consumption'!C17*' Kwh area wise $ '!B16</f>
        <v>72.800000000005411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130.20000000000493</v>
      </c>
      <c r="H16" s="16">
        <f>('Kwh Consumption'!I17+'Kwh Consumption'!J17)*' Kwh area wise $ '!B16</f>
        <v>33.600000000001273</v>
      </c>
      <c r="I16" s="1">
        <f>('Kwh Consumption'!K17+'Kwh Consumption'!L17)*' Kwh area wise $ '!B16</f>
        <v>204.39999999998523</v>
      </c>
      <c r="J16" s="1">
        <f>('Kwh Consumption'!M17+'Kwh Consumption'!N17+'Kwh Consumption'!O17+'Kwh Consumption'!P17+'Kwh Consumption'!Q17+'Kwh Consumption'!R17)*' Kwh area wise $ '!B16</f>
        <v>641.2000000000138</v>
      </c>
      <c r="K16" s="1">
        <f>('Kwh Consumption'!S17+'Kwh Consumption'!T17)*' Kwh area wise $ '!B16</f>
        <v>640.80939999999487</v>
      </c>
      <c r="L16" s="1">
        <f>'Kwh Consumption'!U17*' Kwh area wise $ '!B16</f>
        <v>35</v>
      </c>
      <c r="M16" s="1">
        <f>'Kwh Consumption'!V17*' Kwh area wise $ '!B16</f>
        <v>955.19060000000661</v>
      </c>
    </row>
    <row r="17" spans="1:13" x14ac:dyDescent="0.25">
      <c r="A17" s="14">
        <f>'Kwh Reading'!A18</f>
        <v>44211</v>
      </c>
      <c r="B17" s="11">
        <f>TOTAL!F16</f>
        <v>0.14000000000000001</v>
      </c>
      <c r="C17" s="11">
        <f>'Kwh Consumption'!B18*' Kwh area wise $ '!B17</f>
        <v>2811.199999999958</v>
      </c>
      <c r="D17" s="1">
        <f>'Kwh Consumption'!C18*' Kwh area wise $ '!B17</f>
        <v>37.799999999997461</v>
      </c>
      <c r="E17" s="1">
        <f>'Kwh Consumption'!D18*' Kwh area wise $ '!B17</f>
        <v>377.99999999998948</v>
      </c>
      <c r="F17" s="1">
        <f>'Kwh Consumption'!E18*' Kwh area wise $ '!B17</f>
        <v>40.600000000002872</v>
      </c>
      <c r="G17" s="1">
        <f>('Kwh Consumption'!F18+'Kwh Consumption'!G18+'Kwh Consumption'!H18)*' Kwh area wise $ '!B17</f>
        <v>156.79999999999669</v>
      </c>
      <c r="H17" s="16">
        <f>('Kwh Consumption'!I18+'Kwh Consumption'!J18)*' Kwh area wise $ '!B17</f>
        <v>37.520000000000103</v>
      </c>
      <c r="I17" s="1">
        <f>('Kwh Consumption'!K18+'Kwh Consumption'!L18)*' Kwh area wise $ '!B17</f>
        <v>217.00000000000958</v>
      </c>
      <c r="J17" s="1">
        <f>('Kwh Consumption'!M18+'Kwh Consumption'!N18+'Kwh Consumption'!O18+'Kwh Consumption'!P18+'Kwh Consumption'!Q18+'Kwh Consumption'!R18)*' Kwh area wise $ '!B17</f>
        <v>638.39999999998452</v>
      </c>
      <c r="K17" s="1">
        <f>('Kwh Consumption'!S18+'Kwh Consumption'!T18)*' Kwh area wise $ '!B17</f>
        <v>573.90899999994792</v>
      </c>
      <c r="L17" s="1">
        <f>'Kwh Consumption'!U18*' Kwh area wise $ '!B17</f>
        <v>33.600000000001273</v>
      </c>
      <c r="M17" s="1">
        <f>'Kwh Consumption'!V18*' Kwh area wise $ '!B17</f>
        <v>697.57100000002799</v>
      </c>
    </row>
    <row r="18" spans="1:13" x14ac:dyDescent="0.25">
      <c r="A18" s="14">
        <f>'Kwh Reading'!A19</f>
        <v>44212</v>
      </c>
      <c r="B18" s="11">
        <f>TOTAL!F17</f>
        <v>0.14000000000000001</v>
      </c>
      <c r="C18" s="11">
        <f>'Kwh Consumption'!B19*' Kwh area wise $ '!B18</f>
        <v>2886.7999999999533</v>
      </c>
      <c r="D18" s="1">
        <f>'Kwh Consumption'!C19*' Kwh area wise $ '!B18</f>
        <v>72.799999999997453</v>
      </c>
      <c r="E18" s="1">
        <f>'Kwh Consumption'!D19*' Kwh area wise $ '!B18</f>
        <v>335.99999999999409</v>
      </c>
      <c r="F18" s="1">
        <f>'Kwh Consumption'!E19*' Kwh area wise $ '!B18</f>
        <v>36.399999999998727</v>
      </c>
      <c r="G18" s="1">
        <f>('Kwh Consumption'!F19+'Kwh Consumption'!G19+'Kwh Consumption'!H19)*' Kwh area wise $ '!B18</f>
        <v>127.39999999999954</v>
      </c>
      <c r="H18" s="16">
        <f>('Kwh Consumption'!I19+'Kwh Consumption'!J19)*' Kwh area wise $ '!B18</f>
        <v>37.79999999999945</v>
      </c>
      <c r="I18" s="1">
        <f>('Kwh Consumption'!K19+'Kwh Consumption'!L19)*' Kwh area wise $ '!B18</f>
        <v>211.39999999999876</v>
      </c>
      <c r="J18" s="1">
        <f>('Kwh Consumption'!M19+'Kwh Consumption'!N19+'Kwh Consumption'!O19+'Kwh Consumption'!P19+'Kwh Consumption'!Q19+'Kwh Consumption'!R19)*' Kwh area wise $ '!B18</f>
        <v>635.60000000001094</v>
      </c>
      <c r="K18" s="1">
        <f>('Kwh Consumption'!S19+'Kwh Consumption'!T19)*' Kwh area wise $ '!B18</f>
        <v>598.91719999993222</v>
      </c>
      <c r="L18" s="1">
        <f>'Kwh Consumption'!U19*' Kwh area wise $ '!B18</f>
        <v>39.200000000000166</v>
      </c>
      <c r="M18" s="1">
        <f>'Kwh Consumption'!V19*' Kwh area wise $ '!B18</f>
        <v>791.28280000002178</v>
      </c>
    </row>
    <row r="19" spans="1:13" x14ac:dyDescent="0.25">
      <c r="A19" s="14">
        <f>'Kwh Reading'!A20</f>
        <v>44213</v>
      </c>
      <c r="B19" s="11">
        <f>TOTAL!F18</f>
        <v>0.14000000000000001</v>
      </c>
      <c r="C19" s="11">
        <f>'Kwh Consumption'!B20*' Kwh area wise $ '!B19</f>
        <v>3017.0000000000573</v>
      </c>
      <c r="D19" s="1">
        <f>'Kwh Consumption'!C20*' Kwh area wise $ '!B19</f>
        <v>72.800000000005411</v>
      </c>
      <c r="E19" s="1">
        <f>'Kwh Consumption'!D20*' Kwh area wise $ '!B19</f>
        <v>335.99999999999409</v>
      </c>
      <c r="F19" s="1">
        <f>'Kwh Consumption'!E20*' Kwh area wise $ '!B19</f>
        <v>30.799999999999844</v>
      </c>
      <c r="G19" s="1">
        <f>('Kwh Consumption'!F20+'Kwh Consumption'!G20+'Kwh Consumption'!H20)*' Kwh area wise $ '!B19</f>
        <v>116.19999999999779</v>
      </c>
      <c r="H19" s="16">
        <f>('Kwh Consumption'!I20+'Kwh Consumption'!J20)*' Kwh area wise $ '!B19</f>
        <v>38.640000000001471</v>
      </c>
      <c r="I19" s="1">
        <f>('Kwh Consumption'!K20+'Kwh Consumption'!L20)*' Kwh area wise $ '!B19</f>
        <v>211.40000000000273</v>
      </c>
      <c r="J19" s="1">
        <f>('Kwh Consumption'!M20+'Kwh Consumption'!N20+'Kwh Consumption'!O20+'Kwh Consumption'!P20+'Kwh Consumption'!Q20+'Kwh Consumption'!R20)*' Kwh area wise $ '!B19</f>
        <v>639.7999999999912</v>
      </c>
      <c r="K19" s="1">
        <f>('Kwh Consumption'!S20+'Kwh Consumption'!T20)*' Kwh area wise $ '!B19</f>
        <v>667.73840000007306</v>
      </c>
      <c r="L19" s="1">
        <f>'Kwh Consumption'!U20*' Kwh area wise $ '!B19</f>
        <v>33.599999999999284</v>
      </c>
      <c r="M19" s="1">
        <f>'Kwh Consumption'!V20*' Kwh area wise $ '!B19</f>
        <v>870.0215999999923</v>
      </c>
    </row>
    <row r="20" spans="1:13" x14ac:dyDescent="0.25">
      <c r="A20" s="14">
        <f>'Kwh Reading'!A21</f>
        <v>44214</v>
      </c>
      <c r="B20" s="11">
        <f>TOTAL!F19</f>
        <v>0.14000000000000001</v>
      </c>
      <c r="C20" s="11">
        <f>'Kwh Consumption'!B21*' Kwh area wise $ '!B20</f>
        <v>2975.0000000000323</v>
      </c>
      <c r="D20" s="1">
        <f>'Kwh Consumption'!C21*' Kwh area wise $ '!B20</f>
        <v>74.19999999999618</v>
      </c>
      <c r="E20" s="1">
        <f>'Kwh Consumption'!D21*' Kwh area wise $ '!B20</f>
        <v>378.00000000002058</v>
      </c>
      <c r="F20" s="1">
        <f>'Kwh Consumption'!E21*' Kwh area wise $ '!B20</f>
        <v>39.200000000000166</v>
      </c>
      <c r="G20" s="1">
        <f>('Kwh Consumption'!F21+'Kwh Consumption'!G21+'Kwh Consumption'!H21)*' Kwh area wise $ '!B20</f>
        <v>-113.39999999999635</v>
      </c>
      <c r="H20" s="16">
        <f>('Kwh Consumption'!I21+'Kwh Consumption'!J21)*' Kwh area wise $ '!B20</f>
        <v>37.519999999998113</v>
      </c>
      <c r="I20" s="1">
        <f>('Kwh Consumption'!K21+'Kwh Consumption'!L21)*' Kwh area wise $ '!B20</f>
        <v>215.59999999999891</v>
      </c>
      <c r="J20" s="1">
        <f>('Kwh Consumption'!M21+'Kwh Consumption'!N21+'Kwh Consumption'!O21+'Kwh Consumption'!P21+'Kwh Consumption'!Q21+'Kwh Consumption'!R21)*' Kwh area wise $ '!B20</f>
        <v>659.40000000000521</v>
      </c>
      <c r="K20" s="1">
        <f>('Kwh Consumption'!S21+'Kwh Consumption'!T21)*' Kwh area wise $ '!B20</f>
        <v>745.57980000004181</v>
      </c>
      <c r="L20" s="1">
        <f>'Kwh Consumption'!U21*' Kwh area wise $ '!B20</f>
        <v>32.200000000000557</v>
      </c>
      <c r="M20" s="1">
        <f>'Kwh Consumption'!V21*' Kwh area wise $ '!B20</f>
        <v>906.70019999996748</v>
      </c>
    </row>
    <row r="21" spans="1:13" x14ac:dyDescent="0.25">
      <c r="A21" s="14">
        <f>'Kwh Reading'!A22</f>
        <v>44215</v>
      </c>
      <c r="B21" s="11">
        <f>TOTAL!F20</f>
        <v>0.14000000000000001</v>
      </c>
      <c r="C21" s="11">
        <f>'Kwh Consumption'!B22*' Kwh area wise $ '!B21</f>
        <v>2973.5999999999699</v>
      </c>
      <c r="D21" s="1">
        <f>'Kwh Consumption'!C22*' Kwh area wise $ '!B21</f>
        <v>22.400000000003505</v>
      </c>
      <c r="E21" s="1">
        <f>'Kwh Consumption'!D22*' Kwh area wise $ '!B21</f>
        <v>335.99999999999409</v>
      </c>
      <c r="F21" s="1">
        <f>'Kwh Consumption'!E22*' Kwh area wise $ '!B21</f>
        <v>35</v>
      </c>
      <c r="G21" s="1">
        <f>('Kwh Consumption'!F22+'Kwh Consumption'!G22+'Kwh Consumption'!H22)*' Kwh area wise $ '!B21</f>
        <v>379.39999999999719</v>
      </c>
      <c r="H21" s="16">
        <f>('Kwh Consumption'!I22+'Kwh Consumption'!J22)*' Kwh area wise $ '!B21</f>
        <v>35.279999999999347</v>
      </c>
      <c r="I21" s="1">
        <f>('Kwh Consumption'!K22+'Kwh Consumption'!L22)*' Kwh area wise $ '!B21</f>
        <v>198.7999999999943</v>
      </c>
      <c r="J21" s="1">
        <f>('Kwh Consumption'!M22+'Kwh Consumption'!N22+'Kwh Consumption'!O22+'Kwh Consumption'!P22+'Kwh Consumption'!Q22+'Kwh Consumption'!R22)*' Kwh area wise $ '!B21</f>
        <v>618.79999999999438</v>
      </c>
      <c r="K21" s="1">
        <f>('Kwh Consumption'!S22+'Kwh Consumption'!T22)*' Kwh area wise $ '!B21</f>
        <v>708.08500000000004</v>
      </c>
      <c r="L21" s="1">
        <f>'Kwh Consumption'!U22*' Kwh area wise $ '!B21</f>
        <v>30.799999999999844</v>
      </c>
      <c r="M21" s="1">
        <f>'Kwh Consumption'!V22*' Kwh area wise $ '!B21</f>
        <v>609.03499999998735</v>
      </c>
    </row>
    <row r="22" spans="1:13" x14ac:dyDescent="0.25">
      <c r="A22" s="14">
        <f>'Kwh Reading'!A23</f>
        <v>44216</v>
      </c>
      <c r="B22" s="11">
        <f>TOTAL!F21</f>
        <v>0.14000000000000001</v>
      </c>
      <c r="C22" s="11">
        <f>'Kwh Consumption'!B23*' Kwh area wise $ '!B22</f>
        <v>2972.2000000000348</v>
      </c>
      <c r="D22" s="1">
        <f>'Kwh Consumption'!C23*' Kwh area wise $ '!B22</f>
        <v>118.99999999999524</v>
      </c>
      <c r="E22" s="1">
        <f>'Kwh Consumption'!D23*' Kwh area wise $ '!B22</f>
        <v>349.99999999999261</v>
      </c>
      <c r="F22" s="1">
        <f>'Kwh Consumption'!E23*' Kwh area wise $ '!B22</f>
        <v>32.199999999998568</v>
      </c>
      <c r="G22" s="1">
        <f>('Kwh Consumption'!F23+'Kwh Consumption'!G23+'Kwh Consumption'!H23)*' Kwh area wise $ '!B22</f>
        <v>95.199999999993011</v>
      </c>
      <c r="H22" s="16">
        <f>('Kwh Consumption'!I23+'Kwh Consumption'!J23)*' Kwh area wise $ '!B22</f>
        <v>34.860000000001321</v>
      </c>
      <c r="I22" s="1">
        <f>('Kwh Consumption'!K23+'Kwh Consumption'!L23)*' Kwh area wise $ '!B22</f>
        <v>189.00000000000719</v>
      </c>
      <c r="J22" s="1">
        <f>('Kwh Consumption'!M23+'Kwh Consumption'!N23+'Kwh Consumption'!O23+'Kwh Consumption'!P23+'Kwh Consumption'!Q23+'Kwh Consumption'!R23)*' Kwh area wise $ '!B22</f>
        <v>595.00000000000796</v>
      </c>
      <c r="K22" s="1">
        <f>('Kwh Consumption'!S23+'Kwh Consumption'!T23)*' Kwh area wise $ '!B22</f>
        <v>627.5766000000574</v>
      </c>
      <c r="L22" s="1">
        <f>'Kwh Consumption'!U23*' Kwh area wise $ '!B22</f>
        <v>29.399999999999128</v>
      </c>
      <c r="M22" s="1">
        <f>'Kwh Consumption'!V23*' Kwh area wise $ '!B22</f>
        <v>899.96339999998247</v>
      </c>
    </row>
    <row r="23" spans="1:13" x14ac:dyDescent="0.25">
      <c r="A23" s="14">
        <f>'Kwh Reading'!A24</f>
        <v>44217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-48329.4</v>
      </c>
      <c r="E23" s="1">
        <f>'Kwh Consumption'!D24*' Kwh area wise $ '!B23</f>
        <v>-278026</v>
      </c>
      <c r="F23" s="1">
        <f>'Kwh Consumption'!E24*' Kwh area wise $ '!B23</f>
        <v>-26973.800000000003</v>
      </c>
      <c r="G23" s="1">
        <f>('Kwh Consumption'!F24+'Kwh Consumption'!G24+'Kwh Consumption'!H24)*' Kwh area wise $ '!B23</f>
        <v>-107860.20000000001</v>
      </c>
      <c r="H23" s="16">
        <f>('Kwh Consumption'!I24+'Kwh Consumption'!J24)*' Kwh area wise $ '!B23</f>
        <v>-29622.880000000001</v>
      </c>
      <c r="I23" s="1">
        <f>('Kwh Consumption'!K24+'Kwh Consumption'!L24)*' Kwh area wise $ '!B23</f>
        <v>-134916.6</v>
      </c>
      <c r="J23" s="1">
        <f>('Kwh Consumption'!M24+'Kwh Consumption'!N24+'Kwh Consumption'!O24+'Kwh Consumption'!P24+'Kwh Consumption'!Q24+'Kwh Consumption'!R24)*' Kwh area wise $ '!B23</f>
        <v>-370734.00000000006</v>
      </c>
      <c r="K23" s="1">
        <f>('Kwh Consumption'!S24+'Kwh Consumption'!T24)*' Kwh area wise $ '!B23</f>
        <v>-2072598.9816000003</v>
      </c>
      <c r="L23" s="1">
        <f>'Kwh Consumption'!U24*' Kwh area wise $ '!B23</f>
        <v>-15748.600000000002</v>
      </c>
      <c r="M23" s="1">
        <f>'Kwh Consumption'!V24*' Kwh area wise $ '!B23</f>
        <v>3084810.4616</v>
      </c>
    </row>
    <row r="24" spans="1:13" x14ac:dyDescent="0.25">
      <c r="A24" s="14">
        <f>'Kwh Reading'!A25</f>
        <v>44218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44219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44220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44221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44222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44223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44224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44225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44226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44227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58091.599999999948</v>
      </c>
      <c r="D34" s="75">
        <f t="shared" si="0"/>
        <v>-46863.600000000006</v>
      </c>
      <c r="E34" s="75">
        <f t="shared" si="0"/>
        <v>-270970</v>
      </c>
      <c r="F34" s="75">
        <f t="shared" si="0"/>
        <v>-26243.000000000004</v>
      </c>
      <c r="G34" s="75">
        <f t="shared" si="0"/>
        <v>-105065.80000000002</v>
      </c>
      <c r="H34" s="75">
        <f t="shared" si="0"/>
        <v>-28772.52</v>
      </c>
      <c r="I34" s="75">
        <f t="shared" si="0"/>
        <v>-131056.8</v>
      </c>
      <c r="J34" s="75">
        <f t="shared" si="0"/>
        <v>-358904.00000000006</v>
      </c>
      <c r="K34" s="75">
        <f t="shared" si="0"/>
        <v>-2059542.2232000001</v>
      </c>
      <c r="L34" s="75">
        <f t="shared" si="0"/>
        <v>-15030.400000000003</v>
      </c>
      <c r="M34" s="75">
        <f>SUM(M3:M33)</f>
        <v>3100539.9432000001</v>
      </c>
      <c r="N34" s="84">
        <f>D34+E34+F34+G34+H34+I34+J34+K34+L34+M34</f>
        <v>58091.599999999627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9" activePane="bottomRight" state="frozen"/>
      <selection pane="topRight" activeCell="C25" sqref="C25"/>
      <selection pane="bottomLeft" activeCell="C25" sqref="C25"/>
      <selection pane="bottomRight" activeCell="E27" sqref="E2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44197</v>
      </c>
      <c r="B3" s="33">
        <v>136859</v>
      </c>
      <c r="C3" s="33">
        <v>92869</v>
      </c>
      <c r="D3" s="33">
        <v>182994</v>
      </c>
      <c r="E3" s="55">
        <v>237039</v>
      </c>
      <c r="F3" s="33">
        <v>66831</v>
      </c>
      <c r="G3" s="55">
        <v>108009</v>
      </c>
      <c r="H3" s="33">
        <v>44506</v>
      </c>
      <c r="I3" s="56">
        <v>56807</v>
      </c>
      <c r="J3" s="55">
        <v>17981</v>
      </c>
      <c r="K3" s="55">
        <v>1024</v>
      </c>
      <c r="L3" s="55">
        <v>15993</v>
      </c>
      <c r="M3" s="55">
        <v>21558</v>
      </c>
      <c r="N3" s="55">
        <v>6567</v>
      </c>
      <c r="O3" s="55">
        <v>1512</v>
      </c>
      <c r="P3" s="33">
        <v>25641</v>
      </c>
      <c r="Q3" s="55">
        <v>815</v>
      </c>
      <c r="R3" s="55">
        <v>5252</v>
      </c>
    </row>
    <row r="4" spans="1:18" x14ac:dyDescent="0.25">
      <c r="A4" s="54">
        <v>44198</v>
      </c>
      <c r="B4" s="56">
        <v>137045</v>
      </c>
      <c r="C4" s="56">
        <v>93068</v>
      </c>
      <c r="D4" s="55">
        <v>183090</v>
      </c>
      <c r="E4" s="55">
        <v>237095</v>
      </c>
      <c r="F4" s="55">
        <v>66831</v>
      </c>
      <c r="G4" s="55">
        <v>108037</v>
      </c>
      <c r="H4" s="33">
        <v>44531</v>
      </c>
      <c r="I4" s="55">
        <v>56949</v>
      </c>
      <c r="J4" s="55">
        <v>17991</v>
      </c>
      <c r="K4" s="55">
        <v>1024</v>
      </c>
      <c r="L4" s="55">
        <v>16000</v>
      </c>
      <c r="M4" s="55">
        <v>21570</v>
      </c>
      <c r="N4" s="55">
        <v>5671</v>
      </c>
      <c r="O4" s="55">
        <v>1513</v>
      </c>
      <c r="P4" s="55">
        <v>25705</v>
      </c>
      <c r="Q4" s="33">
        <v>818</v>
      </c>
      <c r="R4" s="55">
        <v>5261</v>
      </c>
    </row>
    <row r="5" spans="1:18" x14ac:dyDescent="0.25">
      <c r="A5" s="54">
        <v>44199</v>
      </c>
      <c r="B5" s="55">
        <v>137205</v>
      </c>
      <c r="C5" s="33">
        <v>93269</v>
      </c>
      <c r="D5" s="55">
        <v>183208</v>
      </c>
      <c r="E5" s="55">
        <v>237155</v>
      </c>
      <c r="F5" s="55">
        <v>66832</v>
      </c>
      <c r="G5" s="55">
        <v>108062</v>
      </c>
      <c r="H5" s="33">
        <v>44557</v>
      </c>
      <c r="I5" s="55">
        <v>56969</v>
      </c>
      <c r="J5" s="55">
        <v>18002</v>
      </c>
      <c r="K5" s="55">
        <v>1024</v>
      </c>
      <c r="L5" s="55">
        <v>16007</v>
      </c>
      <c r="M5" s="55">
        <v>21585</v>
      </c>
      <c r="N5" s="55">
        <v>6575</v>
      </c>
      <c r="O5" s="55">
        <v>1513</v>
      </c>
      <c r="P5" s="55">
        <v>25705</v>
      </c>
      <c r="Q5" s="33">
        <v>825</v>
      </c>
      <c r="R5" s="55">
        <v>5270</v>
      </c>
    </row>
    <row r="6" spans="1:18" x14ac:dyDescent="0.25">
      <c r="A6" s="54">
        <v>44200</v>
      </c>
      <c r="B6" s="56">
        <v>137402</v>
      </c>
      <c r="C6" s="56">
        <v>93429</v>
      </c>
      <c r="D6" s="55">
        <v>183412</v>
      </c>
      <c r="E6" s="55">
        <v>237215</v>
      </c>
      <c r="F6" s="55">
        <v>66832</v>
      </c>
      <c r="G6" s="55">
        <v>108095</v>
      </c>
      <c r="H6" s="33">
        <v>44590</v>
      </c>
      <c r="I6" s="55">
        <v>56991</v>
      </c>
      <c r="J6" s="55">
        <v>18012</v>
      </c>
      <c r="K6" s="55">
        <v>1024</v>
      </c>
      <c r="L6" s="55">
        <v>16016</v>
      </c>
      <c r="M6" s="55">
        <v>21603</v>
      </c>
      <c r="N6" s="55">
        <v>6578</v>
      </c>
      <c r="O6" s="55">
        <v>1514</v>
      </c>
      <c r="P6" s="55">
        <v>25711</v>
      </c>
      <c r="Q6" s="33">
        <v>826</v>
      </c>
      <c r="R6" s="55">
        <v>5277</v>
      </c>
    </row>
    <row r="7" spans="1:18" x14ac:dyDescent="0.25">
      <c r="A7" s="54">
        <v>44201</v>
      </c>
      <c r="B7" s="56">
        <v>137514</v>
      </c>
      <c r="C7" s="33">
        <v>93635</v>
      </c>
      <c r="D7" s="55">
        <v>183553</v>
      </c>
      <c r="E7" s="55">
        <v>237288</v>
      </c>
      <c r="F7" s="55">
        <v>66833</v>
      </c>
      <c r="G7" s="55">
        <v>108120</v>
      </c>
      <c r="H7" s="33">
        <v>44607</v>
      </c>
      <c r="I7" s="55">
        <v>57009</v>
      </c>
      <c r="J7" s="55">
        <v>18023</v>
      </c>
      <c r="K7" s="55">
        <v>1024</v>
      </c>
      <c r="L7" s="55">
        <v>16024</v>
      </c>
      <c r="M7" s="55">
        <v>21618</v>
      </c>
      <c r="N7" s="55">
        <v>6581</v>
      </c>
      <c r="O7" s="55">
        <v>1515</v>
      </c>
      <c r="P7" s="55">
        <v>25711</v>
      </c>
      <c r="Q7" s="33">
        <v>829</v>
      </c>
      <c r="R7" s="55">
        <v>5280</v>
      </c>
    </row>
    <row r="8" spans="1:18" x14ac:dyDescent="0.25">
      <c r="A8" s="54">
        <v>44202</v>
      </c>
      <c r="B8" s="33">
        <v>137659</v>
      </c>
      <c r="C8" s="56">
        <v>93875</v>
      </c>
      <c r="D8" s="55">
        <v>183769</v>
      </c>
      <c r="E8" s="55">
        <v>237357</v>
      </c>
      <c r="F8" s="55">
        <v>66833</v>
      </c>
      <c r="G8" s="55">
        <v>108152</v>
      </c>
      <c r="H8" s="33">
        <v>44636</v>
      </c>
      <c r="I8" s="55">
        <v>57023</v>
      </c>
      <c r="J8" s="55">
        <v>18035</v>
      </c>
      <c r="K8" s="55">
        <v>1024</v>
      </c>
      <c r="L8" s="55">
        <v>16032</v>
      </c>
      <c r="M8" s="55">
        <v>21631</v>
      </c>
      <c r="N8" s="55">
        <v>6585</v>
      </c>
      <c r="O8" s="55">
        <v>1516</v>
      </c>
      <c r="P8" s="55">
        <v>25711</v>
      </c>
      <c r="Q8" s="33">
        <v>832</v>
      </c>
      <c r="R8" s="55">
        <v>5294</v>
      </c>
    </row>
    <row r="9" spans="1:18" x14ac:dyDescent="0.25">
      <c r="A9" s="54">
        <v>44203</v>
      </c>
      <c r="B9" s="33">
        <v>137795</v>
      </c>
      <c r="C9" s="33">
        <v>94076</v>
      </c>
      <c r="D9" s="55">
        <v>183929</v>
      </c>
      <c r="E9" s="55">
        <v>237424</v>
      </c>
      <c r="F9" s="55">
        <v>66834</v>
      </c>
      <c r="G9" s="55">
        <v>108179</v>
      </c>
      <c r="H9" s="33">
        <v>44663</v>
      </c>
      <c r="I9" s="55">
        <v>57041</v>
      </c>
      <c r="J9" s="55">
        <v>18046</v>
      </c>
      <c r="K9" s="55">
        <v>1024</v>
      </c>
      <c r="L9" s="55">
        <v>16039</v>
      </c>
      <c r="M9" s="55">
        <v>21645</v>
      </c>
      <c r="N9" s="55">
        <v>6588</v>
      </c>
      <c r="O9" s="55">
        <v>1518</v>
      </c>
      <c r="P9" s="55">
        <v>25711</v>
      </c>
      <c r="Q9" s="33">
        <v>837</v>
      </c>
      <c r="R9" s="55">
        <v>5303</v>
      </c>
    </row>
    <row r="10" spans="1:18" x14ac:dyDescent="0.25">
      <c r="A10" s="54">
        <v>44204</v>
      </c>
      <c r="B10" s="33">
        <v>137927</v>
      </c>
      <c r="C10" s="56">
        <v>94277</v>
      </c>
      <c r="D10" s="55">
        <v>184083</v>
      </c>
      <c r="E10" s="55">
        <v>237487</v>
      </c>
      <c r="F10" s="55">
        <v>66834</v>
      </c>
      <c r="G10" s="55">
        <v>108213</v>
      </c>
      <c r="H10" s="33">
        <v>44691</v>
      </c>
      <c r="I10" s="55">
        <v>57063</v>
      </c>
      <c r="J10" s="55">
        <v>18057</v>
      </c>
      <c r="K10" s="55">
        <v>1024</v>
      </c>
      <c r="L10" s="55">
        <v>16047</v>
      </c>
      <c r="M10" s="55">
        <v>21661</v>
      </c>
      <c r="N10" s="55">
        <v>6592</v>
      </c>
      <c r="O10" s="55">
        <v>1519</v>
      </c>
      <c r="P10" s="55">
        <v>25711</v>
      </c>
      <c r="Q10" s="33">
        <v>839</v>
      </c>
      <c r="R10" s="55">
        <v>5307</v>
      </c>
    </row>
    <row r="11" spans="1:18" x14ac:dyDescent="0.25">
      <c r="A11" s="54">
        <v>44205</v>
      </c>
      <c r="B11" s="33">
        <v>138118</v>
      </c>
      <c r="C11" s="33">
        <v>94443</v>
      </c>
      <c r="D11" s="55">
        <v>184261</v>
      </c>
      <c r="E11" s="55">
        <v>237548</v>
      </c>
      <c r="F11" s="55">
        <v>66834</v>
      </c>
      <c r="G11" s="55">
        <v>108246</v>
      </c>
      <c r="H11" s="33">
        <v>44728</v>
      </c>
      <c r="I11" s="55">
        <v>57080</v>
      </c>
      <c r="J11" s="55">
        <v>18069</v>
      </c>
      <c r="K11" s="55">
        <v>1024</v>
      </c>
      <c r="L11" s="55">
        <v>16056</v>
      </c>
      <c r="M11" s="55">
        <v>21675</v>
      </c>
      <c r="N11" s="55">
        <v>6598</v>
      </c>
      <c r="O11" s="55">
        <v>1521</v>
      </c>
      <c r="P11" s="55">
        <v>25714</v>
      </c>
      <c r="Q11" s="33">
        <v>845</v>
      </c>
      <c r="R11" s="55">
        <v>5319</v>
      </c>
    </row>
    <row r="12" spans="1:18" x14ac:dyDescent="0.25">
      <c r="A12" s="54">
        <v>44206</v>
      </c>
      <c r="B12" s="33">
        <v>138253</v>
      </c>
      <c r="C12" s="56">
        <v>94594</v>
      </c>
      <c r="D12" s="55">
        <v>184379</v>
      </c>
      <c r="E12" s="55">
        <v>237605</v>
      </c>
      <c r="F12" s="55">
        <v>66834</v>
      </c>
      <c r="G12" s="55">
        <v>108267</v>
      </c>
      <c r="H12" s="33">
        <v>44775</v>
      </c>
      <c r="I12" s="55">
        <v>57096</v>
      </c>
      <c r="J12" s="55">
        <v>18079</v>
      </c>
      <c r="K12" s="55">
        <v>1024</v>
      </c>
      <c r="L12" s="55">
        <v>16063</v>
      </c>
      <c r="M12" s="55">
        <v>21686</v>
      </c>
      <c r="N12" s="55">
        <v>6604</v>
      </c>
      <c r="O12" s="55">
        <v>1522</v>
      </c>
      <c r="P12" s="55">
        <v>25714</v>
      </c>
      <c r="Q12" s="33">
        <v>846</v>
      </c>
      <c r="R12" s="55">
        <v>5328</v>
      </c>
    </row>
    <row r="13" spans="1:18" x14ac:dyDescent="0.25">
      <c r="A13" s="54">
        <v>44207</v>
      </c>
      <c r="B13" s="33">
        <v>138437</v>
      </c>
      <c r="C13" s="33">
        <v>94760</v>
      </c>
      <c r="D13" s="55">
        <v>184551</v>
      </c>
      <c r="E13" s="55">
        <v>237669</v>
      </c>
      <c r="F13" s="55">
        <v>66836</v>
      </c>
      <c r="G13" s="55">
        <v>108292</v>
      </c>
      <c r="H13" s="33">
        <v>44806</v>
      </c>
      <c r="I13" s="55">
        <v>57130</v>
      </c>
      <c r="J13" s="55">
        <v>18091</v>
      </c>
      <c r="K13" s="55">
        <v>1024</v>
      </c>
      <c r="L13" s="55">
        <v>16071</v>
      </c>
      <c r="M13" s="55">
        <v>21706</v>
      </c>
      <c r="N13" s="55">
        <v>6607</v>
      </c>
      <c r="O13" s="55">
        <v>1524</v>
      </c>
      <c r="P13" s="55">
        <v>25730</v>
      </c>
      <c r="Q13" s="33">
        <v>848</v>
      </c>
      <c r="R13" s="55">
        <v>5336</v>
      </c>
    </row>
    <row r="14" spans="1:18" x14ac:dyDescent="0.25">
      <c r="A14" s="54">
        <v>44208</v>
      </c>
      <c r="B14" s="33">
        <v>138623</v>
      </c>
      <c r="C14" s="56">
        <v>94917</v>
      </c>
      <c r="D14" s="55">
        <v>184731</v>
      </c>
      <c r="E14" s="55">
        <v>237728</v>
      </c>
      <c r="F14" s="55">
        <v>66836</v>
      </c>
      <c r="G14" s="55">
        <v>108314</v>
      </c>
      <c r="H14" s="33">
        <v>44835</v>
      </c>
      <c r="I14" s="55">
        <v>57150</v>
      </c>
      <c r="J14" s="55">
        <v>18102</v>
      </c>
      <c r="K14" s="55">
        <v>1024</v>
      </c>
      <c r="L14" s="55">
        <v>16078</v>
      </c>
      <c r="M14" s="55">
        <v>21720</v>
      </c>
      <c r="N14" s="55">
        <v>6610</v>
      </c>
      <c r="O14" s="55">
        <v>1525</v>
      </c>
      <c r="P14" s="55">
        <v>25730</v>
      </c>
      <c r="Q14" s="33">
        <v>852</v>
      </c>
      <c r="R14" s="55">
        <v>5339</v>
      </c>
    </row>
    <row r="15" spans="1:18" x14ac:dyDescent="0.25">
      <c r="A15" s="54">
        <v>44209</v>
      </c>
      <c r="B15" s="33">
        <v>138819</v>
      </c>
      <c r="C15" s="33">
        <v>95084</v>
      </c>
      <c r="D15" s="55">
        <v>184907</v>
      </c>
      <c r="E15" s="55">
        <v>237795</v>
      </c>
      <c r="F15" s="55">
        <v>66837</v>
      </c>
      <c r="G15" s="55">
        <v>108341</v>
      </c>
      <c r="H15" s="33">
        <v>44867</v>
      </c>
      <c r="I15" s="55">
        <v>57179</v>
      </c>
      <c r="J15" s="55">
        <v>18113</v>
      </c>
      <c r="K15" s="55">
        <v>1024</v>
      </c>
      <c r="L15" s="55">
        <v>16085</v>
      </c>
      <c r="M15" s="55">
        <v>21736</v>
      </c>
      <c r="N15" s="55">
        <v>6673</v>
      </c>
      <c r="O15" s="55">
        <v>1526</v>
      </c>
      <c r="P15" s="55">
        <v>25739</v>
      </c>
      <c r="Q15" s="33">
        <v>856</v>
      </c>
      <c r="R15" s="55">
        <v>5349</v>
      </c>
    </row>
    <row r="16" spans="1:18" x14ac:dyDescent="0.25">
      <c r="A16" s="54">
        <v>44210</v>
      </c>
      <c r="B16" s="33">
        <v>138955</v>
      </c>
      <c r="C16" s="56">
        <v>95225</v>
      </c>
      <c r="D16" s="55">
        <v>185035</v>
      </c>
      <c r="E16" s="55">
        <v>237852</v>
      </c>
      <c r="F16" s="55">
        <v>66837</v>
      </c>
      <c r="G16" s="55">
        <v>108361</v>
      </c>
      <c r="H16" s="33">
        <v>44889</v>
      </c>
      <c r="I16" s="55">
        <v>57199</v>
      </c>
      <c r="J16" s="55">
        <v>18125</v>
      </c>
      <c r="K16" s="55">
        <v>1024</v>
      </c>
      <c r="L16" s="55">
        <v>16085</v>
      </c>
      <c r="M16" s="55">
        <v>21753</v>
      </c>
      <c r="N16" s="55">
        <v>6616</v>
      </c>
      <c r="O16" s="55">
        <v>1527</v>
      </c>
      <c r="P16" s="55">
        <v>25742</v>
      </c>
      <c r="Q16" s="33">
        <v>858</v>
      </c>
      <c r="R16" s="55">
        <v>5356</v>
      </c>
    </row>
    <row r="17" spans="1:22" x14ac:dyDescent="0.25">
      <c r="A17" s="54">
        <v>44211</v>
      </c>
      <c r="B17" s="33">
        <v>139176</v>
      </c>
      <c r="C17" s="33">
        <v>95411</v>
      </c>
      <c r="D17" s="55">
        <v>185263</v>
      </c>
      <c r="E17" s="55">
        <v>237910</v>
      </c>
      <c r="F17" s="55">
        <v>66837</v>
      </c>
      <c r="G17" s="55">
        <v>108387</v>
      </c>
      <c r="H17" s="33">
        <v>44939</v>
      </c>
      <c r="I17" s="55">
        <v>57214</v>
      </c>
      <c r="J17" s="55">
        <v>18137</v>
      </c>
      <c r="K17" s="55">
        <v>1024</v>
      </c>
      <c r="L17" s="55">
        <v>16100</v>
      </c>
      <c r="M17" s="55">
        <v>21769</v>
      </c>
      <c r="N17" s="55">
        <v>6619</v>
      </c>
      <c r="O17" s="55">
        <v>1528</v>
      </c>
      <c r="P17" s="55">
        <v>25742</v>
      </c>
      <c r="Q17" s="33">
        <v>7.7</v>
      </c>
      <c r="R17" s="55">
        <v>5363</v>
      </c>
    </row>
    <row r="18" spans="1:22" x14ac:dyDescent="0.25">
      <c r="A18" s="54">
        <v>44212</v>
      </c>
      <c r="B18" s="33">
        <v>139357</v>
      </c>
      <c r="C18" s="56">
        <v>95615</v>
      </c>
      <c r="D18" s="55">
        <v>185444</v>
      </c>
      <c r="E18" s="55">
        <v>237981</v>
      </c>
      <c r="F18" s="55">
        <v>66838</v>
      </c>
      <c r="G18" s="55">
        <v>108419</v>
      </c>
      <c r="H18" s="33">
        <v>44980</v>
      </c>
      <c r="I18" s="55">
        <v>57233</v>
      </c>
      <c r="J18" s="33">
        <v>18149</v>
      </c>
      <c r="K18" s="55">
        <v>1024</v>
      </c>
      <c r="L18" s="55">
        <v>16109</v>
      </c>
      <c r="M18" s="55">
        <v>21786</v>
      </c>
      <c r="N18" s="55">
        <v>6622</v>
      </c>
      <c r="O18" s="55">
        <v>1530</v>
      </c>
      <c r="P18" s="55">
        <v>25742</v>
      </c>
      <c r="Q18" s="33">
        <v>9</v>
      </c>
      <c r="R18" s="55">
        <v>5364</v>
      </c>
    </row>
    <row r="19" spans="1:22" x14ac:dyDescent="0.25">
      <c r="A19" s="54">
        <v>44213</v>
      </c>
      <c r="B19" s="33">
        <v>139522</v>
      </c>
      <c r="C19" s="33">
        <v>95749</v>
      </c>
      <c r="D19" s="55">
        <v>185600</v>
      </c>
      <c r="E19" s="55">
        <v>238039</v>
      </c>
      <c r="F19" s="55">
        <v>66838</v>
      </c>
      <c r="G19" s="55">
        <v>108441</v>
      </c>
      <c r="H19" s="33">
        <v>45003</v>
      </c>
      <c r="I19" s="55">
        <v>57243</v>
      </c>
      <c r="J19" s="55">
        <v>18160</v>
      </c>
      <c r="K19" s="55">
        <v>1024</v>
      </c>
      <c r="L19" s="55">
        <v>16117</v>
      </c>
      <c r="M19" s="55">
        <v>21800</v>
      </c>
      <c r="N19" s="55">
        <v>6626</v>
      </c>
      <c r="O19" s="55">
        <v>1530</v>
      </c>
      <c r="P19" s="55">
        <v>25742</v>
      </c>
      <c r="Q19" s="33">
        <v>11</v>
      </c>
      <c r="R19" s="55">
        <v>5372</v>
      </c>
    </row>
    <row r="20" spans="1:22" x14ac:dyDescent="0.25">
      <c r="A20" s="54">
        <v>44214</v>
      </c>
      <c r="B20" s="33">
        <v>139651</v>
      </c>
      <c r="C20" s="56">
        <v>95875</v>
      </c>
      <c r="D20" s="10">
        <v>185722</v>
      </c>
      <c r="E20" s="55">
        <v>238095</v>
      </c>
      <c r="F20" s="55">
        <v>66838</v>
      </c>
      <c r="G20" s="55">
        <v>108461</v>
      </c>
      <c r="H20" s="33">
        <v>45021</v>
      </c>
      <c r="I20" s="55">
        <v>57260</v>
      </c>
      <c r="J20" s="55">
        <v>18171</v>
      </c>
      <c r="K20" s="55">
        <v>1024</v>
      </c>
      <c r="L20" s="55">
        <v>16124</v>
      </c>
      <c r="M20" s="55">
        <v>21814</v>
      </c>
      <c r="N20" s="55">
        <v>6631</v>
      </c>
      <c r="O20" s="55">
        <v>1531</v>
      </c>
      <c r="P20" s="55">
        <v>25742</v>
      </c>
      <c r="Q20" s="33">
        <v>14</v>
      </c>
      <c r="R20" s="55">
        <v>5379</v>
      </c>
    </row>
    <row r="21" spans="1:22" x14ac:dyDescent="0.25">
      <c r="A21" s="54">
        <v>44215</v>
      </c>
      <c r="B21" s="33">
        <v>139858</v>
      </c>
      <c r="C21" s="33">
        <v>96056</v>
      </c>
      <c r="D21" s="55">
        <v>185927</v>
      </c>
      <c r="E21" s="55">
        <v>238156</v>
      </c>
      <c r="F21" s="55">
        <v>66838</v>
      </c>
      <c r="G21" s="55">
        <v>108491</v>
      </c>
      <c r="H21" s="33">
        <v>45048</v>
      </c>
      <c r="I21" s="55">
        <v>57294</v>
      </c>
      <c r="J21" s="55">
        <v>18184</v>
      </c>
      <c r="K21" s="55">
        <v>1024</v>
      </c>
      <c r="L21" s="55">
        <v>16132</v>
      </c>
      <c r="M21" s="55">
        <v>21828</v>
      </c>
      <c r="N21" s="55">
        <v>6633</v>
      </c>
      <c r="O21" s="55">
        <v>1534</v>
      </c>
      <c r="P21" s="55">
        <v>25754</v>
      </c>
      <c r="Q21" s="33">
        <v>18</v>
      </c>
      <c r="R21" s="55">
        <v>5387</v>
      </c>
    </row>
    <row r="22" spans="1:22" x14ac:dyDescent="0.25">
      <c r="A22" s="54">
        <v>44216</v>
      </c>
      <c r="B22" s="33">
        <v>140026</v>
      </c>
      <c r="C22" s="56">
        <v>96190</v>
      </c>
      <c r="D22" s="55">
        <v>186071</v>
      </c>
      <c r="E22" s="55">
        <v>238217</v>
      </c>
      <c r="F22" s="55">
        <v>66839</v>
      </c>
      <c r="G22" s="55">
        <v>108516</v>
      </c>
      <c r="H22" s="33">
        <v>45077</v>
      </c>
      <c r="I22" s="55">
        <v>57300</v>
      </c>
      <c r="J22" s="55">
        <v>18196</v>
      </c>
      <c r="K22" s="55">
        <v>1024</v>
      </c>
      <c r="L22" s="55">
        <v>16140</v>
      </c>
      <c r="M22" s="55">
        <v>21844</v>
      </c>
      <c r="N22" s="55">
        <v>6635</v>
      </c>
      <c r="O22" s="55">
        <v>1535</v>
      </c>
      <c r="P22" s="55">
        <v>25754</v>
      </c>
      <c r="Q22" s="33">
        <v>20</v>
      </c>
      <c r="R22" s="55">
        <v>5389</v>
      </c>
    </row>
    <row r="23" spans="1:22" x14ac:dyDescent="0.25">
      <c r="A23" s="54">
        <v>44217</v>
      </c>
      <c r="B23" s="33">
        <v>140192</v>
      </c>
      <c r="C23" s="33">
        <v>96315</v>
      </c>
      <c r="D23" s="55">
        <v>186208</v>
      </c>
      <c r="E23" s="55">
        <v>238269</v>
      </c>
      <c r="F23" s="55">
        <v>66839</v>
      </c>
      <c r="G23" s="55">
        <v>108531</v>
      </c>
      <c r="H23" s="33">
        <v>45122</v>
      </c>
      <c r="I23" s="55">
        <v>57324</v>
      </c>
      <c r="J23" s="55">
        <v>18206</v>
      </c>
      <c r="K23" s="55">
        <v>1024</v>
      </c>
      <c r="L23" s="55">
        <v>16147</v>
      </c>
      <c r="M23" s="55">
        <v>21859</v>
      </c>
      <c r="N23" s="55">
        <v>6637</v>
      </c>
      <c r="O23" s="55">
        <v>1537</v>
      </c>
      <c r="P23" s="55">
        <v>25757</v>
      </c>
      <c r="Q23" s="33">
        <v>20</v>
      </c>
      <c r="R23" s="55">
        <v>5399</v>
      </c>
    </row>
    <row r="24" spans="1:22" x14ac:dyDescent="0.25">
      <c r="A24" s="54">
        <v>44218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44219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44220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44221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44222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44223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44224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44225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44226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44227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44228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G1" zoomScale="70" zoomScaleNormal="70" workbookViewId="0">
      <pane ySplit="3" topLeftCell="A4" activePane="bottomLeft" state="frozen"/>
      <selection activeCell="C25" sqref="C25"/>
      <selection pane="bottomLeft" activeCell="R39" sqref="R39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2" t="s">
        <v>32</v>
      </c>
      <c r="B2" s="133" t="s">
        <v>109</v>
      </c>
      <c r="C2" s="133" t="s">
        <v>110</v>
      </c>
      <c r="D2" s="133"/>
      <c r="E2" s="134" t="s">
        <v>98</v>
      </c>
      <c r="F2" s="135"/>
      <c r="G2" s="136" t="s">
        <v>113</v>
      </c>
      <c r="H2" s="135"/>
      <c r="I2" s="136" t="s">
        <v>111</v>
      </c>
      <c r="J2" s="135"/>
      <c r="K2" s="136" t="s">
        <v>112</v>
      </c>
      <c r="L2" s="135"/>
      <c r="M2" s="136" t="s">
        <v>108</v>
      </c>
      <c r="N2" s="135"/>
      <c r="O2" s="136" t="s">
        <v>107</v>
      </c>
      <c r="P2" s="135"/>
      <c r="Q2" s="136" t="s">
        <v>114</v>
      </c>
      <c r="R2" s="135"/>
      <c r="S2" s="136" t="s">
        <v>115</v>
      </c>
      <c r="T2" s="135"/>
      <c r="U2" s="136" t="s">
        <v>116</v>
      </c>
      <c r="V2" s="135"/>
      <c r="W2" s="136" t="s">
        <v>100</v>
      </c>
      <c r="X2" s="137"/>
      <c r="Y2" s="138" t="s">
        <v>53</v>
      </c>
      <c r="Z2" s="138"/>
    </row>
    <row r="3" spans="1:26" ht="30" x14ac:dyDescent="0.35">
      <c r="A3" s="132"/>
      <c r="B3" s="133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44197</v>
      </c>
      <c r="B4" s="65">
        <f>TOTAL!I2</f>
        <v>306</v>
      </c>
      <c r="C4" s="66">
        <f>('Water Reading'!B4-'Water Reading'!B3)+('Water Reading'!C4-'Water Reading'!C3)</f>
        <v>385</v>
      </c>
      <c r="D4" s="67">
        <f>C4/B4</f>
        <v>1.2581699346405228</v>
      </c>
      <c r="E4" s="88">
        <f>'Water Reading'!H4-'Water Reading'!H3</f>
        <v>25</v>
      </c>
      <c r="F4" s="89">
        <f>E4/C4</f>
        <v>6.4935064935064929E-2</v>
      </c>
      <c r="G4" s="93">
        <f>('Water Reading'!D4-'Water Reading'!D3)-('Water Reading'!R4-'Water Reading'!R3)-('Water Reading'!Q4-'Water Reading'!Q3)</f>
        <v>84</v>
      </c>
      <c r="H4" s="89">
        <f>G4/C4</f>
        <v>0.21818181818181817</v>
      </c>
      <c r="I4" s="90">
        <f>'Water Reading'!P4-'Water Reading'!P3</f>
        <v>64</v>
      </c>
      <c r="J4" s="68">
        <f>I4/C4</f>
        <v>0.16623376623376623</v>
      </c>
      <c r="K4" s="91">
        <f>('Water Reading'!I4-'Water Reading'!I3)</f>
        <v>142</v>
      </c>
      <c r="L4" s="68">
        <f>K4/C4</f>
        <v>0.36883116883116884</v>
      </c>
      <c r="M4" s="90">
        <f>'Water Reading'!R4-'Water Reading'!R3</f>
        <v>9</v>
      </c>
      <c r="N4" s="92">
        <f>M4/C4</f>
        <v>2.3376623376623377E-2</v>
      </c>
      <c r="O4" s="90">
        <f>'Water Reading'!Q4-'Water Reading'!Q3</f>
        <v>3</v>
      </c>
      <c r="P4" s="99">
        <f>O4/C4</f>
        <v>7.7922077922077922E-3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56</v>
      </c>
      <c r="T4" s="100">
        <f>S4/C4</f>
        <v>0.14545454545454545</v>
      </c>
      <c r="U4" s="90">
        <f>'Water Reading'!G4-'Water Reading'!G3</f>
        <v>28</v>
      </c>
      <c r="V4" s="100">
        <f>U4/C4</f>
        <v>7.2727272727272724E-2</v>
      </c>
      <c r="W4" s="90">
        <f>'Water Reading'!J4-'Water Reading'!J3</f>
        <v>10</v>
      </c>
      <c r="X4" s="100">
        <f>W4/C4</f>
        <v>2.5974025974025976E-2</v>
      </c>
      <c r="Y4" s="66">
        <f t="shared" ref="Y4:Y34" si="0">E4+I4+K4+M4+O4+G4+Q4+S4+U4+W4</f>
        <v>421</v>
      </c>
      <c r="Z4" s="67">
        <f t="shared" ref="Z4:Z35" si="1">Y4/B4</f>
        <v>1.3758169934640523</v>
      </c>
    </row>
    <row r="5" spans="1:26" x14ac:dyDescent="0.25">
      <c r="A5" s="8">
        <f>'Water Reading'!A4</f>
        <v>44198</v>
      </c>
      <c r="B5" s="65">
        <f>TOTAL!I3</f>
        <v>253</v>
      </c>
      <c r="C5" s="66">
        <f>('Water Reading'!B5-'Water Reading'!B4)+('Water Reading'!C5-'Water Reading'!C4)</f>
        <v>361</v>
      </c>
      <c r="D5" s="67">
        <f t="shared" ref="D5:D34" si="2">C5/B5</f>
        <v>1.4268774703557312</v>
      </c>
      <c r="E5" s="88">
        <f>'Water Reading'!H5-'Water Reading'!H4</f>
        <v>26</v>
      </c>
      <c r="F5" s="89">
        <f t="shared" ref="F5:F34" si="3">E5/C5</f>
        <v>7.2022160664819951E-2</v>
      </c>
      <c r="G5" s="93">
        <f>('Water Reading'!D5-'Water Reading'!D4)-('Water Reading'!R5-'Water Reading'!R4)-('Water Reading'!Q5-'Water Reading'!Q4)</f>
        <v>102</v>
      </c>
      <c r="H5" s="89">
        <f t="shared" ref="H5:H34" si="4">G5/C5</f>
        <v>0.28254847645429365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20</v>
      </c>
      <c r="L5" s="68">
        <f t="shared" ref="L5:L34" si="6">K5/C5</f>
        <v>5.5401662049861494E-2</v>
      </c>
      <c r="M5" s="90">
        <f>'Water Reading'!R5-'Water Reading'!R4</f>
        <v>9</v>
      </c>
      <c r="N5" s="92">
        <f t="shared" ref="N5:N34" si="7">M5/C5</f>
        <v>2.4930747922437674E-2</v>
      </c>
      <c r="O5" s="90">
        <f>'Water Reading'!Q5-'Water Reading'!Q4</f>
        <v>7</v>
      </c>
      <c r="P5" s="99">
        <f t="shared" ref="P5:P34" si="8">O5/C5</f>
        <v>1.9390581717451522E-2</v>
      </c>
      <c r="Q5" s="91">
        <f>'Water Reading'!F5-'Water Reading'!F4</f>
        <v>1</v>
      </c>
      <c r="R5" s="100">
        <f t="shared" ref="R5:R34" si="9">Q5/C5</f>
        <v>2.7700831024930748E-3</v>
      </c>
      <c r="S5" s="90">
        <f>'Water Reading'!E5-'Water Reading'!E4</f>
        <v>60</v>
      </c>
      <c r="T5" s="100">
        <f t="shared" ref="T5:T34" si="10">S5/C5</f>
        <v>0.16620498614958448</v>
      </c>
      <c r="U5" s="90">
        <f>'Water Reading'!G5-'Water Reading'!G4</f>
        <v>25</v>
      </c>
      <c r="V5" s="100">
        <f t="shared" ref="V5:V34" si="11">U5/C5</f>
        <v>6.9252077562326875E-2</v>
      </c>
      <c r="W5" s="90">
        <f>'Water Reading'!J5-'Water Reading'!J4</f>
        <v>11</v>
      </c>
      <c r="X5" s="100">
        <f t="shared" ref="X5:X34" si="12">W5/C5</f>
        <v>3.0470914127423823E-2</v>
      </c>
      <c r="Y5" s="66">
        <f t="shared" si="0"/>
        <v>261</v>
      </c>
      <c r="Z5" s="67">
        <f t="shared" si="1"/>
        <v>1.0316205533596838</v>
      </c>
    </row>
    <row r="6" spans="1:26" x14ac:dyDescent="0.25">
      <c r="A6" s="8">
        <f>'Water Reading'!A5</f>
        <v>44199</v>
      </c>
      <c r="B6" s="65">
        <f>TOTAL!I4</f>
        <v>266</v>
      </c>
      <c r="C6" s="66">
        <f>('Water Reading'!B6-'Water Reading'!B5)+('Water Reading'!C6-'Water Reading'!C5)</f>
        <v>357</v>
      </c>
      <c r="D6" s="67">
        <f t="shared" si="2"/>
        <v>1.3421052631578947</v>
      </c>
      <c r="E6" s="88">
        <f>'Water Reading'!H6-'Water Reading'!H5</f>
        <v>33</v>
      </c>
      <c r="F6" s="89">
        <f t="shared" si="3"/>
        <v>9.2436974789915971E-2</v>
      </c>
      <c r="G6" s="93">
        <f>('Water Reading'!D6-'Water Reading'!D5)-('Water Reading'!R6-'Water Reading'!R5)-('Water Reading'!Q6-'Water Reading'!Q5)</f>
        <v>196</v>
      </c>
      <c r="H6" s="89">
        <f t="shared" si="4"/>
        <v>0.5490196078431373</v>
      </c>
      <c r="I6" s="90">
        <f>'Water Reading'!P6-'Water Reading'!P5</f>
        <v>6</v>
      </c>
      <c r="J6" s="68">
        <f t="shared" si="5"/>
        <v>1.680672268907563E-2</v>
      </c>
      <c r="K6" s="91">
        <f>('Water Reading'!I6-'Water Reading'!I5)</f>
        <v>22</v>
      </c>
      <c r="L6" s="68">
        <f t="shared" si="6"/>
        <v>6.1624649859943981E-2</v>
      </c>
      <c r="M6" s="90">
        <f>'Water Reading'!R6-'Water Reading'!R5</f>
        <v>7</v>
      </c>
      <c r="N6" s="92">
        <f t="shared" si="7"/>
        <v>1.9607843137254902E-2</v>
      </c>
      <c r="O6" s="90">
        <f>'Water Reading'!Q6-'Water Reading'!Q5</f>
        <v>1</v>
      </c>
      <c r="P6" s="99">
        <f t="shared" si="8"/>
        <v>2.8011204481792717E-3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0.16806722689075632</v>
      </c>
      <c r="U6" s="90">
        <f>'Water Reading'!G6-'Water Reading'!G5</f>
        <v>33</v>
      </c>
      <c r="V6" s="100">
        <f t="shared" si="11"/>
        <v>9.2436974789915971E-2</v>
      </c>
      <c r="W6" s="90">
        <f>'Water Reading'!J6-'Water Reading'!J5</f>
        <v>10</v>
      </c>
      <c r="X6" s="100">
        <f t="shared" si="12"/>
        <v>2.8011204481792718E-2</v>
      </c>
      <c r="Y6" s="66">
        <f t="shared" si="0"/>
        <v>368</v>
      </c>
      <c r="Z6" s="67">
        <f t="shared" si="1"/>
        <v>1.3834586466165413</v>
      </c>
    </row>
    <row r="7" spans="1:26" x14ac:dyDescent="0.25">
      <c r="A7" s="8">
        <f>'Water Reading'!A6</f>
        <v>44200</v>
      </c>
      <c r="B7" s="65">
        <f>TOTAL!I5</f>
        <v>316</v>
      </c>
      <c r="C7" s="66">
        <f>('Water Reading'!B7-'Water Reading'!B6)+('Water Reading'!C7-'Water Reading'!C6)</f>
        <v>318</v>
      </c>
      <c r="D7" s="67">
        <f t="shared" si="2"/>
        <v>1.0063291139240507</v>
      </c>
      <c r="E7" s="88">
        <f>'Water Reading'!H7-'Water Reading'!H6</f>
        <v>17</v>
      </c>
      <c r="F7" s="89">
        <f t="shared" si="3"/>
        <v>5.3459119496855348E-2</v>
      </c>
      <c r="G7" s="93">
        <f>('Water Reading'!D7-'Water Reading'!D6)-('Water Reading'!R7-'Water Reading'!R6)-('Water Reading'!Q7-'Water Reading'!Q6)</f>
        <v>135</v>
      </c>
      <c r="H7" s="89">
        <f t="shared" si="4"/>
        <v>0.42452830188679247</v>
      </c>
      <c r="I7" s="90">
        <f>'Water Reading'!P7-'Water Reading'!P6</f>
        <v>0</v>
      </c>
      <c r="J7" s="68">
        <f t="shared" si="5"/>
        <v>0</v>
      </c>
      <c r="K7" s="91">
        <f>('Water Reading'!I7-'Water Reading'!I6)</f>
        <v>18</v>
      </c>
      <c r="L7" s="68">
        <f t="shared" si="6"/>
        <v>5.6603773584905662E-2</v>
      </c>
      <c r="M7" s="90">
        <f>'Water Reading'!R7-'Water Reading'!R6</f>
        <v>3</v>
      </c>
      <c r="N7" s="92">
        <f t="shared" si="7"/>
        <v>9.433962264150943E-3</v>
      </c>
      <c r="O7" s="90">
        <f>'Water Reading'!Q7-'Water Reading'!Q6</f>
        <v>3</v>
      </c>
      <c r="P7" s="99">
        <f t="shared" si="8"/>
        <v>9.433962264150943E-3</v>
      </c>
      <c r="Q7" s="91">
        <f>'Water Reading'!F7-'Water Reading'!F6</f>
        <v>1</v>
      </c>
      <c r="R7" s="100">
        <f t="shared" si="9"/>
        <v>3.1446540880503146E-3</v>
      </c>
      <c r="S7" s="90">
        <f>'Water Reading'!E7-'Water Reading'!E6</f>
        <v>73</v>
      </c>
      <c r="T7" s="100">
        <f t="shared" si="10"/>
        <v>0.22955974842767296</v>
      </c>
      <c r="U7" s="90">
        <f>'Water Reading'!G7-'Water Reading'!G6</f>
        <v>25</v>
      </c>
      <c r="V7" s="100">
        <f t="shared" si="11"/>
        <v>7.8616352201257858E-2</v>
      </c>
      <c r="W7" s="90">
        <f>'Water Reading'!J7-'Water Reading'!J6</f>
        <v>11</v>
      </c>
      <c r="X7" s="100">
        <f t="shared" si="12"/>
        <v>3.4591194968553458E-2</v>
      </c>
      <c r="Y7" s="66">
        <f t="shared" si="0"/>
        <v>286</v>
      </c>
      <c r="Z7" s="67">
        <f t="shared" si="1"/>
        <v>0.90506329113924056</v>
      </c>
    </row>
    <row r="8" spans="1:26" x14ac:dyDescent="0.25">
      <c r="A8" s="8">
        <f>'Water Reading'!A7</f>
        <v>44201</v>
      </c>
      <c r="B8" s="65">
        <f>TOTAL!I6</f>
        <v>318</v>
      </c>
      <c r="C8" s="66">
        <f>('Water Reading'!B8-'Water Reading'!B7)+('Water Reading'!C8-'Water Reading'!C7)</f>
        <v>385</v>
      </c>
      <c r="D8" s="67">
        <f t="shared" si="2"/>
        <v>1.2106918238993711</v>
      </c>
      <c r="E8" s="88">
        <f>'Water Reading'!H8-'Water Reading'!H7</f>
        <v>29</v>
      </c>
      <c r="F8" s="89">
        <f t="shared" si="3"/>
        <v>7.5324675324675322E-2</v>
      </c>
      <c r="G8" s="93">
        <f>('Water Reading'!D8-'Water Reading'!D7)-('Water Reading'!R8-'Water Reading'!R7)-('Water Reading'!Q8-'Water Reading'!Q7)</f>
        <v>199</v>
      </c>
      <c r="H8" s="89">
        <f t="shared" si="4"/>
        <v>0.51688311688311683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14</v>
      </c>
      <c r="L8" s="68">
        <f t="shared" si="6"/>
        <v>3.6363636363636362E-2</v>
      </c>
      <c r="M8" s="90">
        <f>'Water Reading'!R8-'Water Reading'!R7</f>
        <v>14</v>
      </c>
      <c r="N8" s="92">
        <f t="shared" si="7"/>
        <v>3.6363636363636362E-2</v>
      </c>
      <c r="O8" s="90">
        <f>'Water Reading'!Q8-'Water Reading'!Q7</f>
        <v>3</v>
      </c>
      <c r="P8" s="99">
        <f t="shared" si="8"/>
        <v>7.7922077922077922E-3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69</v>
      </c>
      <c r="T8" s="100">
        <f t="shared" si="10"/>
        <v>0.17922077922077922</v>
      </c>
      <c r="U8" s="90">
        <f>'Water Reading'!G8-'Water Reading'!G7</f>
        <v>32</v>
      </c>
      <c r="V8" s="100">
        <f t="shared" si="11"/>
        <v>8.3116883116883117E-2</v>
      </c>
      <c r="W8" s="90">
        <f>'Water Reading'!J8-'Water Reading'!J7</f>
        <v>12</v>
      </c>
      <c r="X8" s="100">
        <f t="shared" si="12"/>
        <v>3.1168831168831169E-2</v>
      </c>
      <c r="Y8" s="66">
        <f t="shared" si="0"/>
        <v>372</v>
      </c>
      <c r="Z8" s="67">
        <f t="shared" si="1"/>
        <v>1.1698113207547169</v>
      </c>
    </row>
    <row r="9" spans="1:26" x14ac:dyDescent="0.25">
      <c r="A9" s="8">
        <f>'Water Reading'!A8</f>
        <v>44202</v>
      </c>
      <c r="B9" s="65">
        <f>TOTAL!I7</f>
        <v>283</v>
      </c>
      <c r="C9" s="66">
        <f>('Water Reading'!B9-'Water Reading'!B8)+('Water Reading'!C9-'Water Reading'!C8)</f>
        <v>337</v>
      </c>
      <c r="D9" s="67">
        <f t="shared" si="2"/>
        <v>1.1908127208480566</v>
      </c>
      <c r="E9" s="88">
        <f>'Water Reading'!H9-'Water Reading'!H8</f>
        <v>27</v>
      </c>
      <c r="F9" s="89">
        <f t="shared" si="3"/>
        <v>8.0118694362017809E-2</v>
      </c>
      <c r="G9" s="93">
        <f>('Water Reading'!D9-'Water Reading'!D8)-('Water Reading'!R9-'Water Reading'!R8)-('Water Reading'!Q9-'Water Reading'!Q8)</f>
        <v>146</v>
      </c>
      <c r="H9" s="89">
        <f t="shared" si="4"/>
        <v>0.43323442136498519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18</v>
      </c>
      <c r="L9" s="68">
        <f t="shared" si="6"/>
        <v>5.3412462908011868E-2</v>
      </c>
      <c r="M9" s="90">
        <f>'Water Reading'!R9-'Water Reading'!R8</f>
        <v>9</v>
      </c>
      <c r="N9" s="92">
        <f t="shared" si="7"/>
        <v>2.6706231454005934E-2</v>
      </c>
      <c r="O9" s="90">
        <f>'Water Reading'!Q9-'Water Reading'!Q8</f>
        <v>5</v>
      </c>
      <c r="P9" s="99">
        <f t="shared" si="8"/>
        <v>1.483679525222552E-2</v>
      </c>
      <c r="Q9" s="91">
        <f>'Water Reading'!F9-'Water Reading'!F8</f>
        <v>1</v>
      </c>
      <c r="R9" s="100">
        <f t="shared" si="9"/>
        <v>2.967359050445104E-3</v>
      </c>
      <c r="S9" s="90">
        <f>'Water Reading'!E9-'Water Reading'!E8</f>
        <v>67</v>
      </c>
      <c r="T9" s="100">
        <f t="shared" si="10"/>
        <v>0.19881305637982197</v>
      </c>
      <c r="U9" s="90">
        <f>'Water Reading'!G9-'Water Reading'!G8</f>
        <v>27</v>
      </c>
      <c r="V9" s="100">
        <f t="shared" si="11"/>
        <v>8.0118694362017809E-2</v>
      </c>
      <c r="W9" s="90">
        <f>'Water Reading'!J9-'Water Reading'!J8</f>
        <v>11</v>
      </c>
      <c r="X9" s="100">
        <f t="shared" si="12"/>
        <v>3.2640949554896145E-2</v>
      </c>
      <c r="Y9" s="66">
        <f t="shared" si="0"/>
        <v>311</v>
      </c>
      <c r="Z9" s="67">
        <f t="shared" si="1"/>
        <v>1.0989399293286219</v>
      </c>
    </row>
    <row r="10" spans="1:26" x14ac:dyDescent="0.25">
      <c r="A10" s="8">
        <f>'Water Reading'!A9</f>
        <v>44203</v>
      </c>
      <c r="B10" s="65">
        <f>TOTAL!I8</f>
        <v>253</v>
      </c>
      <c r="C10" s="66">
        <f>('Water Reading'!B10-'Water Reading'!B9)+('Water Reading'!C10-'Water Reading'!C9)</f>
        <v>333</v>
      </c>
      <c r="D10" s="67">
        <f t="shared" si="2"/>
        <v>1.3162055335968379</v>
      </c>
      <c r="E10" s="88">
        <f>'Water Reading'!H10-'Water Reading'!H9</f>
        <v>28</v>
      </c>
      <c r="F10" s="89">
        <f t="shared" si="3"/>
        <v>8.408408408408409E-2</v>
      </c>
      <c r="G10" s="93">
        <f>('Water Reading'!D10-'Water Reading'!D9)-('Water Reading'!R10-'Water Reading'!R9)-('Water Reading'!Q10-'Water Reading'!Q9)</f>
        <v>148</v>
      </c>
      <c r="H10" s="89">
        <f t="shared" si="4"/>
        <v>0.44444444444444442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</f>
        <v>22</v>
      </c>
      <c r="L10" s="68">
        <f t="shared" si="6"/>
        <v>6.6066066066066062E-2</v>
      </c>
      <c r="M10" s="90">
        <f>'Water Reading'!R10-'Water Reading'!R9</f>
        <v>4</v>
      </c>
      <c r="N10" s="92">
        <f t="shared" si="7"/>
        <v>1.2012012012012012E-2</v>
      </c>
      <c r="O10" s="90">
        <f>'Water Reading'!Q10-'Water Reading'!Q9</f>
        <v>2</v>
      </c>
      <c r="P10" s="99">
        <f t="shared" si="8"/>
        <v>6.006006006006006E-3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63</v>
      </c>
      <c r="T10" s="100">
        <f t="shared" si="10"/>
        <v>0.1891891891891892</v>
      </c>
      <c r="U10" s="90">
        <f>'Water Reading'!G10-'Water Reading'!G9</f>
        <v>34</v>
      </c>
      <c r="V10" s="100">
        <f t="shared" si="11"/>
        <v>0.1021021021021021</v>
      </c>
      <c r="W10" s="90">
        <f>'Water Reading'!J10-'Water Reading'!J9</f>
        <v>11</v>
      </c>
      <c r="X10" s="100">
        <f t="shared" si="12"/>
        <v>3.3033033033033031E-2</v>
      </c>
      <c r="Y10" s="66">
        <f t="shared" si="0"/>
        <v>312</v>
      </c>
      <c r="Z10" s="67">
        <f t="shared" si="1"/>
        <v>1.233201581027668</v>
      </c>
    </row>
    <row r="11" spans="1:26" x14ac:dyDescent="0.25">
      <c r="A11" s="8">
        <f>'Water Reading'!A10</f>
        <v>44204</v>
      </c>
      <c r="B11" s="65">
        <f>TOTAL!I9</f>
        <v>296</v>
      </c>
      <c r="C11" s="66">
        <f>('Water Reading'!B11-'Water Reading'!B10)+('Water Reading'!C11-'Water Reading'!C10)</f>
        <v>357</v>
      </c>
      <c r="D11" s="67">
        <f t="shared" si="2"/>
        <v>1.2060810810810811</v>
      </c>
      <c r="E11" s="88">
        <f>'Water Reading'!H11-'Water Reading'!H10</f>
        <v>37</v>
      </c>
      <c r="F11" s="89">
        <f t="shared" si="3"/>
        <v>0.10364145658263306</v>
      </c>
      <c r="G11" s="93">
        <f>('Water Reading'!D11-'Water Reading'!D10)-('Water Reading'!R11-'Water Reading'!R10)-('Water Reading'!Q11-'Water Reading'!Q10)</f>
        <v>160</v>
      </c>
      <c r="H11" s="89">
        <f t="shared" si="4"/>
        <v>0.44817927170868349</v>
      </c>
      <c r="I11" s="90">
        <f>'Water Reading'!P11-'Water Reading'!P10</f>
        <v>3</v>
      </c>
      <c r="J11" s="68">
        <f t="shared" si="5"/>
        <v>8.4033613445378148E-3</v>
      </c>
      <c r="K11" s="91">
        <f>('Water Reading'!I11-'Water Reading'!I10)</f>
        <v>17</v>
      </c>
      <c r="L11" s="68">
        <f t="shared" si="6"/>
        <v>4.7619047619047616E-2</v>
      </c>
      <c r="M11" s="90">
        <f>'Water Reading'!R11-'Water Reading'!R10</f>
        <v>12</v>
      </c>
      <c r="N11" s="92">
        <f t="shared" si="7"/>
        <v>3.3613445378151259E-2</v>
      </c>
      <c r="O11" s="98">
        <f>'Water Reading'!Q11-'Water Reading'!Q10</f>
        <v>6</v>
      </c>
      <c r="P11" s="99">
        <f t="shared" si="8"/>
        <v>1.680672268907563E-2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61</v>
      </c>
      <c r="T11" s="100">
        <f t="shared" si="10"/>
        <v>0.17086834733893558</v>
      </c>
      <c r="U11" s="90">
        <f>'Water Reading'!G11-'Water Reading'!G10</f>
        <v>33</v>
      </c>
      <c r="V11" s="100">
        <f t="shared" si="11"/>
        <v>9.2436974789915971E-2</v>
      </c>
      <c r="W11" s="90">
        <f>'Water Reading'!J11-'Water Reading'!J10</f>
        <v>12</v>
      </c>
      <c r="X11" s="100">
        <f t="shared" si="12"/>
        <v>3.3613445378151259E-2</v>
      </c>
      <c r="Y11" s="66">
        <f t="shared" si="0"/>
        <v>341</v>
      </c>
      <c r="Z11" s="67">
        <f t="shared" si="1"/>
        <v>1.152027027027027</v>
      </c>
    </row>
    <row r="12" spans="1:26" x14ac:dyDescent="0.25">
      <c r="A12" s="8">
        <f>'Water Reading'!A11</f>
        <v>44205</v>
      </c>
      <c r="B12" s="65">
        <f>TOTAL!I10</f>
        <v>266</v>
      </c>
      <c r="C12" s="66">
        <f>('Water Reading'!B12-'Water Reading'!B11)+('Water Reading'!C12-'Water Reading'!C11)</f>
        <v>286</v>
      </c>
      <c r="D12" s="67">
        <f t="shared" si="2"/>
        <v>1.0751879699248121</v>
      </c>
      <c r="E12" s="88">
        <f>'Water Reading'!H12-'Water Reading'!H11</f>
        <v>47</v>
      </c>
      <c r="F12" s="89">
        <f t="shared" si="3"/>
        <v>0.16433566433566432</v>
      </c>
      <c r="G12" s="93">
        <f>('Water Reading'!D12-'Water Reading'!D11)-('Water Reading'!R12-'Water Reading'!R11)-('Water Reading'!Q12-'Water Reading'!Q11)</f>
        <v>108</v>
      </c>
      <c r="H12" s="89">
        <f t="shared" si="4"/>
        <v>0.3776223776223776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16</v>
      </c>
      <c r="L12" s="68">
        <f t="shared" si="6"/>
        <v>5.5944055944055944E-2</v>
      </c>
      <c r="M12" s="90">
        <f>'Water Reading'!R12-'Water Reading'!R11</f>
        <v>9</v>
      </c>
      <c r="N12" s="92">
        <f t="shared" si="7"/>
        <v>3.1468531468531472E-2</v>
      </c>
      <c r="O12" s="98">
        <f>'Water Reading'!Q12-'Water Reading'!Q11</f>
        <v>1</v>
      </c>
      <c r="P12" s="99">
        <f t="shared" si="8"/>
        <v>3.4965034965034965E-3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57</v>
      </c>
      <c r="T12" s="100">
        <f t="shared" si="10"/>
        <v>0.1993006993006993</v>
      </c>
      <c r="U12" s="90">
        <f>'Water Reading'!G12-'Water Reading'!G11</f>
        <v>21</v>
      </c>
      <c r="V12" s="100">
        <f t="shared" si="11"/>
        <v>7.3426573426573424E-2</v>
      </c>
      <c r="W12" s="90">
        <f>'Water Reading'!J12-'Water Reading'!J11</f>
        <v>10</v>
      </c>
      <c r="X12" s="100">
        <f t="shared" si="12"/>
        <v>3.4965034965034968E-2</v>
      </c>
      <c r="Y12" s="66">
        <f t="shared" si="0"/>
        <v>269</v>
      </c>
      <c r="Z12" s="67">
        <f t="shared" si="1"/>
        <v>1.0112781954887218</v>
      </c>
    </row>
    <row r="13" spans="1:26" x14ac:dyDescent="0.25">
      <c r="A13" s="8">
        <f>'Water Reading'!A12</f>
        <v>44206</v>
      </c>
      <c r="B13" s="65">
        <f>TOTAL!I11</f>
        <v>276</v>
      </c>
      <c r="C13" s="66">
        <f>('Water Reading'!B13-'Water Reading'!B12)+('Water Reading'!C13-'Water Reading'!C12)</f>
        <v>350</v>
      </c>
      <c r="D13" s="67">
        <f t="shared" si="2"/>
        <v>1.2681159420289856</v>
      </c>
      <c r="E13" s="87">
        <f>'Water Reading'!H13-'Water Reading'!H12</f>
        <v>31</v>
      </c>
      <c r="F13" s="89">
        <f t="shared" si="3"/>
        <v>8.8571428571428565E-2</v>
      </c>
      <c r="G13" s="93">
        <f>('Water Reading'!D13-'Water Reading'!D12)-('Water Reading'!R13-'Water Reading'!R12)-('Water Reading'!Q13-'Water Reading'!Q12)</f>
        <v>162</v>
      </c>
      <c r="H13" s="89">
        <f t="shared" si="4"/>
        <v>0.46285714285714286</v>
      </c>
      <c r="I13" s="90">
        <f>'Water Reading'!P13-'Water Reading'!P12</f>
        <v>16</v>
      </c>
      <c r="J13" s="68">
        <f t="shared" si="5"/>
        <v>4.5714285714285714E-2</v>
      </c>
      <c r="K13" s="91">
        <f>('Water Reading'!I13-'Water Reading'!I12)</f>
        <v>34</v>
      </c>
      <c r="L13" s="68">
        <f t="shared" si="6"/>
        <v>9.7142857142857142E-2</v>
      </c>
      <c r="M13" s="90">
        <f>'Water Reading'!R13-'Water Reading'!R12</f>
        <v>8</v>
      </c>
      <c r="N13" s="92">
        <f t="shared" si="7"/>
        <v>2.2857142857142857E-2</v>
      </c>
      <c r="O13" s="90">
        <f>'Water Reading'!Q13-'Water Reading'!Q12</f>
        <v>2</v>
      </c>
      <c r="P13" s="99">
        <f t="shared" si="8"/>
        <v>5.7142857142857143E-3</v>
      </c>
      <c r="Q13" s="91">
        <f>'Water Reading'!F13-'Water Reading'!F12</f>
        <v>2</v>
      </c>
      <c r="R13" s="100">
        <f t="shared" si="9"/>
        <v>5.7142857142857143E-3</v>
      </c>
      <c r="S13" s="94">
        <f>'Water Reading'!E13-'Water Reading'!E12</f>
        <v>64</v>
      </c>
      <c r="T13" s="100">
        <f t="shared" si="10"/>
        <v>0.18285714285714286</v>
      </c>
      <c r="U13" s="90">
        <f>'Water Reading'!G13-'Water Reading'!G12</f>
        <v>25</v>
      </c>
      <c r="V13" s="100">
        <f t="shared" si="11"/>
        <v>7.1428571428571425E-2</v>
      </c>
      <c r="W13" s="90">
        <f>'Water Reading'!J13-'Water Reading'!J12</f>
        <v>12</v>
      </c>
      <c r="X13" s="100">
        <f t="shared" si="12"/>
        <v>3.4285714285714287E-2</v>
      </c>
      <c r="Y13" s="66">
        <f t="shared" si="0"/>
        <v>356</v>
      </c>
      <c r="Z13" s="67">
        <f t="shared" si="1"/>
        <v>1.2898550724637681</v>
      </c>
    </row>
    <row r="14" spans="1:26" x14ac:dyDescent="0.25">
      <c r="A14" s="8">
        <f>'Water Reading'!A13</f>
        <v>44207</v>
      </c>
      <c r="B14" s="65">
        <f>TOTAL!I12</f>
        <v>318</v>
      </c>
      <c r="C14" s="66">
        <f>('Water Reading'!B14-'Water Reading'!B13)+('Water Reading'!C14-'Water Reading'!C13)</f>
        <v>343</v>
      </c>
      <c r="D14" s="67">
        <f t="shared" si="2"/>
        <v>1.078616352201258</v>
      </c>
      <c r="E14" s="88">
        <f>'Water Reading'!H14-'Water Reading'!H13</f>
        <v>29</v>
      </c>
      <c r="F14" s="89">
        <f t="shared" si="3"/>
        <v>8.4548104956268216E-2</v>
      </c>
      <c r="G14" s="93">
        <f>('Water Reading'!D14-'Water Reading'!D13)-('Water Reading'!R14-'Water Reading'!R13)-('Water Reading'!Q14-'Water Reading'!Q13)</f>
        <v>173</v>
      </c>
      <c r="H14" s="89">
        <f t="shared" si="4"/>
        <v>0.50437317784256563</v>
      </c>
      <c r="I14" s="90">
        <f>'Water Reading'!P14-'Water Reading'!P13</f>
        <v>0</v>
      </c>
      <c r="J14" s="68">
        <f t="shared" si="5"/>
        <v>0</v>
      </c>
      <c r="K14" s="91">
        <f>('Water Reading'!I14-'Water Reading'!I13)</f>
        <v>20</v>
      </c>
      <c r="L14" s="68">
        <f t="shared" si="6"/>
        <v>5.8309037900874633E-2</v>
      </c>
      <c r="M14" s="90">
        <f>'Water Reading'!R14-'Water Reading'!R13</f>
        <v>3</v>
      </c>
      <c r="N14" s="92">
        <f t="shared" si="7"/>
        <v>8.7463556851311956E-3</v>
      </c>
      <c r="O14" s="90">
        <f>'Water Reading'!Q14-'Water Reading'!Q13</f>
        <v>4</v>
      </c>
      <c r="P14" s="99">
        <f t="shared" si="8"/>
        <v>1.1661807580174927E-2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59</v>
      </c>
      <c r="T14" s="100">
        <f t="shared" si="10"/>
        <v>0.17201166180758018</v>
      </c>
      <c r="U14" s="90">
        <f>'Water Reading'!G14-'Water Reading'!G13</f>
        <v>22</v>
      </c>
      <c r="V14" s="100">
        <f t="shared" si="11"/>
        <v>6.4139941690962099E-2</v>
      </c>
      <c r="W14" s="90">
        <f>'Water Reading'!J14-'Water Reading'!J13</f>
        <v>11</v>
      </c>
      <c r="X14" s="100">
        <f t="shared" si="12"/>
        <v>3.2069970845481049E-2</v>
      </c>
      <c r="Y14" s="66">
        <f t="shared" si="0"/>
        <v>321</v>
      </c>
      <c r="Z14" s="67">
        <f t="shared" si="1"/>
        <v>1.0094339622641511</v>
      </c>
    </row>
    <row r="15" spans="1:26" x14ac:dyDescent="0.25">
      <c r="A15" s="8">
        <f>'Water Reading'!A14</f>
        <v>44208</v>
      </c>
      <c r="B15" s="65">
        <f>TOTAL!I13</f>
        <v>268</v>
      </c>
      <c r="C15" s="66">
        <f>('Water Reading'!B15-'Water Reading'!B14)+('Water Reading'!C15-'Water Reading'!C14)</f>
        <v>363</v>
      </c>
      <c r="D15" s="67">
        <f t="shared" si="2"/>
        <v>1.3544776119402986</v>
      </c>
      <c r="E15" s="87">
        <f>'Water Reading'!H15-'Water Reading'!H14</f>
        <v>32</v>
      </c>
      <c r="F15" s="89">
        <f t="shared" si="3"/>
        <v>8.8154269972451793E-2</v>
      </c>
      <c r="G15" s="93">
        <f>('Water Reading'!D15-'Water Reading'!D14)-('Water Reading'!R15-'Water Reading'!R14)-('Water Reading'!Q15-'Water Reading'!Q14)</f>
        <v>162</v>
      </c>
      <c r="H15" s="89">
        <f t="shared" si="4"/>
        <v>0.4462809917355372</v>
      </c>
      <c r="I15" s="90">
        <f>'Water Reading'!P15-'Water Reading'!P14</f>
        <v>9</v>
      </c>
      <c r="J15" s="68">
        <f t="shared" si="5"/>
        <v>2.4793388429752067E-2</v>
      </c>
      <c r="K15" s="91">
        <f>('Water Reading'!I15-'Water Reading'!I14)</f>
        <v>29</v>
      </c>
      <c r="L15" s="68">
        <f t="shared" si="6"/>
        <v>7.9889807162534437E-2</v>
      </c>
      <c r="M15" s="90">
        <f>'Water Reading'!R15-'Water Reading'!R14</f>
        <v>10</v>
      </c>
      <c r="N15" s="92">
        <f t="shared" si="7"/>
        <v>2.7548209366391185E-2</v>
      </c>
      <c r="O15" s="90">
        <f>'Water Reading'!Q15-'Water Reading'!Q14</f>
        <v>4</v>
      </c>
      <c r="P15" s="99">
        <f t="shared" si="8"/>
        <v>1.1019283746556474E-2</v>
      </c>
      <c r="Q15" s="91">
        <f>'Water Reading'!F15-'Water Reading'!F14</f>
        <v>1</v>
      </c>
      <c r="R15" s="100">
        <f t="shared" si="9"/>
        <v>2.7548209366391185E-3</v>
      </c>
      <c r="S15" s="94">
        <f>'Water Reading'!E15-'Water Reading'!E14</f>
        <v>67</v>
      </c>
      <c r="T15" s="100">
        <f t="shared" si="10"/>
        <v>0.18457300275482094</v>
      </c>
      <c r="U15" s="90">
        <f>'Water Reading'!G15-'Water Reading'!G14</f>
        <v>27</v>
      </c>
      <c r="V15" s="100">
        <f t="shared" si="11"/>
        <v>7.43801652892562E-2</v>
      </c>
      <c r="W15" s="90">
        <f>'Water Reading'!J15-'Water Reading'!J14</f>
        <v>11</v>
      </c>
      <c r="X15" s="100">
        <f t="shared" si="12"/>
        <v>3.0303030303030304E-2</v>
      </c>
      <c r="Y15" s="66">
        <f t="shared" si="0"/>
        <v>352</v>
      </c>
      <c r="Z15" s="67">
        <f t="shared" si="1"/>
        <v>1.3134328358208955</v>
      </c>
    </row>
    <row r="16" spans="1:26" x14ac:dyDescent="0.25">
      <c r="A16" s="8">
        <f>'Water Reading'!A15</f>
        <v>44209</v>
      </c>
      <c r="B16" s="65">
        <f>TOTAL!I14</f>
        <v>279</v>
      </c>
      <c r="C16" s="66">
        <f>('Water Reading'!B16-'Water Reading'!B15)+('Water Reading'!C16-'Water Reading'!C15)</f>
        <v>277</v>
      </c>
      <c r="D16" s="67">
        <f t="shared" si="2"/>
        <v>0.99283154121863804</v>
      </c>
      <c r="E16" s="87">
        <f>'Water Reading'!H16-'Water Reading'!H15</f>
        <v>22</v>
      </c>
      <c r="F16" s="89">
        <f t="shared" si="3"/>
        <v>7.9422382671480149E-2</v>
      </c>
      <c r="G16" s="93">
        <f>('Water Reading'!D16-'Water Reading'!D15)-('Water Reading'!R16-'Water Reading'!R15)-('Water Reading'!Q16-'Water Reading'!Q15)</f>
        <v>119</v>
      </c>
      <c r="H16" s="89">
        <f t="shared" si="4"/>
        <v>0.4296028880866426</v>
      </c>
      <c r="I16" s="90">
        <f>'Water Reading'!P16-'Water Reading'!P15</f>
        <v>3</v>
      </c>
      <c r="J16" s="68">
        <f t="shared" si="5"/>
        <v>1.0830324909747292E-2</v>
      </c>
      <c r="K16" s="90">
        <f>('Water Reading'!I16-'Water Reading'!I15)-('Water Reading'!P16-'Water Reading'!P15)</f>
        <v>17</v>
      </c>
      <c r="L16" s="68">
        <f t="shared" si="6"/>
        <v>6.1371841155234655E-2</v>
      </c>
      <c r="M16" s="90">
        <f>'Water Reading'!R16-'Water Reading'!R15</f>
        <v>7</v>
      </c>
      <c r="N16" s="92">
        <f t="shared" si="7"/>
        <v>2.5270758122743681E-2</v>
      </c>
      <c r="O16" s="90">
        <f>'Water Reading'!Q16-'Water Reading'!Q15</f>
        <v>2</v>
      </c>
      <c r="P16" s="99">
        <f t="shared" si="8"/>
        <v>7.2202166064981952E-3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57</v>
      </c>
      <c r="T16" s="100">
        <f t="shared" si="10"/>
        <v>0.20577617328519857</v>
      </c>
      <c r="U16" s="90">
        <f>'Water Reading'!G16-'Water Reading'!G15</f>
        <v>20</v>
      </c>
      <c r="V16" s="100">
        <f t="shared" si="11"/>
        <v>7.2202166064981949E-2</v>
      </c>
      <c r="W16" s="90">
        <f>'Water Reading'!J16-'Water Reading'!J15</f>
        <v>12</v>
      </c>
      <c r="X16" s="100">
        <f t="shared" si="12"/>
        <v>4.3321299638989168E-2</v>
      </c>
      <c r="Y16" s="66">
        <f t="shared" si="0"/>
        <v>259</v>
      </c>
      <c r="Z16" s="67">
        <f t="shared" si="1"/>
        <v>0.92831541218637992</v>
      </c>
    </row>
    <row r="17" spans="1:26" x14ac:dyDescent="0.25">
      <c r="A17" s="8">
        <f>'Water Reading'!A16</f>
        <v>44210</v>
      </c>
      <c r="B17" s="65">
        <f>TOTAL!I15</f>
        <v>296</v>
      </c>
      <c r="C17" s="66">
        <f>('Water Reading'!B17-'Water Reading'!B16)+('Water Reading'!C17-'Water Reading'!C16)</f>
        <v>407</v>
      </c>
      <c r="D17" s="67">
        <f t="shared" si="2"/>
        <v>1.375</v>
      </c>
      <c r="E17" s="87">
        <f>'Water Reading'!H17-'Water Reading'!H16</f>
        <v>50</v>
      </c>
      <c r="F17" s="89">
        <f t="shared" si="3"/>
        <v>0.12285012285012285</v>
      </c>
      <c r="G17" s="93">
        <f>('Water Reading'!D17-'Water Reading'!D16)-('Water Reading'!R17-'Water Reading'!R16)-('Water Reading'!Q17)</f>
        <v>213.3</v>
      </c>
      <c r="H17" s="89">
        <f t="shared" si="4"/>
        <v>0.52407862407862416</v>
      </c>
      <c r="I17" s="90">
        <f>'Water Reading'!P17-'Water Reading'!P16</f>
        <v>0</v>
      </c>
      <c r="J17" s="68">
        <f t="shared" si="5"/>
        <v>0</v>
      </c>
      <c r="K17" s="90">
        <f>('Water Reading'!I17-'Water Reading'!I16)-('Water Reading'!P17-'Water Reading'!P16)</f>
        <v>15</v>
      </c>
      <c r="L17" s="68">
        <f t="shared" si="6"/>
        <v>3.6855036855036855E-2</v>
      </c>
      <c r="M17" s="90">
        <f>'Water Reading'!R17-'Water Reading'!R16</f>
        <v>7</v>
      </c>
      <c r="N17" s="92">
        <f t="shared" si="7"/>
        <v>1.7199017199017199E-2</v>
      </c>
      <c r="O17" s="90">
        <f>'Water Reading'!Q17</f>
        <v>7.7</v>
      </c>
      <c r="P17" s="99">
        <f t="shared" si="8"/>
        <v>1.891891891891892E-2</v>
      </c>
      <c r="Q17" s="91">
        <f>'Water Reading'!F17-'Water Reading'!F16</f>
        <v>0</v>
      </c>
      <c r="R17" s="100">
        <f t="shared" si="9"/>
        <v>0</v>
      </c>
      <c r="S17" s="94">
        <f>'Water Reading'!E17-'Water Reading'!E16</f>
        <v>58</v>
      </c>
      <c r="T17" s="100">
        <f t="shared" si="10"/>
        <v>0.14250614250614252</v>
      </c>
      <c r="U17" s="90">
        <f>'Water Reading'!G17-'Water Reading'!G16</f>
        <v>26</v>
      </c>
      <c r="V17" s="100">
        <f t="shared" si="11"/>
        <v>6.3882063882063883E-2</v>
      </c>
      <c r="W17" s="90">
        <f>'Water Reading'!J17-'Water Reading'!J16</f>
        <v>12</v>
      </c>
      <c r="X17" s="100">
        <f t="shared" si="12"/>
        <v>2.9484029484029485E-2</v>
      </c>
      <c r="Y17" s="66">
        <f t="shared" si="0"/>
        <v>389</v>
      </c>
      <c r="Z17" s="67">
        <f t="shared" si="1"/>
        <v>1.3141891891891893</v>
      </c>
    </row>
    <row r="18" spans="1:26" x14ac:dyDescent="0.25">
      <c r="A18" s="8">
        <f>'Water Reading'!A17</f>
        <v>44211</v>
      </c>
      <c r="B18" s="65">
        <f>TOTAL!I16</f>
        <v>309</v>
      </c>
      <c r="C18" s="66">
        <f>('Water Reading'!B18-'Water Reading'!B17)+('Water Reading'!C18-'Water Reading'!C17)</f>
        <v>385</v>
      </c>
      <c r="D18" s="67">
        <f t="shared" si="2"/>
        <v>1.2459546925566343</v>
      </c>
      <c r="E18" s="87">
        <f>'Water Reading'!H18-'Water Reading'!H17</f>
        <v>41</v>
      </c>
      <c r="F18" s="89">
        <f t="shared" si="3"/>
        <v>0.10649350649350649</v>
      </c>
      <c r="G18" s="93">
        <f>('Water Reading'!D18-'Water Reading'!D17)-('Water Reading'!R18-'Water Reading'!R17)-('Water Reading'!Q18-'Water Reading'!Q17)</f>
        <v>178.7</v>
      </c>
      <c r="H18" s="89">
        <f t="shared" si="4"/>
        <v>0.4641558441558441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19</v>
      </c>
      <c r="L18" s="68">
        <f t="shared" si="6"/>
        <v>4.9350649350649353E-2</v>
      </c>
      <c r="M18" s="90">
        <f>'Water Reading'!R18-'Water Reading'!R17</f>
        <v>1</v>
      </c>
      <c r="N18" s="92">
        <f t="shared" si="7"/>
        <v>2.5974025974025974E-3</v>
      </c>
      <c r="O18" s="90">
        <f>'Water Reading'!Q18-'Water Reading'!Q17</f>
        <v>1.2999999999999998</v>
      </c>
      <c r="P18" s="99">
        <f t="shared" si="8"/>
        <v>3.3766233766233762E-3</v>
      </c>
      <c r="Q18" s="91">
        <f>'Water Reading'!F18-'Water Reading'!F17</f>
        <v>1</v>
      </c>
      <c r="R18" s="100">
        <f t="shared" si="9"/>
        <v>2.5974025974025974E-3</v>
      </c>
      <c r="S18" s="94">
        <f>'Water Reading'!E18-'Water Reading'!E17</f>
        <v>71</v>
      </c>
      <c r="T18" s="100">
        <f t="shared" si="10"/>
        <v>0.18441558441558442</v>
      </c>
      <c r="U18" s="90">
        <f>'Water Reading'!G18-'Water Reading'!G17</f>
        <v>32</v>
      </c>
      <c r="V18" s="100">
        <f t="shared" si="11"/>
        <v>8.3116883116883117E-2</v>
      </c>
      <c r="W18" s="90">
        <f>'Water Reading'!J18-'Water Reading'!J17</f>
        <v>12</v>
      </c>
      <c r="X18" s="100">
        <f t="shared" si="12"/>
        <v>3.1168831168831169E-2</v>
      </c>
      <c r="Y18" s="66">
        <f t="shared" si="0"/>
        <v>357</v>
      </c>
      <c r="Z18" s="67">
        <f t="shared" si="1"/>
        <v>1.1553398058252426</v>
      </c>
    </row>
    <row r="19" spans="1:26" x14ac:dyDescent="0.25">
      <c r="A19" s="8">
        <f>'Water Reading'!A18</f>
        <v>44212</v>
      </c>
      <c r="B19" s="65">
        <f>TOTAL!I17</f>
        <v>253</v>
      </c>
      <c r="C19" s="66">
        <f>('Water Reading'!B19-'Water Reading'!B18)+('Water Reading'!C19-'Water Reading'!C18)</f>
        <v>299</v>
      </c>
      <c r="D19" s="67">
        <f t="shared" si="2"/>
        <v>1.1818181818181819</v>
      </c>
      <c r="E19" s="87">
        <f>'Water Reading'!H19-'Water Reading'!H18</f>
        <v>23</v>
      </c>
      <c r="F19" s="89">
        <f t="shared" si="3"/>
        <v>7.6923076923076927E-2</v>
      </c>
      <c r="G19" s="93">
        <f>('Water Reading'!D19-'Water Reading'!D18)-('Water Reading'!R19-'Water Reading'!R18)-('Water Reading'!Q19-'Water Reading'!Q18)</f>
        <v>146</v>
      </c>
      <c r="H19" s="89">
        <f t="shared" si="4"/>
        <v>0.48829431438127091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10</v>
      </c>
      <c r="L19" s="68">
        <f t="shared" si="6"/>
        <v>3.3444816053511704E-2</v>
      </c>
      <c r="M19" s="90">
        <f>'Water Reading'!R19-'Water Reading'!R18</f>
        <v>8</v>
      </c>
      <c r="N19" s="92">
        <f t="shared" si="7"/>
        <v>2.6755852842809364E-2</v>
      </c>
      <c r="O19" s="90">
        <f>'Water Reading'!Q19-'Water Reading'!Q18</f>
        <v>2</v>
      </c>
      <c r="P19" s="99">
        <f t="shared" si="8"/>
        <v>6.688963210702341E-3</v>
      </c>
      <c r="Q19" s="91">
        <f>'Water Reading'!F19-'Water Reading'!F18</f>
        <v>0</v>
      </c>
      <c r="R19" s="100">
        <f t="shared" si="9"/>
        <v>0</v>
      </c>
      <c r="S19" s="94">
        <f>'Water Reading'!E19-'Water Reading'!E18</f>
        <v>58</v>
      </c>
      <c r="T19" s="100">
        <f t="shared" si="10"/>
        <v>0.1939799331103679</v>
      </c>
      <c r="U19" s="90">
        <f>'Water Reading'!G19-'Water Reading'!G18</f>
        <v>22</v>
      </c>
      <c r="V19" s="100">
        <f t="shared" si="11"/>
        <v>7.3578595317725759E-2</v>
      </c>
      <c r="W19" s="90">
        <f>'Water Reading'!J19-'Water Reading'!J18</f>
        <v>11</v>
      </c>
      <c r="X19" s="100">
        <f t="shared" si="12"/>
        <v>3.678929765886288E-2</v>
      </c>
      <c r="Y19" s="66">
        <f t="shared" si="0"/>
        <v>280</v>
      </c>
      <c r="Z19" s="67">
        <f t="shared" si="1"/>
        <v>1.1067193675889329</v>
      </c>
    </row>
    <row r="20" spans="1:26" x14ac:dyDescent="0.25">
      <c r="A20" s="8">
        <f>'Water Reading'!A19</f>
        <v>44213</v>
      </c>
      <c r="B20" s="65">
        <f>TOTAL!I18</f>
        <v>240</v>
      </c>
      <c r="C20" s="66">
        <f>('Water Reading'!B20-'Water Reading'!B19)+('Water Reading'!C20-'Water Reading'!C19)</f>
        <v>255</v>
      </c>
      <c r="D20" s="67">
        <f t="shared" si="2"/>
        <v>1.0625</v>
      </c>
      <c r="E20" s="87">
        <f>'Water Reading'!H20-'Water Reading'!H19</f>
        <v>18</v>
      </c>
      <c r="F20" s="89">
        <f t="shared" si="3"/>
        <v>7.0588235294117646E-2</v>
      </c>
      <c r="G20" s="93">
        <f>('Water Reading'!D20-'Water Reading'!D19)-('Water Reading'!R20-'Water Reading'!R19)-('Water Reading'!Q20-'Water Reading'!Q19)</f>
        <v>112</v>
      </c>
      <c r="H20" s="89">
        <f t="shared" si="4"/>
        <v>0.4392156862745098</v>
      </c>
      <c r="I20" s="90">
        <f>'Water Reading'!P20-'Water Reading'!P19</f>
        <v>0</v>
      </c>
      <c r="J20" s="68">
        <f t="shared" si="5"/>
        <v>0</v>
      </c>
      <c r="K20" s="90">
        <f>('Water Reading'!I20-'Water Reading'!I19)</f>
        <v>17</v>
      </c>
      <c r="L20" s="68">
        <f t="shared" si="6"/>
        <v>6.6666666666666666E-2</v>
      </c>
      <c r="M20" s="90">
        <f>'Water Reading'!R20-'Water Reading'!R19</f>
        <v>7</v>
      </c>
      <c r="N20" s="92">
        <f t="shared" si="7"/>
        <v>2.7450980392156862E-2</v>
      </c>
      <c r="O20" s="90">
        <f>'Water Reading'!Q20-'Water Reading'!Q19</f>
        <v>3</v>
      </c>
      <c r="P20" s="99">
        <f t="shared" si="8"/>
        <v>1.1764705882352941E-2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56</v>
      </c>
      <c r="T20" s="100">
        <f t="shared" si="10"/>
        <v>0.2196078431372549</v>
      </c>
      <c r="U20" s="90">
        <f>'Water Reading'!G20-'Water Reading'!G19</f>
        <v>20</v>
      </c>
      <c r="V20" s="100">
        <f t="shared" si="11"/>
        <v>7.8431372549019607E-2</v>
      </c>
      <c r="W20" s="90">
        <f>'Water Reading'!J20-'Water Reading'!J19</f>
        <v>11</v>
      </c>
      <c r="X20" s="100">
        <f t="shared" si="12"/>
        <v>4.3137254901960784E-2</v>
      </c>
      <c r="Y20" s="66">
        <f t="shared" si="0"/>
        <v>244</v>
      </c>
      <c r="Z20" s="67">
        <f t="shared" si="1"/>
        <v>1.0166666666666666</v>
      </c>
    </row>
    <row r="21" spans="1:26" x14ac:dyDescent="0.25">
      <c r="A21" s="8">
        <f>'Water Reading'!A20</f>
        <v>44214</v>
      </c>
      <c r="B21" s="65">
        <f>TOTAL!I19</f>
        <v>327</v>
      </c>
      <c r="C21" s="66">
        <f>('Water Reading'!B21-'Water Reading'!B20)+('Water Reading'!C21-'Water Reading'!C20)</f>
        <v>388</v>
      </c>
      <c r="D21" s="67">
        <f t="shared" si="2"/>
        <v>1.1865443425076452</v>
      </c>
      <c r="E21" s="87">
        <f>'Water Reading'!H21-'Water Reading'!H20</f>
        <v>27</v>
      </c>
      <c r="F21" s="89">
        <f t="shared" si="3"/>
        <v>6.9587628865979384E-2</v>
      </c>
      <c r="G21" s="93">
        <f>('Water Reading'!D21-'Water Reading'!D20)-('Water Reading'!R21-'Water Reading'!R20)-('Water Reading'!Q21-'Water Reading'!Q20)</f>
        <v>193</v>
      </c>
      <c r="H21" s="89">
        <f t="shared" si="4"/>
        <v>0.49742268041237114</v>
      </c>
      <c r="I21" s="90">
        <f>'Water Reading'!P21-'Water Reading'!P20</f>
        <v>12</v>
      </c>
      <c r="J21" s="68">
        <f t="shared" si="5"/>
        <v>3.0927835051546393E-2</v>
      </c>
      <c r="K21" s="90">
        <f>('Water Reading'!I21-'Water Reading'!I20)-('Water Reading'!P21-'Water Reading'!P20)</f>
        <v>22</v>
      </c>
      <c r="L21" s="68">
        <f t="shared" si="6"/>
        <v>5.6701030927835051E-2</v>
      </c>
      <c r="M21" s="90">
        <f>'Water Reading'!R21-'Water Reading'!R20</f>
        <v>8</v>
      </c>
      <c r="N21" s="92">
        <f t="shared" si="7"/>
        <v>2.0618556701030927E-2</v>
      </c>
      <c r="O21" s="90">
        <f>'Water Reading'!Q21-'Water Reading'!Q20</f>
        <v>4</v>
      </c>
      <c r="P21" s="99">
        <f t="shared" si="8"/>
        <v>1.0309278350515464E-2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61</v>
      </c>
      <c r="T21" s="100">
        <f t="shared" si="10"/>
        <v>0.15721649484536082</v>
      </c>
      <c r="U21" s="90">
        <f>'Water Reading'!G21-'Water Reading'!G20</f>
        <v>30</v>
      </c>
      <c r="V21" s="100">
        <f t="shared" si="11"/>
        <v>7.7319587628865982E-2</v>
      </c>
      <c r="W21" s="90">
        <f>'Water Reading'!J21-'Water Reading'!J20</f>
        <v>13</v>
      </c>
      <c r="X21" s="100">
        <f t="shared" si="12"/>
        <v>3.3505154639175257E-2</v>
      </c>
      <c r="Y21" s="66">
        <f t="shared" si="0"/>
        <v>370</v>
      </c>
      <c r="Z21" s="67">
        <f t="shared" si="1"/>
        <v>1.1314984709480123</v>
      </c>
    </row>
    <row r="22" spans="1:26" x14ac:dyDescent="0.25">
      <c r="A22" s="8">
        <f>'Water Reading'!A21</f>
        <v>44215</v>
      </c>
      <c r="B22" s="65">
        <f>TOTAL!I20</f>
        <v>205</v>
      </c>
      <c r="C22" s="66">
        <f>('Water Reading'!B22-'Water Reading'!B21)+('Water Reading'!C22-'Water Reading'!C21)</f>
        <v>302</v>
      </c>
      <c r="D22" s="67">
        <f t="shared" si="2"/>
        <v>1.473170731707317</v>
      </c>
      <c r="E22" s="87">
        <f>'Water Reading'!H22-'Water Reading'!H21</f>
        <v>29</v>
      </c>
      <c r="F22" s="89">
        <f t="shared" si="3"/>
        <v>9.602649006622517E-2</v>
      </c>
      <c r="G22" s="93">
        <f>('Water Reading'!D22-'Water Reading'!D21)-('Water Reading'!R22-'Water Reading'!R21)-('Water Reading'!Q22-'Water Reading'!Q21)</f>
        <v>140</v>
      </c>
      <c r="H22" s="89">
        <f t="shared" si="4"/>
        <v>0.46357615894039733</v>
      </c>
      <c r="I22" s="90">
        <f>'Water Reading'!P22-'Water Reading'!P21</f>
        <v>0</v>
      </c>
      <c r="J22" s="68">
        <f t="shared" si="5"/>
        <v>0</v>
      </c>
      <c r="K22" s="90">
        <f>('Water Reading'!I22-'Water Reading'!I21)-('Water Reading'!P22-'Water Reading'!P21)</f>
        <v>6</v>
      </c>
      <c r="L22" s="68">
        <f t="shared" si="6"/>
        <v>1.9867549668874173E-2</v>
      </c>
      <c r="M22" s="90">
        <f>'Water Reading'!R22-'Water Reading'!R21</f>
        <v>2</v>
      </c>
      <c r="N22" s="92">
        <f t="shared" si="7"/>
        <v>6.6225165562913907E-3</v>
      </c>
      <c r="O22" s="90">
        <f>'Water Reading'!Q22-'Water Reading'!Q21</f>
        <v>2</v>
      </c>
      <c r="P22" s="99">
        <f t="shared" si="8"/>
        <v>6.6225165562913907E-3</v>
      </c>
      <c r="Q22" s="91">
        <f>'Water Reading'!F22-'Water Reading'!F21</f>
        <v>1</v>
      </c>
      <c r="R22" s="100">
        <f t="shared" si="9"/>
        <v>3.3112582781456954E-3</v>
      </c>
      <c r="S22" s="94">
        <f>'Water Reading'!E22-'Water Reading'!E21</f>
        <v>61</v>
      </c>
      <c r="T22" s="100">
        <f t="shared" si="10"/>
        <v>0.20198675496688742</v>
      </c>
      <c r="U22" s="90">
        <f>'Water Reading'!G22-'Water Reading'!G21</f>
        <v>25</v>
      </c>
      <c r="V22" s="100">
        <f t="shared" si="11"/>
        <v>8.2781456953642391E-2</v>
      </c>
      <c r="W22" s="90">
        <f>'Water Reading'!J22-'Water Reading'!J21</f>
        <v>12</v>
      </c>
      <c r="X22" s="100">
        <f t="shared" si="12"/>
        <v>3.9735099337748346E-2</v>
      </c>
      <c r="Y22" s="66">
        <f t="shared" si="0"/>
        <v>278</v>
      </c>
      <c r="Z22" s="67">
        <f t="shared" si="1"/>
        <v>1.3560975609756099</v>
      </c>
    </row>
    <row r="23" spans="1:26" x14ac:dyDescent="0.25">
      <c r="A23" s="8">
        <f>'Water Reading'!A22</f>
        <v>44216</v>
      </c>
      <c r="B23" s="65">
        <f>TOTAL!I21</f>
        <v>303</v>
      </c>
      <c r="C23" s="66">
        <f>('Water Reading'!B23-'Water Reading'!B22)+('Water Reading'!C23-'Water Reading'!C22)</f>
        <v>291</v>
      </c>
      <c r="D23" s="67">
        <f t="shared" si="2"/>
        <v>0.96039603960396036</v>
      </c>
      <c r="E23" s="87">
        <f>'Water Reading'!H23-'Water Reading'!H22</f>
        <v>45</v>
      </c>
      <c r="F23" s="89">
        <f t="shared" si="3"/>
        <v>0.15463917525773196</v>
      </c>
      <c r="G23" s="93">
        <f>('Water Reading'!D23-'Water Reading'!D22)-('Water Reading'!R23-'Water Reading'!R22)-('Water Reading'!Q23-'Water Reading'!Q22)</f>
        <v>127</v>
      </c>
      <c r="H23" s="89">
        <f t="shared" si="4"/>
        <v>0.43642611683848798</v>
      </c>
      <c r="I23" s="90">
        <f>'Water Reading'!P23-'Water Reading'!P22</f>
        <v>3</v>
      </c>
      <c r="J23" s="68">
        <f t="shared" si="5"/>
        <v>1.0309278350515464E-2</v>
      </c>
      <c r="K23" s="90">
        <f>('Water Reading'!I23-'Water Reading'!I22)-('Water Reading'!P23-'Water Reading'!P22)</f>
        <v>21</v>
      </c>
      <c r="L23" s="68">
        <f t="shared" si="6"/>
        <v>7.2164948453608241E-2</v>
      </c>
      <c r="M23" s="90">
        <f>'Water Reading'!R23-'Water Reading'!R22</f>
        <v>10</v>
      </c>
      <c r="N23" s="92">
        <f t="shared" si="7"/>
        <v>3.4364261168384883E-2</v>
      </c>
      <c r="O23" s="90">
        <f>'Water Reading'!Q23-'Water Reading'!Q22</f>
        <v>0</v>
      </c>
      <c r="P23" s="99">
        <f t="shared" si="8"/>
        <v>0</v>
      </c>
      <c r="Q23" s="91">
        <f>'Water Reading'!F23-'Water Reading'!F22</f>
        <v>0</v>
      </c>
      <c r="R23" s="100">
        <f t="shared" si="9"/>
        <v>0</v>
      </c>
      <c r="S23" s="94">
        <f>'Water Reading'!E23-'Water Reading'!E22</f>
        <v>52</v>
      </c>
      <c r="T23" s="100">
        <f t="shared" si="10"/>
        <v>0.17869415807560138</v>
      </c>
      <c r="U23" s="90">
        <f>'Water Reading'!G23-'Water Reading'!G22</f>
        <v>15</v>
      </c>
      <c r="V23" s="100">
        <f t="shared" si="11"/>
        <v>5.1546391752577317E-2</v>
      </c>
      <c r="W23" s="90">
        <f>'Water Reading'!J23-'Water Reading'!J22</f>
        <v>10</v>
      </c>
      <c r="X23" s="100">
        <f t="shared" si="12"/>
        <v>3.4364261168384883E-2</v>
      </c>
      <c r="Y23" s="66">
        <f t="shared" si="0"/>
        <v>283</v>
      </c>
      <c r="Z23" s="67">
        <f t="shared" si="1"/>
        <v>0.93399339933993397</v>
      </c>
    </row>
    <row r="24" spans="1:26" x14ac:dyDescent="0.25">
      <c r="A24" s="8">
        <f>'Water Reading'!A23</f>
        <v>44217</v>
      </c>
      <c r="B24" s="65">
        <f>TOTAL!I22</f>
        <v>0</v>
      </c>
      <c r="C24" s="66">
        <f>('Water Reading'!B24-'Water Reading'!B23)+('Water Reading'!C24-'Water Reading'!C23)</f>
        <v>-236507</v>
      </c>
      <c r="D24" s="67" t="e">
        <f t="shared" si="2"/>
        <v>#DIV/0!</v>
      </c>
      <c r="E24" s="87">
        <f>'Water Reading'!H24-'Water Reading'!H23</f>
        <v>-45122</v>
      </c>
      <c r="F24" s="89">
        <f t="shared" si="3"/>
        <v>0.19078505075959698</v>
      </c>
      <c r="G24" s="93">
        <f>('Water Reading'!D24-'Water Reading'!D23)-('Water Reading'!R24-'Water Reading'!R23)-('Water Reading'!Q24-'Water Reading'!Q23)</f>
        <v>-180789</v>
      </c>
      <c r="H24" s="89">
        <f t="shared" si="4"/>
        <v>0.76441289264165546</v>
      </c>
      <c r="I24" s="90">
        <f>'Water Reading'!P24-'Water Reading'!P23</f>
        <v>-25757</v>
      </c>
      <c r="J24" s="68">
        <f t="shared" si="5"/>
        <v>0.10890586747960948</v>
      </c>
      <c r="K24" s="90">
        <f>('Water Reading'!I24-'Water Reading'!I23)</f>
        <v>-57324</v>
      </c>
      <c r="L24" s="68">
        <f t="shared" si="6"/>
        <v>0.24237760404554623</v>
      </c>
      <c r="M24" s="90">
        <f>'Water Reading'!R24-'Water Reading'!R23</f>
        <v>-5399</v>
      </c>
      <c r="N24" s="92">
        <f t="shared" si="7"/>
        <v>2.2828076970237667E-2</v>
      </c>
      <c r="O24" s="90">
        <f>'Water Reading'!Q24-'Water Reading'!Q23</f>
        <v>-20</v>
      </c>
      <c r="P24" s="99">
        <f t="shared" si="8"/>
        <v>8.45640932403692E-5</v>
      </c>
      <c r="Q24" s="91">
        <f>'Water Reading'!F24-'Water Reading'!F23</f>
        <v>-66839</v>
      </c>
      <c r="R24" s="100">
        <f t="shared" si="9"/>
        <v>0.28260897140465185</v>
      </c>
      <c r="S24" s="94">
        <f>'Water Reading'!E24-'Water Reading'!E23</f>
        <v>-238269</v>
      </c>
      <c r="T24" s="100">
        <f t="shared" si="10"/>
        <v>1.0074500966144766</v>
      </c>
      <c r="U24" s="90">
        <f>'Water Reading'!G24-'Water Reading'!G23</f>
        <v>-108531</v>
      </c>
      <c r="V24" s="100">
        <f t="shared" si="11"/>
        <v>0.45889128017352554</v>
      </c>
      <c r="W24" s="90">
        <f>'Water Reading'!J24-'Water Reading'!J23</f>
        <v>-18206</v>
      </c>
      <c r="X24" s="100">
        <f t="shared" si="12"/>
        <v>7.6978694076708085E-2</v>
      </c>
      <c r="Y24" s="66">
        <f t="shared" si="0"/>
        <v>-746256</v>
      </c>
      <c r="Z24" s="67" t="e">
        <f t="shared" si="1"/>
        <v>#DIV/0!</v>
      </c>
    </row>
    <row r="25" spans="1:26" x14ac:dyDescent="0.25">
      <c r="A25" s="8">
        <f>'Water Reading'!A24</f>
        <v>44218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0">
        <f>('Water Reading'!I25-'Water Reading'!I24)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44219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44220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44221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44222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44223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44224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44225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44226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44227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5631</v>
      </c>
      <c r="C35" s="75">
        <f>SUM(C4:C34)</f>
        <v>-229728</v>
      </c>
      <c r="D35" s="96">
        <f>C35/B35</f>
        <v>-40.797016515716571</v>
      </c>
      <c r="E35" s="7">
        <f>SUM(E4:E34)</f>
        <v>-44506</v>
      </c>
      <c r="F35" s="95">
        <f>E35/C35</f>
        <v>0.19373345869898315</v>
      </c>
      <c r="G35" s="75">
        <f>SUM(G4:G34)</f>
        <v>-177785</v>
      </c>
      <c r="H35" s="95">
        <f>G35/C35</f>
        <v>0.77389347402145148</v>
      </c>
      <c r="I35" s="7">
        <f>SUM(I4:I34)</f>
        <v>-25641</v>
      </c>
      <c r="J35" s="95">
        <f>I35/C35</f>
        <v>0.11161460509820309</v>
      </c>
      <c r="K35" s="7">
        <f>SUM(K4:K34)</f>
        <v>-56825</v>
      </c>
      <c r="L35" s="95">
        <f>K35/C35</f>
        <v>0.24735774481125505</v>
      </c>
      <c r="M35" s="7">
        <f>SUM(M4:M34)</f>
        <v>-5252</v>
      </c>
      <c r="N35" s="95">
        <f>M35/C35</f>
        <v>2.2861819194873938E-2</v>
      </c>
      <c r="O35" s="7">
        <f>SUM(O4:O34)</f>
        <v>43</v>
      </c>
      <c r="P35" s="95">
        <f>O35/C35</f>
        <v>-1.8717787992756651E-4</v>
      </c>
      <c r="Q35" s="7">
        <f>SUM(Q4:Q34)</f>
        <v>-66831</v>
      </c>
      <c r="R35" s="95">
        <f>Q35/C35</f>
        <v>0.2909136021730046</v>
      </c>
      <c r="S35" s="75">
        <f>SUM(S4:S34)</f>
        <v>-237039</v>
      </c>
      <c r="T35" s="95">
        <f>S35/C35</f>
        <v>1.0318245925616381</v>
      </c>
      <c r="U35" s="7">
        <f>SUM(U4:U34)</f>
        <v>-108009</v>
      </c>
      <c r="V35" s="95">
        <f>U35/C35</f>
        <v>0.47016036356038443</v>
      </c>
      <c r="W35" s="7">
        <f>SUM(W4:W34)</f>
        <v>-17981</v>
      </c>
      <c r="X35" s="95">
        <f>W35/C35</f>
        <v>7.8270824627385424E-2</v>
      </c>
      <c r="Y35" s="75">
        <f>SUM(Y4:Y34)</f>
        <v>-739826</v>
      </c>
      <c r="Z35" s="95">
        <f t="shared" si="1"/>
        <v>-131.38447877819215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2021-01-21T04:40:41Z</dcterms:modified>
  <cp:category/>
  <cp:contentStatus/>
</cp:coreProperties>
</file>