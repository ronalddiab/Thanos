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249" documentId="8_{0497B0DD-18C1-40BD-B9FC-449099B2A16A}" xr6:coauthVersionLast="36" xr6:coauthVersionMax="36" xr10:uidLastSave="{1DAA1087-0E7B-430D-87A6-20F52D7DECA3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<sst xmlns="http://schemas.openxmlformats.org/spreadsheetml/2006/main" count="175" uniqueCount="48">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</sst>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K14" sqref="K14:L16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12465</v>
      </c>
      <c r="F13" s="10">
        <v>0.2979</v>
      </c>
      <c r="G13" s="13">
        <f>-'Submetering '!J13+'Submetering '!K13</f>
        <v>871</v>
      </c>
      <c r="H13" s="10">
        <v>0.23119999999999999</v>
      </c>
      <c r="I13" s="13">
        <f>'Submetering '!L13+'Submetering '!M13</f>
        <v>129</v>
      </c>
      <c r="J13" s="10">
        <v>2.94</v>
      </c>
      <c r="K13" s="9">
        <v>209</v>
      </c>
      <c r="L13" s="9">
        <v>209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13620</v>
      </c>
      <c r="F14" s="10">
        <v>0.2979</v>
      </c>
      <c r="G14" s="13">
        <f>-'Submetering '!J14+'Submetering '!K14</f>
        <v>818</v>
      </c>
      <c r="H14" s="10">
        <v>0.23119999999999999</v>
      </c>
      <c r="I14" s="13">
        <f>'Submetering '!L14+'Submetering '!M14</f>
        <v>162</v>
      </c>
      <c r="J14" s="10">
        <v>2.94</v>
      </c>
      <c r="K14" s="9">
        <v>203</v>
      </c>
      <c r="L14" s="9">
        <v>203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12120</v>
      </c>
      <c r="F15" s="10">
        <v>0.2979</v>
      </c>
      <c r="G15" s="13">
        <f>-'Submetering '!J15+'Submetering '!K15</f>
        <v>743</v>
      </c>
      <c r="H15" s="10">
        <v>0.23119999999999999</v>
      </c>
      <c r="I15" s="13">
        <f>'Submetering '!L15+'Submetering '!M15</f>
        <v>140</v>
      </c>
      <c r="J15" s="10">
        <v>2.94</v>
      </c>
      <c r="K15" s="9">
        <v>191</v>
      </c>
      <c r="L15" s="9">
        <v>191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12150</v>
      </c>
      <c r="F16" s="10">
        <v>0.2979</v>
      </c>
      <c r="G16" s="13">
        <f>-'Submetering '!J16+'Submetering '!K16</f>
        <v>740</v>
      </c>
      <c r="H16" s="10">
        <v>0.23119999999999999</v>
      </c>
      <c r="I16" s="13">
        <f>'Submetering '!L16+'Submetering '!M16</f>
        <v>134</v>
      </c>
      <c r="J16" s="10">
        <v>2.94</v>
      </c>
      <c r="K16" s="9">
        <v>245</v>
      </c>
      <c r="L16" s="9">
        <v>245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C16" sqref="AC16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5610</v>
      </c>
      <c r="F13" s="33">
        <f>(IF((Electrical!C14-Electrical!C13)&lt;0,"0",(Electrical!C14-Electrical!C13)))*15</f>
        <v>3300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3612</v>
      </c>
      <c r="I13" s="33">
        <f>IF((Electrical!F14-Electrical!F13)&lt;0,"0",(Electrical!F14-Electrical!F13))</f>
        <v>385</v>
      </c>
      <c r="J13" s="33">
        <f>IF((Gas!B14-Gas!B13)&lt;0,"0",(Gas!B14-Gas!B13))</f>
        <v>0</v>
      </c>
      <c r="K13" s="33">
        <f>IF((Gas!C14-Gas!C13)&lt;0,"0",(Gas!C14-Gas!C13))</f>
        <v>871</v>
      </c>
      <c r="L13" s="33">
        <f>(IF((Water!B14-Water!B13)&lt;0,"0",(Water!B14-Water!B13)))*10</f>
        <v>110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209</v>
      </c>
      <c r="Z13" s="9">
        <v>209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5730</v>
      </c>
      <c r="F14" s="33">
        <f>(IF((Electrical!C15-Electrical!C14)&lt;0,"0",(Electrical!C15-Electrical!C14)))*15</f>
        <v>4005</v>
      </c>
      <c r="G14" s="33">
        <f>(IF((Electrical!D15-Electrical!D14)&lt;0,"0",(Electrical!D15-Electrical!D14)))*15</f>
        <v>3885</v>
      </c>
      <c r="H14" s="33">
        <f>IF((Electrical!E15-Electrical!E14)&lt;0,"0",(Electrical!E15-Electrical!E14))</f>
        <v>4162</v>
      </c>
      <c r="I14" s="33">
        <f>IF((Electrical!F15-Electrical!F14)&lt;0,"0",(Electrical!F15-Electrical!F14))</f>
        <v>461</v>
      </c>
      <c r="J14" s="33">
        <f>IF((Gas!B15-Gas!B14)&lt;0,"0",(Gas!B15-Gas!B14))</f>
        <v>0</v>
      </c>
      <c r="K14" s="33">
        <f>IF((Gas!C15-Gas!C14)&lt;0,"0",(Gas!C15-Gas!C14))</f>
        <v>818</v>
      </c>
      <c r="L14" s="33">
        <f>(IF((Water!B15-Water!B14)&lt;0,"0",(Water!B15-Water!B14)))*10</f>
        <v>140</v>
      </c>
      <c r="M14" s="33">
        <f>IF((Water!C15-Water!C14)&lt;0,"0",(Water!C15-Water!C14))</f>
        <v>22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203</v>
      </c>
      <c r="Z14" s="9">
        <v>203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5205</v>
      </c>
      <c r="F15" s="33">
        <f>(IF((Electrical!C16-Electrical!C15)&lt;0,"0",(Electrical!C16-Electrical!C15)))*15</f>
        <v>3330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3699</v>
      </c>
      <c r="I15" s="33">
        <f>IF((Electrical!F16-Electrical!F15)&lt;0,"0",(Electrical!F16-Electrical!F15))</f>
        <v>399</v>
      </c>
      <c r="J15" s="33">
        <f>IF((Gas!B16-Gas!B15)&lt;0,"0",(Gas!B16-Gas!B15))</f>
        <v>0</v>
      </c>
      <c r="K15" s="33">
        <f>IF((Gas!C16-Gas!C15)&lt;0,"0",(Gas!C16-Gas!C15))</f>
        <v>743</v>
      </c>
      <c r="L15" s="33">
        <f>(IF((Water!B16-Water!B15)&lt;0,"0",(Water!B16-Water!B15)))*10</f>
        <v>120</v>
      </c>
      <c r="M15" s="33">
        <f>IF((Water!C16-Water!C15)&lt;0,"0",(Water!C16-Water!C15))</f>
        <v>20</v>
      </c>
      <c r="N15" s="33">
        <f>IF((Water!D16-Water!D15)&lt;0,"0",(Water!D16-Water!D15))</f>
        <v>0</v>
      </c>
      <c r="O15" s="33">
        <f>IF((Water!E16-Water!E15)&lt;0,"0",(Water!E16-Water!E15))</f>
        <v>14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191</v>
      </c>
      <c r="Z15" s="9">
        <v>191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5310</v>
      </c>
      <c r="F16" s="33">
        <f>(IF((Electrical!C17-Electrical!C16)&lt;0,"0",(Electrical!C17-Electrical!C16)))*15</f>
        <v>3480</v>
      </c>
      <c r="G16" s="33">
        <f>(IF((Electrical!D17-Electrical!D16)&lt;0,"0",(Electrical!D17-Electrical!D16)))*15</f>
        <v>3360</v>
      </c>
      <c r="H16" s="33">
        <f>IF((Electrical!E17-Electrical!E16)&lt;0,"0",(Electrical!E17-Electrical!E16))</f>
        <v>3796</v>
      </c>
      <c r="I16" s="33">
        <f>IF((Electrical!F17-Electrical!F16)&lt;0,"0",(Electrical!F17-Electrical!F16))</f>
        <v>397</v>
      </c>
      <c r="J16" s="33">
        <f>IF((Gas!B17-Gas!B16)&lt;0,"0",(Gas!B17-Gas!B16))</f>
        <v>0</v>
      </c>
      <c r="K16" s="33">
        <f>IF((Gas!C17-Gas!C16)&lt;0,"0",(Gas!C17-Gas!C16))</f>
        <v>740</v>
      </c>
      <c r="L16" s="33">
        <f>(IF((Water!B17-Water!B16)&lt;0,"0",(Water!B17-Water!B16)))*10</f>
        <v>110</v>
      </c>
      <c r="M16" s="33">
        <f>IF((Water!C17-Water!C16)&lt;0,"0",(Water!C17-Water!C16))</f>
        <v>24</v>
      </c>
      <c r="N16" s="33">
        <f>IF((Water!D17-Water!D16)&lt;0,"0",(Water!D17-Water!D16))</f>
        <v>0</v>
      </c>
      <c r="O16" s="33">
        <f>IF((Water!E17-Water!E16)&lt;0,"0",(Water!E17-Water!E16))</f>
        <v>13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6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245</v>
      </c>
      <c r="Z16" s="9">
        <v>245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 t="str">
        <f>IF((Electrical!E18-Electrical!E17)&lt;0,"0",(Electrical!E18-Electrical!E17))</f>
        <v>0</v>
      </c>
      <c r="I17" s="33" t="str">
        <f>IF((Electrical!F18-Electrical!F17)&lt;0,"0",(Electrical!F18-Electrical!F17))</f>
        <v>0</v>
      </c>
      <c r="J17" s="33">
        <f>IF((Gas!B18-Gas!B17)&lt;0,"0",(Gas!B18-Gas!B17))</f>
        <v>0</v>
      </c>
      <c r="K17" s="33" t="str">
        <f>IF((Gas!C18-Gas!C17)&lt;0,"0",(Gas!C18-Gas!C17))</f>
        <v>0</v>
      </c>
      <c r="L17" s="33">
        <f>(IF((Water!B18-Water!B17)&lt;0,"0",(Water!B18-Water!B17)))*10</f>
        <v>0</v>
      </c>
      <c r="M17" s="33" t="str">
        <f>IF((Water!C18-Water!C17)&lt;0,"0",(Water!C18-Water!C17))</f>
        <v>0</v>
      </c>
      <c r="N17" s="33">
        <f>IF((Water!D18-Water!D17)&lt;0,"0",(Water!D18-Water!D17))</f>
        <v>0</v>
      </c>
      <c r="O17" s="33" t="str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 t="str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 t="str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IF((Electrical!E38-Electrical!E25)&lt;0,"0",(Electrical!E38-Electrical!E25))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IF((Electrical!E27-Electrical!E38)&lt;0,"0",(Electrical!E27-Electrical!E38))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zoomScale="70" zoomScaleNormal="70" workbookViewId="0">
      <selection activeCell="G15" sqref="G15:G17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>
        <v>134131</v>
      </c>
      <c r="C14" s="28">
        <v>97487</v>
      </c>
      <c r="D14" s="45">
        <v>99159</v>
      </c>
      <c r="E14" s="45">
        <v>1394963</v>
      </c>
      <c r="F14" s="45">
        <v>157026</v>
      </c>
      <c r="G14" s="5" t="s">
        <v>47</v>
      </c>
    </row>
    <row r="15" spans="1:7" x14ac:dyDescent="0.35">
      <c r="A15" s="7">
        <v>13</v>
      </c>
      <c r="B15" s="28">
        <v>134513</v>
      </c>
      <c r="C15" s="28">
        <v>97754</v>
      </c>
      <c r="D15" s="45">
        <v>99418</v>
      </c>
      <c r="E15" s="45">
        <v>1399125</v>
      </c>
      <c r="F15" s="45">
        <v>157487</v>
      </c>
      <c r="G15" s="5" t="s">
        <v>40</v>
      </c>
    </row>
    <row r="16" spans="1:7" x14ac:dyDescent="0.35">
      <c r="A16" s="7">
        <v>14</v>
      </c>
      <c r="B16" s="28">
        <v>134860</v>
      </c>
      <c r="C16" s="28">
        <v>97976</v>
      </c>
      <c r="D16" s="45">
        <v>99657</v>
      </c>
      <c r="E16" s="45">
        <v>1402824</v>
      </c>
      <c r="F16" s="45">
        <v>157886</v>
      </c>
      <c r="G16" s="5" t="s">
        <v>40</v>
      </c>
    </row>
    <row r="17" spans="1:7" x14ac:dyDescent="0.35">
      <c r="A17" s="7">
        <v>15</v>
      </c>
      <c r="B17" s="28">
        <v>135214</v>
      </c>
      <c r="C17" s="28">
        <v>98208</v>
      </c>
      <c r="D17" s="45">
        <v>99881</v>
      </c>
      <c r="E17" s="45">
        <v>1406620</v>
      </c>
      <c r="F17" s="45">
        <v>158283</v>
      </c>
      <c r="G17" s="5" t="s">
        <v>42</v>
      </c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D15" sqref="D15:D1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>
        <v>235828</v>
      </c>
      <c r="D14" s="5" t="s">
        <v>47</v>
      </c>
    </row>
    <row r="15" spans="1:4" x14ac:dyDescent="0.35">
      <c r="A15" s="4">
        <v>13</v>
      </c>
      <c r="B15" s="5">
        <v>0</v>
      </c>
      <c r="C15" s="5">
        <v>236646</v>
      </c>
      <c r="D15" s="5" t="s">
        <v>40</v>
      </c>
    </row>
    <row r="16" spans="1:4" x14ac:dyDescent="0.35">
      <c r="A16" s="4">
        <v>14</v>
      </c>
      <c r="B16" s="5">
        <v>0</v>
      </c>
      <c r="C16" s="5">
        <v>237389</v>
      </c>
      <c r="D16" s="5" t="s">
        <v>40</v>
      </c>
    </row>
    <row r="17" spans="1:4" x14ac:dyDescent="0.35">
      <c r="A17" s="4">
        <v>15</v>
      </c>
      <c r="B17" s="5">
        <v>0</v>
      </c>
      <c r="C17" s="5">
        <v>238129</v>
      </c>
      <c r="D17" s="5" t="s">
        <v>42</v>
      </c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abSelected="1" topLeftCell="G4" zoomScale="85" zoomScaleNormal="85" workbookViewId="0">
      <selection activeCell="R18" sqref="R18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>
        <v>3848</v>
      </c>
      <c r="C14" s="5">
        <v>11200</v>
      </c>
      <c r="D14" s="5">
        <v>0</v>
      </c>
      <c r="E14" s="5">
        <v>3537</v>
      </c>
      <c r="F14" s="5">
        <v>0</v>
      </c>
      <c r="G14" s="5">
        <v>0</v>
      </c>
      <c r="H14" s="5">
        <v>0</v>
      </c>
      <c r="I14" s="5">
        <v>0</v>
      </c>
      <c r="J14" s="5">
        <v>467</v>
      </c>
      <c r="K14" s="5">
        <v>0</v>
      </c>
      <c r="L14" s="5">
        <v>0</v>
      </c>
      <c r="M14" s="5">
        <v>0</v>
      </c>
      <c r="N14" s="5">
        <v>13820</v>
      </c>
      <c r="O14" s="5" t="s">
        <v>47</v>
      </c>
    </row>
    <row r="15" spans="1:15" x14ac:dyDescent="0.35">
      <c r="A15" s="4">
        <v>13</v>
      </c>
      <c r="B15" s="5">
        <v>3862</v>
      </c>
      <c r="C15" s="5">
        <v>11222</v>
      </c>
      <c r="D15" s="5">
        <v>0</v>
      </c>
      <c r="E15" s="5">
        <v>3552</v>
      </c>
      <c r="F15" s="5">
        <v>0</v>
      </c>
      <c r="G15" s="5">
        <v>0</v>
      </c>
      <c r="H15" s="5">
        <v>0</v>
      </c>
      <c r="I15" s="5">
        <v>0</v>
      </c>
      <c r="J15" s="5">
        <v>467</v>
      </c>
      <c r="K15" s="5">
        <v>0</v>
      </c>
      <c r="L15" s="5">
        <v>0</v>
      </c>
      <c r="M15" s="5">
        <v>0</v>
      </c>
      <c r="N15" s="5">
        <v>13852</v>
      </c>
      <c r="O15" s="5" t="s">
        <v>40</v>
      </c>
    </row>
    <row r="16" spans="1:15" x14ac:dyDescent="0.35">
      <c r="A16" s="4">
        <v>14</v>
      </c>
      <c r="B16" s="5">
        <v>3874</v>
      </c>
      <c r="C16" s="5">
        <v>11242</v>
      </c>
      <c r="D16" s="5">
        <v>0</v>
      </c>
      <c r="E16" s="5">
        <v>3566</v>
      </c>
      <c r="F16" s="5">
        <v>0</v>
      </c>
      <c r="G16" s="5">
        <v>0</v>
      </c>
      <c r="H16" s="5">
        <v>0</v>
      </c>
      <c r="I16" s="5">
        <v>0</v>
      </c>
      <c r="J16" s="5">
        <v>467</v>
      </c>
      <c r="K16" s="5">
        <v>0</v>
      </c>
      <c r="L16" s="5">
        <v>0</v>
      </c>
      <c r="M16" s="5">
        <v>0</v>
      </c>
      <c r="N16" s="5">
        <v>13885</v>
      </c>
      <c r="O16" s="5" t="s">
        <v>40</v>
      </c>
    </row>
    <row r="17" spans="1:15" x14ac:dyDescent="0.35">
      <c r="A17" s="4">
        <v>15</v>
      </c>
      <c r="B17" s="5">
        <v>3885</v>
      </c>
      <c r="C17" s="5">
        <v>11266</v>
      </c>
      <c r="D17" s="5">
        <v>0</v>
      </c>
      <c r="E17" s="5">
        <v>3579</v>
      </c>
      <c r="F17" s="5">
        <v>0</v>
      </c>
      <c r="G17" s="5">
        <v>0</v>
      </c>
      <c r="H17" s="5">
        <v>0</v>
      </c>
      <c r="I17" s="5">
        <v>0</v>
      </c>
      <c r="J17" s="5">
        <v>473</v>
      </c>
      <c r="K17" s="5">
        <v>0</v>
      </c>
      <c r="L17" s="5">
        <v>0</v>
      </c>
      <c r="M17" s="5">
        <v>0</v>
      </c>
      <c r="N17" s="5">
        <v>13917</v>
      </c>
      <c r="O17" s="5" t="s">
        <v>42</v>
      </c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c0c63084-832f-4b13-a501-c844d9f3bfed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2024-04-16T02:53:25Z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