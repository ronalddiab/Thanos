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H40" i="5"/>
  <c r="L29" i="3" l="1"/>
  <c r="K29" i="3"/>
  <c r="I29" i="3"/>
  <c r="G29" i="3"/>
  <c r="E29" i="3"/>
  <c r="L28" i="3" l="1"/>
  <c r="K28" i="3"/>
  <c r="I28" i="3"/>
  <c r="G28" i="3"/>
  <c r="E28" i="3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<sst xmlns="http://schemas.openxmlformats.org/spreadsheetml/2006/main" count="105" uniqueCount="38">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</sst>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43" fontId="4" fillId="0" borderId="27" xfId="2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43" fontId="6" fillId="0" borderId="27" xfId="2" applyFont="1" applyFill="1" applyBorder="1" applyAlignment="1">
      <alignment horizontal="center" vertical="center"/>
    </xf>
    <xf numFmtId="43" fontId="5" fillId="0" borderId="27" xfId="2" applyFont="1" applyFill="1" applyBorder="1" applyAlignment="1">
      <alignment horizontal="center" vertical="center"/>
    </xf>
    <xf numFmtId="43" fontId="4" fillId="0" borderId="27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R21" sqref="R21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4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'04 - 2022'!B9-'04 - 2022'!B8+'04 - 2022'!C9-'04 - 2022'!C8</f>
        <v>9642</v>
      </c>
      <c r="F3" s="14">
        <v>0.11799999999999999</v>
      </c>
      <c r="G3" s="16">
        <f>'04 - 2022'!D9-'04 - 2022'!D8+'04 - 2022'!E9-'04 - 2022'!E8</f>
        <v>24.360000000000014</v>
      </c>
      <c r="H3" s="14">
        <v>0.99</v>
      </c>
      <c r="I3" s="16">
        <f>'04 - 2022'!J9-'04 - 2022'!J8</f>
        <v>19426</v>
      </c>
      <c r="J3" s="14">
        <v>8.1000000000000003E-2</v>
      </c>
      <c r="K3" s="23">
        <f>'04 - 2022'!H9-'04 - 2022'!H8</f>
        <v>0</v>
      </c>
      <c r="L3" s="16">
        <f>'04 - 2022'!I9-'04 - 2022'!I8</f>
        <v>118</v>
      </c>
      <c r="M3" s="15">
        <v>4.393629424766913</v>
      </c>
      <c r="N3" s="18">
        <v>67</v>
      </c>
    </row>
    <row r="4" spans="1:21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'04 - 2022'!B10-'04 - 2022'!B9+'04 - 2022'!C10-'04 - 2022'!C9</f>
        <v>9080</v>
      </c>
      <c r="F4" s="14">
        <v>0.11799999999999999</v>
      </c>
      <c r="G4" s="16">
        <f>'04 - 2022'!D10-'04 - 2022'!D9+'04 - 2022'!E10-'04 - 2022'!E9</f>
        <v>26.139999999999986</v>
      </c>
      <c r="H4" s="14">
        <v>0.99</v>
      </c>
      <c r="I4" s="16">
        <f>'04 - 2022'!J10-'04 - 2022'!J9</f>
        <v>20339</v>
      </c>
      <c r="J4" s="14">
        <v>8.1000000000000003E-2</v>
      </c>
      <c r="K4" s="23">
        <f>'04 - 2022'!H10-'04 - 2022'!H9</f>
        <v>0</v>
      </c>
      <c r="L4" s="16">
        <f>'04 - 2022'!I10-'04 - 2022'!I9</f>
        <v>106</v>
      </c>
      <c r="M4" s="15">
        <v>4.393629424766913</v>
      </c>
      <c r="N4" s="18">
        <v>56</v>
      </c>
    </row>
    <row r="5" spans="1:21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'04 - 2022'!B11-'04 - 2022'!B10+'04 - 2022'!C11-'04 - 2022'!C10</f>
        <v>8991</v>
      </c>
      <c r="F5" s="14">
        <v>0.11799999999999999</v>
      </c>
      <c r="G5" s="16">
        <f>'04 - 2022'!D11-'04 - 2022'!D10+'04 - 2022'!E11-'04 - 2022'!E10</f>
        <v>18.470000000000027</v>
      </c>
      <c r="H5" s="14">
        <v>0.99</v>
      </c>
      <c r="I5" s="16">
        <f>'04 - 2022'!J11-'04 - 2022'!J10</f>
        <v>19754</v>
      </c>
      <c r="J5" s="14">
        <v>8.1000000000000003E-2</v>
      </c>
      <c r="K5" s="23">
        <f>'04 - 2022'!H11-'04 - 2022'!H10</f>
        <v>0</v>
      </c>
      <c r="L5" s="16">
        <f>'04 - 2022'!I11-'04 - 2022'!I10</f>
        <v>84</v>
      </c>
      <c r="M5" s="15">
        <v>4.393629424766913</v>
      </c>
      <c r="N5" s="18">
        <v>48</v>
      </c>
      <c r="R5" s="14"/>
    </row>
    <row r="6" spans="1:21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'04 - 2022'!B12-'04 - 2022'!B11+'04 - 2022'!C12-'04 - 2022'!C11</f>
        <v>8716</v>
      </c>
      <c r="F6" s="14">
        <v>0.11799999999999999</v>
      </c>
      <c r="G6" s="16">
        <f>'04 - 2022'!D12-'04 - 2022'!D11+'04 - 2022'!E12-'04 - 2022'!E11</f>
        <v>20.439999999999998</v>
      </c>
      <c r="H6" s="14">
        <v>0.99</v>
      </c>
      <c r="I6" s="16">
        <f>'04 - 2022'!J12-'04 - 2022'!J11</f>
        <v>19035</v>
      </c>
      <c r="J6" s="14">
        <v>8.1000000000000003E-2</v>
      </c>
      <c r="K6" s="23">
        <f>'04 - 2022'!H12-'04 - 2022'!H11</f>
        <v>0</v>
      </c>
      <c r="L6" s="16">
        <f>'04 - 2022'!I12-'04 - 2022'!I11</f>
        <v>93</v>
      </c>
      <c r="M6" s="15">
        <v>4.393629424766913</v>
      </c>
      <c r="N6" s="18">
        <v>41</v>
      </c>
    </row>
    <row r="7" spans="1:21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'04 - 2022'!B13-'04 - 2022'!B12+'04 - 2022'!C13-'04 - 2022'!C12</f>
        <v>8837</v>
      </c>
      <c r="F7" s="14">
        <v>0.11799999999999999</v>
      </c>
      <c r="G7" s="16">
        <f>'04 - 2022'!D13-'04 - 2022'!D12+'04 - 2022'!E13-'04 - 2022'!E12</f>
        <v>23.249999999999943</v>
      </c>
      <c r="H7" s="14">
        <v>0.99</v>
      </c>
      <c r="I7" s="16">
        <f>'04 - 2022'!J13-'04 - 2022'!J12</f>
        <v>19936</v>
      </c>
      <c r="J7" s="14">
        <v>8.1000000000000003E-2</v>
      </c>
      <c r="K7" s="23">
        <f>'04 - 2022'!H13-'04 - 2022'!H12</f>
        <v>0</v>
      </c>
      <c r="L7" s="16">
        <f>'04 - 2022'!I13-'04 - 2022'!I12</f>
        <v>102</v>
      </c>
      <c r="M7" s="15">
        <v>4.393629424766913</v>
      </c>
      <c r="N7" s="18">
        <v>40</v>
      </c>
    </row>
    <row r="8" spans="1:21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'04 - 2022'!B14-'04 - 2022'!B13+'04 - 2022'!C14-'04 - 2022'!C13</f>
        <v>8748</v>
      </c>
      <c r="F8" s="14">
        <v>0.11799999999999999</v>
      </c>
      <c r="G8" s="16">
        <f>'04 - 2022'!D14-'04 - 2022'!D13+'04 - 2022'!E14-'04 - 2022'!E13</f>
        <v>21.639999999999986</v>
      </c>
      <c r="H8" s="14">
        <v>0.99</v>
      </c>
      <c r="I8" s="16">
        <f>'04 - 2022'!J14-'04 - 2022'!J13</f>
        <v>19437</v>
      </c>
      <c r="J8" s="14">
        <v>8.1000000000000003E-2</v>
      </c>
      <c r="K8" s="23">
        <f>'04 - 2022'!H14-'04 - 2022'!H13</f>
        <v>0</v>
      </c>
      <c r="L8" s="16">
        <f>'04 - 2022'!I14-'04 - 2022'!I13</f>
        <v>64</v>
      </c>
      <c r="M8" s="15">
        <v>4.393629424766913</v>
      </c>
      <c r="N8" s="18">
        <v>48</v>
      </c>
      <c r="O8" s="16"/>
    </row>
    <row r="9" spans="1:21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'04 - 2022'!B15-'04 - 2022'!B14+'04 - 2022'!C15-'04 - 2022'!C14</f>
        <v>8990</v>
      </c>
      <c r="F9" s="14">
        <v>0.11799999999999999</v>
      </c>
      <c r="G9" s="16">
        <f>'04 - 2022'!D15-'04 - 2022'!D14+'04 - 2022'!E15-'04 - 2022'!E14</f>
        <v>21.549999999999955</v>
      </c>
      <c r="H9" s="14">
        <v>0.99</v>
      </c>
      <c r="I9" s="16">
        <f>'04 - 2022'!J15-'04 - 2022'!J14</f>
        <v>19524</v>
      </c>
      <c r="J9" s="14">
        <v>8.1000000000000003E-2</v>
      </c>
      <c r="K9" s="23">
        <f>'04 - 2022'!H15-'04 - 2022'!H14</f>
        <v>0</v>
      </c>
      <c r="L9" s="16">
        <f>'04 - 2022'!I15-'04 - 2022'!I14</f>
        <v>89</v>
      </c>
      <c r="M9" s="15">
        <v>4.393629424766913</v>
      </c>
      <c r="N9" s="18">
        <v>53</v>
      </c>
    </row>
    <row r="10" spans="1:21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'04 - 2022'!B16-'04 - 2022'!B15+'04 - 2022'!C16-'04 - 2022'!C15</f>
        <v>9331</v>
      </c>
      <c r="F10" s="14">
        <v>0.11799999999999999</v>
      </c>
      <c r="G10" s="16">
        <f>'04 - 2022'!D16-'04 - 2022'!D15+'04 - 2022'!E16-'04 - 2022'!E15</f>
        <v>22.589999999999918</v>
      </c>
      <c r="H10" s="14">
        <v>0.99</v>
      </c>
      <c r="I10" s="16">
        <f>'04 - 2022'!J16-'04 - 2022'!J15</f>
        <v>20303</v>
      </c>
      <c r="J10" s="14">
        <v>8.1000000000000003E-2</v>
      </c>
      <c r="K10" s="23">
        <f>'04 - 2022'!H16-'04 - 2022'!H15</f>
        <v>0</v>
      </c>
      <c r="L10" s="16">
        <f>'04 - 2022'!I16-'04 - 2022'!I15</f>
        <v>96</v>
      </c>
      <c r="M10" s="15">
        <v>4.393629424766913</v>
      </c>
      <c r="N10" s="18">
        <v>53</v>
      </c>
    </row>
    <row r="11" spans="1:21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'04 - 2022'!B17-'04 - 2022'!B16+'04 - 2022'!C17-'04 - 2022'!C16</f>
        <v>8695</v>
      </c>
      <c r="F11" s="14">
        <v>0.11799999999999999</v>
      </c>
      <c r="G11" s="16">
        <f>'04 - 2022'!D17-'04 - 2022'!D16+'04 - 2022'!E17-'04 - 2022'!E16</f>
        <v>20.669999999999959</v>
      </c>
      <c r="H11" s="14">
        <v>0.99</v>
      </c>
      <c r="I11" s="16">
        <f>'04 - 2022'!J17-'04 - 2022'!J16</f>
        <v>18936</v>
      </c>
      <c r="J11" s="14">
        <v>8.1000000000000003E-2</v>
      </c>
      <c r="K11" s="23">
        <f>'04 - 2022'!H17-'04 - 2022'!H16</f>
        <v>0</v>
      </c>
      <c r="L11" s="16">
        <f>'04 - 2022'!I17-'04 - 2022'!I16</f>
        <v>94</v>
      </c>
      <c r="M11" s="15">
        <v>4.393629424766913</v>
      </c>
      <c r="N11" s="18">
        <v>41</v>
      </c>
    </row>
    <row r="12" spans="1:21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'04 - 2022'!B18-'04 - 2022'!B17+'04 - 2022'!C18-'04 - 2022'!C17</f>
        <v>8636</v>
      </c>
      <c r="F12" s="14">
        <v>0.11799999999999999</v>
      </c>
      <c r="G12" s="16">
        <f>'04 - 2022'!D18-'04 - 2022'!D17+'04 - 2022'!E18-'04 - 2022'!E17</f>
        <v>22.589999999999918</v>
      </c>
      <c r="H12" s="14">
        <v>0.99</v>
      </c>
      <c r="I12" s="16">
        <f>'04 - 2022'!J18-'04 - 2022'!J17</f>
        <v>19206</v>
      </c>
      <c r="J12" s="14">
        <v>8.1000000000000003E-2</v>
      </c>
      <c r="K12" s="23">
        <f>'04 - 2022'!H18-'04 - 2022'!H17</f>
        <v>0</v>
      </c>
      <c r="L12" s="16">
        <f>'04 - 2022'!I18-'04 - 2022'!I17</f>
        <v>82</v>
      </c>
      <c r="M12" s="15">
        <v>4.393629424766913</v>
      </c>
      <c r="N12" s="16">
        <v>57</v>
      </c>
    </row>
    <row r="13" spans="1:21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'04 - 2022'!B19-'04 - 2022'!B18+'04 - 2022'!C19-'04 - 2022'!C18</f>
        <v>8817</v>
      </c>
      <c r="F13" s="14">
        <v>0.11799999999999999</v>
      </c>
      <c r="G13" s="16">
        <f>'04 - 2022'!D19-'04 - 2022'!D18+'04 - 2022'!E19-'04 - 2022'!E18</f>
        <v>22.129999999999995</v>
      </c>
      <c r="H13" s="14">
        <v>0.99</v>
      </c>
      <c r="I13" s="16">
        <f>'04 - 2022'!J19-'04 - 2022'!J18</f>
        <v>20966</v>
      </c>
      <c r="J13" s="14">
        <v>8.1000000000000003E-2</v>
      </c>
      <c r="K13" s="23">
        <f>'04 - 2022'!H19-'04 - 2022'!H18</f>
        <v>0</v>
      </c>
      <c r="L13" s="16">
        <f>'04 - 2022'!I19-'04 - 2022'!I18</f>
        <v>102</v>
      </c>
      <c r="M13" s="15">
        <v>4.393629424766913</v>
      </c>
      <c r="N13" s="16">
        <v>68</v>
      </c>
    </row>
    <row r="14" spans="1:21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'04 - 2022'!B20-'04 - 2022'!B19+'04 - 2022'!C20-'04 - 2022'!C19</f>
        <v>8785</v>
      </c>
      <c r="F14" s="14">
        <v>0.11799999999999999</v>
      </c>
      <c r="G14" s="16">
        <f>'04 - 2022'!D20-'04 - 2022'!D19+'04 - 2022'!E20-'04 - 2022'!E19</f>
        <v>19.399999999999977</v>
      </c>
      <c r="H14" s="14">
        <v>0.99</v>
      </c>
      <c r="I14" s="16">
        <f>'04 - 2022'!J20-'04 - 2022'!J19</f>
        <v>20936</v>
      </c>
      <c r="J14" s="14">
        <v>8.1000000000000003E-2</v>
      </c>
      <c r="K14" s="23">
        <f>'04 - 2022'!H20-'04 - 2022'!H19</f>
        <v>0</v>
      </c>
      <c r="L14" s="16">
        <f>'04 - 2022'!I20-'04 - 2022'!I19</f>
        <v>107</v>
      </c>
      <c r="M14" s="15">
        <v>4.393629424766913</v>
      </c>
      <c r="N14" s="16">
        <v>73</v>
      </c>
      <c r="O14" s="16"/>
    </row>
    <row r="15" spans="1:21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'04 - 2022'!B21-'04 - 2022'!B20+'04 - 2022'!C21-'04 - 2022'!C20</f>
        <v>9012</v>
      </c>
      <c r="F15" s="14">
        <v>0.11799999999999999</v>
      </c>
      <c r="G15" s="16">
        <f>'04 - 2022'!D21-'04 - 2022'!D20+'04 - 2022'!E21-'04 - 2022'!E20</f>
        <v>21.539999999999964</v>
      </c>
      <c r="H15" s="14">
        <v>0.99</v>
      </c>
      <c r="I15" s="16">
        <f>'04 - 2022'!J21-'04 - 2022'!J20</f>
        <v>20280</v>
      </c>
      <c r="J15" s="14">
        <v>8.1000000000000003E-2</v>
      </c>
      <c r="K15" s="23">
        <f>'04 - 2022'!H21-'04 - 2022'!H20</f>
        <v>0</v>
      </c>
      <c r="L15" s="16">
        <f>'04 - 2022'!I21-'04 - 2022'!I20</f>
        <v>97</v>
      </c>
      <c r="M15" s="15">
        <v>4.393629424766913</v>
      </c>
      <c r="N15" s="16">
        <v>66</v>
      </c>
      <c r="R15" s="14"/>
    </row>
    <row r="16" spans="1:21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'04 - 2022'!B22-'04 - 2022'!B21+'04 - 2022'!C22-'04 - 2022'!C21</f>
        <v>8904</v>
      </c>
      <c r="F16" s="14">
        <v>0.11799999999999999</v>
      </c>
      <c r="G16" s="16">
        <f>'04 - 2022'!D22-'04 - 2022'!D21+'04 - 2022'!E22-'04 - 2022'!E21</f>
        <v>21.319999999999936</v>
      </c>
      <c r="H16" s="14">
        <v>0.99</v>
      </c>
      <c r="I16" s="16">
        <f>'04 - 2022'!J22-'04 - 2022'!J21</f>
        <v>21743</v>
      </c>
      <c r="J16" s="14">
        <v>8.1000000000000003E-2</v>
      </c>
      <c r="K16" s="23">
        <f>'04 - 2022'!H22-'04 - 2022'!H21</f>
        <v>0</v>
      </c>
      <c r="L16" s="16">
        <f>'04 - 2022'!I22-'04 - 2022'!I21</f>
        <v>103</v>
      </c>
      <c r="M16" s="15">
        <v>4.393629424766913</v>
      </c>
      <c r="N16" s="16">
        <v>67</v>
      </c>
      <c r="U16" s="14"/>
    </row>
    <row r="17" spans="1:17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'04 - 2022'!B23-'04 - 2022'!B22+'04 - 2022'!C23-'04 - 2022'!C22</f>
        <v>9491</v>
      </c>
      <c r="F17" s="14">
        <v>0.11799999999999999</v>
      </c>
      <c r="G17" s="16">
        <f>'04 - 2022'!D23-'04 - 2022'!D22+'04 - 2022'!E23-'04 - 2022'!E22</f>
        <v>27.830000000000041</v>
      </c>
      <c r="H17" s="14">
        <v>0.99</v>
      </c>
      <c r="I17" s="16">
        <f>'04 - 2022'!J23-'04 - 2022'!J22</f>
        <v>23328</v>
      </c>
      <c r="J17" s="14">
        <v>8.1000000000000003E-2</v>
      </c>
      <c r="K17" s="23">
        <f>'04 - 2022'!H23-'04 - 2022'!H22</f>
        <v>0</v>
      </c>
      <c r="L17" s="16">
        <f>'04 - 2022'!I23-'04 - 2022'!I22</f>
        <v>115</v>
      </c>
      <c r="M17" s="15">
        <v>4.393629424766913</v>
      </c>
      <c r="N17" s="16">
        <v>67</v>
      </c>
      <c r="O17" s="14"/>
    </row>
    <row r="18" spans="1:17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'04 - 2022'!B24-'04 - 2022'!B23+'04 - 2022'!C24-'04 - 2022'!C23</f>
        <v>9002</v>
      </c>
      <c r="F18" s="14">
        <v>0.11799999999999999</v>
      </c>
      <c r="G18" s="16">
        <f>'04 - 2022'!D24-'04 - 2022'!D23+'04 - 2022'!E24-'04 - 2022'!E23</f>
        <v>23.789999999999964</v>
      </c>
      <c r="H18" s="14">
        <v>0.99</v>
      </c>
      <c r="I18" s="16">
        <f>'04 - 2022'!J24-'04 - 2022'!J23</f>
        <v>24011</v>
      </c>
      <c r="J18" s="14">
        <v>8.1000000000000003E-2</v>
      </c>
      <c r="K18" s="23">
        <f>'04 - 2022'!H24-'04 - 2022'!H23</f>
        <v>0</v>
      </c>
      <c r="L18" s="16">
        <f>'04 - 2022'!I24-'04 - 2022'!I23</f>
        <v>94</v>
      </c>
      <c r="M18" s="15">
        <v>4.393629424766913</v>
      </c>
      <c r="N18" s="16">
        <v>71</v>
      </c>
      <c r="Q18" s="14"/>
    </row>
    <row r="19" spans="1:17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'04 - 2022'!B25-'04 - 2022'!B24+'04 - 2022'!C25-'04 - 2022'!C24</f>
        <v>9001</v>
      </c>
      <c r="F19" s="14">
        <v>0.11799999999999999</v>
      </c>
      <c r="G19" s="16">
        <f>'04 - 2022'!D25-'04 - 2022'!D24+'04 - 2022'!E25-'04 - 2022'!E24</f>
        <v>23.659999999999854</v>
      </c>
      <c r="H19" s="14">
        <v>0.99</v>
      </c>
      <c r="I19" s="16">
        <f>'04 - 2022'!J25-'04 - 2022'!J24</f>
        <v>23711</v>
      </c>
      <c r="J19" s="14">
        <v>8.1000000000000003E-2</v>
      </c>
      <c r="K19" s="23">
        <f>'04 - 2022'!H25-'04 - 2022'!H24</f>
        <v>0</v>
      </c>
      <c r="L19" s="16">
        <f>'04 - 2022'!I25-'04 - 2022'!I24</f>
        <v>101</v>
      </c>
      <c r="M19" s="15">
        <v>4.393629424766913</v>
      </c>
      <c r="N19" s="16">
        <v>56</v>
      </c>
    </row>
    <row r="20" spans="1:17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'04 - 2022'!B26-'04 - 2022'!B25+'04 - 2022'!C26-'04 - 2022'!C25</f>
        <v>9143</v>
      </c>
      <c r="F20" s="14">
        <v>0.11799999999999999</v>
      </c>
      <c r="G20" s="16">
        <f>'04 - 2022'!D26-'04 - 2022'!D25+'04 - 2022'!E26-'04 - 2022'!E25</f>
        <v>22.730000000000132</v>
      </c>
      <c r="H20" s="14">
        <v>0.99</v>
      </c>
      <c r="I20" s="16">
        <f>'04 - 2022'!J26-'04 - 2022'!J25</f>
        <v>19855</v>
      </c>
      <c r="J20" s="14">
        <v>8.1000000000000003E-2</v>
      </c>
      <c r="K20" s="23">
        <f>'04 - 2022'!H26-'04 - 2022'!H25</f>
        <v>0</v>
      </c>
      <c r="L20" s="16">
        <f>'04 - 2022'!I26-'04 - 2022'!I25</f>
        <v>96</v>
      </c>
      <c r="M20" s="15">
        <v>4.393629424766913</v>
      </c>
      <c r="N20" s="16">
        <v>72</v>
      </c>
    </row>
    <row r="21" spans="1:17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'04 - 2022'!B27-'04 - 2022'!B26+'04 - 2022'!C27-'04 - 2022'!C26</f>
        <v>8874</v>
      </c>
      <c r="F21" s="14">
        <v>0.11799999999999999</v>
      </c>
      <c r="G21" s="16">
        <f>'04 - 2022'!D27-'04 - 2022'!D26+'04 - 2022'!E27-'04 - 2022'!E26</f>
        <v>22.059999999999945</v>
      </c>
      <c r="H21" s="14">
        <v>0.99</v>
      </c>
      <c r="I21" s="16">
        <f>'04 - 2022'!J27-'04 - 2022'!J26</f>
        <v>18960</v>
      </c>
      <c r="J21" s="14">
        <v>8.1000000000000003E-2</v>
      </c>
      <c r="K21" s="23">
        <f>'04 - 2022'!H27-'04 - 2022'!H26</f>
        <v>0</v>
      </c>
      <c r="L21" s="16">
        <f>'04 - 2022'!I27-'04 - 2022'!I26</f>
        <v>105</v>
      </c>
      <c r="M21" s="15">
        <v>4.393629424766913</v>
      </c>
      <c r="N21" s="16">
        <v>72</v>
      </c>
    </row>
    <row r="22" spans="1:17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v>0</v>
      </c>
      <c r="F22" s="14">
        <v>0.11799999999999999</v>
      </c>
      <c r="G22" s="16">
        <v>0</v>
      </c>
      <c r="H22" s="14">
        <v>0.99</v>
      </c>
      <c r="I22" s="16">
        <v>0</v>
      </c>
      <c r="J22" s="14">
        <v>8.1000000000000003E-2</v>
      </c>
      <c r="K22" s="23">
        <v>0</v>
      </c>
      <c r="L22" s="16"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'04 - 2022'!B29-'04 - 2022'!B28+'04 - 2022'!C29-'04 - 2022'!C28</f>
        <v>0</v>
      </c>
      <c r="F23" s="14">
        <v>0.11799999999999999</v>
      </c>
      <c r="G23" s="16">
        <f>'04 - 2022'!D29-'04 - 2022'!D28+'04 - 2022'!E29-'04 - 2022'!E28</f>
        <v>0</v>
      </c>
      <c r="H23" s="14">
        <v>0.99</v>
      </c>
      <c r="I23" s="16">
        <f>'04 - 2022'!J29-'04 - 2022'!J28</f>
        <v>0</v>
      </c>
      <c r="J23" s="14">
        <v>8.1000000000000003E-2</v>
      </c>
      <c r="K23" s="23">
        <f>'04 - 2022'!H29-'04 - 2022'!H28</f>
        <v>0</v>
      </c>
      <c r="L23" s="16">
        <f>'04 - 2022'!I29-'04 - 2022'!I28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'04 - 2022'!B30-'04 - 2022'!B29+'04 - 2022'!C30-'04 - 2022'!C29</f>
        <v>0</v>
      </c>
      <c r="F24" s="14">
        <v>0.11799999999999999</v>
      </c>
      <c r="G24" s="16">
        <f>'04 - 2022'!D30-'04 - 2022'!D29+'04 - 2022'!E30-'04 - 2022'!E29</f>
        <v>0</v>
      </c>
      <c r="H24" s="14">
        <v>0.99</v>
      </c>
      <c r="I24" s="16">
        <f>'04 - 2022'!J30-'04 - 2022'!J29</f>
        <v>0</v>
      </c>
      <c r="J24" s="14">
        <v>8.1000000000000003E-2</v>
      </c>
      <c r="K24" s="23">
        <f>'04 - 2022'!H30-'04 - 2022'!H29</f>
        <v>0</v>
      </c>
      <c r="L24" s="16">
        <f>'04 - 2022'!I30-'04 - 2022'!I29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'04 - 2022'!B31-'04 - 2022'!B30+'04 - 2022'!C31-'04 - 2022'!C30</f>
        <v>0</v>
      </c>
      <c r="F25" s="14">
        <v>0.11799999999999999</v>
      </c>
      <c r="G25" s="16">
        <f>'04 - 2022'!D31-'04 - 2022'!D30+'04 - 2022'!E31-'04 - 2022'!E30</f>
        <v>0</v>
      </c>
      <c r="H25" s="14">
        <v>0.99</v>
      </c>
      <c r="I25" s="16">
        <f>'04 - 2022'!J31-'04 - 2022'!J30</f>
        <v>0</v>
      </c>
      <c r="J25" s="14">
        <v>8.1000000000000003E-2</v>
      </c>
      <c r="K25" s="23">
        <f>'04 - 2022'!H31-'04 - 2022'!H30</f>
        <v>0</v>
      </c>
      <c r="L25" s="16">
        <f>'04 - 2022'!I31-'04 - 2022'!I30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'04 - 2022'!B32-'04 - 2022'!B31+'04 - 2022'!C32-'04 - 2022'!C31</f>
        <v>0</v>
      </c>
      <c r="F26" s="14">
        <v>0.11799999999999999</v>
      </c>
      <c r="G26" s="16">
        <f>'04 - 2022'!D32-'04 - 2022'!D31+'04 - 2022'!E32-'04 - 2022'!E31</f>
        <v>0</v>
      </c>
      <c r="H26" s="14">
        <v>0.99</v>
      </c>
      <c r="I26" s="16">
        <f>'04 - 2022'!J32-'04 - 2022'!J31</f>
        <v>0</v>
      </c>
      <c r="J26" s="14">
        <v>8.1000000000000003E-2</v>
      </c>
      <c r="K26" s="23">
        <f>'04 - 2022'!H32-'04 - 2022'!H31</f>
        <v>0</v>
      </c>
      <c r="L26" s="16">
        <f>'04 - 2022'!I32-'04 - 2022'!I31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'04 - 2022'!B33-'04 - 2022'!B32+'04 - 2022'!C33-'04 - 2022'!C32</f>
        <v>0</v>
      </c>
      <c r="F27" s="14">
        <v>0.11799999999999999</v>
      </c>
      <c r="G27" s="16">
        <f>'04 - 2022'!D33-'04 - 2022'!D32+'04 - 2022'!E33-'04 - 2022'!E32</f>
        <v>0</v>
      </c>
      <c r="H27" s="14">
        <v>0.99</v>
      </c>
      <c r="I27" s="16">
        <f>'04 - 2022'!J33-'04 - 2022'!J32</f>
        <v>0</v>
      </c>
      <c r="J27" s="14">
        <v>8.1000000000000003E-2</v>
      </c>
      <c r="K27" s="23">
        <f>'04 - 2022'!H33-'04 - 2022'!H32</f>
        <v>0</v>
      </c>
      <c r="L27" s="16">
        <f>'04 - 2022'!I33-'04 - 2022'!I32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'04 - 2022'!B34-'04 - 2022'!B33+'04 - 2022'!C34-'04 - 2022'!C33</f>
        <v>0</v>
      </c>
      <c r="F28" s="14">
        <v>0.11799999999999999</v>
      </c>
      <c r="G28" s="16">
        <f>'04 - 2022'!D34-'04 - 2022'!D33+'04 - 2022'!E34-'04 - 2022'!E33</f>
        <v>0</v>
      </c>
      <c r="H28" s="14">
        <v>0.99</v>
      </c>
      <c r="I28" s="16">
        <f>'04 - 2022'!J34-'04 - 2022'!J33</f>
        <v>0</v>
      </c>
      <c r="J28" s="14">
        <v>8.1000000000000003E-2</v>
      </c>
      <c r="K28" s="23">
        <f>'04 - 2022'!H34-'04 - 2022'!H33</f>
        <v>0</v>
      </c>
      <c r="L28" s="16">
        <f>'04 - 2022'!I34-'04 - 2022'!I33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'04 - 2022'!B35-'04 - 2022'!B34+'04 - 2022'!C35-'04 - 2022'!C34</f>
        <v>0</v>
      </c>
      <c r="F29" s="14">
        <v>0.11799999999999999</v>
      </c>
      <c r="G29" s="16">
        <f>'04 - 2022'!D35-'04 - 2022'!D34+'04 - 2022'!E35-'04 - 2022'!E34</f>
        <v>0</v>
      </c>
      <c r="H29" s="14">
        <v>0.99</v>
      </c>
      <c r="I29" s="16">
        <f>'04 - 2022'!J35-'04 - 2022'!J34</f>
        <v>0</v>
      </c>
      <c r="J29" s="14">
        <v>8.1000000000000003E-2</v>
      </c>
      <c r="K29" s="23">
        <f>'04 - 2022'!H35-'04 - 2022'!H34</f>
        <v>0</v>
      </c>
      <c r="L29" s="16">
        <f>'04 - 2022'!I35-'04 - 2022'!I34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'04 - 2022'!B36-'04 - 2022'!B35+'04 - 2022'!C36-'04 - 2022'!C35</f>
        <v>0</v>
      </c>
      <c r="F30" s="14">
        <v>0.11799999999999999</v>
      </c>
      <c r="G30" s="16">
        <f>'04 - 2022'!D36-'04 - 2022'!D35+'04 - 2022'!E36-'04 - 2022'!E35</f>
        <v>0</v>
      </c>
      <c r="H30" s="14">
        <v>0.99</v>
      </c>
      <c r="I30" s="16">
        <f>'04 - 2022'!J36-'04 - 2022'!J35</f>
        <v>0</v>
      </c>
      <c r="J30" s="14">
        <v>8.1000000000000003E-2</v>
      </c>
      <c r="K30" s="23">
        <f>'04 - 2022'!H36-'04 - 2022'!H35</f>
        <v>0</v>
      </c>
      <c r="L30" s="16">
        <f>'04 - 2022'!I36-'04 - 2022'!I35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'04 - 2022'!B37-'04 - 2022'!B36+'04 - 2022'!C37-'04 - 2022'!C36</f>
        <v>0</v>
      </c>
      <c r="F31" s="14">
        <v>0.11799999999999999</v>
      </c>
      <c r="G31" s="16">
        <f>'04 - 2022'!D37-'04 - 2022'!D36+'04 - 2022'!E37-'04 - 2022'!E36</f>
        <v>0</v>
      </c>
      <c r="H31" s="14">
        <v>0.99</v>
      </c>
      <c r="I31" s="16">
        <f>'04 - 2022'!J37-'04 - 2022'!J36</f>
        <v>0</v>
      </c>
      <c r="J31" s="14">
        <v>8.1000000000000003E-2</v>
      </c>
      <c r="K31" s="23">
        <f>'04 - 2022'!H37-'04 - 2022'!H36</f>
        <v>0</v>
      </c>
      <c r="L31" s="16">
        <f>'04 - 2022'!I37-'04 - 2022'!I36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O24" sqref="O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4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</f>
        <v>3764</v>
      </c>
      <c r="F3" s="16">
        <f>'04 - 2022'!C9-'04 - 2022'!C8</f>
        <v>5878</v>
      </c>
      <c r="G3" s="14">
        <v>0.11799999999999999</v>
      </c>
      <c r="H3" s="16">
        <f>'04 - 2022'!E9-'04 - 2022'!E8</f>
        <v>24.430000000000007</v>
      </c>
      <c r="I3" s="16">
        <f>'04 - 2022'!F9-'04 - 2022'!F8</f>
        <v>8.4400000000000546</v>
      </c>
      <c r="J3" s="16">
        <f>'04 - 2022'!G9-'04 - 2022'!G8</f>
        <v>44.090000000003783</v>
      </c>
      <c r="K3" s="14">
        <v>0.74</v>
      </c>
      <c r="L3" s="18">
        <v>67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</f>
        <v>3554</v>
      </c>
      <c r="F4" s="16">
        <f>'04 - 2022'!C10-'04 - 2022'!C9</f>
        <v>5526</v>
      </c>
      <c r="G4" s="14">
        <v>0.11799999999999999</v>
      </c>
      <c r="H4" s="16">
        <f>'04 - 2022'!E10-'04 - 2022'!E9</f>
        <v>26.240000000000009</v>
      </c>
      <c r="I4" s="16">
        <f>'04 - 2022'!F10-'04 - 2022'!F9</f>
        <v>6.8600000000001273</v>
      </c>
      <c r="J4" s="16">
        <f>'04 - 2022'!G10-'04 - 2022'!G9</f>
        <v>42.089999999996508</v>
      </c>
      <c r="K4" s="14">
        <v>0.74</v>
      </c>
      <c r="L4" s="18">
        <v>56</v>
      </c>
      <c r="M4" s="10"/>
    </row>
    <row r="5" spans="1:13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</f>
        <v>3549</v>
      </c>
      <c r="F5" s="16">
        <f>'04 - 2022'!C11-'04 - 2022'!C10</f>
        <v>5442</v>
      </c>
      <c r="G5" s="14">
        <v>0.11799999999999999</v>
      </c>
      <c r="H5" s="16">
        <f>'04 - 2022'!E11-'04 - 2022'!E10</f>
        <v>18.550000000000011</v>
      </c>
      <c r="I5" s="16">
        <f>'04 - 2022'!F11-'04 - 2022'!F10</f>
        <v>6.9499999999998181</v>
      </c>
      <c r="J5" s="16">
        <f>'04 - 2022'!G11-'04 - 2022'!G10</f>
        <v>34.910000000003492</v>
      </c>
      <c r="K5" s="14">
        <v>0.74</v>
      </c>
      <c r="L5" s="18">
        <v>48</v>
      </c>
      <c r="M5" s="10"/>
    </row>
    <row r="6" spans="1:13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</f>
        <v>3455</v>
      </c>
      <c r="F6" s="16">
        <f>'04 - 2022'!C12-'04 - 2022'!C11</f>
        <v>5261</v>
      </c>
      <c r="G6" s="14">
        <v>0.11799999999999999</v>
      </c>
      <c r="H6" s="16">
        <f>'04 - 2022'!E12-'04 - 2022'!E11</f>
        <v>20.519999999999982</v>
      </c>
      <c r="I6" s="16">
        <f>'04 - 2022'!F12-'04 - 2022'!F11</f>
        <v>5.8700000000001182</v>
      </c>
      <c r="J6" s="16">
        <f>'04 - 2022'!G12-'04 - 2022'!G11</f>
        <v>36.279999999998836</v>
      </c>
      <c r="K6" s="14">
        <v>0.74</v>
      </c>
      <c r="L6" s="18">
        <v>41</v>
      </c>
      <c r="M6" s="11"/>
    </row>
    <row r="7" spans="1:13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</f>
        <v>3500</v>
      </c>
      <c r="F7" s="16">
        <f>'04 - 2022'!C13-'04 - 2022'!C12</f>
        <v>5337</v>
      </c>
      <c r="G7" s="14">
        <v>0.11799999999999999</v>
      </c>
      <c r="H7" s="16">
        <f>'04 - 2022'!E13-'04 - 2022'!E12</f>
        <v>23.319999999999993</v>
      </c>
      <c r="I7" s="16">
        <f>'04 - 2022'!F13-'04 - 2022'!F12</f>
        <v>7.4000000000000909</v>
      </c>
      <c r="J7" s="16">
        <f>'04 - 2022'!G13-'04 - 2022'!G12</f>
        <v>37.779999999998836</v>
      </c>
      <c r="K7" s="14">
        <v>0.74</v>
      </c>
      <c r="L7" s="18">
        <v>40</v>
      </c>
      <c r="M7" s="11"/>
    </row>
    <row r="8" spans="1:13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</f>
        <v>3470</v>
      </c>
      <c r="F8" s="16">
        <f>'04 - 2022'!C14-'04 - 2022'!C13</f>
        <v>5278</v>
      </c>
      <c r="G8" s="14">
        <v>0.11799999999999999</v>
      </c>
      <c r="H8" s="16">
        <f>'04 - 2022'!E14-'04 - 2022'!E13</f>
        <v>21.090000000000032</v>
      </c>
      <c r="I8" s="16">
        <f>'04 - 2022'!F14-'04 - 2022'!F13</f>
        <v>5.959999999999809</v>
      </c>
      <c r="J8" s="16">
        <f>'04 - 2022'!G14-'04 - 2022'!G13</f>
        <v>33.160000000003492</v>
      </c>
      <c r="K8" s="14">
        <v>0.74</v>
      </c>
      <c r="L8" s="18">
        <v>48</v>
      </c>
      <c r="M8" s="11"/>
    </row>
    <row r="9" spans="1:13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</f>
        <v>3477</v>
      </c>
      <c r="F9" s="16">
        <f>'04 - 2022'!C15-'04 - 2022'!C14</f>
        <v>5513</v>
      </c>
      <c r="G9" s="14">
        <v>0.11799999999999999</v>
      </c>
      <c r="H9" s="16">
        <f>'04 - 2022'!E15-'04 - 2022'!E14</f>
        <v>21.620000000000005</v>
      </c>
      <c r="I9" s="16">
        <f>'04 - 2022'!F15-'04 - 2022'!F14</f>
        <v>5.1300000000001091</v>
      </c>
      <c r="J9" s="16">
        <f>'04 - 2022'!G15-'04 - 2022'!G14</f>
        <v>35.759999999994761</v>
      </c>
      <c r="K9" s="14">
        <v>0.74</v>
      </c>
      <c r="L9" s="18">
        <v>53</v>
      </c>
      <c r="M9" s="11"/>
    </row>
    <row r="10" spans="1:13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</f>
        <v>3572</v>
      </c>
      <c r="F10" s="16">
        <f>'04 - 2022'!C16-'04 - 2022'!C15</f>
        <v>5759</v>
      </c>
      <c r="G10" s="14">
        <v>0.11799999999999999</v>
      </c>
      <c r="H10" s="16">
        <f>'04 - 2022'!E16-'04 - 2022'!E15</f>
        <v>22.669999999999959</v>
      </c>
      <c r="I10" s="16">
        <f>'04 - 2022'!F16-'04 - 2022'!F15</f>
        <v>6.4500000000000455</v>
      </c>
      <c r="J10" s="16">
        <f>'04 - 2022'!G16-'04 - 2022'!G15</f>
        <v>37</v>
      </c>
      <c r="K10" s="14">
        <v>0.74</v>
      </c>
      <c r="L10" s="18">
        <v>53</v>
      </c>
      <c r="M10" s="11"/>
    </row>
    <row r="11" spans="1:13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</f>
        <v>3328</v>
      </c>
      <c r="F11" s="16">
        <f>'04 - 2022'!C17-'04 - 2022'!C16</f>
        <v>5367</v>
      </c>
      <c r="G11" s="14">
        <v>0.11799999999999999</v>
      </c>
      <c r="H11" s="16">
        <f>'04 - 2022'!E17-'04 - 2022'!E16</f>
        <v>20.740000000000009</v>
      </c>
      <c r="I11" s="16">
        <f>'04 - 2022'!F17-'04 - 2022'!F16</f>
        <v>5.3899999999998727</v>
      </c>
      <c r="J11" s="16">
        <f>'04 - 2022'!G17-'04 - 2022'!G16</f>
        <v>37.830000000001746</v>
      </c>
      <c r="K11" s="14">
        <v>0.74</v>
      </c>
      <c r="L11" s="18">
        <v>41</v>
      </c>
      <c r="M11" s="11"/>
    </row>
    <row r="12" spans="1:13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</f>
        <v>3364</v>
      </c>
      <c r="F12" s="16">
        <f>'04 - 2022'!C18-'04 - 2022'!C17</f>
        <v>5272</v>
      </c>
      <c r="G12" s="14">
        <v>0.11799999999999999</v>
      </c>
      <c r="H12" s="16">
        <f>'04 - 2022'!E18-'04 - 2022'!E17</f>
        <v>22.669999999999959</v>
      </c>
      <c r="I12" s="16">
        <f>'04 - 2022'!F18-'04 - 2022'!F17</f>
        <v>5.6500000000000909</v>
      </c>
      <c r="J12" s="16">
        <f>'04 - 2022'!G18-'04 - 2022'!G17</f>
        <v>44.319999999999709</v>
      </c>
      <c r="K12" s="14">
        <v>0.74</v>
      </c>
      <c r="L12" s="16">
        <v>57</v>
      </c>
      <c r="M12" s="11"/>
    </row>
    <row r="13" spans="1:13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</f>
        <v>3432</v>
      </c>
      <c r="F13" s="16">
        <f>'04 - 2022'!C19-'04 - 2022'!C18</f>
        <v>5385</v>
      </c>
      <c r="G13" s="14">
        <v>0.11799999999999999</v>
      </c>
      <c r="H13" s="16">
        <f>'04 - 2022'!E19-'04 - 2022'!E18</f>
        <v>22.230000000000018</v>
      </c>
      <c r="I13" s="16">
        <f>'04 - 2022'!F19-'04 - 2022'!F18</f>
        <v>6.1099999999999</v>
      </c>
      <c r="J13" s="16">
        <f>'04 - 2022'!G19-'04 - 2022'!G18</f>
        <v>30.639999999999418</v>
      </c>
      <c r="K13" s="14">
        <v>0.74</v>
      </c>
      <c r="L13" s="16">
        <v>68</v>
      </c>
      <c r="M13" s="11"/>
    </row>
    <row r="14" spans="1:13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</f>
        <v>3369</v>
      </c>
      <c r="F14" s="16">
        <f>'04 - 2022'!C20-'04 - 2022'!C19</f>
        <v>5416</v>
      </c>
      <c r="G14" s="14">
        <v>0.11799999999999999</v>
      </c>
      <c r="H14" s="16">
        <f>'04 - 2022'!E20-'04 - 2022'!E19</f>
        <v>19.480000000000018</v>
      </c>
      <c r="I14" s="16">
        <f>'04 - 2022'!F20-'04 - 2022'!F19</f>
        <v>7.1200000000001182</v>
      </c>
      <c r="J14" s="16">
        <f>'04 - 2022'!G20-'04 - 2022'!G19</f>
        <v>36.129999999997381</v>
      </c>
      <c r="K14" s="14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</f>
        <v>3498</v>
      </c>
      <c r="F15" s="16">
        <f>'04 - 2022'!C21-'04 - 2022'!C20</f>
        <v>5514</v>
      </c>
      <c r="G15" s="14">
        <v>0.11799999999999999</v>
      </c>
      <c r="H15" s="16">
        <f>'04 - 2022'!E21-'04 - 2022'!E20</f>
        <v>21.610000000000014</v>
      </c>
      <c r="I15" s="16">
        <f>'04 - 2022'!F21-'04 - 2022'!F20</f>
        <v>7.5299999999999727</v>
      </c>
      <c r="J15" s="16">
        <f>'04 - 2022'!G21-'04 - 2022'!G20</f>
        <v>39.070000000006985</v>
      </c>
      <c r="K15" s="14">
        <v>0.74</v>
      </c>
      <c r="L15" s="16">
        <v>66</v>
      </c>
      <c r="M15" s="11"/>
    </row>
    <row r="16" spans="1:13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</f>
        <v>3504</v>
      </c>
      <c r="F16" s="16">
        <f>'04 - 2022'!C22-'04 - 2022'!C21</f>
        <v>5400</v>
      </c>
      <c r="G16" s="14">
        <v>0.11799999999999999</v>
      </c>
      <c r="H16" s="16">
        <f>'04 - 2022'!E22-'04 - 2022'!E21</f>
        <v>20.789999999999964</v>
      </c>
      <c r="I16" s="16">
        <f>'04 - 2022'!F22-'04 - 2022'!F21</f>
        <v>7.7200000000000273</v>
      </c>
      <c r="J16" s="16">
        <f>'04 - 2022'!G22-'04 - 2022'!G21</f>
        <v>38.339999999996508</v>
      </c>
      <c r="K16" s="14">
        <v>0.74</v>
      </c>
      <c r="L16" s="16">
        <v>67</v>
      </c>
      <c r="M16" s="11"/>
    </row>
    <row r="17" spans="1:13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</f>
        <v>3721</v>
      </c>
      <c r="F17" s="16">
        <f>'04 - 2022'!C23-'04 - 2022'!C22</f>
        <v>5770</v>
      </c>
      <c r="G17" s="14">
        <v>0.11799999999999999</v>
      </c>
      <c r="H17" s="16">
        <f>'04 - 2022'!E23-'04 - 2022'!E22</f>
        <v>27.910000000000082</v>
      </c>
      <c r="I17" s="16">
        <f>'04 - 2022'!F23-'04 - 2022'!F22</f>
        <v>7.2000000000000455</v>
      </c>
      <c r="J17" s="16">
        <f>'04 - 2022'!G23-'04 - 2022'!G22</f>
        <v>40.680000000000291</v>
      </c>
      <c r="K17" s="14">
        <v>0.74</v>
      </c>
      <c r="L17" s="16">
        <v>67</v>
      </c>
      <c r="M17" s="11"/>
    </row>
    <row r="18" spans="1:13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</f>
        <v>3481</v>
      </c>
      <c r="F18" s="16">
        <f>'04 - 2022'!C24-'04 - 2022'!C23</f>
        <v>5521</v>
      </c>
      <c r="G18" s="14">
        <v>0.11799999999999999</v>
      </c>
      <c r="H18" s="16">
        <f>'04 - 2022'!E24-'04 - 2022'!E23</f>
        <v>23.870000000000005</v>
      </c>
      <c r="I18" s="16">
        <f>'04 - 2022'!F24-'04 - 2022'!F23</f>
        <v>5.8199999999999363</v>
      </c>
      <c r="J18" s="16">
        <f>'04 - 2022'!G24-'04 - 2022'!G23</f>
        <v>39.519999999996799</v>
      </c>
      <c r="K18" s="14">
        <v>0.74</v>
      </c>
      <c r="L18" s="16">
        <v>71</v>
      </c>
      <c r="M18" s="11"/>
    </row>
    <row r="19" spans="1:13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</f>
        <v>3528</v>
      </c>
      <c r="F19" s="16">
        <f>'04 - 2022'!C25-'04 - 2022'!C24</f>
        <v>5473</v>
      </c>
      <c r="G19" s="14">
        <v>0.11799999999999999</v>
      </c>
      <c r="H19" s="16">
        <f>'04 - 2022'!E25-'04 - 2022'!E24</f>
        <v>23.739999999999895</v>
      </c>
      <c r="I19" s="16">
        <f>'04 - 2022'!F25-'04 - 2022'!F24</f>
        <v>6.2200000000000273</v>
      </c>
      <c r="J19" s="16">
        <f>'04 - 2022'!G25-'04 - 2022'!G24</f>
        <v>38.480000000003201</v>
      </c>
      <c r="K19" s="14">
        <v>0.74</v>
      </c>
      <c r="L19" s="16">
        <v>56</v>
      </c>
      <c r="M19" s="11"/>
    </row>
    <row r="20" spans="1:13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</f>
        <v>3723</v>
      </c>
      <c r="F20" s="16">
        <f>'04 - 2022'!C26-'04 - 2022'!C25</f>
        <v>5420</v>
      </c>
      <c r="G20" s="14">
        <v>0.11799999999999999</v>
      </c>
      <c r="H20" s="16">
        <f>'04 - 2022'!E26-'04 - 2022'!E25</f>
        <v>22.790000000000077</v>
      </c>
      <c r="I20" s="16">
        <f>'04 - 2022'!F26-'04 - 2022'!F25</f>
        <v>6.5099999999999909</v>
      </c>
      <c r="J20" s="16">
        <f>'04 - 2022'!G26-'04 - 2022'!G25</f>
        <v>38.180000000000291</v>
      </c>
      <c r="K20" s="14">
        <v>0.74</v>
      </c>
      <c r="L20" s="4">
        <v>72</v>
      </c>
      <c r="M20" s="11"/>
    </row>
    <row r="21" spans="1:13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</f>
        <v>3616</v>
      </c>
      <c r="F21" s="16">
        <f>'04 - 2022'!C27-'04 - 2022'!C26</f>
        <v>5258</v>
      </c>
      <c r="G21" s="14">
        <v>0.11799999999999999</v>
      </c>
      <c r="H21" s="16">
        <f>'04 - 2022'!E27-'04 - 2022'!E26</f>
        <v>22.139999999999986</v>
      </c>
      <c r="I21" s="16">
        <f>'04 - 2022'!F27-'04 - 2022'!F26</f>
        <v>6.9700000000000273</v>
      </c>
      <c r="J21" s="16">
        <f>'04 - 2022'!G27-'04 - 2022'!G26</f>
        <v>37.260000000002037</v>
      </c>
      <c r="K21" s="14">
        <v>0.74</v>
      </c>
      <c r="L21" s="4">
        <v>72</v>
      </c>
      <c r="M21" s="11"/>
    </row>
    <row r="22" spans="1:13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v>0</v>
      </c>
      <c r="F22" s="16">
        <v>0</v>
      </c>
      <c r="G22" s="14">
        <v>0.11799999999999999</v>
      </c>
      <c r="H22" s="16">
        <v>0</v>
      </c>
      <c r="I22" s="16">
        <v>0</v>
      </c>
      <c r="J22" s="16"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</f>
        <v>0</v>
      </c>
      <c r="F23" s="16">
        <f>'04 - 2022'!C29-'04 - 2022'!C28</f>
        <v>0</v>
      </c>
      <c r="G23" s="14">
        <v>0.11799999999999999</v>
      </c>
      <c r="H23" s="16">
        <f>'04 - 2022'!E29-'04 - 2022'!E28</f>
        <v>0</v>
      </c>
      <c r="I23" s="16">
        <f>'04 - 2022'!F29-'04 - 2022'!F28</f>
        <v>0</v>
      </c>
      <c r="J23" s="16">
        <f>'04 - 2022'!G29-'04 - 2022'!G28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</f>
        <v>0</v>
      </c>
      <c r="F24" s="16">
        <f>'04 - 2022'!C30-'04 - 2022'!C29</f>
        <v>0</v>
      </c>
      <c r="G24" s="14">
        <v>0.11799999999999999</v>
      </c>
      <c r="H24" s="16">
        <f>'04 - 2022'!E30-'04 - 2022'!E29</f>
        <v>0</v>
      </c>
      <c r="I24" s="16">
        <f>'04 - 2022'!F30-'04 - 2022'!F29</f>
        <v>0</v>
      </c>
      <c r="J24" s="16">
        <f>'04 - 2022'!G30-'04 - 2022'!G29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</f>
        <v>0</v>
      </c>
      <c r="F25" s="16">
        <f>'04 - 2022'!C31-'04 - 2022'!C30</f>
        <v>0</v>
      </c>
      <c r="G25" s="14">
        <v>0.11799999999999999</v>
      </c>
      <c r="H25" s="16">
        <f>'04 - 2022'!E31-'04 - 2022'!E30</f>
        <v>0</v>
      </c>
      <c r="I25" s="16">
        <f>'04 - 2022'!F31-'04 - 2022'!F30</f>
        <v>0</v>
      </c>
      <c r="J25" s="16">
        <f>'04 - 2022'!G31-'04 - 2022'!G30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</f>
        <v>0</v>
      </c>
      <c r="F26" s="16">
        <f>'04 - 2022'!C32-'04 - 2022'!C31</f>
        <v>0</v>
      </c>
      <c r="G26" s="14">
        <v>0.11799999999999999</v>
      </c>
      <c r="H26" s="16">
        <f>'04 - 2022'!E32-'04 - 2022'!E31</f>
        <v>0</v>
      </c>
      <c r="I26" s="16">
        <f>'04 - 2022'!F32-'04 - 2022'!F31</f>
        <v>0</v>
      </c>
      <c r="J26" s="16">
        <f>'04 - 2022'!G32-'04 - 2022'!G31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</f>
        <v>0</v>
      </c>
      <c r="F27" s="16">
        <f>'04 - 2022'!C33-'04 - 2022'!C32</f>
        <v>0</v>
      </c>
      <c r="G27" s="14">
        <v>0.11799999999999999</v>
      </c>
      <c r="H27" s="16">
        <f>'04 - 2022'!E33-'04 - 2022'!E32</f>
        <v>0</v>
      </c>
      <c r="I27" s="16">
        <f>'04 - 2022'!F33-'04 - 2022'!F32</f>
        <v>0</v>
      </c>
      <c r="J27" s="16">
        <f>'04 - 2022'!G33-'04 - 2022'!G32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</f>
        <v>0</v>
      </c>
      <c r="F28" s="16">
        <f>'04 - 2022'!C34-'04 - 2022'!C33</f>
        <v>0</v>
      </c>
      <c r="G28" s="14">
        <v>0.11799999999999999</v>
      </c>
      <c r="H28" s="16">
        <f>'04 - 2022'!E34-'04 - 2022'!E33</f>
        <v>0</v>
      </c>
      <c r="I28" s="16">
        <f>'04 - 2022'!F34-'04 - 2022'!F33</f>
        <v>0</v>
      </c>
      <c r="J28" s="16">
        <f>'04 - 2022'!G34-'04 - 2022'!G33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</f>
        <v>0</v>
      </c>
      <c r="F29" s="16">
        <f>'04 - 2022'!C35-'04 - 2022'!C34</f>
        <v>0</v>
      </c>
      <c r="G29" s="14">
        <v>0.11799999999999999</v>
      </c>
      <c r="H29" s="16">
        <f>'04 - 2022'!E35-'04 - 2022'!E34</f>
        <v>0</v>
      </c>
      <c r="I29" s="16">
        <f>'04 - 2022'!F35-'04 - 2022'!F34</f>
        <v>0</v>
      </c>
      <c r="J29" s="16">
        <f>'04 - 2022'!G35-'04 - 2022'!G34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</f>
        <v>0</v>
      </c>
      <c r="F30" s="16">
        <f>'04 - 2022'!C36-'04 - 2022'!C35</f>
        <v>0</v>
      </c>
      <c r="G30" s="14">
        <v>0.11799999999999999</v>
      </c>
      <c r="H30" s="16">
        <f>'04 - 2022'!E36-'04 - 2022'!E35</f>
        <v>0</v>
      </c>
      <c r="I30" s="16">
        <f>'04 - 2022'!F36-'04 - 2022'!F35</f>
        <v>0</v>
      </c>
      <c r="J30" s="16">
        <f>'04 - 2022'!G36-'04 - 2022'!G35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</f>
        <v>0</v>
      </c>
      <c r="F31" s="16">
        <f>'04 - 2022'!C37-'04 - 2022'!C36</f>
        <v>0</v>
      </c>
      <c r="G31" s="14">
        <v>0.11799999999999999</v>
      </c>
      <c r="H31" s="16">
        <f>'04 - 2022'!E37-'04 - 2022'!E36</f>
        <v>0</v>
      </c>
      <c r="I31" s="16">
        <f>'04 - 2022'!F37-'04 - 2022'!F36</f>
        <v>0</v>
      </c>
      <c r="J31" s="16">
        <f>'04 - 2022'!G37-'04 - 2022'!G36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D31" sqref="D31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7" t="s">
        <v>30</v>
      </c>
      <c r="B3" s="97"/>
      <c r="C3" s="97"/>
      <c r="D3" s="97"/>
      <c r="E3" s="97"/>
      <c r="F3" s="97"/>
      <c r="G3" s="97"/>
      <c r="H3" s="97"/>
      <c r="I3" s="97"/>
      <c r="J3" s="97"/>
    </row>
    <row r="4" spans="1:17" ht="16.5" thickBot="1" x14ac:dyDescent="0.3">
      <c r="A4" s="98" t="s">
        <v>37</v>
      </c>
      <c r="B4" s="98"/>
      <c r="C4" s="98"/>
      <c r="D4" s="98"/>
      <c r="E4" s="98"/>
      <c r="F4" s="98"/>
      <c r="G4" s="98"/>
      <c r="H4" s="98"/>
      <c r="I4" s="98"/>
      <c r="J4" s="98"/>
    </row>
    <row r="5" spans="1:17" ht="16.5" thickBot="1" x14ac:dyDescent="0.3">
      <c r="A5" s="39"/>
      <c r="B5" s="99" t="s">
        <v>36</v>
      </c>
      <c r="C5" s="100"/>
      <c r="D5" s="99" t="s">
        <v>0</v>
      </c>
      <c r="E5" s="101"/>
      <c r="F5" s="101"/>
      <c r="G5" s="102"/>
      <c r="H5" s="103" t="s">
        <v>1</v>
      </c>
      <c r="I5" s="104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>
        <v>894622</v>
      </c>
      <c r="C9" s="35">
        <v>585063</v>
      </c>
      <c r="D9" s="57">
        <v>0.57999999999999996</v>
      </c>
      <c r="E9" s="54">
        <v>434.76</v>
      </c>
      <c r="F9" s="26">
        <v>1902.56</v>
      </c>
      <c r="G9" s="26">
        <v>40255.19</v>
      </c>
      <c r="H9" s="34">
        <v>14528</v>
      </c>
      <c r="I9" s="36">
        <v>152800</v>
      </c>
      <c r="J9" s="36">
        <v>54442116</v>
      </c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>
        <v>898176</v>
      </c>
      <c r="C10" s="36">
        <v>590589</v>
      </c>
      <c r="D10" s="57">
        <v>0.48</v>
      </c>
      <c r="E10" s="54">
        <v>461</v>
      </c>
      <c r="F10" s="26">
        <v>1909.42</v>
      </c>
      <c r="G10" s="26">
        <v>40297.279999999999</v>
      </c>
      <c r="H10" s="34">
        <v>14528</v>
      </c>
      <c r="I10" s="36">
        <v>152906</v>
      </c>
      <c r="J10" s="58">
        <v>54462455</v>
      </c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>
        <v>901725</v>
      </c>
      <c r="C11" s="36">
        <v>596031</v>
      </c>
      <c r="D11" s="57">
        <v>0.4</v>
      </c>
      <c r="E11" s="54">
        <v>479.55</v>
      </c>
      <c r="F11" s="26">
        <v>1916.37</v>
      </c>
      <c r="G11" s="26">
        <v>40332.19</v>
      </c>
      <c r="H11" s="34">
        <v>14528</v>
      </c>
      <c r="I11" s="36">
        <v>152990</v>
      </c>
      <c r="J11" s="36">
        <v>54482209</v>
      </c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>
        <v>905180</v>
      </c>
      <c r="C12" s="34">
        <v>601292</v>
      </c>
      <c r="D12" s="57">
        <v>0.32</v>
      </c>
      <c r="E12" s="85">
        <v>500.07</v>
      </c>
      <c r="F12" s="34">
        <v>1922.24</v>
      </c>
      <c r="G12" s="34">
        <v>40368.47</v>
      </c>
      <c r="H12" s="34">
        <v>14528</v>
      </c>
      <c r="I12" s="34">
        <v>153083</v>
      </c>
      <c r="J12" s="34">
        <v>54501244</v>
      </c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>
        <v>908680</v>
      </c>
      <c r="C13" s="35">
        <v>606629</v>
      </c>
      <c r="D13" s="57">
        <v>0.25</v>
      </c>
      <c r="E13" s="54">
        <v>523.39</v>
      </c>
      <c r="F13" s="26">
        <v>1929.64</v>
      </c>
      <c r="G13" s="26">
        <v>40406.25</v>
      </c>
      <c r="H13" s="36">
        <v>14528</v>
      </c>
      <c r="I13" s="35">
        <v>153185</v>
      </c>
      <c r="J13" s="35">
        <v>54521180</v>
      </c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46">
        <v>912150</v>
      </c>
      <c r="C14" s="35">
        <v>611907</v>
      </c>
      <c r="D14" s="57">
        <v>0.8</v>
      </c>
      <c r="E14" s="54">
        <v>544.48</v>
      </c>
      <c r="F14" s="26">
        <v>1935.6</v>
      </c>
      <c r="G14" s="26">
        <v>40439.410000000003</v>
      </c>
      <c r="H14" s="34">
        <v>14528</v>
      </c>
      <c r="I14" s="35">
        <v>153249</v>
      </c>
      <c r="J14" s="35">
        <v>54540617</v>
      </c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>
        <v>915627</v>
      </c>
      <c r="C15" s="36">
        <v>617420</v>
      </c>
      <c r="D15" s="57">
        <v>0.73</v>
      </c>
      <c r="E15" s="54">
        <v>566.1</v>
      </c>
      <c r="F15" s="26">
        <v>1940.73</v>
      </c>
      <c r="G15" s="35">
        <v>40475.17</v>
      </c>
      <c r="H15" s="34">
        <v>14528</v>
      </c>
      <c r="I15" s="36">
        <v>153338</v>
      </c>
      <c r="J15" s="36">
        <v>54560141</v>
      </c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34">
        <v>919199</v>
      </c>
      <c r="C16" s="92">
        <v>623179</v>
      </c>
      <c r="D16" s="93">
        <v>0.65</v>
      </c>
      <c r="E16" s="94">
        <v>588.77</v>
      </c>
      <c r="F16" s="95">
        <v>1947.18</v>
      </c>
      <c r="G16" s="96">
        <v>40512.17</v>
      </c>
      <c r="H16" s="92">
        <v>14528</v>
      </c>
      <c r="I16" s="92">
        <v>153434</v>
      </c>
      <c r="J16" s="92">
        <v>54580444</v>
      </c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4">
        <v>922527</v>
      </c>
      <c r="C17" s="92">
        <v>628546</v>
      </c>
      <c r="D17" s="93">
        <v>0.57999999999999996</v>
      </c>
      <c r="E17" s="94">
        <v>609.51</v>
      </c>
      <c r="F17" s="95">
        <v>1952.57</v>
      </c>
      <c r="G17" s="96">
        <v>40550</v>
      </c>
      <c r="H17" s="92">
        <v>14528</v>
      </c>
      <c r="I17" s="92">
        <v>153528</v>
      </c>
      <c r="J17" s="92">
        <v>54599380</v>
      </c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86">
        <v>925891</v>
      </c>
      <c r="C18" s="92">
        <v>633818</v>
      </c>
      <c r="D18" s="93">
        <v>0.5</v>
      </c>
      <c r="E18" s="94">
        <v>632.17999999999995</v>
      </c>
      <c r="F18" s="95">
        <v>1958.22</v>
      </c>
      <c r="G18" s="96">
        <v>40594.32</v>
      </c>
      <c r="H18" s="92">
        <v>14528</v>
      </c>
      <c r="I18" s="92">
        <v>153610</v>
      </c>
      <c r="J18" s="92">
        <v>54618586</v>
      </c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>
        <v>929323</v>
      </c>
      <c r="C19" s="47">
        <v>639203</v>
      </c>
      <c r="D19" s="57">
        <v>0.4</v>
      </c>
      <c r="E19" s="60">
        <v>654.41</v>
      </c>
      <c r="F19" s="26">
        <v>1964.33</v>
      </c>
      <c r="G19" s="48">
        <v>40624.959999999999</v>
      </c>
      <c r="H19" s="34">
        <v>14528</v>
      </c>
      <c r="I19" s="47">
        <v>153712</v>
      </c>
      <c r="J19" s="47">
        <v>54639552</v>
      </c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>
        <v>932692</v>
      </c>
      <c r="C20" s="47">
        <v>644619</v>
      </c>
      <c r="D20" s="57">
        <v>0.32</v>
      </c>
      <c r="E20" s="60">
        <v>673.89</v>
      </c>
      <c r="F20" s="26">
        <v>1971.45</v>
      </c>
      <c r="G20" s="48">
        <v>40661.089999999997</v>
      </c>
      <c r="H20" s="34">
        <v>14528</v>
      </c>
      <c r="I20" s="47">
        <v>153819</v>
      </c>
      <c r="J20" s="47">
        <v>54660488</v>
      </c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>
        <v>936190</v>
      </c>
      <c r="C21" s="47">
        <v>650133</v>
      </c>
      <c r="D21" s="57">
        <v>0.25</v>
      </c>
      <c r="E21" s="60">
        <v>695.5</v>
      </c>
      <c r="F21" s="26">
        <v>1978.98</v>
      </c>
      <c r="G21" s="48">
        <v>40700.160000000003</v>
      </c>
      <c r="H21" s="36">
        <v>14528</v>
      </c>
      <c r="I21" s="47">
        <v>153916</v>
      </c>
      <c r="J21" s="47">
        <v>54680768</v>
      </c>
      <c r="K21" s="37"/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>
        <v>939694</v>
      </c>
      <c r="C22" s="86">
        <v>655533</v>
      </c>
      <c r="D22" s="57">
        <v>0.78</v>
      </c>
      <c r="E22" s="60">
        <v>716.29</v>
      </c>
      <c r="F22" s="26">
        <v>1986.7</v>
      </c>
      <c r="G22" s="48">
        <v>40738.5</v>
      </c>
      <c r="H22" s="36">
        <v>14528</v>
      </c>
      <c r="I22" s="48">
        <v>154019</v>
      </c>
      <c r="J22" s="47">
        <v>54702511</v>
      </c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>
        <v>943415</v>
      </c>
      <c r="C23" s="47">
        <v>661303</v>
      </c>
      <c r="D23" s="57">
        <v>0.7</v>
      </c>
      <c r="E23" s="60">
        <v>744.2</v>
      </c>
      <c r="F23" s="26">
        <v>1993.9</v>
      </c>
      <c r="G23" s="48">
        <v>40779.18</v>
      </c>
      <c r="H23" s="36">
        <v>14528</v>
      </c>
      <c r="I23" s="47">
        <v>154134</v>
      </c>
      <c r="J23" s="47">
        <v>54725839</v>
      </c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>
        <v>946896</v>
      </c>
      <c r="C24" s="47">
        <v>666824</v>
      </c>
      <c r="D24" s="57">
        <v>0.62</v>
      </c>
      <c r="E24" s="54">
        <v>768.07</v>
      </c>
      <c r="F24" s="26">
        <v>1999.72</v>
      </c>
      <c r="G24" s="48">
        <v>40818.699999999997</v>
      </c>
      <c r="H24" s="36">
        <v>14528</v>
      </c>
      <c r="I24" s="47">
        <v>154228</v>
      </c>
      <c r="J24" s="47">
        <v>54749850</v>
      </c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>
        <v>950424</v>
      </c>
      <c r="C25" s="48">
        <v>672297</v>
      </c>
      <c r="D25" s="59">
        <v>0.54</v>
      </c>
      <c r="E25" s="60">
        <v>791.81</v>
      </c>
      <c r="F25" s="26">
        <v>2005.94</v>
      </c>
      <c r="G25" s="48">
        <v>40857.18</v>
      </c>
      <c r="H25" s="36">
        <v>14528</v>
      </c>
      <c r="I25" s="47">
        <v>154329</v>
      </c>
      <c r="J25" s="47">
        <v>54773561</v>
      </c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>
        <v>954147</v>
      </c>
      <c r="C26" s="48">
        <v>677717</v>
      </c>
      <c r="D26" s="59">
        <v>0.48</v>
      </c>
      <c r="E26" s="60">
        <v>814.6</v>
      </c>
      <c r="F26" s="26">
        <v>2012.45</v>
      </c>
      <c r="G26" s="48">
        <v>40895.360000000001</v>
      </c>
      <c r="H26" s="34">
        <v>14528</v>
      </c>
      <c r="I26" s="47">
        <v>154425</v>
      </c>
      <c r="J26" s="47">
        <v>54793416</v>
      </c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>
        <v>957763</v>
      </c>
      <c r="C27" s="47">
        <v>682975</v>
      </c>
      <c r="D27" s="57">
        <v>0.4</v>
      </c>
      <c r="E27" s="54">
        <v>836.74</v>
      </c>
      <c r="F27" s="26">
        <v>2019.42</v>
      </c>
      <c r="G27" s="48">
        <v>40932.620000000003</v>
      </c>
      <c r="H27" s="34">
        <v>14528</v>
      </c>
      <c r="I27" s="47">
        <v>154530</v>
      </c>
      <c r="J27" s="47">
        <v>54812376</v>
      </c>
      <c r="K27" s="37"/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/>
      <c r="C28" s="47"/>
      <c r="D28" s="57"/>
      <c r="E28" s="60"/>
      <c r="F28" s="26"/>
      <c r="G28" s="48"/>
      <c r="H28" s="36"/>
      <c r="I28" s="47"/>
      <c r="J28" s="47"/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/>
      <c r="C29" s="47"/>
      <c r="D29" s="57"/>
      <c r="E29" s="60"/>
      <c r="F29" s="26"/>
      <c r="G29" s="48"/>
      <c r="H29" s="36"/>
      <c r="I29" s="47"/>
      <c r="J29" s="47"/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/>
      <c r="C30" s="47"/>
      <c r="D30" s="57"/>
      <c r="E30" s="60"/>
      <c r="F30" s="26"/>
      <c r="G30" s="48"/>
      <c r="H30" s="36"/>
      <c r="I30" s="47"/>
      <c r="J30" s="47"/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/>
      <c r="C31" s="47"/>
      <c r="D31" s="57"/>
      <c r="E31" s="60"/>
      <c r="F31" s="26"/>
      <c r="G31" s="48"/>
      <c r="H31" s="36"/>
      <c r="I31" s="47"/>
      <c r="J31" s="47"/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/>
      <c r="C32" s="47"/>
      <c r="D32" s="57"/>
      <c r="E32" s="60"/>
      <c r="F32" s="26"/>
      <c r="G32" s="48"/>
      <c r="H32" s="36"/>
      <c r="I32" s="47"/>
      <c r="J32" s="47"/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/>
      <c r="C33" s="47"/>
      <c r="D33" s="57"/>
      <c r="E33" s="60"/>
      <c r="F33" s="26"/>
      <c r="G33" s="48"/>
      <c r="H33" s="36"/>
      <c r="I33" s="47"/>
      <c r="J33" s="47"/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/>
      <c r="C34" s="50"/>
      <c r="D34" s="59"/>
      <c r="E34" s="60"/>
      <c r="F34" s="26"/>
      <c r="G34" s="48"/>
      <c r="H34" s="36"/>
      <c r="I34" s="48"/>
      <c r="J34" s="48"/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36"/>
      <c r="C35" s="55"/>
      <c r="D35" s="57"/>
      <c r="E35" s="54"/>
      <c r="F35" s="35"/>
      <c r="G35" s="35"/>
      <c r="H35" s="36"/>
      <c r="I35" s="36"/>
      <c r="J35" s="36"/>
      <c r="K35" s="37"/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/>
      <c r="C36" s="55"/>
      <c r="D36" s="57"/>
      <c r="E36" s="54"/>
      <c r="F36" s="35"/>
      <c r="G36" s="35"/>
      <c r="H36" s="36"/>
      <c r="I36" s="36"/>
      <c r="J36" s="36"/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4000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2022-04-20T08:06:53Z</dcterms:modified>
</cp:coreProperties>
</file>