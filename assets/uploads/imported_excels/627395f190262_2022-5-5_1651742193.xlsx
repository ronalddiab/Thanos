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L:\BAL-ENG\4. Energy\4.1 Utilities\HEP\2019\8. August 2019\"/>
    </mc:Choice>
  </mc:AlternateContent>
  <bookViews>
    <workbookView xWindow="0" yWindow="0" windowWidth="28800" windowHeight="12435" tabRatio="762" activeTab="1"/>
  </bookViews>
  <sheets>
    <sheet name="TOTAL" sheetId="11" r:id="rId1"/>
    <sheet name="FS Jimbaran August 2019" sheetId="14" r:id="rId2"/>
    <sheet name="RNs &amp; Covers August 2019" sheetId="10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2" i="14" l="1"/>
  <c r="O12" i="14" s="1"/>
  <c r="N12" i="14"/>
  <c r="P12" i="14"/>
  <c r="V12" i="14"/>
  <c r="AA12" i="14"/>
  <c r="AB12" i="14"/>
  <c r="AG12" i="14"/>
  <c r="I13" i="14"/>
  <c r="O13" i="14" s="1"/>
  <c r="N13" i="14"/>
  <c r="P13" i="14"/>
  <c r="V13" i="14"/>
  <c r="AA13" i="14"/>
  <c r="AB13" i="14"/>
  <c r="AG13" i="14"/>
  <c r="AG14" i="14"/>
  <c r="AG15" i="14"/>
  <c r="AG16" i="14"/>
  <c r="AG17" i="14"/>
  <c r="AG18" i="14"/>
  <c r="AG19" i="14"/>
  <c r="AG20" i="14"/>
  <c r="AG21" i="14"/>
  <c r="AG22" i="14"/>
  <c r="AG23" i="14"/>
  <c r="AG24" i="14"/>
  <c r="AG25" i="14"/>
  <c r="AG26" i="14"/>
  <c r="AG27" i="14"/>
  <c r="AG28" i="14"/>
  <c r="AG29" i="14"/>
  <c r="AG30" i="14"/>
  <c r="AG31" i="14"/>
  <c r="AG32" i="14"/>
  <c r="AG33" i="14"/>
  <c r="AG34" i="14"/>
  <c r="AG35" i="14"/>
  <c r="AG36" i="14"/>
  <c r="AG37" i="14"/>
  <c r="AG38" i="14"/>
  <c r="AG39" i="14"/>
  <c r="AG40" i="14"/>
  <c r="AG41" i="14"/>
  <c r="AG42" i="14"/>
  <c r="AG47" i="14" l="1"/>
  <c r="R47" i="14"/>
  <c r="Q47" i="14"/>
  <c r="AL42" i="14"/>
  <c r="AI42" i="14"/>
  <c r="G32" i="11"/>
  <c r="AA42" i="14"/>
  <c r="V42" i="14"/>
  <c r="K32" i="11" s="1"/>
  <c r="N42" i="14"/>
  <c r="P42" i="14"/>
  <c r="E32" i="11" s="1"/>
  <c r="I42" i="14"/>
  <c r="B32" i="11"/>
  <c r="I32" i="11"/>
  <c r="J32" i="11"/>
  <c r="M32" i="11"/>
  <c r="N32" i="11"/>
  <c r="AA14" i="14"/>
  <c r="AB14" i="14" s="1"/>
  <c r="AA15" i="14"/>
  <c r="AB15" i="14" s="1"/>
  <c r="AA16" i="14"/>
  <c r="L6" i="11" s="1"/>
  <c r="AA17" i="14"/>
  <c r="AB17" i="14" s="1"/>
  <c r="AA18" i="14"/>
  <c r="AA19" i="14"/>
  <c r="AA20" i="14"/>
  <c r="AB20" i="14" s="1"/>
  <c r="AA21" i="14"/>
  <c r="AA22" i="14"/>
  <c r="AA23" i="14"/>
  <c r="AA24" i="14"/>
  <c r="AB24" i="14" s="1"/>
  <c r="AA25" i="14"/>
  <c r="AB25" i="14" s="1"/>
  <c r="AA26" i="14"/>
  <c r="AB26" i="14" s="1"/>
  <c r="AA27" i="14"/>
  <c r="AA28" i="14"/>
  <c r="AB28" i="14" s="1"/>
  <c r="AA29" i="14"/>
  <c r="AA30" i="14"/>
  <c r="AB30" i="14" s="1"/>
  <c r="AA31" i="14"/>
  <c r="AB31" i="14" s="1"/>
  <c r="G2" i="11"/>
  <c r="H3" i="11"/>
  <c r="H4" i="11"/>
  <c r="H5" i="11"/>
  <c r="H6" i="11"/>
  <c r="G11" i="11"/>
  <c r="G12" i="11"/>
  <c r="H13" i="11"/>
  <c r="G14" i="11"/>
  <c r="H18" i="11"/>
  <c r="H19" i="11"/>
  <c r="G20" i="11"/>
  <c r="H21" i="11"/>
  <c r="B38" i="10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2" i="11"/>
  <c r="G31" i="11"/>
  <c r="H22" i="11"/>
  <c r="H23" i="11"/>
  <c r="G24" i="11"/>
  <c r="H25" i="11"/>
  <c r="G28" i="11"/>
  <c r="H29" i="11"/>
  <c r="G30" i="11"/>
  <c r="N32" i="14"/>
  <c r="N33" i="14"/>
  <c r="N34" i="14"/>
  <c r="N35" i="14"/>
  <c r="N36" i="14"/>
  <c r="N37" i="14"/>
  <c r="N38" i="14"/>
  <c r="N39" i="14"/>
  <c r="N40" i="14"/>
  <c r="N41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C38" i="10"/>
  <c r="AI40" i="14"/>
  <c r="AL40" i="14"/>
  <c r="AL41" i="14"/>
  <c r="AI41" i="14"/>
  <c r="AA40" i="14"/>
  <c r="AB40" i="14" s="1"/>
  <c r="AA41" i="14"/>
  <c r="AB41" i="14" s="1"/>
  <c r="V40" i="14"/>
  <c r="K30" i="11" s="1"/>
  <c r="V41" i="14"/>
  <c r="K31" i="11" s="1"/>
  <c r="P40" i="14"/>
  <c r="E30" i="11" s="1"/>
  <c r="P41" i="14"/>
  <c r="E31" i="11" s="1"/>
  <c r="I40" i="14"/>
  <c r="I41" i="14"/>
  <c r="I30" i="11"/>
  <c r="J30" i="11"/>
  <c r="H31" i="11"/>
  <c r="I31" i="11"/>
  <c r="J31" i="11"/>
  <c r="V33" i="14"/>
  <c r="V34" i="14"/>
  <c r="V35" i="14"/>
  <c r="K25" i="11" s="1"/>
  <c r="V36" i="14"/>
  <c r="K26" i="11" s="1"/>
  <c r="V37" i="14"/>
  <c r="K27" i="11" s="1"/>
  <c r="V38" i="14"/>
  <c r="K28" i="11" s="1"/>
  <c r="V39" i="14"/>
  <c r="K29" i="11" s="1"/>
  <c r="V24" i="14"/>
  <c r="J21" i="11"/>
  <c r="J22" i="11"/>
  <c r="J23" i="11"/>
  <c r="J24" i="11"/>
  <c r="J25" i="11"/>
  <c r="J26" i="11"/>
  <c r="J27" i="11"/>
  <c r="J28" i="11"/>
  <c r="J29" i="11"/>
  <c r="I21" i="11"/>
  <c r="I22" i="11"/>
  <c r="I23" i="11"/>
  <c r="I24" i="11"/>
  <c r="I25" i="11"/>
  <c r="I26" i="11"/>
  <c r="I27" i="11"/>
  <c r="I28" i="11"/>
  <c r="I29" i="11"/>
  <c r="AL31" i="14"/>
  <c r="AL32" i="14"/>
  <c r="AL33" i="14"/>
  <c r="AL34" i="14"/>
  <c r="AL35" i="14"/>
  <c r="AL36" i="14"/>
  <c r="AL37" i="14"/>
  <c r="AL38" i="14"/>
  <c r="AL39" i="14"/>
  <c r="AI31" i="14"/>
  <c r="AI32" i="14"/>
  <c r="AI33" i="14"/>
  <c r="AI34" i="14"/>
  <c r="AI35" i="14"/>
  <c r="AI36" i="14"/>
  <c r="AI37" i="14"/>
  <c r="AI38" i="14"/>
  <c r="AI39" i="14"/>
  <c r="G29" i="11"/>
  <c r="H27" i="11"/>
  <c r="G27" i="11"/>
  <c r="H28" i="11"/>
  <c r="H26" i="11"/>
  <c r="G26" i="11"/>
  <c r="AA32" i="14"/>
  <c r="AA33" i="14"/>
  <c r="AA34" i="14"/>
  <c r="L24" i="11" s="1"/>
  <c r="AA35" i="14"/>
  <c r="AB35" i="14" s="1"/>
  <c r="AA36" i="14"/>
  <c r="L26" i="11" s="1"/>
  <c r="AA37" i="14"/>
  <c r="L27" i="11" s="1"/>
  <c r="AA38" i="14"/>
  <c r="L28" i="11" s="1"/>
  <c r="AA39" i="14"/>
  <c r="V31" i="14"/>
  <c r="K21" i="11" s="1"/>
  <c r="V32" i="14"/>
  <c r="L22" i="11" s="1"/>
  <c r="K23" i="11"/>
  <c r="K24" i="11"/>
  <c r="I39" i="14"/>
  <c r="I38" i="14"/>
  <c r="I37" i="14"/>
  <c r="I36" i="14"/>
  <c r="O36" i="14" s="1"/>
  <c r="I35" i="14"/>
  <c r="O35" i="14" s="1"/>
  <c r="I34" i="14"/>
  <c r="O34" i="14" s="1"/>
  <c r="I33" i="14"/>
  <c r="I32" i="14"/>
  <c r="I31" i="14"/>
  <c r="O31" i="14" s="1"/>
  <c r="AB39" i="14"/>
  <c r="AB33" i="14"/>
  <c r="L21" i="11"/>
  <c r="P31" i="14"/>
  <c r="E21" i="11" s="1"/>
  <c r="P32" i="14"/>
  <c r="E22" i="11" s="1"/>
  <c r="P33" i="14"/>
  <c r="E23" i="11" s="1"/>
  <c r="P34" i="14"/>
  <c r="E24" i="11" s="1"/>
  <c r="P35" i="14"/>
  <c r="E25" i="11" s="1"/>
  <c r="P36" i="14"/>
  <c r="E26" i="11" s="1"/>
  <c r="P37" i="14"/>
  <c r="E27" i="11" s="1"/>
  <c r="P38" i="14"/>
  <c r="E28" i="11" s="1"/>
  <c r="P39" i="14"/>
  <c r="E29" i="11" s="1"/>
  <c r="AB34" i="14"/>
  <c r="AB32" i="14"/>
  <c r="V30" i="14"/>
  <c r="V29" i="14"/>
  <c r="K19" i="11" s="1"/>
  <c r="V28" i="14"/>
  <c r="L18" i="11" s="1"/>
  <c r="V27" i="14"/>
  <c r="K17" i="11" s="1"/>
  <c r="V26" i="14"/>
  <c r="V25" i="14"/>
  <c r="K15" i="11" s="1"/>
  <c r="V23" i="14"/>
  <c r="V22" i="14"/>
  <c r="K12" i="11" s="1"/>
  <c r="V21" i="14"/>
  <c r="L11" i="11" s="1"/>
  <c r="V20" i="14"/>
  <c r="K10" i="11" s="1"/>
  <c r="V19" i="14"/>
  <c r="K9" i="11" s="1"/>
  <c r="V18" i="14"/>
  <c r="V17" i="14"/>
  <c r="V16" i="14"/>
  <c r="V15" i="14"/>
  <c r="V14" i="14"/>
  <c r="K4" i="11" s="1"/>
  <c r="K3" i="11"/>
  <c r="K2" i="11"/>
  <c r="AJ47" i="14"/>
  <c r="J7" i="11"/>
  <c r="I3" i="11"/>
  <c r="I5" i="11"/>
  <c r="I11" i="11"/>
  <c r="I13" i="11"/>
  <c r="I19" i="11"/>
  <c r="I20" i="11"/>
  <c r="I2" i="11"/>
  <c r="AD47" i="14"/>
  <c r="D47" i="14"/>
  <c r="C47" i="14"/>
  <c r="AE47" i="14"/>
  <c r="J20" i="11"/>
  <c r="I30" i="14"/>
  <c r="O30" i="14" s="1"/>
  <c r="AL29" i="14"/>
  <c r="I29" i="14"/>
  <c r="AL28" i="14"/>
  <c r="I28" i="14"/>
  <c r="O28" i="14" s="1"/>
  <c r="I27" i="14"/>
  <c r="AL26" i="14"/>
  <c r="AI26" i="14"/>
  <c r="I26" i="14"/>
  <c r="AL25" i="14"/>
  <c r="I15" i="11"/>
  <c r="P25" i="14"/>
  <c r="E15" i="11" s="1"/>
  <c r="AL24" i="14"/>
  <c r="I24" i="14"/>
  <c r="AL23" i="14"/>
  <c r="P23" i="14"/>
  <c r="E13" i="11" s="1"/>
  <c r="I22" i="14"/>
  <c r="O22" i="14" s="1"/>
  <c r="P21" i="14"/>
  <c r="AL20" i="14"/>
  <c r="I20" i="14"/>
  <c r="I9" i="11"/>
  <c r="AB19" i="14"/>
  <c r="AL18" i="14"/>
  <c r="P18" i="14"/>
  <c r="I18" i="14"/>
  <c r="AL17" i="14"/>
  <c r="I7" i="11"/>
  <c r="P17" i="14"/>
  <c r="E7" i="11" s="1"/>
  <c r="AL16" i="14"/>
  <c r="K6" i="11"/>
  <c r="I16" i="14"/>
  <c r="AL15" i="14"/>
  <c r="P15" i="14"/>
  <c r="E5" i="11" s="1"/>
  <c r="AL13" i="14"/>
  <c r="H11" i="11"/>
  <c r="H7" i="11"/>
  <c r="E11" i="11"/>
  <c r="G8" i="11"/>
  <c r="H8" i="11"/>
  <c r="G9" i="11"/>
  <c r="H9" i="11"/>
  <c r="AI22" i="14"/>
  <c r="AI24" i="14"/>
  <c r="H14" i="11"/>
  <c r="AI25" i="14"/>
  <c r="H15" i="11"/>
  <c r="G16" i="11"/>
  <c r="H16" i="11"/>
  <c r="AI28" i="14"/>
  <c r="AI29" i="14"/>
  <c r="AI30" i="14"/>
  <c r="AI14" i="14"/>
  <c r="AI16" i="14"/>
  <c r="AI20" i="14"/>
  <c r="H10" i="11"/>
  <c r="AI27" i="14"/>
  <c r="H17" i="11"/>
  <c r="O29" i="14"/>
  <c r="G15" i="11"/>
  <c r="J13" i="11"/>
  <c r="J14" i="11"/>
  <c r="AL30" i="14"/>
  <c r="J6" i="11"/>
  <c r="J5" i="11"/>
  <c r="G7" i="11"/>
  <c r="AL27" i="14"/>
  <c r="J17" i="11"/>
  <c r="J4" i="11"/>
  <c r="AL14" i="14"/>
  <c r="G3" i="11"/>
  <c r="AL21" i="14"/>
  <c r="J11" i="11"/>
  <c r="J12" i="11"/>
  <c r="AL22" i="14"/>
  <c r="J47" i="14"/>
  <c r="G47" i="14"/>
  <c r="W47" i="14"/>
  <c r="P27" i="14"/>
  <c r="E17" i="11" s="1"/>
  <c r="P29" i="14"/>
  <c r="P30" i="14"/>
  <c r="J16" i="11"/>
  <c r="J8" i="11"/>
  <c r="I12" i="11"/>
  <c r="I4" i="11"/>
  <c r="J15" i="11"/>
  <c r="I19" i="14"/>
  <c r="I18" i="11"/>
  <c r="K16" i="11"/>
  <c r="K8" i="11"/>
  <c r="L47" i="14"/>
  <c r="P14" i="14"/>
  <c r="E4" i="11" s="1"/>
  <c r="P20" i="14"/>
  <c r="E10" i="11" s="1"/>
  <c r="P22" i="14"/>
  <c r="E12" i="11" s="1"/>
  <c r="G19" i="11"/>
  <c r="I17" i="11"/>
  <c r="K7" i="11"/>
  <c r="E3" i="11"/>
  <c r="AF47" i="14"/>
  <c r="I10" i="11"/>
  <c r="M47" i="14"/>
  <c r="P16" i="14"/>
  <c r="E6" i="11" s="1"/>
  <c r="I17" i="14"/>
  <c r="I21" i="14"/>
  <c r="O21" i="14" s="1"/>
  <c r="F11" i="11" s="1"/>
  <c r="G18" i="11"/>
  <c r="G10" i="11"/>
  <c r="I16" i="11"/>
  <c r="I8" i="11"/>
  <c r="J19" i="11"/>
  <c r="J3" i="11"/>
  <c r="K47" i="14"/>
  <c r="P26" i="14"/>
  <c r="E16" i="11" s="1"/>
  <c r="E47" i="14"/>
  <c r="F3" i="11"/>
  <c r="I15" i="14"/>
  <c r="O15" i="14" s="1"/>
  <c r="P19" i="14"/>
  <c r="E9" i="11" s="1"/>
  <c r="I23" i="14"/>
  <c r="O23" i="14" s="1"/>
  <c r="P28" i="14"/>
  <c r="E18" i="11" s="1"/>
  <c r="G17" i="11"/>
  <c r="J18" i="11"/>
  <c r="J10" i="11"/>
  <c r="K13" i="11"/>
  <c r="K5" i="11"/>
  <c r="F47" i="14"/>
  <c r="I14" i="14"/>
  <c r="O14" i="14" s="1"/>
  <c r="P24" i="14"/>
  <c r="E14" i="11" s="1"/>
  <c r="I25" i="14"/>
  <c r="I14" i="11"/>
  <c r="I6" i="11"/>
  <c r="H2" i="11"/>
  <c r="H47" i="14"/>
  <c r="E2" i="11"/>
  <c r="J2" i="11"/>
  <c r="AC47" i="14"/>
  <c r="E20" i="11"/>
  <c r="AI18" i="14"/>
  <c r="AI19" i="14"/>
  <c r="AB22" i="14"/>
  <c r="AI13" i="14"/>
  <c r="AI15" i="14"/>
  <c r="AB29" i="14"/>
  <c r="L19" i="11"/>
  <c r="X47" i="14"/>
  <c r="AB18" i="14"/>
  <c r="AI21" i="14"/>
  <c r="L16" i="11"/>
  <c r="Y47" i="14"/>
  <c r="AB27" i="14"/>
  <c r="L17" i="11"/>
  <c r="AI23" i="14"/>
  <c r="AI17" i="14"/>
  <c r="AB21" i="14"/>
  <c r="AL19" i="14"/>
  <c r="J9" i="11"/>
  <c r="AK47" i="14"/>
  <c r="AL47" i="14" s="1"/>
  <c r="AL12" i="14"/>
  <c r="AH47" i="14"/>
  <c r="AI47" i="14" s="1"/>
  <c r="AI12" i="14"/>
  <c r="Z47" i="14"/>
  <c r="AB16" i="14"/>
  <c r="B3" i="1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G13" i="11" l="1"/>
  <c r="G21" i="11"/>
  <c r="H32" i="11"/>
  <c r="G5" i="11"/>
  <c r="G23" i="11"/>
  <c r="L12" i="11"/>
  <c r="AB38" i="14"/>
  <c r="L13" i="11"/>
  <c r="L14" i="11"/>
  <c r="L31" i="11"/>
  <c r="O19" i="14"/>
  <c r="F13" i="11"/>
  <c r="F4" i="11"/>
  <c r="O27" i="14"/>
  <c r="F17" i="11" s="1"/>
  <c r="O32" i="14"/>
  <c r="F22" i="11" s="1"/>
  <c r="F26" i="11"/>
  <c r="O25" i="14"/>
  <c r="O38" i="14"/>
  <c r="F28" i="11" s="1"/>
  <c r="O40" i="14"/>
  <c r="F30" i="11" s="1"/>
  <c r="F9" i="11"/>
  <c r="O24" i="14"/>
  <c r="F5" i="11"/>
  <c r="H24" i="11"/>
  <c r="G25" i="11"/>
  <c r="H20" i="11"/>
  <c r="O16" i="14"/>
  <c r="F6" i="11" s="1"/>
  <c r="O37" i="14"/>
  <c r="F27" i="11" s="1"/>
  <c r="F21" i="11"/>
  <c r="F14" i="11"/>
  <c r="F20" i="11"/>
  <c r="O42" i="14"/>
  <c r="F32" i="11" s="1"/>
  <c r="F15" i="11"/>
  <c r="F19" i="11"/>
  <c r="F24" i="11"/>
  <c r="F25" i="11"/>
  <c r="I47" i="14"/>
  <c r="O20" i="14"/>
  <c r="F10" i="11" s="1"/>
  <c r="O41" i="14"/>
  <c r="F31" i="11" s="1"/>
  <c r="O33" i="14"/>
  <c r="F23" i="11" s="1"/>
  <c r="F18" i="11"/>
  <c r="F12" i="11"/>
  <c r="P47" i="14"/>
  <c r="S47" i="14" s="1"/>
  <c r="O26" i="14"/>
  <c r="F16" i="11" s="1"/>
  <c r="O18" i="14"/>
  <c r="F8" i="11" s="1"/>
  <c r="O39" i="14"/>
  <c r="F29" i="11" s="1"/>
  <c r="L5" i="11"/>
  <c r="AB23" i="14"/>
  <c r="L9" i="11"/>
  <c r="L20" i="11"/>
  <c r="L4" i="11"/>
  <c r="L10" i="11"/>
  <c r="L15" i="11"/>
  <c r="K14" i="11"/>
  <c r="L29" i="11"/>
  <c r="L32" i="11"/>
  <c r="L7" i="11"/>
  <c r="AA47" i="14"/>
  <c r="AB47" i="14" s="1"/>
  <c r="L30" i="11"/>
  <c r="L3" i="11"/>
  <c r="L23" i="11"/>
  <c r="L8" i="11"/>
  <c r="N47" i="14"/>
  <c r="L2" i="11"/>
  <c r="K20" i="11"/>
  <c r="K22" i="11"/>
  <c r="AB42" i="14"/>
  <c r="AB36" i="14"/>
  <c r="F2" i="11"/>
  <c r="G6" i="11"/>
  <c r="K18" i="11"/>
  <c r="L25" i="11"/>
  <c r="O17" i="14"/>
  <c r="F7" i="11" s="1"/>
  <c r="V47" i="14"/>
  <c r="G4" i="11"/>
  <c r="H12" i="11"/>
  <c r="AB37" i="14"/>
  <c r="E19" i="11"/>
  <c r="K11" i="11"/>
  <c r="G22" i="11"/>
  <c r="H30" i="11"/>
  <c r="E8" i="11"/>
  <c r="O47" i="14" l="1"/>
  <c r="T47" i="14" s="1"/>
  <c r="U47" i="14" s="1"/>
  <c r="U48" i="14" s="1"/>
</calcChain>
</file>

<file path=xl/sharedStrings.xml><?xml version="1.0" encoding="utf-8"?>
<sst xmlns="http://schemas.openxmlformats.org/spreadsheetml/2006/main" count="101" uniqueCount="55">
  <si>
    <t>Municipal Water (m3)</t>
  </si>
  <si>
    <t>Date</t>
  </si>
  <si>
    <t>Room Nights</t>
  </si>
  <si>
    <t>Food Covers</t>
  </si>
  <si>
    <t>Water (m3)</t>
  </si>
  <si>
    <t>Electricity - Sundara</t>
  </si>
  <si>
    <t>Cost (IDR)</t>
  </si>
  <si>
    <t>LPG Bulk (m3)</t>
  </si>
  <si>
    <t>Water consumption (m3)</t>
  </si>
  <si>
    <t>12 Kg (tube)</t>
  </si>
  <si>
    <t>Deepwell Consumption (m3)</t>
  </si>
  <si>
    <t>Sundara 50 kg (tube)</t>
  </si>
  <si>
    <t>Sub Total (Resort &amp; Sundara) Cost  (IDR)</t>
  </si>
  <si>
    <t>TOTAL  Electricity consumption (KWh)</t>
  </si>
  <si>
    <t>Resort Cost  (IDR)</t>
  </si>
  <si>
    <t>Sundara Cost  (IDR)</t>
  </si>
  <si>
    <t>IDR</t>
  </si>
  <si>
    <t>USD</t>
  </si>
  <si>
    <t>TOTAL  Electricity cost</t>
  </si>
  <si>
    <t>WATER</t>
  </si>
  <si>
    <t>Diesel</t>
  </si>
  <si>
    <t>Residences- Electricity cost (IDR)</t>
  </si>
  <si>
    <t xml:space="preserve">LPG </t>
  </si>
  <si>
    <t>Used (liters)</t>
  </si>
  <si>
    <t>GAS</t>
  </si>
  <si>
    <t>Total kg</t>
  </si>
  <si>
    <t>Municipal Water cost (IDR)</t>
  </si>
  <si>
    <t xml:space="preserve">Total Water Cost </t>
  </si>
  <si>
    <t>Four Seasons Resort Bali at Jimbaran Bay</t>
  </si>
  <si>
    <t>kWh rate</t>
  </si>
  <si>
    <t>Deepwell water Cost (IDR)</t>
  </si>
  <si>
    <t>50 Kg (tube) IVD &amp; TW</t>
  </si>
  <si>
    <t>Sub Total (Resort &amp; Sundara), KWh</t>
  </si>
  <si>
    <t>Electricity Resort</t>
  </si>
  <si>
    <t>ELECTRICITY Resort, Sundara &amp; Residences</t>
  </si>
  <si>
    <t>BASED LOAD KWh (from 10 pm - 6 pm)</t>
  </si>
  <si>
    <t>PEAK LOAD KWh (from 6 pm - 10 pm)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</si>
  <si>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</si>
  <si>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</si>
  <si>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</si>
  <si>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</si>
  <si>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</si>
  <si>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</si>
  <si>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</si>
  <si>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</si>
  <si>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</si>
  <si>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</si>
  <si>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 xml:space="preserve">LPG (Kg) </t>
  </si>
  <si>
    <t>LPG $/Kg</t>
  </si>
  <si>
    <t>Bali Jimbaran</t>
  </si>
  <si>
    <t xml:space="preserve">Total Fuel Oil  (Liters) </t>
  </si>
  <si>
    <t>Fuel Oil  $/Liter</t>
  </si>
  <si>
    <t>Residences- Electricity KWh</t>
  </si>
  <si>
    <t>m3/RNs</t>
  </si>
  <si>
    <t>AUGUST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</si>
</sst>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3" formatCode="_-* #,##0.00_-;\-* #,##0.00_-;_-* &quot;-&quot;??_-;_-@_-"/>
    <numFmt numFmtId="164" formatCode="&quot;$&quot;#,##0.00_);\(&quot;$&quot;#,##0.00\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-* #,##0_-;\-* #,##0_-;_-* &quot;-&quot;??_-;_-@_-"/>
    <numFmt numFmtId="169" formatCode="_(* #,##0_);_(* \(#,##0\);_(* &quot;-&quot;??_);_(@_)"/>
    <numFmt numFmtId="170" formatCode="&quot;$&quot;#,##0"/>
    <numFmt numFmtId="171" formatCode="_-* #,##0.0_-;\-* #,##0.0_-;_-* &quot;-&quot;??_-;_-@_-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6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165" fontId="16" fillId="0" borderId="0" applyFont="0" applyFill="0" applyBorder="0" applyAlignment="0" applyProtection="0"/>
    <xf numFmtId="0" fontId="16" fillId="0" borderId="0"/>
    <xf numFmtId="167" fontId="2" fillId="0" borderId="0" applyFont="0" applyFill="0" applyBorder="0" applyAlignment="0" applyProtection="0"/>
  </cellStyleXfs>
  <cellXfs count="260">
    <xf numFmtId="0" fontId="0" fillId="0" borderId="0" xfId="0"/>
    <xf numFmtId="0" fontId="0" fillId="0" borderId="0" xfId="0" applyBorder="1"/>
    <xf numFmtId="0" fontId="0" fillId="0" borderId="8" xfId="0" applyBorder="1"/>
    <xf numFmtId="168" fontId="0" fillId="0" borderId="8" xfId="2" applyNumberFormat="1" applyFont="1" applyBorder="1"/>
    <xf numFmtId="168" fontId="0" fillId="0" borderId="0" xfId="2" applyNumberFormat="1" applyFont="1"/>
    <xf numFmtId="168" fontId="0" fillId="0" borderId="0" xfId="2" applyNumberFormat="1" applyFont="1" applyBorder="1"/>
    <xf numFmtId="168" fontId="1" fillId="0" borderId="0" xfId="2" applyNumberFormat="1" applyFont="1"/>
    <xf numFmtId="168" fontId="0" fillId="3" borderId="0" xfId="2" applyNumberFormat="1" applyFont="1" applyFill="1" applyBorder="1"/>
    <xf numFmtId="0" fontId="0" fillId="3" borderId="0" xfId="0" applyFill="1"/>
    <xf numFmtId="43" fontId="4" fillId="0" borderId="0" xfId="2" applyFont="1" applyBorder="1"/>
    <xf numFmtId="43" fontId="4" fillId="0" borderId="0" xfId="0" applyNumberFormat="1" applyFont="1" applyBorder="1"/>
    <xf numFmtId="168" fontId="0" fillId="0" borderId="0" xfId="0" applyNumberFormat="1" applyBorder="1"/>
    <xf numFmtId="0" fontId="8" fillId="0" borderId="0" xfId="0" applyFont="1"/>
    <xf numFmtId="0" fontId="0" fillId="0" borderId="32" xfId="0" applyBorder="1" applyAlignment="1">
      <alignment horizontal="center" vertical="center" wrapText="1"/>
    </xf>
    <xf numFmtId="0" fontId="4" fillId="0" borderId="0" xfId="0" applyFont="1" applyBorder="1" applyAlignment="1">
      <alignment horizontal="right"/>
    </xf>
    <xf numFmtId="0" fontId="0" fillId="3" borderId="0" xfId="0" applyFill="1" applyBorder="1"/>
    <xf numFmtId="43" fontId="0" fillId="3" borderId="0" xfId="0" applyNumberFormat="1" applyFill="1" applyBorder="1"/>
    <xf numFmtId="168" fontId="4" fillId="0" borderId="0" xfId="2" applyNumberFormat="1" applyFont="1" applyBorder="1"/>
    <xf numFmtId="0" fontId="0" fillId="0" borderId="9" xfId="0" applyBorder="1"/>
    <xf numFmtId="168" fontId="0" fillId="0" borderId="12" xfId="2" applyNumberFormat="1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168" fontId="0" fillId="0" borderId="34" xfId="2" applyNumberFormat="1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8" fontId="0" fillId="3" borderId="0" xfId="0" applyNumberFormat="1" applyFill="1" applyBorder="1"/>
    <xf numFmtId="0" fontId="6" fillId="3" borderId="0" xfId="0" applyFont="1" applyFill="1" applyBorder="1" applyAlignment="1"/>
    <xf numFmtId="0" fontId="1" fillId="3" borderId="0" xfId="0" applyFont="1" applyFill="1" applyBorder="1" applyAlignment="1"/>
    <xf numFmtId="0" fontId="0" fillId="3" borderId="0" xfId="0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/>
    </xf>
    <xf numFmtId="0" fontId="0" fillId="3" borderId="0" xfId="0" applyFill="1" applyBorder="1" applyAlignment="1"/>
    <xf numFmtId="0" fontId="9" fillId="3" borderId="0" xfId="0" applyFont="1" applyFill="1" applyBorder="1" applyAlignment="1"/>
    <xf numFmtId="168" fontId="0" fillId="0" borderId="9" xfId="0" applyNumberFormat="1" applyBorder="1"/>
    <xf numFmtId="0" fontId="0" fillId="3" borderId="5" xfId="0" applyFill="1" applyBorder="1"/>
    <xf numFmtId="168" fontId="0" fillId="3" borderId="0" xfId="2" applyNumberFormat="1" applyFont="1" applyFill="1" applyBorder="1" applyAlignment="1">
      <alignment horizontal="right"/>
    </xf>
    <xf numFmtId="168" fontId="6" fillId="3" borderId="0" xfId="2" applyNumberFormat="1" applyFont="1" applyFill="1" applyBorder="1" applyAlignment="1"/>
    <xf numFmtId="169" fontId="0" fillId="0" borderId="8" xfId="2" applyNumberFormat="1" applyFont="1" applyBorder="1"/>
    <xf numFmtId="170" fontId="6" fillId="3" borderId="0" xfId="0" applyNumberFormat="1" applyFont="1" applyFill="1" applyBorder="1" applyAlignment="1"/>
    <xf numFmtId="170" fontId="0" fillId="0" borderId="21" xfId="2" applyNumberFormat="1" applyFont="1" applyBorder="1"/>
    <xf numFmtId="170" fontId="0" fillId="3" borderId="5" xfId="0" applyNumberFormat="1" applyFill="1" applyBorder="1"/>
    <xf numFmtId="170" fontId="0" fillId="0" borderId="0" xfId="0" applyNumberFormat="1"/>
    <xf numFmtId="0" fontId="0" fillId="0" borderId="13" xfId="0" applyBorder="1" applyAlignment="1">
      <alignment horizontal="center" vertical="center" wrapText="1"/>
    </xf>
    <xf numFmtId="170" fontId="0" fillId="0" borderId="9" xfId="2" applyNumberFormat="1" applyFont="1" applyBorder="1"/>
    <xf numFmtId="43" fontId="0" fillId="3" borderId="23" xfId="0" applyNumberFormat="1" applyFill="1" applyBorder="1"/>
    <xf numFmtId="168" fontId="0" fillId="0" borderId="13" xfId="2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168" fontId="0" fillId="0" borderId="42" xfId="2" applyNumberFormat="1" applyFont="1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170" fontId="0" fillId="0" borderId="26" xfId="0" applyNumberFormat="1" applyBorder="1" applyAlignment="1">
      <alignment horizontal="center" vertical="center" wrapText="1"/>
    </xf>
    <xf numFmtId="170" fontId="0" fillId="0" borderId="43" xfId="0" applyNumberFormat="1" applyBorder="1" applyAlignment="1">
      <alignment horizontal="center" vertical="center" wrapText="1"/>
    </xf>
    <xf numFmtId="168" fontId="1" fillId="3" borderId="6" xfId="0" applyNumberFormat="1" applyFont="1" applyFill="1" applyBorder="1"/>
    <xf numFmtId="0" fontId="0" fillId="5" borderId="19" xfId="0" applyFill="1" applyBorder="1" applyAlignment="1">
      <alignment vertical="center"/>
    </xf>
    <xf numFmtId="0" fontId="0" fillId="5" borderId="34" xfId="0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11" fillId="11" borderId="44" xfId="0" applyFont="1" applyFill="1" applyBorder="1" applyAlignment="1">
      <alignment horizontal="center" vertical="center" shrinkToFit="1"/>
    </xf>
    <xf numFmtId="0" fontId="11" fillId="11" borderId="45" xfId="0" applyFont="1" applyFill="1" applyBorder="1" applyAlignment="1">
      <alignment horizontal="center" vertical="center" shrinkToFit="1"/>
    </xf>
    <xf numFmtId="43" fontId="9" fillId="3" borderId="0" xfId="2" applyFont="1" applyFill="1" applyBorder="1" applyAlignment="1"/>
    <xf numFmtId="43" fontId="8" fillId="0" borderId="16" xfId="2" applyFont="1" applyBorder="1" applyAlignment="1">
      <alignment horizontal="center" vertical="center" wrapText="1"/>
    </xf>
    <xf numFmtId="43" fontId="8" fillId="0" borderId="28" xfId="2" applyFont="1" applyBorder="1" applyAlignment="1">
      <alignment horizontal="center" vertical="center" wrapText="1"/>
    </xf>
    <xf numFmtId="43" fontId="8" fillId="3" borderId="0" xfId="2" applyFont="1" applyFill="1" applyBorder="1"/>
    <xf numFmtId="43" fontId="12" fillId="0" borderId="0" xfId="2" applyFont="1" applyBorder="1"/>
    <xf numFmtId="43" fontId="8" fillId="0" borderId="0" xfId="2" applyFont="1"/>
    <xf numFmtId="168" fontId="9" fillId="3" borderId="0" xfId="2" applyNumberFormat="1" applyFont="1" applyFill="1" applyBorder="1" applyAlignment="1"/>
    <xf numFmtId="168" fontId="8" fillId="3" borderId="0" xfId="2" applyNumberFormat="1" applyFont="1" applyFill="1" applyBorder="1"/>
    <xf numFmtId="168" fontId="12" fillId="0" borderId="0" xfId="2" applyNumberFormat="1" applyFont="1" applyBorder="1"/>
    <xf numFmtId="168" fontId="8" fillId="0" borderId="0" xfId="2" applyNumberFormat="1" applyFont="1"/>
    <xf numFmtId="168" fontId="0" fillId="3" borderId="39" xfId="0" applyNumberFormat="1" applyFill="1" applyBorder="1"/>
    <xf numFmtId="168" fontId="1" fillId="0" borderId="39" xfId="0" applyNumberFormat="1" applyFont="1" applyBorder="1"/>
    <xf numFmtId="0" fontId="0" fillId="3" borderId="47" xfId="0" applyFill="1" applyBorder="1"/>
    <xf numFmtId="168" fontId="0" fillId="3" borderId="47" xfId="2" applyNumberFormat="1" applyFont="1" applyFill="1" applyBorder="1"/>
    <xf numFmtId="43" fontId="8" fillId="3" borderId="47" xfId="2" applyFont="1" applyFill="1" applyBorder="1"/>
    <xf numFmtId="168" fontId="8" fillId="3" borderId="47" xfId="2" applyNumberFormat="1" applyFont="1" applyFill="1" applyBorder="1"/>
    <xf numFmtId="43" fontId="0" fillId="3" borderId="47" xfId="0" applyNumberFormat="1" applyFill="1" applyBorder="1"/>
    <xf numFmtId="0" fontId="0" fillId="3" borderId="49" xfId="0" applyFill="1" applyBorder="1"/>
    <xf numFmtId="167" fontId="0" fillId="3" borderId="47" xfId="0" applyNumberFormat="1" applyFill="1" applyBorder="1"/>
    <xf numFmtId="168" fontId="0" fillId="3" borderId="47" xfId="0" applyNumberFormat="1" applyFill="1" applyBorder="1"/>
    <xf numFmtId="168" fontId="0" fillId="0" borderId="47" xfId="2" applyNumberFormat="1" applyFont="1" applyBorder="1"/>
    <xf numFmtId="170" fontId="0" fillId="3" borderId="49" xfId="0" applyNumberFormat="1" applyFill="1" applyBorder="1"/>
    <xf numFmtId="168" fontId="0" fillId="0" borderId="0" xfId="2" applyNumberFormat="1" applyFont="1" applyBorder="1" applyAlignment="1">
      <alignment horizontal="right"/>
    </xf>
    <xf numFmtId="168" fontId="9" fillId="6" borderId="23" xfId="2" applyNumberFormat="1" applyFont="1" applyFill="1" applyBorder="1"/>
    <xf numFmtId="0" fontId="1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71" fontId="6" fillId="3" borderId="0" xfId="2" applyNumberFormat="1" applyFont="1" applyFill="1" applyBorder="1" applyAlignment="1"/>
    <xf numFmtId="171" fontId="0" fillId="3" borderId="0" xfId="2" applyNumberFormat="1" applyFont="1" applyFill="1" applyBorder="1"/>
    <xf numFmtId="171" fontId="0" fillId="3" borderId="47" xfId="2" applyNumberFormat="1" applyFont="1" applyFill="1" applyBorder="1"/>
    <xf numFmtId="171" fontId="0" fillId="0" borderId="0" xfId="2" applyNumberFormat="1" applyFont="1" applyBorder="1"/>
    <xf numFmtId="171" fontId="0" fillId="0" borderId="0" xfId="2" applyNumberFormat="1" applyFont="1"/>
    <xf numFmtId="168" fontId="0" fillId="0" borderId="19" xfId="2" applyNumberFormat="1" applyFont="1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168" fontId="9" fillId="0" borderId="53" xfId="2" applyNumberFormat="1" applyFont="1" applyBorder="1" applyAlignment="1">
      <alignment horizontal="center" vertical="center" wrapText="1"/>
    </xf>
    <xf numFmtId="168" fontId="8" fillId="0" borderId="54" xfId="2" applyNumberFormat="1" applyFont="1" applyBorder="1" applyAlignment="1">
      <alignment horizontal="center" vertical="center" wrapText="1"/>
    </xf>
    <xf numFmtId="168" fontId="8" fillId="0" borderId="21" xfId="2" applyNumberFormat="1" applyFont="1" applyBorder="1"/>
    <xf numFmtId="0" fontId="0" fillId="0" borderId="29" xfId="0" applyBorder="1"/>
    <xf numFmtId="168" fontId="0" fillId="0" borderId="29" xfId="2" applyNumberFormat="1" applyFont="1" applyBorder="1"/>
    <xf numFmtId="43" fontId="8" fillId="0" borderId="29" xfId="2" applyFont="1" applyBorder="1"/>
    <xf numFmtId="168" fontId="8" fillId="0" borderId="32" xfId="2" applyNumberFormat="1" applyFont="1" applyBorder="1"/>
    <xf numFmtId="0" fontId="1" fillId="0" borderId="52" xfId="0" applyFont="1" applyBorder="1" applyAlignment="1">
      <alignment horizontal="center" vertical="center" wrapText="1"/>
    </xf>
    <xf numFmtId="0" fontId="1" fillId="0" borderId="53" xfId="0" applyFont="1" applyBorder="1" applyAlignment="1">
      <alignment horizontal="center" vertical="center" wrapText="1"/>
    </xf>
    <xf numFmtId="168" fontId="0" fillId="0" borderId="18" xfId="2" applyNumberFormat="1" applyFont="1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43" fontId="0" fillId="0" borderId="21" xfId="0" applyNumberFormat="1" applyBorder="1"/>
    <xf numFmtId="168" fontId="0" fillId="0" borderId="56" xfId="2" applyNumberFormat="1" applyFont="1" applyBorder="1"/>
    <xf numFmtId="0" fontId="0" fillId="0" borderId="32" xfId="0" applyBorder="1"/>
    <xf numFmtId="168" fontId="0" fillId="0" borderId="10" xfId="2" applyNumberFormat="1" applyFont="1" applyBorder="1"/>
    <xf numFmtId="0" fontId="0" fillId="0" borderId="57" xfId="0" applyBorder="1"/>
    <xf numFmtId="43" fontId="0" fillId="0" borderId="45" xfId="2" applyFont="1" applyBorder="1"/>
    <xf numFmtId="43" fontId="0" fillId="0" borderId="58" xfId="2" applyFont="1" applyBorder="1"/>
    <xf numFmtId="168" fontId="8" fillId="0" borderId="44" xfId="2" applyNumberFormat="1" applyFont="1" applyBorder="1" applyAlignment="1">
      <alignment horizontal="center" vertical="center" wrapText="1"/>
    </xf>
    <xf numFmtId="168" fontId="8" fillId="0" borderId="45" xfId="2" applyNumberFormat="1" applyFont="1" applyBorder="1"/>
    <xf numFmtId="168" fontId="8" fillId="0" borderId="58" xfId="2" applyNumberFormat="1" applyFont="1" applyBorder="1"/>
    <xf numFmtId="171" fontId="0" fillId="0" borderId="35" xfId="2" applyNumberFormat="1" applyFont="1" applyBorder="1" applyAlignment="1">
      <alignment horizontal="center" vertical="center" wrapText="1"/>
    </xf>
    <xf numFmtId="171" fontId="4" fillId="0" borderId="0" xfId="2" applyNumberFormat="1" applyFont="1" applyBorder="1"/>
    <xf numFmtId="168" fontId="9" fillId="6" borderId="23" xfId="0" applyNumberFormat="1" applyFont="1" applyFill="1" applyBorder="1"/>
    <xf numFmtId="168" fontId="0" fillId="3" borderId="14" xfId="2" applyNumberFormat="1" applyFont="1" applyFill="1" applyBorder="1"/>
    <xf numFmtId="0" fontId="0" fillId="3" borderId="60" xfId="0" applyFill="1" applyBorder="1"/>
    <xf numFmtId="0" fontId="0" fillId="3" borderId="15" xfId="0" applyFill="1" applyBorder="1"/>
    <xf numFmtId="0" fontId="0" fillId="3" borderId="61" xfId="0" applyFill="1" applyBorder="1"/>
    <xf numFmtId="0" fontId="0" fillId="3" borderId="62" xfId="0" applyFill="1" applyBorder="1"/>
    <xf numFmtId="168" fontId="0" fillId="3" borderId="48" xfId="2" applyNumberFormat="1" applyFont="1" applyFill="1" applyBorder="1"/>
    <xf numFmtId="0" fontId="11" fillId="11" borderId="58" xfId="0" applyFont="1" applyFill="1" applyBorder="1" applyAlignment="1">
      <alignment horizontal="center" vertical="center" shrinkToFit="1"/>
    </xf>
    <xf numFmtId="168" fontId="1" fillId="0" borderId="23" xfId="2" applyNumberFormat="1" applyFont="1" applyBorder="1"/>
    <xf numFmtId="170" fontId="1" fillId="3" borderId="7" xfId="0" applyNumberFormat="1" applyFont="1" applyFill="1" applyBorder="1"/>
    <xf numFmtId="0" fontId="0" fillId="0" borderId="6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10" xfId="0" applyBorder="1"/>
    <xf numFmtId="168" fontId="0" fillId="0" borderId="21" xfId="0" applyNumberFormat="1" applyBorder="1"/>
    <xf numFmtId="0" fontId="0" fillId="0" borderId="21" xfId="0" applyBorder="1"/>
    <xf numFmtId="0" fontId="0" fillId="3" borderId="50" xfId="0" applyFill="1" applyBorder="1"/>
    <xf numFmtId="167" fontId="0" fillId="3" borderId="5" xfId="0" applyNumberFormat="1" applyFill="1" applyBorder="1"/>
    <xf numFmtId="0" fontId="0" fillId="3" borderId="64" xfId="0" applyFill="1" applyBorder="1"/>
    <xf numFmtId="168" fontId="1" fillId="0" borderId="12" xfId="2" applyNumberFormat="1" applyFont="1" applyBorder="1" applyAlignment="1">
      <alignment horizontal="center" vertical="center" wrapText="1"/>
    </xf>
    <xf numFmtId="168" fontId="14" fillId="3" borderId="8" xfId="2" applyNumberFormat="1" applyFont="1" applyFill="1" applyBorder="1" applyProtection="1">
      <protection locked="0"/>
    </xf>
    <xf numFmtId="0" fontId="0" fillId="3" borderId="52" xfId="0" applyFill="1" applyBorder="1" applyAlignment="1">
      <alignment wrapText="1"/>
    </xf>
    <xf numFmtId="168" fontId="1" fillId="12" borderId="6" xfId="0" applyNumberFormat="1" applyFont="1" applyFill="1" applyBorder="1"/>
    <xf numFmtId="166" fontId="9" fillId="12" borderId="7" xfId="1" applyFont="1" applyFill="1" applyBorder="1"/>
    <xf numFmtId="168" fontId="0" fillId="3" borderId="23" xfId="2" applyNumberFormat="1" applyFont="1" applyFill="1" applyBorder="1"/>
    <xf numFmtId="167" fontId="0" fillId="0" borderId="0" xfId="0" applyNumberFormat="1" applyBorder="1"/>
    <xf numFmtId="171" fontId="0" fillId="0" borderId="41" xfId="2" applyNumberFormat="1" applyFont="1" applyBorder="1" applyAlignment="1">
      <alignment horizontal="center" vertical="center" wrapText="1"/>
    </xf>
    <xf numFmtId="171" fontId="0" fillId="0" borderId="25" xfId="2" applyNumberFormat="1" applyFont="1" applyBorder="1" applyAlignment="1">
      <alignment horizontal="center" vertical="center" wrapText="1"/>
    </xf>
    <xf numFmtId="171" fontId="0" fillId="0" borderId="22" xfId="2" applyNumberFormat="1" applyFont="1" applyBorder="1"/>
    <xf numFmtId="171" fontId="0" fillId="0" borderId="47" xfId="2" applyNumberFormat="1" applyFont="1" applyBorder="1"/>
    <xf numFmtId="168" fontId="1" fillId="12" borderId="6" xfId="2" applyNumberFormat="1" applyFont="1" applyFill="1" applyBorder="1"/>
    <xf numFmtId="170" fontId="1" fillId="12" borderId="7" xfId="0" applyNumberFormat="1" applyFont="1" applyFill="1" applyBorder="1"/>
    <xf numFmtId="168" fontId="1" fillId="12" borderId="31" xfId="2" applyNumberFormat="1" applyFont="1" applyFill="1" applyBorder="1"/>
    <xf numFmtId="170" fontId="1" fillId="12" borderId="33" xfId="2" applyNumberFormat="1" applyFont="1" applyFill="1" applyBorder="1"/>
    <xf numFmtId="43" fontId="5" fillId="0" borderId="0" xfId="2" applyFont="1" applyBorder="1"/>
    <xf numFmtId="169" fontId="0" fillId="0" borderId="55" xfId="2" applyNumberFormat="1" applyFont="1" applyBorder="1"/>
    <xf numFmtId="168" fontId="0" fillId="0" borderId="58" xfId="2" applyNumberFormat="1" applyFont="1" applyBorder="1"/>
    <xf numFmtId="164" fontId="4" fillId="0" borderId="0" xfId="1" applyNumberFormat="1" applyFont="1" applyBorder="1"/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2" fontId="13" fillId="0" borderId="8" xfId="0" applyNumberFormat="1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" fontId="4" fillId="0" borderId="8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1" fontId="0" fillId="0" borderId="8" xfId="0" applyNumberFormat="1" applyBorder="1" applyAlignment="1">
      <alignment horizontal="center"/>
    </xf>
    <xf numFmtId="9" fontId="8" fillId="0" borderId="0" xfId="5" applyFont="1"/>
    <xf numFmtId="9" fontId="0" fillId="0" borderId="0" xfId="0" applyNumberFormat="1"/>
    <xf numFmtId="0" fontId="7" fillId="0" borderId="65" xfId="4" quotePrefix="1" applyBorder="1"/>
    <xf numFmtId="168" fontId="1" fillId="5" borderId="6" xfId="0" applyNumberFormat="1" applyFont="1" applyFill="1" applyBorder="1"/>
    <xf numFmtId="0" fontId="0" fillId="5" borderId="28" xfId="0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57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168" fontId="0" fillId="0" borderId="8" xfId="2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168" fontId="2" fillId="0" borderId="8" xfId="2" applyNumberFormat="1" applyFont="1" applyBorder="1"/>
    <xf numFmtId="43" fontId="2" fillId="0" borderId="8" xfId="2" applyFont="1" applyBorder="1"/>
    <xf numFmtId="168" fontId="1" fillId="0" borderId="10" xfId="2" applyNumberFormat="1" applyFont="1" applyBorder="1"/>
    <xf numFmtId="43" fontId="0" fillId="3" borderId="49" xfId="0" applyNumberFormat="1" applyFill="1" applyBorder="1"/>
    <xf numFmtId="43" fontId="1" fillId="6" borderId="23" xfId="2" applyNumberFormat="1" applyFont="1" applyFill="1" applyBorder="1"/>
    <xf numFmtId="0" fontId="0" fillId="3" borderId="60" xfId="0" applyFill="1" applyBorder="1" applyAlignment="1">
      <alignment wrapText="1"/>
    </xf>
    <xf numFmtId="0" fontId="7" fillId="3" borderId="60" xfId="4" quotePrefix="1" applyFill="1" applyBorder="1" applyAlignment="1"/>
    <xf numFmtId="168" fontId="19" fillId="0" borderId="0" xfId="2" applyNumberFormat="1" applyFont="1" applyBorder="1"/>
    <xf numFmtId="0" fontId="17" fillId="3" borderId="0" xfId="0" applyFont="1" applyFill="1" applyBorder="1"/>
    <xf numFmtId="168" fontId="17" fillId="0" borderId="0" xfId="2" applyNumberFormat="1" applyFont="1"/>
    <xf numFmtId="0" fontId="17" fillId="0" borderId="0" xfId="0" applyFont="1"/>
    <xf numFmtId="43" fontId="18" fillId="0" borderId="0" xfId="2" applyFont="1"/>
    <xf numFmtId="168" fontId="18" fillId="0" borderId="0" xfId="2" applyNumberFormat="1" applyFont="1"/>
    <xf numFmtId="171" fontId="17" fillId="0" borderId="0" xfId="2" applyNumberFormat="1" applyFont="1"/>
    <xf numFmtId="170" fontId="17" fillId="0" borderId="0" xfId="0" applyNumberFormat="1" applyFont="1"/>
    <xf numFmtId="171" fontId="0" fillId="0" borderId="16" xfId="2" applyNumberFormat="1" applyFont="1" applyBorder="1"/>
    <xf numFmtId="171" fontId="0" fillId="0" borderId="14" xfId="2" applyNumberFormat="1" applyFont="1" applyBorder="1"/>
    <xf numFmtId="171" fontId="7" fillId="3" borderId="14" xfId="2" applyNumberFormat="1" applyFont="1" applyFill="1" applyBorder="1" applyAlignment="1">
      <alignment vertical="top" wrapText="1"/>
    </xf>
    <xf numFmtId="0" fontId="0" fillId="3" borderId="50" xfId="0" applyFill="1" applyBorder="1" applyAlignment="1">
      <alignment wrapText="1"/>
    </xf>
    <xf numFmtId="0" fontId="7" fillId="3" borderId="50" xfId="4" quotePrefix="1" applyFill="1" applyBorder="1" applyAlignment="1"/>
    <xf numFmtId="171" fontId="17" fillId="3" borderId="14" xfId="2" applyNumberFormat="1" applyFont="1" applyFill="1" applyBorder="1" applyAlignment="1">
      <alignment vertical="top" wrapText="1"/>
    </xf>
    <xf numFmtId="171" fontId="7" fillId="3" borderId="14" xfId="4" quotePrefix="1" applyNumberFormat="1" applyFill="1" applyBorder="1" applyAlignment="1">
      <alignment vertical="top"/>
    </xf>
    <xf numFmtId="0" fontId="7" fillId="3" borderId="14" xfId="4" applyFill="1" applyBorder="1" applyAlignment="1">
      <alignment vertical="top" wrapText="1"/>
    </xf>
    <xf numFmtId="0" fontId="7" fillId="0" borderId="33" xfId="4" quotePrefix="1" applyBorder="1"/>
    <xf numFmtId="43" fontId="0" fillId="3" borderId="67" xfId="2" applyFont="1" applyFill="1" applyBorder="1"/>
    <xf numFmtId="43" fontId="0" fillId="3" borderId="7" xfId="2" applyFont="1" applyFill="1" applyBorder="1"/>
    <xf numFmtId="43" fontId="0" fillId="3" borderId="46" xfId="2" applyFont="1" applyFill="1" applyBorder="1"/>
    <xf numFmtId="171" fontId="0" fillId="13" borderId="6" xfId="2" applyNumberFormat="1" applyFont="1" applyFill="1" applyBorder="1"/>
    <xf numFmtId="168" fontId="13" fillId="3" borderId="23" xfId="0" applyNumberFormat="1" applyFont="1" applyFill="1" applyBorder="1"/>
    <xf numFmtId="43" fontId="0" fillId="3" borderId="45" xfId="2" applyFont="1" applyFill="1" applyBorder="1"/>
    <xf numFmtId="43" fontId="0" fillId="3" borderId="58" xfId="2" applyFont="1" applyFill="1" applyBorder="1"/>
    <xf numFmtId="169" fontId="20" fillId="0" borderId="8" xfId="0" applyNumberFormat="1" applyFont="1" applyBorder="1"/>
    <xf numFmtId="37" fontId="20" fillId="0" borderId="8" xfId="0" applyNumberFormat="1" applyFont="1" applyBorder="1"/>
    <xf numFmtId="49" fontId="9" fillId="2" borderId="1" xfId="0" applyNumberFormat="1" applyFont="1" applyFill="1" applyBorder="1" applyAlignment="1">
      <alignment horizontal="left"/>
    </xf>
    <xf numFmtId="49" fontId="9" fillId="2" borderId="40" xfId="0" applyNumberFormat="1" applyFont="1" applyFill="1" applyBorder="1" applyAlignment="1">
      <alignment horizontal="left"/>
    </xf>
    <xf numFmtId="49" fontId="9" fillId="2" borderId="2" xfId="0" applyNumberFormat="1" applyFont="1" applyFill="1" applyBorder="1" applyAlignment="1">
      <alignment horizontal="left"/>
    </xf>
    <xf numFmtId="0" fontId="10" fillId="10" borderId="27" xfId="0" applyFont="1" applyFill="1" applyBorder="1" applyAlignment="1">
      <alignment horizontal="center" vertical="center" wrapText="1"/>
    </xf>
    <xf numFmtId="0" fontId="10" fillId="10" borderId="38" xfId="0" applyFont="1" applyFill="1" applyBorder="1" applyAlignment="1">
      <alignment horizontal="center" vertical="center" wrapText="1"/>
    </xf>
    <xf numFmtId="0" fontId="10" fillId="10" borderId="39" xfId="0" applyFont="1" applyFill="1" applyBorder="1" applyAlignment="1">
      <alignment horizontal="center" vertical="center" wrapText="1"/>
    </xf>
    <xf numFmtId="43" fontId="0" fillId="0" borderId="27" xfId="2" applyFont="1" applyBorder="1" applyAlignment="1">
      <alignment horizontal="center" vertical="center" wrapText="1"/>
    </xf>
    <xf numFmtId="43" fontId="0" fillId="0" borderId="38" xfId="2" applyFont="1" applyBorder="1" applyAlignment="1">
      <alignment horizontal="center" vertical="center" wrapText="1"/>
    </xf>
    <xf numFmtId="43" fontId="0" fillId="0" borderId="39" xfId="2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1" fillId="8" borderId="36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36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40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168" fontId="9" fillId="0" borderId="27" xfId="2" applyNumberFormat="1" applyFont="1" applyBorder="1" applyAlignment="1">
      <alignment horizontal="center" vertical="center" wrapText="1"/>
    </xf>
    <xf numFmtId="168" fontId="9" fillId="0" borderId="39" xfId="2" applyNumberFormat="1" applyFont="1" applyBorder="1" applyAlignment="1">
      <alignment horizontal="center" vertical="center" wrapText="1"/>
    </xf>
    <xf numFmtId="0" fontId="1" fillId="0" borderId="66" xfId="0" applyFont="1" applyBorder="1" applyAlignment="1">
      <alignment horizontal="center" vertical="center" wrapText="1"/>
    </xf>
    <xf numFmtId="0" fontId="1" fillId="0" borderId="65" xfId="0" applyFont="1" applyBorder="1" applyAlignment="1">
      <alignment horizontal="center" vertical="center" wrapText="1"/>
    </xf>
    <xf numFmtId="171" fontId="1" fillId="4" borderId="1" xfId="2" applyNumberFormat="1" applyFont="1" applyFill="1" applyBorder="1" applyAlignment="1">
      <alignment horizontal="center" vertical="center"/>
    </xf>
    <xf numFmtId="171" fontId="1" fillId="4" borderId="40" xfId="2" applyNumberFormat="1" applyFont="1" applyFill="1" applyBorder="1" applyAlignment="1">
      <alignment horizontal="center" vertical="center"/>
    </xf>
    <xf numFmtId="171" fontId="1" fillId="4" borderId="2" xfId="2" applyNumberFormat="1" applyFont="1" applyFill="1" applyBorder="1" applyAlignment="1">
      <alignment horizontal="center" vertical="center"/>
    </xf>
    <xf numFmtId="171" fontId="1" fillId="0" borderId="35" xfId="2" applyNumberFormat="1" applyFont="1" applyBorder="1" applyAlignment="1">
      <alignment horizontal="center" vertical="center" wrapText="1"/>
    </xf>
    <xf numFmtId="171" fontId="1" fillId="0" borderId="33" xfId="2" applyNumberFormat="1" applyFont="1" applyBorder="1" applyAlignment="1">
      <alignment horizontal="center" vertical="center" wrapText="1"/>
    </xf>
    <xf numFmtId="0" fontId="1" fillId="6" borderId="27" xfId="0" applyFont="1" applyFill="1" applyBorder="1" applyAlignment="1">
      <alignment horizontal="center" vertical="center" wrapText="1"/>
    </xf>
    <xf numFmtId="0" fontId="1" fillId="6" borderId="39" xfId="0" applyFont="1" applyFill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17" fontId="6" fillId="3" borderId="59" xfId="0" applyNumberFormat="1" applyFont="1" applyFill="1" applyBorder="1" applyAlignment="1">
      <alignment horizontal="center"/>
    </xf>
    <xf numFmtId="0" fontId="6" fillId="3" borderId="59" xfId="0" applyNumberFormat="1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0" fillId="10" borderId="8" xfId="0" applyFont="1" applyFill="1" applyBorder="1" applyAlignment="1">
      <alignment horizontal="center" vertical="center" wrapText="1"/>
    </xf>
  </cellXfs>
  <cellStyles count="11">
    <cellStyle name="Comma" xfId="2" builtinId="3"/>
    <cellStyle name="Comma [0] 2" xfId="8"/>
    <cellStyle name="Comma 10" xfId="3"/>
    <cellStyle name="Comma 2" xfId="6"/>
    <cellStyle name="Comma 3" xfId="10"/>
    <cellStyle name="Currency" xfId="1" builtinId="4"/>
    <cellStyle name="Hyperlink" xfId="4" builtinId="8"/>
    <cellStyle name="Hyperlink 2" xfId="7"/>
    <cellStyle name="Normal" xfId="0" builtinId="0"/>
    <cellStyle name="Normal 2" xfId="9"/>
    <cellStyle name="Percent" xfId="5" builtinId="5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159668</xdr:colOff>
      <xdr:row>4</xdr:row>
      <xdr:rowOff>138265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368" y="76814"/>
          <a:ext cx="1306355" cy="8615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Z32"/>
  <sheetViews>
    <sheetView workbookViewId="0">
      <selection activeCell="D3" sqref="D3:D32"/>
    </sheetView>
  </sheetViews>
  <sheetFormatPr defaultColWidth="11.5703125" defaultRowHeight="15" x14ac:dyDescent="0.25"/>
  <cols>
    <col min="1" max="1" width="18.42578125" style="164" customWidth="1"/>
    <col min="2" max="2" width="11.5703125" style="165"/>
    <col min="3" max="3" width="11.5703125" style="166"/>
    <col min="4" max="4" width="13.42578125" style="165" customWidth="1"/>
    <col min="5" max="5" width="12.5703125" style="163" customWidth="1"/>
    <col min="6" max="6" width="12.5703125" style="167" customWidth="1"/>
    <col min="7" max="7" width="11.5703125" style="163"/>
    <col min="8" max="8" width="11.5703125" style="167"/>
    <col min="9" max="9" width="11.5703125" style="168"/>
    <col min="10" max="10" width="11.5703125" style="169"/>
    <col min="11" max="11" width="11.5703125" style="163"/>
    <col min="12" max="12" width="11.5703125" style="169"/>
    <col min="13" max="26" width="11.5703125" style="163"/>
  </cols>
  <sheetData>
    <row r="1" spans="1:15" s="157" customFormat="1" ht="43.15" x14ac:dyDescent="0.3">
      <c r="A1" s="153" t="s">
        <v>37</v>
      </c>
      <c r="B1" s="153" t="s">
        <v>38</v>
      </c>
      <c r="C1" s="154" t="s">
        <v>39</v>
      </c>
      <c r="D1" s="153" t="s">
        <v>40</v>
      </c>
      <c r="E1" s="152" t="s">
        <v>41</v>
      </c>
      <c r="F1" s="155" t="s">
        <v>42</v>
      </c>
      <c r="G1" s="152" t="s">
        <v>47</v>
      </c>
      <c r="H1" s="155" t="s">
        <v>48</v>
      </c>
      <c r="I1" s="171" t="s">
        <v>50</v>
      </c>
      <c r="J1" s="155" t="s">
        <v>51</v>
      </c>
      <c r="K1" s="152" t="s">
        <v>43</v>
      </c>
      <c r="L1" s="156" t="s">
        <v>44</v>
      </c>
      <c r="M1" s="152" t="s">
        <v>45</v>
      </c>
      <c r="N1" s="152" t="s">
        <v>3</v>
      </c>
    </row>
    <row r="2" spans="1:15" ht="14.45" x14ac:dyDescent="0.3">
      <c r="A2" s="158" t="s">
        <v>49</v>
      </c>
      <c r="B2" s="159">
        <v>1</v>
      </c>
      <c r="C2" s="160">
        <v>8</v>
      </c>
      <c r="D2" s="159">
        <v>2019</v>
      </c>
      <c r="E2" s="161">
        <f>'FS Jimbaran August 2019'!P12</f>
        <v>22320.000000000844</v>
      </c>
      <c r="F2" s="170">
        <f>'FS Jimbaran August 2019'!O12/'FS Jimbaran August 2019'!P12</f>
        <v>1127.1996505376269</v>
      </c>
      <c r="G2" s="161">
        <f>'FS Jimbaran August 2019'!AG12</f>
        <v>544.49148000001401</v>
      </c>
      <c r="H2" s="170">
        <f>'FS Jimbaran August 2019'!AH12/'FS Jimbaran August 2019'!AG12</f>
        <v>10311.513910649224</v>
      </c>
      <c r="I2" s="161">
        <f>'FS Jimbaran August 2019'!AJ12</f>
        <v>776.15000000000146</v>
      </c>
      <c r="J2" s="162">
        <f>'FS Jimbaran August 2019'!AK12/'FS Jimbaran August 2019'!AJ12</f>
        <v>10300</v>
      </c>
      <c r="K2" s="161">
        <f>'FS Jimbaran August 2019'!V12</f>
        <v>524.21</v>
      </c>
      <c r="L2" s="170">
        <f>'FS Jimbaran August 2019'!AA12/'FS Jimbaran August 2019'!V12</f>
        <v>5992.8862818336156</v>
      </c>
      <c r="M2" s="161">
        <f>+'RNs &amp; Covers August 2019'!B6</f>
        <v>67</v>
      </c>
      <c r="N2" s="172">
        <f>+'RNs &amp; Covers August 2019'!C6</f>
        <v>570</v>
      </c>
    </row>
    <row r="3" spans="1:15" ht="14.45" x14ac:dyDescent="0.3">
      <c r="A3" s="158" t="s">
        <v>49</v>
      </c>
      <c r="B3" s="159">
        <f>B2+1</f>
        <v>2</v>
      </c>
      <c r="C3" s="160">
        <v>8</v>
      </c>
      <c r="D3" s="159">
        <v>2019</v>
      </c>
      <c r="E3" s="172">
        <f>'FS Jimbaran August 2019'!P13</f>
        <v>22480.000000000247</v>
      </c>
      <c r="F3" s="170">
        <f>'FS Jimbaran August 2019'!O13/'FS Jimbaran August 2019'!P13</f>
        <v>1127.4704893238479</v>
      </c>
      <c r="G3" s="172">
        <f>'FS Jimbaran August 2019'!AG13</f>
        <v>140.37580000002342</v>
      </c>
      <c r="H3" s="170">
        <f>'FS Jimbaran August 2019'!AH13/'FS Jimbaran August 2019'!AG13</f>
        <v>9143.75</v>
      </c>
      <c r="I3" s="172">
        <f>'FS Jimbaran August 2019'!AJ13</f>
        <v>604.4800000000032</v>
      </c>
      <c r="J3" s="162">
        <f>'FS Jimbaran August 2019'!AK13/'FS Jimbaran August 2019'!AJ13</f>
        <v>10300</v>
      </c>
      <c r="K3" s="172">
        <f>'FS Jimbaran August 2019'!V13</f>
        <v>470.81</v>
      </c>
      <c r="L3" s="170">
        <f>'FS Jimbaran August 2019'!AA13/'FS Jimbaran August 2019'!V13</f>
        <v>6113.276483931947</v>
      </c>
      <c r="M3" s="172">
        <f>+'RNs &amp; Covers August 2019'!B7</f>
        <v>88</v>
      </c>
      <c r="N3" s="172">
        <f>+'RNs &amp; Covers August 2019'!C7</f>
        <v>711</v>
      </c>
    </row>
    <row r="4" spans="1:15" ht="14.45" x14ac:dyDescent="0.3">
      <c r="A4" s="158" t="s">
        <v>49</v>
      </c>
      <c r="B4" s="159">
        <f t="shared" ref="B4:B32" si="0">B3+1</f>
        <v>3</v>
      </c>
      <c r="C4" s="160">
        <v>8</v>
      </c>
      <c r="D4" s="159">
        <v>2019</v>
      </c>
      <c r="E4" s="172">
        <f>'FS Jimbaran August 2019'!P14</f>
        <v>22700.000000000044</v>
      </c>
      <c r="F4" s="170">
        <f>'FS Jimbaran August 2019'!O14/'FS Jimbaran August 2019'!P14</f>
        <v>1124.7566960352392</v>
      </c>
      <c r="G4" s="172">
        <f>'FS Jimbaran August 2019'!AG14</f>
        <v>137.35135999998124</v>
      </c>
      <c r="H4" s="170">
        <f>'FS Jimbaran August 2019'!AH14/'FS Jimbaran August 2019'!AG14</f>
        <v>9360.5297974479745</v>
      </c>
      <c r="I4" s="172">
        <f>'FS Jimbaran August 2019'!AJ14</f>
        <v>522.39999999999418</v>
      </c>
      <c r="J4" s="162">
        <f>'FS Jimbaran August 2019'!AK14/'FS Jimbaran August 2019'!AJ14</f>
        <v>10300</v>
      </c>
      <c r="K4" s="172">
        <f>'FS Jimbaran August 2019'!V14</f>
        <v>498.40000000000003</v>
      </c>
      <c r="L4" s="170">
        <f>'FS Jimbaran August 2019'!AA14/'FS Jimbaran August 2019'!V14</f>
        <v>5960.8449999999993</v>
      </c>
      <c r="M4" s="172">
        <f>+'RNs &amp; Covers August 2019'!B8</f>
        <v>82</v>
      </c>
      <c r="N4" s="172">
        <f>+'RNs &amp; Covers August 2019'!C8</f>
        <v>683</v>
      </c>
    </row>
    <row r="5" spans="1:15" ht="14.45" x14ac:dyDescent="0.3">
      <c r="A5" s="158" t="s">
        <v>49</v>
      </c>
      <c r="B5" s="159">
        <f t="shared" si="0"/>
        <v>4</v>
      </c>
      <c r="C5" s="160">
        <v>8</v>
      </c>
      <c r="D5" s="159">
        <v>2019</v>
      </c>
      <c r="E5" s="172">
        <f>'FS Jimbaran August 2019'!P15</f>
        <v>21259.999999999309</v>
      </c>
      <c r="F5" s="170">
        <f>'FS Jimbaran August 2019'!O15/'FS Jimbaran August 2019'!P15</f>
        <v>1123.9625870178741</v>
      </c>
      <c r="G5" s="172">
        <f>'FS Jimbaran August 2019'!AG15</f>
        <v>0</v>
      </c>
      <c r="H5" s="170" t="e">
        <f>'FS Jimbaran August 2019'!AH15/'FS Jimbaran August 2019'!AG15</f>
        <v>#DIV/0!</v>
      </c>
      <c r="I5" s="172">
        <f>'FS Jimbaran August 2019'!AJ15</f>
        <v>591.89999999999418</v>
      </c>
      <c r="J5" s="162">
        <f>'FS Jimbaran August 2019'!AK15/'FS Jimbaran August 2019'!AJ15</f>
        <v>10300</v>
      </c>
      <c r="K5" s="172">
        <f>'FS Jimbaran August 2019'!V15</f>
        <v>496.62</v>
      </c>
      <c r="L5" s="170">
        <f>'FS Jimbaran August 2019'!AA15/'FS Jimbaran August 2019'!V15</f>
        <v>6016.1890322580639</v>
      </c>
      <c r="M5" s="172">
        <f>+'RNs &amp; Covers August 2019'!B9</f>
        <v>85</v>
      </c>
      <c r="N5" s="172">
        <f>+'RNs &amp; Covers August 2019'!C9</f>
        <v>742</v>
      </c>
    </row>
    <row r="6" spans="1:15" ht="14.45" x14ac:dyDescent="0.3">
      <c r="A6" s="158" t="s">
        <v>49</v>
      </c>
      <c r="B6" s="159">
        <f t="shared" si="0"/>
        <v>5</v>
      </c>
      <c r="C6" s="160">
        <v>8</v>
      </c>
      <c r="D6" s="159">
        <v>2019</v>
      </c>
      <c r="E6" s="172">
        <f>'FS Jimbaran August 2019'!P16</f>
        <v>20740.000000000007</v>
      </c>
      <c r="F6" s="170">
        <f>'FS Jimbaran August 2019'!O16/'FS Jimbaran August 2019'!P16</f>
        <v>1128.1711764705894</v>
      </c>
      <c r="G6" s="172">
        <f>'FS Jimbaran August 2019'!AG16</f>
        <v>236.68059999998826</v>
      </c>
      <c r="H6" s="170">
        <f>'FS Jimbaran August 2019'!AH16/'FS Jimbaran August 2019'!AG16</f>
        <v>10048.714327452317</v>
      </c>
      <c r="I6" s="172">
        <f>'FS Jimbaran August 2019'!AJ16</f>
        <v>526</v>
      </c>
      <c r="J6" s="162">
        <f>'FS Jimbaran August 2019'!AK16/'FS Jimbaran August 2019'!AJ16</f>
        <v>10300</v>
      </c>
      <c r="K6" s="172">
        <f>'FS Jimbaran August 2019'!V16</f>
        <v>464.58000000000004</v>
      </c>
      <c r="L6" s="170">
        <f>'FS Jimbaran August 2019'!AA16/'FS Jimbaran August 2019'!V16</f>
        <v>5612.45325670498</v>
      </c>
      <c r="M6" s="172">
        <f>+'RNs &amp; Covers August 2019'!B10</f>
        <v>89</v>
      </c>
      <c r="N6" s="172">
        <f>+'RNs &amp; Covers August 2019'!C10</f>
        <v>672</v>
      </c>
    </row>
    <row r="7" spans="1:15" ht="14.45" x14ac:dyDescent="0.3">
      <c r="A7" s="158" t="s">
        <v>49</v>
      </c>
      <c r="B7" s="159">
        <f t="shared" si="0"/>
        <v>6</v>
      </c>
      <c r="C7" s="160">
        <v>8</v>
      </c>
      <c r="D7" s="159">
        <v>2019</v>
      </c>
      <c r="E7" s="172">
        <f>'FS Jimbaran August 2019'!P17</f>
        <v>21099.999999999909</v>
      </c>
      <c r="F7" s="170">
        <f>'FS Jimbaran August 2019'!O17/'FS Jimbaran August 2019'!P17</f>
        <v>1127.5766161137503</v>
      </c>
      <c r="G7" s="172">
        <f>'FS Jimbaran August 2019'!AG17</f>
        <v>437.75760000004686</v>
      </c>
      <c r="H7" s="170">
        <f>'FS Jimbaran August 2019'!AH17/'FS Jimbaran August 2019'!AG17</f>
        <v>10038.937199491129</v>
      </c>
      <c r="I7" s="172">
        <f>'FS Jimbaran August 2019'!AJ17</f>
        <v>550.36000000000581</v>
      </c>
      <c r="J7" s="162">
        <f>'FS Jimbaran August 2019'!AK17/'FS Jimbaran August 2019'!AJ17</f>
        <v>10300</v>
      </c>
      <c r="K7" s="172">
        <f>'FS Jimbaran August 2019'!V17</f>
        <v>495.73</v>
      </c>
      <c r="L7" s="170">
        <f>'FS Jimbaran August 2019'!AA17/'FS Jimbaran August 2019'!V17</f>
        <v>5699.028976660682</v>
      </c>
      <c r="M7" s="172">
        <f>+'RNs &amp; Covers August 2019'!B11</f>
        <v>93</v>
      </c>
      <c r="N7" s="172">
        <f>+'RNs &amp; Covers August 2019'!C11</f>
        <v>704</v>
      </c>
    </row>
    <row r="8" spans="1:15" ht="14.45" x14ac:dyDescent="0.3">
      <c r="A8" s="158" t="s">
        <v>49</v>
      </c>
      <c r="B8" s="159">
        <f t="shared" si="0"/>
        <v>7</v>
      </c>
      <c r="C8" s="160">
        <v>8</v>
      </c>
      <c r="D8" s="159">
        <v>2019</v>
      </c>
      <c r="E8" s="172">
        <f>'FS Jimbaran August 2019'!P18</f>
        <v>21500</v>
      </c>
      <c r="F8" s="170">
        <f>'FS Jimbaran August 2019'!O18/'FS Jimbaran August 2019'!P18</f>
        <v>1127.7958046511558</v>
      </c>
      <c r="G8" s="172">
        <f>'FS Jimbaran August 2019'!AG18</f>
        <v>186.04299999999998</v>
      </c>
      <c r="H8" s="170">
        <f>'FS Jimbaran August 2019'!AH18/'FS Jimbaran August 2019'!AG18</f>
        <v>9623.8809374714456</v>
      </c>
      <c r="I8" s="172">
        <f>'FS Jimbaran August 2019'!AJ18</f>
        <v>422.95999999999913</v>
      </c>
      <c r="J8" s="162">
        <f>'FS Jimbaran August 2019'!AK18/'FS Jimbaran August 2019'!AJ18</f>
        <v>10300</v>
      </c>
      <c r="K8" s="172">
        <f>'FS Jimbaran August 2019'!V18</f>
        <v>539.34</v>
      </c>
      <c r="L8" s="170">
        <f>'FS Jimbaran August 2019'!AA18/'FS Jimbaran August 2019'!V18</f>
        <v>5604.1225742574261</v>
      </c>
      <c r="M8" s="172">
        <f>+'RNs &amp; Covers August 2019'!B12</f>
        <v>103</v>
      </c>
      <c r="N8" s="172">
        <f>+'RNs &amp; Covers August 2019'!C12</f>
        <v>793</v>
      </c>
    </row>
    <row r="9" spans="1:15" ht="14.45" x14ac:dyDescent="0.3">
      <c r="A9" s="158" t="s">
        <v>49</v>
      </c>
      <c r="B9" s="159">
        <f t="shared" si="0"/>
        <v>8</v>
      </c>
      <c r="C9" s="160">
        <v>8</v>
      </c>
      <c r="D9" s="159">
        <v>2019</v>
      </c>
      <c r="E9" s="172">
        <f>'FS Jimbaran August 2019'!P19</f>
        <v>21820.000000000618</v>
      </c>
      <c r="F9" s="170">
        <f>'FS Jimbaran August 2019'!O19/'FS Jimbaran August 2019'!P19</f>
        <v>1125.9716590284158</v>
      </c>
      <c r="G9" s="172">
        <f>'FS Jimbaran August 2019'!AG19</f>
        <v>146.29695999996952</v>
      </c>
      <c r="H9" s="170">
        <f>'FS Jimbaran August 2019'!AH19/'FS Jimbaran August 2019'!AG19</f>
        <v>9143.75</v>
      </c>
      <c r="I9" s="172">
        <f>'FS Jimbaran August 2019'!AJ19</f>
        <v>666.89000000000669</v>
      </c>
      <c r="J9" s="162">
        <f>'FS Jimbaran August 2019'!AK19/'FS Jimbaran August 2019'!AJ19</f>
        <v>10300</v>
      </c>
      <c r="K9" s="172">
        <f>'FS Jimbaran August 2019'!V19</f>
        <v>498.40000000000003</v>
      </c>
      <c r="L9" s="170">
        <f>'FS Jimbaran August 2019'!AA19/'FS Jimbaran August 2019'!V19</f>
        <v>4833.4080000000004</v>
      </c>
      <c r="M9" s="172">
        <f>+'RNs &amp; Covers August 2019'!B13</f>
        <v>120</v>
      </c>
      <c r="N9" s="172">
        <f>+'RNs &amp; Covers August 2019'!C13</f>
        <v>856</v>
      </c>
      <c r="O9" s="163" t="s">
        <v>46</v>
      </c>
    </row>
    <row r="10" spans="1:15" ht="14.45" x14ac:dyDescent="0.3">
      <c r="A10" s="158" t="s">
        <v>49</v>
      </c>
      <c r="B10" s="159">
        <f t="shared" si="0"/>
        <v>9</v>
      </c>
      <c r="C10" s="160">
        <v>8</v>
      </c>
      <c r="D10" s="159">
        <v>2019</v>
      </c>
      <c r="E10" s="172">
        <f>'FS Jimbaran August 2019'!P20</f>
        <v>22179.999999999382</v>
      </c>
      <c r="F10" s="170">
        <f>'FS Jimbaran August 2019'!O20/'FS Jimbaran August 2019'!P20</f>
        <v>1127.3097024346303</v>
      </c>
      <c r="G10" s="172">
        <f>'FS Jimbaran August 2019'!AG20</f>
        <v>155.23567999999059</v>
      </c>
      <c r="H10" s="170">
        <f>'FS Jimbaran August 2019'!AH20/'FS Jimbaran August 2019'!AG20</f>
        <v>9335.5551313976375</v>
      </c>
      <c r="I10" s="172">
        <f>'FS Jimbaran August 2019'!AJ20</f>
        <v>545.60999999998671</v>
      </c>
      <c r="J10" s="162">
        <f>'FS Jimbaran August 2019'!AK20/'FS Jimbaran August 2019'!AJ20</f>
        <v>10300</v>
      </c>
      <c r="K10" s="172">
        <f>'FS Jimbaran August 2019'!V20</f>
        <v>432.54</v>
      </c>
      <c r="L10" s="170">
        <f>'FS Jimbaran August 2019'!AA20/'FS Jimbaran August 2019'!V20</f>
        <v>4668.800987654321</v>
      </c>
      <c r="M10" s="172">
        <f>+'RNs &amp; Covers August 2019'!B14</f>
        <v>123</v>
      </c>
      <c r="N10" s="172">
        <f>+'RNs &amp; Covers August 2019'!C14</f>
        <v>990</v>
      </c>
    </row>
    <row r="11" spans="1:15" ht="14.45" x14ac:dyDescent="0.3">
      <c r="A11" s="158" t="s">
        <v>49</v>
      </c>
      <c r="B11" s="159">
        <f t="shared" si="0"/>
        <v>10</v>
      </c>
      <c r="C11" s="160">
        <v>8</v>
      </c>
      <c r="D11" s="159">
        <v>2019</v>
      </c>
      <c r="E11" s="172">
        <f>'FS Jimbaran August 2019'!P21</f>
        <v>22400.000000000091</v>
      </c>
      <c r="F11" s="170">
        <f>'FS Jimbaran August 2019'!O21/'FS Jimbaran August 2019'!P21</f>
        <v>1127.7979553571431</v>
      </c>
      <c r="G11" s="172">
        <f>'FS Jimbaran August 2019'!AG21</f>
        <v>342.06756000001639</v>
      </c>
      <c r="H11" s="170">
        <f>'FS Jimbaran August 2019'!AH21/'FS Jimbaran August 2019'!AG21</f>
        <v>9907.4880171331861</v>
      </c>
      <c r="I11" s="172">
        <f>'FS Jimbaran August 2019'!AJ21</f>
        <v>506.68000000000029</v>
      </c>
      <c r="J11" s="162">
        <f>'FS Jimbaran August 2019'!AK21/'FS Jimbaran August 2019'!AJ21</f>
        <v>10300</v>
      </c>
      <c r="K11" s="172">
        <f>'FS Jimbaran August 2019'!V21</f>
        <v>549.13</v>
      </c>
      <c r="L11" s="170">
        <f>'FS Jimbaran August 2019'!AA21/'FS Jimbaran August 2019'!V21</f>
        <v>4690.0850243111836</v>
      </c>
      <c r="M11" s="172">
        <f>+'RNs &amp; Covers August 2019'!B15</f>
        <v>127</v>
      </c>
      <c r="N11" s="172">
        <f>+'RNs &amp; Covers August 2019'!C15</f>
        <v>895</v>
      </c>
    </row>
    <row r="12" spans="1:15" ht="14.45" x14ac:dyDescent="0.3">
      <c r="A12" s="158" t="s">
        <v>49</v>
      </c>
      <c r="B12" s="159">
        <f t="shared" si="0"/>
        <v>11</v>
      </c>
      <c r="C12" s="160">
        <v>8</v>
      </c>
      <c r="D12" s="159">
        <v>2019</v>
      </c>
      <c r="E12" s="172">
        <f>'FS Jimbaran August 2019'!P22</f>
        <v>21799.999999999956</v>
      </c>
      <c r="F12" s="170">
        <f>'FS Jimbaran August 2019'!O22/'FS Jimbaran August 2019'!P22</f>
        <v>1129.8554311926562</v>
      </c>
      <c r="G12" s="172">
        <f>'FS Jimbaran August 2019'!AG22</f>
        <v>134.1324000000117</v>
      </c>
      <c r="H12" s="170">
        <f>'FS Jimbaran August 2019'!AH22/'FS Jimbaran August 2019'!AG22</f>
        <v>9143.75</v>
      </c>
      <c r="I12" s="172">
        <f>'FS Jimbaran August 2019'!AJ22</f>
        <v>612.29999999999563</v>
      </c>
      <c r="J12" s="162">
        <f>'FS Jimbaran August 2019'!AK22/'FS Jimbaran August 2019'!AJ22</f>
        <v>10300</v>
      </c>
      <c r="K12" s="172">
        <f>'FS Jimbaran August 2019'!V22</f>
        <v>486.83</v>
      </c>
      <c r="L12" s="170">
        <f>'FS Jimbaran August 2019'!AA22/'FS Jimbaran August 2019'!V22</f>
        <v>4245.18</v>
      </c>
      <c r="M12" s="172">
        <f>+'RNs &amp; Covers August 2019'!B16</f>
        <v>126</v>
      </c>
      <c r="N12" s="172">
        <f>+'RNs &amp; Covers August 2019'!C16</f>
        <v>1001</v>
      </c>
    </row>
    <row r="13" spans="1:15" ht="14.45" x14ac:dyDescent="0.3">
      <c r="A13" s="158" t="s">
        <v>49</v>
      </c>
      <c r="B13" s="159">
        <f t="shared" si="0"/>
        <v>12</v>
      </c>
      <c r="C13" s="160">
        <v>8</v>
      </c>
      <c r="D13" s="159">
        <v>2019</v>
      </c>
      <c r="E13" s="172">
        <f>'FS Jimbaran August 2019'!P23</f>
        <v>23660.00000000008</v>
      </c>
      <c r="F13" s="170">
        <f>'FS Jimbaran August 2019'!O23/'FS Jimbaran August 2019'!P23</f>
        <v>1130.3397971259492</v>
      </c>
      <c r="G13" s="172">
        <f>'FS Jimbaran August 2019'!AG23</f>
        <v>148.952</v>
      </c>
      <c r="H13" s="170">
        <f>'FS Jimbaran August 2019'!AH23/'FS Jimbaran August 2019'!AG23</f>
        <v>9343.6466109887751</v>
      </c>
      <c r="I13" s="172">
        <f>'FS Jimbaran August 2019'!AJ23</f>
        <v>504.40000000000146</v>
      </c>
      <c r="J13" s="162">
        <f>'FS Jimbaran August 2019'!AK23/'FS Jimbaran August 2019'!AJ23</f>
        <v>10300</v>
      </c>
      <c r="K13" s="172">
        <f>'FS Jimbaran August 2019'!V23</f>
        <v>476.15000000000003</v>
      </c>
      <c r="L13" s="170">
        <f>'FS Jimbaran August 2019'!AA23/'FS Jimbaran August 2019'!V23</f>
        <v>4322.1444112149538</v>
      </c>
      <c r="M13" s="172">
        <f>+'RNs &amp; Covers August 2019'!B17</f>
        <v>130</v>
      </c>
      <c r="N13" s="172">
        <f>+'RNs &amp; Covers August 2019'!C17</f>
        <v>870</v>
      </c>
    </row>
    <row r="14" spans="1:15" ht="14.45" x14ac:dyDescent="0.3">
      <c r="A14" s="158" t="s">
        <v>49</v>
      </c>
      <c r="B14" s="159">
        <f t="shared" si="0"/>
        <v>13</v>
      </c>
      <c r="C14" s="160">
        <v>8</v>
      </c>
      <c r="D14" s="159">
        <v>2019</v>
      </c>
      <c r="E14" s="172">
        <f>'FS Jimbaran August 2019'!P24</f>
        <v>22320.000000001073</v>
      </c>
      <c r="F14" s="170">
        <f>'FS Jimbaran August 2019'!O24/'FS Jimbaran August 2019'!P24</f>
        <v>1126.2715322580623</v>
      </c>
      <c r="G14" s="172">
        <f>'FS Jimbaran August 2019'!AG24</f>
        <v>510.79087999996716</v>
      </c>
      <c r="H14" s="170">
        <f>'FS Jimbaran August 2019'!AH24/'FS Jimbaran August 2019'!AG24</f>
        <v>10155.391985463861</v>
      </c>
      <c r="I14" s="172">
        <f>'FS Jimbaran August 2019'!AJ24</f>
        <v>540.59999999999854</v>
      </c>
      <c r="J14" s="162">
        <f>'FS Jimbaran August 2019'!AK24/'FS Jimbaran August 2019'!AJ24</f>
        <v>10300</v>
      </c>
      <c r="K14" s="172">
        <f>'FS Jimbaran August 2019'!V24</f>
        <v>431.65000000000003</v>
      </c>
      <c r="L14" s="170">
        <f>'FS Jimbaran August 2019'!AA24/'FS Jimbaran August 2019'!V24</f>
        <v>4245.18</v>
      </c>
      <c r="M14" s="172">
        <f>+'RNs &amp; Covers August 2019'!B18</f>
        <v>120</v>
      </c>
      <c r="N14" s="172">
        <f>+'RNs &amp; Covers August 2019'!C18</f>
        <v>687</v>
      </c>
    </row>
    <row r="15" spans="1:15" ht="14.45" x14ac:dyDescent="0.3">
      <c r="A15" s="158" t="s">
        <v>49</v>
      </c>
      <c r="B15" s="159">
        <f t="shared" si="0"/>
        <v>14</v>
      </c>
      <c r="C15" s="160">
        <v>8</v>
      </c>
      <c r="D15" s="159">
        <v>2019</v>
      </c>
      <c r="E15" s="172">
        <f>'FS Jimbaran August 2019'!P25</f>
        <v>22519.999999998392</v>
      </c>
      <c r="F15" s="170">
        <f>'FS Jimbaran August 2019'!O25/'FS Jimbaran August 2019'!P25</f>
        <v>1128.2275044405087</v>
      </c>
      <c r="G15" s="172">
        <f>'FS Jimbaran August 2019'!AG25</f>
        <v>151.61391999999765</v>
      </c>
      <c r="H15" s="170">
        <f>'FS Jimbaran August 2019'!AH25/'FS Jimbaran August 2019'!AG25</f>
        <v>9143.75</v>
      </c>
      <c r="I15" s="172">
        <f>'FS Jimbaran August 2019'!AJ25</f>
        <v>448.20000000000437</v>
      </c>
      <c r="J15" s="162">
        <f>'FS Jimbaran August 2019'!AK25/'FS Jimbaran August 2019'!AJ25</f>
        <v>10300</v>
      </c>
      <c r="K15" s="172">
        <f>'FS Jimbaran August 2019'!V25</f>
        <v>420.97</v>
      </c>
      <c r="L15" s="170">
        <f>'FS Jimbaran August 2019'!AA25/'FS Jimbaran August 2019'!V25</f>
        <v>4245.18</v>
      </c>
      <c r="M15" s="172">
        <f>+'RNs &amp; Covers August 2019'!B19</f>
        <v>115</v>
      </c>
      <c r="N15" s="172">
        <f>+'RNs &amp; Covers August 2019'!C19</f>
        <v>843</v>
      </c>
    </row>
    <row r="16" spans="1:15" ht="14.45" x14ac:dyDescent="0.3">
      <c r="A16" s="158" t="s">
        <v>49</v>
      </c>
      <c r="B16" s="159">
        <f t="shared" si="0"/>
        <v>15</v>
      </c>
      <c r="C16" s="160">
        <v>8</v>
      </c>
      <c r="D16" s="159">
        <v>2019</v>
      </c>
      <c r="E16" s="172">
        <f>'FS Jimbaran August 2019'!P26</f>
        <v>22960.00000000072</v>
      </c>
      <c r="F16" s="170">
        <f>'FS Jimbaran August 2019'!O26/'FS Jimbaran August 2019'!P26</f>
        <v>1126.00473867595</v>
      </c>
      <c r="G16" s="172">
        <f>'FS Jimbaran August 2019'!AG26</f>
        <v>262.7277600000516</v>
      </c>
      <c r="H16" s="170">
        <f>'FS Jimbaran August 2019'!AH26/'FS Jimbaran August 2019'!AG26</f>
        <v>9754.267898831733</v>
      </c>
      <c r="I16" s="172">
        <f>'FS Jimbaran August 2019'!AJ26</f>
        <v>795.68000000000029</v>
      </c>
      <c r="J16" s="162">
        <f>'FS Jimbaran August 2019'!AK26/'FS Jimbaran August 2019'!AJ26</f>
        <v>10300</v>
      </c>
      <c r="K16" s="172">
        <f>'FS Jimbaran August 2019'!V26</f>
        <v>534</v>
      </c>
      <c r="L16" s="170">
        <f>'FS Jimbaran August 2019'!AA26/'FS Jimbaran August 2019'!V26</f>
        <v>4245.18</v>
      </c>
      <c r="M16" s="172">
        <f>+'RNs &amp; Covers August 2019'!B20</f>
        <v>112</v>
      </c>
      <c r="N16" s="172">
        <f>+'RNs &amp; Covers August 2019'!C20</f>
        <v>907</v>
      </c>
    </row>
    <row r="17" spans="1:14" ht="14.45" x14ac:dyDescent="0.3">
      <c r="A17" s="158" t="s">
        <v>49</v>
      </c>
      <c r="B17" s="159">
        <f t="shared" si="0"/>
        <v>16</v>
      </c>
      <c r="C17" s="160">
        <v>8</v>
      </c>
      <c r="D17" s="159">
        <v>2019</v>
      </c>
      <c r="E17" s="172">
        <f>'FS Jimbaran August 2019'!P27</f>
        <v>23199.999999999818</v>
      </c>
      <c r="F17" s="170">
        <f>'FS Jimbaran August 2019'!O27/'FS Jimbaran August 2019'!P27</f>
        <v>1124.1784655172428</v>
      </c>
      <c r="G17" s="172">
        <f>'FS Jimbaran August 2019'!AG27</f>
        <v>166.1918399999953</v>
      </c>
      <c r="H17" s="170">
        <f>'FS Jimbaran August 2019'!AH27/'FS Jimbaran August 2019'!AG27</f>
        <v>9322.9104208726549</v>
      </c>
      <c r="I17" s="172">
        <f>'FS Jimbaran August 2019'!AJ27</f>
        <v>611.0199999999968</v>
      </c>
      <c r="J17" s="162">
        <f>'FS Jimbaran August 2019'!AK27/'FS Jimbaran August 2019'!AJ27</f>
        <v>10300</v>
      </c>
      <c r="K17" s="172">
        <f>'FS Jimbaran August 2019'!V27</f>
        <v>525.99</v>
      </c>
      <c r="L17" s="170">
        <f>'FS Jimbaran August 2019'!AA27/'FS Jimbaran August 2019'!V27</f>
        <v>5267.031235194585</v>
      </c>
      <c r="M17" s="172">
        <f>+'RNs &amp; Covers August 2019'!B21</f>
        <v>115</v>
      </c>
      <c r="N17" s="172">
        <f>+'RNs &amp; Covers August 2019'!C21</f>
        <v>888</v>
      </c>
    </row>
    <row r="18" spans="1:14" ht="14.45" x14ac:dyDescent="0.3">
      <c r="A18" s="158" t="s">
        <v>49</v>
      </c>
      <c r="B18" s="159">
        <f t="shared" si="0"/>
        <v>17</v>
      </c>
      <c r="C18" s="160">
        <v>8</v>
      </c>
      <c r="D18" s="159">
        <v>2019</v>
      </c>
      <c r="E18" s="172">
        <f>'FS Jimbaran August 2019'!P28</f>
        <v>21760.000000000673</v>
      </c>
      <c r="F18" s="170">
        <f>'FS Jimbaran August 2019'!O28/'FS Jimbaran August 2019'!P28</f>
        <v>1126.6963511029423</v>
      </c>
      <c r="G18" s="172">
        <f>'FS Jimbaran August 2019'!AG28</f>
        <v>330.76631999995072</v>
      </c>
      <c r="H18" s="170">
        <f>'FS Jimbaran August 2019'!AH28/'FS Jimbaran August 2019'!AG28</f>
        <v>10006.179101004125</v>
      </c>
      <c r="I18" s="172">
        <f>'FS Jimbaran August 2019'!AJ28</f>
        <v>601.40000000000146</v>
      </c>
      <c r="J18" s="162">
        <f>'FS Jimbaran August 2019'!AK28/'FS Jimbaran August 2019'!AJ28</f>
        <v>10300</v>
      </c>
      <c r="K18" s="172">
        <f>'FS Jimbaran August 2019'!V28</f>
        <v>531.33000000000004</v>
      </c>
      <c r="L18" s="170">
        <f>'FS Jimbaran August 2019'!AA28/'FS Jimbaran August 2019'!V28</f>
        <v>7004.0382914572865</v>
      </c>
      <c r="M18" s="172">
        <f>+'RNs &amp; Covers August 2019'!B22</f>
        <v>98</v>
      </c>
      <c r="N18" s="172">
        <f>+'RNs &amp; Covers August 2019'!C22</f>
        <v>796</v>
      </c>
    </row>
    <row r="19" spans="1:14" ht="14.45" x14ac:dyDescent="0.3">
      <c r="A19" s="158" t="s">
        <v>49</v>
      </c>
      <c r="B19" s="159">
        <f t="shared" si="0"/>
        <v>18</v>
      </c>
      <c r="C19" s="160">
        <v>8</v>
      </c>
      <c r="D19" s="159">
        <v>2019</v>
      </c>
      <c r="E19" s="172">
        <f>'FS Jimbaran August 2019'!P29</f>
        <v>21159.99999999849</v>
      </c>
      <c r="F19" s="170">
        <f>'FS Jimbaran August 2019'!O29/'FS Jimbaran August 2019'!P29</f>
        <v>1129.7638185255189</v>
      </c>
      <c r="G19" s="172">
        <f>'FS Jimbaran August 2019'!AG29</f>
        <v>143.59820000003515</v>
      </c>
      <c r="H19" s="170">
        <f>'FS Jimbaran August 2019'!AH29/'FS Jimbaran August 2019'!AG29</f>
        <v>9143.75</v>
      </c>
      <c r="I19" s="172">
        <f>'FS Jimbaran August 2019'!AJ29</f>
        <v>608.40000000000146</v>
      </c>
      <c r="J19" s="162">
        <f>'FS Jimbaran August 2019'!AK29/'FS Jimbaran August 2019'!AJ29</f>
        <v>10300</v>
      </c>
      <c r="K19" s="172">
        <f>'FS Jimbaran August 2019'!V29</f>
        <v>517.09</v>
      </c>
      <c r="L19" s="170">
        <f>'FS Jimbaran August 2019'!AA29/'FS Jimbaran August 2019'!V29</f>
        <v>5260.9954216867472</v>
      </c>
      <c r="M19" s="172">
        <f>+'RNs &amp; Covers August 2019'!B23</f>
        <v>100</v>
      </c>
      <c r="N19" s="172">
        <f>+'RNs &amp; Covers August 2019'!C23</f>
        <v>871</v>
      </c>
    </row>
    <row r="20" spans="1:14" ht="14.45" x14ac:dyDescent="0.3">
      <c r="A20" s="158" t="s">
        <v>49</v>
      </c>
      <c r="B20" s="159">
        <f t="shared" si="0"/>
        <v>19</v>
      </c>
      <c r="C20" s="160">
        <v>8</v>
      </c>
      <c r="D20" s="159">
        <v>2019</v>
      </c>
      <c r="E20" s="172">
        <f>'FS Jimbaran August 2019'!P30</f>
        <v>21260.000000001583</v>
      </c>
      <c r="F20" s="170">
        <f>'FS Jimbaran August 2019'!O30/'FS Jimbaran August 2019'!P30</f>
        <v>1129.8089463781712</v>
      </c>
      <c r="G20" s="172">
        <f>'FS Jimbaran August 2019'!AG30</f>
        <v>595.93100000000004</v>
      </c>
      <c r="H20" s="170">
        <f>'FS Jimbaran August 2019'!AH30/'FS Jimbaran August 2019'!AG30</f>
        <v>10180.090616615009</v>
      </c>
      <c r="I20" s="172">
        <f>'FS Jimbaran August 2019'!AJ30</f>
        <v>519.88000000000147</v>
      </c>
      <c r="J20" s="162">
        <f>'FS Jimbaran August 2019'!AK30/'FS Jimbaran August 2019'!AJ30</f>
        <v>10300</v>
      </c>
      <c r="K20" s="172">
        <f>'FS Jimbaran August 2019'!V30</f>
        <v>570.49</v>
      </c>
      <c r="L20" s="170">
        <f>'FS Jimbaran August 2019'!AA30/'FS Jimbaran August 2019'!V30</f>
        <v>5722.6325429017152</v>
      </c>
      <c r="M20" s="172">
        <f>+'RNs &amp; Covers August 2019'!B24</f>
        <v>94</v>
      </c>
      <c r="N20" s="172">
        <f>+'RNs &amp; Covers August 2019'!C24</f>
        <v>760</v>
      </c>
    </row>
    <row r="21" spans="1:14" x14ac:dyDescent="0.25">
      <c r="A21" s="158" t="s">
        <v>49</v>
      </c>
      <c r="B21" s="159">
        <f t="shared" si="0"/>
        <v>20</v>
      </c>
      <c r="C21" s="160">
        <v>8</v>
      </c>
      <c r="D21" s="159">
        <v>2019</v>
      </c>
      <c r="E21" s="172">
        <f>'FS Jimbaran August 2019'!P31</f>
        <v>21579.999999999243</v>
      </c>
      <c r="F21" s="170">
        <f>'FS Jimbaran August 2019'!O31/'FS Jimbaran August 2019'!P31</f>
        <v>1125.5348007414307</v>
      </c>
      <c r="G21" s="172">
        <f>'FS Jimbaran August 2019'!AG31</f>
        <v>163.29167999999061</v>
      </c>
      <c r="H21" s="170">
        <f>'FS Jimbaran August 2019'!AH31/'FS Jimbaran August 2019'!AG31</f>
        <v>9326.0924194055806</v>
      </c>
      <c r="I21" s="172">
        <f>'FS Jimbaran August 2019'!AJ31</f>
        <v>506</v>
      </c>
      <c r="J21" s="162">
        <f>'FS Jimbaran August 2019'!AK31/'FS Jimbaran August 2019'!AJ31</f>
        <v>10300</v>
      </c>
      <c r="K21" s="172">
        <f>'FS Jimbaran August 2019'!V31</f>
        <v>555.36</v>
      </c>
      <c r="L21" s="170">
        <f>'FS Jimbaran August 2019'!AA31/'FS Jimbaran August 2019'!V31</f>
        <v>4597.1112820512826</v>
      </c>
      <c r="M21" s="172">
        <f>+'RNs &amp; Covers August 2019'!B25</f>
        <v>98</v>
      </c>
      <c r="N21" s="172">
        <f>+'RNs &amp; Covers August 2019'!C25</f>
        <v>739</v>
      </c>
    </row>
    <row r="22" spans="1:14" x14ac:dyDescent="0.25">
      <c r="A22" s="158" t="s">
        <v>49</v>
      </c>
      <c r="B22" s="159">
        <f t="shared" si="0"/>
        <v>21</v>
      </c>
      <c r="C22" s="160">
        <v>8</v>
      </c>
      <c r="D22" s="159">
        <v>2019</v>
      </c>
      <c r="E22" s="172">
        <f>'FS Jimbaran August 2019'!P32</f>
        <v>22060.000000000175</v>
      </c>
      <c r="F22" s="170">
        <f>'FS Jimbaran August 2019'!O32/'FS Jimbaran August 2019'!P32</f>
        <v>1132.0333544877628</v>
      </c>
      <c r="G22" s="172">
        <f>'FS Jimbaran August 2019'!AG32</f>
        <v>153.14456000001638</v>
      </c>
      <c r="H22" s="170">
        <f>'FS Jimbaran August 2019'!AH32/'FS Jimbaran August 2019'!AG32</f>
        <v>9143.75</v>
      </c>
      <c r="I22" s="172">
        <f>'FS Jimbaran August 2019'!AJ32</f>
        <v>347.02999999999588</v>
      </c>
      <c r="J22" s="162">
        <f>'FS Jimbaran August 2019'!AK32/'FS Jimbaran August 2019'!AJ32</f>
        <v>10300</v>
      </c>
      <c r="K22" s="172">
        <f>'FS Jimbaran August 2019'!V32</f>
        <v>798.33</v>
      </c>
      <c r="L22" s="170">
        <f>'FS Jimbaran August 2019'!AA32/'FS Jimbaran August 2019'!V32</f>
        <v>6494.4799331103686</v>
      </c>
      <c r="M22" s="172">
        <f>+'RNs &amp; Covers August 2019'!B26</f>
        <v>122</v>
      </c>
      <c r="N22" s="172">
        <f>+'RNs &amp; Covers August 2019'!C26</f>
        <v>795</v>
      </c>
    </row>
    <row r="23" spans="1:14" x14ac:dyDescent="0.25">
      <c r="A23" s="158" t="s">
        <v>49</v>
      </c>
      <c r="B23" s="159">
        <f t="shared" si="0"/>
        <v>22</v>
      </c>
      <c r="C23" s="160">
        <v>8</v>
      </c>
      <c r="D23" s="159">
        <v>2019</v>
      </c>
      <c r="E23" s="172">
        <f>'FS Jimbaran August 2019'!P33</f>
        <v>22580.000000000153</v>
      </c>
      <c r="F23" s="170">
        <f>'FS Jimbaran August 2019'!O33/'FS Jimbaran August 2019'!P33</f>
        <v>1126.1469884853807</v>
      </c>
      <c r="G23" s="172">
        <f>'FS Jimbaran August 2019'!AG33</f>
        <v>155.03771999996246</v>
      </c>
      <c r="H23" s="170">
        <f>'FS Jimbaran August 2019'!AH33/'FS Jimbaran August 2019'!AG33</f>
        <v>9143.75</v>
      </c>
      <c r="I23" s="172">
        <f>'FS Jimbaran August 2019'!AJ33</f>
        <v>689.92000000001281</v>
      </c>
      <c r="J23" s="162">
        <f>'FS Jimbaran August 2019'!AK33/'FS Jimbaran August 2019'!AJ33</f>
        <v>10300</v>
      </c>
      <c r="K23" s="172">
        <f>'FS Jimbaran August 2019'!V33</f>
        <v>613.21</v>
      </c>
      <c r="L23" s="170">
        <f>'FS Jimbaran August 2019'!AA33/'FS Jimbaran August 2019'!V33</f>
        <v>4783.0372423802619</v>
      </c>
      <c r="M23" s="172">
        <f>+'RNs &amp; Covers August 2019'!B27</f>
        <v>100</v>
      </c>
      <c r="N23" s="172">
        <f>+'RNs &amp; Covers August 2019'!C27</f>
        <v>852</v>
      </c>
    </row>
    <row r="24" spans="1:14" x14ac:dyDescent="0.25">
      <c r="A24" s="158" t="s">
        <v>49</v>
      </c>
      <c r="B24" s="159">
        <f t="shared" si="0"/>
        <v>23</v>
      </c>
      <c r="C24" s="160">
        <v>8</v>
      </c>
      <c r="D24" s="159">
        <v>2019</v>
      </c>
      <c r="E24" s="172">
        <f>'FS Jimbaran August 2019'!P34</f>
        <v>22259.999999999764</v>
      </c>
      <c r="F24" s="170">
        <f>'FS Jimbaran August 2019'!O34/'FS Jimbaran August 2019'!P34</f>
        <v>1124.6542048517567</v>
      </c>
      <c r="G24" s="172">
        <f>'FS Jimbaran August 2019'!AG34</f>
        <v>162.20412000003282</v>
      </c>
      <c r="H24" s="170">
        <f>'FS Jimbaran August 2019'!AH34/'FS Jimbaran August 2019'!AG34</f>
        <v>9327.3150043907262</v>
      </c>
      <c r="I24" s="172">
        <f>'FS Jimbaran August 2019'!AJ34</f>
        <v>476.1200000000099</v>
      </c>
      <c r="J24" s="162">
        <f>'FS Jimbaran August 2019'!AK34/'FS Jimbaran August 2019'!AJ34</f>
        <v>10300</v>
      </c>
      <c r="K24" s="172">
        <f>'FS Jimbaran August 2019'!V34</f>
        <v>673.73</v>
      </c>
      <c r="L24" s="170">
        <f>'FS Jimbaran August 2019'!AA34/'FS Jimbaran August 2019'!V34</f>
        <v>6366.5306472919419</v>
      </c>
      <c r="M24" s="172">
        <f>+'RNs &amp; Covers August 2019'!B28</f>
        <v>90</v>
      </c>
      <c r="N24" s="172">
        <f>+'RNs &amp; Covers August 2019'!C28</f>
        <v>746</v>
      </c>
    </row>
    <row r="25" spans="1:14" x14ac:dyDescent="0.25">
      <c r="A25" s="158" t="s">
        <v>49</v>
      </c>
      <c r="B25" s="159">
        <f t="shared" si="0"/>
        <v>24</v>
      </c>
      <c r="C25" s="160">
        <v>8</v>
      </c>
      <c r="D25" s="159">
        <v>2019</v>
      </c>
      <c r="E25" s="172">
        <f>'FS Jimbaran August 2019'!P35</f>
        <v>22540.000000000189</v>
      </c>
      <c r="F25" s="170">
        <f>'FS Jimbaran August 2019'!O35/'FS Jimbaran August 2019'!P35</f>
        <v>1126.3073558118854</v>
      </c>
      <c r="G25" s="172">
        <f>'FS Jimbaran August 2019'!AG35</f>
        <v>181.89416000000466</v>
      </c>
      <c r="H25" s="170">
        <f>'FS Jimbaran August 2019'!AH35/'FS Jimbaran August 2019'!AG35</f>
        <v>9634.8322865340906</v>
      </c>
      <c r="I25" s="172">
        <f>'FS Jimbaran August 2019'!AJ35</f>
        <v>495.27999999999884</v>
      </c>
      <c r="J25" s="162">
        <f>'FS Jimbaran August 2019'!AK35/'FS Jimbaran August 2019'!AJ35</f>
        <v>10300</v>
      </c>
      <c r="K25" s="172">
        <f>'FS Jimbaran August 2019'!V35</f>
        <v>469.03000000000003</v>
      </c>
      <c r="L25" s="170">
        <f>'FS Jimbaran August 2019'!AA35/'FS Jimbaran August 2019'!V35</f>
        <v>4740.0207590132832</v>
      </c>
      <c r="M25" s="172">
        <f>+'RNs &amp; Covers August 2019'!B29</f>
        <v>80</v>
      </c>
      <c r="N25" s="172">
        <f>+'RNs &amp; Covers August 2019'!C29</f>
        <v>730</v>
      </c>
    </row>
    <row r="26" spans="1:14" x14ac:dyDescent="0.25">
      <c r="A26" s="158" t="s">
        <v>49</v>
      </c>
      <c r="B26" s="159">
        <f>B25+1</f>
        <v>25</v>
      </c>
      <c r="C26" s="160">
        <v>8</v>
      </c>
      <c r="D26" s="159">
        <v>2019</v>
      </c>
      <c r="E26" s="172">
        <f>'FS Jimbaran August 2019'!P36</f>
        <v>21720.000000000255</v>
      </c>
      <c r="F26" s="170">
        <f>'FS Jimbaran August 2019'!O36/'FS Jimbaran August 2019'!P36</f>
        <v>1128.2944198895041</v>
      </c>
      <c r="G26" s="172">
        <f>'FS Jimbaran August 2019'!AG36</f>
        <v>148.1061199999742</v>
      </c>
      <c r="H26" s="170">
        <f>'FS Jimbaran August 2019'!AH36/'FS Jimbaran August 2019'!AG36</f>
        <v>9344.7882825504112</v>
      </c>
      <c r="I26" s="172">
        <f>'FS Jimbaran August 2019'!AJ36</f>
        <v>527.19999999999709</v>
      </c>
      <c r="J26" s="162">
        <f>'FS Jimbaran August 2019'!AK36/'FS Jimbaran August 2019'!AJ36</f>
        <v>10300</v>
      </c>
      <c r="K26" s="172">
        <f>'FS Jimbaran August 2019'!V36</f>
        <v>543.79</v>
      </c>
      <c r="L26" s="170">
        <f>'FS Jimbaran August 2019'!AA36/'FS Jimbaran August 2019'!V36</f>
        <v>6087.2033060556469</v>
      </c>
      <c r="M26" s="172">
        <f>+'RNs &amp; Covers August 2019'!B30</f>
        <v>75</v>
      </c>
      <c r="N26" s="172">
        <f>+'RNs &amp; Covers August 2019'!C30</f>
        <v>681</v>
      </c>
    </row>
    <row r="27" spans="1:14" x14ac:dyDescent="0.25">
      <c r="A27" s="158" t="s">
        <v>49</v>
      </c>
      <c r="B27" s="159">
        <f t="shared" si="0"/>
        <v>26</v>
      </c>
      <c r="C27" s="160">
        <v>8</v>
      </c>
      <c r="D27" s="159">
        <v>2019</v>
      </c>
      <c r="E27" s="172">
        <f>'FS Jimbaran August 2019'!P37</f>
        <v>20559.999999998581</v>
      </c>
      <c r="F27" s="170">
        <f>'FS Jimbaran August 2019'!O37/'FS Jimbaran August 2019'!P37</f>
        <v>1126.9649124513655</v>
      </c>
      <c r="G27" s="172">
        <f>'FS Jimbaran August 2019'!AG37</f>
        <v>140.97656000001641</v>
      </c>
      <c r="H27" s="170">
        <f>'FS Jimbaran August 2019'!AH37/'FS Jimbaran August 2019'!AG37</f>
        <v>9354.9553237786222</v>
      </c>
      <c r="I27" s="172">
        <f>'FS Jimbaran August 2019'!AJ37</f>
        <v>470.95000000000005</v>
      </c>
      <c r="J27" s="162">
        <f>'FS Jimbaran August 2019'!AK37/'FS Jimbaran August 2019'!AJ37</f>
        <v>10300.000000000002</v>
      </c>
      <c r="K27" s="172">
        <f>'FS Jimbaran August 2019'!V37</f>
        <v>537.56000000000006</v>
      </c>
      <c r="L27" s="170">
        <f>'FS Jimbaran August 2019'!AA37/'FS Jimbaran August 2019'!V37</f>
        <v>6926.6166887417221</v>
      </c>
      <c r="M27" s="172">
        <f>+'RNs &amp; Covers August 2019'!B31</f>
        <v>76</v>
      </c>
      <c r="N27" s="172">
        <f>+'RNs &amp; Covers August 2019'!C31</f>
        <v>598</v>
      </c>
    </row>
    <row r="28" spans="1:14" x14ac:dyDescent="0.25">
      <c r="A28" s="158" t="s">
        <v>49</v>
      </c>
      <c r="B28" s="159">
        <f t="shared" si="0"/>
        <v>27</v>
      </c>
      <c r="C28" s="160">
        <v>8</v>
      </c>
      <c r="D28" s="159">
        <v>2019</v>
      </c>
      <c r="E28" s="172">
        <f>'FS Jimbaran August 2019'!P38</f>
        <v>20700.000000000953</v>
      </c>
      <c r="F28" s="170">
        <f>'FS Jimbaran August 2019'!O38/'FS Jimbaran August 2019'!P38</f>
        <v>1128.3497101449245</v>
      </c>
      <c r="G28" s="172">
        <f>'FS Jimbaran August 2019'!AG38</f>
        <v>322.3949599999695</v>
      </c>
      <c r="H28" s="170">
        <f>'FS Jimbaran August 2019'!AH38/'FS Jimbaran August 2019'!AG38</f>
        <v>9843.8617511266966</v>
      </c>
      <c r="I28" s="172">
        <f>'FS Jimbaran August 2019'!AJ38</f>
        <v>366.17000000000348</v>
      </c>
      <c r="J28" s="162">
        <f>'FS Jimbaran August 2019'!AK38/'FS Jimbaran August 2019'!AJ38</f>
        <v>10300</v>
      </c>
      <c r="K28" s="172">
        <f>'FS Jimbaran August 2019'!V38</f>
        <v>630.12</v>
      </c>
      <c r="L28" s="170">
        <f>'FS Jimbaran August 2019'!AA38/'FS Jimbaran August 2019'!V38</f>
        <v>5078.7799435028255</v>
      </c>
      <c r="M28" s="172">
        <f>+'RNs &amp; Covers August 2019'!B32</f>
        <v>75</v>
      </c>
      <c r="N28" s="172">
        <f>+'RNs &amp; Covers August 2019'!C32</f>
        <v>592</v>
      </c>
    </row>
    <row r="29" spans="1:14" x14ac:dyDescent="0.25">
      <c r="A29" s="158" t="s">
        <v>49</v>
      </c>
      <c r="B29" s="159">
        <f t="shared" si="0"/>
        <v>28</v>
      </c>
      <c r="C29" s="160">
        <v>8</v>
      </c>
      <c r="D29" s="159">
        <v>2019</v>
      </c>
      <c r="E29" s="172">
        <f>'FS Jimbaran August 2019'!P39</f>
        <v>22160.000000000309</v>
      </c>
      <c r="F29" s="170">
        <f>'FS Jimbaran August 2019'!O39/'FS Jimbaran August 2019'!P39</f>
        <v>1126.9249007220226</v>
      </c>
      <c r="G29" s="172">
        <f>'FS Jimbaran August 2019'!AG39</f>
        <v>193.67876000005157</v>
      </c>
      <c r="H29" s="170">
        <f>'FS Jimbaran August 2019'!AH39/'FS Jimbaran August 2019'!AG39</f>
        <v>9480.9707670060598</v>
      </c>
      <c r="I29" s="172">
        <f>'FS Jimbaran August 2019'!AJ39</f>
        <v>364.05000000000223</v>
      </c>
      <c r="J29" s="162">
        <f>'FS Jimbaran August 2019'!AK39/'FS Jimbaran August 2019'!AJ39</f>
        <v>10300</v>
      </c>
      <c r="K29" s="172">
        <f>'FS Jimbaran August 2019'!V39</f>
        <v>546.45999999999992</v>
      </c>
      <c r="L29" s="170">
        <f>'FS Jimbaran August 2019'!AA39/'FS Jimbaran August 2019'!V39</f>
        <v>4692.2588273615638</v>
      </c>
      <c r="M29" s="172">
        <f>+'RNs &amp; Covers August 2019'!B33</f>
        <v>78</v>
      </c>
      <c r="N29" s="172">
        <f>+'RNs &amp; Covers August 2019'!C33</f>
        <v>529</v>
      </c>
    </row>
    <row r="30" spans="1:14" x14ac:dyDescent="0.25">
      <c r="A30" s="158" t="s">
        <v>49</v>
      </c>
      <c r="B30" s="159">
        <f t="shared" si="0"/>
        <v>29</v>
      </c>
      <c r="C30" s="160">
        <v>8</v>
      </c>
      <c r="D30" s="159">
        <v>2019</v>
      </c>
      <c r="E30" s="172">
        <f>'FS Jimbaran August 2019'!P40</f>
        <v>22639.999999998734</v>
      </c>
      <c r="F30" s="170">
        <f>'FS Jimbaran August 2019'!O40/'FS Jimbaran August 2019'!P40</f>
        <v>1124.9925000000019</v>
      </c>
      <c r="G30" s="172">
        <f>'FS Jimbaran August 2019'!AG40</f>
        <v>158.17955999995777</v>
      </c>
      <c r="H30" s="170">
        <f>'FS Jimbaran August 2019'!AH40/'FS Jimbaran August 2019'!AG40</f>
        <v>9143.75</v>
      </c>
      <c r="I30" s="172">
        <f>'FS Jimbaran August 2019'!AJ40</f>
        <v>596.17999999999302</v>
      </c>
      <c r="J30" s="162">
        <f>'FS Jimbaran August 2019'!AK40/'FS Jimbaran August 2019'!AJ40</f>
        <v>10300</v>
      </c>
      <c r="K30" s="172">
        <f>'FS Jimbaran August 2019'!V40</f>
        <v>605.20000000000005</v>
      </c>
      <c r="L30" s="170">
        <f>'FS Jimbaran August 2019'!AA40/'FS Jimbaran August 2019'!V40</f>
        <v>5193.8418235294121</v>
      </c>
      <c r="M30" s="172">
        <f>+'RNs &amp; Covers August 2019'!B34</f>
        <v>63</v>
      </c>
      <c r="N30" s="172">
        <f>+'RNs &amp; Covers August 2019'!C34</f>
        <v>658</v>
      </c>
    </row>
    <row r="31" spans="1:14" x14ac:dyDescent="0.25">
      <c r="A31" s="158" t="s">
        <v>49</v>
      </c>
      <c r="B31" s="159">
        <f t="shared" si="0"/>
        <v>30</v>
      </c>
      <c r="C31" s="160">
        <v>8</v>
      </c>
      <c r="D31" s="159">
        <v>2019</v>
      </c>
      <c r="E31" s="172">
        <f>'FS Jimbaran August 2019'!P41</f>
        <v>22200.000000001637</v>
      </c>
      <c r="F31" s="170">
        <f>'FS Jimbaran August 2019'!O41/'FS Jimbaran August 2019'!P41</f>
        <v>1127.2272432432383</v>
      </c>
      <c r="G31" s="172">
        <f>'FS Jimbaran August 2019'!AG41</f>
        <v>162.04299999999998</v>
      </c>
      <c r="H31" s="170">
        <f>'FS Jimbaran August 2019'!AH41/'FS Jimbaran August 2019'!AG41</f>
        <v>9327.4975238054103</v>
      </c>
      <c r="I31" s="172">
        <f>'FS Jimbaran August 2019'!AJ41</f>
        <v>354.32000000000698</v>
      </c>
      <c r="J31" s="162">
        <f>'FS Jimbaran August 2019'!AK41/'FS Jimbaran August 2019'!AJ41</f>
        <v>10300</v>
      </c>
      <c r="K31" s="172">
        <f>'FS Jimbaran August 2019'!V41</f>
        <v>517.98</v>
      </c>
      <c r="L31" s="170">
        <f>'FS Jimbaran August 2019'!AA41/'FS Jimbaran August 2019'!V41</f>
        <v>5282.8330584192445</v>
      </c>
      <c r="M31" s="172">
        <f>+'RNs &amp; Covers August 2019'!B35</f>
        <v>55</v>
      </c>
      <c r="N31" s="172">
        <f>+'RNs &amp; Covers August 2019'!C35</f>
        <v>522</v>
      </c>
    </row>
    <row r="32" spans="1:14" x14ac:dyDescent="0.25">
      <c r="A32" s="158" t="s">
        <v>49</v>
      </c>
      <c r="B32" s="159">
        <f t="shared" si="0"/>
        <v>31</v>
      </c>
      <c r="C32" s="160">
        <v>8</v>
      </c>
      <c r="D32" s="159">
        <v>2019</v>
      </c>
      <c r="E32" s="172">
        <f>'FS Jimbaran August 2019'!P42</f>
        <v>22539.99999999928</v>
      </c>
      <c r="F32" s="170">
        <f>'FS Jimbaran August 2019'!O42/'FS Jimbaran August 2019'!P42</f>
        <v>1124.4692369121567</v>
      </c>
      <c r="G32" s="172">
        <f>'FS Jimbaran August 2019'!AG42</f>
        <v>170.49491999999765</v>
      </c>
      <c r="H32" s="170">
        <f>'FS Jimbaran August 2019'!AH42/'FS Jimbaran August 2019'!AG42</f>
        <v>9667.6659031835152</v>
      </c>
      <c r="I32" s="172">
        <f>'FS Jimbaran August 2019'!AJ42</f>
        <v>397</v>
      </c>
      <c r="J32" s="162">
        <f>'FS Jimbaran August 2019'!AK42/'FS Jimbaran August 2019'!AJ42</f>
        <v>10300</v>
      </c>
      <c r="K32" s="172">
        <f>'FS Jimbaran August 2019'!V42</f>
        <v>358.67</v>
      </c>
      <c r="L32" s="170">
        <f>'FS Jimbaran August 2019'!AA42/'FS Jimbaran August 2019'!V42</f>
        <v>6084.3047642679903</v>
      </c>
      <c r="M32" s="172">
        <f>+'RNs &amp; Covers August 2019'!B36</f>
        <v>43</v>
      </c>
      <c r="N32" s="172">
        <f>+'RNs &amp; Covers August 2019'!C36</f>
        <v>498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M66"/>
  <sheetViews>
    <sheetView tabSelected="1" zoomScale="62" zoomScaleNormal="62" workbookViewId="0">
      <pane xSplit="4" ySplit="10" topLeftCell="R11" activePane="bottomRight" state="frozen"/>
      <selection pane="topRight" activeCell="E1" sqref="E1"/>
      <selection pane="bottomLeft" activeCell="A11" sqref="A11"/>
      <selection pane="bottomRight" activeCell="AJ47" sqref="AJ47:AK47"/>
    </sheetView>
  </sheetViews>
  <sheetFormatPr defaultRowHeight="15.75" x14ac:dyDescent="0.25"/>
  <cols>
    <col min="1" max="1" width="3.7109375" style="15" customWidth="1"/>
    <col min="2" max="2" width="8.7109375" style="15" customWidth="1"/>
    <col min="3" max="3" width="11.42578125" style="4" customWidth="1"/>
    <col min="4" max="4" width="11.42578125" customWidth="1"/>
    <col min="5" max="5" width="14.7109375" style="4" customWidth="1"/>
    <col min="6" max="6" width="17.7109375" style="4" customWidth="1"/>
    <col min="7" max="7" width="14.85546875" customWidth="1"/>
    <col min="8" max="8" width="17.140625" style="4" customWidth="1"/>
    <col min="9" max="9" width="17" customWidth="1"/>
    <col min="10" max="10" width="14" customWidth="1"/>
    <col min="11" max="11" width="17.42578125" customWidth="1"/>
    <col min="12" max="12" width="14.140625" style="4" customWidth="1"/>
    <col min="13" max="13" width="18.28515625" style="64" bestFit="1" customWidth="1"/>
    <col min="14" max="14" width="20.42578125" style="68" customWidth="1"/>
    <col min="15" max="15" width="18.85546875" customWidth="1"/>
    <col min="16" max="16" width="15.140625" style="68" customWidth="1"/>
    <col min="17" max="17" width="19.7109375" customWidth="1"/>
    <col min="18" max="18" width="18.140625" style="89" customWidth="1"/>
    <col min="19" max="19" width="24.28515625" customWidth="1"/>
    <col min="20" max="20" width="21.140625" bestFit="1" customWidth="1"/>
    <col min="21" max="21" width="18.85546875" customWidth="1"/>
    <col min="22" max="22" width="19.7109375" customWidth="1"/>
    <col min="23" max="24" width="21.140625" bestFit="1" customWidth="1"/>
    <col min="25" max="25" width="19.7109375" bestFit="1" customWidth="1"/>
    <col min="26" max="26" width="21.28515625" bestFit="1" customWidth="1"/>
    <col min="27" max="27" width="17.85546875" bestFit="1" customWidth="1"/>
    <col min="28" max="28" width="9.85546875" customWidth="1"/>
    <col min="29" max="29" width="15.85546875" bestFit="1" customWidth="1"/>
    <col min="30" max="30" width="12.85546875" style="4" bestFit="1" customWidth="1"/>
    <col min="31" max="31" width="14.85546875" customWidth="1"/>
    <col min="32" max="32" width="12.28515625" bestFit="1" customWidth="1"/>
    <col min="33" max="33" width="10" bestFit="1" customWidth="1"/>
    <col min="34" max="34" width="19" style="4" customWidth="1"/>
    <col min="35" max="35" width="10.5703125" customWidth="1"/>
    <col min="36" max="36" width="13.28515625" style="89" bestFit="1" customWidth="1"/>
    <col min="37" max="37" width="20.7109375" bestFit="1" customWidth="1"/>
    <col min="38" max="38" width="10.85546875" style="41" customWidth="1"/>
    <col min="39" max="39" width="2.28515625" style="15" customWidth="1"/>
  </cols>
  <sheetData>
    <row r="5" spans="1:39" x14ac:dyDescent="0.25">
      <c r="N5" s="173"/>
      <c r="X5" s="174"/>
    </row>
    <row r="6" spans="1:39" s="27" customFormat="1" ht="19.5" thickBot="1" x14ac:dyDescent="0.35">
      <c r="B6" s="27" t="s">
        <v>28</v>
      </c>
      <c r="C6" s="36"/>
      <c r="E6" s="36"/>
      <c r="F6" s="36"/>
      <c r="H6" s="36"/>
      <c r="L6" s="36"/>
      <c r="M6" s="59"/>
      <c r="N6" s="65"/>
      <c r="P6" s="65"/>
      <c r="R6" s="85"/>
      <c r="AD6" s="36"/>
      <c r="AH6" s="36"/>
      <c r="AJ6" s="85"/>
      <c r="AL6" s="38"/>
    </row>
    <row r="7" spans="1:39" s="12" customFormat="1" ht="16.5" thickBot="1" x14ac:dyDescent="0.3">
      <c r="A7" s="32"/>
      <c r="B7" s="217" t="s">
        <v>54</v>
      </c>
      <c r="C7" s="218"/>
      <c r="D7" s="218"/>
      <c r="E7" s="218"/>
      <c r="F7" s="218"/>
      <c r="G7" s="218"/>
      <c r="H7" s="218"/>
      <c r="I7" s="218"/>
      <c r="J7" s="218"/>
      <c r="K7" s="218"/>
      <c r="L7" s="218"/>
      <c r="M7" s="218"/>
      <c r="N7" s="218"/>
      <c r="O7" s="218"/>
      <c r="P7" s="218"/>
      <c r="Q7" s="218"/>
      <c r="R7" s="218"/>
      <c r="S7" s="218"/>
      <c r="T7" s="218"/>
      <c r="U7" s="218"/>
      <c r="V7" s="218"/>
      <c r="W7" s="218"/>
      <c r="X7" s="218"/>
      <c r="Y7" s="218"/>
      <c r="Z7" s="218"/>
      <c r="AA7" s="218"/>
      <c r="AB7" s="218"/>
      <c r="AC7" s="218"/>
      <c r="AD7" s="218"/>
      <c r="AE7" s="218"/>
      <c r="AF7" s="218"/>
      <c r="AG7" s="218"/>
      <c r="AH7" s="218"/>
      <c r="AI7" s="218"/>
      <c r="AJ7" s="218"/>
      <c r="AK7" s="218"/>
      <c r="AL7" s="219"/>
      <c r="AM7" s="32"/>
    </row>
    <row r="8" spans="1:39" s="8" customFormat="1" ht="15.75" customHeight="1" thickBot="1" x14ac:dyDescent="0.3">
      <c r="A8" s="28"/>
      <c r="B8" s="220" t="s">
        <v>1</v>
      </c>
      <c r="C8" s="223" t="s">
        <v>2</v>
      </c>
      <c r="D8" s="226" t="s">
        <v>3</v>
      </c>
      <c r="E8" s="229" t="s">
        <v>34</v>
      </c>
      <c r="F8" s="229"/>
      <c r="G8" s="229"/>
      <c r="H8" s="229"/>
      <c r="I8" s="229"/>
      <c r="J8" s="229"/>
      <c r="K8" s="229"/>
      <c r="L8" s="229"/>
      <c r="M8" s="229"/>
      <c r="N8" s="229"/>
      <c r="O8" s="229"/>
      <c r="P8" s="229"/>
      <c r="Q8" s="229"/>
      <c r="R8" s="229"/>
      <c r="S8" s="229"/>
      <c r="T8" s="229"/>
      <c r="U8" s="230"/>
      <c r="V8" s="231" t="s">
        <v>19</v>
      </c>
      <c r="W8" s="232"/>
      <c r="X8" s="232"/>
      <c r="Y8" s="232"/>
      <c r="Z8" s="232"/>
      <c r="AA8" s="232"/>
      <c r="AB8" s="233"/>
      <c r="AC8" s="234" t="s">
        <v>24</v>
      </c>
      <c r="AD8" s="234"/>
      <c r="AE8" s="234"/>
      <c r="AF8" s="234"/>
      <c r="AG8" s="234"/>
      <c r="AH8" s="234"/>
      <c r="AI8" s="234"/>
      <c r="AJ8" s="234"/>
      <c r="AK8" s="234"/>
      <c r="AL8" s="235"/>
      <c r="AM8" s="30"/>
    </row>
    <row r="9" spans="1:39" ht="15" customHeight="1" thickBot="1" x14ac:dyDescent="0.3">
      <c r="A9" s="31"/>
      <c r="B9" s="221"/>
      <c r="C9" s="224"/>
      <c r="D9" s="227"/>
      <c r="E9" s="236" t="s">
        <v>33</v>
      </c>
      <c r="F9" s="237"/>
      <c r="G9" s="237"/>
      <c r="H9" s="237"/>
      <c r="I9" s="238"/>
      <c r="J9" s="239" t="s">
        <v>5</v>
      </c>
      <c r="K9" s="239"/>
      <c r="L9" s="239"/>
      <c r="M9" s="239"/>
      <c r="N9" s="240"/>
      <c r="O9" s="226" t="s">
        <v>12</v>
      </c>
      <c r="P9" s="241" t="s">
        <v>32</v>
      </c>
      <c r="Q9" s="243" t="s">
        <v>52</v>
      </c>
      <c r="R9" s="248" t="s">
        <v>21</v>
      </c>
      <c r="S9" s="250" t="s">
        <v>13</v>
      </c>
      <c r="T9" s="252" t="s">
        <v>18</v>
      </c>
      <c r="U9" s="253"/>
      <c r="V9" s="53"/>
      <c r="W9" s="53" t="s">
        <v>4</v>
      </c>
      <c r="X9" s="53"/>
      <c r="Y9" s="54"/>
      <c r="Z9" s="177"/>
      <c r="AA9" s="254" t="s">
        <v>27</v>
      </c>
      <c r="AB9" s="255"/>
      <c r="AC9" s="234" t="s">
        <v>22</v>
      </c>
      <c r="AD9" s="234"/>
      <c r="AE9" s="234"/>
      <c r="AF9" s="234"/>
      <c r="AG9" s="234"/>
      <c r="AH9" s="234"/>
      <c r="AI9" s="235"/>
      <c r="AJ9" s="245" t="s">
        <v>20</v>
      </c>
      <c r="AK9" s="246"/>
      <c r="AL9" s="247"/>
      <c r="AM9" s="31"/>
    </row>
    <row r="10" spans="1:39" ht="61.5" customHeight="1" thickBot="1" x14ac:dyDescent="0.3">
      <c r="A10" s="29"/>
      <c r="B10" s="222"/>
      <c r="C10" s="225"/>
      <c r="D10" s="228"/>
      <c r="E10" s="99" t="s">
        <v>35</v>
      </c>
      <c r="F10" s="83" t="s">
        <v>6</v>
      </c>
      <c r="G10" s="133" t="s">
        <v>36</v>
      </c>
      <c r="H10" s="19" t="s">
        <v>6</v>
      </c>
      <c r="I10" s="100" t="s">
        <v>14</v>
      </c>
      <c r="J10" s="99" t="s">
        <v>35</v>
      </c>
      <c r="K10" s="84" t="s">
        <v>6</v>
      </c>
      <c r="L10" s="133" t="s">
        <v>36</v>
      </c>
      <c r="M10" s="60" t="s">
        <v>6</v>
      </c>
      <c r="N10" s="92" t="s">
        <v>15</v>
      </c>
      <c r="O10" s="228"/>
      <c r="P10" s="242"/>
      <c r="Q10" s="244"/>
      <c r="R10" s="249"/>
      <c r="S10" s="251"/>
      <c r="T10" s="178" t="s">
        <v>16</v>
      </c>
      <c r="U10" s="24" t="s">
        <v>17</v>
      </c>
      <c r="V10" s="179" t="s">
        <v>8</v>
      </c>
      <c r="W10" s="55" t="s">
        <v>0</v>
      </c>
      <c r="X10" s="55" t="s">
        <v>26</v>
      </c>
      <c r="Y10" s="23" t="s">
        <v>10</v>
      </c>
      <c r="Z10" s="23" t="s">
        <v>30</v>
      </c>
      <c r="AA10" s="23" t="s">
        <v>16</v>
      </c>
      <c r="AB10" s="13" t="s">
        <v>17</v>
      </c>
      <c r="AC10" s="125" t="s">
        <v>7</v>
      </c>
      <c r="AD10" s="48" t="s">
        <v>31</v>
      </c>
      <c r="AE10" s="47" t="s">
        <v>11</v>
      </c>
      <c r="AF10" s="47" t="s">
        <v>9</v>
      </c>
      <c r="AG10" s="47" t="s">
        <v>25</v>
      </c>
      <c r="AH10" s="48" t="s">
        <v>16</v>
      </c>
      <c r="AI10" s="49" t="s">
        <v>17</v>
      </c>
      <c r="AJ10" s="140" t="s">
        <v>23</v>
      </c>
      <c r="AK10" s="47" t="s">
        <v>16</v>
      </c>
      <c r="AL10" s="51" t="s">
        <v>17</v>
      </c>
      <c r="AM10" s="29"/>
    </row>
    <row r="11" spans="1:39" x14ac:dyDescent="0.25">
      <c r="A11" s="29"/>
      <c r="B11" s="57"/>
      <c r="C11" s="101"/>
      <c r="D11" s="180"/>
      <c r="E11" s="181"/>
      <c r="F11" s="90"/>
      <c r="G11" s="20"/>
      <c r="H11" s="21"/>
      <c r="I11" s="102"/>
      <c r="J11" s="91"/>
      <c r="K11" s="20"/>
      <c r="L11" s="21"/>
      <c r="M11" s="61"/>
      <c r="N11" s="93"/>
      <c r="O11" s="56"/>
      <c r="P11" s="110"/>
      <c r="Q11" s="182"/>
      <c r="R11" s="113"/>
      <c r="S11" s="183"/>
      <c r="T11" s="183"/>
      <c r="U11" s="25"/>
      <c r="V11" s="91"/>
      <c r="W11" s="20"/>
      <c r="X11" s="20"/>
      <c r="Y11" s="22"/>
      <c r="Z11" s="22"/>
      <c r="AA11" s="22"/>
      <c r="AB11" s="102"/>
      <c r="AC11" s="126"/>
      <c r="AD11" s="45"/>
      <c r="AE11" s="42"/>
      <c r="AF11" s="42"/>
      <c r="AG11" s="42"/>
      <c r="AH11" s="45"/>
      <c r="AI11" s="46"/>
      <c r="AJ11" s="141"/>
      <c r="AK11" s="42"/>
      <c r="AL11" s="50"/>
      <c r="AM11" s="29"/>
    </row>
    <row r="12" spans="1:39" x14ac:dyDescent="0.25">
      <c r="A12" s="35"/>
      <c r="B12" s="58">
        <v>1</v>
      </c>
      <c r="C12" s="215">
        <v>67</v>
      </c>
      <c r="D12" s="216">
        <v>570</v>
      </c>
      <c r="E12" s="106">
        <v>16640.000000000327</v>
      </c>
      <c r="F12" s="3">
        <v>17235379.200000338</v>
      </c>
      <c r="G12" s="37">
        <v>3519.9999999999818</v>
      </c>
      <c r="H12" s="3">
        <v>5468918.3999999724</v>
      </c>
      <c r="I12" s="103">
        <f>F12+H12</f>
        <v>22704297.600000311</v>
      </c>
      <c r="J12" s="106">
        <v>1740.0000000006912</v>
      </c>
      <c r="K12" s="3">
        <v>1802257.2000007159</v>
      </c>
      <c r="L12" s="184">
        <v>419.99999999984539</v>
      </c>
      <c r="M12" s="185">
        <v>652541.39999975986</v>
      </c>
      <c r="N12" s="94">
        <f>+K12+M12</f>
        <v>2454798.6000004755</v>
      </c>
      <c r="O12" s="108">
        <f>N12+I12</f>
        <v>25159096.200000785</v>
      </c>
      <c r="P12" s="111">
        <f>L12+J12+G12+E12</f>
        <v>22320.000000000844</v>
      </c>
      <c r="Q12" s="135"/>
      <c r="R12" s="199"/>
      <c r="S12" s="213"/>
      <c r="T12" s="210"/>
      <c r="U12" s="208">
        <v>0</v>
      </c>
      <c r="V12" s="186">
        <f>Y12+W12</f>
        <v>524.21</v>
      </c>
      <c r="W12" s="3">
        <v>66.75</v>
      </c>
      <c r="X12" s="3">
        <v>1199530.875</v>
      </c>
      <c r="Y12" s="33">
        <v>457.46</v>
      </c>
      <c r="Z12" s="33">
        <v>1942000.0427999999</v>
      </c>
      <c r="AA12" s="33">
        <f t="shared" ref="AA12:AA39" si="0">Z12+X12</f>
        <v>3141530.9177999999</v>
      </c>
      <c r="AB12" s="128">
        <f t="shared" ref="AB12:AB39" si="1">AA12/$AL$48</f>
        <v>242.10150498339638</v>
      </c>
      <c r="AC12" s="134">
        <v>122.49148000001405</v>
      </c>
      <c r="AD12" s="3">
        <v>0</v>
      </c>
      <c r="AE12" s="3">
        <v>350</v>
      </c>
      <c r="AF12" s="3">
        <v>72</v>
      </c>
      <c r="AG12" s="3">
        <f>AC12+AE12+AD12+AF12</f>
        <v>544.49148000001401</v>
      </c>
      <c r="AH12" s="3">
        <v>5614531.4702501288</v>
      </c>
      <c r="AI12" s="43">
        <f t="shared" ref="AI12:AI39" si="2">AH12/$AL$48</f>
        <v>432.68283976530131</v>
      </c>
      <c r="AJ12" s="142">
        <v>776.15000000000146</v>
      </c>
      <c r="AK12" s="3">
        <v>7994345.0000000149</v>
      </c>
      <c r="AL12" s="39">
        <f t="shared" ref="AL12:AL42" si="3">AK12/$AL$48</f>
        <v>616.08273370483823</v>
      </c>
      <c r="AM12" s="7"/>
    </row>
    <row r="13" spans="1:39" x14ac:dyDescent="0.25">
      <c r="A13" s="35"/>
      <c r="B13" s="58">
        <v>2</v>
      </c>
      <c r="C13" s="215">
        <v>88</v>
      </c>
      <c r="D13" s="216">
        <v>711</v>
      </c>
      <c r="E13" s="106">
        <v>16800.000000000182</v>
      </c>
      <c r="F13" s="3">
        <v>17401104.000000186</v>
      </c>
      <c r="G13" s="37">
        <v>3560.0000000001728</v>
      </c>
      <c r="H13" s="3">
        <v>5531065.2000002684</v>
      </c>
      <c r="I13" s="103">
        <f t="shared" ref="I13:I42" si="4">F13+H13</f>
        <v>22932169.200000454</v>
      </c>
      <c r="J13" s="106">
        <v>1699.9999999998181</v>
      </c>
      <c r="K13" s="3">
        <v>1760825.9999998116</v>
      </c>
      <c r="L13" s="184">
        <v>420.00000000007276</v>
      </c>
      <c r="M13" s="185">
        <v>652541.40000011306</v>
      </c>
      <c r="N13" s="94">
        <f t="shared" ref="N13:N41" si="5">+K13+M13</f>
        <v>2413367.3999999249</v>
      </c>
      <c r="O13" s="108">
        <f t="shared" ref="O13:O39" si="6">N13+I13</f>
        <v>25345536.600000378</v>
      </c>
      <c r="P13" s="111">
        <f t="shared" ref="P13:P39" si="7">L13+J13+G13+E13</f>
        <v>22480.000000000247</v>
      </c>
      <c r="Q13" s="189"/>
      <c r="R13" s="200"/>
      <c r="S13" s="213"/>
      <c r="T13" s="210"/>
      <c r="U13" s="208">
        <v>0</v>
      </c>
      <c r="V13" s="186">
        <f t="shared" ref="V13:V41" si="8">Y13+W13</f>
        <v>470.81</v>
      </c>
      <c r="W13" s="3">
        <v>64.08</v>
      </c>
      <c r="X13" s="3">
        <v>1151549.6399999999</v>
      </c>
      <c r="Y13" s="33">
        <v>406.73</v>
      </c>
      <c r="Z13" s="33">
        <v>1726642.0614000002</v>
      </c>
      <c r="AA13" s="33">
        <f t="shared" si="0"/>
        <v>2878191.7014000001</v>
      </c>
      <c r="AB13" s="128">
        <f t="shared" si="1"/>
        <v>221.80731648747812</v>
      </c>
      <c r="AC13" s="134">
        <v>140.37580000002342</v>
      </c>
      <c r="AD13" s="3">
        <v>0</v>
      </c>
      <c r="AE13" s="3">
        <v>0</v>
      </c>
      <c r="AF13" s="3">
        <v>0</v>
      </c>
      <c r="AG13" s="3">
        <f t="shared" ref="AG13:AG42" si="9">AC13+AE13+AD13+AF13</f>
        <v>140.37580000002342</v>
      </c>
      <c r="AH13" s="3">
        <v>1283561.2212502141</v>
      </c>
      <c r="AI13" s="43">
        <f t="shared" si="2"/>
        <v>98.917410502718013</v>
      </c>
      <c r="AJ13" s="142">
        <v>604.4800000000032</v>
      </c>
      <c r="AK13" s="3">
        <v>6226144.0000000326</v>
      </c>
      <c r="AL13" s="39">
        <f t="shared" si="3"/>
        <v>479.81664738762083</v>
      </c>
      <c r="AM13" s="7"/>
    </row>
    <row r="14" spans="1:39" x14ac:dyDescent="0.25">
      <c r="A14" s="35"/>
      <c r="B14" s="58">
        <v>3</v>
      </c>
      <c r="C14" s="215">
        <v>82</v>
      </c>
      <c r="D14" s="216">
        <v>683</v>
      </c>
      <c r="E14" s="106">
        <v>16920.000000000073</v>
      </c>
      <c r="F14" s="3">
        <v>17525397.600000076</v>
      </c>
      <c r="G14" s="37">
        <v>3479.9999999997908</v>
      </c>
      <c r="H14" s="3">
        <v>5406771.5999996755</v>
      </c>
      <c r="I14" s="103">
        <f t="shared" si="4"/>
        <v>22932169.19999975</v>
      </c>
      <c r="J14" s="106">
        <v>1880.0000000001091</v>
      </c>
      <c r="K14" s="3">
        <v>1947266.4000001131</v>
      </c>
      <c r="L14" s="184">
        <v>420.00000000007276</v>
      </c>
      <c r="M14" s="185">
        <v>652541.40000011306</v>
      </c>
      <c r="N14" s="94">
        <f t="shared" si="5"/>
        <v>2599807.8000002261</v>
      </c>
      <c r="O14" s="108">
        <f t="shared" si="6"/>
        <v>25531976.999999978</v>
      </c>
      <c r="P14" s="111">
        <f t="shared" si="7"/>
        <v>22700.000000000044</v>
      </c>
      <c r="Q14" s="189"/>
      <c r="R14" s="200"/>
      <c r="S14" s="213"/>
      <c r="T14" s="210"/>
      <c r="U14" s="208">
        <v>0</v>
      </c>
      <c r="V14" s="186">
        <f t="shared" si="8"/>
        <v>498.40000000000003</v>
      </c>
      <c r="W14" s="3">
        <v>62.300000000000004</v>
      </c>
      <c r="X14" s="3">
        <v>1119562.1500000001</v>
      </c>
      <c r="Y14" s="33">
        <v>436.1</v>
      </c>
      <c r="Z14" s="33">
        <v>1851322.9980000001</v>
      </c>
      <c r="AA14" s="33">
        <f t="shared" si="0"/>
        <v>2970885.148</v>
      </c>
      <c r="AB14" s="128">
        <f t="shared" si="1"/>
        <v>228.95071997805195</v>
      </c>
      <c r="AC14" s="134">
        <v>125.35135999998123</v>
      </c>
      <c r="AD14" s="3">
        <v>0</v>
      </c>
      <c r="AE14" s="3">
        <v>0</v>
      </c>
      <c r="AF14" s="3">
        <v>12</v>
      </c>
      <c r="AG14" s="3">
        <f t="shared" si="9"/>
        <v>137.35135999998124</v>
      </c>
      <c r="AH14" s="3">
        <v>1285681.4979998283</v>
      </c>
      <c r="AI14" s="43">
        <f t="shared" si="2"/>
        <v>99.080809242216134</v>
      </c>
      <c r="AJ14" s="142">
        <v>522.39999999999418</v>
      </c>
      <c r="AK14" s="3">
        <v>5380719.9999999404</v>
      </c>
      <c r="AL14" s="39">
        <f t="shared" si="3"/>
        <v>414.66420162005198</v>
      </c>
      <c r="AM14" s="7"/>
    </row>
    <row r="15" spans="1:39" x14ac:dyDescent="0.25">
      <c r="A15" s="35"/>
      <c r="B15" s="58">
        <v>4</v>
      </c>
      <c r="C15" s="215">
        <v>85</v>
      </c>
      <c r="D15" s="216">
        <v>742</v>
      </c>
      <c r="E15" s="106">
        <v>15879.9999999992</v>
      </c>
      <c r="F15" s="3">
        <v>16448186.399999171</v>
      </c>
      <c r="G15" s="37">
        <v>3200.0000000000455</v>
      </c>
      <c r="H15" s="3">
        <v>4971744.0000000708</v>
      </c>
      <c r="I15" s="103">
        <f t="shared" si="4"/>
        <v>21419930.399999242</v>
      </c>
      <c r="J15" s="106">
        <v>1760.0000000002183</v>
      </c>
      <c r="K15" s="3">
        <v>1822972.8000002261</v>
      </c>
      <c r="L15" s="184">
        <v>419.99999999984539</v>
      </c>
      <c r="M15" s="185">
        <v>652541.39999975986</v>
      </c>
      <c r="N15" s="94">
        <f t="shared" si="5"/>
        <v>2475514.1999999862</v>
      </c>
      <c r="O15" s="108">
        <f t="shared" si="6"/>
        <v>23895444.599999227</v>
      </c>
      <c r="P15" s="111">
        <f t="shared" si="7"/>
        <v>21259.999999999309</v>
      </c>
      <c r="Q15" s="189"/>
      <c r="R15" s="200"/>
      <c r="S15" s="213"/>
      <c r="T15" s="210"/>
      <c r="U15" s="208">
        <v>0</v>
      </c>
      <c r="V15" s="186">
        <f t="shared" si="8"/>
        <v>496.62</v>
      </c>
      <c r="W15" s="3">
        <v>64.08</v>
      </c>
      <c r="X15" s="3">
        <v>1151549.6399999999</v>
      </c>
      <c r="Y15" s="33">
        <v>432.54</v>
      </c>
      <c r="Z15" s="33">
        <v>1836210.1572000002</v>
      </c>
      <c r="AA15" s="33">
        <f t="shared" si="0"/>
        <v>2987759.7971999999</v>
      </c>
      <c r="AB15" s="128">
        <f t="shared" si="1"/>
        <v>230.25116172899538</v>
      </c>
      <c r="AC15" s="134">
        <v>0</v>
      </c>
      <c r="AD15" s="3">
        <v>0</v>
      </c>
      <c r="AE15" s="3">
        <v>0</v>
      </c>
      <c r="AF15" s="3">
        <v>0</v>
      </c>
      <c r="AG15" s="3">
        <f t="shared" si="9"/>
        <v>0</v>
      </c>
      <c r="AH15" s="3">
        <v>0</v>
      </c>
      <c r="AI15" s="43">
        <f t="shared" si="2"/>
        <v>0</v>
      </c>
      <c r="AJ15" s="142">
        <v>591.89999999999418</v>
      </c>
      <c r="AK15" s="3">
        <v>6096569.9999999404</v>
      </c>
      <c r="AL15" s="39">
        <f t="shared" si="3"/>
        <v>469.83105080189335</v>
      </c>
      <c r="AM15" s="7"/>
    </row>
    <row r="16" spans="1:39" x14ac:dyDescent="0.25">
      <c r="A16" s="35"/>
      <c r="B16" s="58">
        <v>5</v>
      </c>
      <c r="C16" s="215">
        <v>89</v>
      </c>
      <c r="D16" s="216">
        <v>672</v>
      </c>
      <c r="E16" s="106">
        <v>15400.000000000546</v>
      </c>
      <c r="F16" s="3">
        <v>15951012.000000564</v>
      </c>
      <c r="G16" s="37">
        <v>3279.9999999999727</v>
      </c>
      <c r="H16" s="3">
        <v>5096037.5999999577</v>
      </c>
      <c r="I16" s="103">
        <f t="shared" si="4"/>
        <v>21047049.600000523</v>
      </c>
      <c r="J16" s="106">
        <v>1639.9999999994179</v>
      </c>
      <c r="K16" s="3">
        <v>1698679.1999993972</v>
      </c>
      <c r="L16" s="184">
        <v>420.00000000007276</v>
      </c>
      <c r="M16" s="185">
        <v>652541.40000011306</v>
      </c>
      <c r="N16" s="94">
        <f t="shared" si="5"/>
        <v>2351220.5999995102</v>
      </c>
      <c r="O16" s="108">
        <f t="shared" si="6"/>
        <v>23398270.200000033</v>
      </c>
      <c r="P16" s="111">
        <f t="shared" si="7"/>
        <v>20740.000000000007</v>
      </c>
      <c r="Q16" s="189"/>
      <c r="R16" s="200"/>
      <c r="S16" s="213"/>
      <c r="T16" s="210"/>
      <c r="U16" s="208">
        <v>0</v>
      </c>
      <c r="V16" s="186">
        <f t="shared" si="8"/>
        <v>464.58000000000004</v>
      </c>
      <c r="W16" s="3">
        <v>46.28</v>
      </c>
      <c r="X16" s="3">
        <v>831674.74</v>
      </c>
      <c r="Y16" s="33">
        <v>418.3</v>
      </c>
      <c r="Z16" s="33">
        <v>1775758.7940000002</v>
      </c>
      <c r="AA16" s="33">
        <f t="shared" si="0"/>
        <v>2607433.534</v>
      </c>
      <c r="AB16" s="128">
        <f t="shared" si="1"/>
        <v>200.94138789111358</v>
      </c>
      <c r="AC16" s="134">
        <v>126.68059999998826</v>
      </c>
      <c r="AD16" s="3">
        <v>0</v>
      </c>
      <c r="AE16" s="3">
        <v>50</v>
      </c>
      <c r="AF16" s="3">
        <v>60</v>
      </c>
      <c r="AG16" s="3">
        <f t="shared" si="9"/>
        <v>236.68059999998826</v>
      </c>
      <c r="AH16" s="3">
        <v>2378335.736249893</v>
      </c>
      <c r="AI16" s="43">
        <f t="shared" si="2"/>
        <v>183.28600805403576</v>
      </c>
      <c r="AJ16" s="142">
        <v>526</v>
      </c>
      <c r="AK16" s="3">
        <v>5417800</v>
      </c>
      <c r="AL16" s="39">
        <f t="shared" si="3"/>
        <v>417.52176503091454</v>
      </c>
      <c r="AM16" s="7"/>
    </row>
    <row r="17" spans="1:39" x14ac:dyDescent="0.25">
      <c r="A17" s="35"/>
      <c r="B17" s="58">
        <v>6</v>
      </c>
      <c r="C17" s="215">
        <v>93</v>
      </c>
      <c r="D17" s="216">
        <v>704</v>
      </c>
      <c r="E17" s="106">
        <v>15559.999999999491</v>
      </c>
      <c r="F17" s="3">
        <v>16116736.799999472</v>
      </c>
      <c r="G17" s="37">
        <v>3320.0000000001637</v>
      </c>
      <c r="H17" s="3">
        <v>5158184.4000002546</v>
      </c>
      <c r="I17" s="103">
        <f t="shared" si="4"/>
        <v>21274921.199999727</v>
      </c>
      <c r="J17" s="106">
        <v>1800.0000000001819</v>
      </c>
      <c r="K17" s="3">
        <v>1864404.0000001884</v>
      </c>
      <c r="L17" s="184">
        <v>420.00000000007276</v>
      </c>
      <c r="M17" s="185">
        <v>652541.40000011306</v>
      </c>
      <c r="N17" s="94">
        <f t="shared" si="5"/>
        <v>2516945.4000003012</v>
      </c>
      <c r="O17" s="108">
        <f t="shared" si="6"/>
        <v>23791866.600000028</v>
      </c>
      <c r="P17" s="111">
        <f t="shared" si="7"/>
        <v>21099.999999999909</v>
      </c>
      <c r="Q17" s="189"/>
      <c r="R17" s="200"/>
      <c r="S17" s="213"/>
      <c r="T17" s="210"/>
      <c r="U17" s="208">
        <v>0</v>
      </c>
      <c r="V17" s="186">
        <f t="shared" si="8"/>
        <v>495.73</v>
      </c>
      <c r="W17" s="3">
        <v>52.51</v>
      </c>
      <c r="X17" s="3">
        <v>943630.95499999996</v>
      </c>
      <c r="Y17" s="33">
        <v>443.22</v>
      </c>
      <c r="Z17" s="33">
        <v>1881548.6796000001</v>
      </c>
      <c r="AA17" s="33">
        <f t="shared" si="0"/>
        <v>2825179.6346</v>
      </c>
      <c r="AB17" s="128">
        <f t="shared" si="1"/>
        <v>217.72195126575107</v>
      </c>
      <c r="AC17" s="134">
        <v>137.75760000004686</v>
      </c>
      <c r="AD17" s="3">
        <v>0</v>
      </c>
      <c r="AE17" s="3">
        <v>300</v>
      </c>
      <c r="AF17" s="3">
        <v>0</v>
      </c>
      <c r="AG17" s="3">
        <f t="shared" si="9"/>
        <v>437.75760000004686</v>
      </c>
      <c r="AH17" s="3">
        <v>4394621.0550004281</v>
      </c>
      <c r="AI17" s="43">
        <f t="shared" si="2"/>
        <v>338.67066697290386</v>
      </c>
      <c r="AJ17" s="142">
        <v>550.36000000000581</v>
      </c>
      <c r="AK17" s="3">
        <v>5668708.0000000596</v>
      </c>
      <c r="AL17" s="39">
        <f t="shared" si="3"/>
        <v>436.85794411105809</v>
      </c>
      <c r="AM17" s="7"/>
    </row>
    <row r="18" spans="1:39" x14ac:dyDescent="0.25">
      <c r="A18" s="35"/>
      <c r="B18" s="58">
        <v>7</v>
      </c>
      <c r="C18" s="215">
        <v>103</v>
      </c>
      <c r="D18" s="216">
        <v>793</v>
      </c>
      <c r="E18" s="106">
        <v>15880.000000000109</v>
      </c>
      <c r="F18" s="3">
        <v>16448186.400000112</v>
      </c>
      <c r="G18" s="37">
        <v>3399.9999999998636</v>
      </c>
      <c r="H18" s="3">
        <v>5282477.9999997886</v>
      </c>
      <c r="I18" s="103">
        <f t="shared" si="4"/>
        <v>21730664.399999902</v>
      </c>
      <c r="J18" s="106">
        <v>1800.0000000001819</v>
      </c>
      <c r="K18" s="3">
        <v>1864404.0000001884</v>
      </c>
      <c r="L18" s="184">
        <v>419.99999999984539</v>
      </c>
      <c r="M18" s="185">
        <v>652541.39999975986</v>
      </c>
      <c r="N18" s="94">
        <f t="shared" si="5"/>
        <v>2516945.3999999482</v>
      </c>
      <c r="O18" s="108">
        <f t="shared" si="6"/>
        <v>24247609.799999848</v>
      </c>
      <c r="P18" s="111">
        <f t="shared" si="7"/>
        <v>21500</v>
      </c>
      <c r="Q18" s="189"/>
      <c r="R18" s="200"/>
      <c r="S18" s="213"/>
      <c r="T18" s="210"/>
      <c r="U18" s="208">
        <v>0</v>
      </c>
      <c r="V18" s="186">
        <f t="shared" si="8"/>
        <v>539.34</v>
      </c>
      <c r="W18" s="3">
        <v>53.4</v>
      </c>
      <c r="X18" s="3">
        <v>959624.7</v>
      </c>
      <c r="Y18" s="33">
        <v>485.94</v>
      </c>
      <c r="Z18" s="33">
        <v>2062902.7692000002</v>
      </c>
      <c r="AA18" s="33">
        <f t="shared" si="0"/>
        <v>3022527.4692000002</v>
      </c>
      <c r="AB18" s="128">
        <f t="shared" si="1"/>
        <v>232.93052600590781</v>
      </c>
      <c r="AC18" s="134">
        <v>150.04299999999998</v>
      </c>
      <c r="AD18" s="3">
        <v>0</v>
      </c>
      <c r="AE18" s="3">
        <v>0</v>
      </c>
      <c r="AF18" s="3">
        <v>36</v>
      </c>
      <c r="AG18" s="3">
        <f t="shared" si="9"/>
        <v>186.04299999999998</v>
      </c>
      <c r="AH18" s="3">
        <v>1790455.6812499999</v>
      </c>
      <c r="AI18" s="43">
        <f t="shared" si="2"/>
        <v>137.98113925304153</v>
      </c>
      <c r="AJ18" s="142">
        <v>422.95999999999913</v>
      </c>
      <c r="AK18" s="3">
        <v>4356487.9999999907</v>
      </c>
      <c r="AL18" s="39">
        <f t="shared" si="3"/>
        <v>335.73195007124571</v>
      </c>
      <c r="AM18" s="7"/>
    </row>
    <row r="19" spans="1:39" x14ac:dyDescent="0.25">
      <c r="A19" s="35"/>
      <c r="B19" s="58">
        <v>8</v>
      </c>
      <c r="C19" s="215">
        <v>120</v>
      </c>
      <c r="D19" s="216">
        <v>856</v>
      </c>
      <c r="E19" s="106">
        <v>16040.000000000873</v>
      </c>
      <c r="F19" s="3">
        <v>16613911.200000905</v>
      </c>
      <c r="G19" s="37">
        <v>3360.0000000001273</v>
      </c>
      <c r="H19" s="3">
        <v>5220331.2000001976</v>
      </c>
      <c r="I19" s="103">
        <f t="shared" si="4"/>
        <v>21834242.400001101</v>
      </c>
      <c r="J19" s="106">
        <v>1979.9999999995634</v>
      </c>
      <c r="K19" s="3">
        <v>2050844.3999995477</v>
      </c>
      <c r="L19" s="184">
        <v>440.00000000005457</v>
      </c>
      <c r="M19" s="185">
        <v>683614.8000000848</v>
      </c>
      <c r="N19" s="94">
        <f t="shared" si="5"/>
        <v>2734459.1999996323</v>
      </c>
      <c r="O19" s="108">
        <f t="shared" si="6"/>
        <v>24568701.600000732</v>
      </c>
      <c r="P19" s="111">
        <f t="shared" si="7"/>
        <v>21820.000000000618</v>
      </c>
      <c r="Q19" s="189"/>
      <c r="R19" s="200"/>
      <c r="S19" s="213"/>
      <c r="T19" s="210"/>
      <c r="U19" s="208">
        <v>0</v>
      </c>
      <c r="V19" s="186">
        <f t="shared" si="8"/>
        <v>498.40000000000003</v>
      </c>
      <c r="W19" s="3">
        <v>21.36</v>
      </c>
      <c r="X19" s="3">
        <v>383849.88</v>
      </c>
      <c r="Y19" s="33">
        <v>477.04</v>
      </c>
      <c r="Z19" s="33">
        <v>2025120.6672000003</v>
      </c>
      <c r="AA19" s="33">
        <f t="shared" si="0"/>
        <v>2408970.5472000004</v>
      </c>
      <c r="AB19" s="128">
        <f t="shared" si="1"/>
        <v>185.64687415084208</v>
      </c>
      <c r="AC19" s="134">
        <v>146.29695999996952</v>
      </c>
      <c r="AD19" s="3">
        <v>0</v>
      </c>
      <c r="AE19" s="3">
        <v>0</v>
      </c>
      <c r="AF19" s="3">
        <v>0</v>
      </c>
      <c r="AG19" s="3">
        <f t="shared" si="9"/>
        <v>146.29695999996952</v>
      </c>
      <c r="AH19" s="3">
        <v>1337702.8279997213</v>
      </c>
      <c r="AI19" s="43">
        <f t="shared" si="2"/>
        <v>103.08982351384132</v>
      </c>
      <c r="AJ19" s="142">
        <v>666.89000000000669</v>
      </c>
      <c r="AK19" s="3">
        <v>6868967.0000000689</v>
      </c>
      <c r="AL19" s="39">
        <f t="shared" si="3"/>
        <v>529.35568418530306</v>
      </c>
      <c r="AM19" s="7"/>
    </row>
    <row r="20" spans="1:39" x14ac:dyDescent="0.25">
      <c r="A20" s="35"/>
      <c r="B20" s="58">
        <v>9</v>
      </c>
      <c r="C20" s="215">
        <v>123</v>
      </c>
      <c r="D20" s="216">
        <v>990</v>
      </c>
      <c r="E20" s="106">
        <v>16279.999999998836</v>
      </c>
      <c r="F20" s="3">
        <v>16862498.399998795</v>
      </c>
      <c r="G20" s="37">
        <v>3480.0000000000182</v>
      </c>
      <c r="H20" s="3">
        <v>5406771.6000000285</v>
      </c>
      <c r="I20" s="103">
        <f t="shared" si="4"/>
        <v>22269269.999998823</v>
      </c>
      <c r="J20" s="106">
        <v>1980.0000000004729</v>
      </c>
      <c r="K20" s="3">
        <v>2050844.4000004898</v>
      </c>
      <c r="L20" s="184">
        <v>440.00000000005457</v>
      </c>
      <c r="M20" s="185">
        <v>683614.8000000848</v>
      </c>
      <c r="N20" s="94">
        <f t="shared" si="5"/>
        <v>2734459.2000005748</v>
      </c>
      <c r="O20" s="108">
        <f t="shared" si="6"/>
        <v>25003729.199999399</v>
      </c>
      <c r="P20" s="111">
        <f t="shared" si="7"/>
        <v>22179.999999999382</v>
      </c>
      <c r="Q20" s="189"/>
      <c r="R20" s="200"/>
      <c r="S20" s="213"/>
      <c r="T20" s="210"/>
      <c r="U20" s="208">
        <v>0</v>
      </c>
      <c r="V20" s="186">
        <f t="shared" si="8"/>
        <v>432.54</v>
      </c>
      <c r="W20" s="3">
        <v>13.35</v>
      </c>
      <c r="X20" s="3">
        <v>239906.17499999999</v>
      </c>
      <c r="Y20" s="33">
        <v>419.19</v>
      </c>
      <c r="Z20" s="33">
        <v>1779537.0042000001</v>
      </c>
      <c r="AA20" s="33">
        <f t="shared" si="0"/>
        <v>2019443.1792000001</v>
      </c>
      <c r="AB20" s="128">
        <f t="shared" si="1"/>
        <v>155.6280188562194</v>
      </c>
      <c r="AC20" s="134">
        <v>143.23567999999059</v>
      </c>
      <c r="AD20" s="3">
        <v>0</v>
      </c>
      <c r="AE20" s="3">
        <v>0</v>
      </c>
      <c r="AF20" s="3">
        <v>12</v>
      </c>
      <c r="AG20" s="3">
        <f t="shared" si="9"/>
        <v>155.23567999999059</v>
      </c>
      <c r="AH20" s="3">
        <v>1449211.2489999139</v>
      </c>
      <c r="AI20" s="43">
        <f t="shared" si="2"/>
        <v>111.68319956164869</v>
      </c>
      <c r="AJ20" s="142">
        <v>545.60999999998671</v>
      </c>
      <c r="AK20" s="3">
        <v>5619782.9999998631</v>
      </c>
      <c r="AL20" s="39">
        <f t="shared" si="3"/>
        <v>433.08754794393866</v>
      </c>
      <c r="AM20" s="7"/>
    </row>
    <row r="21" spans="1:39" x14ac:dyDescent="0.25">
      <c r="A21" s="35"/>
      <c r="B21" s="58">
        <v>10</v>
      </c>
      <c r="C21" s="215">
        <v>127</v>
      </c>
      <c r="D21" s="216">
        <v>895</v>
      </c>
      <c r="E21" s="106">
        <v>16440.000000000509</v>
      </c>
      <c r="F21" s="3">
        <v>17028223.200000528</v>
      </c>
      <c r="G21" s="37">
        <v>3559.9999999999454</v>
      </c>
      <c r="H21" s="3">
        <v>5531065.1999999154</v>
      </c>
      <c r="I21" s="103">
        <f t="shared" si="4"/>
        <v>22559288.400000446</v>
      </c>
      <c r="J21" s="106">
        <v>1979.9999999995634</v>
      </c>
      <c r="K21" s="3">
        <v>2050844.3999995477</v>
      </c>
      <c r="L21" s="184">
        <v>420.00000000007276</v>
      </c>
      <c r="M21" s="185">
        <v>652541.40000011306</v>
      </c>
      <c r="N21" s="94">
        <f t="shared" si="5"/>
        <v>2703385.7999996608</v>
      </c>
      <c r="O21" s="108">
        <f t="shared" si="6"/>
        <v>25262674.200000107</v>
      </c>
      <c r="P21" s="111">
        <f t="shared" si="7"/>
        <v>22400.000000000091</v>
      </c>
      <c r="Q21" s="189"/>
      <c r="R21" s="200"/>
      <c r="S21" s="213"/>
      <c r="T21" s="210"/>
      <c r="U21" s="208">
        <v>0</v>
      </c>
      <c r="V21" s="186">
        <f t="shared" si="8"/>
        <v>549.13</v>
      </c>
      <c r="W21" s="3">
        <v>17.8</v>
      </c>
      <c r="X21" s="3">
        <v>319874.90000000002</v>
      </c>
      <c r="Y21" s="33">
        <v>531.33000000000004</v>
      </c>
      <c r="Z21" s="33">
        <v>2255591.4894000003</v>
      </c>
      <c r="AA21" s="33">
        <f t="shared" si="0"/>
        <v>2575466.3894000002</v>
      </c>
      <c r="AB21" s="128">
        <f t="shared" si="1"/>
        <v>198.47784574552119</v>
      </c>
      <c r="AC21" s="134">
        <v>142.06756000001639</v>
      </c>
      <c r="AD21" s="3">
        <v>0</v>
      </c>
      <c r="AE21" s="3">
        <v>200</v>
      </c>
      <c r="AF21" s="3">
        <v>0</v>
      </c>
      <c r="AG21" s="3">
        <f t="shared" si="9"/>
        <v>342.06756000001639</v>
      </c>
      <c r="AH21" s="3">
        <v>3389030.2517501498</v>
      </c>
      <c r="AI21" s="43">
        <f t="shared" si="2"/>
        <v>261.17499583851145</v>
      </c>
      <c r="AJ21" s="142">
        <v>506.68000000000029</v>
      </c>
      <c r="AK21" s="3">
        <v>5218804.0000000028</v>
      </c>
      <c r="AL21" s="39">
        <f t="shared" si="3"/>
        <v>402.18617472597697</v>
      </c>
      <c r="AM21" s="7"/>
    </row>
    <row r="22" spans="1:39" x14ac:dyDescent="0.25">
      <c r="A22" s="35"/>
      <c r="B22" s="58">
        <v>11</v>
      </c>
      <c r="C22" s="215">
        <v>126</v>
      </c>
      <c r="D22" s="216">
        <v>1001</v>
      </c>
      <c r="E22" s="106">
        <v>16000</v>
      </c>
      <c r="F22" s="3">
        <v>16572480</v>
      </c>
      <c r="G22" s="37">
        <v>3519.9999999999818</v>
      </c>
      <c r="H22" s="3">
        <v>5468918.3999999724</v>
      </c>
      <c r="I22" s="103">
        <f t="shared" si="4"/>
        <v>22041398.399999972</v>
      </c>
      <c r="J22" s="106">
        <v>1840.0000000001455</v>
      </c>
      <c r="K22" s="3">
        <v>1905835.2000001506</v>
      </c>
      <c r="L22" s="184">
        <v>439.9999999998272</v>
      </c>
      <c r="M22" s="185">
        <v>683614.79999973159</v>
      </c>
      <c r="N22" s="94">
        <f t="shared" si="5"/>
        <v>2589449.9999998822</v>
      </c>
      <c r="O22" s="108">
        <f t="shared" si="6"/>
        <v>24630848.399999853</v>
      </c>
      <c r="P22" s="111">
        <f t="shared" si="7"/>
        <v>21799.999999999956</v>
      </c>
      <c r="Q22" s="189"/>
      <c r="R22" s="200"/>
      <c r="S22" s="213"/>
      <c r="T22" s="210"/>
      <c r="U22" s="208">
        <v>0</v>
      </c>
      <c r="V22" s="186">
        <f t="shared" si="8"/>
        <v>486.83</v>
      </c>
      <c r="W22" s="3">
        <v>0</v>
      </c>
      <c r="X22" s="3">
        <v>0</v>
      </c>
      <c r="Y22" s="33">
        <v>486.83</v>
      </c>
      <c r="Z22" s="33">
        <v>2066680.9794000001</v>
      </c>
      <c r="AA22" s="33">
        <f t="shared" si="0"/>
        <v>2066680.9794000001</v>
      </c>
      <c r="AB22" s="128">
        <f t="shared" si="1"/>
        <v>159.26839127965357</v>
      </c>
      <c r="AC22" s="134">
        <v>134.1324000000117</v>
      </c>
      <c r="AD22" s="3">
        <v>0</v>
      </c>
      <c r="AE22" s="3">
        <v>0</v>
      </c>
      <c r="AF22" s="3">
        <v>0</v>
      </c>
      <c r="AG22" s="3">
        <f t="shared" si="9"/>
        <v>134.1324000000117</v>
      </c>
      <c r="AH22" s="3">
        <v>1226473.1325001069</v>
      </c>
      <c r="AI22" s="43">
        <f t="shared" si="2"/>
        <v>94.517927395702941</v>
      </c>
      <c r="AJ22" s="142">
        <v>612.29999999999563</v>
      </c>
      <c r="AK22" s="3">
        <v>6306689.9999999553</v>
      </c>
      <c r="AL22" s="39">
        <f t="shared" si="3"/>
        <v>486.02391013008969</v>
      </c>
      <c r="AM22" s="7"/>
    </row>
    <row r="23" spans="1:39" x14ac:dyDescent="0.25">
      <c r="A23" s="35"/>
      <c r="B23" s="58">
        <v>12</v>
      </c>
      <c r="C23" s="215">
        <v>130</v>
      </c>
      <c r="D23" s="216">
        <v>870</v>
      </c>
      <c r="E23" s="106">
        <v>17440.000000000509</v>
      </c>
      <c r="F23" s="3">
        <v>18064003.200000528</v>
      </c>
      <c r="G23" s="37">
        <v>3879.9999999998818</v>
      </c>
      <c r="H23" s="3">
        <v>6028239.5999998162</v>
      </c>
      <c r="I23" s="103">
        <f t="shared" si="4"/>
        <v>24092242.800000343</v>
      </c>
      <c r="J23" s="106">
        <v>1899.9999999996362</v>
      </c>
      <c r="K23" s="3">
        <v>1967981.999999623</v>
      </c>
      <c r="L23" s="184">
        <v>440.00000000005457</v>
      </c>
      <c r="M23" s="185">
        <v>683614.8000000848</v>
      </c>
      <c r="N23" s="94">
        <f t="shared" si="5"/>
        <v>2651596.7999997078</v>
      </c>
      <c r="O23" s="108">
        <f t="shared" si="6"/>
        <v>26743839.60000005</v>
      </c>
      <c r="P23" s="111">
        <f t="shared" si="7"/>
        <v>23660.00000000008</v>
      </c>
      <c r="Q23" s="189"/>
      <c r="R23" s="200"/>
      <c r="S23" s="213"/>
      <c r="T23" s="210"/>
      <c r="U23" s="208">
        <v>0</v>
      </c>
      <c r="V23" s="186">
        <f t="shared" si="8"/>
        <v>476.15000000000003</v>
      </c>
      <c r="W23" s="3">
        <v>2.67</v>
      </c>
      <c r="X23" s="3">
        <v>47981.235000000001</v>
      </c>
      <c r="Y23" s="33">
        <v>473.48</v>
      </c>
      <c r="Z23" s="33">
        <v>2010007.8264000001</v>
      </c>
      <c r="AA23" s="33">
        <f t="shared" si="0"/>
        <v>2057989.0614000002</v>
      </c>
      <c r="AB23" s="128">
        <f t="shared" si="1"/>
        <v>158.59855021042549</v>
      </c>
      <c r="AC23" s="134">
        <v>136.952</v>
      </c>
      <c r="AD23" s="3">
        <v>0</v>
      </c>
      <c r="AE23" s="3">
        <v>0</v>
      </c>
      <c r="AF23" s="3">
        <v>12</v>
      </c>
      <c r="AG23" s="3">
        <f t="shared" si="9"/>
        <v>148.952</v>
      </c>
      <c r="AH23" s="3">
        <v>1391754.85</v>
      </c>
      <c r="AI23" s="43">
        <f t="shared" si="2"/>
        <v>107.25533269266782</v>
      </c>
      <c r="AJ23" s="142">
        <v>504.40000000000146</v>
      </c>
      <c r="AK23" s="3">
        <v>5195320.0000000149</v>
      </c>
      <c r="AL23" s="39">
        <f t="shared" si="3"/>
        <v>400.37638456576786</v>
      </c>
      <c r="AM23" s="7"/>
    </row>
    <row r="24" spans="1:39" x14ac:dyDescent="0.25">
      <c r="A24" s="35"/>
      <c r="B24" s="58">
        <v>13</v>
      </c>
      <c r="C24" s="215">
        <v>120</v>
      </c>
      <c r="D24" s="216">
        <v>687</v>
      </c>
      <c r="E24" s="106">
        <v>16600.000000000364</v>
      </c>
      <c r="F24" s="3">
        <v>17193948.000000376</v>
      </c>
      <c r="G24" s="37">
        <v>3480.0000000000182</v>
      </c>
      <c r="H24" s="3">
        <v>5406771.6000000285</v>
      </c>
      <c r="I24" s="103">
        <f t="shared" si="4"/>
        <v>22600719.600000404</v>
      </c>
      <c r="J24" s="106">
        <v>1820.0000000006185</v>
      </c>
      <c r="K24" s="3">
        <v>1885119.6000006406</v>
      </c>
      <c r="L24" s="184">
        <v>420.00000000007276</v>
      </c>
      <c r="M24" s="185">
        <v>652541.40000011306</v>
      </c>
      <c r="N24" s="94">
        <f t="shared" si="5"/>
        <v>2537661.0000007534</v>
      </c>
      <c r="O24" s="108">
        <f t="shared" si="6"/>
        <v>25138380.600001156</v>
      </c>
      <c r="P24" s="111">
        <f t="shared" si="7"/>
        <v>22320.000000001073</v>
      </c>
      <c r="Q24" s="189"/>
      <c r="R24" s="200"/>
      <c r="S24" s="213"/>
      <c r="T24" s="210"/>
      <c r="U24" s="208">
        <v>0</v>
      </c>
      <c r="V24" s="186">
        <f>Y24+W24</f>
        <v>431.65000000000003</v>
      </c>
      <c r="W24" s="3">
        <v>0</v>
      </c>
      <c r="X24" s="3">
        <v>0</v>
      </c>
      <c r="Y24" s="33">
        <v>431.65000000000003</v>
      </c>
      <c r="Z24" s="33">
        <v>1832431.9470000002</v>
      </c>
      <c r="AA24" s="33">
        <f t="shared" si="0"/>
        <v>1832431.9470000002</v>
      </c>
      <c r="AB24" s="128">
        <f t="shared" si="1"/>
        <v>141.21603248744424</v>
      </c>
      <c r="AC24" s="134">
        <v>136.79087999996716</v>
      </c>
      <c r="AD24" s="3">
        <v>0</v>
      </c>
      <c r="AE24" s="3">
        <v>350</v>
      </c>
      <c r="AF24" s="3">
        <v>24</v>
      </c>
      <c r="AG24" s="3">
        <f t="shared" si="9"/>
        <v>510.79087999996716</v>
      </c>
      <c r="AH24" s="3">
        <v>5187281.6089996994</v>
      </c>
      <c r="AI24" s="43">
        <f t="shared" si="2"/>
        <v>399.75690743511331</v>
      </c>
      <c r="AJ24" s="142">
        <v>540.59999999999854</v>
      </c>
      <c r="AK24" s="3">
        <v>5568179.9999999851</v>
      </c>
      <c r="AL24" s="39">
        <f t="shared" si="3"/>
        <v>429.11077219717072</v>
      </c>
      <c r="AM24" s="7"/>
    </row>
    <row r="25" spans="1:39" x14ac:dyDescent="0.25">
      <c r="A25" s="35"/>
      <c r="B25" s="58">
        <v>14</v>
      </c>
      <c r="C25" s="215">
        <v>115</v>
      </c>
      <c r="D25" s="216">
        <v>843</v>
      </c>
      <c r="E25" s="106">
        <v>16599.999999998545</v>
      </c>
      <c r="F25" s="3">
        <v>17193947.999998491</v>
      </c>
      <c r="G25" s="37">
        <v>3600.0000000001364</v>
      </c>
      <c r="H25" s="3">
        <v>5593212.0000002123</v>
      </c>
      <c r="I25" s="103">
        <f t="shared" si="4"/>
        <v>22787159.999998704</v>
      </c>
      <c r="J25" s="106">
        <v>1899.9999999996362</v>
      </c>
      <c r="K25" s="3">
        <v>1967981.999999623</v>
      </c>
      <c r="L25" s="184">
        <v>420.00000000007276</v>
      </c>
      <c r="M25" s="185">
        <v>652541.40000011306</v>
      </c>
      <c r="N25" s="94">
        <f t="shared" si="5"/>
        <v>2620523.3999997359</v>
      </c>
      <c r="O25" s="108">
        <f t="shared" si="6"/>
        <v>25407683.399998441</v>
      </c>
      <c r="P25" s="111">
        <f t="shared" si="7"/>
        <v>22519.999999998392</v>
      </c>
      <c r="Q25" s="189"/>
      <c r="R25" s="200"/>
      <c r="S25" s="213"/>
      <c r="T25" s="210"/>
      <c r="U25" s="208">
        <v>0</v>
      </c>
      <c r="V25" s="186">
        <f t="shared" si="8"/>
        <v>420.97</v>
      </c>
      <c r="W25" s="3">
        <v>0</v>
      </c>
      <c r="X25" s="3">
        <v>0</v>
      </c>
      <c r="Y25" s="33">
        <v>420.97</v>
      </c>
      <c r="Z25" s="33">
        <v>1787093.4246000003</v>
      </c>
      <c r="AA25" s="33">
        <f t="shared" si="0"/>
        <v>1787093.4246000003</v>
      </c>
      <c r="AB25" s="128">
        <f t="shared" si="1"/>
        <v>137.72202755991984</v>
      </c>
      <c r="AC25" s="134">
        <v>151.61391999999765</v>
      </c>
      <c r="AD25" s="3">
        <v>0</v>
      </c>
      <c r="AE25" s="3">
        <v>0</v>
      </c>
      <c r="AF25" s="3">
        <v>0</v>
      </c>
      <c r="AG25" s="3">
        <f t="shared" si="9"/>
        <v>151.61391999999765</v>
      </c>
      <c r="AH25" s="3">
        <v>1386319.7809999785</v>
      </c>
      <c r="AI25" s="43">
        <f t="shared" si="2"/>
        <v>106.83648009531211</v>
      </c>
      <c r="AJ25" s="142">
        <v>448.20000000000437</v>
      </c>
      <c r="AK25" s="3">
        <v>4616460.0000000447</v>
      </c>
      <c r="AL25" s="39">
        <f t="shared" si="3"/>
        <v>355.76664465182074</v>
      </c>
      <c r="AM25" s="7"/>
    </row>
    <row r="26" spans="1:39" x14ac:dyDescent="0.25">
      <c r="A26" s="35"/>
      <c r="B26" s="58">
        <v>15</v>
      </c>
      <c r="C26" s="215">
        <v>112</v>
      </c>
      <c r="D26" s="216">
        <v>907</v>
      </c>
      <c r="E26" s="106">
        <v>17040.000000000873</v>
      </c>
      <c r="F26" s="3">
        <v>17649691.200000905</v>
      </c>
      <c r="G26" s="37">
        <v>3559.9999999999454</v>
      </c>
      <c r="H26" s="3">
        <v>5531065.1999999154</v>
      </c>
      <c r="I26" s="103">
        <f t="shared" si="4"/>
        <v>23180756.400000818</v>
      </c>
      <c r="J26" s="106">
        <v>1920.0000000000728</v>
      </c>
      <c r="K26" s="3">
        <v>1988697.6000000753</v>
      </c>
      <c r="L26" s="184">
        <v>439.9999999998272</v>
      </c>
      <c r="M26" s="185">
        <v>683614.79999973159</v>
      </c>
      <c r="N26" s="94">
        <f t="shared" si="5"/>
        <v>2672312.3999998067</v>
      </c>
      <c r="O26" s="108">
        <f t="shared" si="6"/>
        <v>25853068.800000623</v>
      </c>
      <c r="P26" s="111">
        <f t="shared" si="7"/>
        <v>22960.00000000072</v>
      </c>
      <c r="Q26" s="189"/>
      <c r="R26" s="200"/>
      <c r="S26" s="213"/>
      <c r="T26" s="210"/>
      <c r="U26" s="208">
        <v>0</v>
      </c>
      <c r="V26" s="186">
        <f t="shared" si="8"/>
        <v>534</v>
      </c>
      <c r="W26" s="3">
        <v>0</v>
      </c>
      <c r="X26" s="3">
        <v>0</v>
      </c>
      <c r="Y26" s="33">
        <v>534</v>
      </c>
      <c r="Z26" s="33">
        <v>2266926.12</v>
      </c>
      <c r="AA26" s="33">
        <f t="shared" si="0"/>
        <v>2266926.12</v>
      </c>
      <c r="AB26" s="128">
        <f t="shared" si="1"/>
        <v>174.70024637621967</v>
      </c>
      <c r="AC26" s="134">
        <v>150.72776000005157</v>
      </c>
      <c r="AD26" s="3">
        <v>0</v>
      </c>
      <c r="AE26" s="3">
        <v>100</v>
      </c>
      <c r="AF26" s="3">
        <v>12</v>
      </c>
      <c r="AG26" s="3">
        <f t="shared" si="9"/>
        <v>262.7277600000516</v>
      </c>
      <c r="AH26" s="3">
        <v>2562716.9555004714</v>
      </c>
      <c r="AI26" s="43">
        <f t="shared" si="2"/>
        <v>197.49531295640455</v>
      </c>
      <c r="AJ26" s="142">
        <v>795.68000000000029</v>
      </c>
      <c r="AK26" s="3">
        <v>8195504.0000000028</v>
      </c>
      <c r="AL26" s="39">
        <f t="shared" si="3"/>
        <v>631.58501520874188</v>
      </c>
      <c r="AM26" s="7"/>
    </row>
    <row r="27" spans="1:39" x14ac:dyDescent="0.25">
      <c r="A27" s="35"/>
      <c r="B27" s="58">
        <v>16</v>
      </c>
      <c r="C27" s="215">
        <v>115</v>
      </c>
      <c r="D27" s="216">
        <v>888</v>
      </c>
      <c r="E27" s="106">
        <v>17239.999999999782</v>
      </c>
      <c r="F27" s="3">
        <v>17856847.199999772</v>
      </c>
      <c r="G27" s="37">
        <v>3519.9999999999818</v>
      </c>
      <c r="H27" s="3">
        <v>5468918.3999999724</v>
      </c>
      <c r="I27" s="103">
        <f t="shared" si="4"/>
        <v>23325765.599999744</v>
      </c>
      <c r="J27" s="106">
        <v>2000</v>
      </c>
      <c r="K27" s="3">
        <v>2071560</v>
      </c>
      <c r="L27" s="184">
        <v>440.00000000005457</v>
      </c>
      <c r="M27" s="185">
        <v>683614.8000000848</v>
      </c>
      <c r="N27" s="94">
        <f t="shared" si="5"/>
        <v>2755174.8000000846</v>
      </c>
      <c r="O27" s="108">
        <f t="shared" si="6"/>
        <v>26080940.399999827</v>
      </c>
      <c r="P27" s="111">
        <f t="shared" si="7"/>
        <v>23199.999999999818</v>
      </c>
      <c r="Q27" s="189"/>
      <c r="R27" s="200"/>
      <c r="S27" s="213"/>
      <c r="T27" s="210"/>
      <c r="U27" s="208">
        <v>0</v>
      </c>
      <c r="V27" s="186">
        <f t="shared" si="8"/>
        <v>525.99</v>
      </c>
      <c r="W27" s="3">
        <v>39.160000000000004</v>
      </c>
      <c r="X27" s="3">
        <v>703724.78</v>
      </c>
      <c r="Y27" s="33">
        <v>486.83</v>
      </c>
      <c r="Z27" s="33">
        <v>2066680.9794000001</v>
      </c>
      <c r="AA27" s="33">
        <f t="shared" si="0"/>
        <v>2770405.7593999999</v>
      </c>
      <c r="AB27" s="128">
        <f t="shared" si="1"/>
        <v>213.50081260225537</v>
      </c>
      <c r="AC27" s="134">
        <v>154.1918399999953</v>
      </c>
      <c r="AD27" s="3">
        <v>0</v>
      </c>
      <c r="AE27" s="3">
        <v>0</v>
      </c>
      <c r="AF27" s="3">
        <v>12</v>
      </c>
      <c r="AG27" s="3">
        <f t="shared" si="9"/>
        <v>166.1918399999953</v>
      </c>
      <c r="AH27" s="3">
        <v>1549391.636999957</v>
      </c>
      <c r="AI27" s="43">
        <f t="shared" si="2"/>
        <v>119.40358282039945</v>
      </c>
      <c r="AJ27" s="142">
        <v>611.0199999999968</v>
      </c>
      <c r="AK27" s="3">
        <v>6293505.9999999674</v>
      </c>
      <c r="AL27" s="39">
        <f t="shared" si="3"/>
        <v>485.00788758400779</v>
      </c>
      <c r="AM27" s="7"/>
    </row>
    <row r="28" spans="1:39" x14ac:dyDescent="0.25">
      <c r="A28" s="35"/>
      <c r="B28" s="58">
        <v>17</v>
      </c>
      <c r="C28" s="215">
        <v>98</v>
      </c>
      <c r="D28" s="216">
        <v>796</v>
      </c>
      <c r="E28" s="106">
        <v>16000</v>
      </c>
      <c r="F28" s="3">
        <v>16572480</v>
      </c>
      <c r="G28" s="37">
        <v>3400.0000000000909</v>
      </c>
      <c r="H28" s="3">
        <v>5282478.0000001416</v>
      </c>
      <c r="I28" s="103">
        <f t="shared" si="4"/>
        <v>21854958.000000142</v>
      </c>
      <c r="J28" s="106">
        <v>1940.0000000005093</v>
      </c>
      <c r="K28" s="3">
        <v>2009413.2000005275</v>
      </c>
      <c r="L28" s="184">
        <v>420.00000000007276</v>
      </c>
      <c r="M28" s="185">
        <v>652541.40000011306</v>
      </c>
      <c r="N28" s="94">
        <f t="shared" si="5"/>
        <v>2661954.6000006404</v>
      </c>
      <c r="O28" s="108">
        <f t="shared" si="6"/>
        <v>24516912.600000784</v>
      </c>
      <c r="P28" s="111">
        <f t="shared" si="7"/>
        <v>21760.000000000673</v>
      </c>
      <c r="Q28" s="189"/>
      <c r="R28" s="202"/>
      <c r="S28" s="213"/>
      <c r="T28" s="210"/>
      <c r="U28" s="208">
        <v>0</v>
      </c>
      <c r="V28" s="186">
        <f t="shared" si="8"/>
        <v>531.33000000000004</v>
      </c>
      <c r="W28" s="3">
        <v>106.8</v>
      </c>
      <c r="X28" s="3">
        <v>1919249.4</v>
      </c>
      <c r="Y28" s="33">
        <v>424.53000000000003</v>
      </c>
      <c r="Z28" s="33">
        <v>1802206.2654000001</v>
      </c>
      <c r="AA28" s="33">
        <f t="shared" si="0"/>
        <v>3721455.6654000003</v>
      </c>
      <c r="AB28" s="128">
        <f t="shared" si="1"/>
        <v>286.79329947619044</v>
      </c>
      <c r="AC28" s="134">
        <v>144.76631999995075</v>
      </c>
      <c r="AD28" s="3">
        <v>0</v>
      </c>
      <c r="AE28" s="3">
        <v>150</v>
      </c>
      <c r="AF28" s="3">
        <v>36</v>
      </c>
      <c r="AG28" s="3">
        <f t="shared" si="9"/>
        <v>330.76631999995072</v>
      </c>
      <c r="AH28" s="3">
        <v>3309707.03849955</v>
      </c>
      <c r="AI28" s="43">
        <f t="shared" si="2"/>
        <v>255.06196693299367</v>
      </c>
      <c r="AJ28" s="142">
        <v>601.40000000000146</v>
      </c>
      <c r="AK28" s="3">
        <v>6194420.0000000149</v>
      </c>
      <c r="AL28" s="39">
        <f t="shared" si="3"/>
        <v>477.3718431361076</v>
      </c>
      <c r="AM28" s="7"/>
    </row>
    <row r="29" spans="1:39" x14ac:dyDescent="0.25">
      <c r="A29" s="35"/>
      <c r="B29" s="58">
        <v>18</v>
      </c>
      <c r="C29" s="215">
        <v>100</v>
      </c>
      <c r="D29" s="216">
        <v>871</v>
      </c>
      <c r="E29" s="106">
        <v>15559.999999999491</v>
      </c>
      <c r="F29" s="3">
        <v>16116736.799999472</v>
      </c>
      <c r="G29" s="37">
        <v>3399.9999999998636</v>
      </c>
      <c r="H29" s="3">
        <v>5282477.9999997886</v>
      </c>
      <c r="I29" s="103">
        <f t="shared" si="4"/>
        <v>21399214.799999259</v>
      </c>
      <c r="J29" s="106">
        <v>1759.9999999993088</v>
      </c>
      <c r="K29" s="3">
        <v>1822972.7999992841</v>
      </c>
      <c r="L29" s="184">
        <v>439.9999999998272</v>
      </c>
      <c r="M29" s="185">
        <v>683614.79999973159</v>
      </c>
      <c r="N29" s="94">
        <f t="shared" si="5"/>
        <v>2506587.5999990157</v>
      </c>
      <c r="O29" s="108">
        <f t="shared" si="6"/>
        <v>23905802.399998274</v>
      </c>
      <c r="P29" s="111">
        <f t="shared" si="7"/>
        <v>21159.99999999849</v>
      </c>
      <c r="Q29" s="190"/>
      <c r="R29" s="203"/>
      <c r="S29" s="213"/>
      <c r="T29" s="210"/>
      <c r="U29" s="208">
        <v>0</v>
      </c>
      <c r="V29" s="186">
        <f t="shared" si="8"/>
        <v>517.09</v>
      </c>
      <c r="W29" s="3">
        <v>38.270000000000003</v>
      </c>
      <c r="X29" s="3">
        <v>687731.03500000003</v>
      </c>
      <c r="Y29" s="33">
        <v>478.82</v>
      </c>
      <c r="Z29" s="33">
        <v>2032677.0876000002</v>
      </c>
      <c r="AA29" s="33">
        <f t="shared" si="0"/>
        <v>2720408.1226000004</v>
      </c>
      <c r="AB29" s="128">
        <f t="shared" si="1"/>
        <v>209.64775387655297</v>
      </c>
      <c r="AC29" s="134">
        <v>143.59820000003515</v>
      </c>
      <c r="AD29" s="3">
        <v>0</v>
      </c>
      <c r="AE29" s="3">
        <v>0</v>
      </c>
      <c r="AF29" s="3">
        <v>0</v>
      </c>
      <c r="AG29" s="3">
        <f t="shared" si="9"/>
        <v>143.59820000003515</v>
      </c>
      <c r="AH29" s="3">
        <v>1313026.0412503213</v>
      </c>
      <c r="AI29" s="43">
        <f t="shared" si="2"/>
        <v>101.18811146118139</v>
      </c>
      <c r="AJ29" s="142">
        <v>608.40000000000146</v>
      </c>
      <c r="AK29" s="3">
        <v>6266520.0000000149</v>
      </c>
      <c r="AL29" s="39">
        <f t="shared" si="3"/>
        <v>482.92821643499815</v>
      </c>
      <c r="AM29" s="7"/>
    </row>
    <row r="30" spans="1:39" x14ac:dyDescent="0.25">
      <c r="A30" s="35"/>
      <c r="B30" s="58">
        <v>19</v>
      </c>
      <c r="C30" s="215">
        <v>94</v>
      </c>
      <c r="D30" s="216">
        <v>760</v>
      </c>
      <c r="E30" s="106">
        <v>15720.000000001164</v>
      </c>
      <c r="F30" s="3">
        <v>16282461.600001205</v>
      </c>
      <c r="G30" s="37">
        <v>3440.0000000000546</v>
      </c>
      <c r="H30" s="3">
        <v>5344624.8000000855</v>
      </c>
      <c r="I30" s="103">
        <f t="shared" si="4"/>
        <v>21627086.400001291</v>
      </c>
      <c r="J30" s="106">
        <v>1680.000000000291</v>
      </c>
      <c r="K30" s="3">
        <v>1740110.4000003014</v>
      </c>
      <c r="L30" s="184">
        <v>420.00000000007276</v>
      </c>
      <c r="M30" s="185">
        <v>652541.40000011306</v>
      </c>
      <c r="N30" s="94">
        <f t="shared" si="5"/>
        <v>2392651.8000004143</v>
      </c>
      <c r="O30" s="108">
        <f t="shared" si="6"/>
        <v>24019738.200001705</v>
      </c>
      <c r="P30" s="111">
        <f t="shared" si="7"/>
        <v>21260.000000001583</v>
      </c>
      <c r="Q30" s="189"/>
      <c r="R30" s="189"/>
      <c r="S30" s="213"/>
      <c r="T30" s="210"/>
      <c r="U30" s="208">
        <v>0</v>
      </c>
      <c r="V30" s="186">
        <f t="shared" si="8"/>
        <v>570.49</v>
      </c>
      <c r="W30" s="3">
        <v>61.410000000000004</v>
      </c>
      <c r="X30" s="3">
        <v>1103568.405</v>
      </c>
      <c r="Y30" s="33">
        <v>509.08</v>
      </c>
      <c r="Z30" s="33">
        <v>2161136.2344</v>
      </c>
      <c r="AA30" s="33">
        <f t="shared" si="0"/>
        <v>3264704.6393999998</v>
      </c>
      <c r="AB30" s="128">
        <f t="shared" si="1"/>
        <v>251.59386528607615</v>
      </c>
      <c r="AC30" s="134">
        <v>133.93099999999998</v>
      </c>
      <c r="AD30" s="3">
        <v>0</v>
      </c>
      <c r="AE30" s="3">
        <v>450</v>
      </c>
      <c r="AF30" s="3">
        <v>12</v>
      </c>
      <c r="AG30" s="3">
        <f t="shared" si="9"/>
        <v>595.93100000000004</v>
      </c>
      <c r="AH30" s="3">
        <v>6066631.5812499998</v>
      </c>
      <c r="AI30" s="43">
        <f t="shared" si="2"/>
        <v>467.52385204248736</v>
      </c>
      <c r="AJ30" s="142">
        <v>519.88000000000147</v>
      </c>
      <c r="AK30" s="3">
        <v>5354764.0000000149</v>
      </c>
      <c r="AL30" s="39">
        <f t="shared" si="3"/>
        <v>412.66390723245712</v>
      </c>
      <c r="AM30" s="7"/>
    </row>
    <row r="31" spans="1:39" x14ac:dyDescent="0.25">
      <c r="A31" s="35"/>
      <c r="B31" s="58">
        <v>20</v>
      </c>
      <c r="C31" s="215">
        <v>98</v>
      </c>
      <c r="D31" s="216">
        <v>739</v>
      </c>
      <c r="E31" s="106">
        <v>16119.999999998981</v>
      </c>
      <c r="F31" s="3">
        <v>16696773.599998945</v>
      </c>
      <c r="G31" s="37">
        <v>3319.9999999999363</v>
      </c>
      <c r="H31" s="3">
        <v>5158184.3999999017</v>
      </c>
      <c r="I31" s="103">
        <f t="shared" si="4"/>
        <v>21854957.999998845</v>
      </c>
      <c r="J31" s="106">
        <v>1720.0000000002547</v>
      </c>
      <c r="K31" s="3">
        <v>1781541.6000002637</v>
      </c>
      <c r="L31" s="184">
        <v>420.00000000007276</v>
      </c>
      <c r="M31" s="185">
        <v>652541.40000011306</v>
      </c>
      <c r="N31" s="94">
        <f t="shared" si="5"/>
        <v>2434083.0000003767</v>
      </c>
      <c r="O31" s="108">
        <f t="shared" si="6"/>
        <v>24289040.999999221</v>
      </c>
      <c r="P31" s="111">
        <f t="shared" si="7"/>
        <v>21579.999999999243</v>
      </c>
      <c r="Q31" s="190"/>
      <c r="R31" s="190"/>
      <c r="S31" s="213"/>
      <c r="T31" s="210"/>
      <c r="U31" s="208">
        <v>0</v>
      </c>
      <c r="V31" s="186">
        <f t="shared" si="8"/>
        <v>555.36</v>
      </c>
      <c r="W31" s="3">
        <v>14.24</v>
      </c>
      <c r="X31" s="3">
        <v>255899.92</v>
      </c>
      <c r="Y31" s="33">
        <v>541.12</v>
      </c>
      <c r="Z31" s="33">
        <v>2297151.8016000004</v>
      </c>
      <c r="AA31" s="33">
        <f t="shared" si="0"/>
        <v>2553051.7216000003</v>
      </c>
      <c r="AB31" s="128">
        <f t="shared" si="1"/>
        <v>196.75046347551537</v>
      </c>
      <c r="AC31" s="134">
        <v>151.29167999999061</v>
      </c>
      <c r="AD31" s="3">
        <v>0</v>
      </c>
      <c r="AE31" s="3">
        <v>0</v>
      </c>
      <c r="AF31" s="3">
        <v>12</v>
      </c>
      <c r="AG31" s="3">
        <f t="shared" si="9"/>
        <v>163.29167999999061</v>
      </c>
      <c r="AH31" s="3">
        <v>1522873.2989999142</v>
      </c>
      <c r="AI31" s="43">
        <f t="shared" si="2"/>
        <v>117.35995195778652</v>
      </c>
      <c r="AJ31" s="142">
        <v>506</v>
      </c>
      <c r="AK31" s="3">
        <v>5211800</v>
      </c>
      <c r="AL31" s="39">
        <f t="shared" si="3"/>
        <v>401.64641274837027</v>
      </c>
      <c r="AM31" s="7"/>
    </row>
    <row r="32" spans="1:39" x14ac:dyDescent="0.25">
      <c r="A32" s="35"/>
      <c r="B32" s="58">
        <v>21</v>
      </c>
      <c r="C32" s="215">
        <v>122</v>
      </c>
      <c r="D32" s="216">
        <v>795</v>
      </c>
      <c r="E32" s="106">
        <v>16079.999999999927</v>
      </c>
      <c r="F32" s="3">
        <v>16655342.399999924</v>
      </c>
      <c r="G32" s="37">
        <v>3640.0000000001</v>
      </c>
      <c r="H32" s="3">
        <v>5655358.8000001553</v>
      </c>
      <c r="I32" s="103">
        <f t="shared" si="4"/>
        <v>22310701.200000077</v>
      </c>
      <c r="J32" s="106">
        <v>1880.0000000001091</v>
      </c>
      <c r="K32" s="3">
        <v>1947266.4000001131</v>
      </c>
      <c r="L32" s="184">
        <v>460.00000000003638</v>
      </c>
      <c r="M32" s="185">
        <v>714688.20000005653</v>
      </c>
      <c r="N32" s="94">
        <f>+K32+M32</f>
        <v>2661954.6000001696</v>
      </c>
      <c r="O32" s="108">
        <f t="shared" si="6"/>
        <v>24972655.800000247</v>
      </c>
      <c r="P32" s="111">
        <f t="shared" si="7"/>
        <v>22060.000000000175</v>
      </c>
      <c r="Q32" s="189"/>
      <c r="R32" s="201"/>
      <c r="S32" s="213"/>
      <c r="T32" s="210"/>
      <c r="U32" s="208">
        <v>0</v>
      </c>
      <c r="V32" s="186">
        <f t="shared" si="8"/>
        <v>798.33</v>
      </c>
      <c r="W32" s="3">
        <v>130.83000000000001</v>
      </c>
      <c r="X32" s="3">
        <v>2351080.5150000001</v>
      </c>
      <c r="Y32" s="33">
        <v>667.5</v>
      </c>
      <c r="Z32" s="33">
        <v>2833657.6500000004</v>
      </c>
      <c r="AA32" s="33">
        <f t="shared" si="0"/>
        <v>5184738.165000001</v>
      </c>
      <c r="AB32" s="128">
        <f t="shared" si="1"/>
        <v>399.56089738896702</v>
      </c>
      <c r="AC32" s="134">
        <v>153.14456000001638</v>
      </c>
      <c r="AD32" s="3">
        <v>0</v>
      </c>
      <c r="AE32" s="3">
        <v>0</v>
      </c>
      <c r="AF32" s="3">
        <v>0</v>
      </c>
      <c r="AG32" s="3">
        <f t="shared" si="9"/>
        <v>153.14456000001638</v>
      </c>
      <c r="AH32" s="3">
        <v>1400315.5705001499</v>
      </c>
      <c r="AI32" s="43">
        <f t="shared" si="2"/>
        <v>107.9150630505915</v>
      </c>
      <c r="AJ32" s="142">
        <v>347.02999999999588</v>
      </c>
      <c r="AK32" s="3">
        <v>3574408.9999999576</v>
      </c>
      <c r="AL32" s="39">
        <f t="shared" si="3"/>
        <v>275.46117513056379</v>
      </c>
      <c r="AM32" s="7"/>
    </row>
    <row r="33" spans="1:39" x14ac:dyDescent="0.25">
      <c r="A33" s="35"/>
      <c r="B33" s="58">
        <v>22</v>
      </c>
      <c r="C33" s="215">
        <v>100</v>
      </c>
      <c r="D33" s="216">
        <v>852</v>
      </c>
      <c r="E33" s="106">
        <v>16880.000000001019</v>
      </c>
      <c r="F33" s="3">
        <v>17483966.400001053</v>
      </c>
      <c r="G33" s="37">
        <v>3519.9999999999818</v>
      </c>
      <c r="H33" s="3">
        <v>5468918.3999999724</v>
      </c>
      <c r="I33" s="103">
        <f t="shared" si="4"/>
        <v>22952884.800001025</v>
      </c>
      <c r="J33" s="106">
        <v>1759.9999999993088</v>
      </c>
      <c r="K33" s="3">
        <v>1822972.7999992841</v>
      </c>
      <c r="L33" s="184">
        <v>419.99999999984539</v>
      </c>
      <c r="M33" s="185">
        <v>652541.39999975986</v>
      </c>
      <c r="N33" s="94">
        <f t="shared" si="5"/>
        <v>2475514.1999990437</v>
      </c>
      <c r="O33" s="108">
        <f t="shared" si="6"/>
        <v>25428399.000000067</v>
      </c>
      <c r="P33" s="111">
        <f t="shared" si="7"/>
        <v>22580.000000000153</v>
      </c>
      <c r="Q33" s="189"/>
      <c r="R33" s="202"/>
      <c r="S33" s="213"/>
      <c r="T33" s="210"/>
      <c r="U33" s="208">
        <v>0</v>
      </c>
      <c r="V33" s="186">
        <f t="shared" si="8"/>
        <v>613.21</v>
      </c>
      <c r="W33" s="3">
        <v>24.03</v>
      </c>
      <c r="X33" s="3">
        <v>431831.11500000005</v>
      </c>
      <c r="Y33" s="33">
        <v>589.18000000000006</v>
      </c>
      <c r="Z33" s="33">
        <v>2501175.1524000005</v>
      </c>
      <c r="AA33" s="33">
        <f t="shared" si="0"/>
        <v>2933006.2674000007</v>
      </c>
      <c r="AB33" s="128">
        <f t="shared" si="1"/>
        <v>226.03159098002561</v>
      </c>
      <c r="AC33" s="134">
        <v>155.03771999996246</v>
      </c>
      <c r="AD33" s="3">
        <v>0</v>
      </c>
      <c r="AE33" s="3">
        <v>0</v>
      </c>
      <c r="AF33" s="3">
        <v>0</v>
      </c>
      <c r="AG33" s="3">
        <f t="shared" si="9"/>
        <v>155.03771999996246</v>
      </c>
      <c r="AH33" s="3">
        <v>1417626.1522496569</v>
      </c>
      <c r="AI33" s="43">
        <f t="shared" si="2"/>
        <v>109.2490998636459</v>
      </c>
      <c r="AJ33" s="142">
        <v>689.92000000001281</v>
      </c>
      <c r="AK33" s="3">
        <v>7106176.0000001322</v>
      </c>
      <c r="AL33" s="39">
        <f t="shared" si="3"/>
        <v>547.63615233865767</v>
      </c>
      <c r="AM33" s="7"/>
    </row>
    <row r="34" spans="1:39" x14ac:dyDescent="0.25">
      <c r="A34" s="35"/>
      <c r="B34" s="58">
        <v>23</v>
      </c>
      <c r="C34" s="215">
        <v>90</v>
      </c>
      <c r="D34" s="216">
        <v>746</v>
      </c>
      <c r="E34" s="106">
        <v>16559.999999999491</v>
      </c>
      <c r="F34" s="3">
        <v>17152516.799999472</v>
      </c>
      <c r="G34" s="37">
        <v>3400.0000000000909</v>
      </c>
      <c r="H34" s="3">
        <v>5282478.0000001416</v>
      </c>
      <c r="I34" s="103">
        <f t="shared" si="4"/>
        <v>22434994.799999613</v>
      </c>
      <c r="J34" s="106">
        <v>1880.0000000001091</v>
      </c>
      <c r="K34" s="3">
        <v>1947266.4000001131</v>
      </c>
      <c r="L34" s="184">
        <v>420.00000000007276</v>
      </c>
      <c r="M34" s="185">
        <v>652541.40000011306</v>
      </c>
      <c r="N34" s="94">
        <f t="shared" si="5"/>
        <v>2599807.8000002261</v>
      </c>
      <c r="O34" s="108">
        <f t="shared" si="6"/>
        <v>25034802.599999838</v>
      </c>
      <c r="P34" s="111">
        <f t="shared" si="7"/>
        <v>22259.999999999764</v>
      </c>
      <c r="Q34" s="190"/>
      <c r="R34" s="203"/>
      <c r="S34" s="213"/>
      <c r="T34" s="210"/>
      <c r="U34" s="208">
        <v>0</v>
      </c>
      <c r="V34" s="186">
        <f t="shared" si="8"/>
        <v>673.73</v>
      </c>
      <c r="W34" s="3">
        <v>104.13</v>
      </c>
      <c r="X34" s="3">
        <v>1871268.1649999998</v>
      </c>
      <c r="Y34" s="33">
        <v>569.6</v>
      </c>
      <c r="Z34" s="33">
        <v>2418054.5280000004</v>
      </c>
      <c r="AA34" s="33">
        <f t="shared" si="0"/>
        <v>4289322.693</v>
      </c>
      <c r="AB34" s="128">
        <f t="shared" si="1"/>
        <v>330.55586798488605</v>
      </c>
      <c r="AC34" s="134">
        <v>150.20412000003282</v>
      </c>
      <c r="AD34" s="3">
        <v>0</v>
      </c>
      <c r="AE34" s="3">
        <v>0</v>
      </c>
      <c r="AF34" s="3">
        <v>12</v>
      </c>
      <c r="AG34" s="3">
        <f t="shared" si="9"/>
        <v>162.20412000003282</v>
      </c>
      <c r="AH34" s="3">
        <v>1512928.9222502999</v>
      </c>
      <c r="AI34" s="43">
        <f t="shared" si="2"/>
        <v>116.59359038433765</v>
      </c>
      <c r="AJ34" s="142">
        <v>476.1200000000099</v>
      </c>
      <c r="AK34" s="3">
        <v>4904036.0000001015</v>
      </c>
      <c r="AL34" s="39">
        <f t="shared" si="3"/>
        <v>377.92863643825694</v>
      </c>
      <c r="AM34" s="7"/>
    </row>
    <row r="35" spans="1:39" x14ac:dyDescent="0.25">
      <c r="A35" s="35"/>
      <c r="B35" s="58">
        <v>24</v>
      </c>
      <c r="C35" s="215">
        <v>80</v>
      </c>
      <c r="D35" s="216">
        <v>730</v>
      </c>
      <c r="E35" s="106">
        <v>16680.000000000291</v>
      </c>
      <c r="F35" s="3">
        <v>17276810.4000003</v>
      </c>
      <c r="G35" s="37">
        <v>3439.9999999998272</v>
      </c>
      <c r="H35" s="3">
        <v>5344624.7999997316</v>
      </c>
      <c r="I35" s="103">
        <f t="shared" si="4"/>
        <v>22621435.200000033</v>
      </c>
      <c r="J35" s="106">
        <v>1920.0000000000728</v>
      </c>
      <c r="K35" s="3">
        <v>1988697.6000000753</v>
      </c>
      <c r="L35" s="184">
        <v>500</v>
      </c>
      <c r="M35" s="185">
        <v>776835</v>
      </c>
      <c r="N35" s="94">
        <f t="shared" si="5"/>
        <v>2765532.6000000751</v>
      </c>
      <c r="O35" s="108">
        <f t="shared" si="6"/>
        <v>25386967.800000109</v>
      </c>
      <c r="P35" s="111">
        <f t="shared" si="7"/>
        <v>22540.000000000189</v>
      </c>
      <c r="Q35" s="189"/>
      <c r="R35" s="201"/>
      <c r="S35" s="213"/>
      <c r="T35" s="210"/>
      <c r="U35" s="208">
        <v>0</v>
      </c>
      <c r="V35" s="186">
        <f t="shared" si="8"/>
        <v>469.03000000000003</v>
      </c>
      <c r="W35" s="3">
        <v>16.91</v>
      </c>
      <c r="X35" s="3">
        <v>303881.15500000003</v>
      </c>
      <c r="Y35" s="33">
        <v>452.12</v>
      </c>
      <c r="Z35" s="33">
        <v>1919330.7816000001</v>
      </c>
      <c r="AA35" s="33">
        <f t="shared" si="0"/>
        <v>2223211.9366000001</v>
      </c>
      <c r="AB35" s="128">
        <f t="shared" si="1"/>
        <v>171.33142083632282</v>
      </c>
      <c r="AC35" s="134">
        <v>145.89416000000466</v>
      </c>
      <c r="AD35" s="3">
        <v>0</v>
      </c>
      <c r="AE35" s="3">
        <v>0</v>
      </c>
      <c r="AF35" s="3">
        <v>36</v>
      </c>
      <c r="AG35" s="3">
        <f t="shared" si="9"/>
        <v>181.89416000000466</v>
      </c>
      <c r="AH35" s="3">
        <v>1752519.7255000426</v>
      </c>
      <c r="AI35" s="43">
        <f t="shared" si="2"/>
        <v>135.05761176903385</v>
      </c>
      <c r="AJ35" s="142">
        <v>495.27999999999884</v>
      </c>
      <c r="AK35" s="3">
        <v>5101383.9999999879</v>
      </c>
      <c r="AL35" s="39">
        <f t="shared" si="3"/>
        <v>393.13722392492559</v>
      </c>
      <c r="AM35" s="7"/>
    </row>
    <row r="36" spans="1:39" x14ac:dyDescent="0.25">
      <c r="A36" s="35"/>
      <c r="B36" s="58">
        <v>25</v>
      </c>
      <c r="C36" s="215">
        <v>75</v>
      </c>
      <c r="D36" s="216">
        <v>681</v>
      </c>
      <c r="E36" s="106">
        <v>15840.000000000146</v>
      </c>
      <c r="F36" s="3">
        <v>16406755.20000015</v>
      </c>
      <c r="G36" s="37">
        <v>3440.0000000000546</v>
      </c>
      <c r="H36" s="3">
        <v>5344624.8000000855</v>
      </c>
      <c r="I36" s="103">
        <f t="shared" si="4"/>
        <v>21751380.000000235</v>
      </c>
      <c r="J36" s="106">
        <v>2000</v>
      </c>
      <c r="K36" s="3">
        <v>2071560</v>
      </c>
      <c r="L36" s="184">
        <v>440.00000000005457</v>
      </c>
      <c r="M36" s="185">
        <v>683614.8000000848</v>
      </c>
      <c r="N36" s="94">
        <f t="shared" si="5"/>
        <v>2755174.8000000846</v>
      </c>
      <c r="O36" s="108">
        <f t="shared" si="6"/>
        <v>24506554.800000317</v>
      </c>
      <c r="P36" s="111">
        <f t="shared" si="7"/>
        <v>21720.000000000255</v>
      </c>
      <c r="Q36" s="189"/>
      <c r="R36" s="201"/>
      <c r="S36" s="213"/>
      <c r="T36" s="210"/>
      <c r="U36" s="208">
        <v>0</v>
      </c>
      <c r="V36" s="186">
        <f t="shared" si="8"/>
        <v>543.79</v>
      </c>
      <c r="W36" s="3">
        <v>72.98</v>
      </c>
      <c r="X36" s="3">
        <v>1311487.0900000001</v>
      </c>
      <c r="Y36" s="33">
        <v>470.81</v>
      </c>
      <c r="Z36" s="33">
        <v>1998673.1958000001</v>
      </c>
      <c r="AA36" s="33">
        <f t="shared" si="0"/>
        <v>3310160.2858000002</v>
      </c>
      <c r="AB36" s="128">
        <f t="shared" si="1"/>
        <v>255.09689635321581</v>
      </c>
      <c r="AC36" s="134">
        <v>136.1061199999742</v>
      </c>
      <c r="AD36" s="3">
        <v>0</v>
      </c>
      <c r="AE36" s="3">
        <v>0</v>
      </c>
      <c r="AF36" s="3">
        <v>12</v>
      </c>
      <c r="AG36" s="3">
        <f t="shared" si="9"/>
        <v>148.1061199999742</v>
      </c>
      <c r="AH36" s="3">
        <v>1384020.3347497641</v>
      </c>
      <c r="AI36" s="43">
        <f t="shared" si="2"/>
        <v>106.65927369105516</v>
      </c>
      <c r="AJ36" s="142">
        <v>527.19999999999709</v>
      </c>
      <c r="AK36" s="3">
        <v>5430159.9999999702</v>
      </c>
      <c r="AL36" s="39">
        <f t="shared" si="3"/>
        <v>418.47428616786493</v>
      </c>
      <c r="AM36" s="7"/>
    </row>
    <row r="37" spans="1:39" x14ac:dyDescent="0.25">
      <c r="A37" s="35"/>
      <c r="B37" s="58">
        <v>26</v>
      </c>
      <c r="C37" s="215">
        <v>76</v>
      </c>
      <c r="D37" s="216">
        <v>598</v>
      </c>
      <c r="E37" s="106">
        <v>15279.999999998836</v>
      </c>
      <c r="F37" s="3">
        <v>15826718.399998793</v>
      </c>
      <c r="G37" s="37">
        <v>3200.0000000000455</v>
      </c>
      <c r="H37" s="3">
        <v>4971744.0000000708</v>
      </c>
      <c r="I37" s="103">
        <f t="shared" si="4"/>
        <v>20798462.399998866</v>
      </c>
      <c r="J37" s="106">
        <v>1659.9999999998545</v>
      </c>
      <c r="K37" s="3">
        <v>1719394.7999998492</v>
      </c>
      <c r="L37" s="184">
        <v>419.99999999984539</v>
      </c>
      <c r="M37" s="185">
        <v>652541.39999975986</v>
      </c>
      <c r="N37" s="94">
        <f t="shared" si="5"/>
        <v>2371936.199999609</v>
      </c>
      <c r="O37" s="108">
        <f t="shared" si="6"/>
        <v>23170398.599998474</v>
      </c>
      <c r="P37" s="111">
        <f t="shared" si="7"/>
        <v>20559.999999998581</v>
      </c>
      <c r="Q37" s="189"/>
      <c r="R37" s="201"/>
      <c r="S37" s="213"/>
      <c r="T37" s="210"/>
      <c r="U37" s="208">
        <v>0</v>
      </c>
      <c r="V37" s="186">
        <f t="shared" si="8"/>
        <v>537.56000000000006</v>
      </c>
      <c r="W37" s="3">
        <v>105.02</v>
      </c>
      <c r="X37" s="3">
        <v>1887261.91</v>
      </c>
      <c r="Y37" s="33">
        <v>432.54</v>
      </c>
      <c r="Z37" s="33">
        <v>1836210.1572000002</v>
      </c>
      <c r="AA37" s="33">
        <f t="shared" si="0"/>
        <v>3723472.0672000004</v>
      </c>
      <c r="AB37" s="128">
        <f t="shared" si="1"/>
        <v>286.9486931117155</v>
      </c>
      <c r="AC37" s="134">
        <v>128.97656000001641</v>
      </c>
      <c r="AD37" s="3">
        <v>0</v>
      </c>
      <c r="AE37" s="3">
        <v>0</v>
      </c>
      <c r="AF37" s="3">
        <v>12</v>
      </c>
      <c r="AG37" s="3">
        <f t="shared" si="9"/>
        <v>140.97656000001641</v>
      </c>
      <c r="AH37" s="3">
        <v>1318829.42050015</v>
      </c>
      <c r="AI37" s="43">
        <f t="shared" si="2"/>
        <v>101.63534782050293</v>
      </c>
      <c r="AJ37" s="142">
        <v>470.95000000000005</v>
      </c>
      <c r="AK37" s="3">
        <v>4850785.0000000009</v>
      </c>
      <c r="AL37" s="39">
        <f t="shared" si="3"/>
        <v>373.8248578732115</v>
      </c>
      <c r="AM37" s="7"/>
    </row>
    <row r="38" spans="1:39" x14ac:dyDescent="0.25">
      <c r="A38" s="35"/>
      <c r="B38" s="58">
        <v>27</v>
      </c>
      <c r="C38" s="215">
        <v>75</v>
      </c>
      <c r="D38" s="216">
        <v>592</v>
      </c>
      <c r="E38" s="106">
        <v>15280.000000000655</v>
      </c>
      <c r="F38" s="3">
        <v>15826718.400000678</v>
      </c>
      <c r="G38" s="37">
        <v>3279.9999999999727</v>
      </c>
      <c r="H38" s="3">
        <v>5096037.5999999577</v>
      </c>
      <c r="I38" s="103">
        <f t="shared" si="4"/>
        <v>20922756.000000637</v>
      </c>
      <c r="J38" s="106">
        <v>1720.0000000002547</v>
      </c>
      <c r="K38" s="3">
        <v>1781541.6000002637</v>
      </c>
      <c r="L38" s="184">
        <v>420.00000000007276</v>
      </c>
      <c r="M38" s="185">
        <v>652541.40000011306</v>
      </c>
      <c r="N38" s="94">
        <f t="shared" si="5"/>
        <v>2434083.0000003767</v>
      </c>
      <c r="O38" s="108">
        <f t="shared" si="6"/>
        <v>23356839.000001013</v>
      </c>
      <c r="P38" s="111">
        <f t="shared" si="7"/>
        <v>20700.000000000953</v>
      </c>
      <c r="Q38" s="189"/>
      <c r="R38" s="201"/>
      <c r="S38" s="213"/>
      <c r="T38" s="210"/>
      <c r="U38" s="208">
        <v>0</v>
      </c>
      <c r="V38" s="186">
        <f t="shared" si="8"/>
        <v>630.12</v>
      </c>
      <c r="W38" s="3">
        <v>38.270000000000003</v>
      </c>
      <c r="X38" s="3">
        <v>687731.03500000003</v>
      </c>
      <c r="Y38" s="33">
        <v>591.85</v>
      </c>
      <c r="Z38" s="33">
        <v>2512509.7830000003</v>
      </c>
      <c r="AA38" s="33">
        <f t="shared" si="0"/>
        <v>3200240.8180000004</v>
      </c>
      <c r="AB38" s="128">
        <f t="shared" si="1"/>
        <v>246.6259726928528</v>
      </c>
      <c r="AC38" s="134">
        <v>160.3949599999695</v>
      </c>
      <c r="AD38" s="3">
        <v>0</v>
      </c>
      <c r="AE38" s="3">
        <v>150</v>
      </c>
      <c r="AF38" s="3">
        <v>12</v>
      </c>
      <c r="AG38" s="3">
        <f t="shared" si="9"/>
        <v>322.3949599999695</v>
      </c>
      <c r="AH38" s="3">
        <v>3173611.4154997212</v>
      </c>
      <c r="AI38" s="43">
        <f t="shared" si="2"/>
        <v>244.57378266486447</v>
      </c>
      <c r="AJ38" s="142">
        <v>366.17000000000348</v>
      </c>
      <c r="AK38" s="3">
        <v>3771551.0000000359</v>
      </c>
      <c r="AL38" s="39">
        <f t="shared" si="3"/>
        <v>290.65388726496468</v>
      </c>
      <c r="AM38" s="7"/>
    </row>
    <row r="39" spans="1:39" x14ac:dyDescent="0.25">
      <c r="A39" s="35"/>
      <c r="B39" s="58">
        <v>28</v>
      </c>
      <c r="C39" s="215">
        <v>78</v>
      </c>
      <c r="D39" s="216">
        <v>529</v>
      </c>
      <c r="E39" s="106">
        <v>16360.000000000582</v>
      </c>
      <c r="F39" s="3">
        <v>16945360.800000604</v>
      </c>
      <c r="G39" s="37">
        <v>3400.0000000000909</v>
      </c>
      <c r="H39" s="3">
        <v>5282478.0000001416</v>
      </c>
      <c r="I39" s="103">
        <f t="shared" si="4"/>
        <v>22227838.800000746</v>
      </c>
      <c r="J39" s="106">
        <v>1899.9999999996362</v>
      </c>
      <c r="K39" s="3">
        <v>1967981.999999623</v>
      </c>
      <c r="L39" s="184">
        <v>500</v>
      </c>
      <c r="M39" s="185">
        <v>776835</v>
      </c>
      <c r="N39" s="94">
        <f t="shared" si="5"/>
        <v>2744816.9999996228</v>
      </c>
      <c r="O39" s="108">
        <f t="shared" si="6"/>
        <v>24972655.80000037</v>
      </c>
      <c r="P39" s="111">
        <f t="shared" si="7"/>
        <v>22160.000000000309</v>
      </c>
      <c r="Q39" s="189"/>
      <c r="R39" s="204"/>
      <c r="S39" s="213"/>
      <c r="T39" s="210"/>
      <c r="U39" s="208">
        <v>0</v>
      </c>
      <c r="V39" s="186">
        <f t="shared" si="8"/>
        <v>546.45999999999992</v>
      </c>
      <c r="W39" s="3">
        <v>17.8</v>
      </c>
      <c r="X39" s="3">
        <v>319874.90000000002</v>
      </c>
      <c r="Y39" s="33">
        <v>528.66</v>
      </c>
      <c r="Z39" s="33">
        <v>2244256.8588</v>
      </c>
      <c r="AA39" s="33">
        <f t="shared" si="0"/>
        <v>2564131.7588</v>
      </c>
      <c r="AB39" s="128">
        <f t="shared" si="1"/>
        <v>197.60434451364009</v>
      </c>
      <c r="AC39" s="134">
        <v>143.67876000005157</v>
      </c>
      <c r="AD39" s="3">
        <v>0</v>
      </c>
      <c r="AE39" s="3">
        <v>50</v>
      </c>
      <c r="AF39" s="3">
        <v>0</v>
      </c>
      <c r="AG39" s="3">
        <f t="shared" si="9"/>
        <v>193.67876000005157</v>
      </c>
      <c r="AH39" s="3">
        <v>1836262.6617504715</v>
      </c>
      <c r="AI39" s="43">
        <f t="shared" si="2"/>
        <v>141.51124581830669</v>
      </c>
      <c r="AJ39" s="142">
        <v>364.05000000000223</v>
      </c>
      <c r="AK39" s="3">
        <v>3749715.0000000228</v>
      </c>
      <c r="AL39" s="39">
        <f t="shared" si="3"/>
        <v>288.97109992301398</v>
      </c>
      <c r="AM39" s="7"/>
    </row>
    <row r="40" spans="1:39" x14ac:dyDescent="0.25">
      <c r="A40" s="35"/>
      <c r="B40" s="58">
        <v>29</v>
      </c>
      <c r="C40" s="215">
        <v>63</v>
      </c>
      <c r="D40" s="216">
        <v>658</v>
      </c>
      <c r="E40" s="106">
        <v>16679.999999998472</v>
      </c>
      <c r="F40" s="3">
        <v>17276810.399998415</v>
      </c>
      <c r="G40" s="37">
        <v>3359.9999999999</v>
      </c>
      <c r="H40" s="3">
        <v>5220331.1999998447</v>
      </c>
      <c r="I40" s="103">
        <f t="shared" si="4"/>
        <v>22497141.599998258</v>
      </c>
      <c r="J40" s="106">
        <v>2060.0000000004002</v>
      </c>
      <c r="K40" s="3">
        <v>2133706.8000004143</v>
      </c>
      <c r="L40" s="184">
        <v>539.99999999996362</v>
      </c>
      <c r="M40" s="185">
        <v>838981.79999994347</v>
      </c>
      <c r="N40" s="94">
        <f t="shared" si="5"/>
        <v>2972688.6000003577</v>
      </c>
      <c r="O40" s="108">
        <f t="shared" ref="O40:O41" si="10">N40+I40</f>
        <v>25469830.199998617</v>
      </c>
      <c r="P40" s="111">
        <f t="shared" ref="P40:P41" si="11">L40+J40+G40+E40</f>
        <v>22639.999999998734</v>
      </c>
      <c r="Q40" s="190"/>
      <c r="R40" s="205"/>
      <c r="S40" s="213"/>
      <c r="T40" s="210"/>
      <c r="U40" s="208">
        <v>0</v>
      </c>
      <c r="V40" s="186">
        <f t="shared" si="8"/>
        <v>605.20000000000005</v>
      </c>
      <c r="W40" s="3">
        <v>41.83</v>
      </c>
      <c r="X40" s="3">
        <v>751706.01500000001</v>
      </c>
      <c r="Y40" s="33">
        <v>563.37</v>
      </c>
      <c r="Z40" s="33">
        <v>2391607.0566000002</v>
      </c>
      <c r="AA40" s="33">
        <f t="shared" ref="AA40:AA41" si="12">Z40+X40</f>
        <v>3143313.0716000004</v>
      </c>
      <c r="AB40" s="128">
        <f t="shared" ref="AB40:AB41" si="13">AA40/$AL$48</f>
        <v>242.23884633969095</v>
      </c>
      <c r="AC40" s="134">
        <v>158.17955999995777</v>
      </c>
      <c r="AD40" s="3">
        <v>0</v>
      </c>
      <c r="AE40" s="3">
        <v>0</v>
      </c>
      <c r="AF40" s="3">
        <v>0</v>
      </c>
      <c r="AG40" s="3">
        <f t="shared" si="9"/>
        <v>158.17955999995777</v>
      </c>
      <c r="AH40" s="3">
        <v>1446354.3517496139</v>
      </c>
      <c r="AI40" s="43">
        <f t="shared" ref="AI40:AI42" si="14">AH40/$AL$48</f>
        <v>111.46303329813634</v>
      </c>
      <c r="AJ40" s="142">
        <v>596.17999999999302</v>
      </c>
      <c r="AK40" s="3">
        <v>6140653.9999999283</v>
      </c>
      <c r="AL40" s="39">
        <f t="shared" si="3"/>
        <v>473.22837619035687</v>
      </c>
      <c r="AM40" s="7"/>
    </row>
    <row r="41" spans="1:39" ht="17.25" customHeight="1" x14ac:dyDescent="0.25">
      <c r="A41" s="35"/>
      <c r="B41" s="58">
        <v>30</v>
      </c>
      <c r="C41" s="215">
        <v>55</v>
      </c>
      <c r="D41" s="216">
        <v>522</v>
      </c>
      <c r="E41" s="106">
        <v>16160.000000001673</v>
      </c>
      <c r="F41" s="3">
        <v>16738204.800001733</v>
      </c>
      <c r="G41" s="37">
        <v>3440.0000000000546</v>
      </c>
      <c r="H41" s="3">
        <v>5344624.8000000855</v>
      </c>
      <c r="I41" s="103">
        <f t="shared" si="4"/>
        <v>22082829.600001819</v>
      </c>
      <c r="J41" s="106">
        <v>2119.9999999998909</v>
      </c>
      <c r="K41" s="3">
        <v>2195853.5999998869</v>
      </c>
      <c r="L41" s="184">
        <v>480.00000000001819</v>
      </c>
      <c r="M41" s="185">
        <v>745761.60000002827</v>
      </c>
      <c r="N41" s="94">
        <f t="shared" si="5"/>
        <v>2941615.1999999154</v>
      </c>
      <c r="O41" s="108">
        <f t="shared" si="10"/>
        <v>25024444.800001733</v>
      </c>
      <c r="P41" s="111">
        <f t="shared" si="11"/>
        <v>22200.000000001637</v>
      </c>
      <c r="Q41" s="189"/>
      <c r="R41" s="206"/>
      <c r="S41" s="213"/>
      <c r="T41" s="210"/>
      <c r="U41" s="208">
        <v>0</v>
      </c>
      <c r="V41" s="186">
        <f t="shared" si="8"/>
        <v>517.98</v>
      </c>
      <c r="W41" s="3">
        <v>39.160000000000004</v>
      </c>
      <c r="X41" s="3">
        <v>703724.78</v>
      </c>
      <c r="Y41" s="33">
        <v>478.82</v>
      </c>
      <c r="Z41" s="33">
        <v>2032677.0876000002</v>
      </c>
      <c r="AA41" s="33">
        <f t="shared" si="12"/>
        <v>2736401.8676000005</v>
      </c>
      <c r="AB41" s="128">
        <f t="shared" si="13"/>
        <v>210.88030890661213</v>
      </c>
      <c r="AC41" s="134">
        <v>150.04299999999998</v>
      </c>
      <c r="AD41" s="3">
        <v>0</v>
      </c>
      <c r="AE41" s="3">
        <v>0</v>
      </c>
      <c r="AF41" s="3">
        <v>12</v>
      </c>
      <c r="AG41" s="3">
        <f t="shared" si="9"/>
        <v>162.04299999999998</v>
      </c>
      <c r="AH41" s="3">
        <v>1511455.6812499999</v>
      </c>
      <c r="AI41" s="43">
        <f t="shared" si="14"/>
        <v>116.48005533639177</v>
      </c>
      <c r="AJ41" s="142">
        <v>354.32000000000698</v>
      </c>
      <c r="AK41" s="3">
        <v>3649496.0000000717</v>
      </c>
      <c r="AL41" s="39">
        <f t="shared" si="3"/>
        <v>281.24774103755999</v>
      </c>
      <c r="AM41" s="7"/>
    </row>
    <row r="42" spans="1:39" x14ac:dyDescent="0.25">
      <c r="A42" s="35"/>
      <c r="B42" s="58">
        <v>31</v>
      </c>
      <c r="C42" s="215">
        <v>43</v>
      </c>
      <c r="D42" s="216">
        <v>498</v>
      </c>
      <c r="E42" s="106">
        <v>16479.999999999563</v>
      </c>
      <c r="F42" s="3">
        <v>17069654.399999548</v>
      </c>
      <c r="G42" s="37">
        <v>3319.9999999999363</v>
      </c>
      <c r="H42" s="3">
        <v>5158184.3999999017</v>
      </c>
      <c r="I42" s="103">
        <f t="shared" si="4"/>
        <v>22227838.799999449</v>
      </c>
      <c r="J42" s="106">
        <v>2199.9999999998181</v>
      </c>
      <c r="K42" s="3">
        <v>2278715.9999998114</v>
      </c>
      <c r="L42" s="184">
        <v>539.99999999996362</v>
      </c>
      <c r="M42" s="185">
        <v>838981.79999994347</v>
      </c>
      <c r="N42" s="94">
        <f t="shared" ref="N42" si="15">+K42+M42</f>
        <v>3117697.7999997549</v>
      </c>
      <c r="O42" s="108">
        <f t="shared" ref="O42" si="16">N42+I42</f>
        <v>25345536.599999204</v>
      </c>
      <c r="P42" s="111">
        <f t="shared" ref="P42" si="17">L42+J42+G42+E42</f>
        <v>22539.99999999928</v>
      </c>
      <c r="Q42" s="189"/>
      <c r="R42" s="206"/>
      <c r="S42" s="213"/>
      <c r="T42" s="210"/>
      <c r="U42" s="208">
        <v>0</v>
      </c>
      <c r="V42" s="186">
        <f t="shared" ref="V42" si="18">Y42+W42</f>
        <v>358.67</v>
      </c>
      <c r="W42" s="3">
        <v>48.06</v>
      </c>
      <c r="X42" s="3">
        <v>863662.2300000001</v>
      </c>
      <c r="Y42" s="33">
        <v>310.61</v>
      </c>
      <c r="Z42" s="33">
        <v>1318595.3598000002</v>
      </c>
      <c r="AA42" s="33">
        <f t="shared" ref="AA42" si="19">Z42+X42</f>
        <v>2182257.5898000002</v>
      </c>
      <c r="AB42" s="128">
        <f t="shared" ref="AB42" si="20">AA42/$AL$48</f>
        <v>168.17528159869423</v>
      </c>
      <c r="AC42" s="134">
        <v>134.49491999999765</v>
      </c>
      <c r="AD42" s="3">
        <v>0</v>
      </c>
      <c r="AE42" s="3">
        <v>0</v>
      </c>
      <c r="AF42" s="3">
        <v>36</v>
      </c>
      <c r="AG42" s="3">
        <f t="shared" si="9"/>
        <v>170.49491999999765</v>
      </c>
      <c r="AH42" s="3">
        <v>1648287.9247499786</v>
      </c>
      <c r="AI42" s="43">
        <f t="shared" si="14"/>
        <v>127.02500712849391</v>
      </c>
      <c r="AJ42" s="142">
        <v>397</v>
      </c>
      <c r="AK42" s="3">
        <v>4089100</v>
      </c>
      <c r="AL42" s="39">
        <f t="shared" si="3"/>
        <v>315.12574280850396</v>
      </c>
      <c r="AM42" s="7"/>
    </row>
    <row r="43" spans="1:39" ht="16.5" thickBot="1" x14ac:dyDescent="0.3">
      <c r="A43" s="35"/>
      <c r="B43" s="122"/>
      <c r="C43" s="149"/>
      <c r="D43" s="150"/>
      <c r="E43" s="104"/>
      <c r="F43" s="104"/>
      <c r="G43" s="95"/>
      <c r="H43" s="96"/>
      <c r="I43" s="105"/>
      <c r="J43" s="107"/>
      <c r="K43" s="95"/>
      <c r="L43" s="96"/>
      <c r="M43" s="97"/>
      <c r="N43" s="98"/>
      <c r="O43" s="109"/>
      <c r="P43" s="112"/>
      <c r="Q43" s="175"/>
      <c r="R43" s="207"/>
      <c r="S43" s="214"/>
      <c r="T43" s="214"/>
      <c r="U43" s="209"/>
      <c r="V43" s="186"/>
      <c r="W43" s="3"/>
      <c r="X43" s="3"/>
      <c r="Y43" s="33"/>
      <c r="Z43" s="33"/>
      <c r="AA43" s="18"/>
      <c r="AB43" s="129"/>
      <c r="AC43" s="127"/>
      <c r="AD43" s="3"/>
      <c r="AE43" s="2"/>
      <c r="AF43" s="2"/>
      <c r="AG43" s="2"/>
      <c r="AH43" s="3"/>
      <c r="AI43" s="43"/>
      <c r="AJ43" s="142"/>
      <c r="AK43" s="3"/>
      <c r="AL43" s="39"/>
      <c r="AM43" s="7"/>
    </row>
    <row r="44" spans="1:39" s="8" customFormat="1" ht="4.5" customHeight="1" x14ac:dyDescent="0.25">
      <c r="A44" s="15"/>
      <c r="B44" s="117"/>
      <c r="C44" s="118"/>
      <c r="D44" s="118"/>
      <c r="E44" s="116"/>
      <c r="F44" s="7"/>
      <c r="G44" s="15"/>
      <c r="H44" s="7"/>
      <c r="I44" s="15"/>
      <c r="J44" s="15"/>
      <c r="K44" s="15"/>
      <c r="L44" s="7"/>
      <c r="M44" s="62"/>
      <c r="N44" s="66"/>
      <c r="O44" s="15"/>
      <c r="P44" s="66"/>
      <c r="Q44" s="15"/>
      <c r="R44" s="86"/>
      <c r="S44" s="7"/>
      <c r="T44" s="15"/>
      <c r="U44" s="34"/>
      <c r="V44" s="130"/>
      <c r="W44" s="15"/>
      <c r="X44" s="15"/>
      <c r="Y44" s="15"/>
      <c r="Z44" s="15"/>
      <c r="AA44" s="15"/>
      <c r="AB44" s="34"/>
      <c r="AC44" s="15"/>
      <c r="AD44" s="7"/>
      <c r="AE44" s="15"/>
      <c r="AF44" s="15"/>
      <c r="AG44" s="15"/>
      <c r="AH44" s="15"/>
      <c r="AI44" s="15"/>
      <c r="AJ44" s="86"/>
      <c r="AK44" s="15"/>
      <c r="AL44" s="34"/>
      <c r="AM44" s="15"/>
    </row>
    <row r="45" spans="1:39" s="8" customFormat="1" ht="6" customHeight="1" x14ac:dyDescent="0.25">
      <c r="A45" s="15"/>
      <c r="B45" s="117"/>
      <c r="C45" s="118"/>
      <c r="D45" s="118"/>
      <c r="E45" s="116"/>
      <c r="F45" s="7"/>
      <c r="G45" s="15"/>
      <c r="H45" s="7"/>
      <c r="I45" s="15"/>
      <c r="J45" s="15"/>
      <c r="K45" s="15"/>
      <c r="L45" s="7"/>
      <c r="M45" s="62"/>
      <c r="N45" s="66"/>
      <c r="O45" s="15"/>
      <c r="P45" s="66"/>
      <c r="Q45" s="15"/>
      <c r="R45" s="86"/>
      <c r="S45" s="16"/>
      <c r="T45" s="16"/>
      <c r="U45" s="34"/>
      <c r="V45" s="130"/>
      <c r="W45" s="15"/>
      <c r="X45" s="15"/>
      <c r="Y45" s="15"/>
      <c r="Z45" s="15"/>
      <c r="AA45" s="15"/>
      <c r="AB45" s="131"/>
      <c r="AC45" s="15"/>
      <c r="AD45" s="7"/>
      <c r="AE45" s="15"/>
      <c r="AF45" s="15"/>
      <c r="AG45" s="15"/>
      <c r="AH45" s="7"/>
      <c r="AI45" s="15"/>
      <c r="AJ45" s="88"/>
      <c r="AK45" s="5"/>
      <c r="AL45" s="40"/>
      <c r="AM45" s="15"/>
    </row>
    <row r="46" spans="1:39" s="8" customFormat="1" ht="16.5" thickBot="1" x14ac:dyDescent="0.3">
      <c r="A46" s="15"/>
      <c r="B46" s="119"/>
      <c r="C46" s="120"/>
      <c r="D46" s="120"/>
      <c r="E46" s="121"/>
      <c r="F46" s="72"/>
      <c r="G46" s="71"/>
      <c r="H46" s="72"/>
      <c r="I46" s="71"/>
      <c r="J46" s="71"/>
      <c r="K46" s="71"/>
      <c r="L46" s="72"/>
      <c r="M46" s="73"/>
      <c r="N46" s="74"/>
      <c r="O46" s="71"/>
      <c r="P46" s="74"/>
      <c r="Q46" s="71"/>
      <c r="R46" s="87"/>
      <c r="S46" s="75"/>
      <c r="T46" s="71"/>
      <c r="U46" s="187"/>
      <c r="V46" s="132"/>
      <c r="W46" s="77"/>
      <c r="X46" s="71"/>
      <c r="Y46" s="71"/>
      <c r="Z46" s="71"/>
      <c r="AA46" s="71"/>
      <c r="AB46" s="76"/>
      <c r="AC46" s="78"/>
      <c r="AD46" s="72"/>
      <c r="AE46" s="78"/>
      <c r="AF46" s="78"/>
      <c r="AG46" s="78"/>
      <c r="AH46" s="72"/>
      <c r="AI46" s="71"/>
      <c r="AJ46" s="143"/>
      <c r="AK46" s="79"/>
      <c r="AL46" s="80"/>
      <c r="AM46" s="15"/>
    </row>
    <row r="47" spans="1:39" ht="17.25" thickTop="1" thickBot="1" x14ac:dyDescent="0.3">
      <c r="A47" s="26"/>
      <c r="B47" s="69"/>
      <c r="C47" s="70">
        <f>SUM(C12:C43)</f>
        <v>2942</v>
      </c>
      <c r="D47" s="70">
        <f>SUM(D12:D43)</f>
        <v>23179</v>
      </c>
      <c r="E47" s="70">
        <f>SUM(E12:E43)</f>
        <v>504440.00000000035</v>
      </c>
      <c r="F47" s="70">
        <f>SUM(F12:F43)</f>
        <v>522488863.20000052</v>
      </c>
      <c r="G47" s="70">
        <f>SUM(G12:G43)</f>
        <v>106720.00000000004</v>
      </c>
      <c r="H47" s="70">
        <f t="shared" ref="H47:O47" si="21">SUM(H12:H43)</f>
        <v>165807662.40000004</v>
      </c>
      <c r="I47" s="70">
        <f t="shared" si="21"/>
        <v>688296525.6000005</v>
      </c>
      <c r="J47" s="70">
        <f t="shared" si="21"/>
        <v>57840.000000000146</v>
      </c>
      <c r="K47" s="70">
        <f t="shared" si="21"/>
        <v>59909515.200000145</v>
      </c>
      <c r="L47" s="70">
        <f t="shared" si="21"/>
        <v>13679.999999999836</v>
      </c>
      <c r="M47" s="70">
        <f t="shared" si="21"/>
        <v>21254205.599999748</v>
      </c>
      <c r="N47" s="70">
        <f t="shared" si="21"/>
        <v>81163720.799999908</v>
      </c>
      <c r="O47" s="70">
        <f t="shared" si="21"/>
        <v>769460246.40000045</v>
      </c>
      <c r="P47" s="82">
        <f>SUM(P12:P43)</f>
        <v>682680.00000000047</v>
      </c>
      <c r="Q47" s="188" t="e">
        <f>+#REF!</f>
        <v>#REF!</v>
      </c>
      <c r="R47" s="123" t="e">
        <f>+#REF!</f>
        <v>#REF!</v>
      </c>
      <c r="S47" s="115" t="e">
        <f>Q47+P47</f>
        <v>#REF!</v>
      </c>
      <c r="T47" s="115" t="e">
        <f>R47+O47</f>
        <v>#REF!</v>
      </c>
      <c r="U47" s="137" t="e">
        <f>T47/AL48</f>
        <v>#REF!</v>
      </c>
      <c r="V47" s="176">
        <f>SUM(V12:V42)</f>
        <v>16313.699999999999</v>
      </c>
      <c r="W47" s="52">
        <f>SUM(W12:W42)</f>
        <v>1363.4799999999998</v>
      </c>
      <c r="X47" s="52">
        <f t="shared" ref="X47:Z47" si="22">SUM(X12:X42)</f>
        <v>24502417.340000004</v>
      </c>
      <c r="Y47" s="52">
        <f t="shared" si="22"/>
        <v>14950.220000000003</v>
      </c>
      <c r="Z47" s="52">
        <f t="shared" si="22"/>
        <v>63466374.939600006</v>
      </c>
      <c r="AA47" s="136">
        <f>SUM(AA12:AA42)</f>
        <v>87968792.279600009</v>
      </c>
      <c r="AB47" s="124">
        <f>AA47/$AL$48</f>
        <v>6779.2988704301533</v>
      </c>
      <c r="AC47" s="44">
        <f>SUM(AC12:AC41)</f>
        <v>4153.9555600000158</v>
      </c>
      <c r="AD47" s="138">
        <f>SUM(AE12:AE41)</f>
        <v>2150</v>
      </c>
      <c r="AE47" s="44" t="e">
        <f>SUM(#REF!)</f>
        <v>#REF!</v>
      </c>
      <c r="AF47" s="44">
        <f>SUM(AF12:AF42)</f>
        <v>444</v>
      </c>
      <c r="AG47" s="212">
        <f>SUM(AG12:AG42)</f>
        <v>6882.4504800000113</v>
      </c>
      <c r="AH47" s="146">
        <f>SUM(AH12:AH43)</f>
        <v>66841519.076500118</v>
      </c>
      <c r="AI47" s="147">
        <f>AH47/$AL$48</f>
        <v>5151.129429319627</v>
      </c>
      <c r="AJ47" s="211">
        <f>SUM(AJ12:AJ43)</f>
        <v>16545.530000000013</v>
      </c>
      <c r="AK47" s="144">
        <f>SUM(AK12:AK43)</f>
        <v>170418959.00000015</v>
      </c>
      <c r="AL47" s="145">
        <f>AK47/AL48</f>
        <v>13133.305872570254</v>
      </c>
      <c r="AM47" s="26"/>
    </row>
    <row r="48" spans="1:39" s="1" customFormat="1" x14ac:dyDescent="0.25">
      <c r="A48" s="26"/>
      <c r="B48" s="26"/>
      <c r="C48" s="5"/>
      <c r="D48" s="11"/>
      <c r="E48" s="5"/>
      <c r="F48" s="5"/>
      <c r="G48" s="11"/>
      <c r="H48" s="5"/>
      <c r="I48" s="9"/>
      <c r="J48" s="9"/>
      <c r="K48" s="9"/>
      <c r="L48" s="17"/>
      <c r="M48" s="63"/>
      <c r="N48" s="67"/>
      <c r="O48" s="10"/>
      <c r="P48" s="67"/>
      <c r="Q48" s="10"/>
      <c r="R48" s="114"/>
      <c r="S48" s="14"/>
      <c r="T48" s="81" t="s">
        <v>29</v>
      </c>
      <c r="U48" s="151" t="e">
        <f>U47/S47</f>
        <v>#REF!</v>
      </c>
      <c r="V48" s="191" t="s">
        <v>53</v>
      </c>
      <c r="W48" s="11"/>
      <c r="X48" s="11"/>
      <c r="Y48" s="139"/>
      <c r="Z48" s="11"/>
      <c r="AA48" s="11"/>
      <c r="AB48" s="11"/>
      <c r="AC48" s="16"/>
      <c r="AD48" s="7"/>
      <c r="AE48" s="16"/>
      <c r="AF48" s="16"/>
      <c r="AG48" s="7"/>
      <c r="AH48" s="5"/>
      <c r="AI48" s="11"/>
      <c r="AJ48" s="88"/>
      <c r="AK48" s="11"/>
      <c r="AL48" s="148">
        <v>12976.09</v>
      </c>
      <c r="AM48" s="26"/>
    </row>
    <row r="49" spans="1:39" s="194" customFormat="1" x14ac:dyDescent="0.25">
      <c r="A49" s="192"/>
      <c r="B49" s="192"/>
      <c r="C49" s="193"/>
      <c r="E49" s="193"/>
      <c r="F49" s="193"/>
      <c r="H49" s="193"/>
      <c r="L49" s="193"/>
      <c r="M49" s="195"/>
      <c r="N49" s="196"/>
      <c r="P49" s="196"/>
      <c r="R49" s="197"/>
      <c r="AD49" s="193"/>
      <c r="AH49" s="193"/>
      <c r="AJ49" s="197"/>
      <c r="AL49" s="198"/>
      <c r="AM49" s="192"/>
    </row>
    <row r="50" spans="1:39" s="194" customFormat="1" x14ac:dyDescent="0.25">
      <c r="A50" s="192"/>
      <c r="B50" s="192"/>
      <c r="C50" s="193"/>
      <c r="E50" s="193"/>
      <c r="F50" s="193"/>
      <c r="H50" s="193"/>
      <c r="L50" s="193"/>
      <c r="M50" s="195"/>
      <c r="N50" s="196"/>
      <c r="P50" s="196"/>
      <c r="R50" s="197"/>
      <c r="AD50" s="193"/>
      <c r="AH50" s="193"/>
      <c r="AJ50" s="197"/>
      <c r="AL50" s="198"/>
      <c r="AM50" s="192"/>
    </row>
    <row r="51" spans="1:39" s="194" customFormat="1" x14ac:dyDescent="0.25">
      <c r="A51" s="192"/>
      <c r="B51" s="192"/>
      <c r="C51" s="193"/>
      <c r="E51" s="193"/>
      <c r="F51" s="193"/>
      <c r="H51" s="193"/>
      <c r="L51" s="193"/>
      <c r="M51" s="195"/>
      <c r="N51" s="196"/>
      <c r="P51" s="196"/>
      <c r="R51" s="197"/>
      <c r="AD51" s="193"/>
      <c r="AH51" s="193"/>
      <c r="AJ51" s="197"/>
      <c r="AL51" s="198"/>
      <c r="AM51" s="192"/>
    </row>
    <row r="52" spans="1:39" s="194" customFormat="1" x14ac:dyDescent="0.25">
      <c r="A52" s="192"/>
      <c r="B52" s="192"/>
      <c r="C52" s="193"/>
      <c r="E52" s="193"/>
      <c r="F52" s="193"/>
      <c r="H52" s="193"/>
      <c r="L52" s="193"/>
      <c r="M52" s="195"/>
      <c r="N52" s="196"/>
      <c r="P52" s="196"/>
      <c r="R52" s="197"/>
      <c r="AD52" s="193"/>
      <c r="AH52" s="193"/>
      <c r="AJ52" s="197"/>
      <c r="AL52" s="198"/>
      <c r="AM52" s="192"/>
    </row>
    <row r="53" spans="1:39" s="194" customFormat="1" x14ac:dyDescent="0.25">
      <c r="A53" s="192"/>
      <c r="B53" s="192"/>
      <c r="C53" s="193"/>
      <c r="E53" s="193"/>
      <c r="F53" s="193"/>
      <c r="H53" s="193"/>
      <c r="L53" s="193"/>
      <c r="M53" s="195"/>
      <c r="N53" s="196"/>
      <c r="P53" s="196"/>
      <c r="R53" s="197"/>
      <c r="AD53" s="193"/>
      <c r="AH53" s="193"/>
      <c r="AJ53" s="197"/>
      <c r="AL53" s="198"/>
      <c r="AM53" s="192"/>
    </row>
    <row r="54" spans="1:39" s="194" customFormat="1" x14ac:dyDescent="0.25">
      <c r="A54" s="192"/>
      <c r="B54" s="192"/>
      <c r="C54" s="193"/>
      <c r="E54" s="193"/>
      <c r="F54" s="193"/>
      <c r="H54" s="193"/>
      <c r="L54" s="193"/>
      <c r="M54" s="195"/>
      <c r="N54" s="196"/>
      <c r="P54" s="196"/>
      <c r="R54" s="197"/>
      <c r="AD54" s="193"/>
      <c r="AH54" s="193"/>
      <c r="AJ54" s="197"/>
      <c r="AL54" s="198"/>
      <c r="AM54" s="192"/>
    </row>
    <row r="55" spans="1:39" s="194" customFormat="1" x14ac:dyDescent="0.25">
      <c r="A55" s="192"/>
      <c r="B55" s="192"/>
      <c r="C55" s="193"/>
      <c r="E55" s="193"/>
      <c r="F55" s="193"/>
      <c r="H55" s="193"/>
      <c r="L55" s="193"/>
      <c r="M55" s="195"/>
      <c r="N55" s="196"/>
      <c r="P55" s="196"/>
      <c r="R55" s="197"/>
      <c r="AD55" s="193"/>
      <c r="AH55" s="193"/>
      <c r="AJ55" s="197"/>
      <c r="AL55" s="198"/>
      <c r="AM55" s="192"/>
    </row>
    <row r="56" spans="1:39" s="194" customFormat="1" x14ac:dyDescent="0.25">
      <c r="A56" s="192"/>
      <c r="B56" s="192"/>
      <c r="C56" s="193"/>
      <c r="E56" s="193"/>
      <c r="F56" s="193"/>
      <c r="H56" s="193"/>
      <c r="L56" s="193"/>
      <c r="M56" s="195"/>
      <c r="N56" s="196"/>
      <c r="P56" s="196"/>
      <c r="R56" s="197"/>
      <c r="AD56" s="193"/>
      <c r="AH56" s="193"/>
      <c r="AJ56" s="197"/>
      <c r="AL56" s="198"/>
      <c r="AM56" s="192"/>
    </row>
    <row r="57" spans="1:39" s="194" customFormat="1" x14ac:dyDescent="0.25">
      <c r="A57" s="192"/>
      <c r="B57" s="192"/>
      <c r="C57" s="193"/>
      <c r="E57" s="193"/>
      <c r="F57" s="193"/>
      <c r="H57" s="193"/>
      <c r="L57" s="193"/>
      <c r="M57" s="195"/>
      <c r="N57" s="196"/>
      <c r="P57" s="196"/>
      <c r="R57" s="197"/>
      <c r="AD57" s="193"/>
      <c r="AH57" s="193"/>
      <c r="AJ57" s="197"/>
      <c r="AL57" s="198"/>
      <c r="AM57" s="192"/>
    </row>
    <row r="58" spans="1:39" s="194" customFormat="1" x14ac:dyDescent="0.25">
      <c r="A58" s="192"/>
      <c r="B58" s="192"/>
      <c r="C58" s="193"/>
      <c r="E58" s="193"/>
      <c r="F58" s="193"/>
      <c r="H58" s="193"/>
      <c r="L58" s="193"/>
      <c r="M58" s="195"/>
      <c r="N58" s="196"/>
      <c r="P58" s="196"/>
      <c r="R58" s="197"/>
      <c r="AD58" s="193"/>
      <c r="AH58" s="193"/>
      <c r="AJ58" s="197"/>
      <c r="AL58" s="198"/>
      <c r="AM58" s="192"/>
    </row>
    <row r="59" spans="1:39" s="194" customFormat="1" x14ac:dyDescent="0.25">
      <c r="A59" s="192"/>
      <c r="B59" s="192"/>
      <c r="C59" s="193"/>
      <c r="E59" s="193"/>
      <c r="F59" s="193"/>
      <c r="H59" s="193"/>
      <c r="L59" s="193"/>
      <c r="M59" s="195"/>
      <c r="N59" s="196"/>
      <c r="P59" s="196"/>
      <c r="R59" s="197"/>
      <c r="AD59" s="193"/>
      <c r="AH59" s="193"/>
      <c r="AJ59" s="197"/>
      <c r="AL59" s="198"/>
      <c r="AM59" s="192"/>
    </row>
    <row r="60" spans="1:39" s="194" customFormat="1" x14ac:dyDescent="0.25">
      <c r="A60" s="192"/>
      <c r="B60" s="192"/>
      <c r="C60" s="193"/>
      <c r="E60" s="193"/>
      <c r="F60" s="193"/>
      <c r="H60" s="193"/>
      <c r="L60" s="193"/>
      <c r="M60" s="195"/>
      <c r="N60" s="196"/>
      <c r="P60" s="196"/>
      <c r="R60" s="197"/>
      <c r="AD60" s="193"/>
      <c r="AH60" s="193"/>
      <c r="AJ60" s="197"/>
      <c r="AL60" s="198"/>
      <c r="AM60" s="192"/>
    </row>
    <row r="61" spans="1:39" s="194" customFormat="1" x14ac:dyDescent="0.25">
      <c r="A61" s="192"/>
      <c r="B61" s="192"/>
      <c r="C61" s="193"/>
      <c r="E61" s="193"/>
      <c r="F61" s="193"/>
      <c r="H61" s="193"/>
      <c r="L61" s="193"/>
      <c r="M61" s="195"/>
      <c r="N61" s="196"/>
      <c r="P61" s="196"/>
      <c r="R61" s="197"/>
      <c r="AD61" s="193"/>
      <c r="AH61" s="193"/>
      <c r="AJ61" s="197"/>
      <c r="AL61" s="198"/>
      <c r="AM61" s="192"/>
    </row>
    <row r="62" spans="1:39" s="194" customFormat="1" x14ac:dyDescent="0.25">
      <c r="A62" s="192"/>
      <c r="B62" s="192"/>
      <c r="C62" s="193"/>
      <c r="E62" s="193"/>
      <c r="F62" s="193"/>
      <c r="H62" s="193"/>
      <c r="L62" s="193"/>
      <c r="M62" s="195"/>
      <c r="N62" s="196"/>
      <c r="P62" s="196"/>
      <c r="R62" s="197"/>
      <c r="AD62" s="193"/>
      <c r="AH62" s="193"/>
      <c r="AJ62" s="197"/>
      <c r="AL62" s="198"/>
      <c r="AM62" s="192"/>
    </row>
    <row r="63" spans="1:39" s="194" customFormat="1" x14ac:dyDescent="0.25">
      <c r="A63" s="192"/>
      <c r="B63" s="192"/>
      <c r="C63" s="193"/>
      <c r="E63" s="193"/>
      <c r="F63" s="193"/>
      <c r="H63" s="193"/>
      <c r="L63" s="193"/>
      <c r="M63" s="195"/>
      <c r="N63" s="196"/>
      <c r="P63" s="196"/>
      <c r="R63" s="197"/>
      <c r="AD63" s="193"/>
      <c r="AH63" s="193"/>
      <c r="AJ63" s="197"/>
      <c r="AL63" s="198"/>
      <c r="AM63" s="192"/>
    </row>
    <row r="64" spans="1:39" s="194" customFormat="1" x14ac:dyDescent="0.25">
      <c r="A64" s="192"/>
      <c r="B64" s="192"/>
      <c r="C64" s="193"/>
      <c r="E64" s="193"/>
      <c r="F64" s="193"/>
      <c r="H64" s="193"/>
      <c r="L64" s="193"/>
      <c r="M64" s="195"/>
      <c r="N64" s="196"/>
      <c r="P64" s="196"/>
      <c r="R64" s="197"/>
      <c r="AD64" s="193"/>
      <c r="AH64" s="193"/>
      <c r="AJ64" s="197"/>
      <c r="AL64" s="198"/>
      <c r="AM64" s="192"/>
    </row>
    <row r="65" spans="1:39" s="194" customFormat="1" x14ac:dyDescent="0.25">
      <c r="A65" s="192"/>
      <c r="B65" s="192"/>
      <c r="C65" s="193"/>
      <c r="E65" s="193"/>
      <c r="F65" s="193"/>
      <c r="H65" s="193"/>
      <c r="L65" s="193"/>
      <c r="M65" s="195"/>
      <c r="N65" s="196"/>
      <c r="P65" s="196"/>
      <c r="R65" s="197"/>
      <c r="AD65" s="193"/>
      <c r="AH65" s="193"/>
      <c r="AJ65" s="197"/>
      <c r="AL65" s="198"/>
      <c r="AM65" s="192"/>
    </row>
    <row r="66" spans="1:39" s="194" customFormat="1" x14ac:dyDescent="0.25">
      <c r="A66" s="192"/>
      <c r="B66" s="192"/>
      <c r="C66" s="193"/>
      <c r="E66" s="193"/>
      <c r="F66" s="193"/>
      <c r="H66" s="193"/>
      <c r="L66" s="193"/>
      <c r="M66" s="195"/>
      <c r="N66" s="196"/>
      <c r="P66" s="196"/>
      <c r="R66" s="197"/>
      <c r="AD66" s="193"/>
      <c r="AH66" s="193"/>
      <c r="AJ66" s="197"/>
      <c r="AL66" s="198"/>
      <c r="AM66" s="192"/>
    </row>
  </sheetData>
  <mergeCells count="18">
    <mergeCell ref="T9:U9"/>
    <mergeCell ref="AA9:AB9"/>
    <mergeCell ref="B7:AL7"/>
    <mergeCell ref="B8:B10"/>
    <mergeCell ref="C8:C10"/>
    <mergeCell ref="D8:D10"/>
    <mergeCell ref="E8:U8"/>
    <mergeCell ref="V8:AB8"/>
    <mergeCell ref="AC8:AL8"/>
    <mergeCell ref="E9:I9"/>
    <mergeCell ref="J9:N9"/>
    <mergeCell ref="O9:O10"/>
    <mergeCell ref="AC9:AI9"/>
    <mergeCell ref="P9:P10"/>
    <mergeCell ref="Q9:Q10"/>
    <mergeCell ref="AJ9:AL9"/>
    <mergeCell ref="R9:R10"/>
    <mergeCell ref="S9:S1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:C36"/>
    </sheetView>
  </sheetViews>
  <sheetFormatPr defaultRowHeight="15" x14ac:dyDescent="0.25"/>
  <cols>
    <col min="1" max="1" width="9.5703125" bestFit="1" customWidth="1"/>
    <col min="2" max="2" width="9.28515625" bestFit="1" customWidth="1"/>
    <col min="3" max="3" width="9.5703125" bestFit="1" customWidth="1"/>
  </cols>
  <sheetData>
    <row r="1" spans="1:3" ht="18" x14ac:dyDescent="0.35">
      <c r="A1" s="27" t="s">
        <v>28</v>
      </c>
    </row>
    <row r="2" spans="1:3" ht="18" x14ac:dyDescent="0.35">
      <c r="A2" s="256">
        <v>43678</v>
      </c>
      <c r="B2" s="257"/>
      <c r="C2" s="257"/>
    </row>
    <row r="3" spans="1:3" x14ac:dyDescent="0.25">
      <c r="A3" s="259" t="s">
        <v>1</v>
      </c>
      <c r="B3" s="258" t="s">
        <v>2</v>
      </c>
      <c r="C3" s="258" t="s">
        <v>3</v>
      </c>
    </row>
    <row r="4" spans="1:3" x14ac:dyDescent="0.25">
      <c r="A4" s="259"/>
      <c r="B4" s="258"/>
      <c r="C4" s="258"/>
    </row>
    <row r="5" spans="1:3" x14ac:dyDescent="0.25">
      <c r="A5" s="259"/>
      <c r="B5" s="258"/>
      <c r="C5" s="258"/>
    </row>
    <row r="6" spans="1:3" x14ac:dyDescent="0.25">
      <c r="A6" s="2">
        <v>1</v>
      </c>
      <c r="B6" s="215">
        <v>67</v>
      </c>
      <c r="C6" s="216">
        <v>570</v>
      </c>
    </row>
    <row r="7" spans="1:3" x14ac:dyDescent="0.25">
      <c r="A7" s="2">
        <v>2</v>
      </c>
      <c r="B7" s="215">
        <v>88</v>
      </c>
      <c r="C7" s="216">
        <v>711</v>
      </c>
    </row>
    <row r="8" spans="1:3" x14ac:dyDescent="0.25">
      <c r="A8" s="2">
        <f>A7+1</f>
        <v>3</v>
      </c>
      <c r="B8" s="215">
        <v>82</v>
      </c>
      <c r="C8" s="216">
        <v>683</v>
      </c>
    </row>
    <row r="9" spans="1:3" x14ac:dyDescent="0.25">
      <c r="A9" s="2">
        <f>A8+1</f>
        <v>4</v>
      </c>
      <c r="B9" s="215">
        <v>85</v>
      </c>
      <c r="C9" s="216">
        <v>742</v>
      </c>
    </row>
    <row r="10" spans="1:3" x14ac:dyDescent="0.25">
      <c r="A10" s="2">
        <f t="shared" ref="A10:A35" si="0">A9+1</f>
        <v>5</v>
      </c>
      <c r="B10" s="215">
        <v>89</v>
      </c>
      <c r="C10" s="216">
        <v>672</v>
      </c>
    </row>
    <row r="11" spans="1:3" x14ac:dyDescent="0.25">
      <c r="A11" s="2">
        <f t="shared" si="0"/>
        <v>6</v>
      </c>
      <c r="B11" s="215">
        <v>93</v>
      </c>
      <c r="C11" s="216">
        <v>704</v>
      </c>
    </row>
    <row r="12" spans="1:3" x14ac:dyDescent="0.25">
      <c r="A12" s="2">
        <f t="shared" si="0"/>
        <v>7</v>
      </c>
      <c r="B12" s="215">
        <v>103</v>
      </c>
      <c r="C12" s="216">
        <v>793</v>
      </c>
    </row>
    <row r="13" spans="1:3" x14ac:dyDescent="0.25">
      <c r="A13" s="2">
        <f t="shared" si="0"/>
        <v>8</v>
      </c>
      <c r="B13" s="215">
        <v>120</v>
      </c>
      <c r="C13" s="216">
        <v>856</v>
      </c>
    </row>
    <row r="14" spans="1:3" x14ac:dyDescent="0.25">
      <c r="A14" s="2">
        <f t="shared" si="0"/>
        <v>9</v>
      </c>
      <c r="B14" s="215">
        <v>123</v>
      </c>
      <c r="C14" s="216">
        <v>990</v>
      </c>
    </row>
    <row r="15" spans="1:3" x14ac:dyDescent="0.25">
      <c r="A15" s="2">
        <f t="shared" si="0"/>
        <v>10</v>
      </c>
      <c r="B15" s="215">
        <v>127</v>
      </c>
      <c r="C15" s="216">
        <v>895</v>
      </c>
    </row>
    <row r="16" spans="1:3" x14ac:dyDescent="0.25">
      <c r="A16" s="2">
        <f t="shared" si="0"/>
        <v>11</v>
      </c>
      <c r="B16" s="215">
        <v>126</v>
      </c>
      <c r="C16" s="216">
        <v>1001</v>
      </c>
    </row>
    <row r="17" spans="1:3" x14ac:dyDescent="0.25">
      <c r="A17" s="2">
        <f t="shared" si="0"/>
        <v>12</v>
      </c>
      <c r="B17" s="215">
        <v>130</v>
      </c>
      <c r="C17" s="216">
        <v>870</v>
      </c>
    </row>
    <row r="18" spans="1:3" x14ac:dyDescent="0.25">
      <c r="A18" s="2">
        <f t="shared" si="0"/>
        <v>13</v>
      </c>
      <c r="B18" s="215">
        <v>120</v>
      </c>
      <c r="C18" s="216">
        <v>687</v>
      </c>
    </row>
    <row r="19" spans="1:3" x14ac:dyDescent="0.25">
      <c r="A19" s="2">
        <f t="shared" si="0"/>
        <v>14</v>
      </c>
      <c r="B19" s="215">
        <v>115</v>
      </c>
      <c r="C19" s="216">
        <v>843</v>
      </c>
    </row>
    <row r="20" spans="1:3" x14ac:dyDescent="0.25">
      <c r="A20" s="2">
        <f t="shared" si="0"/>
        <v>15</v>
      </c>
      <c r="B20" s="215">
        <v>112</v>
      </c>
      <c r="C20" s="216">
        <v>907</v>
      </c>
    </row>
    <row r="21" spans="1:3" x14ac:dyDescent="0.25">
      <c r="A21" s="2">
        <f t="shared" si="0"/>
        <v>16</v>
      </c>
      <c r="B21" s="215">
        <v>115</v>
      </c>
      <c r="C21" s="216">
        <v>888</v>
      </c>
    </row>
    <row r="22" spans="1:3" x14ac:dyDescent="0.25">
      <c r="A22" s="2">
        <f t="shared" si="0"/>
        <v>17</v>
      </c>
      <c r="B22" s="215">
        <v>98</v>
      </c>
      <c r="C22" s="216">
        <v>796</v>
      </c>
    </row>
    <row r="23" spans="1:3" x14ac:dyDescent="0.25">
      <c r="A23" s="2">
        <f t="shared" si="0"/>
        <v>18</v>
      </c>
      <c r="B23" s="215">
        <v>100</v>
      </c>
      <c r="C23" s="216">
        <v>871</v>
      </c>
    </row>
    <row r="24" spans="1:3" x14ac:dyDescent="0.25">
      <c r="A24" s="2">
        <f t="shared" si="0"/>
        <v>19</v>
      </c>
      <c r="B24" s="215">
        <v>94</v>
      </c>
      <c r="C24" s="216">
        <v>760</v>
      </c>
    </row>
    <row r="25" spans="1:3" x14ac:dyDescent="0.25">
      <c r="A25" s="2">
        <f t="shared" si="0"/>
        <v>20</v>
      </c>
      <c r="B25" s="215">
        <v>98</v>
      </c>
      <c r="C25" s="216">
        <v>739</v>
      </c>
    </row>
    <row r="26" spans="1:3" x14ac:dyDescent="0.25">
      <c r="A26" s="2">
        <f t="shared" si="0"/>
        <v>21</v>
      </c>
      <c r="B26" s="215">
        <v>122</v>
      </c>
      <c r="C26" s="216">
        <v>795</v>
      </c>
    </row>
    <row r="27" spans="1:3" x14ac:dyDescent="0.25">
      <c r="A27" s="2">
        <f t="shared" si="0"/>
        <v>22</v>
      </c>
      <c r="B27" s="215">
        <v>100</v>
      </c>
      <c r="C27" s="216">
        <v>852</v>
      </c>
    </row>
    <row r="28" spans="1:3" x14ac:dyDescent="0.25">
      <c r="A28" s="2">
        <f t="shared" si="0"/>
        <v>23</v>
      </c>
      <c r="B28" s="215">
        <v>90</v>
      </c>
      <c r="C28" s="216">
        <v>746</v>
      </c>
    </row>
    <row r="29" spans="1:3" x14ac:dyDescent="0.25">
      <c r="A29" s="2">
        <f t="shared" si="0"/>
        <v>24</v>
      </c>
      <c r="B29" s="215">
        <v>80</v>
      </c>
      <c r="C29" s="216">
        <v>730</v>
      </c>
    </row>
    <row r="30" spans="1:3" x14ac:dyDescent="0.25">
      <c r="A30" s="2">
        <f t="shared" si="0"/>
        <v>25</v>
      </c>
      <c r="B30" s="215">
        <v>75</v>
      </c>
      <c r="C30" s="216">
        <v>681</v>
      </c>
    </row>
    <row r="31" spans="1:3" x14ac:dyDescent="0.25">
      <c r="A31" s="2">
        <f t="shared" si="0"/>
        <v>26</v>
      </c>
      <c r="B31" s="215">
        <v>76</v>
      </c>
      <c r="C31" s="216">
        <v>598</v>
      </c>
    </row>
    <row r="32" spans="1:3" x14ac:dyDescent="0.25">
      <c r="A32" s="2">
        <f t="shared" si="0"/>
        <v>27</v>
      </c>
      <c r="B32" s="215">
        <v>75</v>
      </c>
      <c r="C32" s="216">
        <v>592</v>
      </c>
    </row>
    <row r="33" spans="1:3" x14ac:dyDescent="0.25">
      <c r="A33" s="2">
        <f t="shared" si="0"/>
        <v>28</v>
      </c>
      <c r="B33" s="215">
        <v>78</v>
      </c>
      <c r="C33" s="216">
        <v>529</v>
      </c>
    </row>
    <row r="34" spans="1:3" x14ac:dyDescent="0.25">
      <c r="A34" s="2">
        <f t="shared" si="0"/>
        <v>29</v>
      </c>
      <c r="B34" s="215">
        <v>63</v>
      </c>
      <c r="C34" s="216">
        <v>658</v>
      </c>
    </row>
    <row r="35" spans="1:3" x14ac:dyDescent="0.25">
      <c r="A35" s="2">
        <f t="shared" si="0"/>
        <v>30</v>
      </c>
      <c r="B35" s="215">
        <v>55</v>
      </c>
      <c r="C35" s="216">
        <v>522</v>
      </c>
    </row>
    <row r="36" spans="1:3" x14ac:dyDescent="0.25">
      <c r="A36" s="2">
        <v>31</v>
      </c>
      <c r="B36" s="215">
        <v>43</v>
      </c>
      <c r="C36" s="216">
        <v>498</v>
      </c>
    </row>
    <row r="38" spans="1:3" x14ac:dyDescent="0.25">
      <c r="B38" s="6">
        <f>SUM(B6:B36)</f>
        <v>2942</v>
      </c>
      <c r="C38" s="6">
        <f>SUM(C6:C36)</f>
        <v>23179</v>
      </c>
    </row>
  </sheetData>
  <mergeCells count="4">
    <mergeCell ref="A2:C2"/>
    <mergeCell ref="C3:C5"/>
    <mergeCell ref="A3:A5"/>
    <mergeCell ref="B3:B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47CC794813E498F4E0E4373AD9880" ma:contentTypeVersion="13" ma:contentTypeDescription="Create a new document." ma:contentTypeScope="" ma:versionID="0f442fd14c8c2f27e599873b8aa4e1da">
  <xsd:schema xmlns:xsd="http://www.w3.org/2001/XMLSchema" xmlns:xs="http://www.w3.org/2001/XMLSchema" xmlns:p="http://schemas.microsoft.com/office/2006/metadata/properties" xmlns:ns3="ed2f2222-2bff-489f-89bb-9539c67e7b9c" xmlns:ns4="77842aba-bda6-4832-96cd-e75cb5324294" targetNamespace="http://schemas.microsoft.com/office/2006/metadata/properties" ma:root="true" ma:fieldsID="e4c8dcf7dcd090c9b8489b6930ce9acf" ns3:_="" ns4:_="">
    <xsd:import namespace="ed2f2222-2bff-489f-89bb-9539c67e7b9c"/>
    <xsd:import namespace="77842aba-bda6-4832-96cd-e75cb532429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f2222-2bff-489f-89bb-9539c67e7b9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42aba-bda6-4832-96cd-e75cb5324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EAE74F4-7ADC-443D-BDD6-B8BBEBD453E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F63AC17-9EFD-48DA-BB12-4FD1F7102A5E}">
  <ds:schemaRefs>
    <ds:schemaRef ds:uri="ed2f2222-2bff-489f-89bb-9539c67e7b9c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77842aba-bda6-4832-96cd-e75cb5324294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94C324EC-38EF-4CFC-9AFF-4A199CEAD0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2f2222-2bff-489f-89bb-9539c67e7b9c"/>
    <ds:schemaRef ds:uri="77842aba-bda6-4832-96cd-e75cb53242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FS Jimbaran August 2019</vt:lpstr>
      <vt:lpstr>RNs &amp; Covers August 2019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Wu</dc:creator>
  <cp:lastModifiedBy>Tjokorda Gde Sparsa Krisyana Krisyana</cp:lastModifiedBy>
  <cp:lastPrinted>2020-11-17T04:34:44Z</cp:lastPrinted>
  <dcterms:created xsi:type="dcterms:W3CDTF">2020-09-16T08:52:25Z</dcterms:created>
  <dcterms:modified xsi:type="dcterms:W3CDTF">2022-05-05T08:52:33Z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0x010100E0047CC794813E498F4E0E4373AD9880</vt:lpwstr>
  </property>
</Properties>
</file>