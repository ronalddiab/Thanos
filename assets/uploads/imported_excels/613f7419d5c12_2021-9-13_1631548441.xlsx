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457" documentId="8_{5B502D95-7A37-4D5A-8B6B-374537CC2F26}" xr6:coauthVersionLast="47" xr6:coauthVersionMax="47" xr10:uidLastSave="{93F0B5D4-0429-4435-ACC1-11799237CB5A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6" l="1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I31" i="21"/>
  <c r="H31" i="21"/>
  <c r="L21" i="22"/>
  <c r="L22" i="22"/>
  <c r="L23" i="22"/>
  <c r="L24" i="22"/>
  <c r="L25" i="22"/>
  <c r="L26" i="22"/>
  <c r="L27" i="22"/>
  <c r="L28" i="22"/>
  <c r="L29" i="22"/>
  <c r="L30" i="22"/>
  <c r="L31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F20" i="11"/>
  <c r="N23" i="2"/>
  <c r="M23" i="2"/>
  <c r="L23" i="2"/>
  <c r="F23" i="2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N20" i="2"/>
  <c r="M20" i="2"/>
  <c r="L20" i="2"/>
  <c r="F20" i="2"/>
  <c r="N19" i="2"/>
  <c r="M19" i="2"/>
  <c r="L19" i="2"/>
  <c r="F19" i="2"/>
  <c r="N18" i="2"/>
  <c r="M18" i="2"/>
  <c r="L18" i="2"/>
  <c r="F18" i="2"/>
  <c r="N17" i="2"/>
  <c r="M17" i="2"/>
  <c r="L17" i="2"/>
  <c r="F17" i="2"/>
  <c r="N16" i="2"/>
  <c r="M16" i="2"/>
  <c r="L16" i="2"/>
  <c r="F16" i="2"/>
  <c r="N15" i="2"/>
  <c r="M15" i="2"/>
  <c r="L15" i="2"/>
  <c r="F15" i="2"/>
  <c r="N14" i="2"/>
  <c r="M14" i="2"/>
  <c r="L14" i="2"/>
  <c r="F14" i="2"/>
  <c r="N13" i="2"/>
  <c r="M13" i="2"/>
  <c r="L13" i="2"/>
  <c r="F13" i="2"/>
  <c r="P38" i="4"/>
  <c r="P39" i="4"/>
  <c r="P40" i="4"/>
  <c r="K11" i="6"/>
  <c r="N12" i="2" s="1"/>
  <c r="I11" i="6"/>
  <c r="M12" i="2" s="1"/>
  <c r="G11" i="6"/>
  <c r="L12" i="2" s="1"/>
  <c r="E11" i="6"/>
  <c r="F12" i="2" s="1"/>
  <c r="C11" i="6"/>
  <c r="C10" i="6"/>
  <c r="K10" i="6"/>
  <c r="N11" i="2" s="1"/>
  <c r="I10" i="6"/>
  <c r="M11" i="2" s="1"/>
  <c r="G10" i="6"/>
  <c r="L11" i="2" s="1"/>
  <c r="E10" i="6"/>
  <c r="F11" i="2" s="1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C35" i="4"/>
  <c r="K38" i="6"/>
  <c r="N39" i="2" s="1"/>
  <c r="G31" i="21" s="1"/>
  <c r="I38" i="6"/>
  <c r="M39" i="2" s="1"/>
  <c r="F31" i="21" s="1"/>
  <c r="G38" i="6"/>
  <c r="L39" i="2" s="1"/>
  <c r="E38" i="6"/>
  <c r="F39" i="2" s="1"/>
  <c r="H39" i="2" s="1"/>
  <c r="C38" i="6"/>
  <c r="K37" i="6"/>
  <c r="N38" i="2" s="1"/>
  <c r="G30" i="21" s="1"/>
  <c r="I37" i="6"/>
  <c r="M38" i="2" s="1"/>
  <c r="F30" i="21" s="1"/>
  <c r="G37" i="6"/>
  <c r="L38" i="2" s="1"/>
  <c r="E30" i="21" s="1"/>
  <c r="E30" i="22" s="1"/>
  <c r="E37" i="6"/>
  <c r="F38" i="2" s="1"/>
  <c r="C37" i="6"/>
  <c r="D29" i="10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C36" i="6"/>
  <c r="K35" i="6"/>
  <c r="N36" i="2" s="1"/>
  <c r="G28" i="21" s="1"/>
  <c r="I35" i="6"/>
  <c r="M36" i="2" s="1"/>
  <c r="F28" i="21" s="1"/>
  <c r="G35" i="6"/>
  <c r="L36" i="2" s="1"/>
  <c r="E28" i="21" s="1"/>
  <c r="E28" i="22" s="1"/>
  <c r="E35" i="6"/>
  <c r="F36" i="2" s="1"/>
  <c r="C35" i="6"/>
  <c r="K34" i="6"/>
  <c r="N35" i="2" s="1"/>
  <c r="I34" i="6"/>
  <c r="M35" i="2" s="1"/>
  <c r="G34" i="6"/>
  <c r="L35" i="2" s="1"/>
  <c r="E27" i="21" s="1"/>
  <c r="E34" i="6"/>
  <c r="F35" i="2" s="1"/>
  <c r="C34" i="6"/>
  <c r="K33" i="6"/>
  <c r="N34" i="2" s="1"/>
  <c r="I33" i="6"/>
  <c r="M34" i="2" s="1"/>
  <c r="G33" i="6"/>
  <c r="L34" i="2" s="1"/>
  <c r="E26" i="21" s="1"/>
  <c r="E33" i="6"/>
  <c r="F34" i="2" s="1"/>
  <c r="C33" i="6"/>
  <c r="K32" i="6"/>
  <c r="N33" i="2" s="1"/>
  <c r="I32" i="6"/>
  <c r="M33" i="2" s="1"/>
  <c r="G32" i="6"/>
  <c r="L33" i="2" s="1"/>
  <c r="E32" i="6"/>
  <c r="F33" i="2" s="1"/>
  <c r="C32" i="6"/>
  <c r="K31" i="6"/>
  <c r="N32" i="2" s="1"/>
  <c r="I31" i="6"/>
  <c r="M32" i="2" s="1"/>
  <c r="G31" i="6"/>
  <c r="L32" i="2" s="1"/>
  <c r="E31" i="6"/>
  <c r="F32" i="2" s="1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L30" i="2" s="1"/>
  <c r="E29" i="6"/>
  <c r="F30" i="2" s="1"/>
  <c r="C29" i="6"/>
  <c r="K28" i="6"/>
  <c r="N29" i="2" s="1"/>
  <c r="I28" i="6"/>
  <c r="M29" i="2" s="1"/>
  <c r="G28" i="6"/>
  <c r="L29" i="2" s="1"/>
  <c r="E28" i="6"/>
  <c r="F29" i="2" s="1"/>
  <c r="C28" i="6"/>
  <c r="K27" i="6"/>
  <c r="N28" i="2" s="1"/>
  <c r="I27" i="6"/>
  <c r="M28" i="2" s="1"/>
  <c r="G27" i="6"/>
  <c r="L28" i="2" s="1"/>
  <c r="E27" i="6"/>
  <c r="F28" i="2" s="1"/>
  <c r="C27" i="6"/>
  <c r="K26" i="6"/>
  <c r="N27" i="2" s="1"/>
  <c r="I26" i="6"/>
  <c r="M27" i="2" s="1"/>
  <c r="G26" i="6"/>
  <c r="L27" i="2" s="1"/>
  <c r="E26" i="6"/>
  <c r="F27" i="2" s="1"/>
  <c r="C26" i="6"/>
  <c r="K25" i="6"/>
  <c r="N26" i="2" s="1"/>
  <c r="I25" i="6"/>
  <c r="M26" i="2" s="1"/>
  <c r="G25" i="6"/>
  <c r="L26" i="2" s="1"/>
  <c r="E25" i="6"/>
  <c r="F26" i="2" s="1"/>
  <c r="C25" i="6"/>
  <c r="K24" i="6"/>
  <c r="N25" i="2" s="1"/>
  <c r="I24" i="6"/>
  <c r="M25" i="2" s="1"/>
  <c r="G24" i="6"/>
  <c r="L25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5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5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5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7" i="4" l="1"/>
  <c r="E7" i="4"/>
  <c r="C7" i="4"/>
  <c r="P9" i="4"/>
  <c r="V15" i="2"/>
  <c r="X15" i="2" s="1"/>
  <c r="P7" i="4"/>
  <c r="V13" i="2"/>
  <c r="X13" i="2" s="1"/>
  <c r="P15" i="4"/>
  <c r="V21" i="2"/>
  <c r="X21" i="2" s="1"/>
  <c r="P33" i="4"/>
  <c r="V39" i="2"/>
  <c r="X39" i="2" s="1"/>
  <c r="P20" i="4"/>
  <c r="V26" i="2"/>
  <c r="X26" i="2" s="1"/>
  <c r="P19" i="4"/>
  <c r="V25" i="2"/>
  <c r="X25" i="2" s="1"/>
  <c r="P25" i="4"/>
  <c r="V31" i="2"/>
  <c r="X31" i="2" s="1"/>
  <c r="P26" i="4"/>
  <c r="V32" i="2"/>
  <c r="X32" i="2" s="1"/>
  <c r="P32" i="4"/>
  <c r="V38" i="2"/>
  <c r="P11" i="4"/>
  <c r="V17" i="2"/>
  <c r="X17" i="2" s="1"/>
  <c r="P12" i="4"/>
  <c r="V18" i="2"/>
  <c r="X18" i="2" s="1"/>
  <c r="P24" i="4"/>
  <c r="V30" i="2"/>
  <c r="X30" i="2" s="1"/>
  <c r="P29" i="4"/>
  <c r="V35" i="2"/>
  <c r="X35" i="2" s="1"/>
  <c r="P21" i="4"/>
  <c r="V27" i="2"/>
  <c r="P18" i="4"/>
  <c r="V24" i="2"/>
  <c r="X24" i="2" s="1"/>
  <c r="P30" i="4"/>
  <c r="V36" i="2"/>
  <c r="P34" i="4"/>
  <c r="P27" i="4"/>
  <c r="V33" i="2"/>
  <c r="X33" i="2" s="1"/>
  <c r="P14" i="4"/>
  <c r="V20" i="2"/>
  <c r="X20" i="2" s="1"/>
  <c r="P16" i="4"/>
  <c r="V22" i="2"/>
  <c r="X22" i="2" s="1"/>
  <c r="P28" i="4"/>
  <c r="V34" i="2"/>
  <c r="X34" i="2" s="1"/>
  <c r="P31" i="4"/>
  <c r="V37" i="2"/>
  <c r="P10" i="4"/>
  <c r="V16" i="2"/>
  <c r="X16" i="2" s="1"/>
  <c r="P13" i="4"/>
  <c r="V19" i="2"/>
  <c r="X19" i="2" s="1"/>
  <c r="P17" i="4"/>
  <c r="V23" i="2"/>
  <c r="X23" i="2" s="1"/>
  <c r="P23" i="4"/>
  <c r="V29" i="2"/>
  <c r="X29" i="2" s="1"/>
  <c r="P22" i="4"/>
  <c r="V28" i="2"/>
  <c r="X28" i="2" s="1"/>
  <c r="P5" i="4"/>
  <c r="V11" i="2"/>
  <c r="X11" i="2" s="1"/>
  <c r="E31" i="21"/>
  <c r="E31" i="22" s="1"/>
  <c r="Q39" i="2"/>
  <c r="O39" i="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X27" i="2" l="1"/>
  <c r="G18" i="22"/>
  <c r="P8" i="4"/>
  <c r="V14" i="2"/>
  <c r="X14" i="2" s="1"/>
  <c r="P6" i="4"/>
  <c r="V12" i="2"/>
  <c r="X12" i="2" s="1"/>
  <c r="X37" i="2"/>
  <c r="X36" i="2"/>
  <c r="X38" i="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X10" i="2" s="1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<sst xmlns="http://schemas.openxmlformats.org/spreadsheetml/2006/main" count="476" uniqueCount="185">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</sst>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6">
                  <c:v>120.60000000000582</c:v>
                </c:pt>
                <c:pt idx="7">
                  <c:v>122.39999999999418</c:v>
                </c:pt>
                <c:pt idx="8">
                  <c:v>87</c:v>
                </c:pt>
                <c:pt idx="9">
                  <c:v>109.89999999999418</c:v>
                </c:pt>
                <c:pt idx="10">
                  <c:v>149.30000000000291</c:v>
                </c:pt>
                <c:pt idx="11">
                  <c:v>122.40000000000873</c:v>
                </c:pt>
                <c:pt idx="12">
                  <c:v>85.799999999988358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6">
                  <c:v>3490</c:v>
                </c:pt>
                <c:pt idx="7">
                  <c:v>3942</c:v>
                </c:pt>
                <c:pt idx="8">
                  <c:v>3943</c:v>
                </c:pt>
                <c:pt idx="9">
                  <c:v>4100</c:v>
                </c:pt>
                <c:pt idx="10">
                  <c:v>4062</c:v>
                </c:pt>
                <c:pt idx="11">
                  <c:v>4129</c:v>
                </c:pt>
                <c:pt idx="12">
                  <c:v>4080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6">
                  <c:v>9492</c:v>
                </c:pt>
                <c:pt idx="7">
                  <c:v>8618</c:v>
                </c:pt>
                <c:pt idx="8">
                  <c:v>9334</c:v>
                </c:pt>
                <c:pt idx="9">
                  <c:v>9636</c:v>
                </c:pt>
                <c:pt idx="10">
                  <c:v>8534</c:v>
                </c:pt>
                <c:pt idx="11">
                  <c:v>8909</c:v>
                </c:pt>
                <c:pt idx="12">
                  <c:v>8633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6">
                  <c:v>3250</c:v>
                </c:pt>
                <c:pt idx="7">
                  <c:v>2850</c:v>
                </c:pt>
                <c:pt idx="8">
                  <c:v>2762</c:v>
                </c:pt>
                <c:pt idx="9">
                  <c:v>3258</c:v>
                </c:pt>
                <c:pt idx="10">
                  <c:v>3241</c:v>
                </c:pt>
                <c:pt idx="11">
                  <c:v>2959</c:v>
                </c:pt>
                <c:pt idx="12">
                  <c:v>3051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185.15</c:v>
                </c:pt>
                <c:pt idx="1">
                  <c:v>148.12</c:v>
                </c:pt>
                <c:pt idx="2">
                  <c:v>259.21000000000004</c:v>
                </c:pt>
                <c:pt idx="3">
                  <c:v>630.70000000000005</c:v>
                </c:pt>
                <c:pt idx="4">
                  <c:v>0</c:v>
                </c:pt>
                <c:pt idx="5">
                  <c:v>0</c:v>
                </c:pt>
                <c:pt idx="6">
                  <c:v>31.999210000000001</c:v>
                </c:pt>
                <c:pt idx="7">
                  <c:v>127.99684000000001</c:v>
                </c:pt>
                <c:pt idx="8">
                  <c:v>287.99288999999999</c:v>
                </c:pt>
                <c:pt idx="9">
                  <c:v>223.99447000000001</c:v>
                </c:pt>
                <c:pt idx="10">
                  <c:v>159.99605</c:v>
                </c:pt>
                <c:pt idx="11">
                  <c:v>383.99052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20" sqref="L20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185.15</v>
      </c>
      <c r="H2" s="134">
        <v>8.6999999999999993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14480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259.21000000000004</v>
      </c>
      <c r="H4" s="134">
        <v>8.6999999999999993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630.70000000000005</v>
      </c>
      <c r="H5" s="134">
        <v>8.6999999999999993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90</v>
      </c>
      <c r="J7" s="134">
        <v>11.4</v>
      </c>
      <c r="K7" s="137">
        <f>'Consommation mensuel énergie'!D15</f>
        <v>66</v>
      </c>
      <c r="L7" s="137">
        <f>'Consommation mensuel énergie'!E15</f>
        <v>103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16232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120.60000000000582</v>
      </c>
      <c r="J8" s="134">
        <v>11.4</v>
      </c>
      <c r="K8" s="137">
        <f>'Consommation mensuel énergie'!D16</f>
        <v>94</v>
      </c>
      <c r="L8" s="137">
        <f>'Consommation mensuel énergie'!E16</f>
        <v>135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15410</v>
      </c>
      <c r="F9" s="134">
        <v>1.05</v>
      </c>
      <c r="G9" s="134">
        <f>'Consommation mensuel énergie'!V17</f>
        <v>127.99684000000001</v>
      </c>
      <c r="H9" s="134">
        <v>8.6999999999999993</v>
      </c>
      <c r="I9" s="134">
        <f>'Consommation mensuel énergie'!F17</f>
        <v>122.39999999999418</v>
      </c>
      <c r="J9" s="134">
        <v>11.4</v>
      </c>
      <c r="K9" s="137">
        <f>'Consommation mensuel énergie'!D17</f>
        <v>88</v>
      </c>
      <c r="L9" s="137">
        <f>'Consommation mensuel énergie'!E17</f>
        <v>124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16039</v>
      </c>
      <c r="F10" s="134">
        <v>1.05</v>
      </c>
      <c r="G10" s="134">
        <f>'Consommation mensuel énergie'!V19</f>
        <v>223.99447000000001</v>
      </c>
      <c r="H10" s="134">
        <v>8.6999999999999993</v>
      </c>
      <c r="I10" s="134">
        <f>'Consommation mensuel énergie'!F18</f>
        <v>87</v>
      </c>
      <c r="J10" s="134">
        <v>11.4</v>
      </c>
      <c r="K10" s="137">
        <f>'Consommation mensuel énergie'!D18</f>
        <v>90</v>
      </c>
      <c r="L10" s="137">
        <f>'Consommation mensuel énergie'!E18</f>
        <v>130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16994</v>
      </c>
      <c r="F11" s="134">
        <v>1.05</v>
      </c>
      <c r="G11" s="134">
        <f>'Consommation mensuel énergie'!V20</f>
        <v>159.99605</v>
      </c>
      <c r="H11" s="134">
        <v>8.6999999999999993</v>
      </c>
      <c r="I11" s="134">
        <f>'Consommation mensuel énergie'!F19</f>
        <v>109.89999999999418</v>
      </c>
      <c r="J11" s="134">
        <v>11.4</v>
      </c>
      <c r="K11" s="137">
        <f>'Consommation mensuel énergie'!D19</f>
        <v>100</v>
      </c>
      <c r="L11" s="137">
        <f>'Consommation mensuel énergie'!E19</f>
        <v>152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15837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149.30000000000291</v>
      </c>
      <c r="J12" s="134">
        <v>11.4</v>
      </c>
      <c r="K12" s="137">
        <f>'Consommation mensuel énergie'!D20</f>
        <v>81</v>
      </c>
      <c r="L12" s="137">
        <f>'Consommation mensuel énergie'!E20</f>
        <v>129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15997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122.40000000000873</v>
      </c>
      <c r="J13" s="134">
        <v>11.4</v>
      </c>
      <c r="K13" s="137">
        <f>'Consommation mensuel énergie'!D21</f>
        <v>80</v>
      </c>
      <c r="L13" s="137">
        <f>'Consommation mensuel énergie'!E21</f>
        <v>127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15764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85.799999999988358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2439.1499800000001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5"/>
      <c r="F34" s="134"/>
      <c r="G34" s="134"/>
      <c r="H34" s="134"/>
      <c r="I34" s="134"/>
      <c r="J34" s="134"/>
    </row>
    <row r="35" spans="1:13">
      <c r="A35" s="165"/>
      <c r="F35" s="134"/>
      <c r="G35" s="134"/>
      <c r="H35" s="134"/>
      <c r="I35" s="134"/>
      <c r="J35" s="134"/>
    </row>
    <row r="36" spans="1:13">
      <c r="A36" s="165"/>
      <c r="F36" s="134"/>
      <c r="G36" s="134"/>
      <c r="H36" s="134"/>
      <c r="I36" s="134"/>
      <c r="J36" s="134"/>
    </row>
    <row r="37" spans="1:13">
      <c r="A37" s="165"/>
      <c r="F37" s="134"/>
      <c r="G37" s="134"/>
      <c r="H37" s="134"/>
      <c r="I37" s="134"/>
      <c r="J37" s="134"/>
    </row>
    <row r="38" spans="1:13">
      <c r="A38" s="165"/>
      <c r="F38" s="134"/>
      <c r="G38" s="134"/>
      <c r="H38" s="134"/>
      <c r="I38" s="134"/>
      <c r="J38" s="134"/>
    </row>
    <row r="39" spans="1:13">
      <c r="A39" s="165"/>
      <c r="F39" s="134"/>
      <c r="G39" s="134"/>
      <c r="H39" s="134"/>
      <c r="I39" s="134"/>
      <c r="J39" s="134"/>
    </row>
    <row r="40" spans="1:13">
      <c r="A40" s="165"/>
      <c r="F40" s="134"/>
      <c r="G40" s="134"/>
      <c r="H40" s="134"/>
      <c r="I40" s="134"/>
      <c r="J40" s="134"/>
    </row>
    <row r="41" spans="1:13">
      <c r="A41" s="165"/>
      <c r="F41" s="165"/>
      <c r="G41" s="165"/>
      <c r="H41" s="165"/>
      <c r="I41" s="165"/>
      <c r="J41" s="1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énergie'!N14</f>
        <v>2893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66</v>
      </c>
      <c r="I7" s="137">
        <f>'Consommation mensuel énergie'!E15</f>
        <v>103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3490</v>
      </c>
      <c r="F8" s="137">
        <f>'Consommation mensuel énergie'!M16</f>
        <v>9492</v>
      </c>
      <c r="G8" s="137">
        <f>'Consommation mensuel énergie'!N16</f>
        <v>3250</v>
      </c>
      <c r="H8" s="137">
        <f>'Consommation mensuel énergie'!D16</f>
        <v>94</v>
      </c>
      <c r="I8" s="137">
        <f>'Consommation mensuel énergie'!E16</f>
        <v>135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3942</v>
      </c>
      <c r="F9" s="137">
        <f>'Consommation mensuel énergie'!M17</f>
        <v>8618</v>
      </c>
      <c r="G9" s="137">
        <f>'Consommation mensuel énergie'!N17</f>
        <v>2850</v>
      </c>
      <c r="H9" s="137">
        <f>'Consommation mensuel énergie'!D17</f>
        <v>88</v>
      </c>
      <c r="I9" s="137">
        <f>'Consommation mensuel énergie'!E17</f>
        <v>124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3943</v>
      </c>
      <c r="F10" s="137">
        <f>'Consommation mensuel énergie'!M18</f>
        <v>9334</v>
      </c>
      <c r="G10" s="137">
        <f>'Consommation mensuel énergie'!N18</f>
        <v>2762</v>
      </c>
      <c r="H10" s="137">
        <f>'Consommation mensuel énergie'!D18</f>
        <v>90</v>
      </c>
      <c r="I10" s="137">
        <f>'Consommation mensuel énergie'!E18</f>
        <v>130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4100</v>
      </c>
      <c r="F11" s="137">
        <f>'Consommation mensuel énergie'!M19</f>
        <v>9636</v>
      </c>
      <c r="G11" s="137">
        <f>'Consommation mensuel énergie'!N19</f>
        <v>3258</v>
      </c>
      <c r="H11" s="137">
        <f>'Consommation mensuel énergie'!D19</f>
        <v>100</v>
      </c>
      <c r="I11" s="137">
        <f>'Consommation mensuel énergie'!E19</f>
        <v>152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4062</v>
      </c>
      <c r="F12" s="137">
        <f>'Consommation mensuel énergie'!M20</f>
        <v>8534</v>
      </c>
      <c r="G12" s="137">
        <f>'Consommation mensuel énergie'!N20</f>
        <v>3241</v>
      </c>
      <c r="H12" s="137">
        <f>'Consommation mensuel énergie'!D20</f>
        <v>81</v>
      </c>
      <c r="I12" s="137">
        <f>'Consommation mensuel énergie'!E20</f>
        <v>129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4129</v>
      </c>
      <c r="F13" s="137">
        <f>'Consommation mensuel énergie'!M21</f>
        <v>8909</v>
      </c>
      <c r="G13" s="137">
        <f>'Consommation mensuel énergie'!N21</f>
        <v>2959</v>
      </c>
      <c r="H13" s="137">
        <f>'Consommation mensuel énergie'!D21</f>
        <v>80</v>
      </c>
      <c r="I13" s="137">
        <f>'Consommation mensuel énergie'!E21</f>
        <v>127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4080</v>
      </c>
      <c r="F14" s="137">
        <f>'Consommation mensuel énergie'!M22</f>
        <v>8633</v>
      </c>
      <c r="G14" s="137">
        <f>'Consommation mensuel énergie'!N22</f>
        <v>3051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5"/>
      <c r="E32" s="134"/>
      <c r="F32" s="134"/>
      <c r="G32" s="134"/>
      <c r="H32" s="133"/>
      <c r="I32" s="133"/>
    </row>
    <row r="33" spans="1:9">
      <c r="A33" s="165"/>
      <c r="E33" s="134"/>
      <c r="F33" s="134"/>
      <c r="G33" s="134"/>
      <c r="H33" s="133"/>
      <c r="I33" s="133"/>
    </row>
    <row r="34" spans="1:9">
      <c r="A34" s="165"/>
      <c r="E34" s="134"/>
      <c r="F34" s="134"/>
      <c r="G34" s="134"/>
      <c r="H34" s="133"/>
      <c r="I34" s="133"/>
    </row>
    <row r="35" spans="1:9">
      <c r="A35" s="165"/>
      <c r="E35" s="134"/>
      <c r="F35" s="134"/>
      <c r="G35" s="134"/>
      <c r="H35" s="133"/>
      <c r="I35" s="133"/>
    </row>
    <row r="36" spans="1:9">
      <c r="A36" s="165"/>
      <c r="E36" s="134"/>
      <c r="F36" s="134"/>
      <c r="G36" s="134"/>
      <c r="H36" s="133"/>
      <c r="I36" s="133"/>
    </row>
    <row r="37" spans="1:9">
      <c r="A37" s="165"/>
      <c r="E37" s="134"/>
      <c r="F37" s="134"/>
      <c r="G37" s="134"/>
      <c r="H37" s="133"/>
      <c r="I37" s="133"/>
    </row>
    <row r="38" spans="1:9">
      <c r="A38" s="165"/>
      <c r="E38" s="134"/>
      <c r="F38" s="134"/>
      <c r="G38" s="134"/>
      <c r="H38" s="133"/>
      <c r="I38" s="133"/>
    </row>
    <row r="39" spans="1:9">
      <c r="A39" s="165"/>
      <c r="E39" s="165"/>
      <c r="F39" s="165"/>
      <c r="G39" s="1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7" activePane="bottomRight" state="frozen"/>
      <selection pane="bottomRight" activeCell="E22" sqref="E2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4" ht="100.5" customHeight="1" thickBot="1">
      <c r="A2" s="180"/>
      <c r="B2" s="181"/>
      <c r="C2" s="181"/>
      <c r="D2" s="181"/>
      <c r="E2" s="181"/>
      <c r="F2" s="181"/>
      <c r="G2" s="181"/>
      <c r="H2" s="182"/>
      <c r="I2" s="191" t="s">
        <v>17</v>
      </c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</row>
    <row r="3" spans="1:24" ht="15" hidden="1" customHeight="1" thickBo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</row>
    <row r="4" spans="1:24" ht="39" hidden="1" customHeight="1" thickBot="1">
      <c r="A4" s="183"/>
      <c r="B4" s="183"/>
      <c r="C4" s="183"/>
      <c r="D4" s="164"/>
      <c r="E4" s="164"/>
      <c r="F4" s="164"/>
      <c r="G4" s="164"/>
      <c r="H4" s="164"/>
      <c r="I4" s="164"/>
      <c r="J4" s="164"/>
      <c r="K4" s="164"/>
      <c r="L4" s="164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3"/>
      <c r="B5" s="183"/>
      <c r="C5" s="183"/>
      <c r="D5" s="164"/>
      <c r="E5" s="164"/>
      <c r="F5" s="164"/>
      <c r="G5" s="164"/>
      <c r="H5" s="164"/>
      <c r="I5" s="164"/>
      <c r="J5" s="164"/>
      <c r="K5" s="164"/>
      <c r="L5" s="16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spans="1:24" s="5" customFormat="1" ht="44.25" hidden="1" customHeight="1" thickBot="1">
      <c r="A6" s="3"/>
      <c r="B6" s="3"/>
      <c r="C6" s="3"/>
      <c r="D6" s="164"/>
      <c r="E6" s="164"/>
      <c r="F6" s="164"/>
      <c r="G6" s="164"/>
      <c r="H6" s="164"/>
      <c r="I6" s="164"/>
      <c r="J6" s="164"/>
      <c r="K6" s="164"/>
      <c r="L6" s="16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spans="1:24" s="5" customFormat="1" ht="18.75" hidden="1" customHeight="1" thickBot="1">
      <c r="A7" s="164"/>
      <c r="B7" s="164"/>
      <c r="C7" s="164"/>
      <c r="D7" s="164"/>
      <c r="E7" s="164"/>
      <c r="F7" s="184"/>
      <c r="G7" s="184"/>
      <c r="H7" s="184"/>
      <c r="I7" s="184"/>
      <c r="J7" s="184"/>
      <c r="K7" s="184"/>
      <c r="L7" s="184"/>
      <c r="M7" s="184"/>
      <c r="N7" s="193"/>
      <c r="O7" s="193"/>
      <c r="P7" s="184"/>
      <c r="Q7" s="184"/>
      <c r="R7" s="184"/>
      <c r="S7" s="184"/>
      <c r="T7" s="184"/>
      <c r="U7" s="184"/>
      <c r="V7" s="184"/>
      <c r="W7" s="184"/>
      <c r="X7" s="184"/>
    </row>
    <row r="8" spans="1:24" ht="18.75" customHeight="1" thickBot="1">
      <c r="A8" s="184"/>
      <c r="B8" s="195" t="s">
        <v>19</v>
      </c>
      <c r="C8" s="4"/>
      <c r="D8" s="196" t="s">
        <v>20</v>
      </c>
      <c r="E8" s="196" t="s">
        <v>21</v>
      </c>
      <c r="F8" s="178" t="s">
        <v>22</v>
      </c>
      <c r="G8" s="2"/>
      <c r="H8" s="185" t="s">
        <v>23</v>
      </c>
      <c r="I8" s="186"/>
      <c r="J8" s="187"/>
      <c r="K8" s="173" t="s">
        <v>24</v>
      </c>
      <c r="L8" s="177" t="s">
        <v>25</v>
      </c>
      <c r="M8" s="177"/>
      <c r="N8" s="177"/>
      <c r="O8" s="177" t="s">
        <v>26</v>
      </c>
      <c r="P8" s="2"/>
      <c r="Q8" s="175" t="s">
        <v>23</v>
      </c>
      <c r="R8" s="2"/>
      <c r="S8" s="175" t="s">
        <v>27</v>
      </c>
      <c r="T8" s="2"/>
      <c r="U8" s="175" t="s">
        <v>28</v>
      </c>
      <c r="V8" s="198" t="s">
        <v>29</v>
      </c>
      <c r="W8" s="2"/>
      <c r="X8" s="175" t="s">
        <v>23</v>
      </c>
    </row>
    <row r="9" spans="1:24" ht="59.25" customHeight="1" thickBot="1">
      <c r="A9" s="184"/>
      <c r="B9" s="195"/>
      <c r="C9" s="4"/>
      <c r="D9" s="197"/>
      <c r="E9" s="197"/>
      <c r="F9" s="179"/>
      <c r="G9" s="2"/>
      <c r="H9" s="188"/>
      <c r="I9" s="189"/>
      <c r="J9" s="190"/>
      <c r="K9" s="174"/>
      <c r="L9" s="163" t="s">
        <v>30</v>
      </c>
      <c r="M9" s="163" t="s">
        <v>31</v>
      </c>
      <c r="N9" s="163" t="s">
        <v>32</v>
      </c>
      <c r="O9" s="194"/>
      <c r="P9" s="2"/>
      <c r="Q9" s="176"/>
      <c r="R9" s="2"/>
      <c r="S9" s="176"/>
      <c r="T9" s="2"/>
      <c r="U9" s="176"/>
      <c r="V9" s="199"/>
      <c r="W9" s="2"/>
      <c r="X9" s="176"/>
    </row>
    <row r="10" spans="1:24" ht="32.25" customHeight="1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9">
        <f>F10*8.79</f>
        <v>980.9640000000511</v>
      </c>
      <c r="I10" s="170"/>
      <c r="J10" s="170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185.15</v>
      </c>
      <c r="W10" s="11"/>
      <c r="X10" s="34">
        <f>V10*9.61</f>
        <v>1779.2915</v>
      </c>
    </row>
    <row r="11" spans="1:24" ht="32.25" customHeight="1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9">
        <f t="shared" ref="H11:H21" si="0">F11*8.79</f>
        <v>715.50599999994881</v>
      </c>
      <c r="I11" s="170"/>
      <c r="J11" s="170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148.12</v>
      </c>
      <c r="W11" s="11"/>
      <c r="X11" s="34">
        <f t="shared" ref="X11:X39" si="1">V11*9.61</f>
        <v>1423.4331999999999</v>
      </c>
    </row>
    <row r="12" spans="1:24" ht="32.25" customHeight="1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9">
        <f t="shared" si="0"/>
        <v>673.31400000005112</v>
      </c>
      <c r="I12" s="170"/>
      <c r="J12" s="170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259.21000000000004</v>
      </c>
      <c r="W12" s="11"/>
      <c r="X12" s="34">
        <f t="shared" si="1"/>
        <v>2491.0081</v>
      </c>
    </row>
    <row r="13" spans="1:24" ht="32.25" customHeight="1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9">
        <f t="shared" si="0"/>
        <v>940.52999999999986</v>
      </c>
      <c r="I13" s="170"/>
      <c r="J13" s="170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630.70000000000005</v>
      </c>
      <c r="W13" s="11"/>
      <c r="X13" s="34">
        <f t="shared" si="1"/>
        <v>6061.027</v>
      </c>
    </row>
    <row r="14" spans="1:24" ht="32.25" customHeight="1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9">
        <f t="shared" si="0"/>
        <v>817.46999999999991</v>
      </c>
      <c r="I14" s="170"/>
      <c r="J14" s="170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>
      <c r="A15" s="164"/>
      <c r="B15" s="6">
        <v>44445</v>
      </c>
      <c r="C15" s="7"/>
      <c r="D15" s="143">
        <v>66</v>
      </c>
      <c r="E15" s="143">
        <v>103</v>
      </c>
      <c r="F15" s="13">
        <f>'Suivi EAU-ELEC'!E14</f>
        <v>90</v>
      </c>
      <c r="G15" s="11"/>
      <c r="H15" s="169">
        <f t="shared" si="0"/>
        <v>791.09999999999991</v>
      </c>
      <c r="I15" s="170"/>
      <c r="J15" s="170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>
      <c r="A16" s="164"/>
      <c r="B16" s="6">
        <v>44446</v>
      </c>
      <c r="C16" s="7"/>
      <c r="D16" s="143">
        <v>94</v>
      </c>
      <c r="E16" s="143">
        <v>135</v>
      </c>
      <c r="F16" s="13">
        <f>'Suivi EAU-ELEC'!E15</f>
        <v>120.60000000000582</v>
      </c>
      <c r="G16" s="11"/>
      <c r="H16" s="169">
        <f t="shared" si="0"/>
        <v>1060.074000000051</v>
      </c>
      <c r="I16" s="170"/>
      <c r="J16" s="170"/>
      <c r="K16" s="60">
        <v>42284</v>
      </c>
      <c r="L16" s="90">
        <f>'Suivi EAU-ELEC'!G15</f>
        <v>3490</v>
      </c>
      <c r="M16" s="91">
        <f>'Suivi EAU-ELEC'!I15</f>
        <v>9492</v>
      </c>
      <c r="N16" s="91">
        <f>'Suivi EAU-ELEC'!K15</f>
        <v>3250</v>
      </c>
      <c r="O16" s="91">
        <f t="shared" si="2"/>
        <v>16232</v>
      </c>
      <c r="P16" s="11"/>
      <c r="Q16" s="34">
        <f t="shared" si="3"/>
        <v>15792.253799999999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307.51240810000002</v>
      </c>
    </row>
    <row r="17" spans="1:24" s="5" customFormat="1" ht="32.25" customHeight="1">
      <c r="A17" s="2"/>
      <c r="B17" s="6">
        <v>44447</v>
      </c>
      <c r="C17" s="7"/>
      <c r="D17" s="143">
        <v>88</v>
      </c>
      <c r="E17" s="143">
        <v>124</v>
      </c>
      <c r="F17" s="13">
        <f>'Suivi EAU-ELEC'!E16</f>
        <v>122.39999999999418</v>
      </c>
      <c r="G17" s="11"/>
      <c r="H17" s="169">
        <f t="shared" si="0"/>
        <v>1075.8959999999488</v>
      </c>
      <c r="I17" s="170"/>
      <c r="J17" s="170"/>
      <c r="K17" s="60">
        <v>42285</v>
      </c>
      <c r="L17" s="90">
        <f>'Suivi EAU-ELEC'!G16</f>
        <v>3942</v>
      </c>
      <c r="M17" s="91">
        <f>'Suivi EAU-ELEC'!I16</f>
        <v>8618</v>
      </c>
      <c r="N17" s="91">
        <f>'Suivi EAU-ELEC'!K16</f>
        <v>2850</v>
      </c>
      <c r="O17" s="91">
        <f t="shared" si="2"/>
        <v>15410</v>
      </c>
      <c r="P17" s="12"/>
      <c r="Q17" s="34">
        <f t="shared" si="3"/>
        <v>14744.2922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1230.0496324000001</v>
      </c>
    </row>
    <row r="18" spans="1:24" ht="32.25" customHeight="1">
      <c r="A18" s="2"/>
      <c r="B18" s="6">
        <v>44448</v>
      </c>
      <c r="C18" s="7"/>
      <c r="D18" s="143">
        <v>90</v>
      </c>
      <c r="E18" s="143">
        <v>130</v>
      </c>
      <c r="F18" s="13">
        <f>'Suivi EAU-ELEC'!E17</f>
        <v>87</v>
      </c>
      <c r="G18" s="11"/>
      <c r="H18" s="169">
        <f t="shared" si="0"/>
        <v>764.7299999999999</v>
      </c>
      <c r="I18" s="170"/>
      <c r="J18" s="170"/>
      <c r="K18" s="60">
        <v>42286</v>
      </c>
      <c r="L18" s="90">
        <f>'Suivi EAU-ELEC'!G17</f>
        <v>3943</v>
      </c>
      <c r="M18" s="91">
        <f>'Suivi EAU-ELEC'!I17</f>
        <v>9334</v>
      </c>
      <c r="N18" s="91">
        <f>'Suivi EAU-ELEC'!K17</f>
        <v>2762</v>
      </c>
      <c r="O18" s="91">
        <f t="shared" si="2"/>
        <v>16039</v>
      </c>
      <c r="P18" s="12"/>
      <c r="Q18" s="34">
        <f t="shared" si="3"/>
        <v>15309.117899999999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2767.6116728999996</v>
      </c>
    </row>
    <row r="19" spans="1:24" ht="32.25" customHeight="1">
      <c r="A19" s="2"/>
      <c r="B19" s="6">
        <v>44449</v>
      </c>
      <c r="C19" s="7"/>
      <c r="D19" s="143">
        <v>100</v>
      </c>
      <c r="E19" s="143">
        <v>152</v>
      </c>
      <c r="F19" s="13">
        <f>'Suivi EAU-ELEC'!E18</f>
        <v>109.89999999999418</v>
      </c>
      <c r="G19" s="12"/>
      <c r="H19" s="169">
        <f t="shared" si="0"/>
        <v>966.02099999994869</v>
      </c>
      <c r="I19" s="170"/>
      <c r="J19" s="170"/>
      <c r="K19" s="60">
        <v>42287</v>
      </c>
      <c r="L19" s="90">
        <f>'Suivi EAU-ELEC'!G18</f>
        <v>4100</v>
      </c>
      <c r="M19" s="91">
        <f>'Suivi EAU-ELEC'!I18</f>
        <v>9636</v>
      </c>
      <c r="N19" s="91">
        <f>'Suivi EAU-ELEC'!K18</f>
        <v>3258</v>
      </c>
      <c r="O19" s="91">
        <f t="shared" si="2"/>
        <v>16994</v>
      </c>
      <c r="P19" s="12"/>
      <c r="Q19" s="34">
        <f t="shared" si="3"/>
        <v>16365.9836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2152.5868566999998</v>
      </c>
    </row>
    <row r="20" spans="1:24" ht="32.25" customHeight="1">
      <c r="A20" s="2"/>
      <c r="B20" s="6">
        <v>44450</v>
      </c>
      <c r="C20" s="7"/>
      <c r="D20" s="143">
        <v>81</v>
      </c>
      <c r="E20" s="143">
        <v>129</v>
      </c>
      <c r="F20" s="13">
        <f>'Suivi EAU-ELEC'!E19</f>
        <v>149.30000000000291</v>
      </c>
      <c r="G20" s="12"/>
      <c r="H20" s="169">
        <f t="shared" si="0"/>
        <v>1312.3470000000254</v>
      </c>
      <c r="I20" s="170"/>
      <c r="J20" s="170"/>
      <c r="K20" s="60">
        <v>42288</v>
      </c>
      <c r="L20" s="90">
        <f>'Suivi EAU-ELEC'!G19</f>
        <v>4062</v>
      </c>
      <c r="M20" s="91">
        <f>'Suivi EAU-ELEC'!I19</f>
        <v>8534</v>
      </c>
      <c r="N20" s="91">
        <f>'Suivi EAU-ELEC'!K19</f>
        <v>3241</v>
      </c>
      <c r="O20" s="91">
        <f t="shared" si="2"/>
        <v>15837</v>
      </c>
      <c r="P20" s="12"/>
      <c r="Q20" s="34">
        <f t="shared" si="3"/>
        <v>15268.381000000001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1537.5620405</v>
      </c>
    </row>
    <row r="21" spans="1:24" ht="32.25" customHeight="1">
      <c r="A21" s="2"/>
      <c r="B21" s="6">
        <v>44451</v>
      </c>
      <c r="C21" s="7"/>
      <c r="D21" s="143">
        <v>80</v>
      </c>
      <c r="E21" s="143">
        <v>127</v>
      </c>
      <c r="F21" s="13">
        <f>'Suivi EAU-ELEC'!E20</f>
        <v>122.40000000000873</v>
      </c>
      <c r="G21" s="12"/>
      <c r="H21" s="169">
        <f t="shared" si="0"/>
        <v>1075.8960000000766</v>
      </c>
      <c r="I21" s="170"/>
      <c r="J21" s="170"/>
      <c r="K21" s="60">
        <v>42289</v>
      </c>
      <c r="L21" s="90">
        <f>'Suivi EAU-ELEC'!G20</f>
        <v>4129</v>
      </c>
      <c r="M21" s="91">
        <f>'Suivi EAU-ELEC'!I20</f>
        <v>8909</v>
      </c>
      <c r="N21" s="91">
        <f>'Suivi EAU-ELEC'!K20</f>
        <v>2959</v>
      </c>
      <c r="O21" s="91">
        <f>L21+M21+N21</f>
        <v>15997</v>
      </c>
      <c r="P21" s="12"/>
      <c r="Q21" s="34">
        <f t="shared" si="3"/>
        <v>15296.7827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3690.1488971999997</v>
      </c>
    </row>
    <row r="22" spans="1:24" ht="32.25" customHeight="1">
      <c r="A22" s="2"/>
      <c r="B22" s="6">
        <v>44452</v>
      </c>
      <c r="C22" s="7"/>
      <c r="D22" s="143"/>
      <c r="E22" s="143"/>
      <c r="F22" s="13">
        <f>'Suivi EAU-ELEC'!E21</f>
        <v>85.799999999988358</v>
      </c>
      <c r="G22" s="12"/>
      <c r="H22" s="169">
        <f t="shared" ref="H22:H35" si="4">F22*8.79</f>
        <v>754.18199999989758</v>
      </c>
      <c r="I22" s="170"/>
      <c r="J22" s="170"/>
      <c r="K22" s="60">
        <v>42290</v>
      </c>
      <c r="L22" s="90">
        <f>'Suivi EAU-ELEC'!G21</f>
        <v>4080</v>
      </c>
      <c r="M22" s="91">
        <f>'Suivi EAU-ELEC'!I21</f>
        <v>8633</v>
      </c>
      <c r="N22" s="91">
        <f>'Suivi EAU-ELEC'!K21</f>
        <v>3051</v>
      </c>
      <c r="O22" s="91">
        <f t="shared" si="2"/>
        <v>15764</v>
      </c>
      <c r="P22" s="12"/>
      <c r="Q22" s="34">
        <f t="shared" si="3"/>
        <v>15122.366600000001</v>
      </c>
      <c r="R22" s="12"/>
      <c r="S22" s="28"/>
      <c r="T22" s="12"/>
      <c r="U22" s="28"/>
      <c r="V22" s="146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44453</v>
      </c>
      <c r="C23" s="7"/>
      <c r="D23" s="143"/>
      <c r="E23" s="143"/>
      <c r="F23" s="13">
        <f>'Suivi EAU-ELEC'!E22</f>
        <v>0</v>
      </c>
      <c r="G23" s="14"/>
      <c r="H23" s="169">
        <f t="shared" si="4"/>
        <v>0</v>
      </c>
      <c r="I23" s="170"/>
      <c r="J23" s="170"/>
      <c r="K23" s="60">
        <v>42291</v>
      </c>
      <c r="L23" s="90">
        <f>'Suivi EAU-ELEC'!G22</f>
        <v>0</v>
      </c>
      <c r="M23" s="91">
        <f>'Suivi EAU-ELEC'!I22</f>
        <v>0</v>
      </c>
      <c r="N23" s="91">
        <f>'Suivi EAU-ELEC'!K22</f>
        <v>0</v>
      </c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6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44454</v>
      </c>
      <c r="C24" s="7"/>
      <c r="D24" s="143"/>
      <c r="E24" s="143"/>
      <c r="F24" s="13">
        <f>'Suivi EAU-ELEC'!E23</f>
        <v>0</v>
      </c>
      <c r="G24" s="14"/>
      <c r="H24" s="169">
        <f t="shared" si="4"/>
        <v>0</v>
      </c>
      <c r="I24" s="170"/>
      <c r="J24" s="170"/>
      <c r="K24" s="60">
        <v>42292</v>
      </c>
      <c r="L24" s="90">
        <f>'Suivi EAU-ELEC'!G23</f>
        <v>0</v>
      </c>
      <c r="M24" s="91">
        <f>'Suivi EAU-ELEC'!I23</f>
        <v>0</v>
      </c>
      <c r="N24" s="91">
        <f>'Suivi EAU-ELEC'!K23</f>
        <v>0</v>
      </c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6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44455</v>
      </c>
      <c r="C25" s="7"/>
      <c r="D25" s="143"/>
      <c r="E25" s="143"/>
      <c r="F25" s="13">
        <f>'Suivi EAU-ELEC'!E24</f>
        <v>0</v>
      </c>
      <c r="G25" s="14"/>
      <c r="H25" s="169">
        <f t="shared" si="4"/>
        <v>0</v>
      </c>
      <c r="I25" s="170"/>
      <c r="J25" s="170"/>
      <c r="K25" s="60">
        <v>42293</v>
      </c>
      <c r="L25" s="90">
        <f>'Suivi EAU-ELEC'!G24</f>
        <v>0</v>
      </c>
      <c r="M25" s="91">
        <f>'Suivi EAU-ELEC'!I24</f>
        <v>0</v>
      </c>
      <c r="N25" s="91">
        <f>'Suivi EAU-ELEC'!K24</f>
        <v>0</v>
      </c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44456</v>
      </c>
      <c r="C26" s="7"/>
      <c r="D26" s="143"/>
      <c r="E26" s="143"/>
      <c r="F26" s="13">
        <f>'Suivi EAU-ELEC'!E25</f>
        <v>0</v>
      </c>
      <c r="G26" s="14"/>
      <c r="H26" s="169">
        <f t="shared" si="4"/>
        <v>0</v>
      </c>
      <c r="I26" s="170"/>
      <c r="J26" s="170"/>
      <c r="K26" s="60">
        <v>42294</v>
      </c>
      <c r="L26" s="90">
        <f>'Suivi EAU-ELEC'!G25</f>
        <v>0</v>
      </c>
      <c r="M26" s="91">
        <f>'Suivi EAU-ELEC'!I25</f>
        <v>0</v>
      </c>
      <c r="N26" s="91">
        <f>'Suivi EAU-ELEC'!K25</f>
        <v>0</v>
      </c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44457</v>
      </c>
      <c r="C27" s="7"/>
      <c r="D27" s="143"/>
      <c r="E27" s="143"/>
      <c r="F27" s="13">
        <f>'Suivi EAU-ELEC'!E26</f>
        <v>0</v>
      </c>
      <c r="G27" s="14"/>
      <c r="H27" s="169">
        <f t="shared" si="4"/>
        <v>0</v>
      </c>
      <c r="I27" s="170"/>
      <c r="J27" s="170"/>
      <c r="K27" s="60">
        <v>42295</v>
      </c>
      <c r="L27" s="90">
        <f>'Suivi EAU-ELEC'!G26</f>
        <v>0</v>
      </c>
      <c r="M27" s="91">
        <f>'Suivi EAU-ELEC'!I26</f>
        <v>0</v>
      </c>
      <c r="N27" s="91">
        <f>'Suivi EAU-ELEC'!K26</f>
        <v>0</v>
      </c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44458</v>
      </c>
      <c r="C28" s="7"/>
      <c r="D28" s="143"/>
      <c r="E28" s="143"/>
      <c r="F28" s="13">
        <f>'Suivi EAU-ELEC'!E27</f>
        <v>0</v>
      </c>
      <c r="G28" s="11"/>
      <c r="H28" s="169">
        <f t="shared" si="4"/>
        <v>0</v>
      </c>
      <c r="I28" s="170"/>
      <c r="J28" s="170"/>
      <c r="K28" s="60">
        <v>42296</v>
      </c>
      <c r="L28" s="90">
        <f>'Suivi EAU-ELEC'!G27</f>
        <v>0</v>
      </c>
      <c r="M28" s="91">
        <f>'Suivi EAU-ELEC'!I27</f>
        <v>0</v>
      </c>
      <c r="N28" s="91">
        <f>'Suivi EAU-ELEC'!K27</f>
        <v>0</v>
      </c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44459</v>
      </c>
      <c r="C29" s="7"/>
      <c r="D29" s="143"/>
      <c r="E29" s="143"/>
      <c r="F29" s="13">
        <f>'Suivi EAU-ELEC'!E28</f>
        <v>0</v>
      </c>
      <c r="G29" s="11"/>
      <c r="H29" s="169">
        <f t="shared" si="4"/>
        <v>0</v>
      </c>
      <c r="I29" s="170"/>
      <c r="J29" s="170"/>
      <c r="K29" s="60">
        <v>42297</v>
      </c>
      <c r="L29" s="90">
        <f>'Suivi EAU-ELEC'!G28</f>
        <v>0</v>
      </c>
      <c r="M29" s="91">
        <f>'Suivi EAU-ELEC'!I28</f>
        <v>0</v>
      </c>
      <c r="N29" s="91">
        <f>'Suivi EAU-ELEC'!K28</f>
        <v>0</v>
      </c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44460</v>
      </c>
      <c r="C30" s="7"/>
      <c r="D30" s="143"/>
      <c r="E30" s="143"/>
      <c r="F30" s="13">
        <f>'Suivi EAU-ELEC'!E29</f>
        <v>0</v>
      </c>
      <c r="G30" s="11"/>
      <c r="H30" s="169">
        <f t="shared" si="4"/>
        <v>0</v>
      </c>
      <c r="I30" s="170"/>
      <c r="J30" s="170"/>
      <c r="K30" s="60">
        <v>42298</v>
      </c>
      <c r="L30" s="90">
        <f>'Suivi EAU-ELEC'!G29</f>
        <v>0</v>
      </c>
      <c r="M30" s="91">
        <f>'Suivi EAU-ELEC'!I29</f>
        <v>0</v>
      </c>
      <c r="N30" s="91">
        <f>'Suivi EAU-ELEC'!K29</f>
        <v>0</v>
      </c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44461</v>
      </c>
      <c r="C31" s="7"/>
      <c r="D31" s="143"/>
      <c r="E31" s="143"/>
      <c r="F31" s="13">
        <f>'Suivi EAU-ELEC'!E30</f>
        <v>0</v>
      </c>
      <c r="G31" s="11"/>
      <c r="H31" s="169">
        <f t="shared" si="4"/>
        <v>0</v>
      </c>
      <c r="I31" s="170"/>
      <c r="J31" s="170"/>
      <c r="K31" s="60">
        <v>42299</v>
      </c>
      <c r="L31" s="90">
        <f>'Suivi EAU-ELEC'!G30</f>
        <v>0</v>
      </c>
      <c r="M31" s="91">
        <f>'Suivi EAU-ELEC'!I30</f>
        <v>0</v>
      </c>
      <c r="N31" s="91">
        <f>'Suivi EAU-ELEC'!K30</f>
        <v>0</v>
      </c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44462</v>
      </c>
      <c r="C32" s="7"/>
      <c r="D32" s="143"/>
      <c r="E32" s="143"/>
      <c r="F32" s="13">
        <f>'Suivi EAU-ELEC'!E31</f>
        <v>0</v>
      </c>
      <c r="G32" s="11"/>
      <c r="H32" s="169">
        <f t="shared" si="4"/>
        <v>0</v>
      </c>
      <c r="I32" s="170"/>
      <c r="J32" s="170"/>
      <c r="K32" s="60">
        <v>42300</v>
      </c>
      <c r="L32" s="90">
        <f>'Suivi EAU-ELEC'!G31</f>
        <v>0</v>
      </c>
      <c r="M32" s="91">
        <f>'Suivi EAU-ELEC'!I31</f>
        <v>0</v>
      </c>
      <c r="N32" s="91">
        <f>'Suivi EAU-ELEC'!K31</f>
        <v>0</v>
      </c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44463</v>
      </c>
      <c r="C33" s="7"/>
      <c r="D33" s="143"/>
      <c r="E33" s="143"/>
      <c r="F33" s="13">
        <f>'Suivi EAU-ELEC'!E32</f>
        <v>0</v>
      </c>
      <c r="G33" s="11"/>
      <c r="H33" s="169">
        <f t="shared" si="4"/>
        <v>0</v>
      </c>
      <c r="I33" s="170"/>
      <c r="J33" s="170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44464</v>
      </c>
      <c r="C34" s="7"/>
      <c r="D34" s="143"/>
      <c r="E34" s="143"/>
      <c r="F34" s="13">
        <f>'Suivi EAU-ELEC'!E33</f>
        <v>0</v>
      </c>
      <c r="G34" s="11"/>
      <c r="H34" s="169">
        <f t="shared" si="4"/>
        <v>0</v>
      </c>
      <c r="I34" s="170"/>
      <c r="J34" s="170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44465</v>
      </c>
      <c r="C35" s="7"/>
      <c r="D35" s="143"/>
      <c r="E35" s="143"/>
      <c r="F35" s="13">
        <f>'Suivi EAU-ELEC'!E34</f>
        <v>0</v>
      </c>
      <c r="G35" s="11"/>
      <c r="H35" s="169">
        <f t="shared" si="4"/>
        <v>0</v>
      </c>
      <c r="I35" s="170"/>
      <c r="J35" s="170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44466</v>
      </c>
      <c r="C36" s="7"/>
      <c r="D36" s="143"/>
      <c r="E36" s="143"/>
      <c r="F36" s="13">
        <f>'Suivi EAU-ELEC'!E35</f>
        <v>0</v>
      </c>
      <c r="G36" s="11"/>
      <c r="H36" s="169">
        <f>F36*8.79</f>
        <v>0</v>
      </c>
      <c r="I36" s="170"/>
      <c r="J36" s="170"/>
      <c r="K36" s="60">
        <v>42304</v>
      </c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44467</v>
      </c>
      <c r="C37" s="7"/>
      <c r="D37" s="143"/>
      <c r="E37" s="143"/>
      <c r="F37" s="13">
        <f>'Suivi EAU-ELEC'!E36</f>
        <v>0</v>
      </c>
      <c r="G37" s="11"/>
      <c r="H37" s="169">
        <f t="shared" ref="H37:H38" si="5">F37*8.79</f>
        <v>0</v>
      </c>
      <c r="I37" s="170"/>
      <c r="J37" s="170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44468</v>
      </c>
      <c r="C38" s="7"/>
      <c r="D38" s="143"/>
      <c r="E38" s="143"/>
      <c r="F38" s="13">
        <f>'Suivi EAU-ELEC'!E37</f>
        <v>0</v>
      </c>
      <c r="G38" s="11"/>
      <c r="H38" s="169">
        <f t="shared" si="5"/>
        <v>0</v>
      </c>
      <c r="I38" s="170"/>
      <c r="J38" s="170"/>
      <c r="K38" s="60"/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44469</v>
      </c>
      <c r="C39" s="7"/>
      <c r="D39" s="143"/>
      <c r="E39" s="143"/>
      <c r="F39" s="13">
        <f>'Suivi EAU-ELEC'!E38</f>
        <v>0</v>
      </c>
      <c r="G39" s="11"/>
      <c r="H39" s="169">
        <f t="shared" ref="H39" si="6">F39*8.79</f>
        <v>0</v>
      </c>
      <c r="I39" s="170"/>
      <c r="J39" s="170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934</v>
      </c>
      <c r="E40" s="8">
        <f>SUM(E10:E39)</f>
        <v>1462</v>
      </c>
      <c r="F40" s="152">
        <f>SUM(F10:F39)</f>
        <v>1357</v>
      </c>
      <c r="G40" s="1"/>
      <c r="H40" s="250">
        <f>SUM(H10:H39)</f>
        <v>11928.029999999999</v>
      </c>
      <c r="I40" s="251"/>
      <c r="J40" s="252"/>
      <c r="K40" s="1"/>
      <c r="L40" s="53">
        <f>SUM(L10:L39)</f>
        <v>50271</v>
      </c>
      <c r="M40" s="53">
        <f>SUM(M10:M39)</f>
        <v>108345</v>
      </c>
      <c r="N40" s="54">
        <f>SUM(N10:N39)</f>
        <v>38058</v>
      </c>
      <c r="O40" s="55">
        <f>SUM(O10:O39)</f>
        <v>196674</v>
      </c>
      <c r="P40" s="31"/>
      <c r="Q40" s="32">
        <f>SUM(Q10:Q39)</f>
        <v>189021.65849999999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2439.1499800000001</v>
      </c>
      <c r="W40" s="31"/>
      <c r="X40" s="32">
        <f>SUM(X10:X39)</f>
        <v>23440.231307800001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4"/>
      <c r="M41" s="164"/>
      <c r="N41" s="164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5" t="s">
        <v>33</v>
      </c>
      <c r="B42" s="206"/>
      <c r="C42" s="206"/>
      <c r="D42" s="206"/>
      <c r="E42" s="206"/>
      <c r="F42" s="207"/>
      <c r="G42" s="26"/>
      <c r="H42" s="27" t="s">
        <v>34</v>
      </c>
      <c r="I42" s="244" t="s">
        <v>35</v>
      </c>
      <c r="J42" s="245"/>
      <c r="K42" s="246"/>
      <c r="L42" s="219" t="s">
        <v>36</v>
      </c>
      <c r="M42" s="220"/>
      <c r="N42" s="205" t="s">
        <v>37</v>
      </c>
      <c r="O42" s="206"/>
      <c r="P42" s="206"/>
      <c r="Q42" s="206"/>
      <c r="R42" s="206"/>
      <c r="S42" s="206"/>
      <c r="T42" s="206"/>
      <c r="U42" s="206"/>
      <c r="V42" s="206"/>
      <c r="W42" s="206"/>
      <c r="X42" s="207"/>
    </row>
    <row r="43" spans="1:24" s="18" customFormat="1" ht="29.25" customHeight="1" thickBot="1">
      <c r="A43" s="213" t="s">
        <v>38</v>
      </c>
      <c r="B43" s="214"/>
      <c r="C43" s="215"/>
      <c r="D43" s="160" t="s">
        <v>30</v>
      </c>
      <c r="E43" s="160" t="s">
        <v>30</v>
      </c>
      <c r="F43" s="160" t="s">
        <v>30</v>
      </c>
      <c r="G43" s="16"/>
      <c r="H43" s="17">
        <v>0.69850000000000001</v>
      </c>
      <c r="I43" s="210">
        <f>L40</f>
        <v>50271</v>
      </c>
      <c r="J43" s="211"/>
      <c r="K43" s="212"/>
      <c r="L43" s="171">
        <f>I43*H43</f>
        <v>35114.2935</v>
      </c>
      <c r="M43" s="172"/>
      <c r="N43" s="228">
        <f>L43+L44+L45</f>
        <v>188826.08969999998</v>
      </c>
      <c r="O43" s="229"/>
      <c r="P43" s="229"/>
      <c r="Q43" s="229"/>
      <c r="R43" s="229"/>
      <c r="S43" s="229"/>
      <c r="T43" s="229"/>
      <c r="U43" s="229"/>
      <c r="V43" s="229"/>
      <c r="W43" s="229"/>
      <c r="X43" s="230"/>
    </row>
    <row r="44" spans="1:24" s="18" customFormat="1" ht="29.25" customHeight="1" thickBot="1">
      <c r="A44" s="216"/>
      <c r="B44" s="217"/>
      <c r="C44" s="218"/>
      <c r="D44" s="159" t="s">
        <v>31</v>
      </c>
      <c r="E44" s="159" t="s">
        <v>31</v>
      </c>
      <c r="F44" s="159" t="s">
        <v>31</v>
      </c>
      <c r="G44" s="16"/>
      <c r="H44" s="19">
        <v>0.95140000000000002</v>
      </c>
      <c r="I44" s="210">
        <f>M40</f>
        <v>108345</v>
      </c>
      <c r="J44" s="211"/>
      <c r="K44" s="212"/>
      <c r="L44" s="171">
        <f>I44*H44</f>
        <v>103079.433</v>
      </c>
      <c r="M44" s="172"/>
      <c r="N44" s="231"/>
      <c r="O44" s="232"/>
      <c r="P44" s="232"/>
      <c r="Q44" s="232"/>
      <c r="R44" s="232"/>
      <c r="S44" s="232"/>
      <c r="T44" s="232"/>
      <c r="U44" s="232"/>
      <c r="V44" s="232"/>
      <c r="W44" s="232"/>
      <c r="X44" s="233"/>
    </row>
    <row r="45" spans="1:24" s="18" customFormat="1" ht="24.75" customHeight="1" thickBot="1">
      <c r="A45" s="216"/>
      <c r="B45" s="217"/>
      <c r="C45" s="218"/>
      <c r="D45" s="156" t="s">
        <v>32</v>
      </c>
      <c r="E45" s="156" t="s">
        <v>32</v>
      </c>
      <c r="F45" s="156" t="s">
        <v>32</v>
      </c>
      <c r="G45" s="20"/>
      <c r="H45" s="20">
        <v>1.3304</v>
      </c>
      <c r="I45" s="241">
        <f>N40</f>
        <v>38058</v>
      </c>
      <c r="J45" s="242"/>
      <c r="K45" s="243"/>
      <c r="L45" s="171">
        <f>I45*H45</f>
        <v>50632.3632</v>
      </c>
      <c r="M45" s="172"/>
      <c r="N45" s="234"/>
      <c r="O45" s="235"/>
      <c r="P45" s="235"/>
      <c r="Q45" s="235"/>
      <c r="R45" s="235"/>
      <c r="S45" s="235"/>
      <c r="T45" s="235"/>
      <c r="U45" s="235"/>
      <c r="V45" s="235"/>
      <c r="W45" s="235"/>
      <c r="X45" s="236"/>
    </row>
    <row r="46" spans="1:24" s="18" customFormat="1" ht="43.5" customHeight="1" thickBot="1">
      <c r="A46" s="161"/>
      <c r="B46" s="162"/>
      <c r="C46" s="162"/>
      <c r="D46" s="156"/>
      <c r="E46" s="156"/>
      <c r="F46" s="156"/>
      <c r="G46" s="16"/>
      <c r="H46" s="16"/>
      <c r="I46" s="154"/>
      <c r="J46" s="155"/>
      <c r="K46" s="156"/>
      <c r="L46" s="157"/>
      <c r="M46" s="158"/>
      <c r="N46" s="247">
        <f>N43*1.3</f>
        <v>245473.91660999999</v>
      </c>
      <c r="O46" s="248"/>
      <c r="P46" s="248"/>
      <c r="Q46" s="248"/>
      <c r="R46" s="248"/>
      <c r="S46" s="248"/>
      <c r="T46" s="248"/>
      <c r="U46" s="248"/>
      <c r="V46" s="248"/>
      <c r="W46" s="248"/>
      <c r="X46" s="249"/>
    </row>
    <row r="47" spans="1:24" s="23" customFormat="1" ht="32.25" customHeight="1" thickBot="1">
      <c r="A47" s="202" t="s">
        <v>39</v>
      </c>
      <c r="B47" s="203"/>
      <c r="C47" s="203"/>
      <c r="D47" s="203"/>
      <c r="E47" s="203"/>
      <c r="F47" s="204"/>
      <c r="G47" s="21"/>
      <c r="H47" s="22">
        <v>8.7899999999999991</v>
      </c>
      <c r="I47" s="202">
        <f>F40</f>
        <v>1357</v>
      </c>
      <c r="J47" s="203"/>
      <c r="K47" s="204"/>
      <c r="L47" s="208">
        <f>I47*H47</f>
        <v>11928.029999999999</v>
      </c>
      <c r="M47" s="209"/>
      <c r="N47" s="225">
        <f>L47</f>
        <v>11928.029999999999</v>
      </c>
      <c r="O47" s="226"/>
      <c r="P47" s="226"/>
      <c r="Q47" s="226"/>
      <c r="R47" s="226"/>
      <c r="S47" s="226"/>
      <c r="T47" s="226"/>
      <c r="U47" s="226"/>
      <c r="V47" s="226"/>
      <c r="W47" s="226"/>
      <c r="X47" s="227"/>
    </row>
    <row r="48" spans="1:24" s="23" customFormat="1" ht="36.75" customHeight="1">
      <c r="A48" s="237" t="s">
        <v>40</v>
      </c>
      <c r="B48" s="238"/>
      <c r="C48" s="238"/>
      <c r="D48" s="238"/>
      <c r="E48" s="238"/>
      <c r="F48" s="239"/>
      <c r="G48" s="24"/>
      <c r="H48" s="25">
        <v>9.61</v>
      </c>
      <c r="I48" s="200">
        <f>V40</f>
        <v>2439.1499800000001</v>
      </c>
      <c r="J48" s="240"/>
      <c r="K48" s="201"/>
      <c r="L48" s="200">
        <f>I48*H48</f>
        <v>23440.231307800001</v>
      </c>
      <c r="M48" s="201"/>
      <c r="N48" s="222">
        <f>L48</f>
        <v>23440.231307800001</v>
      </c>
      <c r="O48" s="223"/>
      <c r="P48" s="223"/>
      <c r="Q48" s="223"/>
      <c r="R48" s="223"/>
      <c r="S48" s="223"/>
      <c r="T48" s="223"/>
      <c r="U48" s="223"/>
      <c r="V48" s="223"/>
      <c r="W48" s="223"/>
      <c r="X48" s="224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</row>
    <row r="54" spans="1:24" ht="39" customHeight="1">
      <c r="A54" s="153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</row>
    <row r="55" spans="1:24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7" activePane="bottomRight" state="frozen"/>
      <selection pane="bottomRight" activeCell="K18" sqref="K18:K1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>
      <c r="A6" s="165"/>
      <c r="B6" s="165"/>
      <c r="C6" s="165"/>
    </row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>
      <c r="A10" s="59">
        <v>44441</v>
      </c>
      <c r="B10" s="116">
        <v>2560</v>
      </c>
      <c r="C10" s="115">
        <f>B10-B9</f>
        <v>0</v>
      </c>
      <c r="D10" s="57">
        <v>121340.4</v>
      </c>
      <c r="E10" s="50">
        <f>D10-D9</f>
        <v>81.399999999994179</v>
      </c>
      <c r="F10" s="51">
        <v>10929846</v>
      </c>
      <c r="G10" s="50">
        <f>F10-F9</f>
        <v>3698</v>
      </c>
      <c r="H10" s="51">
        <v>18573231</v>
      </c>
      <c r="I10" s="50">
        <f>H10-H9</f>
        <v>7889</v>
      </c>
      <c r="J10" s="51">
        <v>8167530</v>
      </c>
      <c r="K10" s="50">
        <f>J10-J9</f>
        <v>2746</v>
      </c>
    </row>
    <row r="11" spans="1:12" ht="19.5">
      <c r="A11" s="59">
        <v>44442</v>
      </c>
      <c r="B11" s="116">
        <v>2560</v>
      </c>
      <c r="C11" s="115">
        <f>B11-B10</f>
        <v>0</v>
      </c>
      <c r="D11" s="57">
        <v>121417</v>
      </c>
      <c r="E11" s="50">
        <f>D11-D10</f>
        <v>76.600000000005821</v>
      </c>
      <c r="F11" s="51">
        <v>10933753</v>
      </c>
      <c r="G11" s="50">
        <f>F11-F10</f>
        <v>3907</v>
      </c>
      <c r="H11" s="51">
        <v>18580533</v>
      </c>
      <c r="I11" s="50">
        <f>H11-H10</f>
        <v>7302</v>
      </c>
      <c r="J11" s="51">
        <v>8170349</v>
      </c>
      <c r="K11" s="50">
        <f>J11-J10</f>
        <v>2819</v>
      </c>
    </row>
    <row r="12" spans="1:12" ht="19.5">
      <c r="A12" s="59">
        <v>44443</v>
      </c>
      <c r="B12" s="116">
        <v>2560</v>
      </c>
      <c r="C12" s="115">
        <f>B12-B11</f>
        <v>0</v>
      </c>
      <c r="D12" s="57">
        <v>121524</v>
      </c>
      <c r="E12" s="50">
        <f>D12-D11</f>
        <v>107</v>
      </c>
      <c r="F12" s="51">
        <v>10937457</v>
      </c>
      <c r="G12" s="50">
        <f>F12-F11</f>
        <v>3704</v>
      </c>
      <c r="H12" s="51">
        <v>18588095</v>
      </c>
      <c r="I12" s="50">
        <f>H12-H11</f>
        <v>7562</v>
      </c>
      <c r="J12" s="51">
        <v>8173198</v>
      </c>
      <c r="K12" s="50">
        <f>J12-J11</f>
        <v>2849</v>
      </c>
    </row>
    <row r="13" spans="1:12" ht="19.5">
      <c r="A13" s="59">
        <v>44444</v>
      </c>
      <c r="B13" s="116">
        <v>2560</v>
      </c>
      <c r="C13" s="115">
        <f>B13-B12</f>
        <v>0</v>
      </c>
      <c r="D13" s="57">
        <v>121617</v>
      </c>
      <c r="E13" s="50">
        <f>D13-D12</f>
        <v>93</v>
      </c>
      <c r="F13" s="51">
        <v>10941564</v>
      </c>
      <c r="G13" s="50">
        <f>F13-F12</f>
        <v>4107</v>
      </c>
      <c r="H13" s="51">
        <v>18595610</v>
      </c>
      <c r="I13" s="50">
        <f>H13-H12</f>
        <v>7515</v>
      </c>
      <c r="J13" s="51">
        <v>8176091</v>
      </c>
      <c r="K13" s="50">
        <f>J13-J12</f>
        <v>2893</v>
      </c>
    </row>
    <row r="14" spans="1:12" ht="19.5">
      <c r="A14" s="59">
        <v>44445</v>
      </c>
      <c r="B14" s="116">
        <v>2560</v>
      </c>
      <c r="C14" s="115">
        <f>B14-B13</f>
        <v>0</v>
      </c>
      <c r="D14" s="57">
        <v>121707</v>
      </c>
      <c r="E14" s="50">
        <f>D14-D13</f>
        <v>90</v>
      </c>
      <c r="F14" s="51">
        <v>10945088</v>
      </c>
      <c r="G14" s="50">
        <f>F14-F13</f>
        <v>3524</v>
      </c>
      <c r="H14" s="51">
        <v>18603319</v>
      </c>
      <c r="I14" s="50">
        <f>H14-H13</f>
        <v>7709</v>
      </c>
      <c r="J14" s="51">
        <v>8178915</v>
      </c>
      <c r="K14" s="50">
        <f>J14-J13</f>
        <v>2824</v>
      </c>
    </row>
    <row r="15" spans="1:12" ht="19.5">
      <c r="A15" s="59">
        <v>44446</v>
      </c>
      <c r="B15" s="116">
        <v>2560</v>
      </c>
      <c r="C15" s="115">
        <f>B15-B14</f>
        <v>0</v>
      </c>
      <c r="D15" s="57">
        <v>121827.6</v>
      </c>
      <c r="E15" s="50">
        <f>D15-D14</f>
        <v>120.60000000000582</v>
      </c>
      <c r="F15" s="51">
        <v>10948578</v>
      </c>
      <c r="G15" s="50">
        <f>F15-F14</f>
        <v>3490</v>
      </c>
      <c r="H15" s="51">
        <v>18612811</v>
      </c>
      <c r="I15" s="50">
        <f>H15-H14</f>
        <v>9492</v>
      </c>
      <c r="J15" s="51">
        <v>8182165</v>
      </c>
      <c r="K15" s="50">
        <f>J15-J14</f>
        <v>3250</v>
      </c>
    </row>
    <row r="16" spans="1:12" ht="19.5">
      <c r="A16" s="59">
        <v>44447</v>
      </c>
      <c r="B16" s="116">
        <v>2560</v>
      </c>
      <c r="C16" s="115">
        <f>B16-B15</f>
        <v>0</v>
      </c>
      <c r="D16" s="57">
        <v>121950</v>
      </c>
      <c r="E16" s="50">
        <f>D16-D15</f>
        <v>122.39999999999418</v>
      </c>
      <c r="F16" s="51">
        <v>10952520</v>
      </c>
      <c r="G16" s="50">
        <f>F16-F15</f>
        <v>3942</v>
      </c>
      <c r="H16" s="51">
        <v>18621429</v>
      </c>
      <c r="I16" s="50">
        <f>H16-H15</f>
        <v>8618</v>
      </c>
      <c r="J16" s="51">
        <v>8185015</v>
      </c>
      <c r="K16" s="50">
        <f>J16-J15</f>
        <v>2850</v>
      </c>
    </row>
    <row r="17" spans="1:29" ht="19.5">
      <c r="A17" s="59">
        <v>44448</v>
      </c>
      <c r="B17" s="116">
        <v>2560</v>
      </c>
      <c r="C17" s="115">
        <f>B17-B16</f>
        <v>0</v>
      </c>
      <c r="D17" s="57">
        <v>122037</v>
      </c>
      <c r="E17" s="50">
        <f>D17-D16</f>
        <v>87</v>
      </c>
      <c r="F17" s="51">
        <v>10956463</v>
      </c>
      <c r="G17" s="50">
        <f>F17-F16</f>
        <v>3943</v>
      </c>
      <c r="H17" s="51">
        <v>18630763</v>
      </c>
      <c r="I17" s="50">
        <f>H17-H16</f>
        <v>9334</v>
      </c>
      <c r="J17" s="51">
        <v>8187777</v>
      </c>
      <c r="K17" s="50">
        <f>J17-J16</f>
        <v>2762</v>
      </c>
    </row>
    <row r="18" spans="1:29" ht="19.5">
      <c r="A18" s="59">
        <v>44449</v>
      </c>
      <c r="B18" s="116">
        <v>2560</v>
      </c>
      <c r="C18" s="115">
        <f>B18-B17</f>
        <v>0</v>
      </c>
      <c r="D18" s="57">
        <v>122146.9</v>
      </c>
      <c r="E18" s="50">
        <f>D18-D17</f>
        <v>109.89999999999418</v>
      </c>
      <c r="F18" s="51">
        <v>10960563</v>
      </c>
      <c r="G18" s="50">
        <f>F18-F17</f>
        <v>4100</v>
      </c>
      <c r="H18" s="51">
        <v>18640399</v>
      </c>
      <c r="I18" s="50">
        <f>H18-H17</f>
        <v>9636</v>
      </c>
      <c r="J18" s="51">
        <v>8191035</v>
      </c>
      <c r="K18" s="50">
        <f>J18-J17</f>
        <v>3258</v>
      </c>
    </row>
    <row r="19" spans="1:29" ht="19.5">
      <c r="A19" s="59">
        <v>44450</v>
      </c>
      <c r="B19" s="116">
        <v>2560</v>
      </c>
      <c r="C19" s="115">
        <f>B19-B18</f>
        <v>0</v>
      </c>
      <c r="D19" s="57">
        <v>122296.2</v>
      </c>
      <c r="E19" s="50">
        <f>D19-D18</f>
        <v>149.30000000000291</v>
      </c>
      <c r="F19" s="51">
        <v>10964625</v>
      </c>
      <c r="G19" s="50">
        <f>F19-F18</f>
        <v>4062</v>
      </c>
      <c r="H19" s="51">
        <v>18648933</v>
      </c>
      <c r="I19" s="50">
        <f>H19-H18</f>
        <v>8534</v>
      </c>
      <c r="J19" s="51">
        <v>8194276</v>
      </c>
      <c r="K19" s="50">
        <f>J19-J18</f>
        <v>3241</v>
      </c>
    </row>
    <row r="20" spans="1:29" ht="25.5">
      <c r="A20" s="59">
        <v>44451</v>
      </c>
      <c r="B20" s="116">
        <v>2560</v>
      </c>
      <c r="C20" s="115">
        <f>B20-B19</f>
        <v>0</v>
      </c>
      <c r="D20" s="57">
        <v>122418.6</v>
      </c>
      <c r="E20" s="50">
        <f>D20-D19</f>
        <v>122.40000000000873</v>
      </c>
      <c r="F20" s="51">
        <v>10968754</v>
      </c>
      <c r="G20" s="50">
        <f>F20-F19</f>
        <v>4129</v>
      </c>
      <c r="H20" s="51">
        <v>18657842</v>
      </c>
      <c r="I20" s="50">
        <f>H20-H19</f>
        <v>8909</v>
      </c>
      <c r="J20" s="51">
        <v>8197235</v>
      </c>
      <c r="K20" s="50">
        <f>J20-J19</f>
        <v>2959</v>
      </c>
      <c r="L20" s="117" t="s">
        <v>18</v>
      </c>
      <c r="AC20" t="s">
        <v>56</v>
      </c>
    </row>
    <row r="21" spans="1:29" ht="19.5">
      <c r="A21" s="59">
        <v>44452</v>
      </c>
      <c r="B21" s="116">
        <v>2560</v>
      </c>
      <c r="C21" s="115">
        <f>B21-B20</f>
        <v>0</v>
      </c>
      <c r="D21" s="57">
        <v>122504.4</v>
      </c>
      <c r="E21" s="50">
        <f>D21-D20</f>
        <v>85.799999999988358</v>
      </c>
      <c r="F21" s="51">
        <v>10972834</v>
      </c>
      <c r="G21" s="50">
        <f>F21-F20</f>
        <v>4080</v>
      </c>
      <c r="H21" s="51">
        <v>18666475</v>
      </c>
      <c r="I21" s="50">
        <f>H21-H20</f>
        <v>8633</v>
      </c>
      <c r="J21" s="51">
        <v>8200286</v>
      </c>
      <c r="K21" s="50">
        <f>J21-J20</f>
        <v>3051</v>
      </c>
    </row>
    <row r="22" spans="1:29" ht="19.5">
      <c r="A22" s="59">
        <v>44453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44454</v>
      </c>
      <c r="B23" s="116"/>
      <c r="C23" s="115">
        <f t="shared" ref="C11:D40" si="0">B23-B22</f>
        <v>0</v>
      </c>
      <c r="D23" s="57"/>
      <c r="E23" s="50">
        <f t="shared" ref="E11:E40" si="1">D23-D22</f>
        <v>0</v>
      </c>
      <c r="F23" s="51"/>
      <c r="G23" s="50">
        <f t="shared" ref="G11:G40" si="2">F23-F22</f>
        <v>0</v>
      </c>
      <c r="H23" s="51"/>
      <c r="I23" s="50">
        <f t="shared" ref="I11:I40" si="3">H23-H22</f>
        <v>0</v>
      </c>
      <c r="J23" s="51"/>
      <c r="K23" s="50">
        <f t="shared" ref="K11:K40" si="4">J23-J22</f>
        <v>0</v>
      </c>
    </row>
    <row r="24" spans="1:29" ht="19.5">
      <c r="A24" s="59">
        <v>44455</v>
      </c>
      <c r="B24" s="116"/>
      <c r="C24" s="115">
        <f t="shared" si="0"/>
        <v>0</v>
      </c>
      <c r="D24" s="57"/>
      <c r="E24" s="50">
        <f t="shared" si="1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44456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44457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44458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44459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44460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44461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44462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44463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44464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44465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44466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44467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44468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44469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44470</v>
      </c>
      <c r="B39" s="116"/>
      <c r="C39" s="115">
        <f t="shared" si="0"/>
        <v>0</v>
      </c>
      <c r="D39" s="57"/>
      <c r="E39" s="50">
        <f t="shared" si="1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21.75" customHeight="1">
      <c r="A40" s="59">
        <v>44471</v>
      </c>
      <c r="B40" s="116"/>
      <c r="C40" s="115">
        <f t="shared" si="0"/>
        <v>0</v>
      </c>
      <c r="D40" s="57"/>
      <c r="E40" s="50">
        <f t="shared" si="1"/>
        <v>0</v>
      </c>
      <c r="F40" s="51"/>
      <c r="G40" s="50">
        <f t="shared" si="2"/>
        <v>0</v>
      </c>
      <c r="H40" s="51"/>
      <c r="I40" s="50">
        <f t="shared" si="3"/>
        <v>0</v>
      </c>
      <c r="J40" s="51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1" activePane="bottomRight" state="frozen"/>
      <selection pane="bottomRight" activeCell="I16" sqref="I16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9">
        <f>7000*4</f>
        <v>28000</v>
      </c>
      <c r="N4" s="39">
        <f>L4*M4/100</f>
        <v>350</v>
      </c>
      <c r="O4" s="39">
        <f>N4*0.529</f>
        <v>185.15</v>
      </c>
      <c r="P4" s="42">
        <f>O4*9.61</f>
        <v>1779.2915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44441</v>
      </c>
      <c r="B5" s="41">
        <v>59</v>
      </c>
      <c r="C5" s="39">
        <f t="shared" ref="C4:C35" si="6">IF(AC5&gt;0,((B5-R5)+(S5-B6)),IF(B6=0, ,(B5-B6)))</f>
        <v>4</v>
      </c>
      <c r="D5" s="41">
        <v>59</v>
      </c>
      <c r="E5" s="39">
        <f t="shared" ref="E4:E35" si="7">IF(AC5&gt;0,((D5-U5)+(V5-D6)),IF(D6=0, ,(D5-D6)))</f>
        <v>0</v>
      </c>
      <c r="F5" s="41">
        <v>60</v>
      </c>
      <c r="G5" s="39">
        <f t="shared" ref="G4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9">
        <f t="shared" ref="M5:M42" si="9">7000*4</f>
        <v>28000</v>
      </c>
      <c r="N5" s="39">
        <f>L5*M5/100</f>
        <v>280</v>
      </c>
      <c r="O5" s="39">
        <f>N5*0.529</f>
        <v>148.12</v>
      </c>
      <c r="P5" s="42">
        <f t="shared" ref="P5:P36" si="10">O5*9.61</f>
        <v>1423.4331999999999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1">IF(AC6&gt;0,((H6-AA6)+(AB6-H7)),IF(H7=0, ,(H6-H7)))</f>
        <v>2</v>
      </c>
      <c r="J6" s="39">
        <f t="shared" ref="J6:J42" si="12">B6+D6+F6+H6</f>
        <v>234</v>
      </c>
      <c r="K6" s="39">
        <f t="shared" ref="K6:K42" si="13">J6/4</f>
        <v>58.5</v>
      </c>
      <c r="L6" s="39">
        <f t="shared" ref="L6:L19" si="14">IF(AC6&gt;0,((K6-AD6)+(AE6-K7)),IF(K7=0, ,(K6-K7)))</f>
        <v>1.75</v>
      </c>
      <c r="M6" s="149">
        <f t="shared" si="9"/>
        <v>28000</v>
      </c>
      <c r="N6" s="39">
        <f t="shared" ref="N6:N42" si="15">L6*M6/100</f>
        <v>490</v>
      </c>
      <c r="O6" s="39">
        <f>N6*0.529</f>
        <v>259.21000000000004</v>
      </c>
      <c r="P6" s="42">
        <f t="shared" si="10"/>
        <v>2491.0081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1"/>
        <v>3</v>
      </c>
      <c r="J7" s="39">
        <f t="shared" si="12"/>
        <v>227</v>
      </c>
      <c r="K7" s="39">
        <f t="shared" si="13"/>
        <v>56.75</v>
      </c>
      <c r="L7" s="39">
        <f t="shared" si="14"/>
        <v>4.25</v>
      </c>
      <c r="M7" s="149">
        <f t="shared" si="9"/>
        <v>28000</v>
      </c>
      <c r="N7" s="39">
        <f t="shared" si="15"/>
        <v>1190</v>
      </c>
      <c r="O7" s="39">
        <f>N7*0.53</f>
        <v>630.70000000000005</v>
      </c>
      <c r="P7" s="42">
        <f t="shared" si="10"/>
        <v>6061.027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1"/>
        <v>0</v>
      </c>
      <c r="J8" s="39">
        <f t="shared" si="12"/>
        <v>340</v>
      </c>
      <c r="K8" s="39">
        <f t="shared" si="13"/>
        <v>85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1"/>
        <v>0</v>
      </c>
      <c r="J9" s="39">
        <f t="shared" si="12"/>
        <v>340</v>
      </c>
      <c r="K9" s="39">
        <f t="shared" si="13"/>
        <v>85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44446</v>
      </c>
      <c r="B10" s="41">
        <v>85</v>
      </c>
      <c r="C10" s="39">
        <f t="shared" si="6"/>
        <v>0</v>
      </c>
      <c r="D10" s="41">
        <v>85</v>
      </c>
      <c r="E10" s="39">
        <f t="shared" si="7"/>
        <v>1</v>
      </c>
      <c r="F10" s="41">
        <v>85</v>
      </c>
      <c r="G10" s="39">
        <f t="shared" si="8"/>
        <v>0</v>
      </c>
      <c r="H10" s="41">
        <v>85</v>
      </c>
      <c r="I10" s="39">
        <f t="shared" si="11"/>
        <v>0</v>
      </c>
      <c r="J10" s="39">
        <f t="shared" si="12"/>
        <v>340</v>
      </c>
      <c r="K10" s="39">
        <f t="shared" si="13"/>
        <v>85</v>
      </c>
      <c r="L10" s="39">
        <f t="shared" si="14"/>
        <v>0.25</v>
      </c>
      <c r="M10" s="149">
        <f t="shared" si="17"/>
        <v>24196</v>
      </c>
      <c r="N10" s="39">
        <f t="shared" si="15"/>
        <v>60.49</v>
      </c>
      <c r="O10" s="148">
        <f t="shared" si="16"/>
        <v>31.999210000000001</v>
      </c>
      <c r="P10" s="42">
        <f t="shared" si="10"/>
        <v>307.51240810000002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44447</v>
      </c>
      <c r="B11" s="41">
        <v>85</v>
      </c>
      <c r="C11" s="39">
        <f t="shared" si="6"/>
        <v>1</v>
      </c>
      <c r="D11" s="41">
        <v>84</v>
      </c>
      <c r="E11" s="39">
        <f t="shared" si="7"/>
        <v>1</v>
      </c>
      <c r="F11" s="41">
        <v>85</v>
      </c>
      <c r="G11" s="39">
        <f t="shared" si="8"/>
        <v>2</v>
      </c>
      <c r="H11" s="41">
        <v>85</v>
      </c>
      <c r="I11" s="39">
        <f t="shared" si="11"/>
        <v>0</v>
      </c>
      <c r="J11" s="39">
        <f t="shared" si="12"/>
        <v>339</v>
      </c>
      <c r="K11" s="39">
        <f t="shared" si="13"/>
        <v>84.75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1230.0496324000001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44448</v>
      </c>
      <c r="B12" s="41">
        <v>84</v>
      </c>
      <c r="C12" s="39">
        <f t="shared" si="6"/>
        <v>3</v>
      </c>
      <c r="D12" s="41">
        <v>83</v>
      </c>
      <c r="E12" s="39">
        <f t="shared" si="7"/>
        <v>2</v>
      </c>
      <c r="F12" s="41">
        <v>83</v>
      </c>
      <c r="G12" s="39">
        <f t="shared" si="8"/>
        <v>2</v>
      </c>
      <c r="H12" s="41">
        <v>85</v>
      </c>
      <c r="I12" s="39">
        <f t="shared" si="11"/>
        <v>2</v>
      </c>
      <c r="J12" s="39">
        <f t="shared" si="12"/>
        <v>335</v>
      </c>
      <c r="K12" s="39">
        <f t="shared" si="13"/>
        <v>83.75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2767.6116728999996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44449</v>
      </c>
      <c r="B13" s="41">
        <v>81</v>
      </c>
      <c r="C13" s="39">
        <f t="shared" si="6"/>
        <v>1</v>
      </c>
      <c r="D13" s="41">
        <v>81</v>
      </c>
      <c r="E13" s="39">
        <f t="shared" si="7"/>
        <v>1</v>
      </c>
      <c r="F13" s="41">
        <v>81</v>
      </c>
      <c r="G13" s="39">
        <f t="shared" si="8"/>
        <v>2</v>
      </c>
      <c r="H13" s="41">
        <v>83</v>
      </c>
      <c r="I13" s="39">
        <f t="shared" si="11"/>
        <v>3</v>
      </c>
      <c r="J13" s="39">
        <f t="shared" si="12"/>
        <v>326</v>
      </c>
      <c r="K13" s="39">
        <f t="shared" si="13"/>
        <v>81.5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2152.5868566999998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44450</v>
      </c>
      <c r="B14" s="41">
        <v>80</v>
      </c>
      <c r="C14" s="39">
        <f t="shared" si="6"/>
        <v>2</v>
      </c>
      <c r="D14" s="41">
        <v>80</v>
      </c>
      <c r="E14" s="39">
        <f t="shared" si="7"/>
        <v>2</v>
      </c>
      <c r="F14" s="41">
        <v>79</v>
      </c>
      <c r="G14" s="39">
        <f t="shared" si="8"/>
        <v>0</v>
      </c>
      <c r="H14" s="41">
        <v>80</v>
      </c>
      <c r="I14" s="39">
        <f>IF(AC14&gt;0,((H14-AA14)+(AB14-H15)),IF(H15=0, ,(H14-H15)))</f>
        <v>1</v>
      </c>
      <c r="J14" s="39">
        <f t="shared" si="12"/>
        <v>319</v>
      </c>
      <c r="K14" s="39">
        <f t="shared" si="13"/>
        <v>79.75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1537.5620405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44451</v>
      </c>
      <c r="B15" s="41">
        <v>78</v>
      </c>
      <c r="C15" s="39">
        <f t="shared" si="6"/>
        <v>2</v>
      </c>
      <c r="D15" s="41">
        <v>78</v>
      </c>
      <c r="E15" s="39">
        <f t="shared" si="7"/>
        <v>3</v>
      </c>
      <c r="F15" s="41">
        <v>79</v>
      </c>
      <c r="G15" s="39">
        <f t="shared" si="8"/>
        <v>3</v>
      </c>
      <c r="H15" s="41">
        <v>79</v>
      </c>
      <c r="I15" s="39">
        <f>IF(AC15&gt;0,((H15-AA15)+(AB15-H16)),IF(H16=0, ,(H15-H16)))</f>
        <v>4</v>
      </c>
      <c r="J15" s="39">
        <f t="shared" si="12"/>
        <v>314</v>
      </c>
      <c r="K15" s="39">
        <f t="shared" si="13"/>
        <v>78.5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3690.1488971999997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44452</v>
      </c>
      <c r="B16" s="41">
        <v>76</v>
      </c>
      <c r="C16" s="39">
        <f t="shared" si="6"/>
        <v>0</v>
      </c>
      <c r="D16" s="41">
        <v>75</v>
      </c>
      <c r="E16" s="39">
        <f t="shared" si="7"/>
        <v>0</v>
      </c>
      <c r="F16" s="41">
        <v>76</v>
      </c>
      <c r="G16" s="39">
        <f t="shared" si="8"/>
        <v>0</v>
      </c>
      <c r="H16" s="41">
        <v>75</v>
      </c>
      <c r="I16" s="39">
        <f t="shared" si="11"/>
        <v>0</v>
      </c>
      <c r="J16" s="39">
        <f t="shared" si="12"/>
        <v>302</v>
      </c>
      <c r="K16" s="39">
        <f t="shared" si="13"/>
        <v>75.5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44453</v>
      </c>
      <c r="B17" s="41"/>
      <c r="C17" s="39">
        <f t="shared" si="6"/>
        <v>0</v>
      </c>
      <c r="D17" s="41"/>
      <c r="E17" s="39">
        <f t="shared" si="7"/>
        <v>0</v>
      </c>
      <c r="F17" s="41"/>
      <c r="G17" s="39">
        <f t="shared" si="8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44454</v>
      </c>
      <c r="B18" s="41"/>
      <c r="C18" s="39">
        <f t="shared" si="6"/>
        <v>0</v>
      </c>
      <c r="D18" s="41"/>
      <c r="E18" s="39">
        <f t="shared" si="7"/>
        <v>0</v>
      </c>
      <c r="F18" s="41"/>
      <c r="G18" s="39">
        <f t="shared" si="8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44455</v>
      </c>
      <c r="B19" s="41"/>
      <c r="C19" s="39">
        <f t="shared" si="6"/>
        <v>0</v>
      </c>
      <c r="D19" s="41"/>
      <c r="E19" s="39">
        <f t="shared" si="7"/>
        <v>0</v>
      </c>
      <c r="F19" s="41"/>
      <c r="G19" s="39">
        <f t="shared" si="8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44456</v>
      </c>
      <c r="B20" s="41"/>
      <c r="C20" s="39">
        <f t="shared" si="6"/>
        <v>0</v>
      </c>
      <c r="D20" s="41"/>
      <c r="E20" s="39">
        <f t="shared" si="7"/>
        <v>0</v>
      </c>
      <c r="F20" s="41"/>
      <c r="G20" s="39">
        <f t="shared" si="8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44457</v>
      </c>
      <c r="B21" s="41"/>
      <c r="C21" s="39">
        <f t="shared" si="6"/>
        <v>0</v>
      </c>
      <c r="D21" s="41"/>
      <c r="E21" s="39">
        <f t="shared" si="7"/>
        <v>0</v>
      </c>
      <c r="F21" s="41"/>
      <c r="G21" s="39">
        <f t="shared" si="8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44458</v>
      </c>
      <c r="B22" s="41"/>
      <c r="C22" s="39">
        <f t="shared" si="6"/>
        <v>0</v>
      </c>
      <c r="D22" s="41"/>
      <c r="E22" s="39">
        <f t="shared" si="7"/>
        <v>0</v>
      </c>
      <c r="F22" s="41"/>
      <c r="G22" s="39">
        <f t="shared" si="8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44459</v>
      </c>
      <c r="B23" s="41"/>
      <c r="C23" s="39">
        <f t="shared" si="6"/>
        <v>0</v>
      </c>
      <c r="D23" s="41"/>
      <c r="E23" s="39">
        <f t="shared" si="7"/>
        <v>0</v>
      </c>
      <c r="F23" s="41"/>
      <c r="G23" s="39">
        <f t="shared" si="8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44460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44461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44462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44463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44464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44465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44466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44467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44468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44469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44470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27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8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4608.619999999999</v>
      </c>
      <c r="O43" s="39">
        <f>N43*0.529</f>
        <v>2437.9599799999996</v>
      </c>
      <c r="P43" s="42">
        <f>O43*9.61</f>
        <v>23428.795407799997</v>
      </c>
      <c r="Q43" s="287">
        <f>SUM(Q4:Q42)</f>
        <v>2869</v>
      </c>
      <c r="R43" s="288"/>
      <c r="S43" s="289"/>
      <c r="T43" s="290">
        <f>SUM(T4:T42)</f>
        <v>2820</v>
      </c>
      <c r="U43" s="288"/>
      <c r="V43" s="289"/>
      <c r="W43" s="290">
        <f>SUM(W4:W42)</f>
        <v>2540</v>
      </c>
      <c r="X43" s="288"/>
      <c r="Y43" s="289"/>
      <c r="Z43" s="290">
        <f>SUM(Z4:Z42)</f>
        <v>2708</v>
      </c>
      <c r="AA43" s="288"/>
      <c r="AB43" s="289"/>
      <c r="AC43" s="39">
        <f t="shared" si="20"/>
        <v>10937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10937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10937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4608.619999999999</v>
      </c>
      <c r="L47" s="46">
        <f>O43</f>
        <v>2437.9599799999996</v>
      </c>
      <c r="M47" s="46">
        <f>P43</f>
        <v>23428.795407799997</v>
      </c>
    </row>
    <row r="48" spans="1:31" ht="54.75" customHeight="1" thickBot="1">
      <c r="H48" s="283" t="s">
        <v>86</v>
      </c>
      <c r="I48" s="284"/>
      <c r="J48" s="285"/>
      <c r="K48" s="43">
        <f>AC44</f>
        <v>10937</v>
      </c>
      <c r="L48" s="44">
        <f>K48*0.529</f>
        <v>5785.6730000000007</v>
      </c>
      <c r="M48" s="44">
        <f>L48*9.61</f>
        <v>55600.31753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20" sqref="F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02" t="s">
        <v>87</v>
      </c>
      <c r="D1" s="303"/>
      <c r="E1" s="303"/>
      <c r="F1" s="303"/>
      <c r="G1" s="303"/>
      <c r="H1" s="308" t="s">
        <v>88</v>
      </c>
      <c r="I1" s="309"/>
      <c r="J1" s="310"/>
    </row>
    <row r="2" spans="1:10" ht="16.5" customHeight="1" thickBot="1">
      <c r="A2" s="275"/>
      <c r="B2" s="277"/>
      <c r="C2" s="304"/>
      <c r="D2" s="305"/>
      <c r="E2" s="305"/>
      <c r="F2" s="305"/>
      <c r="G2" s="305"/>
      <c r="H2" s="311"/>
      <c r="I2" s="312"/>
      <c r="J2" s="313"/>
    </row>
    <row r="3" spans="1:10" ht="15" customHeight="1">
      <c r="A3" s="275"/>
      <c r="B3" s="277"/>
      <c r="C3" s="304"/>
      <c r="D3" s="305"/>
      <c r="E3" s="305"/>
      <c r="F3" s="305"/>
      <c r="G3" s="305"/>
      <c r="H3" s="314" t="s">
        <v>89</v>
      </c>
      <c r="I3" s="315"/>
      <c r="J3" s="316"/>
    </row>
    <row r="4" spans="1:10" ht="15.75" customHeight="1" thickBot="1">
      <c r="A4" s="278"/>
      <c r="B4" s="280"/>
      <c r="C4" s="306"/>
      <c r="D4" s="307"/>
      <c r="E4" s="307"/>
      <c r="F4" s="307"/>
      <c r="G4" s="307"/>
      <c r="H4" s="317"/>
      <c r="I4" s="318"/>
      <c r="J4" s="319"/>
    </row>
    <row r="6" spans="1:10" ht="33" customHeight="1" thickBot="1"/>
    <row r="7" spans="1:10" ht="36.75" thickTop="1">
      <c r="A7" s="320" t="s">
        <v>90</v>
      </c>
      <c r="B7" s="320"/>
      <c r="C7" s="321" t="s">
        <v>91</v>
      </c>
      <c r="D7" s="322"/>
      <c r="E7" s="61" t="s">
        <v>92</v>
      </c>
      <c r="F7" s="61" t="s">
        <v>93</v>
      </c>
      <c r="G7" s="61" t="s">
        <v>94</v>
      </c>
      <c r="H7" s="61" t="s">
        <v>95</v>
      </c>
      <c r="I7" s="323" t="s">
        <v>96</v>
      </c>
      <c r="J7" s="324"/>
    </row>
    <row r="8" spans="1:10">
      <c r="A8" s="325">
        <v>95670781</v>
      </c>
      <c r="B8" s="325"/>
      <c r="C8" s="326">
        <v>44405</v>
      </c>
      <c r="D8" s="327"/>
      <c r="E8" s="113">
        <v>44436</v>
      </c>
      <c r="F8" s="167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7">
        <v>1106</v>
      </c>
      <c r="H12" s="337"/>
      <c r="I12" s="338"/>
      <c r="J12" s="338"/>
    </row>
    <row r="13" spans="1:10">
      <c r="A13" s="339"/>
      <c r="B13" s="340"/>
      <c r="C13" s="340"/>
      <c r="D13" s="340"/>
      <c r="E13" s="340"/>
      <c r="F13" s="340"/>
      <c r="G13" s="340"/>
      <c r="H13" s="340"/>
      <c r="I13" s="340"/>
      <c r="J13" s="340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4" t="s">
        <v>108</v>
      </c>
      <c r="H16" s="334"/>
      <c r="I16" s="335" t="s">
        <v>109</v>
      </c>
      <c r="J16" s="336"/>
    </row>
    <row r="17" spans="1:10">
      <c r="A17" s="341" t="s">
        <v>110</v>
      </c>
      <c r="B17" s="342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43"/>
      <c r="H17" s="344"/>
      <c r="I17" s="343">
        <f>+E17</f>
        <v>256728</v>
      </c>
      <c r="J17" s="344"/>
    </row>
    <row r="18" spans="1:10">
      <c r="A18" s="341" t="s">
        <v>111</v>
      </c>
      <c r="B18" s="342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43"/>
      <c r="H18" s="344"/>
      <c r="I18" s="343">
        <f>+E18</f>
        <v>118534</v>
      </c>
      <c r="J18" s="344"/>
    </row>
    <row r="19" spans="1:10">
      <c r="A19" s="341" t="s">
        <v>112</v>
      </c>
      <c r="B19" s="342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43"/>
      <c r="H19" s="344"/>
      <c r="I19" s="343">
        <f>+E19</f>
        <v>94847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470109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49"/>
      <c r="H21" s="349"/>
    </row>
    <row r="22" spans="1:10" ht="13.5" thickBot="1">
      <c r="G22" s="350"/>
      <c r="H22" s="350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>
      <c r="A24" s="354"/>
      <c r="B24" s="355"/>
      <c r="C24" s="356"/>
      <c r="D24" s="357"/>
      <c r="E24" s="357"/>
      <c r="F24" s="359"/>
      <c r="G24" s="166" t="s">
        <v>121</v>
      </c>
      <c r="H24" s="71" t="s">
        <v>122</v>
      </c>
      <c r="I24" s="361"/>
      <c r="J24" s="361"/>
    </row>
    <row r="25" spans="1:10" ht="15">
      <c r="A25" s="362" t="s">
        <v>123</v>
      </c>
      <c r="B25" s="363"/>
      <c r="C25" s="364"/>
      <c r="D25" s="67">
        <f>+E17</f>
        <v>256728</v>
      </c>
      <c r="E25" s="72">
        <v>0.95140000000000002</v>
      </c>
      <c r="F25" s="73">
        <f>PRODUCT(D25*E25)</f>
        <v>244251.01920000001</v>
      </c>
      <c r="G25" s="151">
        <v>14</v>
      </c>
      <c r="H25" s="65">
        <f>PRODUCT(0.14,F25)</f>
        <v>34195.142688000007</v>
      </c>
      <c r="I25" s="365">
        <f>SUM(H25,F25)</f>
        <v>278446.16188800003</v>
      </c>
      <c r="J25" s="366"/>
    </row>
    <row r="26" spans="1:10" ht="15">
      <c r="A26" s="367" t="s">
        <v>124</v>
      </c>
      <c r="B26" s="368"/>
      <c r="C26" s="369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65">
        <f t="shared" ref="I26:I31" si="0">SUM(H26,F26)</f>
        <v>94387.438859999995</v>
      </c>
      <c r="J26" s="366"/>
    </row>
    <row r="27" spans="1:10" ht="15">
      <c r="A27" s="367" t="s">
        <v>125</v>
      </c>
      <c r="B27" s="368"/>
      <c r="C27" s="369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65">
        <f>SUM(H27,F27)</f>
        <v>143850.27163199999</v>
      </c>
      <c r="J27" s="366"/>
    </row>
    <row r="28" spans="1:10" ht="1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>
      <c r="A29" s="378" t="s">
        <v>127</v>
      </c>
      <c r="B29" s="379"/>
      <c r="C29" s="380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81">
        <f t="shared" si="0"/>
        <v>7953.9915042000011</v>
      </c>
      <c r="J29" s="382"/>
    </row>
    <row r="30" spans="1:10" ht="1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>
      <c r="A32" s="373" t="s">
        <v>130</v>
      </c>
      <c r="B32" s="374"/>
      <c r="C32" s="374"/>
      <c r="D32" s="374"/>
      <c r="E32" s="374"/>
      <c r="F32" s="84">
        <f>SUM(F25:F31)</f>
        <v>506423.32253</v>
      </c>
      <c r="G32" s="85"/>
      <c r="H32" s="86"/>
      <c r="I32" s="377">
        <f>SUM(I25:J31)</f>
        <v>577268.60768419993</v>
      </c>
      <c r="J32" s="377"/>
    </row>
    <row r="33" spans="1:10" ht="21.75" thickBot="1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02" t="s">
        <v>87</v>
      </c>
      <c r="D1" s="303"/>
      <c r="E1" s="303"/>
      <c r="F1" s="303"/>
      <c r="G1" s="303"/>
      <c r="H1" s="308" t="s">
        <v>88</v>
      </c>
      <c r="I1" s="309"/>
      <c r="J1" s="310"/>
    </row>
    <row r="2" spans="1:10" ht="16.5" customHeight="1" thickBot="1">
      <c r="A2" s="275"/>
      <c r="B2" s="277"/>
      <c r="C2" s="304"/>
      <c r="D2" s="305"/>
      <c r="E2" s="305"/>
      <c r="F2" s="305"/>
      <c r="G2" s="305"/>
      <c r="H2" s="311"/>
      <c r="I2" s="312"/>
      <c r="J2" s="313"/>
    </row>
    <row r="3" spans="1:10" ht="15" customHeight="1">
      <c r="A3" s="275"/>
      <c r="B3" s="277"/>
      <c r="C3" s="304"/>
      <c r="D3" s="305"/>
      <c r="E3" s="305"/>
      <c r="F3" s="305"/>
      <c r="G3" s="305"/>
      <c r="H3" s="314" t="s">
        <v>89</v>
      </c>
      <c r="I3" s="315"/>
      <c r="J3" s="316"/>
    </row>
    <row r="4" spans="1:10" ht="15.75" customHeight="1" thickBot="1">
      <c r="A4" s="278"/>
      <c r="B4" s="280"/>
      <c r="C4" s="306"/>
      <c r="D4" s="307"/>
      <c r="E4" s="307"/>
      <c r="F4" s="307"/>
      <c r="G4" s="307"/>
      <c r="H4" s="317"/>
      <c r="I4" s="318"/>
      <c r="J4" s="319"/>
    </row>
    <row r="6" spans="1:10" ht="33" customHeight="1" thickBot="1"/>
    <row r="7" spans="1:10" ht="36.75" thickTop="1">
      <c r="A7" s="320" t="s">
        <v>90</v>
      </c>
      <c r="B7" s="320"/>
      <c r="C7" s="321" t="s">
        <v>91</v>
      </c>
      <c r="D7" s="322"/>
      <c r="E7" s="61" t="s">
        <v>92</v>
      </c>
      <c r="F7" s="61" t="s">
        <v>93</v>
      </c>
      <c r="G7" s="61" t="s">
        <v>94</v>
      </c>
      <c r="H7" s="61" t="s">
        <v>95</v>
      </c>
      <c r="I7" s="323" t="s">
        <v>96</v>
      </c>
      <c r="J7" s="324"/>
    </row>
    <row r="8" spans="1:10">
      <c r="A8" s="325">
        <v>95670781</v>
      </c>
      <c r="B8" s="325"/>
      <c r="C8" s="326">
        <v>44293</v>
      </c>
      <c r="D8" s="327"/>
      <c r="E8" s="113">
        <v>44323</v>
      </c>
      <c r="F8" s="167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7">
        <v>712</v>
      </c>
      <c r="H12" s="337"/>
      <c r="I12" s="338"/>
      <c r="J12" s="338"/>
    </row>
    <row r="13" spans="1:10">
      <c r="A13" s="339"/>
      <c r="B13" s="340"/>
      <c r="C13" s="340"/>
      <c r="D13" s="340"/>
      <c r="E13" s="340"/>
      <c r="F13" s="340"/>
      <c r="G13" s="340"/>
      <c r="H13" s="340"/>
      <c r="I13" s="340"/>
      <c r="J13" s="340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4" t="s">
        <v>108</v>
      </c>
      <c r="H16" s="334"/>
      <c r="I16" s="335" t="s">
        <v>109</v>
      </c>
      <c r="J16" s="336"/>
    </row>
    <row r="17" spans="1:10">
      <c r="A17" s="341" t="s">
        <v>110</v>
      </c>
      <c r="B17" s="342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3"/>
      <c r="H17" s="344"/>
      <c r="I17" s="343">
        <f>+E17</f>
        <v>7632</v>
      </c>
      <c r="J17" s="344"/>
    </row>
    <row r="18" spans="1:10">
      <c r="A18" s="341" t="s">
        <v>111</v>
      </c>
      <c r="B18" s="342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3"/>
      <c r="H18" s="344"/>
      <c r="I18" s="343">
        <f>+E18</f>
        <v>3388</v>
      </c>
      <c r="J18" s="344"/>
    </row>
    <row r="19" spans="1:10">
      <c r="A19" s="341" t="s">
        <v>112</v>
      </c>
      <c r="B19" s="342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3"/>
      <c r="H19" s="344"/>
      <c r="I19" s="343">
        <f>+E19</f>
        <v>2677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13697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49"/>
      <c r="H21" s="349"/>
    </row>
    <row r="22" spans="1:10" ht="13.5" thickBot="1">
      <c r="G22" s="350"/>
      <c r="H22" s="350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>
      <c r="A24" s="354"/>
      <c r="B24" s="355"/>
      <c r="C24" s="356"/>
      <c r="D24" s="357"/>
      <c r="E24" s="357"/>
      <c r="F24" s="359"/>
      <c r="G24" s="166" t="s">
        <v>121</v>
      </c>
      <c r="H24" s="71" t="s">
        <v>122</v>
      </c>
      <c r="I24" s="361"/>
      <c r="J24" s="361"/>
    </row>
    <row r="25" spans="1:10" ht="15">
      <c r="A25" s="362" t="s">
        <v>123</v>
      </c>
      <c r="B25" s="363"/>
      <c r="C25" s="364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65">
        <f>SUM(H25,F25)</f>
        <v>8277.6366720000005</v>
      </c>
      <c r="J25" s="366"/>
    </row>
    <row r="26" spans="1:10" ht="15">
      <c r="A26" s="367" t="s">
        <v>124</v>
      </c>
      <c r="B26" s="368"/>
      <c r="C26" s="369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65">
        <f t="shared" ref="I26:I31" si="0">SUM(H26,F26)</f>
        <v>2697.83052</v>
      </c>
      <c r="J26" s="366"/>
    </row>
    <row r="27" spans="1:10" ht="15">
      <c r="A27" s="367" t="s">
        <v>125</v>
      </c>
      <c r="B27" s="368"/>
      <c r="C27" s="369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65">
        <f>SUM(H27,F27)</f>
        <v>4060.0881120000004</v>
      </c>
      <c r="J27" s="366"/>
    </row>
    <row r="28" spans="1:10" ht="1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>
      <c r="A29" s="378" t="s">
        <v>127</v>
      </c>
      <c r="B29" s="379"/>
      <c r="C29" s="380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1">
        <f t="shared" si="0"/>
        <v>0</v>
      </c>
      <c r="J29" s="382"/>
    </row>
    <row r="30" spans="1:10" ht="1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>
      <c r="A32" s="373" t="s">
        <v>130</v>
      </c>
      <c r="B32" s="374"/>
      <c r="C32" s="374"/>
      <c r="D32" s="374"/>
      <c r="E32" s="374"/>
      <c r="F32" s="84">
        <f>SUM(F25:F31)</f>
        <v>59403.753599999996</v>
      </c>
      <c r="G32" s="85"/>
      <c r="H32" s="86"/>
      <c r="I32" s="377">
        <f>SUM(I25:J31)</f>
        <v>67666.299104000005</v>
      </c>
      <c r="J32" s="377"/>
    </row>
    <row r="33" spans="1:10" ht="21.75" thickBot="1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132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142</v>
      </c>
      <c r="B13" s="399">
        <f>G8</f>
        <v>3510.1000000000058</v>
      </c>
      <c r="C13" s="399"/>
      <c r="D13" s="399">
        <v>8.7899999999999991</v>
      </c>
      <c r="E13" s="399"/>
      <c r="F13" s="401">
        <f>PRODUCT(D13,B13)</f>
        <v>30853.77900000005</v>
      </c>
      <c r="G13" s="401"/>
      <c r="H13" s="401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f>G8</f>
        <v>3510.1000000000058</v>
      </c>
      <c r="C19" s="399"/>
      <c r="D19" s="399">
        <v>2.61</v>
      </c>
      <c r="E19" s="399"/>
      <c r="F19" s="399">
        <f>PRODUCT(D19,B19)</f>
        <v>9161.3610000000153</v>
      </c>
      <c r="G19" s="399"/>
      <c r="H19" s="399"/>
    </row>
    <row r="20" spans="1:8" ht="18.75">
      <c r="A20" s="415" t="s">
        <v>148</v>
      </c>
      <c r="B20" s="416"/>
      <c r="C20" s="416"/>
      <c r="D20" s="416"/>
      <c r="E20" s="417"/>
      <c r="F20" s="418">
        <f>SUM(F11+F13+F16+F17+F18+F19)</f>
        <v>40038.140000000065</v>
      </c>
      <c r="G20" s="418"/>
      <c r="H20" s="418"/>
    </row>
    <row r="21" spans="1:8" ht="15">
      <c r="A21" s="404" t="s">
        <v>149</v>
      </c>
      <c r="B21" s="405"/>
      <c r="C21" s="405"/>
      <c r="D21" s="405"/>
      <c r="E21" s="406"/>
      <c r="F21" s="399">
        <f>PRODUCT(F20,0.07)</f>
        <v>2802.6698000000047</v>
      </c>
      <c r="G21" s="399"/>
      <c r="H21" s="399"/>
    </row>
    <row r="22" spans="1:8" ht="15">
      <c r="A22" s="419" t="s">
        <v>150</v>
      </c>
      <c r="B22" s="420"/>
      <c r="C22" s="420"/>
      <c r="D22" s="420"/>
      <c r="E22" s="421"/>
      <c r="F22" s="399">
        <v>208.26</v>
      </c>
      <c r="G22" s="399"/>
      <c r="H22" s="399"/>
    </row>
    <row r="23" spans="1:8" ht="15.75">
      <c r="A23" s="404" t="s">
        <v>151</v>
      </c>
      <c r="B23" s="405"/>
      <c r="C23" s="405"/>
      <c r="D23" s="405"/>
      <c r="E23" s="406"/>
      <c r="F23" s="407">
        <f>SUM(F21:H22)</f>
        <v>3010.9298000000044</v>
      </c>
      <c r="G23" s="407"/>
      <c r="H23" s="407"/>
    </row>
    <row r="24" spans="1:8">
      <c r="A24" s="408" t="s">
        <v>152</v>
      </c>
      <c r="B24" s="409"/>
      <c r="C24" s="409"/>
      <c r="D24" s="409"/>
      <c r="E24" s="410"/>
      <c r="F24" s="414">
        <f>SUM(F20,F23)</f>
        <v>43049.06980000007</v>
      </c>
      <c r="G24" s="414"/>
      <c r="H24" s="414"/>
    </row>
    <row r="25" spans="1:8">
      <c r="A25" s="411"/>
      <c r="B25" s="412"/>
      <c r="C25" s="412"/>
      <c r="D25" s="412"/>
      <c r="E25" s="413"/>
      <c r="F25" s="414"/>
      <c r="G25" s="414"/>
      <c r="H25" s="41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132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142</v>
      </c>
      <c r="B13" s="399">
        <f>G8</f>
        <v>98</v>
      </c>
      <c r="C13" s="399"/>
      <c r="D13" s="399">
        <v>8.5</v>
      </c>
      <c r="E13" s="399"/>
      <c r="F13" s="401">
        <f>PRODUCT(D13,B13)</f>
        <v>833</v>
      </c>
      <c r="G13" s="401"/>
      <c r="H13" s="401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v>0</v>
      </c>
      <c r="C19" s="399"/>
      <c r="D19" s="422">
        <v>0</v>
      </c>
      <c r="E19" s="423"/>
      <c r="F19" s="422">
        <v>0</v>
      </c>
      <c r="G19" s="423"/>
      <c r="H19" s="168"/>
    </row>
    <row r="20" spans="1:8" ht="15">
      <c r="A20" s="103" t="s">
        <v>153</v>
      </c>
      <c r="B20" s="399">
        <f>G8</f>
        <v>98</v>
      </c>
      <c r="C20" s="399"/>
      <c r="D20" s="399">
        <v>2.54</v>
      </c>
      <c r="E20" s="399"/>
      <c r="F20" s="399">
        <f>PRODUCT(D20,B20)</f>
        <v>248.92000000000002</v>
      </c>
      <c r="G20" s="399"/>
      <c r="H20" s="399"/>
    </row>
    <row r="21" spans="1:8" ht="18.75">
      <c r="A21" s="415" t="s">
        <v>148</v>
      </c>
      <c r="B21" s="416"/>
      <c r="C21" s="416"/>
      <c r="D21" s="416"/>
      <c r="E21" s="417"/>
      <c r="F21" s="418">
        <f>SUM(F11+F13+F16+F17+F18+F20)</f>
        <v>1104.92</v>
      </c>
      <c r="G21" s="418"/>
      <c r="H21" s="418"/>
    </row>
    <row r="22" spans="1:8" ht="15">
      <c r="A22" s="404" t="s">
        <v>149</v>
      </c>
      <c r="B22" s="405"/>
      <c r="C22" s="405"/>
      <c r="D22" s="405"/>
      <c r="E22" s="406"/>
      <c r="F22" s="399">
        <f>PRODUCT(F21,0.07)</f>
        <v>77.344400000000007</v>
      </c>
      <c r="G22" s="399"/>
      <c r="H22" s="399"/>
    </row>
    <row r="23" spans="1:8" ht="15">
      <c r="A23" s="419" t="s">
        <v>150</v>
      </c>
      <c r="B23" s="420"/>
      <c r="C23" s="420"/>
      <c r="D23" s="420"/>
      <c r="E23" s="421"/>
      <c r="F23" s="399">
        <v>208.26</v>
      </c>
      <c r="G23" s="399"/>
      <c r="H23" s="399"/>
    </row>
    <row r="24" spans="1:8" ht="15.75">
      <c r="A24" s="404" t="s">
        <v>151</v>
      </c>
      <c r="B24" s="405"/>
      <c r="C24" s="405"/>
      <c r="D24" s="405"/>
      <c r="E24" s="406"/>
      <c r="F24" s="407">
        <f>SUM(F22:H23)</f>
        <v>285.6044</v>
      </c>
      <c r="G24" s="407"/>
      <c r="H24" s="407"/>
    </row>
    <row r="25" spans="1:8">
      <c r="A25" s="408" t="s">
        <v>152</v>
      </c>
      <c r="B25" s="409"/>
      <c r="C25" s="409"/>
      <c r="D25" s="409"/>
      <c r="E25" s="410"/>
      <c r="F25" s="414">
        <f>SUM(F21,F24)</f>
        <v>1390.5244</v>
      </c>
      <c r="G25" s="414"/>
      <c r="H25" s="414"/>
    </row>
    <row r="26" spans="1:8">
      <c r="A26" s="411"/>
      <c r="B26" s="412"/>
      <c r="C26" s="412"/>
      <c r="D26" s="412"/>
      <c r="E26" s="413"/>
      <c r="F26" s="414"/>
      <c r="G26" s="414"/>
      <c r="H26" s="41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154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15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155</v>
      </c>
      <c r="B13" s="399">
        <f>G8</f>
        <v>1</v>
      </c>
      <c r="C13" s="399"/>
      <c r="D13" s="399">
        <v>16.48</v>
      </c>
      <c r="E13" s="399"/>
      <c r="F13" s="401">
        <f>PRODUCT(D13,B13)</f>
        <v>16.48</v>
      </c>
      <c r="G13" s="401"/>
      <c r="H13" s="401"/>
    </row>
    <row r="14" spans="1:8" ht="15">
      <c r="A14" s="102" t="s">
        <v>156</v>
      </c>
      <c r="B14" s="422"/>
      <c r="C14" s="423"/>
      <c r="D14" s="422"/>
      <c r="E14" s="423"/>
      <c r="F14" s="422"/>
      <c r="G14" s="423"/>
      <c r="H14" s="111"/>
    </row>
    <row r="15" spans="1:8" ht="15">
      <c r="A15" s="102" t="s">
        <v>157</v>
      </c>
      <c r="B15" s="422"/>
      <c r="C15" s="423"/>
      <c r="D15" s="422"/>
      <c r="E15" s="423"/>
      <c r="F15" s="422"/>
      <c r="G15" s="423"/>
      <c r="H15" s="111"/>
    </row>
    <row r="16" spans="1:8" ht="15">
      <c r="A16" s="102" t="s">
        <v>158</v>
      </c>
      <c r="B16" s="422"/>
      <c r="C16" s="423"/>
      <c r="D16" s="422"/>
      <c r="E16" s="423"/>
      <c r="F16" s="422"/>
      <c r="G16" s="423"/>
      <c r="H16" s="111"/>
    </row>
    <row r="17" spans="1:8" ht="15">
      <c r="A17" s="102" t="s">
        <v>159</v>
      </c>
      <c r="B17" s="422"/>
      <c r="C17" s="423"/>
      <c r="D17" s="422"/>
      <c r="E17" s="423"/>
      <c r="F17" s="422"/>
      <c r="G17" s="423"/>
      <c r="H17" s="111"/>
    </row>
    <row r="18" spans="1:8" ht="45" customHeight="1">
      <c r="A18" s="402" t="s">
        <v>143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144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>
      <c r="A21" s="103" t="s">
        <v>145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>
      <c r="A22" s="103" t="s">
        <v>146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>
      <c r="A23" s="103" t="s">
        <v>147</v>
      </c>
      <c r="B23" s="399">
        <f>G8</f>
        <v>1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>
      <c r="A24" s="103" t="s">
        <v>153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>
      <c r="A25" s="415" t="s">
        <v>148</v>
      </c>
      <c r="B25" s="416"/>
      <c r="C25" s="416"/>
      <c r="D25" s="416"/>
      <c r="E25" s="417"/>
      <c r="F25" s="424">
        <f>SUM(F11+F13+F20+F21+F22+F23)</f>
        <v>31.48</v>
      </c>
      <c r="G25" s="418"/>
      <c r="H25" s="418"/>
    </row>
    <row r="26" spans="1:8" ht="15">
      <c r="A26" s="404" t="s">
        <v>149</v>
      </c>
      <c r="B26" s="405"/>
      <c r="C26" s="405"/>
      <c r="D26" s="405"/>
      <c r="E26" s="406"/>
      <c r="F26" s="399">
        <v>63.63</v>
      </c>
      <c r="G26" s="399"/>
      <c r="H26" s="399"/>
    </row>
    <row r="27" spans="1:8" ht="15">
      <c r="A27" s="419" t="s">
        <v>150</v>
      </c>
      <c r="B27" s="420"/>
      <c r="C27" s="420"/>
      <c r="D27" s="420"/>
      <c r="E27" s="421"/>
      <c r="F27" s="399">
        <v>2.4300000000000002</v>
      </c>
      <c r="G27" s="399"/>
      <c r="H27" s="399"/>
    </row>
    <row r="28" spans="1:8" ht="15.75">
      <c r="A28" s="404" t="s">
        <v>151</v>
      </c>
      <c r="B28" s="405"/>
      <c r="C28" s="405"/>
      <c r="D28" s="405"/>
      <c r="E28" s="406"/>
      <c r="F28" s="407">
        <f>SUM(F26:H27)</f>
        <v>66.06</v>
      </c>
      <c r="G28" s="407"/>
      <c r="H28" s="407"/>
    </row>
    <row r="29" spans="1:8">
      <c r="A29" s="408" t="s">
        <v>152</v>
      </c>
      <c r="B29" s="409"/>
      <c r="C29" s="409"/>
      <c r="D29" s="409"/>
      <c r="E29" s="410"/>
      <c r="F29" s="414">
        <f>SUM(F25,F28)</f>
        <v>97.54</v>
      </c>
      <c r="G29" s="414"/>
      <c r="H29" s="414"/>
    </row>
    <row r="30" spans="1:8">
      <c r="A30" s="411"/>
      <c r="B30" s="412"/>
      <c r="C30" s="412"/>
      <c r="D30" s="412"/>
      <c r="E30" s="413"/>
      <c r="F30" s="414"/>
      <c r="G30" s="414"/>
      <c r="H30" s="41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5" t="s">
        <v>160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>
      <c r="C15" s="428" t="s">
        <v>180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181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>
      <c r="C15" s="428" t="s">
        <v>182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183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>
      <c r="C15" s="428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2021-09-13T09:14:36Z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