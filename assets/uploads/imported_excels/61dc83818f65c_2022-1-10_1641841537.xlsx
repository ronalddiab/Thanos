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<sst xmlns="http://schemas.openxmlformats.org/spreadsheetml/2006/main" count="315" uniqueCount="148">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</sst>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>
        <f>Submetering!E8+Submetering!F8+Submetering!G8+Submetering!H8+Submetering!J8-Submetering!AV8</f>
        <v>12540.000000000273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91</v>
      </c>
      <c r="J8" s="11">
        <f t="shared" si="3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11929.999999999985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73.299999999999272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13039.999999999962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75</v>
      </c>
      <c r="J10" s="11">
        <f t="shared" si="3"/>
        <v>10.487297712684205</v>
      </c>
      <c r="K10" s="13">
        <f>'FS Desroches Daily'!CN12</f>
        <v>23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>
        <f>'FS Desroches Daily'!BF9</f>
        <v>35</v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>
        <f>'FS Desroches Daily'!D10</f>
        <v>3400.0000000000696</v>
      </c>
      <c r="F8" s="32">
        <f>'FS Desroches Daily'!F10</f>
        <v>3499.9999999998367</v>
      </c>
      <c r="G8" s="31">
        <f>'FS Desroches Daily'!H10</f>
        <v>3100.0000000003247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15</v>
      </c>
      <c r="L8" s="31">
        <f>'FS Desroches Daily'!R10</f>
        <v>5</v>
      </c>
      <c r="M8" s="31">
        <f>'FS Desroches Daily'!T10</f>
        <v>1.2999999999999545</v>
      </c>
      <c r="N8" s="31">
        <f>'FS Desroches Daily'!V10</f>
        <v>531.29999999998836</v>
      </c>
      <c r="O8" s="31">
        <f>'FS Desroches Daily'!X10</f>
        <v>279.99999999997272</v>
      </c>
      <c r="P8" s="31">
        <f>'FS Desroches Daily'!Z10</f>
        <v>3299.9999999998586</v>
      </c>
      <c r="Q8" s="31">
        <f>'FS Desroches Daily'!AB10</f>
        <v>350.00000000002274</v>
      </c>
      <c r="R8" s="31">
        <f>'FS Desroches Daily'!AD10</f>
        <v>490.00000000000909</v>
      </c>
      <c r="S8" s="31">
        <f>'FS Desroches Daily'!AF10</f>
        <v>539.99999999996362</v>
      </c>
      <c r="T8" s="31">
        <f>'FS Desroches Daily'!AH10</f>
        <v>43</v>
      </c>
      <c r="U8" s="35">
        <f>'FS Desroches Daily'!AJ10</f>
        <v>759.99999999999091</v>
      </c>
      <c r="V8" s="35">
        <f>'FS Desroches Daily'!AL10</f>
        <v>389.99999999998636</v>
      </c>
      <c r="W8" s="35">
        <f>'FS Desroches Daily'!AN10</f>
        <v>320.0000000000216</v>
      </c>
      <c r="X8" s="35">
        <f>'FS Desroches Daily'!AP10</f>
        <v>239.99999999998067</v>
      </c>
      <c r="Y8" s="35">
        <f>'FS Desroches Daily'!AR10</f>
        <v>189.99999999999773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149.99999999997726</v>
      </c>
      <c r="AC8" s="35">
        <f>'FS Desroches Daily'!AZ10</f>
        <v>139.99999999998636</v>
      </c>
      <c r="AD8" s="35">
        <f>'FS Desroches Daily'!BB10</f>
        <v>329.99999999998408</v>
      </c>
      <c r="AE8" s="35">
        <f>'FS Desroches Daily'!BD10</f>
        <v>189.99999999999773</v>
      </c>
      <c r="AF8" s="31">
        <f>'FS Desroches Daily'!BF10</f>
        <v>19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59.999999999973852</v>
      </c>
      <c r="AK8" s="32">
        <f>'FS Desroches Daily'!BP10</f>
        <v>70.000000000050022</v>
      </c>
      <c r="AL8" s="32">
        <f>'FS Desroches Daily'!BR10</f>
        <v>32</v>
      </c>
      <c r="AM8" s="32">
        <f>'FS Desroches Daily'!BT10</f>
        <v>80.000000000012506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65.799999999995634</v>
      </c>
      <c r="AR8" s="31">
        <f>'FS Desroches Daily'!CD10</f>
        <v>8</v>
      </c>
      <c r="AS8" s="31">
        <f>'FS Desroches Daily'!CF10</f>
        <v>2.6999999999998181</v>
      </c>
      <c r="AT8" s="31">
        <f>'FS Desroches Daily'!CH10</f>
        <v>115.39999999999418</v>
      </c>
      <c r="AU8" s="31">
        <f>'FS Desroches Daily'!CJ10</f>
        <v>302</v>
      </c>
      <c r="AV8" s="31">
        <f>'FS Desroches Daily'!CL10</f>
        <v>560.00000000005912</v>
      </c>
      <c r="AW8" s="31">
        <f>'FS Desroches Daily'!CM10</f>
        <v>91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5.4944999999999995</v>
      </c>
      <c r="BB8" s="31">
        <f>IF(LPG!Q15-LPG!Q14&lt;0,"0",(LPG!Q15-LPG!Q14)*1.8315)</f>
        <v>3.6629999999999998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3200.0000000000919</v>
      </c>
      <c r="F9" s="32">
        <f>'FS Desroches Daily'!F11</f>
        <v>3600.0000000000477</v>
      </c>
      <c r="G9" s="31">
        <f>'FS Desroches Daily'!H11</f>
        <v>2799.9999999996917</v>
      </c>
      <c r="H9" s="32">
        <f>'FS Desroches Daily'!J11</f>
        <v>1600.0000000000459</v>
      </c>
      <c r="I9" s="31">
        <f>'FS Desroches Daily'!L11</f>
        <v>2200.0000000002019</v>
      </c>
      <c r="J9" s="32">
        <f>'FS Desroches Daily'!N11</f>
        <v>1400.0000000000678</v>
      </c>
      <c r="K9" s="13">
        <f>'FS Desroches Daily'!P11</f>
        <v>45</v>
      </c>
      <c r="L9" s="31">
        <f>'FS Desroches Daily'!R11</f>
        <v>4</v>
      </c>
      <c r="M9" s="31">
        <f>'FS Desroches Daily'!T11</f>
        <v>1.3000000000001819</v>
      </c>
      <c r="N9" s="31">
        <f>'FS Desroches Daily'!V11</f>
        <v>469.60000000003492</v>
      </c>
      <c r="O9" s="31">
        <f>'FS Desroches Daily'!X11</f>
        <v>370.00000000000455</v>
      </c>
      <c r="P9" s="31">
        <f>'FS Desroches Daily'!Z11</f>
        <v>3600.0000000000477</v>
      </c>
      <c r="Q9" s="31">
        <f>'FS Desroches Daily'!AB11</f>
        <v>370.00000000000455</v>
      </c>
      <c r="R9" s="31">
        <f>'FS Desroches Daily'!AD11</f>
        <v>430.00000000000682</v>
      </c>
      <c r="S9" s="31">
        <f>'FS Desroches Daily'!AF11</f>
        <v>580.00000000004093</v>
      </c>
      <c r="T9" s="31">
        <f>'FS Desroches Daily'!AH11</f>
        <v>46</v>
      </c>
      <c r="U9" s="35">
        <f>'FS Desroches Daily'!AJ11</f>
        <v>850.00000000002274</v>
      </c>
      <c r="V9" s="35">
        <f>'FS Desroches Daily'!AL11</f>
        <v>350.00000000002274</v>
      </c>
      <c r="W9" s="35">
        <f>'FS Desroches Daily'!AN11</f>
        <v>319.99999999999318</v>
      </c>
      <c r="X9" s="35">
        <f>'FS Desroches Daily'!AP11</f>
        <v>240.00000000000909</v>
      </c>
      <c r="Y9" s="35">
        <f>'FS Desroches Daily'!AR11</f>
        <v>230.00000000001819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150.00000000003411</v>
      </c>
      <c r="AC9" s="35">
        <f>'FS Desroches Daily'!AZ11</f>
        <v>120.00000000000455</v>
      </c>
      <c r="AD9" s="35">
        <f>'FS Desroches Daily'!BB11</f>
        <v>289.99999999996362</v>
      </c>
      <c r="AE9" s="35">
        <f>'FS Desroches Daily'!BD11</f>
        <v>180.00000000000682</v>
      </c>
      <c r="AF9" s="31">
        <f>'FS Desroches Daily'!BF11</f>
        <v>35</v>
      </c>
      <c r="AG9" s="32">
        <f>'FS Desroches Daily'!BH11</f>
        <v>49.999999999982947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50.000000000011369</v>
      </c>
      <c r="AK9" s="32">
        <f>'FS Desroches Daily'!BP11</f>
        <v>59.99999999994543</v>
      </c>
      <c r="AL9" s="32">
        <f>'FS Desroches Daily'!BR11</f>
        <v>36</v>
      </c>
      <c r="AM9" s="32">
        <f>'FS Desroches Daily'!BT11</f>
        <v>49.999999999982947</v>
      </c>
      <c r="AN9" s="32">
        <f>'FS Desroches Daily'!BV11</f>
        <v>28</v>
      </c>
      <c r="AO9" s="32">
        <f>'FS Desroches Daily'!BX11</f>
        <v>30.000000000001137</v>
      </c>
      <c r="AP9" s="32">
        <f>'FS Desroches Daily'!BZ11</f>
        <v>31</v>
      </c>
      <c r="AQ9" s="31">
        <f>'FS Desroches Daily'!CB11</f>
        <v>66.700000000004366</v>
      </c>
      <c r="AR9" s="31">
        <f>'FS Desroches Daily'!CD11</f>
        <v>10.100000000000364</v>
      </c>
      <c r="AS9" s="31">
        <f>'FS Desroches Daily'!CF11</f>
        <v>5.3999999999996362</v>
      </c>
      <c r="AT9" s="31">
        <f>'FS Desroches Daily'!CH11</f>
        <v>22.400000000008731</v>
      </c>
      <c r="AU9" s="31">
        <f>'FS Desroches Daily'!CJ11</f>
        <v>310</v>
      </c>
      <c r="AV9" s="31">
        <f>'FS Desroches Daily'!CL11</f>
        <v>669.99999999995907</v>
      </c>
      <c r="AW9" s="31">
        <f>'FS Desroches Daily'!CM11</f>
        <v>73.299999999999272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23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3699.9999999998145</v>
      </c>
      <c r="F10" s="32">
        <f>'FS Desroches Daily'!F12</f>
        <v>3699.9999999998145</v>
      </c>
      <c r="G10" s="31">
        <f>'FS Desroches Daily'!H12</f>
        <v>3100.0000000003247</v>
      </c>
      <c r="H10" s="32">
        <f>'FS Desroches Daily'!J12</f>
        <v>1600.0000000000459</v>
      </c>
      <c r="I10" s="31">
        <f>'FS Desroches Daily'!L12</f>
        <v>2099.9999999999909</v>
      </c>
      <c r="J10" s="32">
        <f>'FS Desroches Daily'!N12</f>
        <v>1600.0000000000459</v>
      </c>
      <c r="K10" s="13">
        <f>'FS Desroches Daily'!P12</f>
        <v>42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420.09999999997672</v>
      </c>
      <c r="O10" s="31">
        <f>'FS Desroches Daily'!X12</f>
        <v>269.99999999998181</v>
      </c>
      <c r="P10" s="31">
        <f>'FS Desroches Daily'!Z12</f>
        <v>3100.0000000003247</v>
      </c>
      <c r="Q10" s="31">
        <f>'FS Desroches Daily'!AB12</f>
        <v>430.00000000000682</v>
      </c>
      <c r="R10" s="31">
        <f>'FS Desroches Daily'!AD12</f>
        <v>489.99999999995225</v>
      </c>
      <c r="S10" s="31">
        <f>'FS Desroches Daily'!AF12</f>
        <v>519.99999999998181</v>
      </c>
      <c r="T10" s="31">
        <f>'FS Desroches Daily'!AH12</f>
        <v>41</v>
      </c>
      <c r="U10" s="35">
        <f>'FS Desroches Daily'!AJ12</f>
        <v>920.00000000007276</v>
      </c>
      <c r="V10" s="35">
        <f>'FS Desroches Daily'!AL12</f>
        <v>319.99999999999318</v>
      </c>
      <c r="W10" s="35">
        <f>'FS Desroches Daily'!AN12</f>
        <v>289.99999999999204</v>
      </c>
      <c r="X10" s="35">
        <f>'FS Desroches Daily'!AP12</f>
        <v>240.00000000000909</v>
      </c>
      <c r="Y10" s="35">
        <f>'FS Desroches Daily'!AR12</f>
        <v>290.00000000002046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89.999999999974989</v>
      </c>
      <c r="AC10" s="35">
        <f>'FS Desroches Daily'!AZ12</f>
        <v>139.99999999998636</v>
      </c>
      <c r="AD10" s="35">
        <f>'FS Desroches Daily'!BB12</f>
        <v>300.00000000001137</v>
      </c>
      <c r="AE10" s="35">
        <f>'FS Desroches Daily'!BD12</f>
        <v>209.99999999997954</v>
      </c>
      <c r="AF10" s="31">
        <f>'FS Desroches Daily'!BF12</f>
        <v>37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60.000000000002274</v>
      </c>
      <c r="AJ10" s="32">
        <f>'FS Desroches Daily'!BN12</f>
        <v>39.999999999992042</v>
      </c>
      <c r="AK10" s="32">
        <f>'FS Desroches Daily'!BP12</f>
        <v>70.000000000050022</v>
      </c>
      <c r="AL10" s="32">
        <f>'FS Desroches Daily'!BR12</f>
        <v>34</v>
      </c>
      <c r="AM10" s="32">
        <f>'FS Desroches Daily'!BT12</f>
        <v>69.999999999993179</v>
      </c>
      <c r="AN10" s="32">
        <f>'FS Desroches Daily'!BV12</f>
        <v>32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64</v>
      </c>
      <c r="AR10" s="31">
        <f>'FS Desroches Daily'!CD12</f>
        <v>3.5</v>
      </c>
      <c r="AS10" s="31">
        <f>'FS Desroches Daily'!CF12</f>
        <v>9.6000000000003638</v>
      </c>
      <c r="AT10" s="31">
        <f>'FS Desroches Daily'!CH12</f>
        <v>42.099999999991269</v>
      </c>
      <c r="AU10" s="31">
        <f>'FS Desroches Daily'!CJ12</f>
        <v>285</v>
      </c>
      <c r="AV10" s="31">
        <f>'FS Desroches Daily'!CL12</f>
        <v>660.00000000008185</v>
      </c>
      <c r="AW10" s="31">
        <f>'FS Desroches Daily'!CM12</f>
        <v>75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23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28900.000000000146</v>
      </c>
      <c r="F33" s="17">
        <f t="shared" ref="F33:BC33" si="1">SUM(F2:F32)</f>
        <v>31599.999999999625</v>
      </c>
      <c r="G33" s="17">
        <f t="shared" si="1"/>
        <v>28200</v>
      </c>
      <c r="H33" s="17">
        <f t="shared" si="1"/>
        <v>14100</v>
      </c>
      <c r="I33" s="17">
        <f t="shared" si="1"/>
        <v>19700.000000000276</v>
      </c>
      <c r="J33" s="17">
        <f t="shared" si="1"/>
        <v>12199.999999999987</v>
      </c>
      <c r="K33" s="17">
        <f t="shared" si="1"/>
        <v>171</v>
      </c>
      <c r="L33" s="17">
        <f t="shared" si="1"/>
        <v>38</v>
      </c>
      <c r="M33" s="17">
        <f t="shared" si="1"/>
        <v>12.200000000000045</v>
      </c>
      <c r="N33" s="17">
        <f t="shared" si="1"/>
        <v>4316.3999999999651</v>
      </c>
      <c r="O33" s="17">
        <f t="shared" si="1"/>
        <v>2660.000000000025</v>
      </c>
      <c r="P33" s="17">
        <f t="shared" si="1"/>
        <v>29200.000000000335</v>
      </c>
      <c r="Q33" s="17">
        <f t="shared" si="1"/>
        <v>3530.0000000000296</v>
      </c>
      <c r="R33" s="17">
        <f t="shared" si="1"/>
        <v>3449.9999999999886</v>
      </c>
      <c r="S33" s="17">
        <f t="shared" si="1"/>
        <v>4350.0000000000227</v>
      </c>
      <c r="T33" s="17">
        <f t="shared" si="1"/>
        <v>359</v>
      </c>
      <c r="U33" s="35">
        <f t="shared" si="1"/>
        <v>7260.0000000001046</v>
      </c>
      <c r="V33" s="35">
        <f t="shared" si="1"/>
        <v>2890.000000000015</v>
      </c>
      <c r="W33" s="35">
        <f t="shared" si="1"/>
        <v>2469.9999999999991</v>
      </c>
      <c r="X33" s="35">
        <f t="shared" si="1"/>
        <v>2069.9999999999932</v>
      </c>
      <c r="Y33" s="35">
        <f t="shared" si="1"/>
        <v>1590.0000000000318</v>
      </c>
      <c r="Z33" s="35">
        <f t="shared" si="1"/>
        <v>1720.0000000000273</v>
      </c>
      <c r="AA33" s="35">
        <f t="shared" si="1"/>
        <v>1720.0000000000273</v>
      </c>
      <c r="AB33" s="35">
        <f t="shared" si="1"/>
        <v>1240.0000000000091</v>
      </c>
      <c r="AC33" s="35">
        <f t="shared" si="1"/>
        <v>1509.9999999999909</v>
      </c>
      <c r="AD33" s="35">
        <f t="shared" si="1"/>
        <v>2259.9999999999909</v>
      </c>
      <c r="AE33" s="35">
        <f t="shared" si="1"/>
        <v>1560.0000000000023</v>
      </c>
      <c r="AF33" s="17">
        <f t="shared" si="1"/>
        <v>326</v>
      </c>
      <c r="AG33" s="32">
        <f t="shared" si="1"/>
        <v>400.00000000000568</v>
      </c>
      <c r="AH33" s="32">
        <f t="shared" si="1"/>
        <v>269.99999999998181</v>
      </c>
      <c r="AI33" s="32">
        <f t="shared" si="1"/>
        <v>429.9999999999784</v>
      </c>
      <c r="AJ33" s="32">
        <f t="shared" si="1"/>
        <v>389.99999999998636</v>
      </c>
      <c r="AK33" s="32">
        <f t="shared" si="1"/>
        <v>540.00000000002046</v>
      </c>
      <c r="AL33" s="32">
        <f t="shared" si="1"/>
        <v>284</v>
      </c>
      <c r="AM33" s="32">
        <f t="shared" si="1"/>
        <v>500</v>
      </c>
      <c r="AN33" s="32">
        <f t="shared" si="1"/>
        <v>271</v>
      </c>
      <c r="AO33" s="32">
        <f t="shared" si="1"/>
        <v>269.99999999998181</v>
      </c>
      <c r="AP33" s="32">
        <f t="shared" si="1"/>
        <v>267</v>
      </c>
      <c r="AQ33" s="17">
        <f t="shared" si="1"/>
        <v>591</v>
      </c>
      <c r="AR33" s="17">
        <f t="shared" si="1"/>
        <v>83.700000000000728</v>
      </c>
      <c r="AS33" s="17">
        <f t="shared" si="1"/>
        <v>63.800000000000182</v>
      </c>
      <c r="AT33" s="17">
        <f t="shared" si="1"/>
        <v>425.09999999999127</v>
      </c>
      <c r="AU33" s="17">
        <f t="shared" si="1"/>
        <v>2656</v>
      </c>
      <c r="AV33" s="17">
        <f t="shared" si="1"/>
        <v>5920.0000000000728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47.618999999999993</v>
      </c>
      <c r="BC33" s="17">
        <f t="shared" si="1"/>
        <v>208</v>
      </c>
    </row>
    <row r="35" spans="5:55" x14ac:dyDescent="0.25">
      <c r="E35" s="38">
        <f>E33/E37</f>
        <v>0.27228702255554288</v>
      </c>
      <c r="G35" s="29">
        <f>G33-M36</f>
        <v>23871.400000000034</v>
      </c>
      <c r="AE35" s="35">
        <f>SUM(U33:AE33)</f>
        <v>26290.0000000002</v>
      </c>
      <c r="AG35" s="32">
        <f>SUM(AG33:AP33)</f>
        <v>3621.9999999999545</v>
      </c>
    </row>
    <row r="36" spans="5:55" x14ac:dyDescent="0.25">
      <c r="G36" s="29">
        <f>G35-633*14</f>
        <v>15009.400000000034</v>
      </c>
      <c r="M36" s="29">
        <f>M33+N33</f>
        <v>4328.5999999999649</v>
      </c>
    </row>
    <row r="37" spans="5:55" x14ac:dyDescent="0.25">
      <c r="E37" s="17">
        <f>E33+F33+G33+H33+J33-633*14</f>
        <v>106137.99999999975</v>
      </c>
      <c r="G37" s="37">
        <f>M36/E37</f>
        <v>4.0782754527124827E-2</v>
      </c>
      <c r="M37" s="35">
        <f>AE35</f>
        <v>26290.0000000002</v>
      </c>
    </row>
    <row r="38" spans="5:55" x14ac:dyDescent="0.25">
      <c r="L38" s="27">
        <f>M38/E37</f>
        <v>3.4125383934123149E-2</v>
      </c>
      <c r="M38" s="29">
        <f>AG35</f>
        <v>3621.9999999999545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zoomScale="90" zoomScaleNormal="90" workbookViewId="0">
      <pane ySplit="1" topLeftCell="A5" activePane="bottomLeft" state="frozen"/>
      <selection pane="bottomLeft" activeCell="BG16" sqref="BG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>
        <v>46625</v>
      </c>
      <c r="BF9" s="67">
        <f t="shared" si="28"/>
        <v>35</v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>
        <v>2.774</v>
      </c>
      <c r="D10" s="64">
        <f t="shared" si="1"/>
        <v>3400.0000000000696</v>
      </c>
      <c r="E10" s="58">
        <v>3.8431999999999999</v>
      </c>
      <c r="F10" s="64">
        <f t="shared" si="2"/>
        <v>3499.9999999998367</v>
      </c>
      <c r="G10" s="58">
        <v>3.8456000000000001</v>
      </c>
      <c r="H10" s="64">
        <f t="shared" si="3"/>
        <v>3100.0000000003247</v>
      </c>
      <c r="I10" s="58">
        <v>1.9136</v>
      </c>
      <c r="J10" s="64">
        <f t="shared" si="4"/>
        <v>1700.0000000000348</v>
      </c>
      <c r="K10" s="58">
        <v>3.0383</v>
      </c>
      <c r="L10" s="64">
        <f t="shared" si="5"/>
        <v>2099.9999999999909</v>
      </c>
      <c r="M10" s="58">
        <v>1.6818</v>
      </c>
      <c r="N10" s="64">
        <f t="shared" si="6"/>
        <v>1400.0000000000678</v>
      </c>
      <c r="O10" s="58">
        <v>16032</v>
      </c>
      <c r="P10" s="67">
        <f t="shared" si="7"/>
        <v>15</v>
      </c>
      <c r="Q10" s="58">
        <v>1803</v>
      </c>
      <c r="R10" s="67">
        <f t="shared" si="8"/>
        <v>5</v>
      </c>
      <c r="S10" s="58">
        <v>1179.0999999999999</v>
      </c>
      <c r="T10" s="67">
        <f t="shared" si="9"/>
        <v>1.2999999999999545</v>
      </c>
      <c r="U10" s="58">
        <v>488486.1</v>
      </c>
      <c r="V10" s="67">
        <f t="shared" si="10"/>
        <v>531.29999999998836</v>
      </c>
      <c r="W10" s="58">
        <v>456.75</v>
      </c>
      <c r="X10" s="65">
        <f t="shared" si="11"/>
        <v>279.99999999997272</v>
      </c>
      <c r="Y10" s="58">
        <v>3.3744999999999998</v>
      </c>
      <c r="Z10" s="65">
        <f t="shared" si="12"/>
        <v>3299.9999999998586</v>
      </c>
      <c r="AA10" s="58">
        <v>459.92</v>
      </c>
      <c r="AB10" s="65">
        <f t="shared" si="13"/>
        <v>350.00000000002274</v>
      </c>
      <c r="AC10" s="58">
        <v>437.42</v>
      </c>
      <c r="AD10" s="65">
        <f t="shared" si="14"/>
        <v>490.00000000000909</v>
      </c>
      <c r="AE10" s="58">
        <v>639.64</v>
      </c>
      <c r="AF10" s="65">
        <f t="shared" si="15"/>
        <v>539.99999999996362</v>
      </c>
      <c r="AG10" s="58">
        <v>11571</v>
      </c>
      <c r="AH10" s="67">
        <f t="shared" si="16"/>
        <v>43</v>
      </c>
      <c r="AI10" s="58">
        <v>743.67</v>
      </c>
      <c r="AJ10" s="65">
        <f t="shared" si="17"/>
        <v>759.99999999999091</v>
      </c>
      <c r="AK10" s="58">
        <v>248.73</v>
      </c>
      <c r="AL10" s="65">
        <f t="shared" si="18"/>
        <v>389.99999999998636</v>
      </c>
      <c r="AM10" s="58">
        <v>231.8</v>
      </c>
      <c r="AN10" s="65">
        <f t="shared" si="19"/>
        <v>320.0000000000216</v>
      </c>
      <c r="AO10" s="58">
        <v>224.7</v>
      </c>
      <c r="AP10" s="65">
        <f t="shared" si="20"/>
        <v>239.99999999998067</v>
      </c>
      <c r="AQ10" s="58">
        <v>282.2</v>
      </c>
      <c r="AR10" s="65">
        <f t="shared" si="21"/>
        <v>189.99999999999773</v>
      </c>
      <c r="AS10" s="58">
        <v>409.55</v>
      </c>
      <c r="AT10" s="65">
        <f t="shared" si="22"/>
        <v>199.99999999998863</v>
      </c>
      <c r="AU10" s="58">
        <v>314.95</v>
      </c>
      <c r="AV10" s="65">
        <f t="shared" si="23"/>
        <v>149.99999999997726</v>
      </c>
      <c r="AW10" s="58">
        <v>346.86</v>
      </c>
      <c r="AX10" s="65">
        <f t="shared" si="24"/>
        <v>199.99999999998863</v>
      </c>
      <c r="AY10" s="58">
        <v>383.93</v>
      </c>
      <c r="AZ10" s="65">
        <f t="shared" si="25"/>
        <v>139.99999999998636</v>
      </c>
      <c r="BA10" s="58">
        <v>402.24</v>
      </c>
      <c r="BB10" s="65">
        <f t="shared" si="26"/>
        <v>329.99999999998408</v>
      </c>
      <c r="BC10" s="58">
        <v>258.19</v>
      </c>
      <c r="BD10" s="65">
        <f t="shared" si="27"/>
        <v>189.99999999999773</v>
      </c>
      <c r="BE10" s="59">
        <v>46644</v>
      </c>
      <c r="BF10" s="67">
        <f t="shared" si="28"/>
        <v>19</v>
      </c>
      <c r="BG10" s="60">
        <v>242.05</v>
      </c>
      <c r="BH10" s="65">
        <f t="shared" si="29"/>
        <v>50.000000000011369</v>
      </c>
      <c r="BI10" s="60">
        <v>298.47000000000003</v>
      </c>
      <c r="BJ10" s="65">
        <f t="shared" si="30"/>
        <v>40.000000000020464</v>
      </c>
      <c r="BK10" s="60">
        <v>244.68</v>
      </c>
      <c r="BL10" s="65">
        <f t="shared" si="31"/>
        <v>50.000000000011369</v>
      </c>
      <c r="BM10" s="60">
        <v>231.92</v>
      </c>
      <c r="BN10" s="65">
        <f t="shared" si="32"/>
        <v>59.999999999973852</v>
      </c>
      <c r="BO10" s="60">
        <v>297.22000000000003</v>
      </c>
      <c r="BP10" s="65">
        <f t="shared" si="33"/>
        <v>70.000000000050022</v>
      </c>
      <c r="BQ10" s="60">
        <v>51194</v>
      </c>
      <c r="BR10" s="65">
        <f t="shared" si="34"/>
        <v>32</v>
      </c>
      <c r="BS10" s="60">
        <v>208.33</v>
      </c>
      <c r="BT10" s="65">
        <f t="shared" si="35"/>
        <v>80.000000000012506</v>
      </c>
      <c r="BU10" s="60">
        <v>47921</v>
      </c>
      <c r="BV10" s="65">
        <f t="shared" si="36"/>
        <v>31</v>
      </c>
      <c r="BW10" s="60">
        <v>237.57</v>
      </c>
      <c r="BX10" s="65">
        <f t="shared" si="37"/>
        <v>30.000000000001137</v>
      </c>
      <c r="BY10" s="60">
        <v>67674</v>
      </c>
      <c r="BZ10" s="67">
        <f t="shared" si="38"/>
        <v>35</v>
      </c>
      <c r="CA10" s="60">
        <v>41195.199999999997</v>
      </c>
      <c r="CB10" s="67">
        <f t="shared" si="39"/>
        <v>65.799999999995634</v>
      </c>
      <c r="CC10" s="60">
        <v>14004</v>
      </c>
      <c r="CD10" s="67">
        <f t="shared" si="40"/>
        <v>8</v>
      </c>
      <c r="CE10" s="60">
        <v>7431</v>
      </c>
      <c r="CF10" s="67">
        <f t="shared" si="41"/>
        <v>2.6999999999998181</v>
      </c>
      <c r="CG10" s="60">
        <v>68138.399999999994</v>
      </c>
      <c r="CH10" s="67">
        <f t="shared" si="42"/>
        <v>115.39999999999418</v>
      </c>
      <c r="CI10" s="60">
        <v>1003779</v>
      </c>
      <c r="CJ10" s="67">
        <f t="shared" si="43"/>
        <v>302</v>
      </c>
      <c r="CK10" s="60">
        <v>889.37</v>
      </c>
      <c r="CL10" s="64">
        <f t="shared" si="44"/>
        <v>560.00000000005912</v>
      </c>
      <c r="CM10" s="65">
        <f t="shared" si="45"/>
        <v>91</v>
      </c>
      <c r="CN10" s="62">
        <v>15</v>
      </c>
      <c r="CO10" s="62">
        <v>56</v>
      </c>
      <c r="CP10" s="68">
        <v>19750</v>
      </c>
      <c r="CQ10" s="67">
        <f t="shared" si="46"/>
        <v>66</v>
      </c>
      <c r="CR10" s="68">
        <v>18463.7</v>
      </c>
      <c r="CS10" s="67">
        <f t="shared" si="47"/>
        <v>25</v>
      </c>
      <c r="CT10" s="75">
        <v>8538</v>
      </c>
      <c r="CU10" s="67">
        <f t="shared" si="48"/>
        <v>8</v>
      </c>
      <c r="CV10" s="68">
        <v>20716</v>
      </c>
      <c r="CW10" s="67">
        <f t="shared" si="49"/>
        <v>46</v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>
        <v>2.7772000000000001</v>
      </c>
      <c r="D11" s="64">
        <f t="shared" si="1"/>
        <v>3200.0000000000919</v>
      </c>
      <c r="E11" s="58">
        <v>3.8468</v>
      </c>
      <c r="F11" s="64">
        <f t="shared" si="2"/>
        <v>3600.0000000000477</v>
      </c>
      <c r="G11" s="58">
        <v>3.8483999999999998</v>
      </c>
      <c r="H11" s="64">
        <f t="shared" si="3"/>
        <v>2799.9999999996917</v>
      </c>
      <c r="I11" s="58">
        <v>1.9152</v>
      </c>
      <c r="J11" s="64">
        <f t="shared" si="4"/>
        <v>1600.0000000000459</v>
      </c>
      <c r="K11" s="58">
        <v>3.0405000000000002</v>
      </c>
      <c r="L11" s="64">
        <f t="shared" si="5"/>
        <v>2200.0000000002019</v>
      </c>
      <c r="M11" s="58">
        <v>1.6832</v>
      </c>
      <c r="N11" s="64">
        <f t="shared" si="6"/>
        <v>1400.0000000000678</v>
      </c>
      <c r="O11" s="58">
        <v>16077</v>
      </c>
      <c r="P11" s="67">
        <f t="shared" si="7"/>
        <v>45</v>
      </c>
      <c r="Q11" s="58">
        <v>1807</v>
      </c>
      <c r="R11" s="67">
        <f t="shared" si="8"/>
        <v>4</v>
      </c>
      <c r="S11" s="58">
        <v>1180.4000000000001</v>
      </c>
      <c r="T11" s="67">
        <f t="shared" si="9"/>
        <v>1.3000000000001819</v>
      </c>
      <c r="U11" s="58">
        <v>488955.7</v>
      </c>
      <c r="V11" s="67">
        <f t="shared" si="10"/>
        <v>469.60000000003492</v>
      </c>
      <c r="W11" s="58">
        <v>457.12</v>
      </c>
      <c r="X11" s="65">
        <f t="shared" si="11"/>
        <v>370.00000000000455</v>
      </c>
      <c r="Y11" s="58">
        <v>3.3780999999999999</v>
      </c>
      <c r="Z11" s="65">
        <f t="shared" si="12"/>
        <v>3600.0000000000477</v>
      </c>
      <c r="AA11" s="58">
        <v>460.29</v>
      </c>
      <c r="AB11" s="65">
        <f t="shared" si="13"/>
        <v>370.00000000000455</v>
      </c>
      <c r="AC11" s="58">
        <v>437.85</v>
      </c>
      <c r="AD11" s="65">
        <f t="shared" si="14"/>
        <v>430.00000000000682</v>
      </c>
      <c r="AE11" s="58">
        <v>640.22</v>
      </c>
      <c r="AF11" s="65">
        <f t="shared" si="15"/>
        <v>580.00000000004093</v>
      </c>
      <c r="AG11" s="58">
        <v>11617</v>
      </c>
      <c r="AH11" s="67">
        <f t="shared" si="16"/>
        <v>46</v>
      </c>
      <c r="AI11" s="58">
        <v>744.52</v>
      </c>
      <c r="AJ11" s="65">
        <f t="shared" si="17"/>
        <v>850.00000000002274</v>
      </c>
      <c r="AK11" s="58">
        <v>249.08</v>
      </c>
      <c r="AL11" s="65">
        <f t="shared" si="18"/>
        <v>350.00000000002274</v>
      </c>
      <c r="AM11" s="58">
        <v>232.12</v>
      </c>
      <c r="AN11" s="65">
        <f t="shared" si="19"/>
        <v>319.99999999999318</v>
      </c>
      <c r="AO11" s="58">
        <v>224.94</v>
      </c>
      <c r="AP11" s="65">
        <f t="shared" si="20"/>
        <v>240.00000000000909</v>
      </c>
      <c r="AQ11" s="58">
        <v>282.43</v>
      </c>
      <c r="AR11" s="65">
        <f t="shared" si="21"/>
        <v>230.00000000001819</v>
      </c>
      <c r="AS11" s="58">
        <v>409.73</v>
      </c>
      <c r="AT11" s="65">
        <f t="shared" si="22"/>
        <v>180.00000000000682</v>
      </c>
      <c r="AU11" s="58">
        <v>315.10000000000002</v>
      </c>
      <c r="AV11" s="65">
        <f t="shared" si="23"/>
        <v>150.00000000003411</v>
      </c>
      <c r="AW11" s="58">
        <v>347.05</v>
      </c>
      <c r="AX11" s="65">
        <f t="shared" si="24"/>
        <v>189.99999999999773</v>
      </c>
      <c r="AY11" s="58">
        <v>384.05</v>
      </c>
      <c r="AZ11" s="65">
        <f t="shared" si="25"/>
        <v>120.00000000000455</v>
      </c>
      <c r="BA11" s="58">
        <v>402.53</v>
      </c>
      <c r="BB11" s="65">
        <f t="shared" si="26"/>
        <v>289.99999999996362</v>
      </c>
      <c r="BC11" s="58">
        <v>258.37</v>
      </c>
      <c r="BD11" s="65">
        <f t="shared" si="27"/>
        <v>180.00000000000682</v>
      </c>
      <c r="BE11" s="59">
        <v>46679</v>
      </c>
      <c r="BF11" s="67">
        <f t="shared" si="28"/>
        <v>35</v>
      </c>
      <c r="BG11" s="60">
        <v>242.1</v>
      </c>
      <c r="BH11" s="65">
        <f t="shared" si="29"/>
        <v>49.999999999982947</v>
      </c>
      <c r="BI11" s="60">
        <v>298.5</v>
      </c>
      <c r="BJ11" s="65">
        <f t="shared" si="30"/>
        <v>29.999999999972715</v>
      </c>
      <c r="BK11" s="60">
        <v>244.73</v>
      </c>
      <c r="BL11" s="65">
        <f t="shared" si="31"/>
        <v>49.999999999982947</v>
      </c>
      <c r="BM11" s="60">
        <v>231.97</v>
      </c>
      <c r="BN11" s="65">
        <f t="shared" si="32"/>
        <v>50.000000000011369</v>
      </c>
      <c r="BO11" s="60">
        <v>297.27999999999997</v>
      </c>
      <c r="BP11" s="65">
        <f t="shared" si="33"/>
        <v>59.99999999994543</v>
      </c>
      <c r="BQ11" s="60">
        <v>51230</v>
      </c>
      <c r="BR11" s="65">
        <f t="shared" si="34"/>
        <v>36</v>
      </c>
      <c r="BS11" s="60">
        <v>208.38</v>
      </c>
      <c r="BT11" s="65">
        <f t="shared" si="35"/>
        <v>49.999999999982947</v>
      </c>
      <c r="BU11" s="60">
        <v>47949</v>
      </c>
      <c r="BV11" s="65">
        <f t="shared" si="36"/>
        <v>28</v>
      </c>
      <c r="BW11" s="60">
        <v>237.6</v>
      </c>
      <c r="BX11" s="65">
        <f t="shared" si="37"/>
        <v>30.000000000001137</v>
      </c>
      <c r="BY11" s="60">
        <v>67705</v>
      </c>
      <c r="BZ11" s="67">
        <f t="shared" si="38"/>
        <v>31</v>
      </c>
      <c r="CA11" s="60">
        <v>41261.9</v>
      </c>
      <c r="CB11" s="67">
        <f t="shared" si="39"/>
        <v>66.700000000004366</v>
      </c>
      <c r="CC11" s="60">
        <v>14014.1</v>
      </c>
      <c r="CD11" s="67">
        <f t="shared" si="40"/>
        <v>10.100000000000364</v>
      </c>
      <c r="CE11" s="60">
        <v>7436.4</v>
      </c>
      <c r="CF11" s="67">
        <f t="shared" si="41"/>
        <v>5.3999999999996362</v>
      </c>
      <c r="CG11" s="60">
        <v>68160.800000000003</v>
      </c>
      <c r="CH11" s="67">
        <f t="shared" si="42"/>
        <v>22.400000000008731</v>
      </c>
      <c r="CI11" s="60">
        <v>1004089</v>
      </c>
      <c r="CJ11" s="67">
        <f t="shared" si="43"/>
        <v>310</v>
      </c>
      <c r="CK11" s="60">
        <v>890.04</v>
      </c>
      <c r="CL11" s="64">
        <f t="shared" si="44"/>
        <v>669.99999999995907</v>
      </c>
      <c r="CM11" s="65">
        <f t="shared" si="45"/>
        <v>73.299999999999272</v>
      </c>
      <c r="CN11" s="62">
        <v>23</v>
      </c>
      <c r="CO11" s="62">
        <v>64</v>
      </c>
      <c r="CP11" s="68">
        <v>19807</v>
      </c>
      <c r="CQ11" s="67">
        <f t="shared" si="46"/>
        <v>57</v>
      </c>
      <c r="CR11" s="68">
        <v>18480</v>
      </c>
      <c r="CS11" s="67">
        <f t="shared" si="47"/>
        <v>16.299999999999272</v>
      </c>
      <c r="CT11" s="75">
        <v>8546</v>
      </c>
      <c r="CU11" s="67">
        <f t="shared" si="48"/>
        <v>8</v>
      </c>
      <c r="CV11" s="68">
        <v>20754</v>
      </c>
      <c r="CW11" s="67">
        <f t="shared" si="49"/>
        <v>38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>
        <v>2.7808999999999999</v>
      </c>
      <c r="D12" s="64">
        <f t="shared" si="1"/>
        <v>3699.9999999998145</v>
      </c>
      <c r="E12" s="58">
        <v>3.8504999999999998</v>
      </c>
      <c r="F12" s="64">
        <f t="shared" si="2"/>
        <v>3699.9999999998145</v>
      </c>
      <c r="G12" s="58">
        <v>3.8515000000000001</v>
      </c>
      <c r="H12" s="64">
        <f t="shared" si="3"/>
        <v>3100.0000000003247</v>
      </c>
      <c r="I12" s="58">
        <v>1.9168000000000001</v>
      </c>
      <c r="J12" s="64">
        <f t="shared" si="4"/>
        <v>1600.0000000000459</v>
      </c>
      <c r="K12" s="58">
        <v>3.0426000000000002</v>
      </c>
      <c r="L12" s="64">
        <f t="shared" si="5"/>
        <v>2099.9999999999909</v>
      </c>
      <c r="M12" s="58">
        <v>1.6848000000000001</v>
      </c>
      <c r="N12" s="64">
        <f t="shared" si="6"/>
        <v>1600.0000000000459</v>
      </c>
      <c r="O12" s="58">
        <v>16119</v>
      </c>
      <c r="P12" s="67">
        <f t="shared" si="7"/>
        <v>42</v>
      </c>
      <c r="Q12" s="58">
        <v>1813</v>
      </c>
      <c r="R12" s="67">
        <f t="shared" si="8"/>
        <v>6</v>
      </c>
      <c r="S12" s="58">
        <v>1181.5</v>
      </c>
      <c r="T12" s="67">
        <f t="shared" si="9"/>
        <v>1.0999999999999091</v>
      </c>
      <c r="U12" s="58">
        <v>489375.8</v>
      </c>
      <c r="V12" s="67">
        <f t="shared" si="10"/>
        <v>420.09999999997672</v>
      </c>
      <c r="W12" s="58">
        <v>457.39</v>
      </c>
      <c r="X12" s="65">
        <f t="shared" si="11"/>
        <v>269.99999999998181</v>
      </c>
      <c r="Y12" s="58">
        <v>3.3812000000000002</v>
      </c>
      <c r="Z12" s="65">
        <f t="shared" si="12"/>
        <v>3100.0000000003247</v>
      </c>
      <c r="AA12" s="58">
        <v>460.72</v>
      </c>
      <c r="AB12" s="65">
        <f t="shared" si="13"/>
        <v>430.00000000000682</v>
      </c>
      <c r="AC12" s="58">
        <v>438.34</v>
      </c>
      <c r="AD12" s="65">
        <f t="shared" si="14"/>
        <v>489.99999999995225</v>
      </c>
      <c r="AE12" s="58">
        <v>640.74</v>
      </c>
      <c r="AF12" s="65">
        <f t="shared" si="15"/>
        <v>519.99999999998181</v>
      </c>
      <c r="AG12" s="58">
        <v>11658</v>
      </c>
      <c r="AH12" s="67">
        <f t="shared" si="16"/>
        <v>41</v>
      </c>
      <c r="AI12" s="58">
        <v>745.44</v>
      </c>
      <c r="AJ12" s="65">
        <f t="shared" si="17"/>
        <v>920.00000000007276</v>
      </c>
      <c r="AK12" s="58">
        <v>249.4</v>
      </c>
      <c r="AL12" s="65">
        <f t="shared" si="18"/>
        <v>319.99999999999318</v>
      </c>
      <c r="AM12" s="58">
        <v>232.41</v>
      </c>
      <c r="AN12" s="65">
        <f t="shared" si="19"/>
        <v>289.99999999999204</v>
      </c>
      <c r="AO12" s="58">
        <v>225.18</v>
      </c>
      <c r="AP12" s="65">
        <f t="shared" si="20"/>
        <v>240.00000000000909</v>
      </c>
      <c r="AQ12" s="58">
        <v>282.72000000000003</v>
      </c>
      <c r="AR12" s="65">
        <f t="shared" si="21"/>
        <v>290.00000000002046</v>
      </c>
      <c r="AS12" s="58">
        <v>409.93</v>
      </c>
      <c r="AT12" s="65">
        <f t="shared" si="22"/>
        <v>199.99999999998863</v>
      </c>
      <c r="AU12" s="58">
        <v>315.19</v>
      </c>
      <c r="AV12" s="65">
        <f t="shared" si="23"/>
        <v>89.999999999974989</v>
      </c>
      <c r="AW12" s="58">
        <v>347.23</v>
      </c>
      <c r="AX12" s="65">
        <f t="shared" si="24"/>
        <v>180.00000000000682</v>
      </c>
      <c r="AY12" s="58">
        <v>384.19</v>
      </c>
      <c r="AZ12" s="65">
        <f t="shared" si="25"/>
        <v>139.99999999998636</v>
      </c>
      <c r="BA12" s="58">
        <v>402.83</v>
      </c>
      <c r="BB12" s="65">
        <f t="shared" si="26"/>
        <v>300.00000000001137</v>
      </c>
      <c r="BC12" s="58">
        <v>258.58</v>
      </c>
      <c r="BD12" s="65">
        <f t="shared" si="27"/>
        <v>209.99999999997954</v>
      </c>
      <c r="BE12" s="59">
        <v>46716</v>
      </c>
      <c r="BF12" s="67">
        <f t="shared" si="28"/>
        <v>37</v>
      </c>
      <c r="BG12" s="60">
        <v>242.15</v>
      </c>
      <c r="BH12" s="65">
        <f t="shared" si="29"/>
        <v>50.000000000011369</v>
      </c>
      <c r="BI12" s="60">
        <v>298.52999999999997</v>
      </c>
      <c r="BJ12" s="65">
        <f t="shared" si="30"/>
        <v>29.999999999972715</v>
      </c>
      <c r="BK12" s="60">
        <v>244.79</v>
      </c>
      <c r="BL12" s="65">
        <f t="shared" si="31"/>
        <v>60.000000000002274</v>
      </c>
      <c r="BM12" s="60">
        <v>232.01</v>
      </c>
      <c r="BN12" s="65">
        <f t="shared" si="32"/>
        <v>39.999999999992042</v>
      </c>
      <c r="BO12" s="60">
        <v>297.35000000000002</v>
      </c>
      <c r="BP12" s="65">
        <f t="shared" si="33"/>
        <v>70.000000000050022</v>
      </c>
      <c r="BQ12" s="60">
        <v>51264</v>
      </c>
      <c r="BR12" s="65">
        <f t="shared" si="34"/>
        <v>34</v>
      </c>
      <c r="BS12" s="60">
        <v>208.45</v>
      </c>
      <c r="BT12" s="65">
        <f t="shared" si="35"/>
        <v>69.999999999993179</v>
      </c>
      <c r="BU12" s="60">
        <v>47981</v>
      </c>
      <c r="BV12" s="65">
        <f t="shared" si="36"/>
        <v>32</v>
      </c>
      <c r="BW12" s="60">
        <v>237.63</v>
      </c>
      <c r="BX12" s="65">
        <f t="shared" si="37"/>
        <v>30.000000000001137</v>
      </c>
      <c r="BY12" s="60">
        <v>67742</v>
      </c>
      <c r="BZ12" s="67">
        <f t="shared" si="38"/>
        <v>37</v>
      </c>
      <c r="CA12" s="60">
        <v>41325.9</v>
      </c>
      <c r="CB12" s="67">
        <f t="shared" si="39"/>
        <v>64</v>
      </c>
      <c r="CC12" s="60">
        <v>14017.6</v>
      </c>
      <c r="CD12" s="67">
        <f t="shared" si="40"/>
        <v>3.5</v>
      </c>
      <c r="CE12" s="60">
        <v>7446</v>
      </c>
      <c r="CF12" s="67">
        <f t="shared" si="41"/>
        <v>9.6000000000003638</v>
      </c>
      <c r="CG12" s="60">
        <v>68202.899999999994</v>
      </c>
      <c r="CH12" s="67">
        <f t="shared" si="42"/>
        <v>42.099999999991269</v>
      </c>
      <c r="CI12" s="60">
        <v>1004374</v>
      </c>
      <c r="CJ12" s="67">
        <f t="shared" si="43"/>
        <v>285</v>
      </c>
      <c r="CK12" s="60">
        <v>890.7</v>
      </c>
      <c r="CL12" s="64">
        <f t="shared" si="44"/>
        <v>660.00000000008185</v>
      </c>
      <c r="CM12" s="65">
        <f t="shared" si="45"/>
        <v>75</v>
      </c>
      <c r="CN12" s="62">
        <v>23</v>
      </c>
      <c r="CO12" s="62">
        <v>64</v>
      </c>
      <c r="CP12" s="68">
        <v>19867</v>
      </c>
      <c r="CQ12" s="67">
        <f t="shared" si="46"/>
        <v>60</v>
      </c>
      <c r="CR12" s="68">
        <v>18495</v>
      </c>
      <c r="CS12" s="67">
        <f t="shared" si="47"/>
        <v>15</v>
      </c>
      <c r="CT12" s="75">
        <v>8554</v>
      </c>
      <c r="CU12" s="67">
        <f t="shared" si="48"/>
        <v>8</v>
      </c>
      <c r="CV12" s="68">
        <v>20805</v>
      </c>
      <c r="CW12" s="67">
        <f t="shared" si="49"/>
        <v>51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/>
      <c r="D13" s="64" t="str">
        <f t="shared" si="1"/>
        <v>0</v>
      </c>
      <c r="E13" s="58"/>
      <c r="F13" s="64" t="str">
        <f t="shared" si="2"/>
        <v>0</v>
      </c>
      <c r="G13" s="58"/>
      <c r="H13" s="64" t="str">
        <f t="shared" si="3"/>
        <v>0</v>
      </c>
      <c r="I13" s="58"/>
      <c r="J13" s="64" t="str">
        <f t="shared" si="4"/>
        <v>0</v>
      </c>
      <c r="K13" s="58"/>
      <c r="L13" s="64" t="str">
        <f t="shared" si="5"/>
        <v>0</v>
      </c>
      <c r="M13" s="58"/>
      <c r="N13" s="64" t="str">
        <f t="shared" si="6"/>
        <v/>
      </c>
      <c r="O13" s="58"/>
      <c r="P13" s="67" t="str">
        <f t="shared" si="7"/>
        <v/>
      </c>
      <c r="Q13" s="58"/>
      <c r="R13" s="67" t="str">
        <f t="shared" si="8"/>
        <v/>
      </c>
      <c r="S13" s="58"/>
      <c r="T13" s="67" t="str">
        <f t="shared" si="9"/>
        <v/>
      </c>
      <c r="U13" s="58"/>
      <c r="V13" s="67" t="str">
        <f t="shared" si="10"/>
        <v/>
      </c>
      <c r="W13" s="58"/>
      <c r="X13" s="65" t="str">
        <f t="shared" si="11"/>
        <v/>
      </c>
      <c r="Y13" s="58"/>
      <c r="Z13" s="65" t="str">
        <f t="shared" si="12"/>
        <v/>
      </c>
      <c r="AA13" s="58"/>
      <c r="AB13" s="65" t="str">
        <f t="shared" si="13"/>
        <v/>
      </c>
      <c r="AC13" s="58"/>
      <c r="AD13" s="65" t="str">
        <f t="shared" si="14"/>
        <v/>
      </c>
      <c r="AE13" s="58"/>
      <c r="AF13" s="65" t="str">
        <f t="shared" si="15"/>
        <v/>
      </c>
      <c r="AG13" s="58"/>
      <c r="AH13" s="67" t="str">
        <f t="shared" si="16"/>
        <v/>
      </c>
      <c r="AI13" s="58"/>
      <c r="AJ13" s="65" t="str">
        <f t="shared" si="17"/>
        <v/>
      </c>
      <c r="AK13" s="58"/>
      <c r="AL13" s="65" t="str">
        <f t="shared" si="18"/>
        <v/>
      </c>
      <c r="AM13" s="58"/>
      <c r="AN13" s="65" t="str">
        <f t="shared" si="19"/>
        <v/>
      </c>
      <c r="AO13" s="58"/>
      <c r="AP13" s="65" t="str">
        <f t="shared" si="20"/>
        <v/>
      </c>
      <c r="AQ13" s="58"/>
      <c r="AR13" s="65" t="str">
        <f t="shared" si="21"/>
        <v/>
      </c>
      <c r="AS13" s="58"/>
      <c r="AT13" s="65" t="str">
        <f t="shared" si="22"/>
        <v/>
      </c>
      <c r="AU13" s="58"/>
      <c r="AV13" s="65" t="str">
        <f t="shared" si="23"/>
        <v/>
      </c>
      <c r="AW13" s="58"/>
      <c r="AX13" s="65" t="str">
        <f t="shared" si="24"/>
        <v/>
      </c>
      <c r="AY13" s="58"/>
      <c r="AZ13" s="65" t="str">
        <f t="shared" si="25"/>
        <v/>
      </c>
      <c r="BA13" s="58"/>
      <c r="BB13" s="65" t="str">
        <f t="shared" si="26"/>
        <v/>
      </c>
      <c r="BC13" s="58"/>
      <c r="BD13" s="65" t="str">
        <f t="shared" si="27"/>
        <v/>
      </c>
      <c r="BE13" s="59"/>
      <c r="BF13" s="67" t="str">
        <f t="shared" si="28"/>
        <v/>
      </c>
      <c r="BG13" s="60"/>
      <c r="BH13" s="65" t="str">
        <f t="shared" si="29"/>
        <v/>
      </c>
      <c r="BI13" s="60"/>
      <c r="BJ13" s="65" t="str">
        <f t="shared" si="30"/>
        <v/>
      </c>
      <c r="BK13" s="60"/>
      <c r="BL13" s="65" t="str">
        <f t="shared" si="31"/>
        <v/>
      </c>
      <c r="BM13" s="60"/>
      <c r="BN13" s="65" t="str">
        <f t="shared" si="32"/>
        <v/>
      </c>
      <c r="BO13" s="60"/>
      <c r="BP13" s="65" t="str">
        <f t="shared" si="33"/>
        <v/>
      </c>
      <c r="BQ13" s="60"/>
      <c r="BR13" s="65" t="str">
        <f t="shared" si="34"/>
        <v/>
      </c>
      <c r="BS13" s="60"/>
      <c r="BT13" s="65" t="str">
        <f t="shared" si="35"/>
        <v/>
      </c>
      <c r="BU13" s="60"/>
      <c r="BV13" s="65" t="str">
        <f t="shared" si="36"/>
        <v/>
      </c>
      <c r="BW13" s="60"/>
      <c r="BX13" s="65" t="str">
        <f t="shared" si="37"/>
        <v/>
      </c>
      <c r="BY13" s="60"/>
      <c r="BZ13" s="67" t="str">
        <f t="shared" si="38"/>
        <v/>
      </c>
      <c r="CA13" s="60"/>
      <c r="CB13" s="67" t="str">
        <f t="shared" si="39"/>
        <v/>
      </c>
      <c r="CC13" s="60"/>
      <c r="CD13" s="67" t="str">
        <f t="shared" si="40"/>
        <v/>
      </c>
      <c r="CE13" s="60"/>
      <c r="CF13" s="67" t="str">
        <f t="shared" si="41"/>
        <v/>
      </c>
      <c r="CG13" s="60"/>
      <c r="CH13" s="67" t="str">
        <f t="shared" si="42"/>
        <v/>
      </c>
      <c r="CI13" s="60"/>
      <c r="CJ13" s="67" t="str">
        <f t="shared" si="43"/>
        <v/>
      </c>
      <c r="CK13" s="60"/>
      <c r="CL13" s="64" t="str">
        <f t="shared" si="44"/>
        <v/>
      </c>
      <c r="CM13" s="65" t="e">
        <f t="shared" si="45"/>
        <v>#VALUE!</v>
      </c>
      <c r="CN13" s="62"/>
      <c r="CO13" s="62"/>
      <c r="CP13" s="68"/>
      <c r="CQ13" s="67" t="str">
        <f t="shared" si="46"/>
        <v/>
      </c>
      <c r="CR13" s="68"/>
      <c r="CS13" s="67" t="str">
        <f t="shared" si="47"/>
        <v/>
      </c>
      <c r="CT13" s="75"/>
      <c r="CU13" s="67" t="str">
        <f t="shared" si="48"/>
        <v/>
      </c>
      <c r="CV13" s="68"/>
      <c r="CW13" s="67" t="str">
        <f t="shared" si="49"/>
        <v/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 t="shared" si="8"/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W7" sqref="W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>
        <v>15</v>
      </c>
      <c r="D14" s="40">
        <v>56</v>
      </c>
      <c r="E14" s="41">
        <v>85</v>
      </c>
      <c r="F14" s="41">
        <v>6321</v>
      </c>
      <c r="G14" s="41">
        <v>65</v>
      </c>
      <c r="H14" s="41">
        <v>1958</v>
      </c>
      <c r="I14" s="41">
        <v>85</v>
      </c>
      <c r="J14" s="41">
        <v>541</v>
      </c>
      <c r="K14" s="42">
        <v>85</v>
      </c>
      <c r="L14" s="42">
        <v>85</v>
      </c>
      <c r="M14" s="42">
        <v>1534</v>
      </c>
      <c r="N14" s="39">
        <v>85</v>
      </c>
      <c r="O14" s="39">
        <v>80</v>
      </c>
      <c r="P14" s="39">
        <v>83</v>
      </c>
      <c r="Q14" s="39">
        <v>4565</v>
      </c>
      <c r="R14" s="77">
        <v>83</v>
      </c>
      <c r="S14" s="77">
        <v>219</v>
      </c>
      <c r="T14">
        <f t="shared" si="1"/>
        <v>0</v>
      </c>
    </row>
    <row r="15" spans="1:20" x14ac:dyDescent="0.25">
      <c r="A15" s="73">
        <v>44569</v>
      </c>
      <c r="B15" s="40">
        <v>0</v>
      </c>
      <c r="C15" s="40">
        <v>23</v>
      </c>
      <c r="D15" s="40">
        <v>64</v>
      </c>
      <c r="E15" s="41">
        <v>85</v>
      </c>
      <c r="F15" s="41">
        <v>6327</v>
      </c>
      <c r="G15" s="41">
        <v>50</v>
      </c>
      <c r="H15" s="41">
        <v>1960</v>
      </c>
      <c r="I15" s="41">
        <v>85</v>
      </c>
      <c r="J15" s="41">
        <v>541</v>
      </c>
      <c r="K15" s="42">
        <v>85</v>
      </c>
      <c r="L15" s="42">
        <v>85</v>
      </c>
      <c r="M15" s="42">
        <v>1534</v>
      </c>
      <c r="N15" s="39">
        <v>85</v>
      </c>
      <c r="O15" s="39">
        <v>75</v>
      </c>
      <c r="P15" s="39">
        <v>83</v>
      </c>
      <c r="Q15" s="39">
        <v>4567</v>
      </c>
      <c r="R15" s="77">
        <v>83</v>
      </c>
      <c r="S15" s="77">
        <v>219</v>
      </c>
      <c r="T15">
        <f t="shared" si="1"/>
        <v>0</v>
      </c>
    </row>
    <row r="16" spans="1:20" x14ac:dyDescent="0.25">
      <c r="A16" s="73">
        <v>44570</v>
      </c>
      <c r="B16" s="40">
        <v>0</v>
      </c>
      <c r="C16" s="40">
        <v>23</v>
      </c>
      <c r="D16" s="40">
        <v>64</v>
      </c>
      <c r="E16" s="41">
        <v>85</v>
      </c>
      <c r="F16" s="41">
        <v>6331</v>
      </c>
      <c r="G16" s="41">
        <v>45</v>
      </c>
      <c r="H16" s="41">
        <v>1962</v>
      </c>
      <c r="I16" s="41">
        <v>85</v>
      </c>
      <c r="J16" s="41">
        <v>541</v>
      </c>
      <c r="K16" s="42">
        <v>85</v>
      </c>
      <c r="L16" s="42">
        <v>84</v>
      </c>
      <c r="M16" s="42">
        <v>1537</v>
      </c>
      <c r="N16" s="39">
        <v>85</v>
      </c>
      <c r="O16" s="39">
        <v>70</v>
      </c>
      <c r="P16" s="39">
        <v>83</v>
      </c>
      <c r="Q16" s="39">
        <v>4571</v>
      </c>
      <c r="R16" s="77">
        <v>83</v>
      </c>
      <c r="S16" s="77">
        <v>219</v>
      </c>
      <c r="T16">
        <f t="shared" si="1"/>
        <v>0</v>
      </c>
    </row>
    <row r="17" spans="1:20" x14ac:dyDescent="0.25">
      <c r="A17" s="73">
        <v>44571</v>
      </c>
      <c r="B17" s="40">
        <v>0</v>
      </c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-219</v>
      </c>
    </row>
    <row r="18" spans="1:20" x14ac:dyDescent="0.25">
      <c r="A18" s="73">
        <v>44572</v>
      </c>
      <c r="B18" s="40">
        <v>0</v>
      </c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44573</v>
      </c>
      <c r="B19" s="40">
        <v>0</v>
      </c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44574</v>
      </c>
      <c r="B20" s="40">
        <v>0</v>
      </c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44575</v>
      </c>
      <c r="B21" s="40">
        <v>0</v>
      </c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44576</v>
      </c>
      <c r="B22" s="40">
        <v>0</v>
      </c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44577</v>
      </c>
      <c r="B23" s="40">
        <v>0</v>
      </c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2022-01-10T19:04:07Z</dcterms:modified>
</cp:coreProperties>
</file>