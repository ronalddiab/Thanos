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bookViews>
    <workbookView xWindow="-105" yWindow="-105" windowWidth="19425" windowHeight="10425"/>
  </bookViews>
  <sheets>
    <sheet name="TOTAL" sheetId="1" r:id="rId1"/>
    <sheet name="Submetering" sheetId="3" r:id="rId2"/>
    <sheet name="Hampshire Daily" sheetId="2" r:id="rId3"/>
  </sheets>
  <externalReferences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" i="3" l="1"/>
  <c r="U2" i="3"/>
  <c r="V2" i="3"/>
  <c r="W2" i="3"/>
  <c r="X2" i="3"/>
  <c r="Y2" i="3"/>
  <c r="T3" i="3"/>
  <c r="U3" i="3"/>
  <c r="V3" i="3"/>
  <c r="W3" i="3"/>
  <c r="X3" i="3"/>
  <c r="Y3" i="3"/>
  <c r="T4" i="3"/>
  <c r="U4" i="3"/>
  <c r="V4" i="3"/>
  <c r="W4" i="3"/>
  <c r="X4" i="3"/>
  <c r="Y4" i="3"/>
  <c r="T5" i="3"/>
  <c r="U5" i="3"/>
  <c r="V5" i="3"/>
  <c r="W5" i="3"/>
  <c r="X5" i="3"/>
  <c r="Y5" i="3"/>
  <c r="T6" i="3"/>
  <c r="U6" i="3"/>
  <c r="V6" i="3"/>
  <c r="W6" i="3"/>
  <c r="X6" i="3"/>
  <c r="Y6" i="3"/>
  <c r="T7" i="3"/>
  <c r="U7" i="3"/>
  <c r="V7" i="3"/>
  <c r="W7" i="3"/>
  <c r="X7" i="3"/>
  <c r="Y7" i="3"/>
  <c r="T8" i="3"/>
  <c r="U8" i="3"/>
  <c r="V8" i="3"/>
  <c r="W8" i="3"/>
  <c r="X8" i="3"/>
  <c r="Y8" i="3"/>
  <c r="T9" i="3"/>
  <c r="U9" i="3"/>
  <c r="V9" i="3"/>
  <c r="W9" i="3"/>
  <c r="X9" i="3"/>
  <c r="Y9" i="3"/>
  <c r="T10" i="3"/>
  <c r="U10" i="3"/>
  <c r="V10" i="3"/>
  <c r="W10" i="3"/>
  <c r="X10" i="3"/>
  <c r="Y10" i="3"/>
  <c r="T11" i="3"/>
  <c r="U11" i="3"/>
  <c r="V11" i="3"/>
  <c r="W11" i="3"/>
  <c r="X11" i="3"/>
  <c r="Y11" i="3"/>
  <c r="T12" i="3"/>
  <c r="U12" i="3"/>
  <c r="V12" i="3"/>
  <c r="W12" i="3"/>
  <c r="X12" i="3"/>
  <c r="Y12" i="3"/>
  <c r="T13" i="3"/>
  <c r="U13" i="3"/>
  <c r="V13" i="3"/>
  <c r="W13" i="3"/>
  <c r="X13" i="3"/>
  <c r="Y13" i="3"/>
  <c r="T14" i="3"/>
  <c r="U14" i="3"/>
  <c r="V14" i="3"/>
  <c r="W14" i="3"/>
  <c r="X14" i="3"/>
  <c r="Y14" i="3"/>
  <c r="T15" i="3"/>
  <c r="U15" i="3"/>
  <c r="V15" i="3"/>
  <c r="W15" i="3"/>
  <c r="X15" i="3"/>
  <c r="Y15" i="3"/>
  <c r="T16" i="3"/>
  <c r="U16" i="3"/>
  <c r="V16" i="3"/>
  <c r="W16" i="3"/>
  <c r="X16" i="3"/>
  <c r="Y16" i="3"/>
  <c r="T17" i="3"/>
  <c r="U17" i="3"/>
  <c r="V17" i="3"/>
  <c r="W17" i="3"/>
  <c r="X17" i="3"/>
  <c r="Y17" i="3"/>
  <c r="T18" i="3"/>
  <c r="U18" i="3"/>
  <c r="V18" i="3"/>
  <c r="W18" i="3"/>
  <c r="X18" i="3"/>
  <c r="Y18" i="3"/>
  <c r="T19" i="3"/>
  <c r="U19" i="3"/>
  <c r="V19" i="3"/>
  <c r="W19" i="3"/>
  <c r="X19" i="3"/>
  <c r="Y19" i="3"/>
  <c r="T20" i="3"/>
  <c r="U20" i="3"/>
  <c r="V20" i="3"/>
  <c r="W20" i="3"/>
  <c r="X20" i="3"/>
  <c r="Y20" i="3"/>
  <c r="T21" i="3"/>
  <c r="U21" i="3"/>
  <c r="V21" i="3"/>
  <c r="W21" i="3"/>
  <c r="X21" i="3"/>
  <c r="Y21" i="3"/>
  <c r="T22" i="3"/>
  <c r="U22" i="3"/>
  <c r="V22" i="3"/>
  <c r="W22" i="3"/>
  <c r="X22" i="3"/>
  <c r="Y22" i="3"/>
  <c r="T23" i="3"/>
  <c r="U23" i="3"/>
  <c r="V23" i="3"/>
  <c r="W23" i="3"/>
  <c r="X23" i="3"/>
  <c r="Y23" i="3"/>
  <c r="T24" i="3"/>
  <c r="U24" i="3"/>
  <c r="V24" i="3"/>
  <c r="W24" i="3"/>
  <c r="X24" i="3"/>
  <c r="Y24" i="3"/>
  <c r="T25" i="3"/>
  <c r="U25" i="3"/>
  <c r="V25" i="3"/>
  <c r="W25" i="3"/>
  <c r="X25" i="3"/>
  <c r="Y25" i="3"/>
  <c r="T26" i="3"/>
  <c r="U26" i="3"/>
  <c r="V26" i="3"/>
  <c r="W26" i="3"/>
  <c r="X26" i="3"/>
  <c r="Y26" i="3"/>
  <c r="T27" i="3"/>
  <c r="U27" i="3"/>
  <c r="V27" i="3"/>
  <c r="W27" i="3"/>
  <c r="X27" i="3"/>
  <c r="Y27" i="3"/>
  <c r="T28" i="3"/>
  <c r="U28" i="3"/>
  <c r="V28" i="3"/>
  <c r="W28" i="3"/>
  <c r="X28" i="3"/>
  <c r="Y28" i="3"/>
  <c r="T29" i="3"/>
  <c r="U29" i="3"/>
  <c r="V29" i="3"/>
  <c r="W29" i="3"/>
  <c r="X29" i="3"/>
  <c r="Y29" i="3"/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J3" i="3" l="1"/>
  <c r="H3" i="3"/>
  <c r="AA29" i="3"/>
  <c r="Z29" i="3"/>
  <c r="AA28" i="3"/>
  <c r="Z28" i="3"/>
  <c r="AA27" i="3"/>
  <c r="Z27" i="3"/>
  <c r="AA26" i="3"/>
  <c r="Z26" i="3"/>
  <c r="AA25" i="3"/>
  <c r="Z25" i="3"/>
  <c r="AA24" i="3"/>
  <c r="Z24" i="3"/>
  <c r="AA23" i="3"/>
  <c r="Z23" i="3"/>
  <c r="AA22" i="3"/>
  <c r="Z22" i="3"/>
  <c r="AA21" i="3"/>
  <c r="Z21" i="3"/>
  <c r="AA20" i="3"/>
  <c r="Z20" i="3"/>
  <c r="AA19" i="3"/>
  <c r="Z19" i="3"/>
  <c r="AA18" i="3"/>
  <c r="Z18" i="3"/>
  <c r="AA17" i="3"/>
  <c r="Z17" i="3"/>
  <c r="AA16" i="3"/>
  <c r="Z16" i="3"/>
  <c r="AA15" i="3"/>
  <c r="Z15" i="3"/>
  <c r="AA14" i="3"/>
  <c r="Z14" i="3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4" i="3"/>
  <c r="Z4" i="3"/>
  <c r="AA3" i="3"/>
  <c r="Z3" i="3"/>
  <c r="AA2" i="3"/>
  <c r="Z2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E29" i="1"/>
  <c r="G29" i="1"/>
  <c r="I29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<sst xmlns="http://schemas.openxmlformats.org/spreadsheetml/2006/main" count="131" uniqueCount="61">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</sst>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8" fillId="2" borderId="3" xfId="0" applyFont="1" applyFill="1" applyBorder="1" applyAlignment="1" applyProtection="1">
      <alignment horizontal="center"/>
      <protection locked="0"/>
    </xf>
    <xf numFmtId="0" fontId="8" fillId="5" borderId="3" xfId="0" applyNumberFormat="1" applyFont="1" applyFill="1" applyBorder="1" applyAlignment="1" applyProtection="1">
      <alignment horizontal="center"/>
      <protection locked="0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0" fillId="0" borderId="3" xfId="0" applyBorder="1"/>
    <xf numFmtId="0" fontId="9" fillId="0" borderId="10" xfId="0" applyFont="1" applyBorder="1"/>
    <xf numFmtId="0" fontId="4" fillId="0" borderId="3" xfId="0" applyFont="1" applyBorder="1"/>
    <xf numFmtId="0" fontId="1" fillId="0" borderId="3" xfId="1" applyBorder="1"/>
    <xf numFmtId="0" fontId="3" fillId="3" borderId="12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2" fillId="3" borderId="3" xfId="1" applyFont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0" fontId="2" fillId="3" borderId="11" xfId="1" applyFont="1" applyFill="1" applyBorder="1" applyAlignment="1">
      <alignment horizontal="center" wrapText="1"/>
    </xf>
    <xf numFmtId="0" fontId="1" fillId="3" borderId="11" xfId="1" applyFill="1" applyBorder="1" applyAlignment="1">
      <alignment horizontal="center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tus%20Notes%20-%20Do%20Not%20Delete/Engr%20Admin/Utilities/HEP/2020/FS%20Hampshire_HEP_Daily_DEC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ampshire Daily"/>
    </sheetNames>
    <sheetDataSet>
      <sheetData sheetId="0"/>
      <sheetData sheetId="1"/>
      <sheetData sheetId="2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25</v>
          </cell>
          <cell r="C7">
            <v>52</v>
          </cell>
        </row>
        <row r="8">
          <cell r="B8">
            <v>51</v>
          </cell>
          <cell r="C8">
            <v>133</v>
          </cell>
        </row>
        <row r="9">
          <cell r="B9">
            <v>64</v>
          </cell>
          <cell r="C9">
            <v>172</v>
          </cell>
        </row>
        <row r="10">
          <cell r="B10">
            <v>35</v>
          </cell>
          <cell r="C10">
            <v>88</v>
          </cell>
        </row>
        <row r="11">
          <cell r="B11">
            <v>30</v>
          </cell>
          <cell r="C11">
            <v>75</v>
          </cell>
        </row>
        <row r="12">
          <cell r="B12">
            <v>21</v>
          </cell>
          <cell r="C12">
            <v>50</v>
          </cell>
        </row>
        <row r="13">
          <cell r="B13">
            <v>21</v>
          </cell>
          <cell r="C13">
            <v>49</v>
          </cell>
        </row>
        <row r="14">
          <cell r="B14">
            <v>32</v>
          </cell>
          <cell r="C14">
            <v>74</v>
          </cell>
        </row>
        <row r="15">
          <cell r="B15">
            <v>59</v>
          </cell>
          <cell r="C15">
            <v>146</v>
          </cell>
        </row>
        <row r="16">
          <cell r="B16">
            <v>71</v>
          </cell>
          <cell r="C16">
            <v>183</v>
          </cell>
        </row>
        <row r="17">
          <cell r="B17">
            <v>51</v>
          </cell>
          <cell r="C17">
            <v>141</v>
          </cell>
        </row>
        <row r="18">
          <cell r="B18">
            <v>58</v>
          </cell>
          <cell r="C18">
            <v>176</v>
          </cell>
        </row>
        <row r="19">
          <cell r="B19">
            <v>80</v>
          </cell>
          <cell r="C19">
            <v>235</v>
          </cell>
        </row>
        <row r="20">
          <cell r="B20">
            <v>67</v>
          </cell>
          <cell r="C20">
            <v>198</v>
          </cell>
        </row>
        <row r="21">
          <cell r="B21">
            <v>49</v>
          </cell>
          <cell r="C21">
            <v>149</v>
          </cell>
        </row>
        <row r="22">
          <cell r="B22">
            <v>49</v>
          </cell>
          <cell r="C22">
            <v>145</v>
          </cell>
        </row>
        <row r="23">
          <cell r="B23">
            <v>58</v>
          </cell>
          <cell r="C23">
            <v>163</v>
          </cell>
        </row>
        <row r="24">
          <cell r="B24">
            <v>26</v>
          </cell>
          <cell r="C24">
            <v>90</v>
          </cell>
        </row>
        <row r="25">
          <cell r="B25">
            <v>19</v>
          </cell>
          <cell r="C25">
            <v>72</v>
          </cell>
        </row>
        <row r="26">
          <cell r="B26">
            <v>27</v>
          </cell>
          <cell r="C26">
            <v>90</v>
          </cell>
        </row>
        <row r="27">
          <cell r="B27">
            <v>35</v>
          </cell>
          <cell r="C27">
            <v>99</v>
          </cell>
        </row>
        <row r="28">
          <cell r="B28">
            <v>26</v>
          </cell>
          <cell r="C28">
            <v>65</v>
          </cell>
        </row>
        <row r="29">
          <cell r="B29">
            <v>23</v>
          </cell>
          <cell r="C29">
            <v>53</v>
          </cell>
        </row>
        <row r="30">
          <cell r="B30">
            <v>1</v>
          </cell>
          <cell r="C30">
            <v>1</v>
          </cell>
        </row>
        <row r="31">
          <cell r="B31">
            <v>1</v>
          </cell>
          <cell r="C31">
            <v>1</v>
          </cell>
        </row>
        <row r="32">
          <cell r="B32">
            <v>7</v>
          </cell>
          <cell r="C32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abSelected="1" workbookViewId="0">
      <selection activeCell="O12" sqref="O1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41</v>
      </c>
      <c r="B2" s="2">
        <v>1</v>
      </c>
      <c r="C2" s="2">
        <v>1</v>
      </c>
      <c r="D2" s="2">
        <v>2021</v>
      </c>
      <c r="E2" s="4">
        <f>(Submetering!E2+Submetering!F2)</f>
        <v>1306</v>
      </c>
      <c r="F2" s="12">
        <v>0.14000000000000001</v>
      </c>
      <c r="G2" s="4">
        <f>Submetering!M2</f>
        <v>2545</v>
      </c>
      <c r="H2" s="12">
        <v>0.16</v>
      </c>
      <c r="I2" s="4">
        <f>Submetering!N2</f>
        <v>56</v>
      </c>
      <c r="J2" s="13">
        <v>2.06</v>
      </c>
      <c r="K2" s="4">
        <f>'Hampshire Daily'!B5</f>
        <v>10</v>
      </c>
      <c r="L2" s="4">
        <f>'Hampshire Daily'!C5</f>
        <v>10</v>
      </c>
    </row>
    <row r="3" spans="1:24" ht="14.45" x14ac:dyDescent="0.35">
      <c r="A3" s="3" t="s">
        <v>41</v>
      </c>
      <c r="B3" s="2">
        <f>B2+1</f>
        <v>2</v>
      </c>
      <c r="C3" s="2">
        <v>1</v>
      </c>
      <c r="D3" s="2">
        <v>2021</v>
      </c>
      <c r="E3" s="4">
        <f>Submetering!E3+Submetering!F3</f>
        <v>1454</v>
      </c>
      <c r="F3" s="12">
        <v>0.14000000000000001</v>
      </c>
      <c r="G3" s="4">
        <f>Submetering!M3</f>
        <v>2435</v>
      </c>
      <c r="H3" s="12">
        <v>0.16</v>
      </c>
      <c r="I3" s="4">
        <f>Submetering!N3</f>
        <v>26</v>
      </c>
      <c r="J3" s="13">
        <v>2.06</v>
      </c>
      <c r="K3" s="4">
        <f>'Hampshire Daily'!B6</f>
        <v>10</v>
      </c>
      <c r="L3" s="4">
        <f>'Hampshire Daily'!C6</f>
        <v>10</v>
      </c>
    </row>
    <row r="4" spans="1:24" ht="14.45" x14ac:dyDescent="0.35">
      <c r="A4" s="3" t="s">
        <v>41</v>
      </c>
      <c r="B4" s="2">
        <f t="shared" ref="B4:B29" si="0">B3+1</f>
        <v>3</v>
      </c>
      <c r="C4" s="2">
        <v>1</v>
      </c>
      <c r="D4" s="2">
        <v>2021</v>
      </c>
      <c r="E4" s="4">
        <f>Submetering!E4+Submetering!F4</f>
        <v>1941</v>
      </c>
      <c r="F4" s="12">
        <v>0.14000000000000001</v>
      </c>
      <c r="G4" s="4">
        <f>Submetering!M4</f>
        <v>1767</v>
      </c>
      <c r="H4" s="12">
        <v>0.16</v>
      </c>
      <c r="I4" s="4">
        <f>Submetering!N4</f>
        <v>22</v>
      </c>
      <c r="J4" s="13">
        <v>2.06</v>
      </c>
      <c r="K4" s="4">
        <f>'Hampshire Daily'!B7</f>
        <v>10</v>
      </c>
      <c r="L4" s="4">
        <f>'Hampshire Daily'!C7</f>
        <v>10</v>
      </c>
    </row>
    <row r="5" spans="1:24" ht="14.45" x14ac:dyDescent="0.35">
      <c r="A5" s="3" t="s">
        <v>41</v>
      </c>
      <c r="B5" s="2">
        <f t="shared" si="0"/>
        <v>4</v>
      </c>
      <c r="C5" s="2">
        <v>1</v>
      </c>
      <c r="D5" s="2">
        <v>2021</v>
      </c>
      <c r="E5" s="4">
        <f>Submetering!E5+Submetering!F5</f>
        <v>1440</v>
      </c>
      <c r="F5" s="12">
        <v>0.14000000000000001</v>
      </c>
      <c r="G5" s="4">
        <f>Submetering!M5</f>
        <v>2086</v>
      </c>
      <c r="H5" s="12">
        <v>0.16</v>
      </c>
      <c r="I5" s="4">
        <f>Submetering!N5</f>
        <v>23</v>
      </c>
      <c r="J5" s="13">
        <v>2.06</v>
      </c>
      <c r="K5" s="4">
        <f>'Hampshire Daily'!B8</f>
        <v>10</v>
      </c>
      <c r="L5" s="4">
        <f>'Hampshire Daily'!C8</f>
        <v>10</v>
      </c>
    </row>
    <row r="6" spans="1:24" ht="14.45" x14ac:dyDescent="0.35">
      <c r="A6" s="3" t="s">
        <v>41</v>
      </c>
      <c r="B6" s="2">
        <f t="shared" si="0"/>
        <v>5</v>
      </c>
      <c r="C6" s="2">
        <v>1</v>
      </c>
      <c r="D6" s="2">
        <v>2021</v>
      </c>
      <c r="E6" s="4">
        <f>Submetering!E6+Submetering!F6</f>
        <v>1260</v>
      </c>
      <c r="F6" s="12">
        <v>0.14000000000000001</v>
      </c>
      <c r="G6" s="4">
        <f>Submetering!M6</f>
        <v>1969</v>
      </c>
      <c r="H6" s="12">
        <v>0.16</v>
      </c>
      <c r="I6" s="4">
        <f>Submetering!N6</f>
        <v>13</v>
      </c>
      <c r="J6" s="13">
        <v>2.06</v>
      </c>
      <c r="K6" s="4">
        <f>'Hampshire Daily'!B9</f>
        <v>10</v>
      </c>
      <c r="L6" s="4">
        <f>'Hampshire Daily'!C9</f>
        <v>10</v>
      </c>
    </row>
    <row r="7" spans="1:24" ht="14.45" x14ac:dyDescent="0.35">
      <c r="A7" s="3" t="s">
        <v>41</v>
      </c>
      <c r="B7" s="2">
        <f t="shared" si="0"/>
        <v>6</v>
      </c>
      <c r="C7" s="2">
        <v>1</v>
      </c>
      <c r="D7" s="2">
        <v>2021</v>
      </c>
      <c r="E7" s="4">
        <f>Submetering!E7+Submetering!F7</f>
        <v>1357</v>
      </c>
      <c r="F7" s="12">
        <v>0.14000000000000001</v>
      </c>
      <c r="G7" s="4">
        <f>Submetering!M7</f>
        <v>2006</v>
      </c>
      <c r="H7" s="12">
        <v>0.16</v>
      </c>
      <c r="I7" s="4">
        <f>Submetering!N7</f>
        <v>22</v>
      </c>
      <c r="J7" s="13">
        <v>2.06</v>
      </c>
      <c r="K7" s="4">
        <f>'Hampshire Daily'!B10</f>
        <v>10</v>
      </c>
      <c r="L7" s="4">
        <f>'Hampshire Daily'!C10</f>
        <v>10</v>
      </c>
    </row>
    <row r="8" spans="1:24" ht="14.45" x14ac:dyDescent="0.35">
      <c r="A8" s="3" t="s">
        <v>41</v>
      </c>
      <c r="B8" s="2">
        <f t="shared" si="0"/>
        <v>7</v>
      </c>
      <c r="C8" s="2">
        <v>1</v>
      </c>
      <c r="D8" s="2">
        <v>2021</v>
      </c>
      <c r="E8" s="4">
        <f>Submetering!E8+Submetering!F8</f>
        <v>1267</v>
      </c>
      <c r="F8" s="12">
        <v>0.14000000000000001</v>
      </c>
      <c r="G8" s="4">
        <f>Submetering!M8</f>
        <v>2113</v>
      </c>
      <c r="H8" s="12">
        <v>0.16</v>
      </c>
      <c r="I8" s="4">
        <f>Submetering!N8</f>
        <v>24</v>
      </c>
      <c r="J8" s="13">
        <v>2.06</v>
      </c>
      <c r="K8" s="4">
        <f>'Hampshire Daily'!B11</f>
        <v>10</v>
      </c>
      <c r="L8" s="4">
        <f>'Hampshire Daily'!C11</f>
        <v>10</v>
      </c>
    </row>
    <row r="9" spans="1:24" ht="14.45" x14ac:dyDescent="0.35">
      <c r="A9" s="3" t="s">
        <v>41</v>
      </c>
      <c r="B9" s="2">
        <f t="shared" si="0"/>
        <v>8</v>
      </c>
      <c r="C9" s="2">
        <v>1</v>
      </c>
      <c r="D9" s="2">
        <v>2021</v>
      </c>
      <c r="E9" s="4">
        <f>Submetering!E9+Submetering!F9</f>
        <v>1221</v>
      </c>
      <c r="F9" s="12">
        <v>0.14000000000000001</v>
      </c>
      <c r="G9" s="4">
        <f>Submetering!M9</f>
        <v>2534</v>
      </c>
      <c r="H9" s="12">
        <v>0.16</v>
      </c>
      <c r="I9" s="4">
        <f>Submetering!N9</f>
        <v>27</v>
      </c>
      <c r="J9" s="13">
        <v>2.06</v>
      </c>
      <c r="K9" s="4">
        <f>'Hampshire Daily'!B12</f>
        <v>10</v>
      </c>
      <c r="L9" s="4">
        <f>'Hampshire Daily'!C12</f>
        <v>10</v>
      </c>
    </row>
    <row r="10" spans="1:24" ht="14.45" x14ac:dyDescent="0.35">
      <c r="A10" s="3" t="s">
        <v>41</v>
      </c>
      <c r="B10" s="2">
        <f t="shared" si="0"/>
        <v>9</v>
      </c>
      <c r="C10" s="2">
        <v>1</v>
      </c>
      <c r="D10" s="2">
        <v>2021</v>
      </c>
      <c r="E10" s="4">
        <f>Submetering!E10+Submetering!F10</f>
        <v>1701</v>
      </c>
      <c r="F10" s="12">
        <v>0.14000000000000001</v>
      </c>
      <c r="G10" s="4">
        <f>Submetering!M10</f>
        <v>2993</v>
      </c>
      <c r="H10" s="12">
        <v>0.16</v>
      </c>
      <c r="I10" s="4">
        <f>Submetering!N10</f>
        <v>24</v>
      </c>
      <c r="J10" s="13">
        <v>2.06</v>
      </c>
      <c r="K10" s="4">
        <f>'Hampshire Daily'!B13</f>
        <v>10</v>
      </c>
      <c r="L10" s="4">
        <f>'Hampshire Daily'!C13</f>
        <v>10</v>
      </c>
    </row>
    <row r="11" spans="1:24" ht="14.45" x14ac:dyDescent="0.35">
      <c r="A11" s="3" t="s">
        <v>41</v>
      </c>
      <c r="B11" s="2">
        <f t="shared" si="0"/>
        <v>10</v>
      </c>
      <c r="C11" s="2">
        <v>1</v>
      </c>
      <c r="D11" s="2">
        <v>2021</v>
      </c>
      <c r="E11" s="4">
        <f>Submetering!E11+Submetering!F11</f>
        <v>932</v>
      </c>
      <c r="F11" s="12">
        <v>0.14000000000000001</v>
      </c>
      <c r="G11" s="4">
        <f>Submetering!M11</f>
        <v>1766</v>
      </c>
      <c r="H11" s="12">
        <v>0.16</v>
      </c>
      <c r="I11" s="4">
        <f>Submetering!N11</f>
        <v>25</v>
      </c>
      <c r="J11" s="13">
        <v>2.06</v>
      </c>
      <c r="K11" s="4">
        <f>'Hampshire Daily'!B14</f>
        <v>10</v>
      </c>
      <c r="L11" s="4">
        <f>'Hampshire Daily'!C14</f>
        <v>10</v>
      </c>
    </row>
    <row r="12" spans="1:24" ht="14.45" x14ac:dyDescent="0.35">
      <c r="A12" s="3" t="s">
        <v>41</v>
      </c>
      <c r="B12" s="2">
        <f t="shared" si="0"/>
        <v>11</v>
      </c>
      <c r="C12" s="2">
        <v>1</v>
      </c>
      <c r="D12" s="2">
        <v>2021</v>
      </c>
      <c r="E12" s="4">
        <f>Submetering!E12+Submetering!F12</f>
        <v>1267</v>
      </c>
      <c r="F12" s="12">
        <v>0.14000000000000001</v>
      </c>
      <c r="G12" s="4">
        <f>Submetering!M12</f>
        <v>2344</v>
      </c>
      <c r="H12" s="12">
        <v>0.16</v>
      </c>
      <c r="I12" s="4">
        <f>Submetering!N12</f>
        <v>25</v>
      </c>
      <c r="J12" s="13">
        <v>2.06</v>
      </c>
      <c r="K12" s="4">
        <f>'Hampshire Daily'!B15</f>
        <v>10</v>
      </c>
      <c r="L12" s="4">
        <f>'Hampshire Daily'!C15</f>
        <v>10</v>
      </c>
    </row>
    <row r="13" spans="1:24" ht="14.45" x14ac:dyDescent="0.35">
      <c r="A13" s="3" t="s">
        <v>41</v>
      </c>
      <c r="B13" s="2">
        <f t="shared" si="0"/>
        <v>12</v>
      </c>
      <c r="C13" s="2">
        <v>1</v>
      </c>
      <c r="D13" s="2">
        <v>2021</v>
      </c>
      <c r="E13" s="4">
        <f>Submetering!E13+Submetering!F13</f>
        <v>1288</v>
      </c>
      <c r="F13" s="12">
        <v>0.14000000000000001</v>
      </c>
      <c r="G13" s="4">
        <f>Submetering!M13</f>
        <v>2586</v>
      </c>
      <c r="H13" s="12">
        <v>0.16</v>
      </c>
      <c r="I13" s="4">
        <f>Submetering!N13</f>
        <v>23</v>
      </c>
      <c r="J13" s="13">
        <v>2.06</v>
      </c>
      <c r="K13" s="4">
        <f>'Hampshire Daily'!B16</f>
        <v>10</v>
      </c>
      <c r="L13" s="4">
        <f>'Hampshire Daily'!C16</f>
        <v>10</v>
      </c>
    </row>
    <row r="14" spans="1:24" ht="14.45" x14ac:dyDescent="0.35">
      <c r="A14" s="3" t="s">
        <v>41</v>
      </c>
      <c r="B14" s="2">
        <f t="shared" si="0"/>
        <v>13</v>
      </c>
      <c r="C14" s="2">
        <v>1</v>
      </c>
      <c r="D14" s="2">
        <v>2021</v>
      </c>
      <c r="E14" s="4">
        <f>Submetering!E14+Submetering!F14</f>
        <v>1327</v>
      </c>
      <c r="F14" s="12">
        <v>0.14000000000000001</v>
      </c>
      <c r="G14" s="4">
        <f>Submetering!M14</f>
        <v>2709</v>
      </c>
      <c r="H14" s="12">
        <v>0.16</v>
      </c>
      <c r="I14" s="4">
        <f>Submetering!N14</f>
        <v>19</v>
      </c>
      <c r="J14" s="13">
        <v>2.06</v>
      </c>
      <c r="K14" s="4">
        <f>'Hampshire Daily'!B17</f>
        <v>10</v>
      </c>
      <c r="L14" s="4">
        <f>'Hampshire Daily'!C17</f>
        <v>10</v>
      </c>
    </row>
    <row r="15" spans="1:24" ht="14.45" x14ac:dyDescent="0.35">
      <c r="A15" s="3" t="s">
        <v>41</v>
      </c>
      <c r="B15" s="2">
        <f t="shared" si="0"/>
        <v>14</v>
      </c>
      <c r="C15" s="2">
        <v>1</v>
      </c>
      <c r="D15" s="2">
        <v>2021</v>
      </c>
      <c r="E15" s="4">
        <f>Submetering!E15+Submetering!F15</f>
        <v>1397</v>
      </c>
      <c r="F15" s="12">
        <v>0.14000000000000001</v>
      </c>
      <c r="G15" s="4">
        <f>Submetering!M15</f>
        <v>2551</v>
      </c>
      <c r="H15" s="12">
        <v>0.16</v>
      </c>
      <c r="I15" s="4">
        <f>Submetering!N15</f>
        <v>21</v>
      </c>
      <c r="J15" s="13">
        <v>2.06</v>
      </c>
      <c r="K15" s="4">
        <f>'Hampshire Daily'!B18</f>
        <v>10</v>
      </c>
      <c r="L15" s="4">
        <f>'Hampshire Daily'!C18</f>
        <v>10</v>
      </c>
    </row>
    <row r="16" spans="1:24" ht="14.45" x14ac:dyDescent="0.35">
      <c r="A16" s="3" t="s">
        <v>41</v>
      </c>
      <c r="B16" s="2">
        <f t="shared" si="0"/>
        <v>15</v>
      </c>
      <c r="C16" s="2">
        <v>1</v>
      </c>
      <c r="D16" s="2">
        <v>2021</v>
      </c>
      <c r="E16" s="4">
        <f>Submetering!E16+Submetering!F16</f>
        <v>1251</v>
      </c>
      <c r="F16" s="12">
        <v>0.14000000000000001</v>
      </c>
      <c r="G16" s="4">
        <f>Submetering!M16</f>
        <v>2372</v>
      </c>
      <c r="H16" s="12">
        <v>0.16</v>
      </c>
      <c r="I16" s="4">
        <f>Submetering!N16</f>
        <v>19</v>
      </c>
      <c r="J16" s="13">
        <v>2.06</v>
      </c>
      <c r="K16" s="4">
        <f>'Hampshire Daily'!B19</f>
        <v>10</v>
      </c>
      <c r="L16" s="4">
        <f>'Hampshire Daily'!C19</f>
        <v>10</v>
      </c>
    </row>
    <row r="17" spans="1:12" x14ac:dyDescent="0.25">
      <c r="A17" s="3" t="s">
        <v>41</v>
      </c>
      <c r="B17" s="2">
        <f t="shared" si="0"/>
        <v>16</v>
      </c>
      <c r="C17" s="2">
        <v>1</v>
      </c>
      <c r="D17" s="2">
        <v>2021</v>
      </c>
      <c r="E17" s="4">
        <f>Submetering!E17+Submetering!F17</f>
        <v>1314</v>
      </c>
      <c r="F17" s="12">
        <v>0.14000000000000001</v>
      </c>
      <c r="G17" s="4">
        <f>Submetering!M17</f>
        <v>2008</v>
      </c>
      <c r="H17" s="12">
        <v>0.16</v>
      </c>
      <c r="I17" s="4">
        <f>Submetering!N17</f>
        <v>24</v>
      </c>
      <c r="J17" s="13">
        <v>2.06</v>
      </c>
      <c r="K17" s="4">
        <f>'Hampshire Daily'!B20</f>
        <v>10</v>
      </c>
      <c r="L17" s="4">
        <f>'Hampshire Daily'!C20</f>
        <v>10</v>
      </c>
    </row>
    <row r="18" spans="1:12" x14ac:dyDescent="0.25">
      <c r="A18" s="3" t="s">
        <v>41</v>
      </c>
      <c r="B18" s="2">
        <f t="shared" si="0"/>
        <v>17</v>
      </c>
      <c r="C18" s="2">
        <v>1</v>
      </c>
      <c r="D18" s="2">
        <v>2021</v>
      </c>
      <c r="E18" s="4">
        <f>Submetering!E18+Submetering!F18</f>
        <v>3409</v>
      </c>
      <c r="F18" s="12">
        <v>0.14000000000000001</v>
      </c>
      <c r="G18" s="4">
        <f>Submetering!M18</f>
        <v>1618</v>
      </c>
      <c r="H18" s="12">
        <v>0.16</v>
      </c>
      <c r="I18" s="4">
        <f>Submetering!N18</f>
        <v>22</v>
      </c>
      <c r="J18" s="13">
        <v>2.06</v>
      </c>
      <c r="K18" s="4">
        <f>'Hampshire Daily'!B21</f>
        <v>10</v>
      </c>
      <c r="L18" s="4">
        <f>'Hampshire Daily'!C21</f>
        <v>10</v>
      </c>
    </row>
    <row r="19" spans="1:12" x14ac:dyDescent="0.25">
      <c r="A19" s="3" t="s">
        <v>41</v>
      </c>
      <c r="B19" s="2">
        <f t="shared" si="0"/>
        <v>18</v>
      </c>
      <c r="C19" s="2">
        <v>1</v>
      </c>
      <c r="D19" s="2">
        <v>2021</v>
      </c>
      <c r="E19" s="4">
        <f>Submetering!E19+Submetering!F19</f>
        <v>1398</v>
      </c>
      <c r="F19" s="12">
        <v>0.14000000000000001</v>
      </c>
      <c r="G19" s="4">
        <f>Submetering!M19</f>
        <v>2152</v>
      </c>
      <c r="H19" s="12">
        <v>0.16</v>
      </c>
      <c r="I19" s="4">
        <f>Submetering!N19</f>
        <v>23</v>
      </c>
      <c r="J19" s="13">
        <v>2.06</v>
      </c>
      <c r="K19" s="4">
        <f>'Hampshire Daily'!B22</f>
        <v>10</v>
      </c>
      <c r="L19" s="4">
        <f>'Hampshire Daily'!C22</f>
        <v>10</v>
      </c>
    </row>
    <row r="20" spans="1:12" x14ac:dyDescent="0.25">
      <c r="A20" s="3" t="s">
        <v>41</v>
      </c>
      <c r="B20" s="2">
        <f t="shared" si="0"/>
        <v>19</v>
      </c>
      <c r="C20" s="2">
        <v>1</v>
      </c>
      <c r="D20" s="2">
        <v>2021</v>
      </c>
      <c r="E20" s="4">
        <f>Submetering!E20+Submetering!F20</f>
        <v>1370</v>
      </c>
      <c r="F20" s="12">
        <v>0.14000000000000001</v>
      </c>
      <c r="G20" s="4">
        <f>Submetering!M20</f>
        <v>2206</v>
      </c>
      <c r="H20" s="12">
        <v>0.16</v>
      </c>
      <c r="I20" s="4">
        <f>Submetering!N20</f>
        <v>33</v>
      </c>
      <c r="J20" s="13">
        <v>2.06</v>
      </c>
      <c r="K20" s="4">
        <f>'Hampshire Daily'!B23</f>
        <v>10</v>
      </c>
      <c r="L20" s="4">
        <f>'Hampshire Daily'!C23</f>
        <v>10</v>
      </c>
    </row>
    <row r="21" spans="1:12" x14ac:dyDescent="0.25">
      <c r="A21" s="3" t="s">
        <v>41</v>
      </c>
      <c r="B21" s="2">
        <f t="shared" si="0"/>
        <v>20</v>
      </c>
      <c r="C21" s="2">
        <v>1</v>
      </c>
      <c r="D21" s="2">
        <v>2021</v>
      </c>
      <c r="E21" s="4">
        <f>Submetering!E21+Submetering!F21</f>
        <v>1381</v>
      </c>
      <c r="F21" s="12">
        <v>0.14000000000000001</v>
      </c>
      <c r="G21" s="4">
        <f>Submetering!M21</f>
        <v>2133</v>
      </c>
      <c r="H21" s="12">
        <v>0.16</v>
      </c>
      <c r="I21" s="4">
        <f>Submetering!N21</f>
        <v>15</v>
      </c>
      <c r="J21" s="13">
        <v>2.06</v>
      </c>
      <c r="K21" s="4">
        <f>'Hampshire Daily'!B24</f>
        <v>10</v>
      </c>
      <c r="L21" s="4">
        <f>'Hampshire Daily'!C24</f>
        <v>10</v>
      </c>
    </row>
    <row r="22" spans="1:12" x14ac:dyDescent="0.25">
      <c r="A22" s="3" t="s">
        <v>41</v>
      </c>
      <c r="B22" s="2">
        <f t="shared" si="0"/>
        <v>21</v>
      </c>
      <c r="C22" s="2">
        <v>1</v>
      </c>
      <c r="D22" s="2">
        <v>2021</v>
      </c>
      <c r="E22" s="4">
        <f>Submetering!E22+Submetering!F22</f>
        <v>1711</v>
      </c>
      <c r="F22" s="12">
        <v>0.14000000000000001</v>
      </c>
      <c r="G22" s="4">
        <f>Submetering!M22</f>
        <v>1744</v>
      </c>
      <c r="H22" s="12">
        <v>0.16</v>
      </c>
      <c r="I22" s="4">
        <f>Submetering!N22</f>
        <v>26</v>
      </c>
      <c r="J22" s="13">
        <v>2.06</v>
      </c>
      <c r="K22" s="4">
        <f>'Hampshire Daily'!B25</f>
        <v>10</v>
      </c>
      <c r="L22" s="4">
        <f>'Hampshire Daily'!C25</f>
        <v>10</v>
      </c>
    </row>
    <row r="23" spans="1:12" x14ac:dyDescent="0.25">
      <c r="A23" s="3" t="s">
        <v>41</v>
      </c>
      <c r="B23" s="2">
        <f t="shared" si="0"/>
        <v>22</v>
      </c>
      <c r="C23" s="2">
        <v>1</v>
      </c>
      <c r="D23" s="2">
        <v>2021</v>
      </c>
      <c r="E23" s="4">
        <f>Submetering!E23+Submetering!F23</f>
        <v>1913</v>
      </c>
      <c r="F23" s="12">
        <v>0.14000000000000001</v>
      </c>
      <c r="G23" s="4">
        <f>Submetering!M23</f>
        <v>1934</v>
      </c>
      <c r="H23" s="12">
        <v>0.16</v>
      </c>
      <c r="I23" s="4">
        <f>Submetering!N23</f>
        <v>19</v>
      </c>
      <c r="J23" s="13">
        <v>2.06</v>
      </c>
      <c r="K23" s="4">
        <f>'Hampshire Daily'!B26</f>
        <v>10</v>
      </c>
      <c r="L23" s="4">
        <f>'Hampshire Daily'!C26</f>
        <v>10</v>
      </c>
    </row>
    <row r="24" spans="1:12" x14ac:dyDescent="0.25">
      <c r="A24" s="3" t="s">
        <v>41</v>
      </c>
      <c r="B24" s="2">
        <f t="shared" si="0"/>
        <v>23</v>
      </c>
      <c r="C24" s="2">
        <v>1</v>
      </c>
      <c r="D24" s="2">
        <v>2021</v>
      </c>
      <c r="E24" s="4">
        <f>Submetering!E24+Submetering!F24</f>
        <v>1452</v>
      </c>
      <c r="F24" s="12">
        <v>0.14000000000000001</v>
      </c>
      <c r="G24" s="4">
        <f>Submetering!M24</f>
        <v>2073</v>
      </c>
      <c r="H24" s="12">
        <v>0.16</v>
      </c>
      <c r="I24" s="4">
        <f>Submetering!N24</f>
        <v>28</v>
      </c>
      <c r="J24" s="13">
        <v>2.06</v>
      </c>
      <c r="K24" s="4">
        <f>'Hampshire Daily'!B27</f>
        <v>10</v>
      </c>
      <c r="L24" s="4">
        <f>'Hampshire Daily'!C27</f>
        <v>10</v>
      </c>
    </row>
    <row r="25" spans="1:12" x14ac:dyDescent="0.25">
      <c r="A25" s="3" t="s">
        <v>41</v>
      </c>
      <c r="B25" s="2">
        <f t="shared" si="0"/>
        <v>24</v>
      </c>
      <c r="C25" s="2">
        <v>1</v>
      </c>
      <c r="D25" s="2">
        <v>2021</v>
      </c>
      <c r="E25" s="4">
        <f>Submetering!E25+Submetering!F25</f>
        <v>4015</v>
      </c>
      <c r="F25" s="12">
        <v>0.14000000000000001</v>
      </c>
      <c r="G25" s="4">
        <f>Submetering!M25</f>
        <v>1153</v>
      </c>
      <c r="H25" s="12">
        <v>0.16</v>
      </c>
      <c r="I25" s="4">
        <f>Submetering!N25</f>
        <v>20</v>
      </c>
      <c r="J25" s="13">
        <v>2.06</v>
      </c>
      <c r="K25" s="4">
        <f>'Hampshire Daily'!B28</f>
        <v>10</v>
      </c>
      <c r="L25" s="4">
        <f>'Hampshire Daily'!C28</f>
        <v>10</v>
      </c>
    </row>
    <row r="26" spans="1:12" x14ac:dyDescent="0.25">
      <c r="A26" s="3" t="s">
        <v>41</v>
      </c>
      <c r="B26" s="2">
        <f>B25+1</f>
        <v>25</v>
      </c>
      <c r="C26" s="2">
        <v>1</v>
      </c>
      <c r="D26" s="2">
        <v>2021</v>
      </c>
      <c r="E26" s="4">
        <f>Submetering!E26+Submetering!F26</f>
        <v>1317</v>
      </c>
      <c r="F26" s="12">
        <v>0.14000000000000001</v>
      </c>
      <c r="G26" s="4">
        <f>Submetering!M26</f>
        <v>1797</v>
      </c>
      <c r="H26" s="12">
        <v>0.16</v>
      </c>
      <c r="I26" s="4">
        <f>Submetering!N26</f>
        <v>40</v>
      </c>
      <c r="J26" s="13">
        <v>2.06</v>
      </c>
      <c r="K26" s="4">
        <f>'Hampshire Daily'!B29</f>
        <v>10</v>
      </c>
      <c r="L26" s="4">
        <f>'Hampshire Daily'!C29</f>
        <v>10</v>
      </c>
    </row>
    <row r="27" spans="1:12" x14ac:dyDescent="0.25">
      <c r="A27" s="3" t="s">
        <v>41</v>
      </c>
      <c r="B27" s="2">
        <f t="shared" si="0"/>
        <v>26</v>
      </c>
      <c r="C27" s="2">
        <v>1</v>
      </c>
      <c r="D27" s="2">
        <v>2021</v>
      </c>
      <c r="E27" s="4">
        <f>Submetering!E27+Submetering!F27</f>
        <v>1318</v>
      </c>
      <c r="F27" s="12">
        <v>0.14000000000000001</v>
      </c>
      <c r="G27" s="4">
        <f>Submetering!M27</f>
        <v>2060</v>
      </c>
      <c r="H27" s="12">
        <v>0.16</v>
      </c>
      <c r="I27" s="4">
        <f>Submetering!N27</f>
        <v>39</v>
      </c>
      <c r="J27" s="13">
        <v>2.06</v>
      </c>
      <c r="K27" s="4">
        <f>'Hampshire Daily'!B30</f>
        <v>10</v>
      </c>
      <c r="L27" s="4">
        <f>'Hampshire Daily'!C30</f>
        <v>10</v>
      </c>
    </row>
    <row r="28" spans="1:12" x14ac:dyDescent="0.25">
      <c r="A28" s="3" t="s">
        <v>41</v>
      </c>
      <c r="B28" s="2">
        <f t="shared" si="0"/>
        <v>27</v>
      </c>
      <c r="C28" s="2">
        <v>1</v>
      </c>
      <c r="D28" s="2">
        <v>2021</v>
      </c>
      <c r="E28" s="4">
        <f>Submetering!E28+Submetering!F28</f>
        <v>1400</v>
      </c>
      <c r="F28" s="12">
        <v>0.14000000000000001</v>
      </c>
      <c r="G28" s="4">
        <f>Submetering!M28</f>
        <v>1969</v>
      </c>
      <c r="H28" s="12">
        <v>0.16</v>
      </c>
      <c r="I28" s="4">
        <f>Submetering!N28</f>
        <v>34</v>
      </c>
      <c r="J28" s="13">
        <v>2.06</v>
      </c>
      <c r="K28" s="4">
        <f>'Hampshire Daily'!B31</f>
        <v>10</v>
      </c>
      <c r="L28" s="4">
        <f>'Hampshire Daily'!C31</f>
        <v>10</v>
      </c>
    </row>
    <row r="29" spans="1:12" x14ac:dyDescent="0.25">
      <c r="A29" s="3" t="s">
        <v>41</v>
      </c>
      <c r="B29" s="2">
        <f t="shared" si="0"/>
        <v>28</v>
      </c>
      <c r="C29" s="2">
        <v>1</v>
      </c>
      <c r="D29" s="2">
        <v>2021</v>
      </c>
      <c r="E29" s="4">
        <f>Submetering!E29+Submetering!F29</f>
        <v>1400</v>
      </c>
      <c r="F29" s="12">
        <v>0.14000000000000001</v>
      </c>
      <c r="G29" s="4">
        <f>Submetering!M29</f>
        <v>1969</v>
      </c>
      <c r="H29" s="12">
        <v>0.16</v>
      </c>
      <c r="I29" s="4">
        <f>Submetering!N29</f>
        <v>34</v>
      </c>
      <c r="J29" s="13">
        <v>2.06</v>
      </c>
      <c r="K29" s="4">
        <f>'Hampshire Daily'!B32</f>
        <v>10</v>
      </c>
      <c r="L29" s="4">
        <f>'Hampshire Daily'!C32</f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E29"/>
  <sheetViews>
    <sheetView zoomScale="85" zoomScaleNormal="85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Y11" sqref="Y11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2" width="12.5703125" style="4" customWidth="1"/>
    <col min="23" max="24" width="11.5703125" style="1"/>
    <col min="25" max="25" width="11.5703125" style="4"/>
  </cols>
  <sheetData>
    <row r="1" spans="1:31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53</v>
      </c>
      <c r="V1" s="9" t="s">
        <v>51</v>
      </c>
      <c r="W1" s="10" t="s">
        <v>52</v>
      </c>
      <c r="X1" s="10" t="s">
        <v>56</v>
      </c>
      <c r="Y1" s="10" t="s">
        <v>58</v>
      </c>
      <c r="Z1" s="10" t="s">
        <v>8</v>
      </c>
      <c r="AA1" s="9" t="s">
        <v>9</v>
      </c>
    </row>
    <row r="2" spans="1:31" ht="15" customHeight="1" x14ac:dyDescent="0.25">
      <c r="A2" s="3" t="s">
        <v>41</v>
      </c>
      <c r="B2" s="1">
        <v>1</v>
      </c>
      <c r="C2" s="17">
        <v>1</v>
      </c>
      <c r="D2" s="1">
        <v>2021</v>
      </c>
      <c r="E2" s="4">
        <f>IF(('Hampshire Daily'!D5-'Hampshire Daily'!D4&lt;0),"0",('Hampshire Daily'!D5-'Hampshire Daily'!D4))</f>
        <v>934</v>
      </c>
      <c r="F2" s="4">
        <f>IF(('Hampshire Daily'!F5-'Hampshire Daily'!F4&lt;0),"0",('Hampshire Daily'!F5-'Hampshire Daily'!F4))</f>
        <v>372</v>
      </c>
      <c r="G2" s="4">
        <f>IF(('Hampshire Daily'!H5-'Hampshire Daily'!H4&lt;0),"0",('Hampshire Daily'!H5-'Hampshire Daily'!H4))</f>
        <v>18</v>
      </c>
      <c r="H2" s="4" t="str">
        <f>IF(('Hampshire Daily'!I5-'Hampshire Daily'!I4&lt;0),"0",('Hampshire Daily'!I5-'Hampshire Daily'!I4))</f>
        <v>0</v>
      </c>
      <c r="I2" s="4" t="str">
        <f>IF(('Hampshire Daily'!J5-'Hampshire Daily'!J4&lt;0),"0",('Hampshire Daily'!J5-'Hampshire Daily'!J4))</f>
        <v>0</v>
      </c>
      <c r="J2" s="4" t="str">
        <f>IF(('Hampshire Daily'!K5-'Hampshire Daily'!K4&lt;0),"0",('Hampshire Daily'!K5-'Hampshire Daily'!K4))</f>
        <v>0</v>
      </c>
      <c r="K2" s="4">
        <f>IF(('Hampshire Daily'!L5-'Hampshire Daily'!L4&lt;0),"0",('Hampshire Daily'!L5-'Hampshire Daily'!L4))</f>
        <v>152</v>
      </c>
      <c r="L2" s="4">
        <f>IF(('Hampshire Daily'!M5-'Hampshire Daily'!M4&lt;0),"0",('Hampshire Daily'!M5-'Hampshire Daily'!M4))</f>
        <v>12</v>
      </c>
      <c r="M2" s="4">
        <f>IF(('Hampshire Daily'!N5-'Hampshire Daily'!N4&lt;0),"0",('Hampshire Daily'!N5-'Hampshire Daily'!N4))</f>
        <v>2545</v>
      </c>
      <c r="N2" s="4">
        <f>IF(('Hampshire Daily'!O5-'Hampshire Daily'!O4&lt;0),"0",('Hampshire Daily'!O5-'Hampshire Daily'!O4))</f>
        <v>56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106</v>
      </c>
      <c r="Q2" s="4">
        <f>IF(('Hampshire Daily'!R5-'Hampshire Daily'!R4&lt;0),"0",('Hampshire Daily'!R5-'Hampshire Daily'!R4))</f>
        <v>0</v>
      </c>
      <c r="R2" s="4">
        <f>IF(('Hampshire Daily'!U5-'Hampshire Daily'!U4&lt;0),"0",('Hampshire Daily'!U5-'Hampshire Daily'!U4))</f>
        <v>1</v>
      </c>
      <c r="S2" s="4">
        <f>IF(('Hampshire Daily'!V5-'Hampshire Daily'!V4&lt;0),"0",('Hampshire Daily'!V5-'Hampshire Daily'!V4))</f>
        <v>10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0.15499999999997272</v>
      </c>
      <c r="V2" s="4">
        <f>IF(('Hampshire Daily'!Y5-'Hampshire Daily'!Y4&lt;0),"0",('Hampshire Daily'!Y5-'Hampshire Daily'!Y4))</f>
        <v>0.15399999999999636</v>
      </c>
      <c r="W2" s="4">
        <f>IF(('Hampshire Daily'!Z5-'Hampshire Daily'!Z4&lt;0),"0",('Hampshire Daily'!Z5-'Hampshire Daily'!Z4))</f>
        <v>1.2999999999919964E-2</v>
      </c>
      <c r="X2" s="4">
        <f>IF(('Hampshire Daily'!AA5-'Hampshire Daily'!AA4&lt;0),"0",('Hampshire Daily'!AA5-'Hampshire Daily'!AA4))</f>
        <v>0</v>
      </c>
      <c r="Y2" s="4">
        <f>IF(('Hampshire Daily'!AB5-'Hampshire Daily'!AB4&lt;0),"0",('Hampshire Daily'!AB5-'Hampshire Daily'!AB4))</f>
        <v>3</v>
      </c>
      <c r="Z2" s="4">
        <f>'[1]Hampshire Daily'!C5</f>
        <v>0</v>
      </c>
      <c r="AA2" s="4">
        <f>'[1]Hampshire Daily'!B5</f>
        <v>0</v>
      </c>
    </row>
    <row r="3" spans="1:31" x14ac:dyDescent="0.25">
      <c r="A3" s="3" t="s">
        <v>41</v>
      </c>
      <c r="B3" s="1">
        <f>B2+1</f>
        <v>2</v>
      </c>
      <c r="C3" s="17">
        <v>1</v>
      </c>
      <c r="D3" s="1">
        <v>2021</v>
      </c>
      <c r="E3" s="4">
        <f>IF(('Hampshire Daily'!D6-'Hampshire Daily'!D5&lt;0),"0",('Hampshire Daily'!D6-'Hampshire Daily'!D5))</f>
        <v>1102</v>
      </c>
      <c r="F3" s="4">
        <f>IF(('Hampshire Daily'!F6-'Hampshire Daily'!F5&lt;0),"0",('Hampshire Daily'!F6-'Hampshire Daily'!F5))</f>
        <v>352</v>
      </c>
      <c r="G3" s="4">
        <f>IF(('Hampshire Daily'!H6-'Hampshire Daily'!H5&lt;0),"0",('Hampshire Daily'!H6-'Hampshire Daily'!H5))</f>
        <v>8</v>
      </c>
      <c r="H3" s="4">
        <f>IF(('Hampshire Daily'!I6-'Hampshire Daily'!I5&lt;0),"0",('Hampshire Daily'!I6-'Hampshire Daily'!I5))</f>
        <v>0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0</v>
      </c>
      <c r="K3" s="4">
        <f>IF(('Hampshire Daily'!L6-'Hampshire Daily'!L5&lt;0),"0",('Hampshire Daily'!L6-'Hampshire Daily'!L5))</f>
        <v>197</v>
      </c>
      <c r="L3" s="4">
        <f>IF(('Hampshire Daily'!M6-'Hampshire Daily'!M5&lt;0),"0",('Hampshire Daily'!M6-'Hampshire Daily'!M5))</f>
        <v>18</v>
      </c>
      <c r="M3" s="4">
        <f>IF(('Hampshire Daily'!N6-'Hampshire Daily'!N5&lt;0),"0",('Hampshire Daily'!N6-'Hampshire Daily'!N5))</f>
        <v>2435</v>
      </c>
      <c r="N3" s="4">
        <f>IF(('Hampshire Daily'!O6-'Hampshire Daily'!O5&lt;0),"0",('Hampshire Daily'!O6-'Hampshire Daily'!O5))</f>
        <v>26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147</v>
      </c>
      <c r="Q3" s="4">
        <f>IF(('Hampshire Daily'!R6-'Hampshire Daily'!R5&lt;0),"0",('Hampshire Daily'!R6-'Hampshire Daily'!R5))</f>
        <v>0</v>
      </c>
      <c r="R3" s="4">
        <f>IF(('Hampshire Daily'!U6-'Hampshire Daily'!U5&lt;0),"0",('Hampshire Daily'!U6-'Hampshire Daily'!U5))</f>
        <v>1</v>
      </c>
      <c r="S3" s="4">
        <f>IF(('Hampshire Daily'!V6-'Hampshire Daily'!V5&lt;0),"0",('Hampshire Daily'!V6-'Hampshire Daily'!V5))</f>
        <v>0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0.1400000000000432</v>
      </c>
      <c r="V3" s="4">
        <f>IF(('Hampshire Daily'!Y6-'Hampshire Daily'!Y5&lt;0),"0",('Hampshire Daily'!Y6-'Hampshire Daily'!Y5))</f>
        <v>0.17400000000009186</v>
      </c>
      <c r="W3" s="4">
        <f>IF(('Hampshire Daily'!Z6-'Hampshire Daily'!Z5&lt;0),"0",('Hampshire Daily'!Z6-'Hampshire Daily'!Z5))</f>
        <v>4.999999999654392E-3</v>
      </c>
      <c r="X3" s="4">
        <f>IF(('Hampshire Daily'!AA6-'Hampshire Daily'!AA5&lt;0),"0",('Hampshire Daily'!AA6-'Hampshire Daily'!AA5))</f>
        <v>0</v>
      </c>
      <c r="Y3" s="4">
        <f>IF(('Hampshire Daily'!AB6-'Hampshire Daily'!AB5&lt;0),"0",('Hampshire Daily'!AB6-'Hampshire Daily'!AB5))</f>
        <v>1</v>
      </c>
      <c r="Z3" s="4">
        <f>'[1]Hampshire Daily'!C6</f>
        <v>0</v>
      </c>
      <c r="AA3" s="4">
        <f>'[1]Hampshire Daily'!B6</f>
        <v>0</v>
      </c>
      <c r="AB3" t="s">
        <v>42</v>
      </c>
      <c r="AC3" t="s">
        <v>42</v>
      </c>
      <c r="AD3" t="s">
        <v>42</v>
      </c>
      <c r="AE3" t="s">
        <v>42</v>
      </c>
    </row>
    <row r="4" spans="1:31" x14ac:dyDescent="0.25">
      <c r="A4" s="3" t="s">
        <v>41</v>
      </c>
      <c r="B4" s="1">
        <f t="shared" ref="B4:B29" si="0">B3+1</f>
        <v>3</v>
      </c>
      <c r="C4" s="17">
        <v>1</v>
      </c>
      <c r="D4" s="1">
        <v>2021</v>
      </c>
      <c r="E4" s="4">
        <f>IF(('Hampshire Daily'!D7-'Hampshire Daily'!D6&lt;0),"0",('Hampshire Daily'!D7-'Hampshire Daily'!D6))</f>
        <v>1185</v>
      </c>
      <c r="F4" s="4">
        <f>IF(('Hampshire Daily'!F7-'Hampshire Daily'!F6&lt;0),"0",('Hampshire Daily'!F7-'Hampshire Daily'!F6))</f>
        <v>756</v>
      </c>
      <c r="G4" s="4">
        <f>IF(('Hampshire Daily'!H7-'Hampshire Daily'!H6&lt;0),"0",('Hampshire Daily'!H7-'Hampshire Daily'!H6))</f>
        <v>122</v>
      </c>
      <c r="H4" s="4">
        <f>IF(('Hampshire Daily'!I7-'Hampshire Daily'!I6&lt;0),"0",('Hampshire Daily'!I7-'Hampshire Daily'!I6))</f>
        <v>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0</v>
      </c>
      <c r="K4" s="4">
        <f>IF(('Hampshire Daily'!L7-'Hampshire Daily'!L6&lt;0),"0",('Hampshire Daily'!L7-'Hampshire Daily'!L6))</f>
        <v>197</v>
      </c>
      <c r="L4" s="4">
        <f>IF(('Hampshire Daily'!M7-'Hampshire Daily'!M6&lt;0),"0",('Hampshire Daily'!M7-'Hampshire Daily'!M6))</f>
        <v>79</v>
      </c>
      <c r="M4" s="4">
        <f>IF(('Hampshire Daily'!N7-'Hampshire Daily'!N6&lt;0),"0",('Hampshire Daily'!N7-'Hampshire Daily'!N6))</f>
        <v>1767</v>
      </c>
      <c r="N4" s="4">
        <f>IF(('Hampshire Daily'!O7-'Hampshire Daily'!O6&lt;0),"0",('Hampshire Daily'!O7-'Hampshire Daily'!O6))</f>
        <v>22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195</v>
      </c>
      <c r="Q4" s="4">
        <f>IF(('Hampshire Daily'!R7-'Hampshire Daily'!R6&lt;0),"0",('Hampshire Daily'!R7-'Hampshire Daily'!R6))</f>
        <v>0</v>
      </c>
      <c r="R4" s="4">
        <f>IF(('Hampshire Daily'!U7-'Hampshire Daily'!U6&lt;0),"0",('Hampshire Daily'!U7-'Hampshire Daily'!U6))</f>
        <v>2</v>
      </c>
      <c r="S4" s="4">
        <f>IF(('Hampshire Daily'!V7-'Hampshire Daily'!V6&lt;0),"0",('Hampshire Daily'!V7-'Hampshire Daily'!V6))</f>
        <v>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0.11099999999999</v>
      </c>
      <c r="V4" s="4">
        <f>IF(('Hampshire Daily'!Y7-'Hampshire Daily'!Y6&lt;0),"0",('Hampshire Daily'!Y7-'Hampshire Daily'!Y6))</f>
        <v>0.13299999999992451</v>
      </c>
      <c r="W4" s="4">
        <f>IF(('Hampshire Daily'!Z7-'Hampshire Daily'!Z6&lt;0),"0",('Hampshire Daily'!Z7-'Hampshire Daily'!Z6))</f>
        <v>2.1000000000185537E-2</v>
      </c>
      <c r="X4" s="4">
        <f>IF(('Hampshire Daily'!AA7-'Hampshire Daily'!AA6&lt;0),"0",('Hampshire Daily'!AA7-'Hampshire Daily'!AA6))</f>
        <v>0</v>
      </c>
      <c r="Y4" s="4">
        <f>IF(('Hampshire Daily'!AB7-'Hampshire Daily'!AB6&lt;0),"0",('Hampshire Daily'!AB7-'Hampshire Daily'!AB6))</f>
        <v>4</v>
      </c>
      <c r="Z4" s="4">
        <f>'[1]Hampshire Daily'!C7</f>
        <v>52</v>
      </c>
      <c r="AA4" s="4">
        <f>'[1]Hampshire Daily'!B7</f>
        <v>25</v>
      </c>
      <c r="AB4" t="s">
        <v>42</v>
      </c>
    </row>
    <row r="5" spans="1:31" x14ac:dyDescent="0.25">
      <c r="A5" s="3" t="s">
        <v>41</v>
      </c>
      <c r="B5" s="1">
        <f t="shared" si="0"/>
        <v>4</v>
      </c>
      <c r="C5" s="17">
        <v>1</v>
      </c>
      <c r="D5" s="1">
        <v>2021</v>
      </c>
      <c r="E5" s="4">
        <f>IF(('Hampshire Daily'!D8-'Hampshire Daily'!D7&lt;0),"0",('Hampshire Daily'!D8-'Hampshire Daily'!D7))</f>
        <v>1051</v>
      </c>
      <c r="F5" s="4">
        <f>IF(('Hampshire Daily'!F8-'Hampshire Daily'!F7&lt;0),"0",('Hampshire Daily'!F8-'Hampshire Daily'!F7))</f>
        <v>389</v>
      </c>
      <c r="G5" s="4">
        <f>IF(('Hampshire Daily'!H8-'Hampshire Daily'!H7&lt;0),"0",('Hampshire Daily'!H8-'Hampshire Daily'!H7))</f>
        <v>20</v>
      </c>
      <c r="H5" s="4">
        <f>IF(('Hampshire Daily'!I8-'Hampshire Daily'!I7&lt;0),"0",('Hampshire Daily'!I8-'Hampshire Daily'!I7))</f>
        <v>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0</v>
      </c>
      <c r="K5" s="4">
        <f>IF(('Hampshire Daily'!L8-'Hampshire Daily'!L7&lt;0),"0",('Hampshire Daily'!L8-'Hampshire Daily'!L7))</f>
        <v>223</v>
      </c>
      <c r="L5" s="4">
        <f>IF(('Hampshire Daily'!M8-'Hampshire Daily'!M7&lt;0),"0",('Hampshire Daily'!M8-'Hampshire Daily'!M7))</f>
        <v>25</v>
      </c>
      <c r="M5" s="4">
        <f>IF(('Hampshire Daily'!N8-'Hampshire Daily'!N7&lt;0),"0",('Hampshire Daily'!N8-'Hampshire Daily'!N7))</f>
        <v>2086</v>
      </c>
      <c r="N5" s="4">
        <f>IF(('Hampshire Daily'!O8-'Hampshire Daily'!O7&lt;0),"0",('Hampshire Daily'!O8-'Hampshire Daily'!O7))</f>
        <v>23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178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1</v>
      </c>
      <c r="S5" s="4">
        <f>IF(('Hampshire Daily'!V8-'Hampshire Daily'!V7&lt;0),"0",('Hampshire Daily'!V8-'Hampshire Daily'!V7))</f>
        <v>0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9.6999999999979991E-2</v>
      </c>
      <c r="V5" s="4">
        <f>IF(('Hampshire Daily'!Y8-'Hampshire Daily'!Y7&lt;0),"0",('Hampshire Daily'!Y8-'Hampshire Daily'!Y7))</f>
        <v>0.17000000000007276</v>
      </c>
      <c r="W5" s="4">
        <f>IF(('Hampshire Daily'!Z8-'Hampshire Daily'!Z7&lt;0),"0",('Hampshire Daily'!Z8-'Hampshire Daily'!Z7))</f>
        <v>2.3000000000138243E-2</v>
      </c>
      <c r="X5" s="4">
        <f>IF(('Hampshire Daily'!AA8-'Hampshire Daily'!AA7&lt;0),"0",('Hampshire Daily'!AA8-'Hampshire Daily'!AA7))</f>
        <v>0</v>
      </c>
      <c r="Y5" s="4">
        <f>IF(('Hampshire Daily'!AB8-'Hampshire Daily'!AB7&lt;0),"0",('Hampshire Daily'!AB8-'Hampshire Daily'!AB7))</f>
        <v>3</v>
      </c>
      <c r="Z5" s="4">
        <f>'[1]Hampshire Daily'!C8</f>
        <v>133</v>
      </c>
      <c r="AA5" s="4">
        <f>'[1]Hampshire Daily'!B8</f>
        <v>51</v>
      </c>
    </row>
    <row r="6" spans="1:31" x14ac:dyDescent="0.25">
      <c r="A6" s="3" t="s">
        <v>41</v>
      </c>
      <c r="B6" s="1">
        <f t="shared" si="0"/>
        <v>5</v>
      </c>
      <c r="C6" s="17">
        <v>1</v>
      </c>
      <c r="D6" s="1">
        <v>2021</v>
      </c>
      <c r="E6" s="4">
        <f>IF(('Hampshire Daily'!D9-'Hampshire Daily'!D8&lt;0),"0",('Hampshire Daily'!D9-'Hampshire Daily'!D8))</f>
        <v>909</v>
      </c>
      <c r="F6" s="4">
        <f>IF(('Hampshire Daily'!F9-'Hampshire Daily'!F8&lt;0),"0",('Hampshire Daily'!F9-'Hampshire Daily'!F8))</f>
        <v>351</v>
      </c>
      <c r="G6" s="4">
        <f>IF(('Hampshire Daily'!H9-'Hampshire Daily'!H8&lt;0),"0",('Hampshire Daily'!H9-'Hampshire Daily'!H8))</f>
        <v>20</v>
      </c>
      <c r="H6" s="4">
        <f>IF(('Hampshire Daily'!I9-'Hampshire Daily'!I8&lt;0),"0",('Hampshire Daily'!I9-'Hampshire Daily'!I8))</f>
        <v>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0</v>
      </c>
      <c r="K6" s="4">
        <f>IF(('Hampshire Daily'!L9-'Hampshire Daily'!L8&lt;0),"0",('Hampshire Daily'!L9-'Hampshire Daily'!L8))</f>
        <v>197</v>
      </c>
      <c r="L6" s="4">
        <f>IF(('Hampshire Daily'!M9-'Hampshire Daily'!M8&lt;0),"0",('Hampshire Daily'!M9-'Hampshire Daily'!M8))</f>
        <v>2</v>
      </c>
      <c r="M6" s="4">
        <f>IF(('Hampshire Daily'!N9-'Hampshire Daily'!N8&lt;0),"0",('Hampshire Daily'!N9-'Hampshire Daily'!N8))</f>
        <v>1969</v>
      </c>
      <c r="N6" s="4">
        <f>IF(('Hampshire Daily'!O9-'Hampshire Daily'!O8&lt;0),"0",('Hampshire Daily'!O9-'Hampshire Daily'!O8))</f>
        <v>13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6</v>
      </c>
      <c r="Q6" s="4">
        <f>IF(('Hampshire Daily'!R9-'Hampshire Daily'!R8&lt;0),"0",('Hampshire Daily'!R9-'Hampshire Daily'!R8))</f>
        <v>0</v>
      </c>
      <c r="R6" s="4">
        <f>IF(('Hampshire Daily'!U9-'Hampshire Daily'!U8&lt;0),"0",('Hampshire Daily'!U9-'Hampshire Daily'!U8))</f>
        <v>2</v>
      </c>
      <c r="S6" s="4">
        <f>IF(('Hampshire Daily'!V9-'Hampshire Daily'!V8&lt;0),"0",('Hampshire Daily'!V9-'Hampshire Daily'!V8))</f>
        <v>0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0.11000000000001364</v>
      </c>
      <c r="V6" s="4">
        <f>IF(('Hampshire Daily'!Y9-'Hampshire Daily'!Y8&lt;0),"0",('Hampshire Daily'!Y9-'Hampshire Daily'!Y8))</f>
        <v>0.16499999999996362</v>
      </c>
      <c r="W6" s="4">
        <f>IF(('Hampshire Daily'!Z9-'Hampshire Daily'!Z8&lt;0),"0",('Hampshire Daily'!Z9-'Hampshire Daily'!Z8))</f>
        <v>5.9999999998581188E-3</v>
      </c>
      <c r="X6" s="4">
        <f>IF(('Hampshire Daily'!AA9-'Hampshire Daily'!AA8&lt;0),"0",('Hampshire Daily'!AA9-'Hampshire Daily'!AA8))</f>
        <v>0</v>
      </c>
      <c r="Y6" s="4">
        <f>IF(('Hampshire Daily'!AB9-'Hampshire Daily'!AB8&lt;0),"0",('Hampshire Daily'!AB9-'Hampshire Daily'!AB8))</f>
        <v>3</v>
      </c>
      <c r="Z6" s="4">
        <f>'[1]Hampshire Daily'!C9</f>
        <v>172</v>
      </c>
      <c r="AA6" s="4">
        <f>'[1]Hampshire Daily'!B9</f>
        <v>64</v>
      </c>
    </row>
    <row r="7" spans="1:31" x14ac:dyDescent="0.25">
      <c r="A7" s="3" t="s">
        <v>41</v>
      </c>
      <c r="B7" s="1">
        <f t="shared" si="0"/>
        <v>6</v>
      </c>
      <c r="C7" s="17">
        <v>1</v>
      </c>
      <c r="D7" s="1">
        <v>2021</v>
      </c>
      <c r="E7" s="4">
        <f>IF(('Hampshire Daily'!D10-'Hampshire Daily'!D9&lt;0),"0",('Hampshire Daily'!D10-'Hampshire Daily'!D9))</f>
        <v>904</v>
      </c>
      <c r="F7" s="4">
        <f>IF(('Hampshire Daily'!F10-'Hampshire Daily'!F9&lt;0),"0",('Hampshire Daily'!F10-'Hampshire Daily'!F9))</f>
        <v>453</v>
      </c>
      <c r="G7" s="4">
        <f>IF(('Hampshire Daily'!H10-'Hampshire Daily'!H9&lt;0),"0",('Hampshire Daily'!H10-'Hampshire Daily'!H9))</f>
        <v>38</v>
      </c>
      <c r="H7" s="4">
        <f>IF(('Hampshire Daily'!I10-'Hampshire Daily'!I9&lt;0),"0",('Hampshire Daily'!I10-'Hampshire Daily'!I9))</f>
        <v>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0</v>
      </c>
      <c r="K7" s="4">
        <f>IF(('Hampshire Daily'!L10-'Hampshire Daily'!L9&lt;0),"0",('Hampshire Daily'!L10-'Hampshire Daily'!L9))</f>
        <v>197</v>
      </c>
      <c r="L7" s="4">
        <f>IF(('Hampshire Daily'!M10-'Hampshire Daily'!M9&lt;0),"0",('Hampshire Daily'!M10-'Hampshire Daily'!M9))</f>
        <v>0</v>
      </c>
      <c r="M7" s="4">
        <f>IF(('Hampshire Daily'!N10-'Hampshire Daily'!N9&lt;0),"0",('Hampshire Daily'!N10-'Hampshire Daily'!N9))</f>
        <v>2006</v>
      </c>
      <c r="N7" s="4">
        <f>IF(('Hampshire Daily'!O10-'Hampshire Daily'!O9&lt;0),"0",('Hampshire Daily'!O10-'Hampshire Daily'!O9))</f>
        <v>22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0</v>
      </c>
      <c r="Q7" s="4">
        <f>IF(('Hampshire Daily'!R10-'Hampshire Daily'!R9&lt;0),"0",('Hampshire Daily'!R10-'Hampshire Daily'!R9))</f>
        <v>0</v>
      </c>
      <c r="R7" s="4">
        <f>IF(('Hampshire Daily'!U10-'Hampshire Daily'!U9&lt;0),"0",('Hampshire Daily'!U10-'Hampshire Daily'!U9))</f>
        <v>1</v>
      </c>
      <c r="S7" s="4">
        <f>IF(('Hampshire Daily'!V10-'Hampshire Daily'!V9&lt;0),"0",('Hampshire Daily'!V10-'Hampshire Daily'!V9))</f>
        <v>0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0.11000000000001364</v>
      </c>
      <c r="V7" s="4">
        <f>IF(('Hampshire Daily'!Y10-'Hampshire Daily'!Y9&lt;0),"0",('Hampshire Daily'!Y10-'Hampshire Daily'!Y9))</f>
        <v>0.21199999999998909</v>
      </c>
      <c r="W7" s="4">
        <f>IF(('Hampshire Daily'!Z10-'Hampshire Daily'!Z9&lt;0),"0",('Hampshire Daily'!Z10-'Hampshire Daily'!Z9))</f>
        <v>1.8000000000029104E-2</v>
      </c>
      <c r="X7" s="4">
        <f>IF(('Hampshire Daily'!AA10-'Hampshire Daily'!AA9&lt;0),"0",('Hampshire Daily'!AA10-'Hampshire Daily'!AA9))</f>
        <v>0</v>
      </c>
      <c r="Y7" s="4">
        <f>IF(('Hampshire Daily'!AB10-'Hampshire Daily'!AB9&lt;0),"0",('Hampshire Daily'!AB10-'Hampshire Daily'!AB9))</f>
        <v>2</v>
      </c>
      <c r="Z7" s="4">
        <f>'[1]Hampshire Daily'!C10</f>
        <v>88</v>
      </c>
      <c r="AA7" s="4">
        <f>'[1]Hampshire Daily'!B10</f>
        <v>35</v>
      </c>
    </row>
    <row r="8" spans="1:31" x14ac:dyDescent="0.25">
      <c r="A8" s="3" t="s">
        <v>41</v>
      </c>
      <c r="B8" s="1">
        <f t="shared" si="0"/>
        <v>7</v>
      </c>
      <c r="C8" s="17">
        <v>1</v>
      </c>
      <c r="D8" s="1">
        <v>2021</v>
      </c>
      <c r="E8" s="4">
        <f>IF(('Hampshire Daily'!D11-'Hampshire Daily'!D10&lt;0),"0",('Hampshire Daily'!D11-'Hampshire Daily'!D10))</f>
        <v>835</v>
      </c>
      <c r="F8" s="4">
        <f>IF(('Hampshire Daily'!F11-'Hampshire Daily'!F10&lt;0),"0",('Hampshire Daily'!F11-'Hampshire Daily'!F10))</f>
        <v>432</v>
      </c>
      <c r="G8" s="4">
        <f>IF(('Hampshire Daily'!H11-'Hampshire Daily'!H10&lt;0),"0",('Hampshire Daily'!H11-'Hampshire Daily'!H10))</f>
        <v>31</v>
      </c>
      <c r="H8" s="4">
        <f>IF(('Hampshire Daily'!I11-'Hampshire Daily'!I10&lt;0),"0",('Hampshire Daily'!I11-'Hampshire Daily'!I10))</f>
        <v>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0</v>
      </c>
      <c r="K8" s="4">
        <f>IF(('Hampshire Daily'!L11-'Hampshire Daily'!L10&lt;0),"0",('Hampshire Daily'!L11-'Hampshire Daily'!L10))</f>
        <v>197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2113</v>
      </c>
      <c r="N8" s="4">
        <f>IF(('Hampshire Daily'!O11-'Hampshire Daily'!O10&lt;0),"0",('Hampshire Daily'!O11-'Hampshire Daily'!O10))</f>
        <v>24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</v>
      </c>
      <c r="S8" s="4">
        <f>IF(('Hampshire Daily'!V11-'Hampshire Daily'!V10&lt;0),"0",('Hampshire Daily'!V11-'Hampshire Daily'!V10))</f>
        <v>0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0.12999999999999545</v>
      </c>
      <c r="V8" s="4">
        <f>IF(('Hampshire Daily'!Y11-'Hampshire Daily'!Y10&lt;0),"0",('Hampshire Daily'!Y11-'Hampshire Daily'!Y10))</f>
        <v>0.20600000000001728</v>
      </c>
      <c r="W8" s="4">
        <f>IF(('Hampshire Daily'!Z11-'Hampshire Daily'!Z10&lt;0),"0",('Hampshire Daily'!Z11-'Hampshire Daily'!Z10))</f>
        <v>1.6000000000076398E-2</v>
      </c>
      <c r="X8" s="4">
        <f>IF(('Hampshire Daily'!AA11-'Hampshire Daily'!AA10&lt;0),"0",('Hampshire Daily'!AA11-'Hampshire Daily'!AA10))</f>
        <v>0</v>
      </c>
      <c r="Y8" s="4">
        <f>IF(('Hampshire Daily'!AB11-'Hampshire Daily'!AB10&lt;0),"0",('Hampshire Daily'!AB11-'Hampshire Daily'!AB10))</f>
        <v>4</v>
      </c>
      <c r="Z8" s="4">
        <f>'[1]Hampshire Daily'!C11</f>
        <v>75</v>
      </c>
      <c r="AA8" s="4">
        <f>'[1]Hampshire Daily'!B11</f>
        <v>30</v>
      </c>
    </row>
    <row r="9" spans="1:31" x14ac:dyDescent="0.25">
      <c r="A9" s="3" t="s">
        <v>41</v>
      </c>
      <c r="B9" s="1">
        <f t="shared" si="0"/>
        <v>8</v>
      </c>
      <c r="C9" s="17">
        <v>1</v>
      </c>
      <c r="D9" s="1">
        <v>2021</v>
      </c>
      <c r="E9" s="4">
        <f>IF(('Hampshire Daily'!D12-'Hampshire Daily'!D11&lt;0),"0",('Hampshire Daily'!D12-'Hampshire Daily'!D11))</f>
        <v>859</v>
      </c>
      <c r="F9" s="4">
        <f>IF(('Hampshire Daily'!F12-'Hampshire Daily'!F11&lt;0),"0",('Hampshire Daily'!F12-'Hampshire Daily'!F11))</f>
        <v>362</v>
      </c>
      <c r="G9" s="4" t="str">
        <f>IF(('Hampshire Daily'!H12-'Hampshire Daily'!H11&lt;0),"0",('Hampshire Daily'!H12-'Hampshire Daily'!H11))</f>
        <v>0</v>
      </c>
      <c r="H9" s="4">
        <f>IF(('Hampshire Daily'!I12-'Hampshire Daily'!I11&lt;0),"0",('Hampshire Daily'!I12-'Hampshire Daily'!I11))</f>
        <v>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0</v>
      </c>
      <c r="K9" s="4">
        <f>IF(('Hampshire Daily'!L12-'Hampshire Daily'!L11&lt;0),"0",('Hampshire Daily'!L12-'Hampshire Daily'!L11))</f>
        <v>197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2534</v>
      </c>
      <c r="N9" s="4">
        <f>IF(('Hampshire Daily'!O12-'Hampshire Daily'!O11&lt;0),"0",('Hampshire Daily'!O12-'Hampshire Daily'!O11))</f>
        <v>27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0</v>
      </c>
      <c r="S9" s="4">
        <f>IF(('Hampshire Daily'!V12-'Hampshire Daily'!V11&lt;0),"0",('Hampshire Daily'!V12-'Hampshire Daily'!V11))</f>
        <v>4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0.17300000000000182</v>
      </c>
      <c r="V9" s="4">
        <f>IF(('Hampshire Daily'!Y12-'Hampshire Daily'!Y11&lt;0),"0",('Hampshire Daily'!Y12-'Hampshire Daily'!Y11))</f>
        <v>0.20799999999996999</v>
      </c>
      <c r="W9" s="4">
        <f>IF(('Hampshire Daily'!Z12-'Hampshire Daily'!Z11&lt;0),"0",('Hampshire Daily'!Z12-'Hampshire Daily'!Z11))</f>
        <v>3.8999999999759893E-2</v>
      </c>
      <c r="X9" s="4">
        <f>IF(('Hampshire Daily'!AA12-'Hampshire Daily'!AA11&lt;0),"0",('Hampshire Daily'!AA12-'Hampshire Daily'!AA11))</f>
        <v>0</v>
      </c>
      <c r="Y9" s="4">
        <f>IF(('Hampshire Daily'!AB12-'Hampshire Daily'!AB11&lt;0),"0",('Hampshire Daily'!AB12-'Hampshire Daily'!AB11))</f>
        <v>5</v>
      </c>
      <c r="Z9" s="4">
        <f>'[1]Hampshire Daily'!C12</f>
        <v>50</v>
      </c>
      <c r="AA9" s="4">
        <f>'[1]Hampshire Daily'!B12</f>
        <v>21</v>
      </c>
    </row>
    <row r="10" spans="1:31" x14ac:dyDescent="0.25">
      <c r="A10" s="3" t="s">
        <v>41</v>
      </c>
      <c r="B10" s="1">
        <f t="shared" si="0"/>
        <v>9</v>
      </c>
      <c r="C10" s="17">
        <v>1</v>
      </c>
      <c r="D10" s="1">
        <v>2021</v>
      </c>
      <c r="E10" s="4">
        <f>IF(('Hampshire Daily'!D13-'Hampshire Daily'!D12&lt;0),"0",('Hampshire Daily'!D13-'Hampshire Daily'!D12))</f>
        <v>1199</v>
      </c>
      <c r="F10" s="4">
        <f>IF(('Hampshire Daily'!F13-'Hampshire Daily'!F12&lt;0),"0",('Hampshire Daily'!F13-'Hampshire Daily'!F12))</f>
        <v>502</v>
      </c>
      <c r="G10" s="4">
        <f>IF(('Hampshire Daily'!H13-'Hampshire Daily'!H12&lt;0),"0",('Hampshire Daily'!H13-'Hampshire Daily'!H12))</f>
        <v>31</v>
      </c>
      <c r="H10" s="4">
        <f>IF(('Hampshire Daily'!I13-'Hampshire Daily'!I12&lt;0),"0",('Hampshire Daily'!I13-'Hampshire Daily'!I12))</f>
        <v>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0</v>
      </c>
      <c r="K10" s="4">
        <f>IF(('Hampshire Daily'!L13-'Hampshire Daily'!L12&lt;0),"0",('Hampshire Daily'!L13-'Hampshire Daily'!L12))</f>
        <v>197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2993</v>
      </c>
      <c r="N10" s="4">
        <f>IF(('Hampshire Daily'!O13-'Hampshire Daily'!O12&lt;0),"0",('Hampshire Daily'!O13-'Hampshire Daily'!O12))</f>
        <v>24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0</v>
      </c>
      <c r="S10" s="4">
        <f>IF(('Hampshire Daily'!V13-'Hampshire Daily'!V12&lt;0),"0",('Hampshire Daily'!V13-'Hampshire Daily'!V12))</f>
        <v>0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0.20199999999999818</v>
      </c>
      <c r="V10" s="4">
        <f>IF(('Hampshire Daily'!Y13-'Hampshire Daily'!Y12&lt;0),"0",('Hampshire Daily'!Y13-'Hampshire Daily'!Y12))</f>
        <v>0.2620000000000573</v>
      </c>
      <c r="W10" s="4">
        <f>IF(('Hampshire Daily'!Z13-'Hampshire Daily'!Z12&lt;0),"0",('Hampshire Daily'!Z13-'Hampshire Daily'!Z12))</f>
        <v>0.26400000000012369</v>
      </c>
      <c r="X10" s="4">
        <f>IF(('Hampshire Daily'!AA13-'Hampshire Daily'!AA12&lt;0),"0",('Hampshire Daily'!AA13-'Hampshire Daily'!AA12))</f>
        <v>0</v>
      </c>
      <c r="Y10" s="4">
        <f>IF(('Hampshire Daily'!AB13-'Hampshire Daily'!AB12&lt;0),"0",('Hampshire Daily'!AB13-'Hampshire Daily'!AB12))</f>
        <v>4</v>
      </c>
      <c r="Z10" s="4">
        <f>'[1]Hampshire Daily'!C13</f>
        <v>49</v>
      </c>
      <c r="AA10" s="4">
        <f>'[1]Hampshire Daily'!B13</f>
        <v>21</v>
      </c>
    </row>
    <row r="11" spans="1:31" x14ac:dyDescent="0.25">
      <c r="A11" s="3" t="s">
        <v>41</v>
      </c>
      <c r="B11" s="1">
        <f t="shared" si="0"/>
        <v>10</v>
      </c>
      <c r="C11" s="17">
        <v>1</v>
      </c>
      <c r="D11" s="1">
        <v>2021</v>
      </c>
      <c r="E11" s="4">
        <f>IF(('Hampshire Daily'!D14-'Hampshire Daily'!D13&lt;0),"0",('Hampshire Daily'!D14-'Hampshire Daily'!D13))</f>
        <v>696</v>
      </c>
      <c r="F11" s="4">
        <f>IF(('Hampshire Daily'!F14-'Hampshire Daily'!F13&lt;0),"0",('Hampshire Daily'!F14-'Hampshire Daily'!F13))</f>
        <v>236</v>
      </c>
      <c r="G11" s="4">
        <f>IF(('Hampshire Daily'!H14-'Hampshire Daily'!H13&lt;0),"0",('Hampshire Daily'!H14-'Hampshire Daily'!H13))</f>
        <v>30</v>
      </c>
      <c r="H11" s="4">
        <f>IF(('Hampshire Daily'!I14-'Hampshire Daily'!I13&lt;0),"0",('Hampshire Daily'!I14-'Hampshire Daily'!I13))</f>
        <v>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0</v>
      </c>
      <c r="K11" s="4">
        <f>IF(('Hampshire Daily'!L14-'Hampshire Daily'!L13&lt;0),"0",('Hampshire Daily'!L14-'Hampshire Daily'!L13))</f>
        <v>197</v>
      </c>
      <c r="L11" s="4">
        <f>IF(('Hampshire Daily'!M14-'Hampshire Daily'!M13&lt;0),"0",('Hampshire Daily'!M14-'Hampshire Daily'!M13))</f>
        <v>23</v>
      </c>
      <c r="M11" s="4">
        <f>IF(('Hampshire Daily'!N14-'Hampshire Daily'!N13&lt;0),"0",('Hampshire Daily'!N14-'Hampshire Daily'!N13))</f>
        <v>1766</v>
      </c>
      <c r="N11" s="4">
        <f>IF(('Hampshire Daily'!O14-'Hampshire Daily'!O13&lt;0),"0",('Hampshire Daily'!O14-'Hampshire Daily'!O13))</f>
        <v>25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0</v>
      </c>
      <c r="R11" s="4">
        <f>IF(('Hampshire Daily'!U14-'Hampshire Daily'!U13&lt;0),"0",('Hampshire Daily'!U14-'Hampshire Daily'!U13))</f>
        <v>5</v>
      </c>
      <c r="S11" s="4">
        <f>IF(('Hampshire Daily'!V14-'Hampshire Daily'!V13&lt;0),"0",('Hampshire Daily'!V14-'Hampshire Daily'!V13))</f>
        <v>0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0.15099999999995362</v>
      </c>
      <c r="V11" s="4">
        <f>IF(('Hampshire Daily'!Y14-'Hampshire Daily'!Y13&lt;0),"0",('Hampshire Daily'!Y14-'Hampshire Daily'!Y13))</f>
        <v>0.16299999999989723</v>
      </c>
      <c r="W11" s="4">
        <f>IF(('Hampshire Daily'!Z14-'Hampshire Daily'!Z13&lt;0),"0",('Hampshire Daily'!Z14-'Hampshire Daily'!Z13))</f>
        <v>0.6430000000000291</v>
      </c>
      <c r="X11" s="4">
        <f>IF(('Hampshire Daily'!AA14-'Hampshire Daily'!AA13&lt;0),"0",('Hampshire Daily'!AA14-'Hampshire Daily'!AA13))</f>
        <v>0</v>
      </c>
      <c r="Y11" s="4">
        <f>IF(('Hampshire Daily'!AB14-'Hampshire Daily'!AB13&lt;0),"0",('Hampshire Daily'!AB14-'Hampshire Daily'!AB13))</f>
        <v>2</v>
      </c>
      <c r="Z11" s="4">
        <f>'[1]Hampshire Daily'!C14</f>
        <v>74</v>
      </c>
      <c r="AA11" s="4">
        <f>'[1]Hampshire Daily'!B14</f>
        <v>32</v>
      </c>
    </row>
    <row r="12" spans="1:31" x14ac:dyDescent="0.25">
      <c r="A12" s="3" t="s">
        <v>41</v>
      </c>
      <c r="B12" s="1">
        <f t="shared" si="0"/>
        <v>11</v>
      </c>
      <c r="C12" s="17">
        <v>1</v>
      </c>
      <c r="D12" s="1">
        <v>2021</v>
      </c>
      <c r="E12" s="4">
        <f>IF(('Hampshire Daily'!D15-'Hampshire Daily'!D14&lt;0),"0",('Hampshire Daily'!D15-'Hampshire Daily'!D14))</f>
        <v>892</v>
      </c>
      <c r="F12" s="4">
        <f>IF(('Hampshire Daily'!F15-'Hampshire Daily'!F14&lt;0),"0",('Hampshire Daily'!F15-'Hampshire Daily'!F14))</f>
        <v>375</v>
      </c>
      <c r="G12" s="4">
        <f>IF(('Hampshire Daily'!H15-'Hampshire Daily'!H14&lt;0),"0",('Hampshire Daily'!H15-'Hampshire Daily'!H14))</f>
        <v>22</v>
      </c>
      <c r="H12" s="4">
        <f>IF(('Hampshire Daily'!I15-'Hampshire Daily'!I14&lt;0),"0",('Hampshire Daily'!I15-'Hampshire Daily'!I14))</f>
        <v>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0</v>
      </c>
      <c r="K12" s="4">
        <f>IF(('Hampshire Daily'!L15-'Hampshire Daily'!L14&lt;0),"0",('Hampshire Daily'!L15-'Hampshire Daily'!L14))</f>
        <v>197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2344</v>
      </c>
      <c r="N12" s="4">
        <f>IF(('Hampshire Daily'!O15-'Hampshire Daily'!O14&lt;0),"0",('Hampshire Daily'!O15-'Hampshire Daily'!O14))</f>
        <v>25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1</v>
      </c>
      <c r="S12" s="4">
        <f>IF(('Hampshire Daily'!V15-'Hampshire Daily'!V14&lt;0),"0",('Hampshire Daily'!V15-'Hampshire Daily'!V14))</f>
        <v>0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0.17700000000002092</v>
      </c>
      <c r="V12" s="4">
        <f>IF(('Hampshire Daily'!Y15-'Hampshire Daily'!Y14&lt;0),"0",('Hampshire Daily'!Y15-'Hampshire Daily'!Y14))</f>
        <v>0.21500000000003183</v>
      </c>
      <c r="W12" s="4">
        <f>IF(('Hampshire Daily'!Z15-'Hampshire Daily'!Z14&lt;0),"0",('Hampshire Daily'!Z15-'Hampshire Daily'!Z14))</f>
        <v>1.2999999999919964E-2</v>
      </c>
      <c r="X12" s="4">
        <f>IF(('Hampshire Daily'!AA15-'Hampshire Daily'!AA14&lt;0),"0",('Hampshire Daily'!AA15-'Hampshire Daily'!AA14))</f>
        <v>0</v>
      </c>
      <c r="Y12" s="4">
        <f>IF(('Hampshire Daily'!AB15-'Hampshire Daily'!AB14&lt;0),"0",('Hampshire Daily'!AB15-'Hampshire Daily'!AB14))</f>
        <v>4</v>
      </c>
      <c r="Z12" s="4">
        <f>'[1]Hampshire Daily'!C15</f>
        <v>146</v>
      </c>
      <c r="AA12" s="4">
        <f>'[1]Hampshire Daily'!B15</f>
        <v>59</v>
      </c>
    </row>
    <row r="13" spans="1:31" x14ac:dyDescent="0.25">
      <c r="A13" s="3" t="s">
        <v>41</v>
      </c>
      <c r="B13" s="1">
        <f t="shared" si="0"/>
        <v>12</v>
      </c>
      <c r="C13" s="17">
        <v>1</v>
      </c>
      <c r="D13" s="1">
        <v>2021</v>
      </c>
      <c r="E13" s="4">
        <f>IF(('Hampshire Daily'!D16-'Hampshire Daily'!D15&lt;0),"0",('Hampshire Daily'!D16-'Hampshire Daily'!D15))</f>
        <v>927</v>
      </c>
      <c r="F13" s="4">
        <f>IF(('Hampshire Daily'!F16-'Hampshire Daily'!F15&lt;0),"0",('Hampshire Daily'!F16-'Hampshire Daily'!F15))</f>
        <v>361</v>
      </c>
      <c r="G13" s="4">
        <f>IF(('Hampshire Daily'!H16-'Hampshire Daily'!H15&lt;0),"0",('Hampshire Daily'!H16-'Hampshire Daily'!H15))</f>
        <v>18</v>
      </c>
      <c r="H13" s="4">
        <f>IF(('Hampshire Daily'!I16-'Hampshire Daily'!I15&lt;0),"0",('Hampshire Daily'!I16-'Hampshire Daily'!I15))</f>
        <v>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0</v>
      </c>
      <c r="K13" s="4">
        <f>IF(('Hampshire Daily'!L16-'Hampshire Daily'!L15&lt;0),"0",('Hampshire Daily'!L16-'Hampshire Daily'!L15))</f>
        <v>197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2586</v>
      </c>
      <c r="N13" s="4">
        <f>IF(('Hampshire Daily'!O16-'Hampshire Daily'!O15&lt;0),"0",('Hampshire Daily'!O16-'Hampshire Daily'!O15))</f>
        <v>23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2</v>
      </c>
      <c r="S13" s="4">
        <f>IF(('Hampshire Daily'!V16-'Hampshire Daily'!V15&lt;0),"0",('Hampshire Daily'!V16-'Hampshire Daily'!V15))</f>
        <v>0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0.19299999999998363</v>
      </c>
      <c r="V13" s="4">
        <f>IF(('Hampshire Daily'!Y16-'Hampshire Daily'!Y15&lt;0),"0",('Hampshire Daily'!Y16-'Hampshire Daily'!Y15))</f>
        <v>0.23599999999999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0</v>
      </c>
      <c r="Y13" s="4">
        <f>IF(('Hampshire Daily'!AB16-'Hampshire Daily'!AB15&lt;0),"0",('Hampshire Daily'!AB16-'Hampshire Daily'!AB15))</f>
        <v>3</v>
      </c>
      <c r="Z13" s="4">
        <f>'[1]Hampshire Daily'!C16</f>
        <v>183</v>
      </c>
      <c r="AA13" s="4">
        <f>'[1]Hampshire Daily'!B16</f>
        <v>71</v>
      </c>
    </row>
    <row r="14" spans="1:31" x14ac:dyDescent="0.25">
      <c r="A14" s="3" t="s">
        <v>41</v>
      </c>
      <c r="B14" s="1">
        <f t="shared" si="0"/>
        <v>13</v>
      </c>
      <c r="C14" s="17">
        <v>1</v>
      </c>
      <c r="D14" s="1">
        <v>2021</v>
      </c>
      <c r="E14" s="4">
        <f>IF(('Hampshire Daily'!D17-'Hampshire Daily'!D16&lt;0),"0",('Hampshire Daily'!D17-'Hampshire Daily'!D16))</f>
        <v>941</v>
      </c>
      <c r="F14" s="4">
        <f>IF(('Hampshire Daily'!F17-'Hampshire Daily'!F16&lt;0),"0",('Hampshire Daily'!F17-'Hampshire Daily'!F16))</f>
        <v>386</v>
      </c>
      <c r="G14" s="4">
        <f>IF(('Hampshire Daily'!H17-'Hampshire Daily'!H16&lt;0),"0",('Hampshire Daily'!H17-'Hampshire Daily'!H16))</f>
        <v>23</v>
      </c>
      <c r="H14" s="4">
        <f>IF(('Hampshire Daily'!I17-'Hampshire Daily'!I16&lt;0),"0",('Hampshire Daily'!I17-'Hampshire Daily'!I16))</f>
        <v>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0</v>
      </c>
      <c r="K14" s="4">
        <f>IF(('Hampshire Daily'!L17-'Hampshire Daily'!L16&lt;0),"0",('Hampshire Daily'!L17-'Hampshire Daily'!L16))</f>
        <v>207</v>
      </c>
      <c r="L14" s="4">
        <f>IF(('Hampshire Daily'!M17-'Hampshire Daily'!M16&lt;0),"0",('Hampshire Daily'!M17-'Hampshire Daily'!M16))</f>
        <v>0</v>
      </c>
      <c r="M14" s="4">
        <f>IF(('Hampshire Daily'!N17-'Hampshire Daily'!N16&lt;0),"0",('Hampshire Daily'!N17-'Hampshire Daily'!N16))</f>
        <v>2709</v>
      </c>
      <c r="N14" s="4">
        <f>IF(('Hampshire Daily'!O17-'Hampshire Daily'!O16&lt;0),"0",('Hampshire Daily'!O17-'Hampshire Daily'!O16))</f>
        <v>19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2</v>
      </c>
      <c r="S14" s="4">
        <f>IF(('Hampshire Daily'!V17-'Hampshire Daily'!V16&lt;0),"0",('Hampshire Daily'!V17-'Hampshire Daily'!V16))</f>
        <v>0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0.42700000000002092</v>
      </c>
      <c r="V14" s="4">
        <f>IF(('Hampshire Daily'!Y17-'Hampshire Daily'!Y16&lt;0),"0",('Hampshire Daily'!Y17-'Hampshire Daily'!Y16))</f>
        <v>0.2459999999999809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0</v>
      </c>
      <c r="Y14" s="4">
        <f>IF(('Hampshire Daily'!AB17-'Hampshire Daily'!AB16&lt;0),"0",('Hampshire Daily'!AB17-'Hampshire Daily'!AB16))</f>
        <v>3</v>
      </c>
      <c r="Z14" s="4">
        <f>'[1]Hampshire Daily'!C17</f>
        <v>141</v>
      </c>
      <c r="AA14" s="4">
        <f>'[1]Hampshire Daily'!B17</f>
        <v>51</v>
      </c>
    </row>
    <row r="15" spans="1:31" x14ac:dyDescent="0.25">
      <c r="A15" s="3" t="s">
        <v>41</v>
      </c>
      <c r="B15" s="1">
        <f t="shared" si="0"/>
        <v>14</v>
      </c>
      <c r="C15" s="17">
        <v>1</v>
      </c>
      <c r="D15" s="1">
        <v>2021</v>
      </c>
      <c r="E15" s="4">
        <f>IF(('Hampshire Daily'!D18-'Hampshire Daily'!D17&lt;0),"0",('Hampshire Daily'!D18-'Hampshire Daily'!D17))</f>
        <v>944</v>
      </c>
      <c r="F15" s="4">
        <f>IF(('Hampshire Daily'!F18-'Hampshire Daily'!F17&lt;0),"0",('Hampshire Daily'!F18-'Hampshire Daily'!F17))</f>
        <v>453</v>
      </c>
      <c r="G15" s="4">
        <f>IF(('Hampshire Daily'!H18-'Hampshire Daily'!H17&lt;0),"0",('Hampshire Daily'!H18-'Hampshire Daily'!H17))</f>
        <v>34</v>
      </c>
      <c r="H15" s="4">
        <f>IF(('Hampshire Daily'!I18-'Hampshire Daily'!I17&lt;0),"0",('Hampshire Daily'!I18-'Hampshire Daily'!I17))</f>
        <v>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0</v>
      </c>
      <c r="K15" s="4">
        <f>IF(('Hampshire Daily'!L18-'Hampshire Daily'!L17&lt;0),"0",('Hampshire Daily'!L18-'Hampshire Daily'!L17))</f>
        <v>238</v>
      </c>
      <c r="L15" s="4">
        <f>IF(('Hampshire Daily'!M18-'Hampshire Daily'!M17&lt;0),"0",('Hampshire Daily'!M18-'Hampshire Daily'!M17))</f>
        <v>0</v>
      </c>
      <c r="M15" s="4">
        <f>IF(('Hampshire Daily'!N18-'Hampshire Daily'!N17&lt;0),"0",('Hampshire Daily'!N18-'Hampshire Daily'!N17))</f>
        <v>2551</v>
      </c>
      <c r="N15" s="4">
        <f>IF(('Hampshire Daily'!O18-'Hampshire Daily'!O17&lt;0),"0",('Hampshire Daily'!O18-'Hampshire Daily'!O17))</f>
        <v>21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0</v>
      </c>
      <c r="R15" s="4">
        <f>IF(('Hampshire Daily'!U18-'Hampshire Daily'!U17&lt;0),"0",('Hampshire Daily'!U18-'Hampshire Daily'!U17))</f>
        <v>2</v>
      </c>
      <c r="S15" s="4">
        <f>IF(('Hampshire Daily'!V18-'Hampshire Daily'!V17&lt;0),"0",('Hampshire Daily'!V18-'Hampshire Daily'!V17))</f>
        <v>0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0.18700000000001182</v>
      </c>
      <c r="V15" s="4">
        <f>IF(('Hampshire Daily'!Y18-'Hampshire Daily'!Y17&lt;0),"0",('Hampshire Daily'!Y18-'Hampshire Daily'!Y17))</f>
        <v>0.25300000000004275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0</v>
      </c>
      <c r="Y15" s="4">
        <f>IF(('Hampshire Daily'!AB18-'Hampshire Daily'!AB17&lt;0),"0",('Hampshire Daily'!AB18-'Hampshire Daily'!AB17))</f>
        <v>3</v>
      </c>
      <c r="Z15" s="4">
        <f>'[1]Hampshire Daily'!C18</f>
        <v>176</v>
      </c>
      <c r="AA15" s="4">
        <f>'[1]Hampshire Daily'!B18</f>
        <v>58</v>
      </c>
    </row>
    <row r="16" spans="1:31" x14ac:dyDescent="0.25">
      <c r="A16" s="3" t="s">
        <v>41</v>
      </c>
      <c r="B16" s="1">
        <f t="shared" si="0"/>
        <v>15</v>
      </c>
      <c r="C16" s="17">
        <v>1</v>
      </c>
      <c r="D16" s="1">
        <v>2021</v>
      </c>
      <c r="E16" s="4">
        <f>IF(('Hampshire Daily'!D19-'Hampshire Daily'!D18&lt;0),"0",('Hampshire Daily'!D19-'Hampshire Daily'!D18))</f>
        <v>934</v>
      </c>
      <c r="F16" s="4">
        <f>IF(('Hampshire Daily'!F19-'Hampshire Daily'!F18&lt;0),"0",('Hampshire Daily'!F19-'Hampshire Daily'!F18))</f>
        <v>317</v>
      </c>
      <c r="G16" s="4">
        <f>IF(('Hampshire Daily'!H19-'Hampshire Daily'!H18&lt;0),"0",('Hampshire Daily'!H19-'Hampshire Daily'!H18))</f>
        <v>9</v>
      </c>
      <c r="H16" s="4">
        <f>IF(('Hampshire Daily'!I19-'Hampshire Daily'!I18&lt;0),"0",('Hampshire Daily'!I19-'Hampshire Daily'!I18))</f>
        <v>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0</v>
      </c>
      <c r="K16" s="4">
        <f>IF(('Hampshire Daily'!L19-'Hampshire Daily'!L18&lt;0),"0",('Hampshire Daily'!L19-'Hampshire Daily'!L18))</f>
        <v>173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2372</v>
      </c>
      <c r="N16" s="4">
        <f>IF(('Hampshire Daily'!O19-'Hampshire Daily'!O18&lt;0),"0",('Hampshire Daily'!O19-'Hampshire Daily'!O18))</f>
        <v>19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1</v>
      </c>
      <c r="S16" s="4">
        <f>IF(('Hampshire Daily'!V19-'Hampshire Daily'!V18&lt;0),"0",('Hampshire Daily'!V19-'Hampshire Daily'!V18))</f>
        <v>0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0.17199999999996862</v>
      </c>
      <c r="V16" s="4">
        <f>IF(('Hampshire Daily'!Y19-'Hampshire Daily'!Y18&lt;0),"0",('Hampshire Daily'!Y19-'Hampshire Daily'!Y18))</f>
        <v>0.19899999999995543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0</v>
      </c>
      <c r="Y16" s="4">
        <f>IF(('Hampshire Daily'!AB19-'Hampshire Daily'!AB18&lt;0),"0",('Hampshire Daily'!AB19-'Hampshire Daily'!AB18))</f>
        <v>3</v>
      </c>
      <c r="Z16" s="4">
        <f>'[1]Hampshire Daily'!C19</f>
        <v>235</v>
      </c>
      <c r="AA16" s="4">
        <f>'[1]Hampshire Daily'!B19</f>
        <v>80</v>
      </c>
    </row>
    <row r="17" spans="1:27" x14ac:dyDescent="0.25">
      <c r="A17" s="3" t="s">
        <v>41</v>
      </c>
      <c r="B17" s="1">
        <f t="shared" si="0"/>
        <v>16</v>
      </c>
      <c r="C17" s="17">
        <v>1</v>
      </c>
      <c r="D17" s="1">
        <v>2021</v>
      </c>
      <c r="E17" s="4">
        <f>IF(('Hampshire Daily'!D20-'Hampshire Daily'!D19&lt;0),"0",('Hampshire Daily'!D20-'Hampshire Daily'!D19))</f>
        <v>972</v>
      </c>
      <c r="F17" s="4">
        <f>IF(('Hampshire Daily'!F20-'Hampshire Daily'!F19&lt;0),"0",('Hampshire Daily'!F20-'Hampshire Daily'!F19))</f>
        <v>342</v>
      </c>
      <c r="G17" s="4">
        <f>IF(('Hampshire Daily'!H20-'Hampshire Daily'!H19&lt;0),"0",('Hampshire Daily'!H20-'Hampshire Daily'!H19))</f>
        <v>16</v>
      </c>
      <c r="H17" s="4">
        <f>IF(('Hampshire Daily'!I20-'Hampshire Daily'!I19&lt;0),"0",('Hampshire Daily'!I20-'Hampshire Daily'!I19))</f>
        <v>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0</v>
      </c>
      <c r="K17" s="4">
        <f>IF(('Hampshire Daily'!L20-'Hampshire Daily'!L19&lt;0),"0",('Hampshire Daily'!L20-'Hampshire Daily'!L19))</f>
        <v>197</v>
      </c>
      <c r="L17" s="4">
        <f>IF(('Hampshire Daily'!M20-'Hampshire Daily'!M19&lt;0),"0",('Hampshire Daily'!M20-'Hampshire Daily'!M19))</f>
        <v>0</v>
      </c>
      <c r="M17" s="4">
        <f>IF(('Hampshire Daily'!N20-'Hampshire Daily'!N19&lt;0),"0",('Hampshire Daily'!N20-'Hampshire Daily'!N19))</f>
        <v>2008</v>
      </c>
      <c r="N17" s="4">
        <f>IF(('Hampshire Daily'!O20-'Hampshire Daily'!O19&lt;0),"0",('Hampshire Daily'!O20-'Hampshire Daily'!O19))</f>
        <v>24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1</v>
      </c>
      <c r="S17" s="4">
        <f>IF(('Hampshire Daily'!V20-'Hampshire Daily'!V19&lt;0),"0",('Hampshire Daily'!V20-'Hampshire Daily'!V19))</f>
        <v>0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0.10900000000003729</v>
      </c>
      <c r="V17" s="4">
        <f>IF(('Hampshire Daily'!Y20-'Hampshire Daily'!Y19&lt;0),"0",('Hampshire Daily'!Y20-'Hampshire Daily'!Y19))</f>
        <v>0.12100000000009459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0</v>
      </c>
      <c r="Y17" s="4">
        <f>IF(('Hampshire Daily'!AB20-'Hampshire Daily'!AB19&lt;0),"0",('Hampshire Daily'!AB20-'Hampshire Daily'!AB19))</f>
        <v>3</v>
      </c>
      <c r="Z17" s="4">
        <f>'[1]Hampshire Daily'!C20</f>
        <v>198</v>
      </c>
      <c r="AA17" s="4">
        <f>'[1]Hampshire Daily'!B20</f>
        <v>67</v>
      </c>
    </row>
    <row r="18" spans="1:27" x14ac:dyDescent="0.25">
      <c r="A18" s="3" t="s">
        <v>41</v>
      </c>
      <c r="B18" s="1">
        <f t="shared" si="0"/>
        <v>17</v>
      </c>
      <c r="C18" s="17">
        <v>1</v>
      </c>
      <c r="D18" s="1">
        <v>2021</v>
      </c>
      <c r="E18" s="4">
        <f>IF(('Hampshire Daily'!D21-'Hampshire Daily'!D20&lt;0),"0",('Hampshire Daily'!D21-'Hampshire Daily'!D20))</f>
        <v>3091</v>
      </c>
      <c r="F18" s="4">
        <f>IF(('Hampshire Daily'!F21-'Hampshire Daily'!F20&lt;0),"0",('Hampshire Daily'!F21-'Hampshire Daily'!F20))</f>
        <v>318</v>
      </c>
      <c r="G18" s="4">
        <f>IF(('Hampshire Daily'!H21-'Hampshire Daily'!H20&lt;0),"0",('Hampshire Daily'!H21-'Hampshire Daily'!H20))</f>
        <v>12</v>
      </c>
      <c r="H18" s="4">
        <f>IF(('Hampshire Daily'!I21-'Hampshire Daily'!I20&lt;0),"0",('Hampshire Daily'!I21-'Hampshire Daily'!I20))</f>
        <v>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0</v>
      </c>
      <c r="K18" s="4">
        <f>IF(('Hampshire Daily'!L21-'Hampshire Daily'!L20&lt;0),"0",('Hampshire Daily'!L21-'Hampshire Daily'!L20))</f>
        <v>197</v>
      </c>
      <c r="L18" s="4">
        <f>IF(('Hampshire Daily'!M21-'Hampshire Daily'!M20&lt;0),"0",('Hampshire Daily'!M21-'Hampshire Daily'!M20))</f>
        <v>492</v>
      </c>
      <c r="M18" s="4">
        <f>IF(('Hampshire Daily'!N21-'Hampshire Daily'!N20&lt;0),"0",('Hampshire Daily'!N21-'Hampshire Daily'!N20))</f>
        <v>1618</v>
      </c>
      <c r="N18" s="4">
        <f>IF(('Hampshire Daily'!O21-'Hampshire Daily'!O20&lt;0),"0",('Hampshire Daily'!O21-'Hampshire Daily'!O20))</f>
        <v>22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0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4</v>
      </c>
      <c r="S18" s="4">
        <f>IF(('Hampshire Daily'!V21-'Hampshire Daily'!V20&lt;0),"0",('Hampshire Daily'!V21-'Hampshire Daily'!V20))</f>
        <v>0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0.15499999999997272</v>
      </c>
      <c r="V18" s="4">
        <f>IF(('Hampshire Daily'!Y21-'Hampshire Daily'!Y20&lt;0),"0",('Hampshire Daily'!Y21-'Hampshire Daily'!Y20))</f>
        <v>9.9999999999909051E-2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0</v>
      </c>
      <c r="Y18" s="4">
        <f>IF(('Hampshire Daily'!AB21-'Hampshire Daily'!AB20&lt;0),"0",('Hampshire Daily'!AB21-'Hampshire Daily'!AB20))</f>
        <v>3</v>
      </c>
      <c r="Z18" s="4">
        <f>'[1]Hampshire Daily'!C21</f>
        <v>149</v>
      </c>
      <c r="AA18" s="4">
        <f>'[1]Hampshire Daily'!B21</f>
        <v>49</v>
      </c>
    </row>
    <row r="19" spans="1:27" x14ac:dyDescent="0.25">
      <c r="A19" s="3" t="s">
        <v>41</v>
      </c>
      <c r="B19" s="1">
        <f t="shared" si="0"/>
        <v>18</v>
      </c>
      <c r="C19" s="17">
        <v>1</v>
      </c>
      <c r="D19" s="1">
        <v>2021</v>
      </c>
      <c r="E19" s="4">
        <f>IF(('Hampshire Daily'!D22-'Hampshire Daily'!D21&lt;0),"0",('Hampshire Daily'!D22-'Hampshire Daily'!D21))</f>
        <v>1046</v>
      </c>
      <c r="F19" s="4">
        <f>IF(('Hampshire Daily'!F22-'Hampshire Daily'!F21&lt;0),"0",('Hampshire Daily'!F22-'Hampshire Daily'!F21))</f>
        <v>352</v>
      </c>
      <c r="G19" s="4">
        <f>IF(('Hampshire Daily'!H22-'Hampshire Daily'!H21&lt;0),"0",('Hampshire Daily'!H22-'Hampshire Daily'!H21))</f>
        <v>16</v>
      </c>
      <c r="H19" s="4">
        <f>IF(('Hampshire Daily'!I22-'Hampshire Daily'!I21&lt;0),"0",('Hampshire Daily'!I22-'Hampshire Daily'!I21))</f>
        <v>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0</v>
      </c>
      <c r="K19" s="4">
        <f>IF(('Hampshire Daily'!L22-'Hampshire Daily'!L21&lt;0),"0",('Hampshire Daily'!L22-'Hampshire Daily'!L21))</f>
        <v>197</v>
      </c>
      <c r="L19" s="4">
        <f>IF(('Hampshire Daily'!M22-'Hampshire Daily'!M21&lt;0),"0",('Hampshire Daily'!M22-'Hampshire Daily'!M21))</f>
        <v>17</v>
      </c>
      <c r="M19" s="4">
        <f>IF(('Hampshire Daily'!N22-'Hampshire Daily'!N21&lt;0),"0",('Hampshire Daily'!N22-'Hampshire Daily'!N21))</f>
        <v>2152</v>
      </c>
      <c r="N19" s="4">
        <f>IF(('Hampshire Daily'!O22-'Hampshire Daily'!O21&lt;0),"0",('Hampshire Daily'!O22-'Hampshire Daily'!O21))</f>
        <v>23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0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0</v>
      </c>
      <c r="S19" s="4">
        <f>IF(('Hampshire Daily'!V22-'Hampshire Daily'!V21&lt;0),"0",('Hampshire Daily'!V22-'Hampshire Daily'!V21))</f>
        <v>0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0.19999999999998863</v>
      </c>
      <c r="V19" s="4">
        <f>IF(('Hampshire Daily'!Y22-'Hampshire Daily'!Y21&lt;0),"0",('Hampshire Daily'!Y22-'Hampshire Daily'!Y21))</f>
        <v>0.1430000000000291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0</v>
      </c>
      <c r="Y19" s="4">
        <f>IF(('Hampshire Daily'!AB22-'Hampshire Daily'!AB21&lt;0),"0",('Hampshire Daily'!AB22-'Hampshire Daily'!AB21))</f>
        <v>2</v>
      </c>
      <c r="Z19" s="4">
        <f>'[1]Hampshire Daily'!C22</f>
        <v>145</v>
      </c>
      <c r="AA19" s="4">
        <f>'[1]Hampshire Daily'!B22</f>
        <v>49</v>
      </c>
    </row>
    <row r="20" spans="1:27" x14ac:dyDescent="0.25">
      <c r="A20" s="3" t="s">
        <v>41</v>
      </c>
      <c r="B20" s="1">
        <f t="shared" si="0"/>
        <v>19</v>
      </c>
      <c r="C20" s="17">
        <v>1</v>
      </c>
      <c r="D20" s="1">
        <v>2021</v>
      </c>
      <c r="E20" s="4">
        <f>IF(('Hampshire Daily'!D23-'Hampshire Daily'!D22&lt;0),"0",('Hampshire Daily'!D23-'Hampshire Daily'!D22))</f>
        <v>1007</v>
      </c>
      <c r="F20" s="4">
        <f>IF(('Hampshire Daily'!F23-'Hampshire Daily'!F22&lt;0),"0",('Hampshire Daily'!F23-'Hampshire Daily'!F22))</f>
        <v>363</v>
      </c>
      <c r="G20" s="4">
        <f>IF(('Hampshire Daily'!H23-'Hampshire Daily'!H22&lt;0),"0",('Hampshire Daily'!H23-'Hampshire Daily'!H22))</f>
        <v>18</v>
      </c>
      <c r="H20" s="4">
        <f>IF(('Hampshire Daily'!I23-'Hampshire Daily'!I22&lt;0),"0",('Hampshire Daily'!I23-'Hampshire Daily'!I22))</f>
        <v>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0</v>
      </c>
      <c r="K20" s="4">
        <f>IF(('Hampshire Daily'!L23-'Hampshire Daily'!L22&lt;0),"0",('Hampshire Daily'!L23-'Hampshire Daily'!L22))</f>
        <v>197</v>
      </c>
      <c r="L20" s="4">
        <f>IF(('Hampshire Daily'!M23-'Hampshire Daily'!M22&lt;0),"0",('Hampshire Daily'!M23-'Hampshire Daily'!M22))</f>
        <v>0</v>
      </c>
      <c r="M20" s="4">
        <f>IF(('Hampshire Daily'!N23-'Hampshire Daily'!N22&lt;0),"0",('Hampshire Daily'!N23-'Hampshire Daily'!N22))</f>
        <v>2206</v>
      </c>
      <c r="N20" s="4">
        <f>IF(('Hampshire Daily'!O23-'Hampshire Daily'!O22&lt;0),"0",('Hampshire Daily'!O23-'Hampshire Daily'!O22))</f>
        <v>33</v>
      </c>
      <c r="O20" s="4">
        <f>IF(('Hampshire Daily'!P23-'Hampshire Daily'!P22&lt;0),"0",('Hampshire Daily'!P23-'Hampshire Daily'!P22))</f>
        <v>0</v>
      </c>
      <c r="P20" s="4">
        <f>IF(('Hampshire Daily'!Q23-'Hampshire Daily'!Q22&lt;0),"0",('Hampshire Daily'!Q23-'Hampshire Daily'!Q22))</f>
        <v>0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0</v>
      </c>
      <c r="S20" s="4">
        <f>IF(('Hampshire Daily'!V23-'Hampshire Daily'!V22&lt;0),"0",('Hampshire Daily'!V23-'Hampshire Daily'!V22))</f>
        <v>0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0.17500000000001137</v>
      </c>
      <c r="V20" s="4">
        <f>IF(('Hampshire Daily'!Y23-'Hampshire Daily'!Y22&lt;0),"0",('Hampshire Daily'!Y23-'Hampshire Daily'!Y22))</f>
        <v>0.18100000000004002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0</v>
      </c>
      <c r="Y20" s="4">
        <f>IF(('Hampshire Daily'!AB23-'Hampshire Daily'!AB22&lt;0),"0",('Hampshire Daily'!AB23-'Hampshire Daily'!AB22))</f>
        <v>3</v>
      </c>
      <c r="Z20" s="4">
        <f>'[1]Hampshire Daily'!C23</f>
        <v>163</v>
      </c>
      <c r="AA20" s="4">
        <f>'[1]Hampshire Daily'!B23</f>
        <v>58</v>
      </c>
    </row>
    <row r="21" spans="1:27" x14ac:dyDescent="0.25">
      <c r="A21" s="3" t="s">
        <v>41</v>
      </c>
      <c r="B21" s="1">
        <f t="shared" si="0"/>
        <v>20</v>
      </c>
      <c r="C21" s="17">
        <v>1</v>
      </c>
      <c r="D21" s="1">
        <v>2021</v>
      </c>
      <c r="E21" s="4">
        <f>IF(('Hampshire Daily'!D24-'Hampshire Daily'!D23&lt;0),"0",('Hampshire Daily'!D24-'Hampshire Daily'!D23))</f>
        <v>999</v>
      </c>
      <c r="F21" s="4">
        <f>IF(('Hampshire Daily'!F24-'Hampshire Daily'!F23&lt;0),"0",('Hampshire Daily'!F24-'Hampshire Daily'!F23))</f>
        <v>382</v>
      </c>
      <c r="G21" s="4">
        <f>IF(('Hampshire Daily'!H24-'Hampshire Daily'!H23&lt;0),"0",('Hampshire Daily'!H24-'Hampshire Daily'!H23))</f>
        <v>21</v>
      </c>
      <c r="H21" s="4">
        <f>IF(('Hampshire Daily'!I24-'Hampshire Daily'!I23&lt;0),"0",('Hampshire Daily'!I24-'Hampshire Daily'!I23))</f>
        <v>0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0</v>
      </c>
      <c r="K21" s="4">
        <f>IF(('Hampshire Daily'!L24-'Hampshire Daily'!L23&lt;0),"0",('Hampshire Daily'!L24-'Hampshire Daily'!L23))</f>
        <v>197</v>
      </c>
      <c r="L21" s="4">
        <f>IF(('Hampshire Daily'!M24-'Hampshire Daily'!M23&lt;0),"0",('Hampshire Daily'!M24-'Hampshire Daily'!M23))</f>
        <v>0</v>
      </c>
      <c r="M21" s="4">
        <f>IF(('Hampshire Daily'!N24-'Hampshire Daily'!N23&lt;0),"0",('Hampshire Daily'!N24-'Hampshire Daily'!N23))</f>
        <v>2133</v>
      </c>
      <c r="N21" s="4">
        <f>IF(('Hampshire Daily'!O24-'Hampshire Daily'!O23&lt;0),"0",('Hampshire Daily'!O24-'Hampshire Daily'!O23))</f>
        <v>15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0</v>
      </c>
      <c r="R21" s="4">
        <f>IF(('Hampshire Daily'!U24-'Hampshire Daily'!U23&lt;0),"0",('Hampshire Daily'!U24-'Hampshire Daily'!U23))</f>
        <v>2</v>
      </c>
      <c r="S21" s="4">
        <f>IF(('Hampshire Daily'!V24-'Hampshire Daily'!V23&lt;0),"0",('Hampshire Daily'!V24-'Hampshire Daily'!V23))</f>
        <v>0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0.16700000000003001</v>
      </c>
      <c r="V21" s="4">
        <f>IF(('Hampshire Daily'!Y24-'Hampshire Daily'!Y23&lt;0),"0",('Hampshire Daily'!Y24-'Hampshire Daily'!Y23))</f>
        <v>0.14900000000000091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0</v>
      </c>
      <c r="Y21" s="4">
        <f>IF(('Hampshire Daily'!AB24-'Hampshire Daily'!AB23&lt;0),"0",('Hampshire Daily'!AB24-'Hampshire Daily'!AB23))</f>
        <v>3</v>
      </c>
      <c r="Z21" s="4">
        <f>'[1]Hampshire Daily'!C24</f>
        <v>90</v>
      </c>
      <c r="AA21" s="4">
        <f>'[1]Hampshire Daily'!B24</f>
        <v>26</v>
      </c>
    </row>
    <row r="22" spans="1:27" x14ac:dyDescent="0.25">
      <c r="A22" s="3" t="s">
        <v>41</v>
      </c>
      <c r="B22" s="1">
        <f t="shared" si="0"/>
        <v>21</v>
      </c>
      <c r="C22" s="17">
        <v>1</v>
      </c>
      <c r="D22" s="1">
        <v>2021</v>
      </c>
      <c r="E22" s="4">
        <f>IF(('Hampshire Daily'!D25-'Hampshire Daily'!D24&lt;0),"0",('Hampshire Daily'!D25-'Hampshire Daily'!D24))</f>
        <v>913</v>
      </c>
      <c r="F22" s="4">
        <f>IF(('Hampshire Daily'!F25-'Hampshire Daily'!F24&lt;0),"0",('Hampshire Daily'!F25-'Hampshire Daily'!F24))</f>
        <v>798</v>
      </c>
      <c r="G22" s="4">
        <f>IF(('Hampshire Daily'!H25-'Hampshire Daily'!H24&lt;0),"0",('Hampshire Daily'!H25-'Hampshire Daily'!H24))</f>
        <v>144</v>
      </c>
      <c r="H22" s="4">
        <f>IF(('Hampshire Daily'!I25-'Hampshire Daily'!I24&lt;0),"0",('Hampshire Daily'!I25-'Hampshire Daily'!I24))</f>
        <v>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0</v>
      </c>
      <c r="K22" s="4">
        <f>IF(('Hampshire Daily'!L25-'Hampshire Daily'!L24&lt;0),"0",('Hampshire Daily'!L25-'Hampshire Daily'!L24))</f>
        <v>197</v>
      </c>
      <c r="L22" s="4">
        <f>IF(('Hampshire Daily'!M25-'Hampshire Daily'!M24&lt;0),"0",('Hampshire Daily'!M25-'Hampshire Daily'!M24))</f>
        <v>0</v>
      </c>
      <c r="M22" s="4">
        <f>IF(('Hampshire Daily'!N25-'Hampshire Daily'!N24&lt;0),"0",('Hampshire Daily'!N25-'Hampshire Daily'!N24))</f>
        <v>1744</v>
      </c>
      <c r="N22" s="4">
        <f>IF(('Hampshire Daily'!O25-'Hampshire Daily'!O24&lt;0),"0",('Hampshire Daily'!O25-'Hampshire Daily'!O24))</f>
        <v>26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1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0.14400000000000546</v>
      </c>
      <c r="V22" s="4">
        <f>IF(('Hampshire Daily'!Y25-'Hampshire Daily'!Y24&lt;0),"0",('Hampshire Daily'!Y25-'Hampshire Daily'!Y24))</f>
        <v>0.15099999999995362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0</v>
      </c>
      <c r="Y22" s="4">
        <f>IF(('Hampshire Daily'!AB25-'Hampshire Daily'!AB24&lt;0),"0",('Hampshire Daily'!AB25-'Hampshire Daily'!AB24))</f>
        <v>3</v>
      </c>
      <c r="Z22" s="4">
        <f>'[1]Hampshire Daily'!C25</f>
        <v>72</v>
      </c>
      <c r="AA22" s="4">
        <f>'[1]Hampshire Daily'!B25</f>
        <v>19</v>
      </c>
    </row>
    <row r="23" spans="1:27" x14ac:dyDescent="0.25">
      <c r="A23" s="3" t="s">
        <v>41</v>
      </c>
      <c r="B23" s="1">
        <f t="shared" si="0"/>
        <v>22</v>
      </c>
      <c r="C23" s="17">
        <v>1</v>
      </c>
      <c r="D23" s="1">
        <v>2021</v>
      </c>
      <c r="E23" s="4">
        <f>IF(('Hampshire Daily'!D26-'Hampshire Daily'!D25&lt;0),"0",('Hampshire Daily'!D26-'Hampshire Daily'!D25))</f>
        <v>968</v>
      </c>
      <c r="F23" s="4">
        <f>IF(('Hampshire Daily'!F26-'Hampshire Daily'!F25&lt;0),"0",('Hampshire Daily'!F26-'Hampshire Daily'!F25))</f>
        <v>945</v>
      </c>
      <c r="G23" s="4">
        <f>IF(('Hampshire Daily'!H26-'Hampshire Daily'!H25&lt;0),"0",('Hampshire Daily'!H26-'Hampshire Daily'!H25))</f>
        <v>176</v>
      </c>
      <c r="H23" s="4">
        <f>IF(('Hampshire Daily'!I26-'Hampshire Daily'!I25&lt;0),"0",('Hampshire Daily'!I26-'Hampshire Daily'!I25))</f>
        <v>6961487</v>
      </c>
      <c r="I23" s="4">
        <f>IF(('Hampshire Daily'!J26-'Hampshire Daily'!J25&lt;0),"0",('Hampshire Daily'!J26-'Hampshire Daily'!J25))</f>
        <v>31845</v>
      </c>
      <c r="J23" s="4">
        <f>IF(('Hampshire Daily'!K26-'Hampshire Daily'!K25&lt;0),"0",('Hampshire Daily'!K26-'Hampshire Daily'!K25))</f>
        <v>4897276</v>
      </c>
      <c r="K23" s="4">
        <f>IF(('Hampshire Daily'!L26-'Hampshire Daily'!L25&lt;0),"0",('Hampshire Daily'!L26-'Hampshire Daily'!L25))</f>
        <v>200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1934</v>
      </c>
      <c r="N23" s="4">
        <f>IF(('Hampshire Daily'!O26-'Hampshire Daily'!O25&lt;0),"0",('Hampshire Daily'!O26-'Hampshire Daily'!O25))</f>
        <v>19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1</v>
      </c>
      <c r="S23" s="4">
        <f>IF(('Hampshire Daily'!V26-'Hampshire Daily'!V25&lt;0),"0",('Hampshire Daily'!V26-'Hampshire Daily'!V25))</f>
        <v>6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0.16899999999998272</v>
      </c>
      <c r="V23" s="4">
        <f>IF(('Hampshire Daily'!Y26-'Hampshire Daily'!Y25&lt;0),"0",('Hampshire Daily'!Y26-'Hampshire Daily'!Y25))</f>
        <v>0.19000000000005457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0</v>
      </c>
      <c r="Y23" s="4">
        <f>IF(('Hampshire Daily'!AB26-'Hampshire Daily'!AB25&lt;0),"0",('Hampshire Daily'!AB26-'Hampshire Daily'!AB25))</f>
        <v>7</v>
      </c>
      <c r="Z23" s="4">
        <f>'[1]Hampshire Daily'!C26</f>
        <v>90</v>
      </c>
      <c r="AA23" s="4">
        <f>'[1]Hampshire Daily'!B26</f>
        <v>27</v>
      </c>
    </row>
    <row r="24" spans="1:27" x14ac:dyDescent="0.25">
      <c r="A24" s="3" t="s">
        <v>41</v>
      </c>
      <c r="B24" s="1">
        <f t="shared" si="0"/>
        <v>23</v>
      </c>
      <c r="C24" s="17">
        <v>1</v>
      </c>
      <c r="D24" s="1">
        <v>2021</v>
      </c>
      <c r="E24" s="4">
        <f>IF(('Hampshire Daily'!D27-'Hampshire Daily'!D26&lt;0),"0",('Hampshire Daily'!D27-'Hampshire Daily'!D26))</f>
        <v>1078</v>
      </c>
      <c r="F24" s="4">
        <f>IF(('Hampshire Daily'!F27-'Hampshire Daily'!F26&lt;0),"0",('Hampshire Daily'!F27-'Hampshire Daily'!F26))</f>
        <v>374</v>
      </c>
      <c r="G24" s="4">
        <f>IF(('Hampshire Daily'!H27-'Hampshire Daily'!H26&lt;0),"0",('Hampshire Daily'!H27-'Hampshire Daily'!H26))</f>
        <v>19</v>
      </c>
      <c r="H24" s="4">
        <f>IF(('Hampshire Daily'!I27-'Hampshire Daily'!I26&lt;0),"0",('Hampshire Daily'!I27-'Hampshire Daily'!I26))</f>
        <v>1350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770</v>
      </c>
      <c r="K24" s="4">
        <f>IF(('Hampshire Daily'!L27-'Hampshire Daily'!L26&lt;0),"0",('Hampshire Daily'!L27-'Hampshire Daily'!L26))</f>
        <v>151</v>
      </c>
      <c r="L24" s="4">
        <f>IF(('Hampshire Daily'!M27-'Hampshire Daily'!M26&lt;0),"0",('Hampshire Daily'!M27-'Hampshire Daily'!M26))</f>
        <v>11</v>
      </c>
      <c r="M24" s="4">
        <f>IF(('Hampshire Daily'!N27-'Hampshire Daily'!N26&lt;0),"0",('Hampshire Daily'!N27-'Hampshire Daily'!N26))</f>
        <v>2073</v>
      </c>
      <c r="N24" s="4">
        <f>IF(('Hampshire Daily'!O27-'Hampshire Daily'!O26&lt;0),"0",('Hampshire Daily'!O27-'Hampshire Daily'!O26))</f>
        <v>28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2</v>
      </c>
      <c r="S24" s="4">
        <f>IF(('Hampshire Daily'!V27-'Hampshire Daily'!V26&lt;0),"0",('Hampshire Daily'!V27-'Hampshire Daily'!V26))</f>
        <v>0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0.17700000000002092</v>
      </c>
      <c r="V24" s="4">
        <f>IF(('Hampshire Daily'!Y27-'Hampshire Daily'!Y26&lt;0),"0",('Hampshire Daily'!Y27-'Hampshire Daily'!Y26))</f>
        <v>0.17899999999997362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0</v>
      </c>
      <c r="Y24" s="4">
        <f>IF(('Hampshire Daily'!AB27-'Hampshire Daily'!AB26&lt;0),"0",('Hampshire Daily'!AB27-'Hampshire Daily'!AB26))</f>
        <v>3</v>
      </c>
      <c r="Z24" s="4">
        <f>'[1]Hampshire Daily'!C27</f>
        <v>99</v>
      </c>
      <c r="AA24" s="4">
        <f>'[1]Hampshire Daily'!B27</f>
        <v>35</v>
      </c>
    </row>
    <row r="25" spans="1:27" x14ac:dyDescent="0.25">
      <c r="A25" s="3" t="s">
        <v>41</v>
      </c>
      <c r="B25" s="1">
        <f t="shared" si="0"/>
        <v>24</v>
      </c>
      <c r="C25" s="17">
        <v>1</v>
      </c>
      <c r="D25" s="1">
        <v>2021</v>
      </c>
      <c r="E25" s="4">
        <f>IF(('Hampshire Daily'!D28-'Hampshire Daily'!D27&lt;0),"0",('Hampshire Daily'!D28-'Hampshire Daily'!D27))</f>
        <v>2339</v>
      </c>
      <c r="F25" s="4">
        <f>IF(('Hampshire Daily'!F28-'Hampshire Daily'!F27&lt;0),"0",('Hampshire Daily'!F28-'Hampshire Daily'!F27))</f>
        <v>1676</v>
      </c>
      <c r="G25" s="4">
        <f>IF(('Hampshire Daily'!H28-'Hampshire Daily'!H27&lt;0),"0",('Hampshire Daily'!H28-'Hampshire Daily'!H27))</f>
        <v>395</v>
      </c>
      <c r="H25" s="4" t="str">
        <f>IF(('Hampshire Daily'!I28-'Hampshire Daily'!I27&lt;0),"0",('Hampshire Daily'!I28-'Hampshire Daily'!I27))</f>
        <v>0</v>
      </c>
      <c r="I25" s="4" t="str">
        <f>IF(('Hampshire Daily'!J28-'Hampshire Daily'!J27&lt;0),"0",('Hampshire Daily'!J28-'Hampshire Daily'!J27))</f>
        <v>0</v>
      </c>
      <c r="J25" s="4" t="str">
        <f>IF(('Hampshire Daily'!K28-'Hampshire Daily'!K27&lt;0),"0",('Hampshire Daily'!K28-'Hampshire Daily'!K27))</f>
        <v>0</v>
      </c>
      <c r="K25" s="4">
        <f>IF(('Hampshire Daily'!L28-'Hampshire Daily'!L27&lt;0),"0",('Hampshire Daily'!L28-'Hampshire Daily'!L27))</f>
        <v>150</v>
      </c>
      <c r="L25" s="4">
        <f>IF(('Hampshire Daily'!M28-'Hampshire Daily'!M27&lt;0),"0",('Hampshire Daily'!M28-'Hampshire Daily'!M27))</f>
        <v>342</v>
      </c>
      <c r="M25" s="4">
        <f>IF(('Hampshire Daily'!N28-'Hampshire Daily'!N27&lt;0),"0",('Hampshire Daily'!N28-'Hampshire Daily'!N27))</f>
        <v>1153</v>
      </c>
      <c r="N25" s="4">
        <f>IF(('Hampshire Daily'!O28-'Hampshire Daily'!O27&lt;0),"0",('Hampshire Daily'!O28-'Hampshire Daily'!O27))</f>
        <v>20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1</v>
      </c>
      <c r="S25" s="4">
        <f>IF(('Hampshire Daily'!V28-'Hampshire Daily'!V27&lt;0),"0",('Hampshire Daily'!V28-'Hampshire Daily'!V27))</f>
        <v>0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0.13700000000000045</v>
      </c>
      <c r="V25" s="4">
        <f>IF(('Hampshire Daily'!Y28-'Hampshire Daily'!Y27&lt;0),"0",('Hampshire Daily'!Y28-'Hampshire Daily'!Y27))</f>
        <v>0.17899999999997362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0</v>
      </c>
      <c r="Y25" s="4">
        <f>IF(('Hampshire Daily'!AB28-'Hampshire Daily'!AB27&lt;0),"0",('Hampshire Daily'!AB28-'Hampshire Daily'!AB27))</f>
        <v>3</v>
      </c>
      <c r="Z25" s="4">
        <f>'[1]Hampshire Daily'!C28</f>
        <v>65</v>
      </c>
      <c r="AA25" s="4">
        <f>'[1]Hampshire Daily'!B28</f>
        <v>26</v>
      </c>
    </row>
    <row r="26" spans="1:27" x14ac:dyDescent="0.25">
      <c r="A26" s="3" t="s">
        <v>41</v>
      </c>
      <c r="B26" s="15">
        <f>B25+1</f>
        <v>25</v>
      </c>
      <c r="C26" s="17">
        <v>1</v>
      </c>
      <c r="D26" s="1">
        <v>2021</v>
      </c>
      <c r="E26" s="4">
        <f>IF(('Hampshire Daily'!D29-'Hampshire Daily'!D28&lt;0),"0",('Hampshire Daily'!D29-'Hampshire Daily'!D28))</f>
        <v>976</v>
      </c>
      <c r="F26" s="4">
        <f>IF(('Hampshire Daily'!F29-'Hampshire Daily'!F28&lt;0),"0",('Hampshire Daily'!F29-'Hampshire Daily'!F28))</f>
        <v>341</v>
      </c>
      <c r="G26" s="4">
        <f>IF(('Hampshire Daily'!H29-'Hampshire Daily'!H28&lt;0),"0",('Hampshire Daily'!H29-'Hampshire Daily'!H28))</f>
        <v>16</v>
      </c>
      <c r="H26" s="4">
        <f>IF(('Hampshire Daily'!I29-'Hampshire Daily'!I28&lt;0),"0",('Hampshire Daily'!I29-'Hampshire Daily'!I28))</f>
        <v>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0</v>
      </c>
      <c r="K26" s="4">
        <f>IF(('Hampshire Daily'!L29-'Hampshire Daily'!L28&lt;0),"0",('Hampshire Daily'!L29-'Hampshire Daily'!L28))</f>
        <v>194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1797</v>
      </c>
      <c r="N26" s="4">
        <f>IF(('Hampshire Daily'!O29-'Hampshire Daily'!O28&lt;0),"0",('Hampshire Daily'!O29-'Hampshire Daily'!O28))</f>
        <v>40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3</v>
      </c>
      <c r="S26" s="4">
        <f>IF(('Hampshire Daily'!V29-'Hampshire Daily'!V28&lt;0),"0",('Hampshire Daily'!V29-'Hampshire Daily'!V28))</f>
        <v>0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0.15999999999996817</v>
      </c>
      <c r="V26" s="4">
        <f>IF(('Hampshire Daily'!Y29-'Hampshire Daily'!Y28&lt;0),"0",('Hampshire Daily'!Y29-'Hampshire Daily'!Y28))</f>
        <v>0.11400000000003274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0</v>
      </c>
      <c r="Y26" s="4">
        <f>IF(('Hampshire Daily'!AB29-'Hampshire Daily'!AB28&lt;0),"0",('Hampshire Daily'!AB29-'Hampshire Daily'!AB28))</f>
        <v>3</v>
      </c>
      <c r="Z26" s="4">
        <f>'[1]Hampshire Daily'!C29</f>
        <v>53</v>
      </c>
      <c r="AA26" s="4">
        <f>'[1]Hampshire Daily'!B29</f>
        <v>23</v>
      </c>
    </row>
    <row r="27" spans="1:27" x14ac:dyDescent="0.25">
      <c r="A27" s="3" t="s">
        <v>41</v>
      </c>
      <c r="B27" s="1">
        <f t="shared" si="0"/>
        <v>26</v>
      </c>
      <c r="C27" s="17">
        <v>1</v>
      </c>
      <c r="D27" s="1">
        <v>2021</v>
      </c>
      <c r="E27" s="4">
        <f>IF(('Hampshire Daily'!D30-'Hampshire Daily'!D29&lt;0),"0",('Hampshire Daily'!D30-'Hampshire Daily'!D29))</f>
        <v>978</v>
      </c>
      <c r="F27" s="4">
        <f>IF(('Hampshire Daily'!F30-'Hampshire Daily'!F29&lt;0),"0",('Hampshire Daily'!F30-'Hampshire Daily'!F29))</f>
        <v>340</v>
      </c>
      <c r="G27" s="4">
        <f>IF(('Hampshire Daily'!H30-'Hampshire Daily'!H29&lt;0),"0",('Hampshire Daily'!H30-'Hampshire Daily'!H29))</f>
        <v>10</v>
      </c>
      <c r="H27" s="4">
        <f>IF(('Hampshire Daily'!I30-'Hampshire Daily'!I29&lt;0),"0",('Hampshire Daily'!I30-'Hampshire Daily'!I29))</f>
        <v>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0</v>
      </c>
      <c r="K27" s="4">
        <f>IF(('Hampshire Daily'!L30-'Hampshire Daily'!L29&lt;0),"0",('Hampshire Daily'!L30-'Hampshire Daily'!L29))</f>
        <v>197</v>
      </c>
      <c r="L27" s="4">
        <f>IF(('Hampshire Daily'!M30-'Hampshire Daily'!M29&lt;0),"0",('Hampshire Daily'!M30-'Hampshire Daily'!M29))</f>
        <v>0</v>
      </c>
      <c r="M27" s="4">
        <f>IF(('Hampshire Daily'!N30-'Hampshire Daily'!N29&lt;0),"0",('Hampshire Daily'!N30-'Hampshire Daily'!N29))</f>
        <v>2060</v>
      </c>
      <c r="N27" s="4">
        <f>IF(('Hampshire Daily'!O30-'Hampshire Daily'!O29&lt;0),"0",('Hampshire Daily'!O30-'Hampshire Daily'!O29))</f>
        <v>39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2</v>
      </c>
      <c r="S27" s="4">
        <f>IF(('Hampshire Daily'!V30-'Hampshire Daily'!V29&lt;0),"0",('Hampshire Daily'!V30-'Hampshire Daily'!V29))</f>
        <v>0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0.18099999999998317</v>
      </c>
      <c r="V27" s="4">
        <f>IF(('Hampshire Daily'!Y30-'Hampshire Daily'!Y29&lt;0),"0",('Hampshire Daily'!Y30-'Hampshire Daily'!Y29))</f>
        <v>0.21699999999998454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0</v>
      </c>
      <c r="Y27" s="4">
        <f>IF(('Hampshire Daily'!AB30-'Hampshire Daily'!AB29&lt;0),"0",('Hampshire Daily'!AB30-'Hampshire Daily'!AB29))</f>
        <v>4</v>
      </c>
      <c r="Z27" s="4">
        <f>'[1]Hampshire Daily'!C30</f>
        <v>1</v>
      </c>
      <c r="AA27" s="4">
        <f>'[1]Hampshire Daily'!B30</f>
        <v>1</v>
      </c>
    </row>
    <row r="28" spans="1:27" x14ac:dyDescent="0.25">
      <c r="A28" s="3" t="s">
        <v>41</v>
      </c>
      <c r="B28" s="1">
        <f t="shared" si="0"/>
        <v>27</v>
      </c>
      <c r="C28" s="17">
        <v>1</v>
      </c>
      <c r="D28" s="1">
        <v>2021</v>
      </c>
      <c r="E28" s="4">
        <f>IF(('Hampshire Daily'!D31-'Hampshire Daily'!D30&lt;0),"0",('Hampshire Daily'!D31-'Hampshire Daily'!D30))</f>
        <v>958</v>
      </c>
      <c r="F28" s="4">
        <f>IF(('Hampshire Daily'!F31-'Hampshire Daily'!F30&lt;0),"0",('Hampshire Daily'!F31-'Hampshire Daily'!F30))</f>
        <v>442</v>
      </c>
      <c r="G28" s="4">
        <f>IF(('Hampshire Daily'!H31-'Hampshire Daily'!H30&lt;0),"0",('Hampshire Daily'!H31-'Hampshire Daily'!H30))</f>
        <v>49</v>
      </c>
      <c r="H28" s="4">
        <f>IF(('Hampshire Daily'!I31-'Hampshire Daily'!I30&lt;0),"0",('Hampshire Daily'!I31-'Hampshire Daily'!I30))</f>
        <v>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0</v>
      </c>
      <c r="K28" s="4">
        <f>IF(('Hampshire Daily'!L31-'Hampshire Daily'!L30&lt;0),"0",('Hampshire Daily'!L31-'Hampshire Daily'!L30))</f>
        <v>197</v>
      </c>
      <c r="L28" s="4">
        <f>IF(('Hampshire Daily'!M31-'Hampshire Daily'!M30&lt;0),"0",('Hampshire Daily'!M31-'Hampshire Daily'!M30))</f>
        <v>0</v>
      </c>
      <c r="M28" s="4">
        <f>IF(('Hampshire Daily'!N31-'Hampshire Daily'!N30&lt;0),"0",('Hampshire Daily'!N31-'Hampshire Daily'!N30))</f>
        <v>1969</v>
      </c>
      <c r="N28" s="4">
        <f>IF(('Hampshire Daily'!O31-'Hampshire Daily'!O30&lt;0),"0",('Hampshire Daily'!O31-'Hampshire Daily'!O30))</f>
        <v>34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 t="str">
        <f>IF(('Hampshire Daily'!U31-'Hampshire Daily'!U30&lt;0),"0",('Hampshire Daily'!U31-'Hampshire Daily'!U30))</f>
        <v>0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0.15900000000004866</v>
      </c>
      <c r="V28" s="4">
        <f>IF(('Hampshire Daily'!Y31-'Hampshire Daily'!Y30&lt;0),"0",('Hampshire Daily'!Y31-'Hampshire Daily'!Y30))</f>
        <v>0.29499999999995907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0</v>
      </c>
      <c r="Y28" s="4">
        <f>IF(('Hampshire Daily'!AB31-'Hampshire Daily'!AB30&lt;0),"0",('Hampshire Daily'!AB31-'Hampshire Daily'!AB30))</f>
        <v>2</v>
      </c>
      <c r="Z28" s="4">
        <f>'[1]Hampshire Daily'!C31</f>
        <v>1</v>
      </c>
      <c r="AA28" s="4">
        <f>'[1]Hampshire Daily'!B31</f>
        <v>1</v>
      </c>
    </row>
    <row r="29" spans="1:27" x14ac:dyDescent="0.25">
      <c r="A29" s="3" t="s">
        <v>41</v>
      </c>
      <c r="B29" s="1">
        <f t="shared" si="0"/>
        <v>28</v>
      </c>
      <c r="C29" s="17">
        <v>1</v>
      </c>
      <c r="D29" s="1">
        <v>2021</v>
      </c>
      <c r="E29" s="4">
        <f>IF(('Hampshire Daily'!D32-'Hampshire Daily'!D31&lt;0),"0",('Hampshire Daily'!D32-'Hampshire Daily'!D31))</f>
        <v>958</v>
      </c>
      <c r="F29" s="4">
        <f>IF(('Hampshire Daily'!F32-'Hampshire Daily'!F31&lt;0),"0",('Hampshire Daily'!F32-'Hampshire Daily'!F31))</f>
        <v>442</v>
      </c>
      <c r="G29" s="4">
        <f>IF(('Hampshire Daily'!H32-'Hampshire Daily'!H31&lt;0),"0",('Hampshire Daily'!H32-'Hampshire Daily'!H31))</f>
        <v>49</v>
      </c>
      <c r="H29" s="4">
        <f>IF(('Hampshire Daily'!I32-'Hampshire Daily'!I31&lt;0),"0",('Hampshire Daily'!I32-'Hampshire Daily'!I31))</f>
        <v>0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0</v>
      </c>
      <c r="K29" s="4">
        <f>IF(('Hampshire Daily'!L32-'Hampshire Daily'!L31&lt;0),"0",('Hampshire Daily'!L32-'Hampshire Daily'!L31))</f>
        <v>197</v>
      </c>
      <c r="L29" s="4">
        <f>IF(('Hampshire Daily'!M32-'Hampshire Daily'!M31&lt;0),"0",('Hampshire Daily'!M32-'Hampshire Daily'!M31))</f>
        <v>0</v>
      </c>
      <c r="M29" s="4">
        <f>IF(('Hampshire Daily'!N32-'Hampshire Daily'!N31&lt;0),"0",('Hampshire Daily'!N32-'Hampshire Daily'!N31))</f>
        <v>1969</v>
      </c>
      <c r="N29" s="4">
        <f>IF(('Hampshire Daily'!O32-'Hampshire Daily'!O31&lt;0),"0",('Hampshire Daily'!O32-'Hampshire Daily'!O31))</f>
        <v>34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 t="str">
        <f>IF(('Hampshire Daily'!U32-'Hampshire Daily'!U31&lt;0),"0",('Hampshire Daily'!U32-'Hampshire Daily'!U31))</f>
        <v>0</v>
      </c>
      <c r="S29" s="4">
        <f>IF(('Hampshire Daily'!V32-'Hampshire Daily'!V31&lt;0),"0",('Hampshire Daily'!V32-'Hampshire Daily'!V31))</f>
        <v>0</v>
      </c>
      <c r="T29" s="4">
        <f>IF(('Hampshire Daily'!X32-'Hampshire Daily'!W31&lt;0),"0",('Hampshire Daily'!X32-'Hampshire Daily'!W31))</f>
        <v>485.89100000000002</v>
      </c>
      <c r="U29" s="4">
        <f>IF(('Hampshire Daily'!Y32-'Hampshire Daily'!X31&lt;0),"0",('Hampshire Daily'!Y32-'Hampshire Daily'!X31))</f>
        <v>402.166</v>
      </c>
      <c r="V29" s="4">
        <f>IF(('Hampshire Daily'!Z32-'Hampshire Daily'!Y31&lt;0),"0",('Hampshire Daily'!Z32-'Hampshire Daily'!Y31))</f>
        <v>2997.4389999999999</v>
      </c>
      <c r="W29" s="4" t="str">
        <f>IF(('Hampshire Daily'!AA32-'Hampshire Daily'!Z31&lt;0),"0",('Hampshire Daily'!AA32-'Hampshire Daily'!Z31))</f>
        <v>0</v>
      </c>
      <c r="X29" s="4" t="str">
        <f>IF(('Hampshire Daily'!AB32-'Hampshire Daily'!AA31&lt;0),"0",('Hampshire Daily'!AB32-'Hampshire Daily'!AA31))</f>
        <v>0</v>
      </c>
      <c r="Y29" s="4" t="e">
        <f>IF(('Hampshire Daily'!#REF!-'Hampshire Daily'!AB31&lt;0),"0",('Hampshire Daily'!#REF!-'Hampshire Daily'!AB31))</f>
        <v>#REF!</v>
      </c>
      <c r="Z29" s="4">
        <f>'[1]Hampshire Daily'!C32</f>
        <v>7</v>
      </c>
      <c r="AA29" s="4">
        <f>'[1]Hampshire Daily'!B32</f>
        <v>7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34"/>
  <sheetViews>
    <sheetView zoomScaleNormal="100" workbookViewId="0">
      <pane xSplit="1" topLeftCell="B1" activePane="topRight" state="frozen"/>
      <selection pane="topRight" activeCell="X34" sqref="X34"/>
    </sheetView>
  </sheetViews>
  <sheetFormatPr defaultRowHeight="15" x14ac:dyDescent="0.25"/>
  <cols>
    <col min="1" max="1" width="8.7109375" style="16" customWidth="1"/>
    <col min="2" max="3" width="8.7109375" style="23" customWidth="1"/>
    <col min="26" max="26" width="10.42578125" style="19" bestFit="1" customWidth="1"/>
    <col min="29" max="29" width="10.5703125" customWidth="1"/>
    <col min="30" max="30" width="11.42578125" customWidth="1"/>
  </cols>
  <sheetData>
    <row r="1" spans="1:30" ht="15" customHeight="1" x14ac:dyDescent="0.25">
      <c r="A1" s="47"/>
      <c r="B1" s="22"/>
      <c r="C1" s="22"/>
      <c r="D1" s="50" t="s">
        <v>12</v>
      </c>
      <c r="E1" s="50"/>
      <c r="F1" s="50"/>
      <c r="G1" s="50"/>
      <c r="H1" s="50"/>
      <c r="I1" s="50"/>
      <c r="J1" s="50"/>
      <c r="K1" s="50"/>
      <c r="L1" s="50"/>
      <c r="M1" s="50"/>
      <c r="N1" s="41" t="s">
        <v>13</v>
      </c>
      <c r="O1" s="39" t="s">
        <v>14</v>
      </c>
      <c r="P1" s="27"/>
      <c r="Q1" s="27"/>
      <c r="R1" s="27"/>
      <c r="S1" s="39" t="s">
        <v>15</v>
      </c>
      <c r="T1" s="44"/>
      <c r="U1" s="39" t="s">
        <v>16</v>
      </c>
      <c r="V1" s="45" t="s">
        <v>17</v>
      </c>
      <c r="W1" s="27"/>
      <c r="X1" s="39" t="s">
        <v>18</v>
      </c>
      <c r="Y1" s="39" t="s">
        <v>19</v>
      </c>
      <c r="Z1" s="40" t="s">
        <v>20</v>
      </c>
      <c r="AA1" s="39" t="s">
        <v>56</v>
      </c>
      <c r="AB1" s="35" t="s">
        <v>57</v>
      </c>
    </row>
    <row r="2" spans="1:30" ht="15" customHeight="1" x14ac:dyDescent="0.25">
      <c r="A2" s="48"/>
      <c r="B2" s="53" t="s">
        <v>54</v>
      </c>
      <c r="C2" s="53" t="s">
        <v>55</v>
      </c>
      <c r="D2" s="51" t="s">
        <v>21</v>
      </c>
      <c r="E2" s="51" t="s">
        <v>22</v>
      </c>
      <c r="F2" s="51" t="s">
        <v>23</v>
      </c>
      <c r="G2" s="51" t="s">
        <v>24</v>
      </c>
      <c r="H2" s="51" t="s">
        <v>25</v>
      </c>
      <c r="I2" s="51" t="s">
        <v>26</v>
      </c>
      <c r="J2" s="51" t="s">
        <v>27</v>
      </c>
      <c r="K2" s="51" t="s">
        <v>28</v>
      </c>
      <c r="L2" s="51" t="s">
        <v>29</v>
      </c>
      <c r="M2" s="51" t="s">
        <v>30</v>
      </c>
      <c r="N2" s="42"/>
      <c r="O2" s="39"/>
      <c r="P2" s="27" t="s">
        <v>31</v>
      </c>
      <c r="Q2" s="27" t="s">
        <v>31</v>
      </c>
      <c r="R2" s="27" t="s">
        <v>31</v>
      </c>
      <c r="S2" s="39"/>
      <c r="T2" s="44"/>
      <c r="U2" s="39"/>
      <c r="V2" s="45"/>
      <c r="W2" s="39" t="s">
        <v>32</v>
      </c>
      <c r="X2" s="39"/>
      <c r="Y2" s="39"/>
      <c r="Z2" s="40"/>
      <c r="AA2" s="39"/>
      <c r="AB2" s="36"/>
      <c r="AC2" s="38" t="s">
        <v>59</v>
      </c>
      <c r="AD2" s="38" t="s">
        <v>60</v>
      </c>
    </row>
    <row r="3" spans="1:30" ht="27" customHeight="1" thickBot="1" x14ac:dyDescent="0.3">
      <c r="A3" s="49"/>
      <c r="B3" s="54"/>
      <c r="C3" s="54"/>
      <c r="D3" s="55"/>
      <c r="E3" s="55"/>
      <c r="F3" s="55"/>
      <c r="G3" s="55"/>
      <c r="H3" s="51"/>
      <c r="I3" s="51"/>
      <c r="J3" s="51"/>
      <c r="K3" s="51"/>
      <c r="L3" s="51"/>
      <c r="M3" s="52"/>
      <c r="N3" s="42"/>
      <c r="O3" s="43"/>
      <c r="P3" s="28">
        <v>2</v>
      </c>
      <c r="Q3" s="28">
        <v>3</v>
      </c>
      <c r="R3" s="28">
        <v>4</v>
      </c>
      <c r="S3" s="44"/>
      <c r="T3" s="44"/>
      <c r="U3" s="43"/>
      <c r="V3" s="46"/>
      <c r="W3" s="39"/>
      <c r="X3" s="39"/>
      <c r="Y3" s="39"/>
      <c r="Z3" s="40"/>
      <c r="AA3" s="39"/>
      <c r="AB3" s="37"/>
      <c r="AC3" s="38"/>
      <c r="AD3" s="38"/>
    </row>
    <row r="4" spans="1:30" s="18" customFormat="1" ht="19.899999999999999" customHeight="1" x14ac:dyDescent="0.25">
      <c r="A4" s="20">
        <v>44227</v>
      </c>
      <c r="B4" s="25">
        <v>10</v>
      </c>
      <c r="C4" s="25">
        <v>10</v>
      </c>
      <c r="D4" s="29">
        <v>214212</v>
      </c>
      <c r="E4" s="29">
        <v>214539</v>
      </c>
      <c r="F4" s="29">
        <v>280076</v>
      </c>
      <c r="G4" s="29">
        <v>279770</v>
      </c>
      <c r="H4" s="29">
        <v>218880</v>
      </c>
      <c r="I4" s="29">
        <v>6931107</v>
      </c>
      <c r="J4" s="29">
        <v>31845</v>
      </c>
      <c r="K4" s="29">
        <v>4881159</v>
      </c>
      <c r="L4" s="29">
        <v>619607</v>
      </c>
      <c r="M4" s="29">
        <v>2625716</v>
      </c>
      <c r="N4" s="29">
        <v>754685</v>
      </c>
      <c r="O4" s="29">
        <v>351864</v>
      </c>
      <c r="P4" s="29">
        <v>1471374</v>
      </c>
      <c r="Q4" s="29">
        <v>604172</v>
      </c>
      <c r="R4" s="29">
        <v>677</v>
      </c>
      <c r="S4" s="29">
        <v>329383</v>
      </c>
      <c r="T4" s="29">
        <v>30217</v>
      </c>
      <c r="U4" s="29">
        <v>50231</v>
      </c>
      <c r="V4" s="30">
        <v>30427</v>
      </c>
      <c r="W4" s="31"/>
      <c r="X4" s="32">
        <v>481.26400000000001</v>
      </c>
      <c r="Y4" s="29">
        <v>882.58799999999997</v>
      </c>
      <c r="Z4" s="29">
        <v>3883.9810000000002</v>
      </c>
      <c r="AA4" s="29">
        <v>2153</v>
      </c>
      <c r="AB4" s="30">
        <v>1019</v>
      </c>
      <c r="AC4" s="33"/>
      <c r="AD4" s="33"/>
    </row>
    <row r="5" spans="1:30" x14ac:dyDescent="0.25">
      <c r="A5" s="21">
        <v>44228</v>
      </c>
      <c r="B5" s="26">
        <v>10</v>
      </c>
      <c r="C5" s="26">
        <v>10</v>
      </c>
      <c r="D5" s="29">
        <v>215146</v>
      </c>
      <c r="E5" s="29">
        <v>215475</v>
      </c>
      <c r="F5" s="29">
        <v>280448</v>
      </c>
      <c r="G5" s="29">
        <v>280141</v>
      </c>
      <c r="H5" s="29">
        <v>218898</v>
      </c>
      <c r="I5" s="29"/>
      <c r="J5" s="29"/>
      <c r="K5" s="29"/>
      <c r="L5" s="29">
        <v>619759</v>
      </c>
      <c r="M5" s="29">
        <v>2625728</v>
      </c>
      <c r="N5" s="29">
        <v>757230</v>
      </c>
      <c r="O5" s="29">
        <v>351920</v>
      </c>
      <c r="P5" s="29">
        <v>1471374</v>
      </c>
      <c r="Q5" s="29">
        <v>604278</v>
      </c>
      <c r="R5" s="29">
        <v>677</v>
      </c>
      <c r="S5" s="29">
        <v>329408</v>
      </c>
      <c r="T5" s="29">
        <v>30250</v>
      </c>
      <c r="U5" s="29">
        <v>50232</v>
      </c>
      <c r="V5" s="29">
        <v>30437</v>
      </c>
      <c r="X5" s="29">
        <v>481.41899999999998</v>
      </c>
      <c r="Y5" s="29">
        <v>882.74199999999996</v>
      </c>
      <c r="Z5" s="29">
        <v>3883.9940000000001</v>
      </c>
      <c r="AA5" s="29">
        <v>2153</v>
      </c>
      <c r="AB5" s="29">
        <v>1022</v>
      </c>
      <c r="AC5" s="31"/>
      <c r="AD5" s="31"/>
    </row>
    <row r="6" spans="1:30" x14ac:dyDescent="0.25">
      <c r="A6" s="21">
        <v>44229</v>
      </c>
      <c r="B6" s="26">
        <v>10</v>
      </c>
      <c r="C6" s="26">
        <v>10</v>
      </c>
      <c r="D6" s="29">
        <v>216248</v>
      </c>
      <c r="E6" s="29">
        <v>216578</v>
      </c>
      <c r="F6" s="29">
        <v>280800</v>
      </c>
      <c r="G6" s="29">
        <v>280493</v>
      </c>
      <c r="H6" s="29">
        <v>218906</v>
      </c>
      <c r="I6" s="29"/>
      <c r="J6" s="29"/>
      <c r="K6" s="29"/>
      <c r="L6" s="29">
        <v>619956</v>
      </c>
      <c r="M6" s="29">
        <v>2625746</v>
      </c>
      <c r="N6" s="29">
        <v>759665</v>
      </c>
      <c r="O6" s="29">
        <v>351946</v>
      </c>
      <c r="P6" s="29">
        <v>1471374</v>
      </c>
      <c r="Q6" s="29">
        <v>604425</v>
      </c>
      <c r="R6" s="29">
        <v>677</v>
      </c>
      <c r="S6" s="29">
        <v>329419</v>
      </c>
      <c r="T6" s="29">
        <v>30267</v>
      </c>
      <c r="U6" s="29">
        <v>50233</v>
      </c>
      <c r="V6" s="29">
        <v>30437</v>
      </c>
      <c r="X6" s="29">
        <v>481.55900000000003</v>
      </c>
      <c r="Y6" s="29">
        <v>882.91600000000005</v>
      </c>
      <c r="Z6" s="29">
        <v>3883.9989999999998</v>
      </c>
      <c r="AA6" s="29">
        <v>2153</v>
      </c>
      <c r="AB6" s="29">
        <v>1023</v>
      </c>
      <c r="AC6" s="31"/>
      <c r="AD6" s="31"/>
    </row>
    <row r="7" spans="1:30" x14ac:dyDescent="0.25">
      <c r="A7" s="21">
        <v>44230</v>
      </c>
      <c r="B7" s="26">
        <v>10</v>
      </c>
      <c r="C7" s="26">
        <v>10</v>
      </c>
      <c r="D7" s="29">
        <v>217433</v>
      </c>
      <c r="E7" s="29">
        <v>217764</v>
      </c>
      <c r="F7" s="29">
        <v>281556</v>
      </c>
      <c r="G7" s="29">
        <v>281248</v>
      </c>
      <c r="H7" s="29">
        <v>219028</v>
      </c>
      <c r="I7" s="29"/>
      <c r="J7" s="29"/>
      <c r="K7" s="29"/>
      <c r="L7" s="29">
        <v>620153</v>
      </c>
      <c r="M7" s="29">
        <v>2625825</v>
      </c>
      <c r="N7" s="29">
        <v>761432</v>
      </c>
      <c r="O7" s="29">
        <v>351968</v>
      </c>
      <c r="P7" s="29">
        <v>1471374</v>
      </c>
      <c r="Q7" s="29">
        <v>604620</v>
      </c>
      <c r="R7" s="29">
        <v>677</v>
      </c>
      <c r="S7" s="29">
        <v>329422</v>
      </c>
      <c r="T7" s="29">
        <v>30281</v>
      </c>
      <c r="U7" s="29">
        <v>50235</v>
      </c>
      <c r="V7" s="29">
        <v>30437</v>
      </c>
      <c r="X7" s="29">
        <v>481.67</v>
      </c>
      <c r="Y7" s="29">
        <v>883.04899999999998</v>
      </c>
      <c r="Z7" s="29">
        <v>3884.02</v>
      </c>
      <c r="AA7" s="29">
        <v>2153</v>
      </c>
      <c r="AB7" s="29">
        <v>1027</v>
      </c>
      <c r="AC7" s="31"/>
      <c r="AD7" s="31"/>
    </row>
    <row r="8" spans="1:30" x14ac:dyDescent="0.25">
      <c r="A8" s="21">
        <v>44231</v>
      </c>
      <c r="B8" s="26">
        <v>10</v>
      </c>
      <c r="C8" s="26">
        <v>10</v>
      </c>
      <c r="D8" s="29">
        <v>218484</v>
      </c>
      <c r="E8" s="29">
        <v>218817</v>
      </c>
      <c r="F8" s="29">
        <v>281945</v>
      </c>
      <c r="G8" s="29">
        <v>281367</v>
      </c>
      <c r="H8" s="29">
        <v>219048</v>
      </c>
      <c r="I8" s="29"/>
      <c r="J8" s="29"/>
      <c r="K8" s="29"/>
      <c r="L8" s="29">
        <v>620376</v>
      </c>
      <c r="M8" s="29">
        <v>2625850</v>
      </c>
      <c r="N8" s="29">
        <v>763518</v>
      </c>
      <c r="O8" s="29">
        <v>351991</v>
      </c>
      <c r="P8" s="29">
        <v>1471374</v>
      </c>
      <c r="Q8" s="29">
        <v>604798</v>
      </c>
      <c r="R8" s="29">
        <v>677</v>
      </c>
      <c r="S8" s="29">
        <v>329423</v>
      </c>
      <c r="T8" s="29">
        <v>30294</v>
      </c>
      <c r="U8" s="29">
        <v>50236</v>
      </c>
      <c r="V8" s="29">
        <v>30437</v>
      </c>
      <c r="X8" s="29">
        <v>481.767</v>
      </c>
      <c r="Y8" s="29">
        <v>883.21900000000005</v>
      </c>
      <c r="Z8" s="29">
        <v>3884.0430000000001</v>
      </c>
      <c r="AA8" s="29">
        <v>2153</v>
      </c>
      <c r="AB8" s="29">
        <v>1030</v>
      </c>
      <c r="AC8" s="31"/>
      <c r="AD8" s="31"/>
    </row>
    <row r="9" spans="1:30" x14ac:dyDescent="0.25">
      <c r="A9" s="21">
        <v>44232</v>
      </c>
      <c r="B9" s="26">
        <v>10</v>
      </c>
      <c r="C9" s="26">
        <v>10</v>
      </c>
      <c r="D9" s="29">
        <v>219393</v>
      </c>
      <c r="E9" s="29">
        <v>219727</v>
      </c>
      <c r="F9" s="29">
        <v>282296</v>
      </c>
      <c r="G9" s="29">
        <v>281987</v>
      </c>
      <c r="H9" s="29">
        <v>219068</v>
      </c>
      <c r="I9" s="29"/>
      <c r="J9" s="29"/>
      <c r="K9" s="29"/>
      <c r="L9" s="29">
        <v>620573</v>
      </c>
      <c r="M9" s="29">
        <v>2625852</v>
      </c>
      <c r="N9" s="29">
        <v>765487</v>
      </c>
      <c r="O9" s="29">
        <v>352004</v>
      </c>
      <c r="P9" s="29">
        <v>1471374</v>
      </c>
      <c r="Q9" s="29">
        <v>604804</v>
      </c>
      <c r="R9" s="29">
        <v>677</v>
      </c>
      <c r="S9" s="29">
        <v>329423</v>
      </c>
      <c r="T9" s="29">
        <v>30295</v>
      </c>
      <c r="U9" s="29">
        <v>50238</v>
      </c>
      <c r="V9" s="29">
        <v>30437</v>
      </c>
      <c r="X9" s="29">
        <v>481.87700000000001</v>
      </c>
      <c r="Y9" s="29">
        <v>883.38400000000001</v>
      </c>
      <c r="Z9" s="29">
        <v>3884.049</v>
      </c>
      <c r="AA9" s="29">
        <v>2153</v>
      </c>
      <c r="AB9" s="29">
        <v>1033</v>
      </c>
      <c r="AC9" s="31"/>
      <c r="AD9" s="31"/>
    </row>
    <row r="10" spans="1:30" x14ac:dyDescent="0.25">
      <c r="A10" s="21">
        <v>44233</v>
      </c>
      <c r="B10" s="26">
        <v>10</v>
      </c>
      <c r="C10" s="26">
        <v>10</v>
      </c>
      <c r="D10" s="29">
        <v>220297</v>
      </c>
      <c r="E10" s="29">
        <v>220633</v>
      </c>
      <c r="F10" s="29">
        <v>282749</v>
      </c>
      <c r="G10" s="29">
        <v>282440</v>
      </c>
      <c r="H10" s="29">
        <v>219106</v>
      </c>
      <c r="I10" s="29"/>
      <c r="J10" s="29"/>
      <c r="K10" s="29"/>
      <c r="L10" s="29">
        <v>620770</v>
      </c>
      <c r="M10" s="29">
        <v>2625852</v>
      </c>
      <c r="N10" s="29">
        <v>767493</v>
      </c>
      <c r="O10" s="29">
        <v>352026</v>
      </c>
      <c r="P10" s="29">
        <v>1471374</v>
      </c>
      <c r="Q10" s="29">
        <v>604804</v>
      </c>
      <c r="R10" s="29">
        <v>677</v>
      </c>
      <c r="S10" s="29">
        <v>329434</v>
      </c>
      <c r="T10" s="29">
        <v>30313</v>
      </c>
      <c r="U10" s="29">
        <v>50239</v>
      </c>
      <c r="V10" s="29">
        <v>30437</v>
      </c>
      <c r="X10" s="29">
        <v>481.98700000000002</v>
      </c>
      <c r="Y10" s="29">
        <v>883.596</v>
      </c>
      <c r="Z10" s="29">
        <v>3884.067</v>
      </c>
      <c r="AA10" s="29">
        <v>2153</v>
      </c>
      <c r="AB10" s="29">
        <v>1035</v>
      </c>
      <c r="AC10" s="34"/>
      <c r="AD10" s="31"/>
    </row>
    <row r="11" spans="1:30" x14ac:dyDescent="0.25">
      <c r="A11" s="21">
        <v>44234</v>
      </c>
      <c r="B11" s="26">
        <v>10</v>
      </c>
      <c r="C11" s="26">
        <v>10</v>
      </c>
      <c r="D11" s="29">
        <v>221132</v>
      </c>
      <c r="E11" s="29">
        <v>221469</v>
      </c>
      <c r="F11" s="29">
        <v>283181</v>
      </c>
      <c r="G11" s="29">
        <v>282872</v>
      </c>
      <c r="H11" s="29">
        <v>219137</v>
      </c>
      <c r="I11" s="29"/>
      <c r="J11" s="29"/>
      <c r="K11" s="29"/>
      <c r="L11" s="29">
        <v>620967</v>
      </c>
      <c r="M11" s="29">
        <v>2625852</v>
      </c>
      <c r="N11" s="29">
        <v>769606</v>
      </c>
      <c r="O11" s="29">
        <v>352050</v>
      </c>
      <c r="P11" s="29">
        <v>1471374</v>
      </c>
      <c r="Q11" s="29">
        <v>604804</v>
      </c>
      <c r="R11" s="29">
        <v>677</v>
      </c>
      <c r="S11" s="29">
        <v>329434</v>
      </c>
      <c r="T11" s="29">
        <v>30319</v>
      </c>
      <c r="U11" s="29">
        <v>50240</v>
      </c>
      <c r="V11" s="29">
        <v>30437</v>
      </c>
      <c r="X11" s="29">
        <v>482.11700000000002</v>
      </c>
      <c r="Y11" s="29">
        <v>883.80200000000002</v>
      </c>
      <c r="Z11" s="29">
        <v>3884.0830000000001</v>
      </c>
      <c r="AA11" s="29">
        <v>2153</v>
      </c>
      <c r="AB11" s="29">
        <v>1039</v>
      </c>
      <c r="AC11" s="34"/>
      <c r="AD11" s="31"/>
    </row>
    <row r="12" spans="1:30" x14ac:dyDescent="0.25">
      <c r="A12" s="21">
        <v>44235</v>
      </c>
      <c r="B12" s="26">
        <v>10</v>
      </c>
      <c r="C12" s="26">
        <v>10</v>
      </c>
      <c r="D12" s="29">
        <v>221991</v>
      </c>
      <c r="E12" s="29">
        <v>222329</v>
      </c>
      <c r="F12" s="29">
        <v>283543</v>
      </c>
      <c r="G12" s="29">
        <v>283234</v>
      </c>
      <c r="H12" s="29">
        <v>219135</v>
      </c>
      <c r="I12" s="29"/>
      <c r="J12" s="29"/>
      <c r="K12" s="29"/>
      <c r="L12" s="29">
        <v>621164</v>
      </c>
      <c r="M12" s="29">
        <v>2625852</v>
      </c>
      <c r="N12" s="29">
        <v>772140</v>
      </c>
      <c r="O12" s="29">
        <v>352077</v>
      </c>
      <c r="P12" s="29">
        <v>1471374</v>
      </c>
      <c r="Q12" s="29">
        <v>604804</v>
      </c>
      <c r="R12" s="29">
        <v>677</v>
      </c>
      <c r="S12" s="29">
        <v>329434</v>
      </c>
      <c r="T12" s="29">
        <v>30327</v>
      </c>
      <c r="U12" s="29">
        <v>50240</v>
      </c>
      <c r="V12" s="29">
        <v>30441</v>
      </c>
      <c r="X12" s="29">
        <v>482.29</v>
      </c>
      <c r="Y12" s="29">
        <v>884.01</v>
      </c>
      <c r="Z12" s="29">
        <v>3884.1219999999998</v>
      </c>
      <c r="AA12" s="29">
        <v>2153</v>
      </c>
      <c r="AB12" s="29">
        <v>1044</v>
      </c>
      <c r="AC12" s="34"/>
      <c r="AD12" s="31"/>
    </row>
    <row r="13" spans="1:30" x14ac:dyDescent="0.25">
      <c r="A13" s="21">
        <v>44236</v>
      </c>
      <c r="B13" s="26">
        <v>10</v>
      </c>
      <c r="C13" s="26">
        <v>10</v>
      </c>
      <c r="D13" s="29">
        <v>223190</v>
      </c>
      <c r="E13" s="29">
        <v>223530</v>
      </c>
      <c r="F13" s="29">
        <v>284045</v>
      </c>
      <c r="G13" s="29">
        <v>283735</v>
      </c>
      <c r="H13" s="29">
        <v>219166</v>
      </c>
      <c r="I13" s="29"/>
      <c r="J13" s="29"/>
      <c r="K13" s="29"/>
      <c r="L13" s="29">
        <v>621361</v>
      </c>
      <c r="M13" s="29">
        <v>2625852</v>
      </c>
      <c r="N13" s="29">
        <v>775133</v>
      </c>
      <c r="O13" s="29">
        <v>352101</v>
      </c>
      <c r="P13" s="29">
        <v>1471374</v>
      </c>
      <c r="Q13" s="29">
        <v>604804</v>
      </c>
      <c r="R13" s="29">
        <v>677</v>
      </c>
      <c r="S13" s="29">
        <v>329435</v>
      </c>
      <c r="T13" s="29">
        <v>30341</v>
      </c>
      <c r="U13" s="29">
        <v>50240</v>
      </c>
      <c r="V13" s="29">
        <v>30441</v>
      </c>
      <c r="X13" s="29">
        <v>482.49200000000002</v>
      </c>
      <c r="Y13" s="29">
        <v>884.27200000000005</v>
      </c>
      <c r="Z13" s="29">
        <v>3884.386</v>
      </c>
      <c r="AA13" s="29">
        <v>2153</v>
      </c>
      <c r="AB13" s="29">
        <v>1048</v>
      </c>
      <c r="AC13" s="34"/>
      <c r="AD13" s="31"/>
    </row>
    <row r="14" spans="1:30" x14ac:dyDescent="0.25">
      <c r="A14" s="21">
        <v>44237</v>
      </c>
      <c r="B14" s="26">
        <v>10</v>
      </c>
      <c r="C14" s="26">
        <v>10</v>
      </c>
      <c r="D14" s="29">
        <v>223886</v>
      </c>
      <c r="E14" s="29">
        <v>224227</v>
      </c>
      <c r="F14" s="29">
        <v>284281</v>
      </c>
      <c r="G14" s="29">
        <v>283970</v>
      </c>
      <c r="H14" s="29">
        <v>219196</v>
      </c>
      <c r="I14" s="29"/>
      <c r="J14" s="29"/>
      <c r="K14" s="29"/>
      <c r="L14" s="29">
        <v>621558</v>
      </c>
      <c r="M14" s="29">
        <v>2625875</v>
      </c>
      <c r="N14" s="29">
        <v>776899</v>
      </c>
      <c r="O14" s="29">
        <v>352126</v>
      </c>
      <c r="P14" s="29">
        <v>1471374</v>
      </c>
      <c r="Q14" s="29">
        <v>604804</v>
      </c>
      <c r="R14" s="29">
        <v>677</v>
      </c>
      <c r="S14" s="29">
        <v>329438</v>
      </c>
      <c r="T14" s="29">
        <v>30350</v>
      </c>
      <c r="U14" s="29">
        <v>50245</v>
      </c>
      <c r="V14" s="29">
        <v>30441</v>
      </c>
      <c r="X14" s="29">
        <v>482.64299999999997</v>
      </c>
      <c r="Y14" s="29">
        <v>884.43499999999995</v>
      </c>
      <c r="Z14" s="29">
        <v>3885.029</v>
      </c>
      <c r="AA14" s="29">
        <v>2153</v>
      </c>
      <c r="AB14" s="29">
        <v>1050</v>
      </c>
      <c r="AC14" s="34"/>
      <c r="AD14" s="31"/>
    </row>
    <row r="15" spans="1:30" x14ac:dyDescent="0.25">
      <c r="A15" s="21">
        <v>44238</v>
      </c>
      <c r="B15" s="26">
        <v>10</v>
      </c>
      <c r="C15" s="26">
        <v>10</v>
      </c>
      <c r="D15" s="29">
        <v>224778</v>
      </c>
      <c r="E15" s="29">
        <v>225121</v>
      </c>
      <c r="F15" s="29">
        <v>284656</v>
      </c>
      <c r="G15" s="29">
        <v>284354</v>
      </c>
      <c r="H15" s="29">
        <v>219218</v>
      </c>
      <c r="I15" s="29"/>
      <c r="J15" s="29"/>
      <c r="K15" s="29"/>
      <c r="L15" s="29">
        <v>621755</v>
      </c>
      <c r="M15" s="29">
        <v>2625875</v>
      </c>
      <c r="N15" s="29">
        <v>779243</v>
      </c>
      <c r="O15" s="29">
        <v>352151</v>
      </c>
      <c r="P15" s="29">
        <v>1471374</v>
      </c>
      <c r="Q15" s="29">
        <v>604804</v>
      </c>
      <c r="R15" s="29">
        <v>677</v>
      </c>
      <c r="S15" s="29">
        <v>329440</v>
      </c>
      <c r="T15" s="29">
        <v>30363</v>
      </c>
      <c r="U15" s="29">
        <v>50246</v>
      </c>
      <c r="V15" s="29">
        <v>30441</v>
      </c>
      <c r="X15" s="29">
        <v>482.82</v>
      </c>
      <c r="Y15" s="29">
        <v>884.65</v>
      </c>
      <c r="Z15" s="29">
        <v>3885.0419999999999</v>
      </c>
      <c r="AA15" s="29">
        <v>2153</v>
      </c>
      <c r="AB15" s="29">
        <v>1054</v>
      </c>
      <c r="AC15" s="34"/>
      <c r="AD15" s="31"/>
    </row>
    <row r="16" spans="1:30" x14ac:dyDescent="0.25">
      <c r="A16" s="21">
        <v>44239</v>
      </c>
      <c r="B16" s="26">
        <v>10</v>
      </c>
      <c r="C16" s="26">
        <v>10</v>
      </c>
      <c r="D16" s="29">
        <v>225705</v>
      </c>
      <c r="E16" s="29">
        <v>226049</v>
      </c>
      <c r="F16" s="29">
        <v>285017</v>
      </c>
      <c r="G16" s="29">
        <v>284705</v>
      </c>
      <c r="H16" s="29">
        <v>219236</v>
      </c>
      <c r="I16" s="29"/>
      <c r="J16" s="29"/>
      <c r="K16" s="29"/>
      <c r="L16" s="29">
        <v>621952</v>
      </c>
      <c r="M16" s="29">
        <v>2625875</v>
      </c>
      <c r="N16" s="29">
        <v>781829</v>
      </c>
      <c r="O16" s="29">
        <v>352174</v>
      </c>
      <c r="P16" s="29">
        <v>1471374</v>
      </c>
      <c r="Q16" s="29">
        <v>604804</v>
      </c>
      <c r="R16" s="29">
        <v>677</v>
      </c>
      <c r="S16" s="29">
        <v>329446</v>
      </c>
      <c r="T16" s="29">
        <v>30381</v>
      </c>
      <c r="U16" s="29">
        <v>50248</v>
      </c>
      <c r="V16" s="29">
        <v>30441</v>
      </c>
      <c r="X16" s="29">
        <v>483.01299999999998</v>
      </c>
      <c r="Y16" s="29">
        <v>884.88599999999997</v>
      </c>
      <c r="Z16" s="29">
        <v>3885.0419999999999</v>
      </c>
      <c r="AA16" s="29">
        <v>2153</v>
      </c>
      <c r="AB16" s="29">
        <v>1057</v>
      </c>
      <c r="AC16" s="34"/>
      <c r="AD16" s="31"/>
    </row>
    <row r="17" spans="1:30" x14ac:dyDescent="0.25">
      <c r="A17" s="21">
        <v>44240</v>
      </c>
      <c r="B17" s="26">
        <v>10</v>
      </c>
      <c r="C17" s="26">
        <v>10</v>
      </c>
      <c r="D17" s="29">
        <v>226646</v>
      </c>
      <c r="E17" s="29">
        <v>226992</v>
      </c>
      <c r="F17" s="29">
        <v>285403</v>
      </c>
      <c r="G17" s="29">
        <v>285091</v>
      </c>
      <c r="H17" s="29">
        <v>219259</v>
      </c>
      <c r="I17" s="29"/>
      <c r="J17" s="29"/>
      <c r="K17" s="29"/>
      <c r="L17" s="29">
        <v>622159</v>
      </c>
      <c r="M17" s="29">
        <v>2625875</v>
      </c>
      <c r="N17" s="29">
        <v>784538</v>
      </c>
      <c r="O17" s="29">
        <v>352193</v>
      </c>
      <c r="P17" s="29">
        <v>1471374</v>
      </c>
      <c r="Q17" s="29">
        <v>604804</v>
      </c>
      <c r="R17" s="29">
        <v>677</v>
      </c>
      <c r="S17" s="29">
        <v>329446</v>
      </c>
      <c r="T17" s="29">
        <v>30390</v>
      </c>
      <c r="U17" s="29">
        <v>50250</v>
      </c>
      <c r="V17" s="29">
        <v>30441</v>
      </c>
      <c r="X17" s="29">
        <v>483.44</v>
      </c>
      <c r="Y17" s="29">
        <v>885.13199999999995</v>
      </c>
      <c r="Z17" s="29">
        <v>3885.0419999999999</v>
      </c>
      <c r="AA17" s="29">
        <v>2153</v>
      </c>
      <c r="AB17" s="29">
        <v>1060</v>
      </c>
      <c r="AC17" s="34"/>
      <c r="AD17" s="31"/>
    </row>
    <row r="18" spans="1:30" x14ac:dyDescent="0.25">
      <c r="A18" s="21">
        <v>44241</v>
      </c>
      <c r="B18" s="26">
        <v>10</v>
      </c>
      <c r="C18" s="26">
        <v>10</v>
      </c>
      <c r="D18" s="29">
        <v>227590</v>
      </c>
      <c r="E18" s="29">
        <v>227938</v>
      </c>
      <c r="F18" s="29">
        <v>285856</v>
      </c>
      <c r="G18" s="29">
        <v>285544</v>
      </c>
      <c r="H18" s="29">
        <v>219293</v>
      </c>
      <c r="I18" s="29"/>
      <c r="J18" s="29"/>
      <c r="K18" s="29"/>
      <c r="L18" s="29">
        <v>622397</v>
      </c>
      <c r="M18" s="29">
        <v>2625875</v>
      </c>
      <c r="N18" s="29">
        <v>787089</v>
      </c>
      <c r="O18" s="29">
        <v>352214</v>
      </c>
      <c r="P18" s="29">
        <v>1471374</v>
      </c>
      <c r="Q18" s="29">
        <v>604804</v>
      </c>
      <c r="R18" s="29">
        <v>677</v>
      </c>
      <c r="S18" s="29">
        <v>329448</v>
      </c>
      <c r="T18" s="29">
        <v>30400</v>
      </c>
      <c r="U18" s="29">
        <v>50252</v>
      </c>
      <c r="V18" s="29">
        <v>30441</v>
      </c>
      <c r="X18" s="29">
        <v>483.62700000000001</v>
      </c>
      <c r="Y18" s="29">
        <v>885.38499999999999</v>
      </c>
      <c r="Z18" s="29">
        <v>3885.0419999999999</v>
      </c>
      <c r="AA18" s="29">
        <v>2153</v>
      </c>
      <c r="AB18" s="29">
        <v>1063</v>
      </c>
      <c r="AC18" s="34"/>
      <c r="AD18" s="31"/>
    </row>
    <row r="19" spans="1:30" x14ac:dyDescent="0.25">
      <c r="A19" s="21">
        <v>44242</v>
      </c>
      <c r="B19" s="26">
        <v>10</v>
      </c>
      <c r="C19" s="26">
        <v>10</v>
      </c>
      <c r="D19" s="29">
        <v>228524</v>
      </c>
      <c r="E19" s="29">
        <v>228873</v>
      </c>
      <c r="F19" s="29">
        <v>286173</v>
      </c>
      <c r="G19" s="29">
        <v>285860</v>
      </c>
      <c r="H19" s="29">
        <v>219302</v>
      </c>
      <c r="I19" s="29"/>
      <c r="J19" s="29"/>
      <c r="K19" s="29"/>
      <c r="L19" s="29">
        <v>622570</v>
      </c>
      <c r="M19" s="29">
        <v>2625875</v>
      </c>
      <c r="N19" s="29">
        <v>789461</v>
      </c>
      <c r="O19" s="29">
        <v>352233</v>
      </c>
      <c r="P19" s="29">
        <v>1471374</v>
      </c>
      <c r="Q19" s="29">
        <v>604804</v>
      </c>
      <c r="R19" s="29">
        <v>677</v>
      </c>
      <c r="S19" s="29">
        <v>329448</v>
      </c>
      <c r="T19" s="29">
        <v>30400</v>
      </c>
      <c r="U19" s="29">
        <v>50253</v>
      </c>
      <c r="V19" s="29">
        <v>30441</v>
      </c>
      <c r="X19" s="29">
        <v>483.79899999999998</v>
      </c>
      <c r="Y19" s="29">
        <v>885.58399999999995</v>
      </c>
      <c r="Z19" s="29">
        <v>3885.0419999999999</v>
      </c>
      <c r="AA19" s="29">
        <v>2153</v>
      </c>
      <c r="AB19" s="29">
        <v>1066</v>
      </c>
      <c r="AC19" s="34"/>
      <c r="AD19" s="31"/>
    </row>
    <row r="20" spans="1:30" x14ac:dyDescent="0.25">
      <c r="A20" s="21">
        <v>44243</v>
      </c>
      <c r="B20" s="26">
        <v>10</v>
      </c>
      <c r="C20" s="26">
        <v>10</v>
      </c>
      <c r="D20" s="29">
        <v>229496</v>
      </c>
      <c r="E20" s="29">
        <v>229847</v>
      </c>
      <c r="F20" s="29">
        <v>286515</v>
      </c>
      <c r="G20" s="29">
        <v>286202</v>
      </c>
      <c r="H20" s="29">
        <v>219318</v>
      </c>
      <c r="I20" s="29"/>
      <c r="J20" s="29"/>
      <c r="K20" s="29"/>
      <c r="L20" s="29">
        <v>622767</v>
      </c>
      <c r="M20" s="29">
        <v>2625875</v>
      </c>
      <c r="N20" s="29">
        <v>791469</v>
      </c>
      <c r="O20" s="29">
        <v>352257</v>
      </c>
      <c r="P20" s="29">
        <v>1471374</v>
      </c>
      <c r="Q20" s="29">
        <v>604804</v>
      </c>
      <c r="R20" s="29">
        <v>677</v>
      </c>
      <c r="S20" s="29">
        <v>329449</v>
      </c>
      <c r="T20" s="29">
        <v>30410</v>
      </c>
      <c r="U20" s="29">
        <v>50254</v>
      </c>
      <c r="V20" s="29">
        <v>30441</v>
      </c>
      <c r="X20" s="29">
        <v>483.90800000000002</v>
      </c>
      <c r="Y20" s="29">
        <v>885.70500000000004</v>
      </c>
      <c r="Z20" s="29">
        <v>3885.0419999999999</v>
      </c>
      <c r="AA20" s="29">
        <v>2153</v>
      </c>
      <c r="AB20" s="29">
        <v>1069</v>
      </c>
      <c r="AC20" s="34"/>
      <c r="AD20" s="31"/>
    </row>
    <row r="21" spans="1:30" x14ac:dyDescent="0.25">
      <c r="A21" s="21">
        <v>44244</v>
      </c>
      <c r="B21" s="26">
        <v>10</v>
      </c>
      <c r="C21" s="26">
        <v>10</v>
      </c>
      <c r="D21" s="29">
        <v>232587</v>
      </c>
      <c r="E21" s="29">
        <v>232942</v>
      </c>
      <c r="F21" s="29">
        <v>286833</v>
      </c>
      <c r="G21" s="29">
        <v>286520</v>
      </c>
      <c r="H21" s="29">
        <v>219330</v>
      </c>
      <c r="I21" s="29"/>
      <c r="J21" s="29"/>
      <c r="K21" s="29"/>
      <c r="L21" s="29">
        <v>622964</v>
      </c>
      <c r="M21" s="29">
        <v>2626367</v>
      </c>
      <c r="N21" s="29">
        <v>793087</v>
      </c>
      <c r="O21" s="29">
        <v>352279</v>
      </c>
      <c r="P21" s="29">
        <v>1471374</v>
      </c>
      <c r="Q21" s="29">
        <v>604804</v>
      </c>
      <c r="R21" s="29">
        <v>677</v>
      </c>
      <c r="S21" s="29">
        <v>329452</v>
      </c>
      <c r="T21" s="29">
        <v>30420</v>
      </c>
      <c r="U21" s="29">
        <v>50258</v>
      </c>
      <c r="V21" s="29">
        <v>30441</v>
      </c>
      <c r="X21" s="29">
        <v>484.06299999999999</v>
      </c>
      <c r="Y21" s="29">
        <v>885.80499999999995</v>
      </c>
      <c r="Z21" s="29">
        <v>3885.0419999999999</v>
      </c>
      <c r="AA21" s="29">
        <v>2153</v>
      </c>
      <c r="AB21" s="29">
        <v>1072</v>
      </c>
      <c r="AC21" s="31"/>
      <c r="AD21" s="31"/>
    </row>
    <row r="22" spans="1:30" x14ac:dyDescent="0.25">
      <c r="A22" s="21">
        <v>44245</v>
      </c>
      <c r="B22" s="26">
        <v>10</v>
      </c>
      <c r="C22" s="26">
        <v>10</v>
      </c>
      <c r="D22" s="29">
        <v>233633</v>
      </c>
      <c r="E22" s="29">
        <v>234020</v>
      </c>
      <c r="F22" s="29">
        <v>287185</v>
      </c>
      <c r="G22" s="29">
        <v>286872</v>
      </c>
      <c r="H22" s="29">
        <v>219346</v>
      </c>
      <c r="I22" s="29"/>
      <c r="J22" s="29"/>
      <c r="K22" s="29"/>
      <c r="L22" s="29">
        <v>623161</v>
      </c>
      <c r="M22" s="29">
        <v>2626384</v>
      </c>
      <c r="N22" s="29">
        <v>795239</v>
      </c>
      <c r="O22" s="29">
        <v>352302</v>
      </c>
      <c r="P22" s="29">
        <v>1471374</v>
      </c>
      <c r="Q22" s="29">
        <v>604804</v>
      </c>
      <c r="R22" s="29">
        <v>677</v>
      </c>
      <c r="S22" s="29">
        <v>329453</v>
      </c>
      <c r="T22" s="29">
        <v>30433</v>
      </c>
      <c r="U22" s="29">
        <v>50258</v>
      </c>
      <c r="V22" s="29">
        <v>30441</v>
      </c>
      <c r="X22" s="29">
        <v>484.26299999999998</v>
      </c>
      <c r="Y22" s="29">
        <v>885.94799999999998</v>
      </c>
      <c r="Z22" s="29">
        <v>3885.0419999999999</v>
      </c>
      <c r="AA22" s="29">
        <v>2153</v>
      </c>
      <c r="AB22" s="29">
        <v>1074</v>
      </c>
      <c r="AC22" s="31"/>
      <c r="AD22" s="31"/>
    </row>
    <row r="23" spans="1:30" x14ac:dyDescent="0.25">
      <c r="A23" s="21">
        <v>44246</v>
      </c>
      <c r="B23" s="26">
        <v>10</v>
      </c>
      <c r="C23" s="26">
        <v>10</v>
      </c>
      <c r="D23" s="29">
        <v>234640</v>
      </c>
      <c r="E23" s="29">
        <v>234998</v>
      </c>
      <c r="F23" s="29">
        <v>287548</v>
      </c>
      <c r="G23" s="29">
        <v>287234</v>
      </c>
      <c r="H23" s="29">
        <v>219364</v>
      </c>
      <c r="I23" s="29"/>
      <c r="J23" s="29"/>
      <c r="K23" s="29"/>
      <c r="L23" s="29">
        <v>623358</v>
      </c>
      <c r="M23" s="29">
        <v>2626384</v>
      </c>
      <c r="N23" s="29">
        <v>797445</v>
      </c>
      <c r="O23" s="29">
        <v>352335</v>
      </c>
      <c r="P23" s="29">
        <v>1471374</v>
      </c>
      <c r="Q23" s="29">
        <v>604804</v>
      </c>
      <c r="R23" s="29">
        <v>677</v>
      </c>
      <c r="S23" s="29">
        <v>329460</v>
      </c>
      <c r="T23" s="29">
        <v>30449</v>
      </c>
      <c r="U23" s="29">
        <v>50258</v>
      </c>
      <c r="V23" s="29">
        <v>30441</v>
      </c>
      <c r="X23" s="29">
        <v>484.43799999999999</v>
      </c>
      <c r="Y23" s="29">
        <v>886.12900000000002</v>
      </c>
      <c r="Z23" s="29">
        <v>3885.0419999999999</v>
      </c>
      <c r="AA23" s="29">
        <v>2153</v>
      </c>
      <c r="AB23" s="29">
        <v>1077</v>
      </c>
      <c r="AC23" s="31"/>
      <c r="AD23" s="31"/>
    </row>
    <row r="24" spans="1:30" x14ac:dyDescent="0.25">
      <c r="A24" s="21">
        <v>44247</v>
      </c>
      <c r="B24" s="26">
        <v>10</v>
      </c>
      <c r="C24" s="26">
        <v>10</v>
      </c>
      <c r="D24" s="29">
        <v>235639</v>
      </c>
      <c r="E24" s="29">
        <v>235999</v>
      </c>
      <c r="F24" s="29">
        <v>287930</v>
      </c>
      <c r="G24" s="29">
        <v>287616</v>
      </c>
      <c r="H24" s="29">
        <v>219385</v>
      </c>
      <c r="I24" s="29"/>
      <c r="J24" s="29"/>
      <c r="K24" s="29"/>
      <c r="L24" s="29">
        <v>623555</v>
      </c>
      <c r="M24" s="29">
        <v>2626384</v>
      </c>
      <c r="N24" s="29">
        <v>799578</v>
      </c>
      <c r="O24" s="29">
        <v>352350</v>
      </c>
      <c r="P24" s="29">
        <v>1471374</v>
      </c>
      <c r="Q24" s="29">
        <v>604804</v>
      </c>
      <c r="R24" s="29">
        <v>677</v>
      </c>
      <c r="S24" s="29">
        <v>329463</v>
      </c>
      <c r="T24" s="29">
        <v>30462</v>
      </c>
      <c r="U24" s="29">
        <v>50260</v>
      </c>
      <c r="V24" s="29">
        <v>30441</v>
      </c>
      <c r="X24" s="29">
        <v>484.60500000000002</v>
      </c>
      <c r="Y24" s="29">
        <v>886.27800000000002</v>
      </c>
      <c r="Z24" s="29">
        <v>3885.0419999999999</v>
      </c>
      <c r="AA24" s="29">
        <v>2153</v>
      </c>
      <c r="AB24" s="29">
        <v>1080</v>
      </c>
      <c r="AC24" s="31"/>
      <c r="AD24" s="31"/>
    </row>
    <row r="25" spans="1:30" x14ac:dyDescent="0.25">
      <c r="A25" s="21">
        <v>44248</v>
      </c>
      <c r="B25" s="26">
        <v>10</v>
      </c>
      <c r="C25" s="26">
        <v>10</v>
      </c>
      <c r="D25" s="29">
        <v>236552</v>
      </c>
      <c r="E25" s="29">
        <v>236914</v>
      </c>
      <c r="F25" s="29">
        <v>288728</v>
      </c>
      <c r="G25" s="29">
        <v>288414</v>
      </c>
      <c r="H25" s="29">
        <v>219529</v>
      </c>
      <c r="I25" s="29"/>
      <c r="J25" s="29"/>
      <c r="K25" s="29"/>
      <c r="L25" s="29">
        <v>623752</v>
      </c>
      <c r="M25" s="29">
        <v>2626384</v>
      </c>
      <c r="N25" s="29">
        <v>801322</v>
      </c>
      <c r="O25" s="29">
        <v>352376</v>
      </c>
      <c r="P25" s="29">
        <v>1471374</v>
      </c>
      <c r="Q25" s="29">
        <v>604804</v>
      </c>
      <c r="R25" s="29">
        <v>677</v>
      </c>
      <c r="S25" s="29">
        <v>329463</v>
      </c>
      <c r="T25" s="29">
        <v>30469</v>
      </c>
      <c r="U25" s="29">
        <v>50261</v>
      </c>
      <c r="V25" s="29">
        <v>30441</v>
      </c>
      <c r="X25" s="29">
        <v>484.74900000000002</v>
      </c>
      <c r="Y25" s="29">
        <v>886.42899999999997</v>
      </c>
      <c r="Z25" s="29">
        <v>3885.0419999999999</v>
      </c>
      <c r="AA25" s="29">
        <v>2153</v>
      </c>
      <c r="AB25" s="29">
        <v>1083</v>
      </c>
      <c r="AC25" s="31"/>
      <c r="AD25" s="31"/>
    </row>
    <row r="26" spans="1:30" x14ac:dyDescent="0.25">
      <c r="A26" s="21">
        <v>44249</v>
      </c>
      <c r="B26" s="26">
        <v>10</v>
      </c>
      <c r="C26" s="26">
        <v>10</v>
      </c>
      <c r="D26" s="29">
        <v>237520</v>
      </c>
      <c r="E26" s="29">
        <v>237884</v>
      </c>
      <c r="F26" s="29">
        <v>289673</v>
      </c>
      <c r="G26" s="29">
        <v>289358</v>
      </c>
      <c r="H26" s="29">
        <v>219705</v>
      </c>
      <c r="I26" s="29">
        <v>6961487</v>
      </c>
      <c r="J26" s="29">
        <v>31845</v>
      </c>
      <c r="K26" s="29">
        <v>4897276</v>
      </c>
      <c r="L26" s="29">
        <v>623952</v>
      </c>
      <c r="M26" s="29">
        <v>2626384</v>
      </c>
      <c r="N26" s="29">
        <v>803256</v>
      </c>
      <c r="O26" s="29">
        <v>352395</v>
      </c>
      <c r="P26" s="29">
        <v>1471374</v>
      </c>
      <c r="Q26" s="29">
        <v>604804</v>
      </c>
      <c r="R26" s="29">
        <v>677</v>
      </c>
      <c r="S26" s="29">
        <v>329463</v>
      </c>
      <c r="T26" s="29">
        <v>30475</v>
      </c>
      <c r="U26" s="29">
        <v>50262</v>
      </c>
      <c r="V26" s="29">
        <v>30447</v>
      </c>
      <c r="X26" s="29">
        <v>484.91800000000001</v>
      </c>
      <c r="Y26" s="29">
        <v>886.61900000000003</v>
      </c>
      <c r="Z26" s="29">
        <v>3885.0419999999999</v>
      </c>
      <c r="AA26" s="29">
        <v>2153</v>
      </c>
      <c r="AB26" s="29">
        <v>1090</v>
      </c>
      <c r="AC26" s="31"/>
      <c r="AD26" s="31"/>
    </row>
    <row r="27" spans="1:30" x14ac:dyDescent="0.25">
      <c r="A27" s="21">
        <v>44250</v>
      </c>
      <c r="B27" s="26">
        <v>10</v>
      </c>
      <c r="C27" s="26">
        <v>10</v>
      </c>
      <c r="D27" s="29">
        <v>238598</v>
      </c>
      <c r="E27" s="29">
        <v>238963</v>
      </c>
      <c r="F27" s="29">
        <v>290047</v>
      </c>
      <c r="G27" s="29">
        <v>289732</v>
      </c>
      <c r="H27" s="29">
        <v>219724</v>
      </c>
      <c r="I27" s="29">
        <v>6962837</v>
      </c>
      <c r="J27" s="29">
        <v>31845</v>
      </c>
      <c r="K27" s="29">
        <v>4898046</v>
      </c>
      <c r="L27" s="29">
        <v>624103</v>
      </c>
      <c r="M27" s="29">
        <v>2626395</v>
      </c>
      <c r="N27" s="29">
        <v>805329</v>
      </c>
      <c r="O27" s="29">
        <v>352423</v>
      </c>
      <c r="P27" s="29">
        <v>1471374</v>
      </c>
      <c r="Q27" s="29">
        <v>604804</v>
      </c>
      <c r="R27" s="29">
        <v>677</v>
      </c>
      <c r="S27" s="29">
        <v>329465</v>
      </c>
      <c r="T27" s="29">
        <v>30486</v>
      </c>
      <c r="U27" s="29">
        <v>50264</v>
      </c>
      <c r="V27" s="29">
        <v>30447</v>
      </c>
      <c r="X27" s="29">
        <v>485.09500000000003</v>
      </c>
      <c r="Y27" s="29">
        <v>886.798</v>
      </c>
      <c r="Z27" s="29">
        <v>3885.0419999999999</v>
      </c>
      <c r="AA27" s="29">
        <v>2153</v>
      </c>
      <c r="AB27" s="29">
        <v>1093</v>
      </c>
      <c r="AC27" s="31"/>
      <c r="AD27" s="31"/>
    </row>
    <row r="28" spans="1:30" x14ac:dyDescent="0.25">
      <c r="A28" s="21">
        <v>44251</v>
      </c>
      <c r="B28" s="26">
        <v>10</v>
      </c>
      <c r="C28" s="26">
        <v>10</v>
      </c>
      <c r="D28" s="29">
        <v>240937</v>
      </c>
      <c r="E28" s="29">
        <v>241305</v>
      </c>
      <c r="F28" s="29">
        <v>291723</v>
      </c>
      <c r="G28" s="29">
        <v>291406</v>
      </c>
      <c r="H28" s="29">
        <v>220119</v>
      </c>
      <c r="I28" s="29"/>
      <c r="J28" s="29"/>
      <c r="K28" s="29"/>
      <c r="L28" s="29">
        <v>624253</v>
      </c>
      <c r="M28" s="29">
        <v>2626737</v>
      </c>
      <c r="N28" s="29">
        <v>806482</v>
      </c>
      <c r="O28" s="29">
        <v>352443</v>
      </c>
      <c r="P28" s="29">
        <v>1471374</v>
      </c>
      <c r="Q28" s="29">
        <v>604804</v>
      </c>
      <c r="R28" s="29">
        <v>677</v>
      </c>
      <c r="S28" s="29">
        <v>329470</v>
      </c>
      <c r="T28" s="29">
        <v>30497</v>
      </c>
      <c r="U28" s="29">
        <v>50265</v>
      </c>
      <c r="V28" s="29">
        <v>30447</v>
      </c>
      <c r="X28" s="29">
        <v>485.23200000000003</v>
      </c>
      <c r="Y28" s="29">
        <v>886.97699999999998</v>
      </c>
      <c r="Z28" s="29">
        <v>3885.0419999999999</v>
      </c>
      <c r="AA28" s="29">
        <v>2153</v>
      </c>
      <c r="AB28" s="29">
        <v>1096</v>
      </c>
      <c r="AC28" s="31"/>
      <c r="AD28" s="31"/>
    </row>
    <row r="29" spans="1:30" x14ac:dyDescent="0.25">
      <c r="A29" s="21">
        <v>44252</v>
      </c>
      <c r="B29" s="26">
        <v>10</v>
      </c>
      <c r="C29" s="26">
        <v>10</v>
      </c>
      <c r="D29" s="29">
        <v>241913</v>
      </c>
      <c r="E29" s="29">
        <v>242283</v>
      </c>
      <c r="F29" s="29">
        <v>292064</v>
      </c>
      <c r="G29" s="29">
        <v>291747</v>
      </c>
      <c r="H29" s="29">
        <v>220135</v>
      </c>
      <c r="I29" s="29"/>
      <c r="J29" s="29"/>
      <c r="K29" s="29"/>
      <c r="L29" s="29">
        <v>624447</v>
      </c>
      <c r="M29" s="29">
        <v>2626737</v>
      </c>
      <c r="N29" s="29">
        <v>808279</v>
      </c>
      <c r="O29" s="29">
        <v>352483</v>
      </c>
      <c r="P29" s="29">
        <v>1471374</v>
      </c>
      <c r="Q29" s="29">
        <v>604804</v>
      </c>
      <c r="R29" s="29">
        <v>677</v>
      </c>
      <c r="S29" s="29">
        <v>329481</v>
      </c>
      <c r="T29" s="29">
        <v>30526</v>
      </c>
      <c r="U29" s="29">
        <v>50268</v>
      </c>
      <c r="V29" s="29">
        <v>30447</v>
      </c>
      <c r="X29" s="29">
        <v>485.392</v>
      </c>
      <c r="Y29" s="29">
        <v>887.09100000000001</v>
      </c>
      <c r="Z29" s="29">
        <v>3885.0419999999999</v>
      </c>
      <c r="AA29" s="29">
        <v>2153</v>
      </c>
      <c r="AB29" s="29">
        <v>1099</v>
      </c>
      <c r="AC29" s="31"/>
      <c r="AD29" s="31"/>
    </row>
    <row r="30" spans="1:30" x14ac:dyDescent="0.25">
      <c r="A30" s="21">
        <v>44253</v>
      </c>
      <c r="B30" s="26">
        <v>10</v>
      </c>
      <c r="C30" s="26">
        <v>10</v>
      </c>
      <c r="D30" s="29">
        <v>242891</v>
      </c>
      <c r="E30" s="29">
        <v>243262</v>
      </c>
      <c r="F30" s="29">
        <v>292404</v>
      </c>
      <c r="G30" s="29">
        <v>292087</v>
      </c>
      <c r="H30" s="29">
        <v>220145</v>
      </c>
      <c r="I30" s="29"/>
      <c r="J30" s="29"/>
      <c r="K30" s="29"/>
      <c r="L30" s="29">
        <v>624644</v>
      </c>
      <c r="M30" s="29">
        <v>2626737</v>
      </c>
      <c r="N30" s="29">
        <v>810339</v>
      </c>
      <c r="O30" s="29">
        <v>352522</v>
      </c>
      <c r="P30" s="29">
        <v>1471374</v>
      </c>
      <c r="Q30" s="29">
        <v>604804</v>
      </c>
      <c r="R30" s="29">
        <v>677</v>
      </c>
      <c r="S30" s="29">
        <v>329489</v>
      </c>
      <c r="T30" s="29">
        <v>30541</v>
      </c>
      <c r="U30" s="29">
        <v>50270</v>
      </c>
      <c r="V30" s="29">
        <v>30447</v>
      </c>
      <c r="X30" s="29">
        <v>485.57299999999998</v>
      </c>
      <c r="Y30" s="29">
        <v>887.30799999999999</v>
      </c>
      <c r="Z30" s="29">
        <v>3885.0419999999999</v>
      </c>
      <c r="AA30" s="29">
        <v>2153</v>
      </c>
      <c r="AB30" s="29">
        <v>1103</v>
      </c>
      <c r="AC30" s="31"/>
      <c r="AD30" s="31"/>
    </row>
    <row r="31" spans="1:30" x14ac:dyDescent="0.25">
      <c r="A31" s="21">
        <v>44254</v>
      </c>
      <c r="B31" s="26">
        <v>10</v>
      </c>
      <c r="C31" s="26">
        <v>10</v>
      </c>
      <c r="D31" s="29">
        <v>243849</v>
      </c>
      <c r="E31" s="29">
        <v>244222</v>
      </c>
      <c r="F31" s="29">
        <v>292846</v>
      </c>
      <c r="G31" s="29">
        <v>292528</v>
      </c>
      <c r="H31" s="29">
        <v>220194</v>
      </c>
      <c r="I31" s="29"/>
      <c r="J31" s="29"/>
      <c r="K31" s="29"/>
      <c r="L31" s="29">
        <v>624841</v>
      </c>
      <c r="M31" s="29">
        <v>2626737</v>
      </c>
      <c r="N31" s="29">
        <v>812308</v>
      </c>
      <c r="O31" s="29">
        <v>352556</v>
      </c>
      <c r="P31" s="29">
        <v>1471374</v>
      </c>
      <c r="Q31" s="29">
        <v>604804</v>
      </c>
      <c r="R31" s="29">
        <v>677</v>
      </c>
      <c r="S31" s="29">
        <v>329499</v>
      </c>
      <c r="T31" s="29">
        <v>30567</v>
      </c>
      <c r="U31" s="29">
        <v>30273</v>
      </c>
      <c r="V31" s="29">
        <v>30447</v>
      </c>
      <c r="X31" s="29">
        <v>485.73200000000003</v>
      </c>
      <c r="Y31" s="29">
        <v>887.60299999999995</v>
      </c>
      <c r="Z31" s="29">
        <v>3885.0419999999999</v>
      </c>
      <c r="AA31" s="29">
        <v>2153</v>
      </c>
      <c r="AB31" s="29">
        <v>1105</v>
      </c>
      <c r="AC31" s="31"/>
      <c r="AD31" s="31"/>
    </row>
    <row r="32" spans="1:30" x14ac:dyDescent="0.25">
      <c r="A32" s="21">
        <v>44255</v>
      </c>
      <c r="B32" s="26">
        <v>10</v>
      </c>
      <c r="C32" s="26">
        <v>10</v>
      </c>
      <c r="D32" s="29">
        <v>244807</v>
      </c>
      <c r="E32" s="29">
        <v>245182</v>
      </c>
      <c r="F32" s="29">
        <v>293288</v>
      </c>
      <c r="G32" s="29">
        <v>292969</v>
      </c>
      <c r="H32" s="29">
        <v>220243</v>
      </c>
      <c r="I32" s="29"/>
      <c r="J32" s="29"/>
      <c r="K32" s="29"/>
      <c r="L32" s="29">
        <v>625038</v>
      </c>
      <c r="M32" s="29">
        <v>2626737</v>
      </c>
      <c r="N32" s="29">
        <v>814277</v>
      </c>
      <c r="O32" s="29">
        <v>352590</v>
      </c>
      <c r="P32" s="29">
        <v>1471374</v>
      </c>
      <c r="Q32" s="29">
        <v>604804</v>
      </c>
      <c r="R32" s="29">
        <v>677</v>
      </c>
      <c r="S32" s="29">
        <v>329509</v>
      </c>
      <c r="T32" s="29">
        <v>30593</v>
      </c>
      <c r="U32" s="29">
        <v>10276</v>
      </c>
      <c r="V32" s="29">
        <v>30447</v>
      </c>
      <c r="X32" s="29">
        <v>485.89100000000002</v>
      </c>
      <c r="Y32" s="29">
        <v>887.89800000000002</v>
      </c>
      <c r="Z32" s="29">
        <v>3885.0419999999999</v>
      </c>
      <c r="AA32" s="29">
        <v>2153</v>
      </c>
      <c r="AB32" s="29">
        <v>1107</v>
      </c>
      <c r="AC32" s="31"/>
      <c r="AD32" s="31"/>
    </row>
    <row r="33" spans="2:21" x14ac:dyDescent="0.25">
      <c r="B33" s="24"/>
      <c r="C33" s="24"/>
      <c r="F33" t="s">
        <v>42</v>
      </c>
    </row>
    <row r="34" spans="2:21" x14ac:dyDescent="0.25">
      <c r="U34" t="s">
        <v>42</v>
      </c>
    </row>
  </sheetData>
  <mergeCells count="27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AB1:AB3"/>
    <mergeCell ref="AC2:AC3"/>
    <mergeCell ref="AD2:AD3"/>
    <mergeCell ref="X1:X3"/>
    <mergeCell ref="W2:W3"/>
    <mergeCell ref="Y1:Y3"/>
    <mergeCell ref="Z1:Z3"/>
    <mergeCell ref="AA1:A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2021-03-01T08:25:05Z</dcterms:modified>
</cp:coreProperties>
</file>