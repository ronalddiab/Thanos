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359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F7" i="6"/>
  <c r="H7" i="6"/>
  <c r="AW7" i="6"/>
  <c r="F8" i="6"/>
  <c r="AW8" i="6"/>
  <c r="AW9" i="6"/>
  <c r="AW10" i="6"/>
  <c r="H11" i="6"/>
  <c r="AW11" i="6"/>
  <c r="F12" i="6"/>
  <c r="AW12" i="6"/>
  <c r="I13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<sst xmlns="http://schemas.openxmlformats.org/spreadsheetml/2006/main" count="296" uniqueCount="138">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</sst>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6" sqref="F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 t="e">
        <f>Submetering!E6+Submetering!F6+Submetering!G6+Submetering!H6-Submetering!AV6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 t="e">
        <f>'FS Desroches Daily'!#REF!</f>
        <v>#REF!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 t="str">
        <f>'FS Desroches Daily'!T7</f>
        <v/>
      </c>
      <c r="N5" s="35" t="str">
        <f>'FS Desroches Daily'!V7</f>
        <v/>
      </c>
      <c r="O5" s="35">
        <f>'FS Desroches Daily'!X7</f>
        <v>430.00000000000682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 t="str">
        <f>'FS Desroches Daily'!D8</f>
        <v>0</v>
      </c>
      <c r="F6" s="36" t="str">
        <f>'FS Desroches Daily'!F8</f>
        <v>0</v>
      </c>
      <c r="G6" s="35" t="str">
        <f>'FS Desroches Daily'!H8</f>
        <v>0</v>
      </c>
      <c r="H6" s="36" t="str">
        <f>'FS Desroches Daily'!J8</f>
        <v>0</v>
      </c>
      <c r="I6" s="35" t="str">
        <f>'FS Desroches Daily'!L8</f>
        <v>0</v>
      </c>
      <c r="J6" s="36" t="str">
        <f>'FS Desroches Daily'!N8</f>
        <v/>
      </c>
      <c r="K6" s="13" t="str">
        <f>'FS Desroches Daily'!P8</f>
        <v/>
      </c>
      <c r="L6" s="35" t="str">
        <f>'FS Desroches Daily'!R8</f>
        <v/>
      </c>
      <c r="M6" s="35">
        <f>'FS Desroches Daily'!T8</f>
        <v>0</v>
      </c>
      <c r="N6" s="35">
        <f>'FS Desroches Daily'!V8</f>
        <v>0</v>
      </c>
      <c r="O6" s="35" t="str">
        <f>'FS Desroches Daily'!X8</f>
        <v/>
      </c>
      <c r="P6" s="35" t="str">
        <f>'FS Desroches Daily'!Z8</f>
        <v/>
      </c>
      <c r="Q6" s="35" t="str">
        <f>'FS Desroches Daily'!AB8</f>
        <v/>
      </c>
      <c r="R6" s="35" t="str">
        <f>'FS Desroches Daily'!AD8</f>
        <v/>
      </c>
      <c r="S6" s="35" t="str">
        <f>'FS Desroches Daily'!AF8</f>
        <v/>
      </c>
      <c r="T6" s="35" t="str">
        <f>'FS Desroches Daily'!AH8</f>
        <v/>
      </c>
      <c r="U6" s="39" t="str">
        <f>'FS Desroches Daily'!AJ8</f>
        <v/>
      </c>
      <c r="V6" s="39" t="str">
        <f>'FS Desroches Daily'!AL8</f>
        <v/>
      </c>
      <c r="W6" s="39" t="str">
        <f>'FS Desroches Daily'!AN8</f>
        <v/>
      </c>
      <c r="X6" s="39" t="str">
        <f>'FS Desroches Daily'!AP8</f>
        <v/>
      </c>
      <c r="Y6" s="39" t="str">
        <f>'FS Desroches Daily'!AR8</f>
        <v/>
      </c>
      <c r="Z6" s="39" t="str">
        <f>'FS Desroches Daily'!AT8</f>
        <v/>
      </c>
      <c r="AA6" s="39" t="str">
        <f>'FS Desroches Daily'!AT8</f>
        <v/>
      </c>
      <c r="AB6" s="39" t="str">
        <f>'FS Desroches Daily'!AV8</f>
        <v/>
      </c>
      <c r="AC6" s="39" t="str">
        <f>'FS Desroches Daily'!AZ8</f>
        <v/>
      </c>
      <c r="AD6" s="39" t="str">
        <f>'FS Desroches Daily'!BB8</f>
        <v/>
      </c>
      <c r="AE6" s="39" t="str">
        <f>'FS Desroches Daily'!BD8</f>
        <v/>
      </c>
      <c r="AF6" s="35" t="str">
        <f>'FS Desroches Daily'!BF8</f>
        <v/>
      </c>
      <c r="AG6" s="36" t="str">
        <f>'FS Desroches Daily'!BH8</f>
        <v/>
      </c>
      <c r="AH6" s="36" t="str">
        <f>'FS Desroches Daily'!BJ8</f>
        <v/>
      </c>
      <c r="AI6" s="36" t="str">
        <f>'FS Desroches Daily'!BL8</f>
        <v/>
      </c>
      <c r="AJ6" s="36" t="str">
        <f>'FS Desroches Daily'!BN8</f>
        <v/>
      </c>
      <c r="AK6" s="36" t="str">
        <f>'FS Desroches Daily'!BP8</f>
        <v/>
      </c>
      <c r="AL6" s="36" t="str">
        <f>'FS Desroches Daily'!BR8</f>
        <v/>
      </c>
      <c r="AM6" s="36" t="str">
        <f>'FS Desroches Daily'!BT8</f>
        <v/>
      </c>
      <c r="AN6" s="36" t="str">
        <f>'FS Desroches Daily'!BV8</f>
        <v/>
      </c>
      <c r="AO6" s="36" t="str">
        <f>'FS Desroches Daily'!BX8</f>
        <v/>
      </c>
      <c r="AP6" s="36" t="str">
        <f>'FS Desroches Daily'!BZ8</f>
        <v/>
      </c>
      <c r="AQ6" s="35" t="str">
        <f>'FS Desroches Daily'!CB8</f>
        <v/>
      </c>
      <c r="AR6" s="35" t="str">
        <f>'FS Desroches Daily'!CD8</f>
        <v/>
      </c>
      <c r="AS6" s="35" t="str">
        <f>'FS Desroches Daily'!CF8</f>
        <v/>
      </c>
      <c r="AT6" s="35" t="str">
        <f>'FS Desroches Daily'!CH8</f>
        <v/>
      </c>
      <c r="AU6" s="35" t="str">
        <f>'FS Desroches Daily'!CJ8</f>
        <v/>
      </c>
      <c r="AV6" s="35" t="str">
        <f>'FS Desroches Daily'!CL8</f>
        <v/>
      </c>
      <c r="AW6" s="35">
        <f>'FS Desroches Daily'!CM8</f>
        <v>0</v>
      </c>
      <c r="AX6" s="35" t="str">
        <f>IF(LPG!F13-LPG!F12&lt;0,"0",(LPG!F13-LPG!F12)*1.8315)</f>
        <v>0</v>
      </c>
      <c r="AY6" s="35" t="str">
        <f>IF(LPG!H13-LPG!H12&lt;0,"0",(LPG!H13-LPG!H12)*1.8315)</f>
        <v>0</v>
      </c>
      <c r="AZ6" s="35" t="str">
        <f>IF(LPG!J13-LPG!J12&lt;0,"0",(LPG!J13-LPG!J12)*1.8315)</f>
        <v>0</v>
      </c>
      <c r="BA6" s="35" t="str">
        <f>IF(LPG!M13-LPG!M12&lt;0,"0",(LPG!M13-LPG!M12)*1.8315)</f>
        <v>0</v>
      </c>
      <c r="BB6" s="35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0</v>
      </c>
      <c r="F7" s="36">
        <f>'FS Desroches Daily'!F9</f>
        <v>0</v>
      </c>
      <c r="G7" s="35">
        <f>'FS Desroches Daily'!H9</f>
        <v>0</v>
      </c>
      <c r="H7" s="36">
        <f>'FS Desroches Daily'!J9</f>
        <v>0</v>
      </c>
      <c r="I7" s="35">
        <f>'FS Desroches Daily'!L9</f>
        <v>0</v>
      </c>
      <c r="J7" s="36">
        <f>'FS Desroches Daily'!N9</f>
        <v>0</v>
      </c>
      <c r="K7" s="13">
        <f>'FS Desroches Daily'!P9</f>
        <v>0</v>
      </c>
      <c r="L7" s="35">
        <f>'FS Desroches Daily'!R9</f>
        <v>0</v>
      </c>
      <c r="M7" s="35">
        <f>'FS Desroches Daily'!T9</f>
        <v>0</v>
      </c>
      <c r="N7" s="35">
        <f>'FS Desroches Daily'!V9</f>
        <v>0</v>
      </c>
      <c r="O7" s="35">
        <f>'FS Desroches Daily'!X9</f>
        <v>0</v>
      </c>
      <c r="P7" s="35">
        <f>'FS Desroches Daily'!Z9</f>
        <v>0</v>
      </c>
      <c r="Q7" s="35">
        <f>'FS Desroches Daily'!AB9</f>
        <v>0</v>
      </c>
      <c r="R7" s="35">
        <f>'FS Desroches Daily'!AD9</f>
        <v>0</v>
      </c>
      <c r="S7" s="35">
        <f>'FS Desroches Daily'!AF9</f>
        <v>0</v>
      </c>
      <c r="T7" s="35">
        <f>'FS Desroches Daily'!AH9</f>
        <v>0</v>
      </c>
      <c r="U7" s="39">
        <f>'FS Desroches Daily'!AJ9</f>
        <v>0</v>
      </c>
      <c r="V7" s="39">
        <f>'FS Desroches Daily'!AL9</f>
        <v>0</v>
      </c>
      <c r="W7" s="39">
        <f>'FS Desroches Daily'!AN9</f>
        <v>0</v>
      </c>
      <c r="X7" s="39">
        <f>'FS Desroches Daily'!AP9</f>
        <v>0</v>
      </c>
      <c r="Y7" s="39">
        <f>'FS Desroches Daily'!AR9</f>
        <v>0</v>
      </c>
      <c r="Z7" s="39">
        <f>'FS Desroches Daily'!AT9</f>
        <v>0</v>
      </c>
      <c r="AA7" s="39">
        <f>'FS Desroches Daily'!AT9</f>
        <v>0</v>
      </c>
      <c r="AB7" s="39">
        <f>'FS Desroches Daily'!AV9</f>
        <v>0</v>
      </c>
      <c r="AC7" s="39">
        <f>'FS Desroches Daily'!AZ9</f>
        <v>0</v>
      </c>
      <c r="AD7" s="39">
        <f>'FS Desroches Daily'!BB9</f>
        <v>0</v>
      </c>
      <c r="AE7" s="39">
        <f>'FS Desroches Daily'!BD9</f>
        <v>0</v>
      </c>
      <c r="AF7" s="35">
        <f>'FS Desroches Daily'!BF9</f>
        <v>0</v>
      </c>
      <c r="AG7" s="36">
        <f>'FS Desroches Daily'!BH9</f>
        <v>0</v>
      </c>
      <c r="AH7" s="36">
        <f>'FS Desroches Daily'!BJ9</f>
        <v>0</v>
      </c>
      <c r="AI7" s="36">
        <f>'FS Desroches Daily'!BL9</f>
        <v>0</v>
      </c>
      <c r="AJ7" s="36">
        <f>'FS Desroches Daily'!BN9</f>
        <v>0</v>
      </c>
      <c r="AK7" s="36">
        <f>'FS Desroches Daily'!BP9</f>
        <v>0</v>
      </c>
      <c r="AL7" s="36">
        <f>'FS Desroches Daily'!BR9</f>
        <v>0</v>
      </c>
      <c r="AM7" s="36">
        <f>'FS Desroches Daily'!BT9</f>
        <v>0</v>
      </c>
      <c r="AN7" s="36">
        <f>'FS Desroches Daily'!BV9</f>
        <v>0</v>
      </c>
      <c r="AO7" s="36">
        <f>'FS Desroches Daily'!BX9</f>
        <v>0</v>
      </c>
      <c r="AP7" s="36">
        <f>'FS Desroches Daily'!BZ9</f>
        <v>0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0</v>
      </c>
      <c r="AU7" s="35">
        <f>'FS Desroches Daily'!CJ9</f>
        <v>0</v>
      </c>
      <c r="AV7" s="35">
        <f>'FS Desroches Daily'!CL9</f>
        <v>0</v>
      </c>
      <c r="AW7" s="35">
        <f>'FS Desroches Daily'!CM9</f>
        <v>0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0</v>
      </c>
      <c r="F8" s="36">
        <f>'FS Desroches Daily'!F10</f>
        <v>0</v>
      </c>
      <c r="G8" s="35">
        <f>'FS Desroches Daily'!H10</f>
        <v>0</v>
      </c>
      <c r="H8" s="36">
        <f>'FS Desroches Daily'!J10</f>
        <v>0</v>
      </c>
      <c r="I8" s="35">
        <f>'FS Desroches Daily'!L10</f>
        <v>0</v>
      </c>
      <c r="J8" s="36">
        <f>'FS Desroches Daily'!N10</f>
        <v>0</v>
      </c>
      <c r="K8" s="13">
        <f>'FS Desroches Daily'!P10</f>
        <v>0</v>
      </c>
      <c r="L8" s="35">
        <f>'FS Desroches Daily'!R10</f>
        <v>0</v>
      </c>
      <c r="M8" s="35">
        <f>'FS Desroches Daily'!T10</f>
        <v>0</v>
      </c>
      <c r="N8" s="35">
        <f>'FS Desroches Daily'!V10</f>
        <v>0</v>
      </c>
      <c r="O8" s="35">
        <f>'FS Desroches Daily'!X10</f>
        <v>0</v>
      </c>
      <c r="P8" s="35">
        <f>'FS Desroches Daily'!Z10</f>
        <v>0</v>
      </c>
      <c r="Q8" s="35">
        <f>'FS Desroches Daily'!AB10</f>
        <v>0</v>
      </c>
      <c r="R8" s="35">
        <f>'FS Desroches Daily'!AD10</f>
        <v>0</v>
      </c>
      <c r="S8" s="35">
        <f>'FS Desroches Daily'!AF10</f>
        <v>0</v>
      </c>
      <c r="T8" s="35">
        <f>'FS Desroches Daily'!AH10</f>
        <v>0</v>
      </c>
      <c r="U8" s="39">
        <f>'FS Desroches Daily'!AJ10</f>
        <v>0</v>
      </c>
      <c r="V8" s="39">
        <f>'FS Desroches Daily'!AL10</f>
        <v>0</v>
      </c>
      <c r="W8" s="39">
        <f>'FS Desroches Daily'!AN10</f>
        <v>0</v>
      </c>
      <c r="X8" s="39">
        <f>'FS Desroches Daily'!AP10</f>
        <v>0</v>
      </c>
      <c r="Y8" s="39">
        <f>'FS Desroches Daily'!AR10</f>
        <v>0</v>
      </c>
      <c r="Z8" s="39">
        <f>'FS Desroches Daily'!AT10</f>
        <v>0</v>
      </c>
      <c r="AA8" s="39">
        <f>'FS Desroches Daily'!AT10</f>
        <v>0</v>
      </c>
      <c r="AB8" s="39">
        <f>'FS Desroches Daily'!AV10</f>
        <v>0</v>
      </c>
      <c r="AC8" s="39">
        <f>'FS Desroches Daily'!AZ10</f>
        <v>0</v>
      </c>
      <c r="AD8" s="39">
        <f>'FS Desroches Daily'!BB10</f>
        <v>0</v>
      </c>
      <c r="AE8" s="39">
        <f>'FS Desroches Daily'!BD10</f>
        <v>0</v>
      </c>
      <c r="AF8" s="35">
        <f>'FS Desroches Daily'!BF10</f>
        <v>0</v>
      </c>
      <c r="AG8" s="36">
        <f>'FS Desroches Daily'!BH10</f>
        <v>0</v>
      </c>
      <c r="AH8" s="36">
        <f>'FS Desroches Daily'!BJ10</f>
        <v>0</v>
      </c>
      <c r="AI8" s="36">
        <f>'FS Desroches Daily'!BL10</f>
        <v>0</v>
      </c>
      <c r="AJ8" s="36">
        <f>'FS Desroches Daily'!BN10</f>
        <v>0</v>
      </c>
      <c r="AK8" s="36">
        <f>'FS Desroches Daily'!BP10</f>
        <v>0</v>
      </c>
      <c r="AL8" s="36">
        <f>'FS Desroches Daily'!BR10</f>
        <v>0</v>
      </c>
      <c r="AM8" s="36">
        <f>'FS Desroches Daily'!BT10</f>
        <v>0</v>
      </c>
      <c r="AN8" s="36">
        <f>'FS Desroches Daily'!BV10</f>
        <v>0</v>
      </c>
      <c r="AO8" s="36">
        <f>'FS Desroches Daily'!BX10</f>
        <v>0</v>
      </c>
      <c r="AP8" s="36">
        <f>'FS Desroches Daily'!BZ10</f>
        <v>0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0</v>
      </c>
      <c r="AU8" s="35">
        <f>'FS Desroches Daily'!CJ10</f>
        <v>0</v>
      </c>
      <c r="AV8" s="35">
        <f>'FS Desroches Daily'!CL10</f>
        <v>0</v>
      </c>
      <c r="AW8" s="35">
        <f>'FS Desroches Daily'!CM10</f>
        <v>0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12700.000000000155</v>
      </c>
      <c r="F33" s="17">
        <f t="shared" ref="F33:BC33" si="1">SUM(F2:F32)</f>
        <v>15500.000000000291</v>
      </c>
      <c r="G33" s="17">
        <f t="shared" si="1"/>
        <v>14699.999999999935</v>
      </c>
      <c r="H33" s="17">
        <f t="shared" si="1"/>
        <v>6899.9999999999054</v>
      </c>
      <c r="I33" s="17">
        <f t="shared" si="1"/>
        <v>12199.999999999989</v>
      </c>
      <c r="J33" s="17">
        <f t="shared" si="1"/>
        <v>7089.9999999999181</v>
      </c>
      <c r="K33" s="17">
        <f t="shared" si="1"/>
        <v>85</v>
      </c>
      <c r="L33" s="17">
        <f t="shared" si="1"/>
        <v>35</v>
      </c>
      <c r="M33" s="17">
        <f t="shared" si="1"/>
        <v>4474</v>
      </c>
      <c r="N33" s="17">
        <f t="shared" si="1"/>
        <v>1841</v>
      </c>
      <c r="O33" s="17" t="e">
        <f t="shared" si="1"/>
        <v>#REF!</v>
      </c>
      <c r="P33" s="17">
        <f t="shared" si="1"/>
        <v>13399.999999999854</v>
      </c>
      <c r="Q33" s="17">
        <f t="shared" si="1"/>
        <v>2170.0000000000159</v>
      </c>
      <c r="R33" s="17">
        <f t="shared" si="1"/>
        <v>1280.0000000000011</v>
      </c>
      <c r="S33" s="17">
        <f t="shared" si="1"/>
        <v>3110.0000000000136</v>
      </c>
      <c r="T33" s="17">
        <f t="shared" si="1"/>
        <v>8.1000000000000227</v>
      </c>
      <c r="U33" s="39">
        <f t="shared" si="1"/>
        <v>2300.0000000000114</v>
      </c>
      <c r="V33" s="39">
        <f t="shared" si="1"/>
        <v>0.73999999999999488</v>
      </c>
      <c r="W33" s="39">
        <f t="shared" si="1"/>
        <v>0.82999999999999829</v>
      </c>
      <c r="X33" s="39">
        <f t="shared" si="1"/>
        <v>0.82999999999999829</v>
      </c>
      <c r="Y33" s="39">
        <f t="shared" si="1"/>
        <v>1099.9999999999943</v>
      </c>
      <c r="Z33" s="39">
        <f t="shared" si="1"/>
        <v>1150.0000000000341</v>
      </c>
      <c r="AA33" s="39">
        <f t="shared" si="1"/>
        <v>1150.0000000000341</v>
      </c>
      <c r="AB33" s="39">
        <f t="shared" si="1"/>
        <v>840.00000000000341</v>
      </c>
      <c r="AC33" s="39">
        <f t="shared" si="1"/>
        <v>170.00000000001592</v>
      </c>
      <c r="AD33" s="39">
        <f t="shared" si="1"/>
        <v>1100.0000000000227</v>
      </c>
      <c r="AE33" s="39">
        <f t="shared" si="1"/>
        <v>949.99999999998863</v>
      </c>
      <c r="AF33" s="17">
        <f t="shared" si="1"/>
        <v>268</v>
      </c>
      <c r="AG33" s="36">
        <f t="shared" si="1"/>
        <v>169.99999999998749</v>
      </c>
      <c r="AH33" s="36">
        <f t="shared" si="1"/>
        <v>240.00000000000909</v>
      </c>
      <c r="AI33" s="36">
        <f t="shared" si="1"/>
        <v>209.99999999997954</v>
      </c>
      <c r="AJ33" s="36">
        <f t="shared" si="1"/>
        <v>170.00000000001592</v>
      </c>
      <c r="AK33" s="36">
        <f t="shared" si="1"/>
        <v>209.99999999997954</v>
      </c>
      <c r="AL33" s="36">
        <f t="shared" si="1"/>
        <v>171</v>
      </c>
      <c r="AM33" s="36">
        <f t="shared" si="1"/>
        <v>199.99999999998863</v>
      </c>
      <c r="AN33" s="36">
        <f t="shared" si="1"/>
        <v>169</v>
      </c>
      <c r="AO33" s="36">
        <f t="shared" si="1"/>
        <v>200.00000000001705</v>
      </c>
      <c r="AP33" s="36">
        <f t="shared" si="1"/>
        <v>285</v>
      </c>
      <c r="AQ33" s="17">
        <f t="shared" si="1"/>
        <v>206.70000000000073</v>
      </c>
      <c r="AR33" s="17">
        <f t="shared" si="1"/>
        <v>46.299999999999272</v>
      </c>
      <c r="AS33" s="17">
        <f t="shared" si="1"/>
        <v>38.699999999999818</v>
      </c>
      <c r="AT33" s="17">
        <f t="shared" si="1"/>
        <v>279</v>
      </c>
      <c r="AU33" s="17">
        <f t="shared" si="1"/>
        <v>1172</v>
      </c>
      <c r="AV33" s="17">
        <f t="shared" si="1"/>
        <v>2939.9999999999977</v>
      </c>
      <c r="AW33" s="17">
        <f t="shared" si="1"/>
        <v>411.3</v>
      </c>
      <c r="AX33" s="17">
        <f t="shared" si="1"/>
        <v>60.439499999999995</v>
      </c>
      <c r="AY33" s="17">
        <f t="shared" si="1"/>
        <v>20.146499999999996</v>
      </c>
      <c r="AZ33" s="17">
        <f t="shared" si="1"/>
        <v>5.4944999999999995</v>
      </c>
      <c r="BA33" s="17">
        <f t="shared" si="1"/>
        <v>21.977999999999998</v>
      </c>
      <c r="BB33" s="17">
        <f t="shared" si="1"/>
        <v>23.8095</v>
      </c>
      <c r="BC33" s="17">
        <f t="shared" si="1"/>
        <v>141</v>
      </c>
    </row>
    <row r="35" spans="5:55" x14ac:dyDescent="0.25">
      <c r="E35" s="42">
        <f>E33/E37</f>
        <v>0.26442908303489843</v>
      </c>
      <c r="G35" s="33">
        <f>G33-M36</f>
        <v>8384.9999999999345</v>
      </c>
      <c r="AE35" s="39">
        <f>SUM(U33:AE33)</f>
        <v>8762.4000000001051</v>
      </c>
      <c r="AG35" s="36">
        <f>SUM(AG33:AP33)</f>
        <v>2024.9999999999773</v>
      </c>
    </row>
    <row r="36" spans="5:55" x14ac:dyDescent="0.25">
      <c r="G36" s="33">
        <f>G35-633*14</f>
        <v>-477.00000000006548</v>
      </c>
      <c r="M36" s="33">
        <f>M33+N33</f>
        <v>6315</v>
      </c>
    </row>
    <row r="37" spans="5:55" x14ac:dyDescent="0.25">
      <c r="E37" s="17">
        <f>E33+F33+G33+H33+J33-633*14</f>
        <v>48028.000000000204</v>
      </c>
      <c r="G37" s="41">
        <f>M36/E37</f>
        <v>0.1314857999500286</v>
      </c>
      <c r="M37" s="39">
        <f>AE35</f>
        <v>8762.4000000001051</v>
      </c>
    </row>
    <row r="38" spans="5:55" x14ac:dyDescent="0.25">
      <c r="L38" s="31">
        <f>M38/E37</f>
        <v>4.2162904972098958E-2</v>
      </c>
      <c r="M38" s="33">
        <f>AG35</f>
        <v>2024.9999999999773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2" activePane="bottomLeft" state="frozen"/>
      <selection pane="bottomLeft" activeCell="CA8" sqref="CA8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7">
        <f t="shared" ref="T5:T34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7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/>
      <c r="T7" s="77" t="str">
        <f t="shared" si="8"/>
        <v/>
      </c>
      <c r="U7" s="65"/>
      <c r="V7" s="77" t="str">
        <f t="shared" si="9"/>
        <v/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/>
      <c r="D8" s="76" t="str">
        <f t="shared" si="3"/>
        <v>0</v>
      </c>
      <c r="E8" s="65"/>
      <c r="F8" s="76" t="str">
        <f t="shared" si="4"/>
        <v>0</v>
      </c>
      <c r="G8" s="65"/>
      <c r="H8" s="76" t="str">
        <f t="shared" si="5"/>
        <v>0</v>
      </c>
      <c r="I8" s="65"/>
      <c r="J8" s="76" t="str">
        <f>IF((I8-I7&lt;0), "0",(I8-I7)*1000000)</f>
        <v>0</v>
      </c>
      <c r="K8" s="65"/>
      <c r="L8" s="76" t="str">
        <f t="shared" si="0"/>
        <v>0</v>
      </c>
      <c r="M8" s="65"/>
      <c r="N8" s="77" t="str">
        <f t="shared" si="22"/>
        <v/>
      </c>
      <c r="O8" s="65"/>
      <c r="P8" s="77" t="str">
        <f t="shared" si="6"/>
        <v/>
      </c>
      <c r="Q8" s="65"/>
      <c r="R8" s="77" t="str">
        <f t="shared" si="7"/>
        <v/>
      </c>
      <c r="S8" s="65"/>
      <c r="T8" s="77">
        <f t="shared" si="8"/>
        <v>0</v>
      </c>
      <c r="U8" s="65"/>
      <c r="V8" s="77">
        <f t="shared" si="9"/>
        <v>0</v>
      </c>
      <c r="W8" s="65"/>
      <c r="X8" s="77" t="str">
        <f t="shared" si="23"/>
        <v/>
      </c>
      <c r="Y8" s="65"/>
      <c r="Z8" s="77" t="str">
        <f t="shared" si="24"/>
        <v/>
      </c>
      <c r="AA8" s="65"/>
      <c r="AB8" s="77" t="str">
        <f t="shared" si="25"/>
        <v/>
      </c>
      <c r="AC8" s="65"/>
      <c r="AD8" s="77" t="str">
        <f t="shared" si="26"/>
        <v/>
      </c>
      <c r="AE8" s="65"/>
      <c r="AF8" s="77" t="str">
        <f t="shared" si="27"/>
        <v/>
      </c>
      <c r="AG8" s="65"/>
      <c r="AH8" s="77" t="str">
        <f t="shared" si="10"/>
        <v/>
      </c>
      <c r="AI8" s="65"/>
      <c r="AJ8" s="77" t="str">
        <f t="shared" si="28"/>
        <v/>
      </c>
      <c r="AK8" s="65"/>
      <c r="AL8" s="77" t="str">
        <f t="shared" si="11"/>
        <v/>
      </c>
      <c r="AM8" s="65"/>
      <c r="AN8" s="77" t="str">
        <f t="shared" si="12"/>
        <v/>
      </c>
      <c r="AO8" s="65"/>
      <c r="AP8" s="77" t="str">
        <f t="shared" si="13"/>
        <v/>
      </c>
      <c r="AQ8" s="65"/>
      <c r="AR8" s="77" t="str">
        <f t="shared" si="29"/>
        <v/>
      </c>
      <c r="AS8" s="65"/>
      <c r="AT8" s="77" t="str">
        <f t="shared" si="30"/>
        <v/>
      </c>
      <c r="AU8" s="65"/>
      <c r="AV8" s="77" t="str">
        <f t="shared" si="31"/>
        <v/>
      </c>
      <c r="AW8" s="65"/>
      <c r="AX8" s="77" t="str">
        <f t="shared" si="32"/>
        <v/>
      </c>
      <c r="AY8" s="65"/>
      <c r="AZ8" s="77" t="str">
        <f t="shared" si="33"/>
        <v/>
      </c>
      <c r="BA8" s="65"/>
      <c r="BB8" s="77" t="str">
        <f t="shared" si="34"/>
        <v/>
      </c>
      <c r="BC8" s="65"/>
      <c r="BD8" s="77" t="str">
        <f t="shared" si="35"/>
        <v/>
      </c>
      <c r="BE8" s="70"/>
      <c r="BF8" s="77" t="str">
        <f t="shared" si="14"/>
        <v/>
      </c>
      <c r="BG8" s="71"/>
      <c r="BH8" s="77" t="str">
        <f t="shared" si="36"/>
        <v/>
      </c>
      <c r="BI8" s="70"/>
      <c r="BJ8" s="77" t="str">
        <f t="shared" si="37"/>
        <v/>
      </c>
      <c r="BK8" s="70"/>
      <c r="BL8" s="77" t="str">
        <f t="shared" si="38"/>
        <v/>
      </c>
      <c r="BM8" s="70"/>
      <c r="BN8" s="77" t="str">
        <f t="shared" si="39"/>
        <v/>
      </c>
      <c r="BO8" s="70"/>
      <c r="BP8" s="77" t="str">
        <f t="shared" si="40"/>
        <v/>
      </c>
      <c r="BQ8" s="70"/>
      <c r="BR8" s="77" t="str">
        <f t="shared" si="15"/>
        <v/>
      </c>
      <c r="BS8" s="70"/>
      <c r="BT8" s="77" t="str">
        <f t="shared" si="41"/>
        <v/>
      </c>
      <c r="BU8" s="70"/>
      <c r="BV8" s="77" t="str">
        <f t="shared" si="1"/>
        <v/>
      </c>
      <c r="BW8" s="70"/>
      <c r="BX8" s="77" t="str">
        <f t="shared" si="42"/>
        <v/>
      </c>
      <c r="BY8" s="72"/>
      <c r="BZ8" s="77" t="str">
        <f t="shared" si="16"/>
        <v/>
      </c>
      <c r="CA8" s="65"/>
      <c r="CB8" s="77" t="str">
        <f t="shared" si="17"/>
        <v/>
      </c>
      <c r="CC8" s="65"/>
      <c r="CD8" s="77" t="str">
        <f t="shared" si="18"/>
        <v/>
      </c>
      <c r="CE8" s="65"/>
      <c r="CF8" s="77" t="str">
        <f t="shared" si="19"/>
        <v/>
      </c>
      <c r="CG8" s="65"/>
      <c r="CH8" s="77" t="str">
        <f t="shared" si="20"/>
        <v/>
      </c>
      <c r="CI8" s="65"/>
      <c r="CJ8" s="77" t="str">
        <f t="shared" si="2"/>
        <v/>
      </c>
      <c r="CK8" s="65"/>
      <c r="CL8" s="76" t="str">
        <f t="shared" si="21"/>
        <v/>
      </c>
      <c r="CM8" s="77"/>
      <c r="CN8" s="74"/>
      <c r="CO8" s="74"/>
    </row>
    <row r="9" spans="1:93" ht="25.5" customHeight="1" thickBot="1" x14ac:dyDescent="0.45">
      <c r="A9" s="75">
        <v>43836</v>
      </c>
      <c r="B9" s="49"/>
      <c r="C9" s="65"/>
      <c r="D9" s="76">
        <f t="shared" si="3"/>
        <v>0</v>
      </c>
      <c r="E9" s="65"/>
      <c r="F9" s="76">
        <f t="shared" si="4"/>
        <v>0</v>
      </c>
      <c r="G9" s="65"/>
      <c r="H9" s="76">
        <f t="shared" si="5"/>
        <v>0</v>
      </c>
      <c r="I9" s="65"/>
      <c r="J9" s="76">
        <f t="shared" ref="J9:J34" si="43">IF((I9-I8&lt;0), "0",(I9-I8)*1000000)</f>
        <v>0</v>
      </c>
      <c r="K9" s="65"/>
      <c r="L9" s="76">
        <f t="shared" si="0"/>
        <v>0</v>
      </c>
      <c r="M9" s="65"/>
      <c r="N9" s="77">
        <f t="shared" si="22"/>
        <v>0</v>
      </c>
      <c r="O9" s="65"/>
      <c r="P9" s="77">
        <f t="shared" si="6"/>
        <v>0</v>
      </c>
      <c r="Q9" s="65"/>
      <c r="R9" s="77">
        <f t="shared" si="7"/>
        <v>0</v>
      </c>
      <c r="S9" s="65"/>
      <c r="T9" s="77">
        <f t="shared" si="8"/>
        <v>0</v>
      </c>
      <c r="U9" s="65"/>
      <c r="V9" s="77">
        <f t="shared" si="9"/>
        <v>0</v>
      </c>
      <c r="W9" s="65"/>
      <c r="X9" s="77">
        <f t="shared" si="23"/>
        <v>0</v>
      </c>
      <c r="Y9" s="65"/>
      <c r="Z9" s="77">
        <f t="shared" si="24"/>
        <v>0</v>
      </c>
      <c r="AA9" s="65"/>
      <c r="AB9" s="77">
        <f t="shared" si="25"/>
        <v>0</v>
      </c>
      <c r="AC9" s="65"/>
      <c r="AD9" s="77">
        <f t="shared" si="26"/>
        <v>0</v>
      </c>
      <c r="AE9" s="65"/>
      <c r="AF9" s="77">
        <f t="shared" si="27"/>
        <v>0</v>
      </c>
      <c r="AG9" s="65"/>
      <c r="AH9" s="77">
        <f t="shared" si="10"/>
        <v>0</v>
      </c>
      <c r="AI9" s="65"/>
      <c r="AJ9" s="77">
        <f t="shared" si="28"/>
        <v>0</v>
      </c>
      <c r="AK9" s="65"/>
      <c r="AL9" s="77">
        <f t="shared" si="11"/>
        <v>0</v>
      </c>
      <c r="AM9" s="65"/>
      <c r="AN9" s="77">
        <f t="shared" si="12"/>
        <v>0</v>
      </c>
      <c r="AO9" s="65"/>
      <c r="AP9" s="77">
        <f t="shared" si="13"/>
        <v>0</v>
      </c>
      <c r="AQ9" s="65"/>
      <c r="AR9" s="77">
        <f t="shared" si="29"/>
        <v>0</v>
      </c>
      <c r="AS9" s="65"/>
      <c r="AT9" s="77">
        <f t="shared" si="30"/>
        <v>0</v>
      </c>
      <c r="AU9" s="65"/>
      <c r="AV9" s="77">
        <f t="shared" si="31"/>
        <v>0</v>
      </c>
      <c r="AW9" s="65"/>
      <c r="AX9" s="77">
        <f t="shared" si="32"/>
        <v>0</v>
      </c>
      <c r="AY9" s="65"/>
      <c r="AZ9" s="77">
        <f t="shared" si="33"/>
        <v>0</v>
      </c>
      <c r="BA9" s="65"/>
      <c r="BB9" s="77">
        <f t="shared" si="34"/>
        <v>0</v>
      </c>
      <c r="BC9" s="65"/>
      <c r="BD9" s="77">
        <f t="shared" si="35"/>
        <v>0</v>
      </c>
      <c r="BE9" s="70"/>
      <c r="BF9" s="77">
        <f t="shared" si="14"/>
        <v>0</v>
      </c>
      <c r="BG9" s="71"/>
      <c r="BH9" s="77">
        <f t="shared" si="36"/>
        <v>0</v>
      </c>
      <c r="BI9" s="70"/>
      <c r="BJ9" s="77">
        <f t="shared" si="37"/>
        <v>0</v>
      </c>
      <c r="BK9" s="70"/>
      <c r="BL9" s="77">
        <f t="shared" si="38"/>
        <v>0</v>
      </c>
      <c r="BM9" s="70"/>
      <c r="BN9" s="77">
        <f t="shared" si="39"/>
        <v>0</v>
      </c>
      <c r="BO9" s="70"/>
      <c r="BP9" s="77">
        <f t="shared" si="40"/>
        <v>0</v>
      </c>
      <c r="BQ9" s="70"/>
      <c r="BR9" s="77">
        <f t="shared" si="15"/>
        <v>0</v>
      </c>
      <c r="BS9" s="70"/>
      <c r="BT9" s="77">
        <f t="shared" si="41"/>
        <v>0</v>
      </c>
      <c r="BU9" s="70"/>
      <c r="BV9" s="77">
        <f t="shared" si="1"/>
        <v>0</v>
      </c>
      <c r="BW9" s="70"/>
      <c r="BX9" s="77">
        <f t="shared" si="42"/>
        <v>0</v>
      </c>
      <c r="BY9" s="72"/>
      <c r="BZ9" s="77">
        <f t="shared" si="16"/>
        <v>0</v>
      </c>
      <c r="CA9" s="65"/>
      <c r="CB9" s="77">
        <f t="shared" si="17"/>
        <v>0</v>
      </c>
      <c r="CC9" s="65"/>
      <c r="CD9" s="77">
        <f t="shared" si="18"/>
        <v>0</v>
      </c>
      <c r="CE9" s="65"/>
      <c r="CF9" s="77">
        <f t="shared" si="19"/>
        <v>0</v>
      </c>
      <c r="CG9" s="65"/>
      <c r="CH9" s="77">
        <f t="shared" si="20"/>
        <v>0</v>
      </c>
      <c r="CI9" s="65"/>
      <c r="CJ9" s="77">
        <f t="shared" si="2"/>
        <v>0</v>
      </c>
      <c r="CK9" s="65"/>
      <c r="CL9" s="76">
        <f t="shared" si="21"/>
        <v>0</v>
      </c>
      <c r="CM9" s="77"/>
      <c r="CN9" s="74"/>
      <c r="CO9" s="74"/>
    </row>
    <row r="10" spans="1:93" ht="25.5" customHeight="1" thickBot="1" x14ac:dyDescent="0.45">
      <c r="A10" s="75">
        <v>43837</v>
      </c>
      <c r="B10" s="49"/>
      <c r="C10" s="65"/>
      <c r="D10" s="76">
        <f t="shared" si="3"/>
        <v>0</v>
      </c>
      <c r="E10" s="65"/>
      <c r="F10" s="76">
        <f t="shared" si="4"/>
        <v>0</v>
      </c>
      <c r="G10" s="65"/>
      <c r="H10" s="76">
        <f t="shared" si="5"/>
        <v>0</v>
      </c>
      <c r="I10" s="65"/>
      <c r="J10" s="76">
        <f t="shared" si="43"/>
        <v>0</v>
      </c>
      <c r="K10" s="65"/>
      <c r="L10" s="76">
        <f t="shared" si="0"/>
        <v>0</v>
      </c>
      <c r="M10" s="65"/>
      <c r="N10" s="77">
        <f t="shared" si="22"/>
        <v>0</v>
      </c>
      <c r="O10" s="65"/>
      <c r="P10" s="77">
        <f t="shared" si="6"/>
        <v>0</v>
      </c>
      <c r="Q10" s="65"/>
      <c r="R10" s="77">
        <f t="shared" si="7"/>
        <v>0</v>
      </c>
      <c r="S10" s="65"/>
      <c r="T10" s="77">
        <f t="shared" si="8"/>
        <v>0</v>
      </c>
      <c r="U10" s="65"/>
      <c r="V10" s="77">
        <f t="shared" si="9"/>
        <v>0</v>
      </c>
      <c r="W10" s="65"/>
      <c r="X10" s="77">
        <f t="shared" si="23"/>
        <v>0</v>
      </c>
      <c r="Y10" s="65"/>
      <c r="Z10" s="77">
        <f t="shared" si="24"/>
        <v>0</v>
      </c>
      <c r="AA10" s="65"/>
      <c r="AB10" s="77">
        <f t="shared" si="25"/>
        <v>0</v>
      </c>
      <c r="AC10" s="65"/>
      <c r="AD10" s="77">
        <f t="shared" si="26"/>
        <v>0</v>
      </c>
      <c r="AE10" s="65"/>
      <c r="AF10" s="77">
        <f t="shared" si="27"/>
        <v>0</v>
      </c>
      <c r="AG10" s="65"/>
      <c r="AH10" s="77">
        <f t="shared" si="10"/>
        <v>0</v>
      </c>
      <c r="AI10" s="65"/>
      <c r="AJ10" s="77">
        <f t="shared" si="28"/>
        <v>0</v>
      </c>
      <c r="AK10" s="65"/>
      <c r="AL10" s="77">
        <f t="shared" si="11"/>
        <v>0</v>
      </c>
      <c r="AM10" s="65"/>
      <c r="AN10" s="77">
        <f t="shared" si="12"/>
        <v>0</v>
      </c>
      <c r="AO10" s="65"/>
      <c r="AP10" s="77">
        <f t="shared" si="13"/>
        <v>0</v>
      </c>
      <c r="AQ10" s="65"/>
      <c r="AR10" s="77">
        <f t="shared" si="29"/>
        <v>0</v>
      </c>
      <c r="AS10" s="65"/>
      <c r="AT10" s="77">
        <f t="shared" si="30"/>
        <v>0</v>
      </c>
      <c r="AU10" s="65"/>
      <c r="AV10" s="77">
        <f t="shared" si="31"/>
        <v>0</v>
      </c>
      <c r="AW10" s="65"/>
      <c r="AX10" s="77">
        <f t="shared" si="32"/>
        <v>0</v>
      </c>
      <c r="AY10" s="65"/>
      <c r="AZ10" s="77">
        <f t="shared" si="33"/>
        <v>0</v>
      </c>
      <c r="BA10" s="65"/>
      <c r="BB10" s="77">
        <f t="shared" si="34"/>
        <v>0</v>
      </c>
      <c r="BC10" s="65"/>
      <c r="BD10" s="77">
        <f t="shared" si="35"/>
        <v>0</v>
      </c>
      <c r="BE10" s="70"/>
      <c r="BF10" s="77">
        <f t="shared" si="14"/>
        <v>0</v>
      </c>
      <c r="BG10" s="71"/>
      <c r="BH10" s="77">
        <f t="shared" si="36"/>
        <v>0</v>
      </c>
      <c r="BI10" s="70"/>
      <c r="BJ10" s="77">
        <f t="shared" si="37"/>
        <v>0</v>
      </c>
      <c r="BK10" s="70"/>
      <c r="BL10" s="77">
        <f t="shared" si="38"/>
        <v>0</v>
      </c>
      <c r="BM10" s="70"/>
      <c r="BN10" s="77">
        <f t="shared" si="39"/>
        <v>0</v>
      </c>
      <c r="BO10" s="70"/>
      <c r="BP10" s="77">
        <f t="shared" si="40"/>
        <v>0</v>
      </c>
      <c r="BQ10" s="70"/>
      <c r="BR10" s="77">
        <f t="shared" si="15"/>
        <v>0</v>
      </c>
      <c r="BS10" s="70"/>
      <c r="BT10" s="77">
        <f t="shared" si="41"/>
        <v>0</v>
      </c>
      <c r="BU10" s="70"/>
      <c r="BV10" s="77">
        <f t="shared" si="1"/>
        <v>0</v>
      </c>
      <c r="BW10" s="70"/>
      <c r="BX10" s="77">
        <f t="shared" si="42"/>
        <v>0</v>
      </c>
      <c r="BY10" s="72"/>
      <c r="BZ10" s="77">
        <f t="shared" si="16"/>
        <v>0</v>
      </c>
      <c r="CA10" s="65"/>
      <c r="CB10" s="77">
        <f t="shared" si="17"/>
        <v>0</v>
      </c>
      <c r="CC10" s="65"/>
      <c r="CD10" s="77">
        <f t="shared" si="18"/>
        <v>0</v>
      </c>
      <c r="CE10" s="65"/>
      <c r="CF10" s="77">
        <f t="shared" si="19"/>
        <v>0</v>
      </c>
      <c r="CG10" s="65"/>
      <c r="CH10" s="77">
        <f t="shared" si="20"/>
        <v>0</v>
      </c>
      <c r="CI10" s="65"/>
      <c r="CJ10" s="77">
        <f t="shared" si="2"/>
        <v>0</v>
      </c>
      <c r="CK10" s="65"/>
      <c r="CL10" s="76">
        <f t="shared" si="21"/>
        <v>0</v>
      </c>
      <c r="CM10" s="77"/>
      <c r="CN10" s="74"/>
      <c r="CO10" s="74"/>
    </row>
    <row r="11" spans="1:93" ht="25.5" customHeight="1" thickBot="1" x14ac:dyDescent="0.45">
      <c r="A11" s="75">
        <v>43838</v>
      </c>
      <c r="B11" s="49"/>
      <c r="C11" s="65"/>
      <c r="D11" s="76">
        <f t="shared" si="3"/>
        <v>0</v>
      </c>
      <c r="E11" s="65"/>
      <c r="F11" s="76">
        <f t="shared" si="4"/>
        <v>0</v>
      </c>
      <c r="G11" s="65"/>
      <c r="H11" s="76">
        <f t="shared" si="5"/>
        <v>0</v>
      </c>
      <c r="I11" s="65"/>
      <c r="J11" s="76">
        <f t="shared" si="43"/>
        <v>0</v>
      </c>
      <c r="K11" s="65"/>
      <c r="L11" s="76">
        <f t="shared" si="0"/>
        <v>0</v>
      </c>
      <c r="M11" s="65"/>
      <c r="N11" s="77">
        <f t="shared" si="22"/>
        <v>0</v>
      </c>
      <c r="O11" s="65"/>
      <c r="P11" s="77">
        <f t="shared" si="6"/>
        <v>0</v>
      </c>
      <c r="Q11" s="65"/>
      <c r="R11" s="77">
        <f t="shared" si="7"/>
        <v>0</v>
      </c>
      <c r="S11" s="65"/>
      <c r="T11" s="77">
        <f t="shared" si="8"/>
        <v>0</v>
      </c>
      <c r="U11" s="65"/>
      <c r="V11" s="77">
        <f t="shared" si="9"/>
        <v>0</v>
      </c>
      <c r="W11" s="65"/>
      <c r="X11" s="77">
        <f t="shared" si="23"/>
        <v>0</v>
      </c>
      <c r="Y11" s="65"/>
      <c r="Z11" s="77">
        <f t="shared" si="24"/>
        <v>0</v>
      </c>
      <c r="AA11" s="65"/>
      <c r="AB11" s="77">
        <f t="shared" si="25"/>
        <v>0</v>
      </c>
      <c r="AC11" s="65"/>
      <c r="AD11" s="77">
        <f t="shared" si="26"/>
        <v>0</v>
      </c>
      <c r="AE11" s="65"/>
      <c r="AF11" s="77">
        <f t="shared" si="27"/>
        <v>0</v>
      </c>
      <c r="AG11" s="65"/>
      <c r="AH11" s="77">
        <f t="shared" si="10"/>
        <v>0</v>
      </c>
      <c r="AI11" s="65"/>
      <c r="AJ11" s="77">
        <f t="shared" si="28"/>
        <v>0</v>
      </c>
      <c r="AK11" s="65"/>
      <c r="AL11" s="77">
        <f t="shared" si="11"/>
        <v>0</v>
      </c>
      <c r="AM11" s="65"/>
      <c r="AN11" s="77">
        <f t="shared" si="12"/>
        <v>0</v>
      </c>
      <c r="AO11" s="65"/>
      <c r="AP11" s="77">
        <f t="shared" si="13"/>
        <v>0</v>
      </c>
      <c r="AQ11" s="65"/>
      <c r="AR11" s="77">
        <f t="shared" si="29"/>
        <v>0</v>
      </c>
      <c r="AS11" s="65"/>
      <c r="AT11" s="77">
        <f t="shared" si="30"/>
        <v>0</v>
      </c>
      <c r="AU11" s="65"/>
      <c r="AV11" s="77">
        <f t="shared" si="31"/>
        <v>0</v>
      </c>
      <c r="AW11" s="65"/>
      <c r="AX11" s="77">
        <f t="shared" si="32"/>
        <v>0</v>
      </c>
      <c r="AY11" s="65"/>
      <c r="AZ11" s="77">
        <f t="shared" si="33"/>
        <v>0</v>
      </c>
      <c r="BA11" s="65"/>
      <c r="BB11" s="77">
        <f t="shared" si="34"/>
        <v>0</v>
      </c>
      <c r="BC11" s="65"/>
      <c r="BD11" s="77">
        <f t="shared" si="35"/>
        <v>0</v>
      </c>
      <c r="BE11" s="70"/>
      <c r="BF11" s="77">
        <f t="shared" si="14"/>
        <v>0</v>
      </c>
      <c r="BG11" s="71"/>
      <c r="BH11" s="77">
        <f t="shared" si="36"/>
        <v>0</v>
      </c>
      <c r="BI11" s="70"/>
      <c r="BJ11" s="77">
        <f t="shared" si="37"/>
        <v>0</v>
      </c>
      <c r="BK11" s="70"/>
      <c r="BL11" s="77">
        <f t="shared" si="38"/>
        <v>0</v>
      </c>
      <c r="BM11" s="70"/>
      <c r="BN11" s="77">
        <f t="shared" si="39"/>
        <v>0</v>
      </c>
      <c r="BO11" s="70"/>
      <c r="BP11" s="77">
        <f t="shared" si="40"/>
        <v>0</v>
      </c>
      <c r="BQ11" s="70"/>
      <c r="BR11" s="77">
        <f t="shared" si="15"/>
        <v>0</v>
      </c>
      <c r="BS11" s="70"/>
      <c r="BT11" s="77">
        <f t="shared" si="41"/>
        <v>0</v>
      </c>
      <c r="BU11" s="70"/>
      <c r="BV11" s="77">
        <f t="shared" si="1"/>
        <v>0</v>
      </c>
      <c r="BW11" s="70"/>
      <c r="BX11" s="77">
        <f t="shared" si="42"/>
        <v>0</v>
      </c>
      <c r="BY11" s="72"/>
      <c r="BZ11" s="77">
        <f t="shared" si="16"/>
        <v>0</v>
      </c>
      <c r="CA11" s="65"/>
      <c r="CB11" s="77">
        <f t="shared" si="17"/>
        <v>0</v>
      </c>
      <c r="CC11" s="65"/>
      <c r="CD11" s="77">
        <f t="shared" si="18"/>
        <v>0</v>
      </c>
      <c r="CE11" s="65"/>
      <c r="CF11" s="77">
        <f t="shared" si="19"/>
        <v>0</v>
      </c>
      <c r="CG11" s="65"/>
      <c r="CH11" s="77">
        <f t="shared" si="20"/>
        <v>0</v>
      </c>
      <c r="CI11" s="65"/>
      <c r="CJ11" s="77">
        <f t="shared" si="2"/>
        <v>0</v>
      </c>
      <c r="CK11" s="65"/>
      <c r="CL11" s="76">
        <f t="shared" si="21"/>
        <v>0</v>
      </c>
      <c r="CM11" s="77"/>
      <c r="CN11" s="74"/>
      <c r="CO11" s="74"/>
    </row>
    <row r="12" spans="1:93" ht="25.5" customHeight="1" thickBot="1" x14ac:dyDescent="0.45">
      <c r="A12" s="75">
        <v>43839</v>
      </c>
      <c r="B12" s="49"/>
      <c r="C12" s="65"/>
      <c r="D12" s="76">
        <f t="shared" si="3"/>
        <v>0</v>
      </c>
      <c r="E12" s="65"/>
      <c r="F12" s="76">
        <f t="shared" si="4"/>
        <v>0</v>
      </c>
      <c r="G12" s="65"/>
      <c r="H12" s="76">
        <f t="shared" si="5"/>
        <v>0</v>
      </c>
      <c r="I12" s="65"/>
      <c r="J12" s="76">
        <f t="shared" si="43"/>
        <v>0</v>
      </c>
      <c r="K12" s="65"/>
      <c r="L12" s="76">
        <f t="shared" si="0"/>
        <v>0</v>
      </c>
      <c r="M12" s="65"/>
      <c r="N12" s="77">
        <f t="shared" si="22"/>
        <v>0</v>
      </c>
      <c r="O12" s="65"/>
      <c r="P12" s="77">
        <f t="shared" si="6"/>
        <v>0</v>
      </c>
      <c r="Q12" s="65"/>
      <c r="R12" s="77">
        <f t="shared" si="7"/>
        <v>0</v>
      </c>
      <c r="S12" s="65"/>
      <c r="T12" s="77">
        <f t="shared" si="8"/>
        <v>0</v>
      </c>
      <c r="U12" s="65"/>
      <c r="V12" s="77">
        <f t="shared" si="9"/>
        <v>0</v>
      </c>
      <c r="W12" s="65"/>
      <c r="X12" s="77">
        <f t="shared" si="23"/>
        <v>0</v>
      </c>
      <c r="Y12" s="65"/>
      <c r="Z12" s="77">
        <f t="shared" si="24"/>
        <v>0</v>
      </c>
      <c r="AA12" s="65"/>
      <c r="AB12" s="77">
        <f t="shared" si="25"/>
        <v>0</v>
      </c>
      <c r="AC12" s="65"/>
      <c r="AD12" s="77">
        <f t="shared" si="26"/>
        <v>0</v>
      </c>
      <c r="AE12" s="65"/>
      <c r="AF12" s="77">
        <f t="shared" si="27"/>
        <v>0</v>
      </c>
      <c r="AG12" s="65"/>
      <c r="AH12" s="77">
        <f t="shared" si="10"/>
        <v>0</v>
      </c>
      <c r="AI12" s="65"/>
      <c r="AJ12" s="77">
        <f t="shared" si="28"/>
        <v>0</v>
      </c>
      <c r="AK12" s="65"/>
      <c r="AL12" s="77">
        <f t="shared" si="11"/>
        <v>0</v>
      </c>
      <c r="AM12" s="65"/>
      <c r="AN12" s="77">
        <f t="shared" si="12"/>
        <v>0</v>
      </c>
      <c r="AO12" s="65"/>
      <c r="AP12" s="77">
        <f t="shared" si="13"/>
        <v>0</v>
      </c>
      <c r="AQ12" s="65"/>
      <c r="AR12" s="77">
        <f t="shared" si="29"/>
        <v>0</v>
      </c>
      <c r="AS12" s="65"/>
      <c r="AT12" s="77">
        <f t="shared" si="30"/>
        <v>0</v>
      </c>
      <c r="AU12" s="65"/>
      <c r="AV12" s="77">
        <f t="shared" si="31"/>
        <v>0</v>
      </c>
      <c r="AW12" s="65"/>
      <c r="AX12" s="77">
        <f t="shared" si="32"/>
        <v>0</v>
      </c>
      <c r="AY12" s="65"/>
      <c r="AZ12" s="77">
        <f t="shared" si="33"/>
        <v>0</v>
      </c>
      <c r="BA12" s="65"/>
      <c r="BB12" s="77">
        <f t="shared" si="34"/>
        <v>0</v>
      </c>
      <c r="BC12" s="65"/>
      <c r="BD12" s="77">
        <f t="shared" si="35"/>
        <v>0</v>
      </c>
      <c r="BE12" s="70"/>
      <c r="BF12" s="77">
        <f t="shared" si="14"/>
        <v>0</v>
      </c>
      <c r="BG12" s="71"/>
      <c r="BH12" s="77">
        <f t="shared" si="36"/>
        <v>0</v>
      </c>
      <c r="BI12" s="70"/>
      <c r="BJ12" s="77">
        <f t="shared" si="37"/>
        <v>0</v>
      </c>
      <c r="BK12" s="70"/>
      <c r="BL12" s="77">
        <f t="shared" si="38"/>
        <v>0</v>
      </c>
      <c r="BM12" s="70"/>
      <c r="BN12" s="77">
        <f t="shared" si="39"/>
        <v>0</v>
      </c>
      <c r="BO12" s="70"/>
      <c r="BP12" s="77">
        <f t="shared" si="40"/>
        <v>0</v>
      </c>
      <c r="BQ12" s="70"/>
      <c r="BR12" s="77">
        <f t="shared" si="15"/>
        <v>0</v>
      </c>
      <c r="BS12" s="70"/>
      <c r="BT12" s="77">
        <f t="shared" si="41"/>
        <v>0</v>
      </c>
      <c r="BU12" s="70"/>
      <c r="BV12" s="77">
        <f t="shared" si="1"/>
        <v>0</v>
      </c>
      <c r="BW12" s="70"/>
      <c r="BX12" s="77">
        <f t="shared" si="42"/>
        <v>0</v>
      </c>
      <c r="BY12" s="72"/>
      <c r="BZ12" s="77">
        <f t="shared" si="16"/>
        <v>0</v>
      </c>
      <c r="CA12" s="65"/>
      <c r="CB12" s="77">
        <f t="shared" si="17"/>
        <v>0</v>
      </c>
      <c r="CC12" s="65"/>
      <c r="CD12" s="77">
        <f t="shared" si="18"/>
        <v>0</v>
      </c>
      <c r="CE12" s="65"/>
      <c r="CF12" s="77">
        <f t="shared" si="19"/>
        <v>0</v>
      </c>
      <c r="CG12" s="65"/>
      <c r="CH12" s="77">
        <f t="shared" si="20"/>
        <v>0</v>
      </c>
      <c r="CI12" s="65"/>
      <c r="CJ12" s="77">
        <f t="shared" si="2"/>
        <v>0</v>
      </c>
      <c r="CK12" s="65"/>
      <c r="CL12" s="76">
        <f t="shared" si="21"/>
        <v>0</v>
      </c>
      <c r="CM12" s="77"/>
      <c r="CN12" s="74"/>
      <c r="CO12" s="74"/>
    </row>
    <row r="13" spans="1:93" ht="25.5" customHeight="1" thickBot="1" x14ac:dyDescent="0.45">
      <c r="A13" s="75">
        <v>43840</v>
      </c>
      <c r="B13" s="49"/>
      <c r="C13" s="65"/>
      <c r="D13" s="76">
        <f t="shared" si="3"/>
        <v>0</v>
      </c>
      <c r="E13" s="65"/>
      <c r="F13" s="76">
        <f t="shared" si="4"/>
        <v>0</v>
      </c>
      <c r="G13" s="65"/>
      <c r="H13" s="76">
        <f t="shared" si="5"/>
        <v>0</v>
      </c>
      <c r="I13" s="65"/>
      <c r="J13" s="76">
        <f t="shared" si="43"/>
        <v>0</v>
      </c>
      <c r="K13" s="65"/>
      <c r="L13" s="76">
        <f t="shared" si="0"/>
        <v>0</v>
      </c>
      <c r="M13" s="65"/>
      <c r="N13" s="77">
        <f t="shared" si="22"/>
        <v>0</v>
      </c>
      <c r="O13" s="65"/>
      <c r="P13" s="77">
        <f t="shared" si="6"/>
        <v>0</v>
      </c>
      <c r="Q13" s="65"/>
      <c r="R13" s="77">
        <f t="shared" si="7"/>
        <v>0</v>
      </c>
      <c r="S13" s="65"/>
      <c r="T13" s="77">
        <f t="shared" si="8"/>
        <v>0</v>
      </c>
      <c r="U13" s="65"/>
      <c r="V13" s="77">
        <f t="shared" si="9"/>
        <v>0</v>
      </c>
      <c r="W13" s="65"/>
      <c r="X13" s="77">
        <f t="shared" si="23"/>
        <v>0</v>
      </c>
      <c r="Y13" s="65"/>
      <c r="Z13" s="77">
        <f t="shared" si="24"/>
        <v>0</v>
      </c>
      <c r="AA13" s="65"/>
      <c r="AB13" s="77">
        <f t="shared" si="25"/>
        <v>0</v>
      </c>
      <c r="AC13" s="65"/>
      <c r="AD13" s="77">
        <f t="shared" si="26"/>
        <v>0</v>
      </c>
      <c r="AE13" s="65"/>
      <c r="AF13" s="77">
        <f t="shared" si="27"/>
        <v>0</v>
      </c>
      <c r="AG13" s="65"/>
      <c r="AH13" s="77">
        <f t="shared" si="10"/>
        <v>0</v>
      </c>
      <c r="AI13" s="65"/>
      <c r="AJ13" s="77">
        <f t="shared" si="28"/>
        <v>0</v>
      </c>
      <c r="AK13" s="65"/>
      <c r="AL13" s="77">
        <f t="shared" si="11"/>
        <v>0</v>
      </c>
      <c r="AM13" s="65"/>
      <c r="AN13" s="77">
        <f t="shared" si="12"/>
        <v>0</v>
      </c>
      <c r="AO13" s="65"/>
      <c r="AP13" s="77">
        <f t="shared" si="13"/>
        <v>0</v>
      </c>
      <c r="AQ13" s="65"/>
      <c r="AR13" s="77">
        <f t="shared" si="29"/>
        <v>0</v>
      </c>
      <c r="AS13" s="65"/>
      <c r="AT13" s="77">
        <f t="shared" si="30"/>
        <v>0</v>
      </c>
      <c r="AU13" s="65"/>
      <c r="AV13" s="77">
        <f t="shared" si="31"/>
        <v>0</v>
      </c>
      <c r="AW13" s="65"/>
      <c r="AX13" s="77">
        <f t="shared" si="32"/>
        <v>0</v>
      </c>
      <c r="AY13" s="65"/>
      <c r="AZ13" s="77">
        <f t="shared" si="33"/>
        <v>0</v>
      </c>
      <c r="BA13" s="65"/>
      <c r="BB13" s="77">
        <f t="shared" si="34"/>
        <v>0</v>
      </c>
      <c r="BC13" s="65"/>
      <c r="BD13" s="77">
        <f t="shared" si="35"/>
        <v>0</v>
      </c>
      <c r="BE13" s="70"/>
      <c r="BF13" s="77">
        <f t="shared" si="14"/>
        <v>0</v>
      </c>
      <c r="BG13" s="71"/>
      <c r="BH13" s="77">
        <f t="shared" si="36"/>
        <v>0</v>
      </c>
      <c r="BI13" s="70"/>
      <c r="BJ13" s="77">
        <f t="shared" si="37"/>
        <v>0</v>
      </c>
      <c r="BK13" s="70"/>
      <c r="BL13" s="77">
        <f t="shared" si="38"/>
        <v>0</v>
      </c>
      <c r="BM13" s="70"/>
      <c r="BN13" s="77">
        <f t="shared" si="39"/>
        <v>0</v>
      </c>
      <c r="BO13" s="70"/>
      <c r="BP13" s="77">
        <f t="shared" si="40"/>
        <v>0</v>
      </c>
      <c r="BQ13" s="70"/>
      <c r="BR13" s="77">
        <f t="shared" si="15"/>
        <v>0</v>
      </c>
      <c r="BS13" s="70"/>
      <c r="BT13" s="77">
        <f t="shared" si="41"/>
        <v>0</v>
      </c>
      <c r="BU13" s="70"/>
      <c r="BV13" s="77">
        <f t="shared" si="1"/>
        <v>0</v>
      </c>
      <c r="BW13" s="70"/>
      <c r="BX13" s="77">
        <f t="shared" si="42"/>
        <v>0</v>
      </c>
      <c r="BY13" s="72"/>
      <c r="BZ13" s="77">
        <f t="shared" si="16"/>
        <v>0</v>
      </c>
      <c r="CA13" s="65"/>
      <c r="CB13" s="77">
        <f t="shared" si="17"/>
        <v>0</v>
      </c>
      <c r="CC13" s="65"/>
      <c r="CD13" s="77">
        <f t="shared" si="18"/>
        <v>0</v>
      </c>
      <c r="CE13" s="65"/>
      <c r="CF13" s="77">
        <f t="shared" si="19"/>
        <v>0</v>
      </c>
      <c r="CG13" s="65"/>
      <c r="CH13" s="77">
        <f t="shared" si="20"/>
        <v>0</v>
      </c>
      <c r="CI13" s="65"/>
      <c r="CJ13" s="77">
        <f t="shared" si="2"/>
        <v>0</v>
      </c>
      <c r="CK13" s="65"/>
      <c r="CL13" s="76">
        <f t="shared" si="21"/>
        <v>0</v>
      </c>
      <c r="CM13" s="77"/>
      <c r="CN13" s="74"/>
      <c r="CO13" s="74"/>
    </row>
    <row r="14" spans="1:93" ht="25.5" customHeight="1" thickBot="1" x14ac:dyDescent="0.45">
      <c r="A14" s="75">
        <v>43841</v>
      </c>
      <c r="B14" s="49"/>
      <c r="C14" s="65"/>
      <c r="D14" s="76">
        <f t="shared" si="3"/>
        <v>0</v>
      </c>
      <c r="E14" s="65"/>
      <c r="F14" s="76">
        <f t="shared" si="4"/>
        <v>0</v>
      </c>
      <c r="G14" s="65"/>
      <c r="H14" s="76">
        <f t="shared" si="5"/>
        <v>0</v>
      </c>
      <c r="I14" s="65"/>
      <c r="J14" s="76">
        <f t="shared" si="43"/>
        <v>0</v>
      </c>
      <c r="K14" s="65"/>
      <c r="L14" s="76">
        <f t="shared" si="0"/>
        <v>0</v>
      </c>
      <c r="M14" s="65"/>
      <c r="N14" s="77">
        <f t="shared" si="22"/>
        <v>0</v>
      </c>
      <c r="O14" s="65"/>
      <c r="P14" s="77">
        <f t="shared" si="6"/>
        <v>0</v>
      </c>
      <c r="Q14" s="65"/>
      <c r="R14" s="77">
        <f t="shared" si="7"/>
        <v>0</v>
      </c>
      <c r="S14" s="65"/>
      <c r="T14" s="77">
        <f t="shared" si="8"/>
        <v>0</v>
      </c>
      <c r="U14" s="65"/>
      <c r="V14" s="77">
        <f t="shared" si="9"/>
        <v>0</v>
      </c>
      <c r="W14" s="65"/>
      <c r="X14" s="77">
        <f t="shared" si="23"/>
        <v>0</v>
      </c>
      <c r="Y14" s="65"/>
      <c r="Z14" s="77">
        <f t="shared" si="24"/>
        <v>0</v>
      </c>
      <c r="AA14" s="65"/>
      <c r="AB14" s="77">
        <f t="shared" si="25"/>
        <v>0</v>
      </c>
      <c r="AC14" s="65"/>
      <c r="AD14" s="77">
        <f t="shared" si="26"/>
        <v>0</v>
      </c>
      <c r="AE14" s="65"/>
      <c r="AF14" s="77">
        <f t="shared" si="27"/>
        <v>0</v>
      </c>
      <c r="AG14" s="65"/>
      <c r="AH14" s="77">
        <f t="shared" si="10"/>
        <v>0</v>
      </c>
      <c r="AI14" s="65"/>
      <c r="AJ14" s="77">
        <f t="shared" si="28"/>
        <v>0</v>
      </c>
      <c r="AK14" s="65"/>
      <c r="AL14" s="77">
        <f t="shared" si="11"/>
        <v>0</v>
      </c>
      <c r="AM14" s="65"/>
      <c r="AN14" s="77">
        <f t="shared" si="12"/>
        <v>0</v>
      </c>
      <c r="AO14" s="65"/>
      <c r="AP14" s="77">
        <f t="shared" si="13"/>
        <v>0</v>
      </c>
      <c r="AQ14" s="65"/>
      <c r="AR14" s="77">
        <f t="shared" si="29"/>
        <v>0</v>
      </c>
      <c r="AS14" s="65"/>
      <c r="AT14" s="77">
        <f t="shared" si="30"/>
        <v>0</v>
      </c>
      <c r="AU14" s="65"/>
      <c r="AV14" s="77">
        <f t="shared" si="31"/>
        <v>0</v>
      </c>
      <c r="AW14" s="65"/>
      <c r="AX14" s="77">
        <f t="shared" si="32"/>
        <v>0</v>
      </c>
      <c r="AY14" s="65"/>
      <c r="AZ14" s="77">
        <f t="shared" si="33"/>
        <v>0</v>
      </c>
      <c r="BA14" s="65"/>
      <c r="BB14" s="77">
        <f t="shared" si="34"/>
        <v>0</v>
      </c>
      <c r="BC14" s="65"/>
      <c r="BD14" s="77">
        <f t="shared" si="35"/>
        <v>0</v>
      </c>
      <c r="BE14" s="70"/>
      <c r="BF14" s="77">
        <f t="shared" si="14"/>
        <v>0</v>
      </c>
      <c r="BG14" s="71"/>
      <c r="BH14" s="77">
        <f t="shared" si="36"/>
        <v>0</v>
      </c>
      <c r="BI14" s="70"/>
      <c r="BJ14" s="77">
        <f t="shared" si="37"/>
        <v>0</v>
      </c>
      <c r="BK14" s="70"/>
      <c r="BL14" s="77">
        <f t="shared" si="38"/>
        <v>0</v>
      </c>
      <c r="BM14" s="70"/>
      <c r="BN14" s="77">
        <f t="shared" si="39"/>
        <v>0</v>
      </c>
      <c r="BO14" s="70"/>
      <c r="BP14" s="77">
        <f t="shared" si="40"/>
        <v>0</v>
      </c>
      <c r="BQ14" s="70"/>
      <c r="BR14" s="77">
        <f t="shared" si="15"/>
        <v>0</v>
      </c>
      <c r="BS14" s="70"/>
      <c r="BT14" s="77">
        <f t="shared" si="41"/>
        <v>0</v>
      </c>
      <c r="BU14" s="70"/>
      <c r="BV14" s="77">
        <f t="shared" si="1"/>
        <v>0</v>
      </c>
      <c r="BW14" s="70"/>
      <c r="BX14" s="77">
        <f t="shared" si="42"/>
        <v>0</v>
      </c>
      <c r="BY14" s="72"/>
      <c r="BZ14" s="77">
        <f t="shared" si="16"/>
        <v>0</v>
      </c>
      <c r="CA14" s="65"/>
      <c r="CB14" s="77">
        <f t="shared" si="17"/>
        <v>0</v>
      </c>
      <c r="CC14" s="65"/>
      <c r="CD14" s="77">
        <f t="shared" si="18"/>
        <v>0</v>
      </c>
      <c r="CE14" s="65"/>
      <c r="CF14" s="77">
        <f t="shared" si="19"/>
        <v>0</v>
      </c>
      <c r="CG14" s="65"/>
      <c r="CH14" s="77">
        <f t="shared" si="20"/>
        <v>0</v>
      </c>
      <c r="CI14" s="65"/>
      <c r="CJ14" s="77">
        <f t="shared" si="2"/>
        <v>0</v>
      </c>
      <c r="CK14" s="65"/>
      <c r="CL14" s="76">
        <f t="shared" si="21"/>
        <v>0</v>
      </c>
      <c r="CM14" s="77"/>
      <c r="CN14" s="74"/>
      <c r="CO14" s="74"/>
    </row>
    <row r="15" spans="1:93" ht="25.5" customHeight="1" thickBot="1" x14ac:dyDescent="0.45">
      <c r="A15" s="75">
        <v>43842</v>
      </c>
      <c r="B15" s="49"/>
      <c r="C15" s="65"/>
      <c r="D15" s="76">
        <f t="shared" si="3"/>
        <v>0</v>
      </c>
      <c r="E15" s="65"/>
      <c r="F15" s="76">
        <f t="shared" si="4"/>
        <v>0</v>
      </c>
      <c r="G15" s="65"/>
      <c r="H15" s="76">
        <f t="shared" si="5"/>
        <v>0</v>
      </c>
      <c r="I15" s="65"/>
      <c r="J15" s="76">
        <f t="shared" si="43"/>
        <v>0</v>
      </c>
      <c r="K15" s="65"/>
      <c r="L15" s="76">
        <f t="shared" si="0"/>
        <v>0</v>
      </c>
      <c r="M15" s="65"/>
      <c r="N15" s="77">
        <f t="shared" si="22"/>
        <v>0</v>
      </c>
      <c r="O15" s="65"/>
      <c r="P15" s="77">
        <f t="shared" si="6"/>
        <v>0</v>
      </c>
      <c r="Q15" s="65"/>
      <c r="R15" s="77">
        <f t="shared" si="7"/>
        <v>0</v>
      </c>
      <c r="S15" s="65"/>
      <c r="T15" s="77">
        <f t="shared" si="8"/>
        <v>0</v>
      </c>
      <c r="U15" s="65"/>
      <c r="V15" s="77">
        <f t="shared" si="9"/>
        <v>0</v>
      </c>
      <c r="W15" s="65"/>
      <c r="X15" s="77">
        <f t="shared" si="23"/>
        <v>0</v>
      </c>
      <c r="Y15" s="65"/>
      <c r="Z15" s="77">
        <f t="shared" si="24"/>
        <v>0</v>
      </c>
      <c r="AA15" s="65"/>
      <c r="AB15" s="77">
        <f t="shared" si="25"/>
        <v>0</v>
      </c>
      <c r="AC15" s="65"/>
      <c r="AD15" s="77">
        <f t="shared" si="26"/>
        <v>0</v>
      </c>
      <c r="AE15" s="65"/>
      <c r="AF15" s="77">
        <f t="shared" si="27"/>
        <v>0</v>
      </c>
      <c r="AG15" s="65"/>
      <c r="AH15" s="77">
        <f t="shared" si="10"/>
        <v>0</v>
      </c>
      <c r="AI15" s="65"/>
      <c r="AJ15" s="77">
        <f t="shared" si="28"/>
        <v>0</v>
      </c>
      <c r="AK15" s="65"/>
      <c r="AL15" s="77">
        <f t="shared" si="11"/>
        <v>0</v>
      </c>
      <c r="AM15" s="65"/>
      <c r="AN15" s="77">
        <f t="shared" si="12"/>
        <v>0</v>
      </c>
      <c r="AO15" s="65"/>
      <c r="AP15" s="77">
        <f t="shared" si="13"/>
        <v>0</v>
      </c>
      <c r="AQ15" s="65"/>
      <c r="AR15" s="77">
        <f t="shared" si="29"/>
        <v>0</v>
      </c>
      <c r="AS15" s="65"/>
      <c r="AT15" s="77">
        <f t="shared" si="30"/>
        <v>0</v>
      </c>
      <c r="AU15" s="65"/>
      <c r="AV15" s="77">
        <f t="shared" si="31"/>
        <v>0</v>
      </c>
      <c r="AW15" s="65"/>
      <c r="AX15" s="77">
        <f t="shared" si="32"/>
        <v>0</v>
      </c>
      <c r="AY15" s="65"/>
      <c r="AZ15" s="77">
        <f t="shared" si="33"/>
        <v>0</v>
      </c>
      <c r="BA15" s="65"/>
      <c r="BB15" s="77">
        <f t="shared" si="34"/>
        <v>0</v>
      </c>
      <c r="BC15" s="65"/>
      <c r="BD15" s="77">
        <f t="shared" si="35"/>
        <v>0</v>
      </c>
      <c r="BE15" s="70"/>
      <c r="BF15" s="77">
        <f t="shared" si="14"/>
        <v>0</v>
      </c>
      <c r="BG15" s="71"/>
      <c r="BH15" s="77">
        <f t="shared" si="36"/>
        <v>0</v>
      </c>
      <c r="BI15" s="70"/>
      <c r="BJ15" s="77">
        <f t="shared" si="37"/>
        <v>0</v>
      </c>
      <c r="BK15" s="70"/>
      <c r="BL15" s="77">
        <f t="shared" si="38"/>
        <v>0</v>
      </c>
      <c r="BM15" s="70"/>
      <c r="BN15" s="77">
        <f t="shared" si="39"/>
        <v>0</v>
      </c>
      <c r="BO15" s="70"/>
      <c r="BP15" s="77">
        <f t="shared" si="40"/>
        <v>0</v>
      </c>
      <c r="BQ15" s="70"/>
      <c r="BR15" s="77">
        <f t="shared" si="15"/>
        <v>0</v>
      </c>
      <c r="BS15" s="70"/>
      <c r="BT15" s="77">
        <f t="shared" si="41"/>
        <v>0</v>
      </c>
      <c r="BU15" s="70"/>
      <c r="BV15" s="77">
        <f t="shared" si="1"/>
        <v>0</v>
      </c>
      <c r="BW15" s="70"/>
      <c r="BX15" s="77">
        <f t="shared" si="42"/>
        <v>0</v>
      </c>
      <c r="BY15" s="72"/>
      <c r="BZ15" s="77">
        <f t="shared" si="16"/>
        <v>0</v>
      </c>
      <c r="CA15" s="65"/>
      <c r="CB15" s="77">
        <f t="shared" si="17"/>
        <v>0</v>
      </c>
      <c r="CC15" s="65"/>
      <c r="CD15" s="77">
        <f t="shared" si="18"/>
        <v>0</v>
      </c>
      <c r="CE15" s="65"/>
      <c r="CF15" s="77">
        <f t="shared" si="19"/>
        <v>0</v>
      </c>
      <c r="CG15" s="65"/>
      <c r="CH15" s="77">
        <f t="shared" si="20"/>
        <v>0</v>
      </c>
      <c r="CI15" s="65"/>
      <c r="CJ15" s="77">
        <f t="shared" si="2"/>
        <v>0</v>
      </c>
      <c r="CK15" s="65"/>
      <c r="CL15" s="76">
        <f t="shared" si="21"/>
        <v>0</v>
      </c>
      <c r="CM15" s="77"/>
      <c r="CN15" s="74"/>
      <c r="CO15" s="74"/>
    </row>
    <row r="16" spans="1:93" ht="25.5" customHeight="1" thickBot="1" x14ac:dyDescent="0.45">
      <c r="A16" s="75">
        <v>43843</v>
      </c>
      <c r="B16" s="49"/>
      <c r="C16" s="65"/>
      <c r="D16" s="76">
        <f t="shared" si="3"/>
        <v>0</v>
      </c>
      <c r="E16" s="65"/>
      <c r="F16" s="76">
        <f t="shared" si="4"/>
        <v>0</v>
      </c>
      <c r="G16" s="65"/>
      <c r="H16" s="76">
        <f t="shared" si="5"/>
        <v>0</v>
      </c>
      <c r="I16" s="65"/>
      <c r="J16" s="76">
        <f t="shared" si="43"/>
        <v>0</v>
      </c>
      <c r="K16" s="65"/>
      <c r="L16" s="76">
        <f t="shared" si="0"/>
        <v>0</v>
      </c>
      <c r="M16" s="65"/>
      <c r="N16" s="77">
        <f t="shared" si="22"/>
        <v>0</v>
      </c>
      <c r="O16" s="65"/>
      <c r="P16" s="77">
        <f t="shared" si="6"/>
        <v>0</v>
      </c>
      <c r="Q16" s="65"/>
      <c r="R16" s="77">
        <f t="shared" si="7"/>
        <v>0</v>
      </c>
      <c r="S16" s="65"/>
      <c r="T16" s="77">
        <f t="shared" si="8"/>
        <v>0</v>
      </c>
      <c r="U16" s="65"/>
      <c r="V16" s="77">
        <f t="shared" si="9"/>
        <v>0</v>
      </c>
      <c r="W16" s="65"/>
      <c r="X16" s="77">
        <f t="shared" si="23"/>
        <v>0</v>
      </c>
      <c r="Y16" s="65"/>
      <c r="Z16" s="77">
        <f t="shared" si="24"/>
        <v>0</v>
      </c>
      <c r="AA16" s="65"/>
      <c r="AB16" s="77">
        <f t="shared" si="25"/>
        <v>0</v>
      </c>
      <c r="AC16" s="65"/>
      <c r="AD16" s="77">
        <f t="shared" si="26"/>
        <v>0</v>
      </c>
      <c r="AE16" s="65"/>
      <c r="AF16" s="77">
        <f t="shared" si="27"/>
        <v>0</v>
      </c>
      <c r="AG16" s="65"/>
      <c r="AH16" s="77">
        <f t="shared" si="10"/>
        <v>0</v>
      </c>
      <c r="AI16" s="65"/>
      <c r="AJ16" s="77">
        <f t="shared" si="28"/>
        <v>0</v>
      </c>
      <c r="AK16" s="65"/>
      <c r="AL16" s="77">
        <f t="shared" si="11"/>
        <v>0</v>
      </c>
      <c r="AM16" s="65"/>
      <c r="AN16" s="77">
        <f t="shared" si="12"/>
        <v>0</v>
      </c>
      <c r="AO16" s="65"/>
      <c r="AP16" s="77">
        <f t="shared" si="13"/>
        <v>0</v>
      </c>
      <c r="AQ16" s="65"/>
      <c r="AR16" s="77">
        <f t="shared" si="29"/>
        <v>0</v>
      </c>
      <c r="AS16" s="65"/>
      <c r="AT16" s="77">
        <f t="shared" si="30"/>
        <v>0</v>
      </c>
      <c r="AU16" s="65"/>
      <c r="AV16" s="77">
        <f t="shared" si="31"/>
        <v>0</v>
      </c>
      <c r="AW16" s="65"/>
      <c r="AX16" s="77">
        <f t="shared" si="32"/>
        <v>0</v>
      </c>
      <c r="AY16" s="65"/>
      <c r="AZ16" s="77">
        <f t="shared" si="33"/>
        <v>0</v>
      </c>
      <c r="BA16" s="65"/>
      <c r="BB16" s="77">
        <f t="shared" si="34"/>
        <v>0</v>
      </c>
      <c r="BC16" s="65"/>
      <c r="BD16" s="77">
        <f t="shared" si="35"/>
        <v>0</v>
      </c>
      <c r="BE16" s="70"/>
      <c r="BF16" s="77">
        <f t="shared" si="14"/>
        <v>0</v>
      </c>
      <c r="BG16" s="71"/>
      <c r="BH16" s="77">
        <f t="shared" si="36"/>
        <v>0</v>
      </c>
      <c r="BI16" s="70"/>
      <c r="BJ16" s="77">
        <f t="shared" si="37"/>
        <v>0</v>
      </c>
      <c r="BK16" s="70"/>
      <c r="BL16" s="77">
        <f t="shared" si="38"/>
        <v>0</v>
      </c>
      <c r="BM16" s="70"/>
      <c r="BN16" s="77">
        <f t="shared" si="39"/>
        <v>0</v>
      </c>
      <c r="BO16" s="70"/>
      <c r="BP16" s="77">
        <f t="shared" si="40"/>
        <v>0</v>
      </c>
      <c r="BQ16" s="70"/>
      <c r="BR16" s="77">
        <f t="shared" si="15"/>
        <v>0</v>
      </c>
      <c r="BS16" s="70"/>
      <c r="BT16" s="77">
        <f t="shared" si="41"/>
        <v>0</v>
      </c>
      <c r="BU16" s="70"/>
      <c r="BV16" s="77">
        <f t="shared" si="1"/>
        <v>0</v>
      </c>
      <c r="BW16" s="70"/>
      <c r="BX16" s="77">
        <f t="shared" si="42"/>
        <v>0</v>
      </c>
      <c r="BY16" s="72"/>
      <c r="BZ16" s="77">
        <f t="shared" si="16"/>
        <v>0</v>
      </c>
      <c r="CA16" s="65"/>
      <c r="CB16" s="77">
        <f t="shared" si="17"/>
        <v>0</v>
      </c>
      <c r="CC16" s="65"/>
      <c r="CD16" s="77">
        <f t="shared" si="18"/>
        <v>0</v>
      </c>
      <c r="CE16" s="65"/>
      <c r="CF16" s="77">
        <f t="shared" si="19"/>
        <v>0</v>
      </c>
      <c r="CG16" s="65"/>
      <c r="CH16" s="77">
        <f t="shared" si="20"/>
        <v>0</v>
      </c>
      <c r="CI16" s="65"/>
      <c r="CJ16" s="77">
        <f t="shared" si="2"/>
        <v>0</v>
      </c>
      <c r="CK16" s="65"/>
      <c r="CL16" s="76">
        <f t="shared" si="21"/>
        <v>0</v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43"/>
        <v>0</v>
      </c>
      <c r="K17" s="65"/>
      <c r="L17" s="76">
        <f t="shared" si="0"/>
        <v>0</v>
      </c>
      <c r="M17" s="65"/>
      <c r="N17" s="77">
        <f t="shared" si="22"/>
        <v>0</v>
      </c>
      <c r="O17" s="65"/>
      <c r="P17" s="77">
        <f t="shared" si="6"/>
        <v>0</v>
      </c>
      <c r="Q17" s="65"/>
      <c r="R17" s="77">
        <f t="shared" si="7"/>
        <v>0</v>
      </c>
      <c r="S17" s="65"/>
      <c r="T17" s="77">
        <f t="shared" si="8"/>
        <v>0</v>
      </c>
      <c r="U17" s="65"/>
      <c r="V17" s="77">
        <f t="shared" si="9"/>
        <v>0</v>
      </c>
      <c r="W17" s="65"/>
      <c r="X17" s="77">
        <f t="shared" si="2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0"/>
        <v>0</v>
      </c>
      <c r="AI17" s="65"/>
      <c r="AJ17" s="77">
        <f t="shared" si="28"/>
        <v>0</v>
      </c>
      <c r="AK17" s="65"/>
      <c r="AL17" s="77">
        <f t="shared" si="11"/>
        <v>0</v>
      </c>
      <c r="AM17" s="65"/>
      <c r="AN17" s="77">
        <f t="shared" si="12"/>
        <v>0</v>
      </c>
      <c r="AO17" s="65"/>
      <c r="AP17" s="77">
        <f t="shared" si="13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4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5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6"/>
        <v>0</v>
      </c>
      <c r="CA17" s="65"/>
      <c r="CB17" s="77">
        <f t="shared" si="17"/>
        <v>0</v>
      </c>
      <c r="CC17" s="65"/>
      <c r="CD17" s="77">
        <f t="shared" si="18"/>
        <v>0</v>
      </c>
      <c r="CE17" s="65"/>
      <c r="CF17" s="77">
        <f t="shared" si="19"/>
        <v>0</v>
      </c>
      <c r="CG17" s="65"/>
      <c r="CH17" s="77">
        <f t="shared" si="20"/>
        <v>0</v>
      </c>
      <c r="CI17" s="65"/>
      <c r="CJ17" s="77">
        <f t="shared" si="2"/>
        <v>0</v>
      </c>
      <c r="CK17" s="65"/>
      <c r="CL17" s="76">
        <f t="shared" si="21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43"/>
        <v>0</v>
      </c>
      <c r="K18" s="65"/>
      <c r="L18" s="76">
        <f t="shared" si="0"/>
        <v>0</v>
      </c>
      <c r="M18" s="65"/>
      <c r="N18" s="77">
        <f t="shared" si="22"/>
        <v>0</v>
      </c>
      <c r="O18" s="65"/>
      <c r="P18" s="77">
        <f t="shared" si="6"/>
        <v>0</v>
      </c>
      <c r="Q18" s="65"/>
      <c r="R18" s="77">
        <f t="shared" si="7"/>
        <v>0</v>
      </c>
      <c r="S18" s="65"/>
      <c r="T18" s="77">
        <f t="shared" si="8"/>
        <v>0</v>
      </c>
      <c r="U18" s="65"/>
      <c r="V18" s="77">
        <f t="shared" si="9"/>
        <v>0</v>
      </c>
      <c r="W18" s="65"/>
      <c r="X18" s="77">
        <f t="shared" si="2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0"/>
        <v>0</v>
      </c>
      <c r="AI18" s="65"/>
      <c r="AJ18" s="77">
        <f t="shared" si="28"/>
        <v>0</v>
      </c>
      <c r="AK18" s="65"/>
      <c r="AL18" s="77">
        <f t="shared" si="11"/>
        <v>0</v>
      </c>
      <c r="AM18" s="65"/>
      <c r="AN18" s="77">
        <f t="shared" si="12"/>
        <v>0</v>
      </c>
      <c r="AO18" s="65"/>
      <c r="AP18" s="77">
        <f t="shared" si="13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4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5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6"/>
        <v>0</v>
      </c>
      <c r="CA18" s="65"/>
      <c r="CB18" s="77">
        <f t="shared" si="17"/>
        <v>0</v>
      </c>
      <c r="CC18" s="65"/>
      <c r="CD18" s="77">
        <f t="shared" si="18"/>
        <v>0</v>
      </c>
      <c r="CE18" s="65"/>
      <c r="CF18" s="77">
        <f t="shared" si="19"/>
        <v>0</v>
      </c>
      <c r="CG18" s="65"/>
      <c r="CH18" s="77">
        <f t="shared" si="20"/>
        <v>0</v>
      </c>
      <c r="CI18" s="65"/>
      <c r="CJ18" s="77">
        <f t="shared" si="2"/>
        <v>0</v>
      </c>
      <c r="CK18" s="65"/>
      <c r="CL18" s="76">
        <f t="shared" si="21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43"/>
        <v>0</v>
      </c>
      <c r="K19" s="65"/>
      <c r="L19" s="76">
        <f t="shared" si="0"/>
        <v>0</v>
      </c>
      <c r="M19" s="65"/>
      <c r="N19" s="77">
        <f t="shared" si="22"/>
        <v>0</v>
      </c>
      <c r="O19" s="65"/>
      <c r="P19" s="77">
        <f t="shared" si="6"/>
        <v>0</v>
      </c>
      <c r="Q19" s="65"/>
      <c r="R19" s="77">
        <f t="shared" si="7"/>
        <v>0</v>
      </c>
      <c r="S19" s="65"/>
      <c r="T19" s="77">
        <f t="shared" si="8"/>
        <v>0</v>
      </c>
      <c r="U19" s="65"/>
      <c r="V19" s="77">
        <f t="shared" si="9"/>
        <v>0</v>
      </c>
      <c r="W19" s="65"/>
      <c r="X19" s="77">
        <f t="shared" si="2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0"/>
        <v>0</v>
      </c>
      <c r="AI19" s="65"/>
      <c r="AJ19" s="77">
        <f t="shared" si="28"/>
        <v>0</v>
      </c>
      <c r="AK19" s="65"/>
      <c r="AL19" s="77">
        <f t="shared" si="11"/>
        <v>0</v>
      </c>
      <c r="AM19" s="65"/>
      <c r="AN19" s="77">
        <f t="shared" si="12"/>
        <v>0</v>
      </c>
      <c r="AO19" s="65"/>
      <c r="AP19" s="77">
        <f t="shared" si="13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4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5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6"/>
        <v>0</v>
      </c>
      <c r="CA19" s="65"/>
      <c r="CB19" s="77">
        <f t="shared" si="17"/>
        <v>0</v>
      </c>
      <c r="CC19" s="65"/>
      <c r="CD19" s="77">
        <f t="shared" si="18"/>
        <v>0</v>
      </c>
      <c r="CE19" s="65"/>
      <c r="CF19" s="77">
        <f t="shared" si="19"/>
        <v>0</v>
      </c>
      <c r="CG19" s="65"/>
      <c r="CH19" s="77">
        <f t="shared" si="20"/>
        <v>0</v>
      </c>
      <c r="CI19" s="65"/>
      <c r="CJ19" s="77">
        <f t="shared" si="2"/>
        <v>0</v>
      </c>
      <c r="CK19" s="65"/>
      <c r="CL19" s="76">
        <f t="shared" si="21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43"/>
        <v>0</v>
      </c>
      <c r="K20" s="65"/>
      <c r="L20" s="76">
        <f t="shared" si="0"/>
        <v>0</v>
      </c>
      <c r="M20" s="65"/>
      <c r="N20" s="77">
        <f t="shared" si="22"/>
        <v>0</v>
      </c>
      <c r="O20" s="65"/>
      <c r="P20" s="77">
        <f t="shared" si="6"/>
        <v>0</v>
      </c>
      <c r="Q20" s="65"/>
      <c r="R20" s="77">
        <f t="shared" si="7"/>
        <v>0</v>
      </c>
      <c r="S20" s="65"/>
      <c r="T20" s="77">
        <f t="shared" si="8"/>
        <v>0</v>
      </c>
      <c r="U20" s="65"/>
      <c r="V20" s="77">
        <f t="shared" si="9"/>
        <v>0</v>
      </c>
      <c r="W20" s="65"/>
      <c r="X20" s="77">
        <f t="shared" si="2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0"/>
        <v>0</v>
      </c>
      <c r="AI20" s="65"/>
      <c r="AJ20" s="77">
        <f t="shared" si="28"/>
        <v>0</v>
      </c>
      <c r="AK20" s="65"/>
      <c r="AL20" s="77">
        <f t="shared" si="11"/>
        <v>0</v>
      </c>
      <c r="AM20" s="65"/>
      <c r="AN20" s="77">
        <f t="shared" si="12"/>
        <v>0</v>
      </c>
      <c r="AO20" s="65"/>
      <c r="AP20" s="77">
        <f t="shared" si="13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4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5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6"/>
        <v>0</v>
      </c>
      <c r="CA20" s="65"/>
      <c r="CB20" s="77">
        <f t="shared" si="17"/>
        <v>0</v>
      </c>
      <c r="CC20" s="65"/>
      <c r="CD20" s="77">
        <f t="shared" si="18"/>
        <v>0</v>
      </c>
      <c r="CE20" s="65"/>
      <c r="CF20" s="77">
        <f t="shared" si="19"/>
        <v>0</v>
      </c>
      <c r="CG20" s="65"/>
      <c r="CH20" s="77">
        <f t="shared" si="20"/>
        <v>0</v>
      </c>
      <c r="CI20" s="65"/>
      <c r="CJ20" s="77">
        <f t="shared" si="2"/>
        <v>0</v>
      </c>
      <c r="CK20" s="65"/>
      <c r="CL20" s="76">
        <f t="shared" si="21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43"/>
        <v>0</v>
      </c>
      <c r="K21" s="65"/>
      <c r="L21" s="76">
        <f t="shared" si="0"/>
        <v>0</v>
      </c>
      <c r="M21" s="65"/>
      <c r="N21" s="77">
        <f t="shared" si="22"/>
        <v>0</v>
      </c>
      <c r="O21" s="65"/>
      <c r="P21" s="77">
        <f t="shared" si="6"/>
        <v>0</v>
      </c>
      <c r="Q21" s="65"/>
      <c r="R21" s="77">
        <f t="shared" si="7"/>
        <v>0</v>
      </c>
      <c r="S21" s="65"/>
      <c r="T21" s="77">
        <f t="shared" si="8"/>
        <v>0</v>
      </c>
      <c r="U21" s="65"/>
      <c r="V21" s="77">
        <f t="shared" si="9"/>
        <v>0</v>
      </c>
      <c r="W21" s="65"/>
      <c r="X21" s="77">
        <f t="shared" si="2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0"/>
        <v>0</v>
      </c>
      <c r="AI21" s="65"/>
      <c r="AJ21" s="77">
        <f t="shared" si="28"/>
        <v>0</v>
      </c>
      <c r="AK21" s="65"/>
      <c r="AL21" s="77">
        <f t="shared" si="11"/>
        <v>0</v>
      </c>
      <c r="AM21" s="65"/>
      <c r="AN21" s="77">
        <f t="shared" si="12"/>
        <v>0</v>
      </c>
      <c r="AO21" s="65"/>
      <c r="AP21" s="77">
        <f t="shared" si="13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4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5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6"/>
        <v>0</v>
      </c>
      <c r="CA21" s="65"/>
      <c r="CB21" s="77">
        <f t="shared" si="17"/>
        <v>0</v>
      </c>
      <c r="CC21" s="65"/>
      <c r="CD21" s="77">
        <f t="shared" si="18"/>
        <v>0</v>
      </c>
      <c r="CE21" s="65"/>
      <c r="CF21" s="77">
        <f t="shared" si="19"/>
        <v>0</v>
      </c>
      <c r="CG21" s="65"/>
      <c r="CH21" s="77">
        <f t="shared" si="20"/>
        <v>0</v>
      </c>
      <c r="CI21" s="65"/>
      <c r="CJ21" s="77">
        <f t="shared" si="2"/>
        <v>0</v>
      </c>
      <c r="CK21" s="65"/>
      <c r="CL21" s="76">
        <f t="shared" si="21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43"/>
        <v>0</v>
      </c>
      <c r="K22" s="65"/>
      <c r="L22" s="76">
        <f t="shared" si="0"/>
        <v>0</v>
      </c>
      <c r="M22" s="65"/>
      <c r="N22" s="77">
        <f t="shared" si="22"/>
        <v>0</v>
      </c>
      <c r="O22" s="65"/>
      <c r="P22" s="77">
        <f t="shared" si="6"/>
        <v>0</v>
      </c>
      <c r="Q22" s="65"/>
      <c r="R22" s="77">
        <f t="shared" si="7"/>
        <v>0</v>
      </c>
      <c r="S22" s="65"/>
      <c r="T22" s="77">
        <f t="shared" si="8"/>
        <v>0</v>
      </c>
      <c r="U22" s="65"/>
      <c r="V22" s="77">
        <f t="shared" si="9"/>
        <v>0</v>
      </c>
      <c r="W22" s="65"/>
      <c r="X22" s="77">
        <f t="shared" si="2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0"/>
        <v>0</v>
      </c>
      <c r="AI22" s="65"/>
      <c r="AJ22" s="77">
        <f t="shared" si="28"/>
        <v>0</v>
      </c>
      <c r="AK22" s="65"/>
      <c r="AL22" s="77">
        <f t="shared" si="11"/>
        <v>0</v>
      </c>
      <c r="AM22" s="65"/>
      <c r="AN22" s="77">
        <f t="shared" si="12"/>
        <v>0</v>
      </c>
      <c r="AO22" s="65"/>
      <c r="AP22" s="77">
        <f t="shared" si="13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4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5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6"/>
        <v>0</v>
      </c>
      <c r="CA22" s="65"/>
      <c r="CB22" s="77">
        <f t="shared" si="17"/>
        <v>0</v>
      </c>
      <c r="CC22" s="65"/>
      <c r="CD22" s="77">
        <f t="shared" si="18"/>
        <v>0</v>
      </c>
      <c r="CE22" s="65"/>
      <c r="CF22" s="77">
        <f t="shared" si="19"/>
        <v>0</v>
      </c>
      <c r="CG22" s="65"/>
      <c r="CH22" s="77">
        <f t="shared" si="20"/>
        <v>0</v>
      </c>
      <c r="CI22" s="65"/>
      <c r="CJ22" s="77">
        <f t="shared" si="2"/>
        <v>0</v>
      </c>
      <c r="CK22" s="65"/>
      <c r="CL22" s="76">
        <f t="shared" si="21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43"/>
        <v>0</v>
      </c>
      <c r="K23" s="65"/>
      <c r="L23" s="76">
        <f t="shared" si="0"/>
        <v>0</v>
      </c>
      <c r="M23" s="65"/>
      <c r="N23" s="77">
        <f t="shared" si="22"/>
        <v>0</v>
      </c>
      <c r="O23" s="65"/>
      <c r="P23" s="77">
        <f t="shared" si="6"/>
        <v>0</v>
      </c>
      <c r="Q23" s="65"/>
      <c r="R23" s="77">
        <f t="shared" si="7"/>
        <v>0</v>
      </c>
      <c r="S23" s="65"/>
      <c r="T23" s="77">
        <f t="shared" si="8"/>
        <v>0</v>
      </c>
      <c r="U23" s="65"/>
      <c r="V23" s="77">
        <f t="shared" si="9"/>
        <v>0</v>
      </c>
      <c r="W23" s="65"/>
      <c r="X23" s="77">
        <f t="shared" si="2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0"/>
        <v>0</v>
      </c>
      <c r="AI23" s="65"/>
      <c r="AJ23" s="77">
        <f t="shared" si="28"/>
        <v>0</v>
      </c>
      <c r="AK23" s="65"/>
      <c r="AL23" s="77"/>
      <c r="AM23" s="65"/>
      <c r="AN23" s="77">
        <f t="shared" si="12"/>
        <v>0</v>
      </c>
      <c r="AO23" s="65"/>
      <c r="AP23" s="77">
        <f t="shared" si="13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4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5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6"/>
        <v>0</v>
      </c>
      <c r="CA23" s="65"/>
      <c r="CB23" s="77">
        <f t="shared" si="17"/>
        <v>0</v>
      </c>
      <c r="CC23" s="65"/>
      <c r="CD23" s="77">
        <f t="shared" si="18"/>
        <v>0</v>
      </c>
      <c r="CE23" s="65"/>
      <c r="CF23" s="77">
        <f t="shared" si="19"/>
        <v>0</v>
      </c>
      <c r="CG23" s="65"/>
      <c r="CH23" s="77">
        <f t="shared" si="20"/>
        <v>0</v>
      </c>
      <c r="CI23" s="65"/>
      <c r="CJ23" s="77">
        <f t="shared" si="2"/>
        <v>0</v>
      </c>
      <c r="CK23" s="65"/>
      <c r="CL23" s="76">
        <f t="shared" si="21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43"/>
        <v>0</v>
      </c>
      <c r="K24" s="65"/>
      <c r="L24" s="76">
        <f t="shared" si="0"/>
        <v>0</v>
      </c>
      <c r="M24" s="65"/>
      <c r="N24" s="77">
        <f t="shared" si="22"/>
        <v>0</v>
      </c>
      <c r="O24" s="65"/>
      <c r="P24" s="77">
        <f t="shared" si="6"/>
        <v>0</v>
      </c>
      <c r="Q24" s="65"/>
      <c r="R24" s="77">
        <f t="shared" si="7"/>
        <v>0</v>
      </c>
      <c r="S24" s="65"/>
      <c r="T24" s="77">
        <f t="shared" si="8"/>
        <v>0</v>
      </c>
      <c r="U24" s="65"/>
      <c r="V24" s="77">
        <f t="shared" si="9"/>
        <v>0</v>
      </c>
      <c r="W24" s="65"/>
      <c r="X24" s="77">
        <f t="shared" si="2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0"/>
        <v>0</v>
      </c>
      <c r="AI24" s="65"/>
      <c r="AJ24" s="77">
        <f t="shared" si="28"/>
        <v>0</v>
      </c>
      <c r="AK24" s="65"/>
      <c r="AL24" s="77">
        <f t="shared" si="11"/>
        <v>0</v>
      </c>
      <c r="AM24" s="65"/>
      <c r="AN24" s="77">
        <f t="shared" si="12"/>
        <v>0</v>
      </c>
      <c r="AO24" s="65"/>
      <c r="AP24" s="77">
        <f t="shared" si="13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4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5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6"/>
        <v>0</v>
      </c>
      <c r="CA24" s="65"/>
      <c r="CB24" s="77">
        <f t="shared" si="17"/>
        <v>0</v>
      </c>
      <c r="CC24" s="65"/>
      <c r="CD24" s="77">
        <f t="shared" si="18"/>
        <v>0</v>
      </c>
      <c r="CE24" s="65"/>
      <c r="CF24" s="77">
        <f t="shared" si="19"/>
        <v>0</v>
      </c>
      <c r="CG24" s="65"/>
      <c r="CH24" s="77">
        <f t="shared" si="20"/>
        <v>0</v>
      </c>
      <c r="CI24" s="65"/>
      <c r="CJ24" s="77">
        <f t="shared" si="2"/>
        <v>0</v>
      </c>
      <c r="CK24" s="65"/>
      <c r="CL24" s="76">
        <f t="shared" si="21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43"/>
        <v>0</v>
      </c>
      <c r="K25" s="65"/>
      <c r="L25" s="76">
        <f t="shared" si="0"/>
        <v>0</v>
      </c>
      <c r="M25" s="65"/>
      <c r="N25" s="77">
        <f t="shared" si="22"/>
        <v>0</v>
      </c>
      <c r="O25" s="65"/>
      <c r="P25" s="77">
        <f t="shared" si="6"/>
        <v>0</v>
      </c>
      <c r="Q25" s="65"/>
      <c r="R25" s="77">
        <f t="shared" si="7"/>
        <v>0</v>
      </c>
      <c r="S25" s="65"/>
      <c r="T25" s="77">
        <f t="shared" si="8"/>
        <v>0</v>
      </c>
      <c r="U25" s="65"/>
      <c r="V25" s="77">
        <f t="shared" si="9"/>
        <v>0</v>
      </c>
      <c r="W25" s="65"/>
      <c r="X25" s="77">
        <f t="shared" si="2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0"/>
        <v>0</v>
      </c>
      <c r="AI25" s="65"/>
      <c r="AJ25" s="77">
        <f t="shared" si="28"/>
        <v>0</v>
      </c>
      <c r="AK25" s="65"/>
      <c r="AL25" s="77">
        <f t="shared" si="11"/>
        <v>0</v>
      </c>
      <c r="AM25" s="65"/>
      <c r="AN25" s="77">
        <f t="shared" si="12"/>
        <v>0</v>
      </c>
      <c r="AO25" s="65"/>
      <c r="AP25" s="77">
        <f t="shared" si="13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4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5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6"/>
        <v>0</v>
      </c>
      <c r="CA25" s="65"/>
      <c r="CB25" s="77">
        <f t="shared" si="17"/>
        <v>0</v>
      </c>
      <c r="CC25" s="65"/>
      <c r="CD25" s="77">
        <f t="shared" si="18"/>
        <v>0</v>
      </c>
      <c r="CE25" s="65"/>
      <c r="CF25" s="77">
        <f t="shared" si="19"/>
        <v>0</v>
      </c>
      <c r="CG25" s="65"/>
      <c r="CH25" s="77">
        <f t="shared" si="20"/>
        <v>0</v>
      </c>
      <c r="CI25" s="65"/>
      <c r="CJ25" s="77">
        <f t="shared" si="2"/>
        <v>0</v>
      </c>
      <c r="CK25" s="65"/>
      <c r="CL25" s="76">
        <f t="shared" si="21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43"/>
        <v>0</v>
      </c>
      <c r="K26" s="65"/>
      <c r="L26" s="76">
        <f t="shared" si="0"/>
        <v>0</v>
      </c>
      <c r="M26" s="65"/>
      <c r="N26" s="77">
        <f t="shared" si="22"/>
        <v>0</v>
      </c>
      <c r="O26" s="65"/>
      <c r="P26" s="77">
        <f t="shared" si="6"/>
        <v>0</v>
      </c>
      <c r="Q26" s="65"/>
      <c r="R26" s="77">
        <f t="shared" si="7"/>
        <v>0</v>
      </c>
      <c r="S26" s="65"/>
      <c r="T26" s="77">
        <f t="shared" si="8"/>
        <v>0</v>
      </c>
      <c r="U26" s="65"/>
      <c r="V26" s="77">
        <f t="shared" si="9"/>
        <v>0</v>
      </c>
      <c r="W26" s="65"/>
      <c r="X26" s="77">
        <f t="shared" si="2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0"/>
        <v>0</v>
      </c>
      <c r="AI26" s="65"/>
      <c r="AJ26" s="77">
        <f t="shared" si="28"/>
        <v>0</v>
      </c>
      <c r="AK26" s="65"/>
      <c r="AL26" s="77">
        <f t="shared" si="11"/>
        <v>0</v>
      </c>
      <c r="AM26" s="65"/>
      <c r="AN26" s="77">
        <f t="shared" si="12"/>
        <v>0</v>
      </c>
      <c r="AO26" s="65"/>
      <c r="AP26" s="77">
        <f t="shared" si="13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4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5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6"/>
        <v>0</v>
      </c>
      <c r="CA26" s="65"/>
      <c r="CB26" s="77">
        <f t="shared" si="17"/>
        <v>0</v>
      </c>
      <c r="CC26" s="65"/>
      <c r="CD26" s="77">
        <f t="shared" si="18"/>
        <v>0</v>
      </c>
      <c r="CE26" s="65"/>
      <c r="CF26" s="77">
        <f t="shared" si="19"/>
        <v>0</v>
      </c>
      <c r="CG26" s="65"/>
      <c r="CH26" s="77">
        <f t="shared" si="20"/>
        <v>0</v>
      </c>
      <c r="CI26" s="65"/>
      <c r="CJ26" s="77">
        <f t="shared" si="2"/>
        <v>0</v>
      </c>
      <c r="CK26" s="65"/>
      <c r="CL26" s="76">
        <f t="shared" si="21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8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8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8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8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8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8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8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8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85</v>
      </c>
      <c r="R35" s="81">
        <f>SUM(R4:R33)</f>
        <v>35</v>
      </c>
      <c r="AX35" s="77">
        <f t="shared" si="32"/>
        <v>0</v>
      </c>
      <c r="BF35" s="81">
        <f>SUM(BF4:BF33)</f>
        <v>268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1.75" x14ac:dyDescent="0.4">
      <c r="AX37" s="77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B13" sqref="B1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/>
      <c r="C13" s="44"/>
      <c r="D13" s="44"/>
      <c r="E13" s="45"/>
      <c r="F13" s="45"/>
      <c r="G13" s="45"/>
      <c r="H13" s="45"/>
      <c r="I13" s="45"/>
      <c r="J13" s="45"/>
      <c r="K13" s="46"/>
      <c r="L13" s="46"/>
      <c r="M13" s="46"/>
      <c r="N13" s="43"/>
      <c r="O13" s="43"/>
      <c r="P13" s="43"/>
      <c r="Q13" s="43"/>
    </row>
    <row r="14" spans="1:17" x14ac:dyDescent="0.25">
      <c r="A14" s="47">
        <v>43836</v>
      </c>
      <c r="B14" s="44"/>
      <c r="C14" s="44"/>
      <c r="D14" s="44"/>
      <c r="E14" s="45"/>
      <c r="F14" s="45"/>
      <c r="G14" s="45"/>
      <c r="H14" s="45"/>
      <c r="I14" s="45"/>
      <c r="J14" s="45"/>
      <c r="K14" s="46"/>
      <c r="L14" s="46"/>
      <c r="M14" s="46"/>
      <c r="N14" s="43"/>
      <c r="O14" s="43"/>
      <c r="P14" s="43"/>
      <c r="Q14" s="43"/>
    </row>
    <row r="15" spans="1:17" x14ac:dyDescent="0.25">
      <c r="A15" s="47">
        <v>43837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47">
        <v>43838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47">
        <v>43839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47">
        <v>43840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47">
        <v>43841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47">
        <v>43842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2020-01-04T22:50:23Z</dcterms:modified>
</cp:coreProperties>
</file>