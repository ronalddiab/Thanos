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B32" i="117"/>
  <c r="E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<sst xmlns="http://schemas.openxmlformats.org/spreadsheetml/2006/main" count="61" uniqueCount="29">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</sst>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P25" sqref="P2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2022</v>
      </c>
      <c r="E2" s="9">
        <f>'Macao Daily'!D5</f>
        <v>33351</v>
      </c>
      <c r="F2" s="30">
        <v>1.2532000000000001</v>
      </c>
      <c r="G2" s="9">
        <f>'Macao Daily'!F5</f>
        <v>83</v>
      </c>
      <c r="H2" s="30">
        <v>9.8556000000000008</v>
      </c>
      <c r="I2" s="9">
        <f>'Macao Daily'!H5</f>
        <v>36680</v>
      </c>
      <c r="J2" s="30">
        <v>0.23</v>
      </c>
      <c r="K2" s="9">
        <f>'Macao Daily'!J5</f>
        <v>729</v>
      </c>
      <c r="L2" s="30">
        <v>7.7614000000000001</v>
      </c>
      <c r="M2" s="9">
        <f>'Macao Daily'!K5</f>
        <v>347</v>
      </c>
      <c r="N2" s="9">
        <f>'Macao Daily'!L5</f>
        <v>808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2022</v>
      </c>
      <c r="E3" s="9">
        <f>'Macao Daily'!D6</f>
        <v>32623</v>
      </c>
      <c r="F3" s="30">
        <v>1.2532000000000001</v>
      </c>
      <c r="G3" s="9">
        <f>'Macao Daily'!F6</f>
        <v>74</v>
      </c>
      <c r="H3" s="30">
        <v>9.8556000000000008</v>
      </c>
      <c r="I3" s="9">
        <f>'Macao Daily'!H6</f>
        <v>27179</v>
      </c>
      <c r="J3" s="30">
        <v>0.23</v>
      </c>
      <c r="K3" s="9">
        <f>'Macao Daily'!J6</f>
        <v>699</v>
      </c>
      <c r="L3" s="30">
        <v>7.7614000000000001</v>
      </c>
      <c r="M3" s="9">
        <f>'Macao Daily'!K6</f>
        <v>277</v>
      </c>
      <c r="N3" s="9">
        <f>'Macao Daily'!L6</f>
        <v>730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2022</v>
      </c>
      <c r="E4" s="9">
        <f>'Macao Daily'!D7</f>
        <v>33401</v>
      </c>
      <c r="F4" s="30">
        <v>1.2532000000000001</v>
      </c>
      <c r="G4" s="9">
        <f>'Macao Daily'!F7</f>
        <v>73</v>
      </c>
      <c r="H4" s="30">
        <v>9.8556000000000008</v>
      </c>
      <c r="I4" s="9">
        <f>'Macao Daily'!H7</f>
        <v>31571</v>
      </c>
      <c r="J4" s="30">
        <v>0.23</v>
      </c>
      <c r="K4" s="9">
        <f>'Macao Daily'!J7</f>
        <v>661</v>
      </c>
      <c r="L4" s="30">
        <v>7.7614000000000001</v>
      </c>
      <c r="M4" s="9">
        <f>'Macao Daily'!K7</f>
        <v>166</v>
      </c>
      <c r="N4" s="9">
        <f>'Macao Daily'!L7</f>
        <v>636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2022</v>
      </c>
      <c r="E5" s="9">
        <f>'Macao Daily'!D8</f>
        <v>31480</v>
      </c>
      <c r="F5" s="30">
        <v>1.2532000000000001</v>
      </c>
      <c r="G5" s="9">
        <f>'Macao Daily'!F8</f>
        <v>63</v>
      </c>
      <c r="H5" s="30">
        <v>9.8556000000000008</v>
      </c>
      <c r="I5" s="9">
        <f>'Macao Daily'!H8</f>
        <v>35875</v>
      </c>
      <c r="J5" s="30">
        <v>0.23</v>
      </c>
      <c r="K5" s="9">
        <f>'Macao Daily'!J8</f>
        <v>606</v>
      </c>
      <c r="L5" s="30">
        <v>7.7614000000000001</v>
      </c>
      <c r="M5" s="9">
        <f>'Macao Daily'!K8</f>
        <v>75</v>
      </c>
      <c r="N5" s="9">
        <f>'Macao Daily'!L8</f>
        <v>285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2022</v>
      </c>
      <c r="E6" s="9">
        <f>'Macao Daily'!D9</f>
        <v>31254</v>
      </c>
      <c r="F6" s="30">
        <v>1.2532000000000001</v>
      </c>
      <c r="G6" s="9">
        <f>'Macao Daily'!F9</f>
        <v>58</v>
      </c>
      <c r="H6" s="30">
        <v>9.8556000000000008</v>
      </c>
      <c r="I6" s="9">
        <f>'Macao Daily'!H9</f>
        <v>43828</v>
      </c>
      <c r="J6" s="30">
        <v>0.23</v>
      </c>
      <c r="K6" s="9">
        <f>'Macao Daily'!J9</f>
        <v>549</v>
      </c>
      <c r="L6" s="30">
        <v>7.7614000000000001</v>
      </c>
      <c r="M6" s="9">
        <f>'Macao Daily'!K9</f>
        <v>76</v>
      </c>
      <c r="N6" s="9">
        <f>'Macao Daily'!L9</f>
        <v>178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2022</v>
      </c>
      <c r="E7" s="9">
        <f>'Macao Daily'!D10</f>
        <v>32067</v>
      </c>
      <c r="F7" s="30">
        <v>1.2532000000000001</v>
      </c>
      <c r="G7" s="9">
        <f>'Macao Daily'!F10</f>
        <v>59</v>
      </c>
      <c r="H7" s="30">
        <v>9.8556000000000008</v>
      </c>
      <c r="I7" s="9">
        <f>'Macao Daily'!H10</f>
        <v>49797</v>
      </c>
      <c r="J7" s="30">
        <v>0.23</v>
      </c>
      <c r="K7" s="9">
        <f>'Macao Daily'!J10</f>
        <v>577</v>
      </c>
      <c r="L7" s="30">
        <v>7.7614000000000001</v>
      </c>
      <c r="M7" s="9">
        <f>'Macao Daily'!K10</f>
        <v>83</v>
      </c>
      <c r="N7" s="9">
        <f>'Macao Daily'!L10</f>
        <v>238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2022</v>
      </c>
      <c r="E8" s="9">
        <f>'Macao Daily'!D11</f>
        <v>30906</v>
      </c>
      <c r="F8" s="30">
        <v>1.2532000000000001</v>
      </c>
      <c r="G8" s="9">
        <f>'Macao Daily'!F11</f>
        <v>57</v>
      </c>
      <c r="H8" s="30">
        <v>9.8556000000000008</v>
      </c>
      <c r="I8" s="9">
        <f>'Macao Daily'!H11</f>
        <v>48140</v>
      </c>
      <c r="J8" s="30">
        <v>0.23</v>
      </c>
      <c r="K8" s="9">
        <f>'Macao Daily'!J11</f>
        <v>611</v>
      </c>
      <c r="L8" s="30">
        <v>7.7614000000000001</v>
      </c>
      <c r="M8" s="9">
        <f>'Macao Daily'!K11</f>
        <v>83</v>
      </c>
      <c r="N8" s="9">
        <f>'Macao Daily'!L11</f>
        <v>541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2022</v>
      </c>
      <c r="E9" s="9">
        <f>'Macao Daily'!D12</f>
        <v>31643</v>
      </c>
      <c r="F9" s="30">
        <v>1.2532000000000001</v>
      </c>
      <c r="G9" s="9">
        <f>'Macao Daily'!F12</f>
        <v>86</v>
      </c>
      <c r="H9" s="30">
        <v>9.8556000000000008</v>
      </c>
      <c r="I9" s="9">
        <f>'Macao Daily'!H12</f>
        <v>44297</v>
      </c>
      <c r="J9" s="30">
        <v>0.23</v>
      </c>
      <c r="K9" s="9">
        <f>'Macao Daily'!J12</f>
        <v>625</v>
      </c>
      <c r="L9" s="30">
        <v>7.7614000000000001</v>
      </c>
      <c r="M9" s="9">
        <f>'Macao Daily'!K12</f>
        <v>82</v>
      </c>
      <c r="N9" s="9">
        <f>'Macao Daily'!L12</f>
        <v>508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2022</v>
      </c>
      <c r="E10" s="9">
        <f>'Macao Daily'!D13</f>
        <v>31508</v>
      </c>
      <c r="F10" s="30">
        <v>1.2532000000000001</v>
      </c>
      <c r="G10" s="9">
        <f>'Macao Daily'!F13</f>
        <v>64</v>
      </c>
      <c r="H10" s="30">
        <v>9.8556000000000008</v>
      </c>
      <c r="I10" s="9">
        <f>'Macao Daily'!H13</f>
        <v>47586</v>
      </c>
      <c r="J10" s="30">
        <v>0.23</v>
      </c>
      <c r="K10" s="9">
        <f>'Macao Daily'!J13</f>
        <v>613</v>
      </c>
      <c r="L10" s="30">
        <v>7.7614000000000001</v>
      </c>
      <c r="M10" s="9">
        <f>'Macao Daily'!K13</f>
        <v>58</v>
      </c>
      <c r="N10" s="9">
        <f>'Macao Daily'!L13</f>
        <v>368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2022</v>
      </c>
      <c r="E11" s="9">
        <f>'Macao Daily'!D14</f>
        <v>29800</v>
      </c>
      <c r="F11" s="30">
        <v>1.2532000000000001</v>
      </c>
      <c r="G11" s="9">
        <f>'Macao Daily'!F14</f>
        <v>39</v>
      </c>
      <c r="H11" s="30">
        <v>9.8556000000000008</v>
      </c>
      <c r="I11" s="9">
        <f>'Macao Daily'!H14</f>
        <v>55703</v>
      </c>
      <c r="J11" s="30">
        <v>0.23</v>
      </c>
      <c r="K11" s="9">
        <f>'Macao Daily'!J14</f>
        <v>547</v>
      </c>
      <c r="L11" s="30">
        <v>7.7614000000000001</v>
      </c>
      <c r="M11" s="9">
        <f>'Macao Daily'!K14</f>
        <v>62</v>
      </c>
      <c r="N11" s="9">
        <f>'Macao Daily'!L14</f>
        <v>75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2022</v>
      </c>
      <c r="E12" s="9">
        <f>'Macao Daily'!D15</f>
        <v>31911</v>
      </c>
      <c r="F12" s="30">
        <v>1.2532000000000001</v>
      </c>
      <c r="G12" s="9">
        <f>'Macao Daily'!F15</f>
        <v>45</v>
      </c>
      <c r="H12" s="30">
        <v>9.8556000000000008</v>
      </c>
      <c r="I12" s="9">
        <f>'Macao Daily'!H15</f>
        <v>64844</v>
      </c>
      <c r="J12" s="30">
        <v>0.23</v>
      </c>
      <c r="K12" s="9">
        <f>'Macao Daily'!J15</f>
        <v>545</v>
      </c>
      <c r="L12" s="30">
        <v>7.7614000000000001</v>
      </c>
      <c r="M12" s="9">
        <f>'Macao Daily'!K15</f>
        <v>58</v>
      </c>
      <c r="N12" s="9">
        <f>'Macao Daily'!L15</f>
        <v>377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2022</v>
      </c>
      <c r="E13" s="9">
        <f>'Macao Daily'!D16</f>
        <v>31999</v>
      </c>
      <c r="F13" s="30">
        <v>1.2532000000000001</v>
      </c>
      <c r="G13" s="9">
        <f>'Macao Daily'!F16</f>
        <v>45</v>
      </c>
      <c r="H13" s="30">
        <v>9.8556000000000008</v>
      </c>
      <c r="I13" s="9">
        <f>'Macao Daily'!H16</f>
        <v>58133</v>
      </c>
      <c r="J13" s="30">
        <v>0.23</v>
      </c>
      <c r="K13" s="9">
        <f>'Macao Daily'!J16</f>
        <v>560</v>
      </c>
      <c r="L13" s="30">
        <v>7.7614000000000001</v>
      </c>
      <c r="M13" s="9">
        <f>'Macao Daily'!K16</f>
        <v>66</v>
      </c>
      <c r="N13" s="9">
        <f>'Macao Daily'!L16</f>
        <v>78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2022</v>
      </c>
      <c r="E14" s="9">
        <f>'Macao Daily'!D17</f>
        <v>32268</v>
      </c>
      <c r="F14" s="30">
        <v>1.2532000000000001</v>
      </c>
      <c r="G14" s="9">
        <f>'Macao Daily'!F17</f>
        <v>65</v>
      </c>
      <c r="H14" s="30">
        <v>9.8556000000000008</v>
      </c>
      <c r="I14" s="9">
        <f>'Macao Daily'!H17</f>
        <v>48593</v>
      </c>
      <c r="J14" s="30">
        <v>0.23</v>
      </c>
      <c r="K14" s="9">
        <f>'Macao Daily'!J17</f>
        <v>564</v>
      </c>
      <c r="L14" s="30">
        <v>7.7614000000000001</v>
      </c>
      <c r="M14" s="9">
        <f>'Macao Daily'!K17</f>
        <v>92</v>
      </c>
      <c r="N14" s="9">
        <f>'Macao Daily'!L17</f>
        <v>213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2022</v>
      </c>
      <c r="E15" s="9">
        <f>'Macao Daily'!D18</f>
        <v>33412</v>
      </c>
      <c r="F15" s="30">
        <v>1.2532000000000001</v>
      </c>
      <c r="G15" s="9">
        <f>'Macao Daily'!F18</f>
        <v>79</v>
      </c>
      <c r="H15" s="30">
        <v>9.8556000000000008</v>
      </c>
      <c r="I15" s="9">
        <f>'Macao Daily'!H18</f>
        <v>62585</v>
      </c>
      <c r="J15" s="30">
        <v>0.23</v>
      </c>
      <c r="K15" s="9">
        <f>'Macao Daily'!J18</f>
        <v>601</v>
      </c>
      <c r="L15" s="30">
        <v>7.7614000000000001</v>
      </c>
      <c r="M15" s="9">
        <f>'Macao Daily'!K18</f>
        <v>119</v>
      </c>
      <c r="N15" s="9">
        <f>'Macao Daily'!L18</f>
        <v>580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2022</v>
      </c>
      <c r="E16" s="9">
        <f>'Macao Daily'!D19</f>
        <v>30720</v>
      </c>
      <c r="F16" s="30">
        <v>1.2532000000000001</v>
      </c>
      <c r="G16" s="9">
        <f>'Macao Daily'!F19</f>
        <v>61</v>
      </c>
      <c r="H16" s="30">
        <v>9.8556000000000008</v>
      </c>
      <c r="I16" s="9">
        <f>'Macao Daily'!H19</f>
        <v>45916</v>
      </c>
      <c r="J16" s="30">
        <v>0.23</v>
      </c>
      <c r="K16" s="9">
        <f>'Macao Daily'!J19</f>
        <v>542</v>
      </c>
      <c r="L16" s="30">
        <v>7.7614000000000001</v>
      </c>
      <c r="M16" s="9">
        <f>'Macao Daily'!K19</f>
        <v>67</v>
      </c>
      <c r="N16" s="9">
        <f>'Macao Daily'!L19</f>
        <v>432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2022</v>
      </c>
      <c r="E17" s="9">
        <f>'Macao Daily'!D20</f>
        <v>30679</v>
      </c>
      <c r="F17" s="30">
        <v>1.2532000000000001</v>
      </c>
      <c r="G17" s="9">
        <f>'Macao Daily'!F20</f>
        <v>57</v>
      </c>
      <c r="H17" s="30">
        <v>9.8556000000000008</v>
      </c>
      <c r="I17" s="9">
        <f>'Macao Daily'!H20</f>
        <v>33543</v>
      </c>
      <c r="J17" s="30">
        <v>0.23</v>
      </c>
      <c r="K17" s="9">
        <f>'Macao Daily'!J20</f>
        <v>558</v>
      </c>
      <c r="L17" s="30">
        <v>7.7614000000000001</v>
      </c>
      <c r="M17" s="9">
        <f>'Macao Daily'!K20</f>
        <v>63</v>
      </c>
      <c r="N17" s="9">
        <f>'Macao Daily'!L20</f>
        <v>112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2022</v>
      </c>
      <c r="E18" s="9">
        <f>'Macao Daily'!D21</f>
        <v>27847</v>
      </c>
      <c r="F18" s="30">
        <v>1.2532000000000001</v>
      </c>
      <c r="G18" s="9">
        <f>'Macao Daily'!F21</f>
        <v>36</v>
      </c>
      <c r="H18" s="30">
        <v>9.8556000000000008</v>
      </c>
      <c r="I18" s="9">
        <f>'Macao Daily'!H21</f>
        <v>30621</v>
      </c>
      <c r="J18" s="30">
        <v>0.23</v>
      </c>
      <c r="K18" s="9">
        <f>'Macao Daily'!J21</f>
        <v>533</v>
      </c>
      <c r="L18" s="30">
        <v>7.7614000000000001</v>
      </c>
      <c r="M18" s="9">
        <f>'Macao Daily'!K21</f>
        <v>90</v>
      </c>
      <c r="N18" s="9">
        <f>'Macao Daily'!L21</f>
        <v>97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2022</v>
      </c>
      <c r="E19" s="9">
        <f>'Macao Daily'!D22</f>
        <v>27931</v>
      </c>
      <c r="F19" s="30">
        <v>1.2532000000000001</v>
      </c>
      <c r="G19" s="9">
        <f>'Macao Daily'!F22</f>
        <v>41</v>
      </c>
      <c r="H19" s="30">
        <v>9.8556000000000008</v>
      </c>
      <c r="I19" s="9">
        <f>'Macao Daily'!H22</f>
        <v>34475</v>
      </c>
      <c r="J19" s="30">
        <v>0.23</v>
      </c>
      <c r="K19" s="9">
        <f>'Macao Daily'!J22</f>
        <v>411</v>
      </c>
      <c r="L19" s="30">
        <v>7.7614000000000001</v>
      </c>
      <c r="M19" s="9">
        <f>'Macao Daily'!K22</f>
        <v>90</v>
      </c>
      <c r="N19" s="9">
        <f>'Macao Daily'!L22</f>
        <v>100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2022</v>
      </c>
      <c r="E20" s="9">
        <f>'Macao Daily'!D23</f>
        <v>30017</v>
      </c>
      <c r="F20" s="30">
        <v>1.2532000000000001</v>
      </c>
      <c r="G20" s="9">
        <f>'Macao Daily'!F23</f>
        <v>49</v>
      </c>
      <c r="H20" s="30">
        <v>9.8556000000000008</v>
      </c>
      <c r="I20" s="9">
        <f>'Macao Daily'!H23</f>
        <v>38920</v>
      </c>
      <c r="J20" s="30">
        <v>0.23</v>
      </c>
      <c r="K20" s="9">
        <f>'Macao Daily'!J23</f>
        <v>533</v>
      </c>
      <c r="L20" s="30">
        <v>7.7614000000000001</v>
      </c>
      <c r="M20" s="9">
        <f>'Macao Daily'!K23</f>
        <v>88</v>
      </c>
      <c r="N20" s="9">
        <f>'Macao Daily'!L23</f>
        <v>188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2022</v>
      </c>
      <c r="E21" s="9">
        <f>'Macao Daily'!D24</f>
        <v>30123</v>
      </c>
      <c r="F21" s="30">
        <v>1.2532000000000001</v>
      </c>
      <c r="G21" s="9">
        <f>'Macao Daily'!F24</f>
        <v>50</v>
      </c>
      <c r="H21" s="30">
        <v>9.8556000000000008</v>
      </c>
      <c r="I21" s="9">
        <f>'Macao Daily'!H24</f>
        <v>49867</v>
      </c>
      <c r="J21" s="30">
        <v>0.23</v>
      </c>
      <c r="K21" s="9">
        <f>'Macao Daily'!J24</f>
        <v>558</v>
      </c>
      <c r="L21" s="30">
        <v>7.7614000000000001</v>
      </c>
      <c r="M21" s="9">
        <f>'Macao Daily'!K24</f>
        <v>138</v>
      </c>
      <c r="N21" s="9">
        <f>'Macao Daily'!L24</f>
        <v>350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2022</v>
      </c>
      <c r="E22" s="9">
        <f>'Macao Daily'!D25</f>
        <v>31191</v>
      </c>
      <c r="F22" s="30">
        <v>1.2532000000000001</v>
      </c>
      <c r="G22" s="9">
        <f>'Macao Daily'!F25</f>
        <v>54</v>
      </c>
      <c r="H22" s="30">
        <v>9.8556000000000008</v>
      </c>
      <c r="I22" s="9">
        <f>'Macao Daily'!H25</f>
        <v>51595</v>
      </c>
      <c r="J22" s="30">
        <v>0.23</v>
      </c>
      <c r="K22" s="9">
        <f>'Macao Daily'!J25</f>
        <v>617</v>
      </c>
      <c r="L22" s="30">
        <v>7.7614000000000001</v>
      </c>
      <c r="M22" s="9">
        <f>'Macao Daily'!K25</f>
        <v>195</v>
      </c>
      <c r="N22" s="9">
        <f>'Macao Daily'!L25</f>
        <v>352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2022</v>
      </c>
      <c r="E23" s="9">
        <f>'Macao Daily'!D26</f>
        <v>29613</v>
      </c>
      <c r="F23" s="30">
        <v>1.2532000000000001</v>
      </c>
      <c r="G23" s="9">
        <f>'Macao Daily'!F26</f>
        <v>83</v>
      </c>
      <c r="H23" s="30">
        <v>9.8556000000000008</v>
      </c>
      <c r="I23" s="9">
        <f>'Macao Daily'!H26</f>
        <v>50356</v>
      </c>
      <c r="J23" s="30">
        <v>0.23</v>
      </c>
      <c r="K23" s="9">
        <f>'Macao Daily'!J26</f>
        <v>601</v>
      </c>
      <c r="L23" s="30">
        <v>7.7614000000000001</v>
      </c>
      <c r="M23" s="9">
        <f>'Macao Daily'!K26</f>
        <v>83</v>
      </c>
      <c r="N23" s="9">
        <f>'Macao Daily'!L26</f>
        <v>508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2022</v>
      </c>
      <c r="E24" s="9">
        <f>'Macao Daily'!D27</f>
        <v>30121</v>
      </c>
      <c r="F24" s="30">
        <v>1.2532000000000001</v>
      </c>
      <c r="G24" s="9">
        <f>'Macao Daily'!F27</f>
        <v>56</v>
      </c>
      <c r="H24" s="30">
        <v>9.8556000000000008</v>
      </c>
      <c r="I24" s="9">
        <f>'Macao Daily'!H27</f>
        <v>48297</v>
      </c>
      <c r="J24" s="30">
        <v>0.23</v>
      </c>
      <c r="K24" s="9">
        <f>'Macao Daily'!J27</f>
        <v>549</v>
      </c>
      <c r="L24" s="30">
        <v>7.7614000000000001</v>
      </c>
      <c r="M24" s="9">
        <f>'Macao Daily'!K27</f>
        <v>68</v>
      </c>
      <c r="N24" s="9">
        <f>'Macao Daily'!L27</f>
        <v>159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2022</v>
      </c>
      <c r="E25" s="9">
        <f>'Macao Daily'!D28</f>
        <v>27701</v>
      </c>
      <c r="F25" s="30">
        <v>1.2532000000000001</v>
      </c>
      <c r="G25" s="9">
        <f>'Macao Daily'!F28</f>
        <v>43</v>
      </c>
      <c r="H25" s="30">
        <v>9.8556000000000008</v>
      </c>
      <c r="I25" s="9">
        <f>'Macao Daily'!H28</f>
        <v>52483</v>
      </c>
      <c r="J25" s="30">
        <v>0.23</v>
      </c>
      <c r="K25" s="9">
        <f>'Macao Daily'!J28</f>
        <v>520</v>
      </c>
      <c r="L25" s="30">
        <v>7.7614000000000001</v>
      </c>
      <c r="M25" s="9">
        <f>'Macao Daily'!K28</f>
        <v>63</v>
      </c>
      <c r="N25" s="9">
        <f>'Macao Daily'!L28</f>
        <v>119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2022</v>
      </c>
      <c r="E26" s="9">
        <f>'Macao Daily'!D29</f>
        <v>27753</v>
      </c>
      <c r="F26" s="30">
        <v>1.2532000000000001</v>
      </c>
      <c r="G26" s="9">
        <f>'Macao Daily'!F29</f>
        <v>41</v>
      </c>
      <c r="H26" s="30">
        <v>9.8556000000000008</v>
      </c>
      <c r="I26" s="9">
        <f>'Macao Daily'!H29</f>
        <v>51436</v>
      </c>
      <c r="J26" s="30">
        <v>0.23</v>
      </c>
      <c r="K26" s="9">
        <f>'Macao Daily'!J29</f>
        <v>506</v>
      </c>
      <c r="L26" s="30">
        <v>7.7614000000000001</v>
      </c>
      <c r="M26" s="9">
        <f>'Macao Daily'!K29</f>
        <v>58</v>
      </c>
      <c r="N26" s="9">
        <f>'Macao Daily'!L29</f>
        <v>87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2022</v>
      </c>
      <c r="E27" s="9">
        <f>'Macao Daily'!D30</f>
        <v>28244</v>
      </c>
      <c r="F27" s="30">
        <v>1.2532000000000001</v>
      </c>
      <c r="G27" s="9">
        <f>'Macao Daily'!F30</f>
        <v>43</v>
      </c>
      <c r="H27" s="30">
        <v>9.8556000000000008</v>
      </c>
      <c r="I27" s="9">
        <f>'Macao Daily'!H30</f>
        <v>53649</v>
      </c>
      <c r="J27" s="30">
        <v>0.23</v>
      </c>
      <c r="K27" s="9">
        <f>'Macao Daily'!J30</f>
        <v>518</v>
      </c>
      <c r="L27" s="30">
        <v>7.7614000000000001</v>
      </c>
      <c r="M27" s="9">
        <f>'Macao Daily'!K30</f>
        <v>76</v>
      </c>
      <c r="N27" s="9">
        <f>'Macao Daily'!L30</f>
        <v>105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2022</v>
      </c>
      <c r="E28" s="9">
        <f>'Macao Daily'!D31</f>
        <v>30403</v>
      </c>
      <c r="F28" s="30">
        <v>1.2532000000000001</v>
      </c>
      <c r="G28" s="9">
        <f>'Macao Daily'!F31</f>
        <v>67</v>
      </c>
      <c r="H28" s="30">
        <v>9.8556000000000008</v>
      </c>
      <c r="I28" s="9">
        <f>'Macao Daily'!H31</f>
        <v>59625</v>
      </c>
      <c r="J28" s="30">
        <v>0.23</v>
      </c>
      <c r="K28" s="9">
        <f>'Macao Daily'!J31</f>
        <v>552</v>
      </c>
      <c r="L28" s="30">
        <v>7.7614000000000001</v>
      </c>
      <c r="M28" s="9">
        <f>'Macao Daily'!K31</f>
        <v>98</v>
      </c>
      <c r="N28" s="9">
        <f>'Macao Daily'!L31</f>
        <v>302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2022</v>
      </c>
      <c r="E29" s="9">
        <f>'Macao Daily'!D32</f>
        <v>30963</v>
      </c>
      <c r="F29" s="30">
        <v>1.2532000000000001</v>
      </c>
      <c r="G29" s="9">
        <f>'Macao Daily'!F32</f>
        <v>61</v>
      </c>
      <c r="H29" s="30">
        <v>9.8556000000000008</v>
      </c>
      <c r="I29" s="9">
        <f>'Macao Daily'!H32</f>
        <v>64711</v>
      </c>
      <c r="J29" s="30">
        <v>0.23</v>
      </c>
      <c r="K29" s="9">
        <f>'Macao Daily'!J32</f>
        <v>582</v>
      </c>
      <c r="L29" s="30">
        <v>7.7614000000000001</v>
      </c>
      <c r="M29" s="9">
        <f>'Macao Daily'!K32</f>
        <v>121</v>
      </c>
      <c r="N29" s="9">
        <f>'Macao Daily'!L32</f>
        <v>499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2022</v>
      </c>
      <c r="E30" s="9">
        <f>'Macao Daily'!D33</f>
        <v>31617</v>
      </c>
      <c r="F30" s="30">
        <v>1.2532000000000001</v>
      </c>
      <c r="G30" s="9">
        <f>'Macao Daily'!F33</f>
        <v>67</v>
      </c>
      <c r="H30" s="30">
        <v>9.8556000000000008</v>
      </c>
      <c r="I30" s="9">
        <f>'Macao Daily'!H33</f>
        <v>66382</v>
      </c>
      <c r="J30" s="30">
        <v>0.23</v>
      </c>
      <c r="K30" s="9">
        <f>'Macao Daily'!J33</f>
        <v>622</v>
      </c>
      <c r="L30" s="30">
        <v>7.7614000000000001</v>
      </c>
      <c r="M30" s="9">
        <f>'Macao Daily'!K33</f>
        <v>87</v>
      </c>
      <c r="N30" s="9">
        <f>'Macao Daily'!L33</f>
        <v>580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2022</v>
      </c>
      <c r="E31" s="9">
        <f>'Macao Daily'!D34</f>
        <v>29088</v>
      </c>
      <c r="F31" s="30">
        <v>1.2532000000000001</v>
      </c>
      <c r="G31" s="9">
        <f>'Macao Daily'!F34</f>
        <v>55</v>
      </c>
      <c r="H31" s="30">
        <v>9.8556000000000008</v>
      </c>
      <c r="I31" s="9">
        <f>'Macao Daily'!H34</f>
        <v>62547</v>
      </c>
      <c r="J31" s="30">
        <v>0.23</v>
      </c>
      <c r="K31" s="9">
        <f>'Macao Daily'!J34</f>
        <v>567</v>
      </c>
      <c r="L31" s="30">
        <v>7.7614000000000001</v>
      </c>
      <c r="M31" s="9">
        <f>'Macao Daily'!K34</f>
        <v>67</v>
      </c>
      <c r="N31" s="9">
        <f>'Macao Daily'!L34</f>
        <v>153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2022</v>
      </c>
      <c r="E32" s="9">
        <f>'Macao Daily'!D35</f>
        <v>28054</v>
      </c>
      <c r="F32" s="30">
        <v>1.2532000000000001</v>
      </c>
      <c r="G32" s="9">
        <f>'Macao Daily'!F35</f>
        <v>40</v>
      </c>
      <c r="H32" s="30">
        <v>9.8556000000000008</v>
      </c>
      <c r="I32" s="9">
        <f>'Macao Daily'!H35</f>
        <v>60453</v>
      </c>
      <c r="J32" s="30">
        <v>0.23</v>
      </c>
      <c r="K32" s="9">
        <f>'Macao Daily'!J35</f>
        <v>522</v>
      </c>
      <c r="L32" s="30">
        <v>7.7614000000000001</v>
      </c>
      <c r="M32" s="9">
        <f>'Macao Daily'!K35</f>
        <v>57</v>
      </c>
      <c r="N32" s="9">
        <f>'Macao Daily'!L35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zoomScale="85" zoomScaleNormal="85" workbookViewId="0">
      <pane xSplit="1" topLeftCell="B1" activePane="topRight" state="frozen"/>
      <selection pane="topRight" activeCell="O6" sqref="O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44681</v>
      </c>
      <c r="B4" s="36"/>
      <c r="C4" s="34">
        <v>37875599</v>
      </c>
      <c r="D4" s="24"/>
      <c r="E4" s="34">
        <v>550994</v>
      </c>
      <c r="F4" s="24"/>
      <c r="G4" s="34">
        <v>115269268</v>
      </c>
      <c r="H4" s="24"/>
      <c r="I4" s="45">
        <v>1759277</v>
      </c>
      <c r="J4" s="32"/>
      <c r="K4" s="33">
        <v>283</v>
      </c>
      <c r="L4" s="33">
        <v>565</v>
      </c>
    </row>
    <row r="5" spans="1:12" ht="33" customHeight="1" x14ac:dyDescent="0.25">
      <c r="A5" s="22">
        <v>44682</v>
      </c>
      <c r="B5" s="36"/>
      <c r="C5" s="34">
        <v>37908950</v>
      </c>
      <c r="D5" s="24">
        <f t="shared" ref="D5:D19" si="0">IF((C5-C4&lt;0), "0",C5-C4)</f>
        <v>33351</v>
      </c>
      <c r="E5" s="34">
        <v>551077</v>
      </c>
      <c r="F5" s="24">
        <f>IF((E5-E4&lt;0), "0",E5-E4)</f>
        <v>83</v>
      </c>
      <c r="G5" s="34">
        <v>115305948</v>
      </c>
      <c r="H5" s="24">
        <f>IF((G5-G4&lt;0), "0",G5-G4)</f>
        <v>36680</v>
      </c>
      <c r="I5" s="23">
        <v>1760006</v>
      </c>
      <c r="J5" s="32">
        <f>IF((I5-I4&lt;0), "0",I5-I4)</f>
        <v>729</v>
      </c>
      <c r="K5" s="33">
        <v>347</v>
      </c>
      <c r="L5" s="33">
        <v>808</v>
      </c>
    </row>
    <row r="6" spans="1:12" ht="45" customHeight="1" x14ac:dyDescent="0.25">
      <c r="A6" s="22">
        <v>44683</v>
      </c>
      <c r="B6" s="36"/>
      <c r="C6" s="34">
        <v>37941573</v>
      </c>
      <c r="D6" s="24">
        <f t="shared" si="0"/>
        <v>32623</v>
      </c>
      <c r="E6" s="34">
        <v>551151</v>
      </c>
      <c r="F6" s="24">
        <f t="shared" ref="F6:F19" si="1">IF((E6-E5&lt;0), "0",E6-E5)</f>
        <v>74</v>
      </c>
      <c r="G6" s="34">
        <v>115333127</v>
      </c>
      <c r="H6" s="24">
        <f t="shared" ref="H6:H35" si="2">IF((G6-G5&lt;0), "0",G6-G5)</f>
        <v>27179</v>
      </c>
      <c r="I6" s="23">
        <v>1760705</v>
      </c>
      <c r="J6" s="32">
        <f t="shared" ref="J6:J35" si="3">IF((I6-I5&lt;0), "0",I6-I5)</f>
        <v>699</v>
      </c>
      <c r="K6" s="33">
        <v>277</v>
      </c>
      <c r="L6" s="33">
        <v>730</v>
      </c>
    </row>
    <row r="7" spans="1:12" ht="45" customHeight="1" x14ac:dyDescent="0.25">
      <c r="A7" s="22">
        <v>44684</v>
      </c>
      <c r="B7" s="36"/>
      <c r="C7" s="34">
        <v>37974974</v>
      </c>
      <c r="D7" s="24">
        <f t="shared" si="0"/>
        <v>33401</v>
      </c>
      <c r="E7" s="34">
        <v>551224</v>
      </c>
      <c r="F7" s="24">
        <f t="shared" si="1"/>
        <v>73</v>
      </c>
      <c r="G7" s="34">
        <v>115364698</v>
      </c>
      <c r="H7" s="24">
        <f t="shared" si="2"/>
        <v>31571</v>
      </c>
      <c r="I7" s="23">
        <v>1761366</v>
      </c>
      <c r="J7" s="32">
        <f t="shared" si="3"/>
        <v>661</v>
      </c>
      <c r="K7" s="33">
        <v>166</v>
      </c>
      <c r="L7" s="33">
        <v>636</v>
      </c>
    </row>
    <row r="8" spans="1:12" ht="45" customHeight="1" x14ac:dyDescent="0.25">
      <c r="A8" s="22">
        <v>44685</v>
      </c>
      <c r="B8" s="36"/>
      <c r="C8" s="34">
        <v>38006454</v>
      </c>
      <c r="D8" s="24">
        <f t="shared" si="0"/>
        <v>31480</v>
      </c>
      <c r="E8" s="34">
        <v>551287</v>
      </c>
      <c r="F8" s="24">
        <f t="shared" si="1"/>
        <v>63</v>
      </c>
      <c r="G8" s="34">
        <v>115400573</v>
      </c>
      <c r="H8" s="24">
        <f t="shared" si="2"/>
        <v>35875</v>
      </c>
      <c r="I8" s="23">
        <v>1761972</v>
      </c>
      <c r="J8" s="32">
        <f t="shared" si="3"/>
        <v>606</v>
      </c>
      <c r="K8" s="33">
        <v>75</v>
      </c>
      <c r="L8" s="33">
        <v>285</v>
      </c>
    </row>
    <row r="9" spans="1:12" ht="45" customHeight="1" x14ac:dyDescent="0.25">
      <c r="A9" s="22">
        <v>44686</v>
      </c>
      <c r="B9" s="36"/>
      <c r="C9" s="34">
        <v>38037708</v>
      </c>
      <c r="D9" s="24">
        <f t="shared" si="0"/>
        <v>31254</v>
      </c>
      <c r="E9" s="34">
        <v>551345</v>
      </c>
      <c r="F9" s="24">
        <f t="shared" si="1"/>
        <v>58</v>
      </c>
      <c r="G9" s="34">
        <v>115444401</v>
      </c>
      <c r="H9" s="24">
        <f t="shared" si="2"/>
        <v>43828</v>
      </c>
      <c r="I9" s="23">
        <v>1762521</v>
      </c>
      <c r="J9" s="32">
        <f t="shared" si="3"/>
        <v>549</v>
      </c>
      <c r="K9" s="33">
        <v>76</v>
      </c>
      <c r="L9" s="33">
        <v>178</v>
      </c>
    </row>
    <row r="10" spans="1:12" ht="45" customHeight="1" x14ac:dyDescent="0.25">
      <c r="A10" s="22">
        <v>44687</v>
      </c>
      <c r="B10" s="36"/>
      <c r="C10" s="34">
        <v>38069775</v>
      </c>
      <c r="D10" s="24">
        <f t="shared" si="0"/>
        <v>32067</v>
      </c>
      <c r="E10" s="34">
        <v>551404</v>
      </c>
      <c r="F10" s="24">
        <f t="shared" si="1"/>
        <v>59</v>
      </c>
      <c r="G10" s="34">
        <v>115494198</v>
      </c>
      <c r="H10" s="24">
        <f t="shared" si="2"/>
        <v>49797</v>
      </c>
      <c r="I10" s="23">
        <v>1763098</v>
      </c>
      <c r="J10" s="32">
        <f t="shared" si="3"/>
        <v>577</v>
      </c>
      <c r="K10" s="33">
        <v>83</v>
      </c>
      <c r="L10" s="33">
        <v>238</v>
      </c>
    </row>
    <row r="11" spans="1:12" ht="45" customHeight="1" x14ac:dyDescent="0.25">
      <c r="A11" s="22">
        <v>44688</v>
      </c>
      <c r="B11" s="36"/>
      <c r="C11" s="34">
        <v>38100681</v>
      </c>
      <c r="D11" s="24">
        <f t="shared" si="0"/>
        <v>30906</v>
      </c>
      <c r="E11" s="34">
        <v>551461</v>
      </c>
      <c r="F11" s="24">
        <f t="shared" si="1"/>
        <v>57</v>
      </c>
      <c r="G11" s="34">
        <v>115542338</v>
      </c>
      <c r="H11" s="24">
        <f t="shared" si="2"/>
        <v>48140</v>
      </c>
      <c r="I11" s="23">
        <v>1763709</v>
      </c>
      <c r="J11" s="32">
        <f t="shared" si="3"/>
        <v>611</v>
      </c>
      <c r="K11" s="33">
        <v>83</v>
      </c>
      <c r="L11" s="33">
        <v>541</v>
      </c>
    </row>
    <row r="12" spans="1:12" ht="45" customHeight="1" x14ac:dyDescent="0.25">
      <c r="A12" s="22">
        <v>44689</v>
      </c>
      <c r="B12" s="36"/>
      <c r="C12" s="34">
        <v>38132324</v>
      </c>
      <c r="D12" s="24">
        <f t="shared" si="0"/>
        <v>31643</v>
      </c>
      <c r="E12" s="34">
        <v>551547</v>
      </c>
      <c r="F12" s="24">
        <f t="shared" si="1"/>
        <v>86</v>
      </c>
      <c r="G12" s="34">
        <v>115586635</v>
      </c>
      <c r="H12" s="24">
        <f t="shared" si="2"/>
        <v>44297</v>
      </c>
      <c r="I12" s="23">
        <v>1764334</v>
      </c>
      <c r="J12" s="32">
        <f t="shared" si="3"/>
        <v>625</v>
      </c>
      <c r="K12" s="33">
        <v>82</v>
      </c>
      <c r="L12" s="33">
        <v>508</v>
      </c>
    </row>
    <row r="13" spans="1:12" ht="45" customHeight="1" x14ac:dyDescent="0.25">
      <c r="A13" s="22">
        <v>44690</v>
      </c>
      <c r="B13" s="36"/>
      <c r="C13" s="34">
        <v>38163832</v>
      </c>
      <c r="D13" s="24">
        <f t="shared" si="0"/>
        <v>31508</v>
      </c>
      <c r="E13" s="34">
        <v>551611</v>
      </c>
      <c r="F13" s="24">
        <f t="shared" si="1"/>
        <v>64</v>
      </c>
      <c r="G13" s="34">
        <v>115634221</v>
      </c>
      <c r="H13" s="24">
        <f t="shared" si="2"/>
        <v>47586</v>
      </c>
      <c r="I13" s="23">
        <v>1764947</v>
      </c>
      <c r="J13" s="32">
        <f t="shared" si="3"/>
        <v>613</v>
      </c>
      <c r="K13" s="33">
        <v>58</v>
      </c>
      <c r="L13" s="33">
        <v>368</v>
      </c>
    </row>
    <row r="14" spans="1:12" ht="45" customHeight="1" x14ac:dyDescent="0.25">
      <c r="A14" s="22">
        <v>44691</v>
      </c>
      <c r="B14" s="36"/>
      <c r="C14" s="34">
        <v>38193632</v>
      </c>
      <c r="D14" s="24">
        <f t="shared" si="0"/>
        <v>29800</v>
      </c>
      <c r="E14" s="34">
        <v>551650</v>
      </c>
      <c r="F14" s="24">
        <f t="shared" si="1"/>
        <v>39</v>
      </c>
      <c r="G14" s="34">
        <v>115689924</v>
      </c>
      <c r="H14" s="24">
        <f t="shared" si="2"/>
        <v>55703</v>
      </c>
      <c r="I14" s="23">
        <v>1765494</v>
      </c>
      <c r="J14" s="32">
        <f t="shared" si="3"/>
        <v>547</v>
      </c>
      <c r="K14" s="33">
        <v>62</v>
      </c>
      <c r="L14" s="33">
        <v>75</v>
      </c>
    </row>
    <row r="15" spans="1:12" ht="45" customHeight="1" x14ac:dyDescent="0.25">
      <c r="A15" s="22">
        <v>44692</v>
      </c>
      <c r="B15" s="36"/>
      <c r="C15" s="34">
        <v>38225543</v>
      </c>
      <c r="D15" s="24">
        <f t="shared" si="0"/>
        <v>31911</v>
      </c>
      <c r="E15" s="34">
        <v>551695</v>
      </c>
      <c r="F15" s="24">
        <f t="shared" si="1"/>
        <v>45</v>
      </c>
      <c r="G15" s="34">
        <v>115754768</v>
      </c>
      <c r="H15" s="24">
        <f t="shared" si="2"/>
        <v>64844</v>
      </c>
      <c r="I15" s="23">
        <v>1766039</v>
      </c>
      <c r="J15" s="32">
        <f t="shared" si="3"/>
        <v>545</v>
      </c>
      <c r="K15" s="33">
        <v>58</v>
      </c>
      <c r="L15" s="33">
        <v>377</v>
      </c>
    </row>
    <row r="16" spans="1:12" ht="45" customHeight="1" x14ac:dyDescent="0.25">
      <c r="A16" s="22">
        <v>44693</v>
      </c>
      <c r="B16" s="36"/>
      <c r="C16" s="34">
        <v>38257542</v>
      </c>
      <c r="D16" s="24">
        <f t="shared" si="0"/>
        <v>31999</v>
      </c>
      <c r="E16" s="34">
        <v>551740</v>
      </c>
      <c r="F16" s="24">
        <f t="shared" si="1"/>
        <v>45</v>
      </c>
      <c r="G16" s="34">
        <v>115812901</v>
      </c>
      <c r="H16" s="24">
        <f t="shared" si="2"/>
        <v>58133</v>
      </c>
      <c r="I16" s="23">
        <v>1766599</v>
      </c>
      <c r="J16" s="32">
        <f t="shared" si="3"/>
        <v>560</v>
      </c>
      <c r="K16" s="33">
        <v>66</v>
      </c>
      <c r="L16" s="33">
        <v>78</v>
      </c>
    </row>
    <row r="17" spans="1:12" ht="45" customHeight="1" x14ac:dyDescent="0.25">
      <c r="A17" s="22">
        <v>44694</v>
      </c>
      <c r="B17" s="36"/>
      <c r="C17" s="34">
        <v>38289810</v>
      </c>
      <c r="D17" s="24">
        <f t="shared" si="0"/>
        <v>32268</v>
      </c>
      <c r="E17" s="34">
        <v>551805</v>
      </c>
      <c r="F17" s="24">
        <f t="shared" si="1"/>
        <v>65</v>
      </c>
      <c r="G17" s="34">
        <v>115861494</v>
      </c>
      <c r="H17" s="24">
        <f t="shared" si="2"/>
        <v>48593</v>
      </c>
      <c r="I17" s="23">
        <v>1767163</v>
      </c>
      <c r="J17" s="32">
        <f t="shared" si="3"/>
        <v>564</v>
      </c>
      <c r="K17" s="33">
        <v>92</v>
      </c>
      <c r="L17" s="33">
        <v>213</v>
      </c>
    </row>
    <row r="18" spans="1:12" ht="45" customHeight="1" x14ac:dyDescent="0.25">
      <c r="A18" s="22">
        <v>44695</v>
      </c>
      <c r="B18" s="36"/>
      <c r="C18" s="34">
        <v>38323222</v>
      </c>
      <c r="D18" s="24">
        <f t="shared" si="0"/>
        <v>33412</v>
      </c>
      <c r="E18" s="34">
        <v>551884</v>
      </c>
      <c r="F18" s="24">
        <f t="shared" si="1"/>
        <v>79</v>
      </c>
      <c r="G18" s="34">
        <v>115924079</v>
      </c>
      <c r="H18" s="24">
        <f t="shared" si="2"/>
        <v>62585</v>
      </c>
      <c r="I18" s="23">
        <v>1767764</v>
      </c>
      <c r="J18" s="32">
        <f t="shared" si="3"/>
        <v>601</v>
      </c>
      <c r="K18" s="33">
        <v>119</v>
      </c>
      <c r="L18" s="33">
        <v>580</v>
      </c>
    </row>
    <row r="19" spans="1:12" ht="45" customHeight="1" x14ac:dyDescent="0.25">
      <c r="A19" s="22">
        <v>44696</v>
      </c>
      <c r="B19" s="36"/>
      <c r="C19" s="34">
        <v>38353942</v>
      </c>
      <c r="D19" s="24">
        <f t="shared" si="0"/>
        <v>30720</v>
      </c>
      <c r="E19" s="34">
        <v>551945</v>
      </c>
      <c r="F19" s="24">
        <f t="shared" si="1"/>
        <v>61</v>
      </c>
      <c r="G19" s="34">
        <v>115969995</v>
      </c>
      <c r="H19" s="24">
        <f t="shared" si="2"/>
        <v>45916</v>
      </c>
      <c r="I19" s="23">
        <v>1768306</v>
      </c>
      <c r="J19" s="32">
        <f t="shared" si="3"/>
        <v>542</v>
      </c>
      <c r="K19" s="33">
        <v>67</v>
      </c>
      <c r="L19" s="33">
        <v>432</v>
      </c>
    </row>
    <row r="20" spans="1:12" ht="45" customHeight="1" x14ac:dyDescent="0.25">
      <c r="A20" s="22">
        <v>44697</v>
      </c>
      <c r="B20" s="36"/>
      <c r="C20" s="34">
        <v>38384621</v>
      </c>
      <c r="D20" s="24">
        <f t="shared" ref="D20:D35" si="4">IF((C20-C19&lt;0), "0",C20-C19)</f>
        <v>30679</v>
      </c>
      <c r="E20" s="34">
        <v>552002</v>
      </c>
      <c r="F20" s="24">
        <f t="shared" ref="F20:F35" si="5">IF((E20-E19&lt;0), "0",E20-E19)</f>
        <v>57</v>
      </c>
      <c r="G20" s="34">
        <v>116003538</v>
      </c>
      <c r="H20" s="24">
        <f t="shared" si="2"/>
        <v>33543</v>
      </c>
      <c r="I20" s="23">
        <v>1768864</v>
      </c>
      <c r="J20" s="32">
        <f t="shared" si="3"/>
        <v>558</v>
      </c>
      <c r="K20" s="33">
        <v>63</v>
      </c>
      <c r="L20" s="33">
        <v>112</v>
      </c>
    </row>
    <row r="21" spans="1:12" ht="45" customHeight="1" x14ac:dyDescent="0.25">
      <c r="A21" s="22">
        <v>44698</v>
      </c>
      <c r="B21" s="36"/>
      <c r="C21" s="34">
        <v>38412468</v>
      </c>
      <c r="D21" s="24">
        <f t="shared" si="4"/>
        <v>27847</v>
      </c>
      <c r="E21" s="34">
        <v>552038</v>
      </c>
      <c r="F21" s="24">
        <f t="shared" si="5"/>
        <v>36</v>
      </c>
      <c r="G21" s="34">
        <v>116034159</v>
      </c>
      <c r="H21" s="24">
        <f t="shared" si="2"/>
        <v>30621</v>
      </c>
      <c r="I21" s="23">
        <v>1769397</v>
      </c>
      <c r="J21" s="32">
        <f t="shared" si="3"/>
        <v>533</v>
      </c>
      <c r="K21" s="33">
        <v>90</v>
      </c>
      <c r="L21" s="33">
        <v>97</v>
      </c>
    </row>
    <row r="22" spans="1:12" ht="45" customHeight="1" x14ac:dyDescent="0.25">
      <c r="A22" s="22">
        <v>44699</v>
      </c>
      <c r="B22" s="36"/>
      <c r="C22" s="34">
        <v>38440399</v>
      </c>
      <c r="D22" s="24">
        <f t="shared" si="4"/>
        <v>27931</v>
      </c>
      <c r="E22" s="34">
        <v>552079</v>
      </c>
      <c r="F22" s="24">
        <f t="shared" si="5"/>
        <v>41</v>
      </c>
      <c r="G22" s="34">
        <v>116068634</v>
      </c>
      <c r="H22" s="24">
        <f t="shared" si="2"/>
        <v>34475</v>
      </c>
      <c r="I22" s="23">
        <v>1769808</v>
      </c>
      <c r="J22" s="32">
        <f t="shared" si="3"/>
        <v>411</v>
      </c>
      <c r="K22" s="33">
        <v>90</v>
      </c>
      <c r="L22" s="33">
        <v>100</v>
      </c>
    </row>
    <row r="23" spans="1:12" ht="45" customHeight="1" x14ac:dyDescent="0.25">
      <c r="A23" s="22">
        <v>44700</v>
      </c>
      <c r="B23" s="36"/>
      <c r="C23" s="34">
        <v>38470416</v>
      </c>
      <c r="D23" s="24">
        <f t="shared" si="4"/>
        <v>30017</v>
      </c>
      <c r="E23" s="34">
        <v>552128</v>
      </c>
      <c r="F23" s="24">
        <f t="shared" si="5"/>
        <v>49</v>
      </c>
      <c r="G23" s="34">
        <v>116107554</v>
      </c>
      <c r="H23" s="24">
        <f t="shared" si="2"/>
        <v>38920</v>
      </c>
      <c r="I23" s="23">
        <v>1770341</v>
      </c>
      <c r="J23" s="32">
        <f t="shared" si="3"/>
        <v>533</v>
      </c>
      <c r="K23" s="33">
        <v>88</v>
      </c>
      <c r="L23" s="33">
        <v>188</v>
      </c>
    </row>
    <row r="24" spans="1:12" ht="45" customHeight="1" x14ac:dyDescent="0.25">
      <c r="A24" s="22">
        <v>44701</v>
      </c>
      <c r="B24" s="36"/>
      <c r="C24" s="34">
        <v>38500539</v>
      </c>
      <c r="D24" s="24">
        <f t="shared" si="4"/>
        <v>30123</v>
      </c>
      <c r="E24" s="34">
        <v>552178</v>
      </c>
      <c r="F24" s="24">
        <f t="shared" si="5"/>
        <v>50</v>
      </c>
      <c r="G24" s="34">
        <v>116157421</v>
      </c>
      <c r="H24" s="24">
        <f t="shared" si="2"/>
        <v>49867</v>
      </c>
      <c r="I24" s="23">
        <v>1770899</v>
      </c>
      <c r="J24" s="32">
        <f t="shared" si="3"/>
        <v>558</v>
      </c>
      <c r="K24" s="33">
        <v>138</v>
      </c>
      <c r="L24" s="33">
        <v>350</v>
      </c>
    </row>
    <row r="25" spans="1:12" ht="45" customHeight="1" x14ac:dyDescent="0.25">
      <c r="A25" s="22">
        <v>44702</v>
      </c>
      <c r="B25" s="36"/>
      <c r="C25" s="34">
        <v>38531730</v>
      </c>
      <c r="D25" s="24">
        <f t="shared" si="4"/>
        <v>31191</v>
      </c>
      <c r="E25" s="34">
        <v>552232</v>
      </c>
      <c r="F25" s="24">
        <f t="shared" si="5"/>
        <v>54</v>
      </c>
      <c r="G25" s="34">
        <v>116209016</v>
      </c>
      <c r="H25" s="24">
        <f t="shared" si="2"/>
        <v>51595</v>
      </c>
      <c r="I25" s="23">
        <v>1771516</v>
      </c>
      <c r="J25" s="32">
        <f t="shared" si="3"/>
        <v>617</v>
      </c>
      <c r="K25" s="33">
        <v>195</v>
      </c>
      <c r="L25" s="33">
        <v>352</v>
      </c>
    </row>
    <row r="26" spans="1:12" ht="45" customHeight="1" x14ac:dyDescent="0.25">
      <c r="A26" s="22">
        <v>44703</v>
      </c>
      <c r="B26" s="36"/>
      <c r="C26" s="34">
        <v>38561343</v>
      </c>
      <c r="D26" s="24">
        <f t="shared" si="4"/>
        <v>29613</v>
      </c>
      <c r="E26" s="34">
        <v>552315</v>
      </c>
      <c r="F26" s="24">
        <f t="shared" si="5"/>
        <v>83</v>
      </c>
      <c r="G26" s="34">
        <v>116259372</v>
      </c>
      <c r="H26" s="24">
        <f t="shared" si="2"/>
        <v>50356</v>
      </c>
      <c r="I26" s="23">
        <v>1772117</v>
      </c>
      <c r="J26" s="32">
        <f t="shared" si="3"/>
        <v>601</v>
      </c>
      <c r="K26" s="33">
        <v>83</v>
      </c>
      <c r="L26" s="33">
        <v>508</v>
      </c>
    </row>
    <row r="27" spans="1:12" ht="45" customHeight="1" x14ac:dyDescent="0.25">
      <c r="A27" s="22">
        <v>44704</v>
      </c>
      <c r="B27" s="36"/>
      <c r="C27" s="34">
        <v>38591464</v>
      </c>
      <c r="D27" s="24">
        <f t="shared" si="4"/>
        <v>30121</v>
      </c>
      <c r="E27" s="34">
        <v>552371</v>
      </c>
      <c r="F27" s="24">
        <f t="shared" si="5"/>
        <v>56</v>
      </c>
      <c r="G27" s="34">
        <v>116307669</v>
      </c>
      <c r="H27" s="24">
        <f t="shared" si="2"/>
        <v>48297</v>
      </c>
      <c r="I27" s="23">
        <v>1772666</v>
      </c>
      <c r="J27" s="32">
        <f t="shared" si="3"/>
        <v>549</v>
      </c>
      <c r="K27" s="33">
        <v>68</v>
      </c>
      <c r="L27" s="33">
        <v>159</v>
      </c>
    </row>
    <row r="28" spans="1:12" ht="45" customHeight="1" x14ac:dyDescent="0.25">
      <c r="A28" s="22">
        <v>44705</v>
      </c>
      <c r="B28" s="36"/>
      <c r="C28" s="34">
        <v>38619165</v>
      </c>
      <c r="D28" s="24">
        <f t="shared" si="4"/>
        <v>27701</v>
      </c>
      <c r="E28" s="34">
        <v>552414</v>
      </c>
      <c r="F28" s="24">
        <f t="shared" si="5"/>
        <v>43</v>
      </c>
      <c r="G28" s="34">
        <v>116360152</v>
      </c>
      <c r="H28" s="24">
        <f t="shared" si="2"/>
        <v>52483</v>
      </c>
      <c r="I28" s="23">
        <v>1773186</v>
      </c>
      <c r="J28" s="32">
        <f t="shared" si="3"/>
        <v>520</v>
      </c>
      <c r="K28" s="33">
        <v>63</v>
      </c>
      <c r="L28" s="33">
        <v>119</v>
      </c>
    </row>
    <row r="29" spans="1:12" ht="45" customHeight="1" x14ac:dyDescent="0.25">
      <c r="A29" s="22">
        <v>44706</v>
      </c>
      <c r="B29" s="36"/>
      <c r="C29" s="34">
        <v>38646918</v>
      </c>
      <c r="D29" s="24">
        <f t="shared" si="4"/>
        <v>27753</v>
      </c>
      <c r="E29" s="34">
        <v>552455</v>
      </c>
      <c r="F29" s="24">
        <f t="shared" si="5"/>
        <v>41</v>
      </c>
      <c r="G29" s="34">
        <v>116411588</v>
      </c>
      <c r="H29" s="24">
        <f t="shared" si="2"/>
        <v>51436</v>
      </c>
      <c r="I29" s="23">
        <v>1773692</v>
      </c>
      <c r="J29" s="32">
        <f t="shared" si="3"/>
        <v>506</v>
      </c>
      <c r="K29" s="33">
        <v>58</v>
      </c>
      <c r="L29" s="33">
        <v>87</v>
      </c>
    </row>
    <row r="30" spans="1:12" ht="45" customHeight="1" x14ac:dyDescent="0.25">
      <c r="A30" s="22">
        <v>44707</v>
      </c>
      <c r="B30" s="36"/>
      <c r="C30" s="34">
        <v>38675162</v>
      </c>
      <c r="D30" s="24">
        <f t="shared" si="4"/>
        <v>28244</v>
      </c>
      <c r="E30" s="34">
        <v>552498</v>
      </c>
      <c r="F30" s="24">
        <f t="shared" si="5"/>
        <v>43</v>
      </c>
      <c r="G30" s="34">
        <v>116465237</v>
      </c>
      <c r="H30" s="24">
        <f t="shared" si="2"/>
        <v>53649</v>
      </c>
      <c r="I30" s="23">
        <v>1774210</v>
      </c>
      <c r="J30" s="32">
        <f t="shared" si="3"/>
        <v>518</v>
      </c>
      <c r="K30" s="33">
        <v>76</v>
      </c>
      <c r="L30" s="33">
        <v>105</v>
      </c>
    </row>
    <row r="31" spans="1:12" ht="45" customHeight="1" x14ac:dyDescent="0.25">
      <c r="A31" s="22">
        <v>44708</v>
      </c>
      <c r="B31" s="36"/>
      <c r="C31" s="34">
        <v>38705565</v>
      </c>
      <c r="D31" s="24">
        <f t="shared" si="4"/>
        <v>30403</v>
      </c>
      <c r="E31" s="34">
        <v>552565</v>
      </c>
      <c r="F31" s="24">
        <f t="shared" si="5"/>
        <v>67</v>
      </c>
      <c r="G31" s="34">
        <v>116524862</v>
      </c>
      <c r="H31" s="24">
        <f t="shared" si="2"/>
        <v>59625</v>
      </c>
      <c r="I31" s="23">
        <v>1774762</v>
      </c>
      <c r="J31" s="32">
        <f t="shared" si="3"/>
        <v>552</v>
      </c>
      <c r="K31" s="33">
        <v>98</v>
      </c>
      <c r="L31" s="33">
        <v>302</v>
      </c>
    </row>
    <row r="32" spans="1:12" ht="45" customHeight="1" x14ac:dyDescent="0.25">
      <c r="A32" s="22">
        <v>44709</v>
      </c>
      <c r="B32" s="36"/>
      <c r="C32" s="34">
        <v>38736528</v>
      </c>
      <c r="D32" s="24">
        <f t="shared" si="4"/>
        <v>30963</v>
      </c>
      <c r="E32" s="34">
        <v>552626</v>
      </c>
      <c r="F32" s="24">
        <f t="shared" si="5"/>
        <v>61</v>
      </c>
      <c r="G32" s="34">
        <v>116589573</v>
      </c>
      <c r="H32" s="24">
        <f t="shared" si="2"/>
        <v>64711</v>
      </c>
      <c r="I32" s="23">
        <v>1775344</v>
      </c>
      <c r="J32" s="32">
        <f t="shared" si="3"/>
        <v>582</v>
      </c>
      <c r="K32" s="33">
        <v>121</v>
      </c>
      <c r="L32" s="33">
        <v>499</v>
      </c>
    </row>
    <row r="33" spans="1:12" ht="45" customHeight="1" x14ac:dyDescent="0.25">
      <c r="A33" s="22">
        <v>44710</v>
      </c>
      <c r="C33" s="34">
        <v>38768145</v>
      </c>
      <c r="D33" s="24">
        <f t="shared" si="4"/>
        <v>31617</v>
      </c>
      <c r="E33" s="34">
        <v>552693</v>
      </c>
      <c r="F33" s="24">
        <f t="shared" si="5"/>
        <v>67</v>
      </c>
      <c r="G33" s="34">
        <v>116655955</v>
      </c>
      <c r="H33" s="24">
        <f t="shared" si="2"/>
        <v>66382</v>
      </c>
      <c r="I33" s="23">
        <v>1775966</v>
      </c>
      <c r="J33" s="32">
        <f t="shared" si="3"/>
        <v>622</v>
      </c>
      <c r="K33" s="33">
        <v>87</v>
      </c>
      <c r="L33" s="33">
        <v>580</v>
      </c>
    </row>
    <row r="34" spans="1:12" ht="45" customHeight="1" x14ac:dyDescent="0.25">
      <c r="A34" s="22">
        <v>44711</v>
      </c>
      <c r="C34" s="34">
        <v>38797233</v>
      </c>
      <c r="D34" s="24">
        <f t="shared" si="4"/>
        <v>29088</v>
      </c>
      <c r="E34" s="34">
        <v>552748</v>
      </c>
      <c r="F34" s="24">
        <f t="shared" si="5"/>
        <v>55</v>
      </c>
      <c r="G34" s="34">
        <v>116718502</v>
      </c>
      <c r="H34" s="24">
        <f t="shared" si="2"/>
        <v>62547</v>
      </c>
      <c r="I34" s="23">
        <v>1776533</v>
      </c>
      <c r="J34" s="32">
        <f t="shared" si="3"/>
        <v>567</v>
      </c>
      <c r="K34" s="33">
        <v>67</v>
      </c>
      <c r="L34" s="33">
        <v>153</v>
      </c>
    </row>
    <row r="35" spans="1:12" ht="45" customHeight="1" x14ac:dyDescent="0.25">
      <c r="A35" s="22">
        <v>44712</v>
      </c>
      <c r="C35" s="34">
        <v>38825287</v>
      </c>
      <c r="D35" s="24">
        <f t="shared" si="4"/>
        <v>28054</v>
      </c>
      <c r="E35" s="34">
        <v>552788</v>
      </c>
      <c r="F35" s="24">
        <f t="shared" si="5"/>
        <v>40</v>
      </c>
      <c r="G35" s="34">
        <v>116778955</v>
      </c>
      <c r="H35" s="24">
        <f t="shared" si="2"/>
        <v>60453</v>
      </c>
      <c r="I35" s="23">
        <v>1777055</v>
      </c>
      <c r="J35" s="32">
        <f t="shared" si="3"/>
        <v>522</v>
      </c>
      <c r="K35" s="33">
        <v>57</v>
      </c>
      <c r="L35" s="33">
        <v>116</v>
      </c>
    </row>
    <row r="39" spans="1:12" ht="15.75" customHeight="1" x14ac:dyDescent="0.25">
      <c r="C39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2023-02-16T02:51:21Z</dcterms:modified>
  <cp:category/>
  <cp:contentStatus/>
</cp:coreProperties>
</file>