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 activeTab="1"/>
  </bookViews>
  <sheets>
    <sheet name="TOTAL" sheetId="117" r:id="rId1"/>
    <sheet name="Shenzhen Daily" sheetId="119" r:id="rId2"/>
  </sheets>
  <calcPr calcId="152511"/>
</workbook>
</file>

<file path=xl/calcChain.xml><?xml version="1.0" encoding="utf-8"?>
<calcChain xmlns="http://schemas.openxmlformats.org/spreadsheetml/2006/main">
  <c r="H32" i="119" l="1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K2" i="117" l="1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<sst xmlns="http://schemas.openxmlformats.org/spreadsheetml/2006/main" count="53" uniqueCount="25">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</sst>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11" applyFont="1" applyBorder="1" applyAlignment="1">
      <alignment horizontal="center" vertical="center"/>
    </xf>
    <xf numFmtId="1" fontId="8" fillId="0" borderId="0" xfId="11" applyNumberFormat="1" applyFont="1" applyAlignment="1">
      <alignment horizontal="center" vertical="center"/>
    </xf>
    <xf numFmtId="0" fontId="7" fillId="0" borderId="0" xfId="11" applyFont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C2" sqref="C2:C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24</v>
      </c>
      <c r="B2" s="7">
        <v>1</v>
      </c>
      <c r="C2" s="8">
        <v>2</v>
      </c>
      <c r="D2" s="7">
        <v>2022</v>
      </c>
      <c r="E2" s="9">
        <v>13198.999999999389</v>
      </c>
      <c r="F2" s="32">
        <v>0.93</v>
      </c>
      <c r="G2" s="9">
        <v>1335</v>
      </c>
      <c r="H2" s="32">
        <v>4.3899999999999997</v>
      </c>
      <c r="I2" s="9">
        <v>267</v>
      </c>
      <c r="J2" s="32">
        <v>1.72</v>
      </c>
      <c r="K2" s="9">
        <f>'Shenzhen Daily'!I5</f>
        <v>0</v>
      </c>
      <c r="L2" s="9">
        <f>'Shenzhen Daily'!J5</f>
        <v>0</v>
      </c>
    </row>
    <row r="3" spans="1:12" ht="15" x14ac:dyDescent="0.25">
      <c r="A3" s="6" t="s">
        <v>24</v>
      </c>
      <c r="B3" s="7">
        <f>B2+1</f>
        <v>2</v>
      </c>
      <c r="C3" s="8">
        <v>2</v>
      </c>
      <c r="D3" s="7">
        <v>2022</v>
      </c>
      <c r="E3" s="9">
        <v>13381.0000000002</v>
      </c>
      <c r="F3" s="32">
        <v>0.93</v>
      </c>
      <c r="G3" s="9">
        <v>1332</v>
      </c>
      <c r="H3" s="32">
        <v>4.3899999999999997</v>
      </c>
      <c r="I3" s="9">
        <v>225</v>
      </c>
      <c r="J3" s="32">
        <v>1.72</v>
      </c>
      <c r="K3" s="9">
        <f>'Shenzhen Daily'!I6</f>
        <v>0</v>
      </c>
      <c r="L3" s="9">
        <f>'Shenzhen Daily'!J6</f>
        <v>0</v>
      </c>
    </row>
    <row r="4" spans="1:12" ht="15" x14ac:dyDescent="0.25">
      <c r="A4" s="6" t="s">
        <v>24</v>
      </c>
      <c r="B4" s="7">
        <f t="shared" ref="B4:B29" si="0">B3+1</f>
        <v>3</v>
      </c>
      <c r="C4" s="8">
        <v>2</v>
      </c>
      <c r="D4" s="7">
        <v>2022</v>
      </c>
      <c r="E4" s="9">
        <v>13388.000000000648</v>
      </c>
      <c r="F4" s="32">
        <v>0.93</v>
      </c>
      <c r="G4" s="9">
        <v>1400</v>
      </c>
      <c r="H4" s="32">
        <v>4.3899999999999997</v>
      </c>
      <c r="I4" s="9">
        <v>230</v>
      </c>
      <c r="J4" s="32">
        <v>1.72</v>
      </c>
      <c r="K4" s="9">
        <f>'Shenzhen Daily'!I7</f>
        <v>0</v>
      </c>
      <c r="L4" s="9">
        <f>'Shenzhen Daily'!J7</f>
        <v>0</v>
      </c>
    </row>
    <row r="5" spans="1:12" ht="15" x14ac:dyDescent="0.25">
      <c r="A5" s="6" t="s">
        <v>24</v>
      </c>
      <c r="B5" s="7">
        <f t="shared" si="0"/>
        <v>4</v>
      </c>
      <c r="C5" s="8">
        <v>2</v>
      </c>
      <c r="D5" s="7">
        <v>2022</v>
      </c>
      <c r="E5" s="9">
        <v>13371.99999999932</v>
      </c>
      <c r="F5" s="32">
        <v>0.93</v>
      </c>
      <c r="G5" s="9">
        <v>1341</v>
      </c>
      <c r="H5" s="32">
        <v>4.3899999999999997</v>
      </c>
      <c r="I5" s="9">
        <v>276</v>
      </c>
      <c r="J5" s="32">
        <v>1.72</v>
      </c>
      <c r="K5" s="9">
        <f>'Shenzhen Daily'!I8</f>
        <v>0</v>
      </c>
      <c r="L5" s="9">
        <f>'Shenzhen Daily'!J8</f>
        <v>0</v>
      </c>
    </row>
    <row r="6" spans="1:12" ht="15" x14ac:dyDescent="0.25">
      <c r="A6" s="6" t="s">
        <v>24</v>
      </c>
      <c r="B6" s="7">
        <f t="shared" si="0"/>
        <v>5</v>
      </c>
      <c r="C6" s="8">
        <v>2</v>
      </c>
      <c r="D6" s="7">
        <v>2022</v>
      </c>
      <c r="E6" s="9">
        <v>14925.999999999705</v>
      </c>
      <c r="F6" s="32">
        <v>0.93</v>
      </c>
      <c r="G6" s="9">
        <v>1423</v>
      </c>
      <c r="H6" s="32">
        <v>4.3899999999999997</v>
      </c>
      <c r="I6" s="9">
        <v>269</v>
      </c>
      <c r="J6" s="32">
        <v>1.72</v>
      </c>
      <c r="K6" s="9">
        <f>'Shenzhen Daily'!I9</f>
        <v>0</v>
      </c>
      <c r="L6" s="9">
        <f>'Shenzhen Daily'!J9</f>
        <v>0</v>
      </c>
    </row>
    <row r="7" spans="1:12" ht="15" x14ac:dyDescent="0.25">
      <c r="A7" s="6" t="s">
        <v>24</v>
      </c>
      <c r="B7" s="7">
        <f t="shared" si="0"/>
        <v>6</v>
      </c>
      <c r="C7" s="8">
        <v>2</v>
      </c>
      <c r="D7" s="7">
        <v>2022</v>
      </c>
      <c r="E7" s="9">
        <v>14391.999999999905</v>
      </c>
      <c r="F7" s="32">
        <v>0.93</v>
      </c>
      <c r="G7" s="9">
        <v>1274</v>
      </c>
      <c r="H7" s="32">
        <v>4.3899999999999997</v>
      </c>
      <c r="I7" s="9">
        <v>252</v>
      </c>
      <c r="J7" s="32">
        <v>1.72</v>
      </c>
      <c r="K7" s="9">
        <f>'Shenzhen Daily'!I10</f>
        <v>0</v>
      </c>
      <c r="L7" s="9">
        <f>'Shenzhen Daily'!J10</f>
        <v>0</v>
      </c>
    </row>
    <row r="8" spans="1:12" ht="15" x14ac:dyDescent="0.25">
      <c r="A8" s="6" t="s">
        <v>24</v>
      </c>
      <c r="B8" s="7">
        <f t="shared" si="0"/>
        <v>7</v>
      </c>
      <c r="C8" s="8">
        <v>2</v>
      </c>
      <c r="D8" s="7">
        <v>2022</v>
      </c>
      <c r="E8" s="9">
        <v>14766.000000000418</v>
      </c>
      <c r="F8" s="32">
        <v>0.93</v>
      </c>
      <c r="G8" s="9">
        <v>1383</v>
      </c>
      <c r="H8" s="32">
        <v>4.3899999999999997</v>
      </c>
      <c r="I8" s="9">
        <v>280</v>
      </c>
      <c r="J8" s="32">
        <v>1.72</v>
      </c>
      <c r="K8" s="9">
        <f>'Shenzhen Daily'!I11</f>
        <v>0</v>
      </c>
      <c r="L8" s="9">
        <f>'Shenzhen Daily'!J11</f>
        <v>0</v>
      </c>
    </row>
    <row r="9" spans="1:12" ht="15" x14ac:dyDescent="0.25">
      <c r="A9" s="6" t="s">
        <v>24</v>
      </c>
      <c r="B9" s="7">
        <f t="shared" si="0"/>
        <v>8</v>
      </c>
      <c r="C9" s="8">
        <v>2</v>
      </c>
      <c r="D9" s="7">
        <v>2022</v>
      </c>
      <c r="E9" s="9">
        <v>14747.999999999636</v>
      </c>
      <c r="F9" s="32">
        <v>0.93</v>
      </c>
      <c r="G9" s="9">
        <v>1034</v>
      </c>
      <c r="H9" s="32">
        <v>4.3899999999999997</v>
      </c>
      <c r="I9" s="9">
        <v>252</v>
      </c>
      <c r="J9" s="32">
        <v>1.72</v>
      </c>
      <c r="K9" s="9">
        <f>'Shenzhen Daily'!I12</f>
        <v>0</v>
      </c>
      <c r="L9" s="9">
        <f>'Shenzhen Daily'!J12</f>
        <v>0</v>
      </c>
    </row>
    <row r="10" spans="1:12" ht="15" x14ac:dyDescent="0.25">
      <c r="A10" s="6" t="s">
        <v>24</v>
      </c>
      <c r="B10" s="7">
        <f t="shared" si="0"/>
        <v>9</v>
      </c>
      <c r="C10" s="8">
        <v>2</v>
      </c>
      <c r="D10" s="7">
        <v>2022</v>
      </c>
      <c r="E10" s="9">
        <v>14932.000000000835</v>
      </c>
      <c r="F10" s="32">
        <v>0.93</v>
      </c>
      <c r="G10" s="9">
        <v>1406</v>
      </c>
      <c r="H10" s="32">
        <v>4.3899999999999997</v>
      </c>
      <c r="I10" s="9">
        <v>297</v>
      </c>
      <c r="J10" s="32">
        <v>1.72</v>
      </c>
      <c r="K10" s="9">
        <f>'Shenzhen Daily'!I13</f>
        <v>0</v>
      </c>
      <c r="L10" s="9">
        <f>'Shenzhen Daily'!J13</f>
        <v>0</v>
      </c>
    </row>
    <row r="11" spans="1:12" ht="15" x14ac:dyDescent="0.25">
      <c r="A11" s="6" t="s">
        <v>24</v>
      </c>
      <c r="B11" s="7">
        <f t="shared" si="0"/>
        <v>10</v>
      </c>
      <c r="C11" s="8">
        <v>2</v>
      </c>
      <c r="D11" s="7">
        <v>2022</v>
      </c>
      <c r="E11" s="9">
        <v>16232.999999998538</v>
      </c>
      <c r="F11" s="32">
        <v>0.93</v>
      </c>
      <c r="G11" s="9">
        <v>1455</v>
      </c>
      <c r="H11" s="32">
        <v>4.3899999999999997</v>
      </c>
      <c r="I11" s="9">
        <v>349</v>
      </c>
      <c r="J11" s="32">
        <v>1.72</v>
      </c>
      <c r="K11" s="9">
        <f>'Shenzhen Daily'!I14</f>
        <v>0</v>
      </c>
      <c r="L11" s="9">
        <f>'Shenzhen Daily'!J14</f>
        <v>0</v>
      </c>
    </row>
    <row r="12" spans="1:12" ht="15" x14ac:dyDescent="0.25">
      <c r="A12" s="6" t="s">
        <v>24</v>
      </c>
      <c r="B12" s="7">
        <f t="shared" si="0"/>
        <v>11</v>
      </c>
      <c r="C12" s="8">
        <v>2</v>
      </c>
      <c r="D12" s="7">
        <v>2022</v>
      </c>
      <c r="E12" s="9">
        <v>16440.000000001201</v>
      </c>
      <c r="F12" s="32">
        <v>0.93</v>
      </c>
      <c r="G12" s="9">
        <v>1285</v>
      </c>
      <c r="H12" s="32">
        <v>4.3899999999999997</v>
      </c>
      <c r="I12" s="9">
        <v>296</v>
      </c>
      <c r="J12" s="32">
        <v>1.72</v>
      </c>
      <c r="K12" s="9">
        <f>'Shenzhen Daily'!I15</f>
        <v>0</v>
      </c>
      <c r="L12" s="9">
        <f>'Shenzhen Daily'!J15</f>
        <v>0</v>
      </c>
    </row>
    <row r="13" spans="1:12" ht="15" x14ac:dyDescent="0.25">
      <c r="A13" s="6" t="s">
        <v>24</v>
      </c>
      <c r="B13" s="7">
        <f t="shared" si="0"/>
        <v>12</v>
      </c>
      <c r="C13" s="8">
        <v>2</v>
      </c>
      <c r="D13" s="7">
        <v>2022</v>
      </c>
      <c r="E13" s="9">
        <v>17138.999999999352</v>
      </c>
      <c r="F13" s="32">
        <v>0.93</v>
      </c>
      <c r="G13" s="9">
        <v>1334</v>
      </c>
      <c r="H13" s="32">
        <v>4.3899999999999997</v>
      </c>
      <c r="I13" s="9">
        <v>276</v>
      </c>
      <c r="J13" s="32">
        <v>1.72</v>
      </c>
      <c r="K13" s="9">
        <f>'Shenzhen Daily'!I16</f>
        <v>0</v>
      </c>
      <c r="L13" s="9">
        <f>'Shenzhen Daily'!J16</f>
        <v>0</v>
      </c>
    </row>
    <row r="14" spans="1:12" ht="15" x14ac:dyDescent="0.25">
      <c r="A14" s="6" t="s">
        <v>24</v>
      </c>
      <c r="B14" s="7">
        <f t="shared" si="0"/>
        <v>13</v>
      </c>
      <c r="C14" s="8">
        <v>2</v>
      </c>
      <c r="D14" s="7">
        <v>2022</v>
      </c>
      <c r="E14" s="9">
        <v>15170.000000000959</v>
      </c>
      <c r="F14" s="32">
        <v>0.93</v>
      </c>
      <c r="G14" s="9">
        <v>1294</v>
      </c>
      <c r="H14" s="32">
        <v>4.3899999999999997</v>
      </c>
      <c r="I14" s="9">
        <v>262</v>
      </c>
      <c r="J14" s="32">
        <v>1.72</v>
      </c>
      <c r="K14" s="9">
        <f>'Shenzhen Daily'!I17</f>
        <v>0</v>
      </c>
      <c r="L14" s="9">
        <f>'Shenzhen Daily'!J17</f>
        <v>0</v>
      </c>
    </row>
    <row r="15" spans="1:12" ht="15" x14ac:dyDescent="0.25">
      <c r="A15" s="6" t="s">
        <v>24</v>
      </c>
      <c r="B15" s="7">
        <f t="shared" si="0"/>
        <v>14</v>
      </c>
      <c r="C15" s="8">
        <v>2</v>
      </c>
      <c r="D15" s="7">
        <v>2022</v>
      </c>
      <c r="E15" s="9">
        <v>16498.999999999898</v>
      </c>
      <c r="F15" s="32">
        <v>0.93</v>
      </c>
      <c r="G15" s="9">
        <v>1407</v>
      </c>
      <c r="H15" s="32">
        <v>4.3899999999999997</v>
      </c>
      <c r="I15" s="9">
        <v>289</v>
      </c>
      <c r="J15" s="32">
        <v>1.72</v>
      </c>
      <c r="K15" s="9">
        <f>'Shenzhen Daily'!I18</f>
        <v>0</v>
      </c>
      <c r="L15" s="9">
        <f>'Shenzhen Daily'!J18</f>
        <v>0</v>
      </c>
    </row>
    <row r="16" spans="1:12" ht="15" x14ac:dyDescent="0.25">
      <c r="A16" s="6" t="s">
        <v>24</v>
      </c>
      <c r="B16" s="7">
        <f t="shared" si="0"/>
        <v>15</v>
      </c>
      <c r="C16" s="8">
        <v>2</v>
      </c>
      <c r="D16" s="7">
        <v>2022</v>
      </c>
      <c r="E16" s="9">
        <v>16883.999999999265</v>
      </c>
      <c r="F16" s="32">
        <v>0.93</v>
      </c>
      <c r="G16" s="9">
        <v>1443</v>
      </c>
      <c r="H16" s="32">
        <v>4.3899999999999997</v>
      </c>
      <c r="I16" s="9">
        <v>315</v>
      </c>
      <c r="J16" s="32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24</v>
      </c>
      <c r="B17" s="7">
        <f t="shared" si="0"/>
        <v>16</v>
      </c>
      <c r="C17" s="8">
        <v>2</v>
      </c>
      <c r="D17" s="7">
        <v>2022</v>
      </c>
      <c r="E17" s="9">
        <v>16585.000000000698</v>
      </c>
      <c r="F17" s="32">
        <v>0.93</v>
      </c>
      <c r="G17" s="9">
        <v>1401</v>
      </c>
      <c r="H17" s="32">
        <v>4.3899999999999997</v>
      </c>
      <c r="I17" s="9">
        <v>315</v>
      </c>
      <c r="J17" s="32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24</v>
      </c>
      <c r="B18" s="7">
        <f t="shared" si="0"/>
        <v>17</v>
      </c>
      <c r="C18" s="8">
        <v>2</v>
      </c>
      <c r="D18" s="7">
        <v>2022</v>
      </c>
      <c r="E18" s="9">
        <v>16266.000000000371</v>
      </c>
      <c r="F18" s="32">
        <v>0.93</v>
      </c>
      <c r="G18" s="9">
        <v>1424</v>
      </c>
      <c r="H18" s="32">
        <v>4.3899999999999997</v>
      </c>
      <c r="I18" s="9">
        <v>296</v>
      </c>
      <c r="J18" s="32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24</v>
      </c>
      <c r="B19" s="7">
        <f t="shared" si="0"/>
        <v>18</v>
      </c>
      <c r="C19" s="8">
        <v>2</v>
      </c>
      <c r="D19" s="7">
        <v>2022</v>
      </c>
      <c r="E19" s="9">
        <v>15669.999999999447</v>
      </c>
      <c r="F19" s="32">
        <v>0.93</v>
      </c>
      <c r="G19" s="9">
        <v>1415</v>
      </c>
      <c r="H19" s="32">
        <v>4.3899999999999997</v>
      </c>
      <c r="I19" s="9">
        <v>315</v>
      </c>
      <c r="J19" s="32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24</v>
      </c>
      <c r="B20" s="7">
        <f t="shared" si="0"/>
        <v>19</v>
      </c>
      <c r="C20" s="8">
        <v>2</v>
      </c>
      <c r="D20" s="7">
        <v>2022</v>
      </c>
      <c r="E20" s="9">
        <v>15482.999999999265</v>
      </c>
      <c r="F20" s="32">
        <v>0.93</v>
      </c>
      <c r="G20" s="9">
        <v>1571</v>
      </c>
      <c r="H20" s="32">
        <v>4.3899999999999997</v>
      </c>
      <c r="I20" s="9">
        <v>286</v>
      </c>
      <c r="J20" s="32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24</v>
      </c>
      <c r="B21" s="7">
        <f t="shared" si="0"/>
        <v>20</v>
      </c>
      <c r="C21" s="8">
        <v>2</v>
      </c>
      <c r="D21" s="7">
        <v>2022</v>
      </c>
      <c r="E21" s="9">
        <v>14325.999999999705</v>
      </c>
      <c r="F21" s="32">
        <v>0.93</v>
      </c>
      <c r="G21" s="9">
        <v>1700</v>
      </c>
      <c r="H21" s="32">
        <v>4.3899999999999997</v>
      </c>
      <c r="I21" s="9">
        <v>302</v>
      </c>
      <c r="J21" s="32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24</v>
      </c>
      <c r="B22" s="7">
        <f t="shared" si="0"/>
        <v>21</v>
      </c>
      <c r="C22" s="8">
        <v>2</v>
      </c>
      <c r="D22" s="7">
        <v>2022</v>
      </c>
      <c r="E22" s="9">
        <v>14284.000000001039</v>
      </c>
      <c r="F22" s="32">
        <v>0.93</v>
      </c>
      <c r="G22" s="9">
        <v>1777</v>
      </c>
      <c r="H22" s="32">
        <v>4.3899999999999997</v>
      </c>
      <c r="I22" s="9">
        <v>305</v>
      </c>
      <c r="J22" s="32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24</v>
      </c>
      <c r="B23" s="7">
        <f t="shared" si="0"/>
        <v>22</v>
      </c>
      <c r="C23" s="8">
        <v>2</v>
      </c>
      <c r="D23" s="7">
        <v>2022</v>
      </c>
      <c r="E23" s="9">
        <v>14894.99999999922</v>
      </c>
      <c r="F23" s="32">
        <v>0.93</v>
      </c>
      <c r="G23" s="9">
        <v>1858</v>
      </c>
      <c r="H23" s="32">
        <v>4.3899999999999997</v>
      </c>
      <c r="I23" s="9">
        <v>275</v>
      </c>
      <c r="J23" s="32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24</v>
      </c>
      <c r="B24" s="7">
        <f t="shared" si="0"/>
        <v>23</v>
      </c>
      <c r="C24" s="8">
        <v>2</v>
      </c>
      <c r="D24" s="7">
        <v>2022</v>
      </c>
      <c r="E24" s="9">
        <v>14854.000000001088</v>
      </c>
      <c r="F24" s="32">
        <v>0.93</v>
      </c>
      <c r="G24" s="9">
        <v>1886</v>
      </c>
      <c r="H24" s="32">
        <v>4.3899999999999997</v>
      </c>
      <c r="I24" s="9">
        <v>318</v>
      </c>
      <c r="J24" s="32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24</v>
      </c>
      <c r="B25" s="7">
        <f t="shared" si="0"/>
        <v>24</v>
      </c>
      <c r="C25" s="8">
        <v>2</v>
      </c>
      <c r="D25" s="7">
        <v>2022</v>
      </c>
      <c r="E25" s="9">
        <v>15394.999999999278</v>
      </c>
      <c r="F25" s="32">
        <v>0.93</v>
      </c>
      <c r="G25" s="9">
        <v>1854</v>
      </c>
      <c r="H25" s="32">
        <v>4.3899999999999997</v>
      </c>
      <c r="I25" s="9">
        <v>287</v>
      </c>
      <c r="J25" s="32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24</v>
      </c>
      <c r="B26" s="7">
        <f>B25+1</f>
        <v>25</v>
      </c>
      <c r="C26" s="8">
        <v>2</v>
      </c>
      <c r="D26" s="7">
        <v>2022</v>
      </c>
      <c r="E26" s="9">
        <v>14831.000000000518</v>
      </c>
      <c r="F26" s="32">
        <v>0.93</v>
      </c>
      <c r="G26" s="9">
        <v>1641</v>
      </c>
      <c r="H26" s="32">
        <v>4.3899999999999997</v>
      </c>
      <c r="I26" s="9">
        <v>295</v>
      </c>
      <c r="J26" s="32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24</v>
      </c>
      <c r="B27" s="7">
        <f t="shared" si="0"/>
        <v>26</v>
      </c>
      <c r="C27" s="8">
        <v>2</v>
      </c>
      <c r="D27" s="7">
        <v>2022</v>
      </c>
      <c r="E27" s="9">
        <v>16339.999999999203</v>
      </c>
      <c r="F27" s="32">
        <v>0.93</v>
      </c>
      <c r="G27" s="9">
        <v>1384</v>
      </c>
      <c r="H27" s="32">
        <v>4.3899999999999997</v>
      </c>
      <c r="I27" s="9">
        <v>323</v>
      </c>
      <c r="J27" s="32">
        <v>1.72</v>
      </c>
      <c r="K27" s="9">
        <f>'Shenzhen Daily'!I30</f>
        <v>0</v>
      </c>
      <c r="L27" s="9">
        <f>'Shenzhen Daily'!J30</f>
        <v>0</v>
      </c>
    </row>
    <row r="28" spans="1:12" ht="15" x14ac:dyDescent="0.25">
      <c r="A28" s="6" t="s">
        <v>24</v>
      </c>
      <c r="B28" s="7">
        <f t="shared" si="0"/>
        <v>27</v>
      </c>
      <c r="C28" s="8">
        <v>2</v>
      </c>
      <c r="D28" s="7">
        <v>2022</v>
      </c>
      <c r="E28" s="9">
        <v>13610.000000001015</v>
      </c>
      <c r="F28" s="32">
        <v>0.93</v>
      </c>
      <c r="G28" s="9">
        <v>1291</v>
      </c>
      <c r="H28" s="32">
        <v>4.3899999999999997</v>
      </c>
      <c r="I28" s="9">
        <v>259</v>
      </c>
      <c r="J28" s="32">
        <v>1.72</v>
      </c>
      <c r="K28" s="9">
        <f>'Shenzhen Daily'!I31</f>
        <v>0</v>
      </c>
      <c r="L28" s="9">
        <f>'Shenzhen Daily'!J31</f>
        <v>0</v>
      </c>
    </row>
    <row r="29" spans="1:12" ht="15" x14ac:dyDescent="0.25">
      <c r="A29" s="6" t="s">
        <v>24</v>
      </c>
      <c r="B29" s="7">
        <f t="shared" si="0"/>
        <v>28</v>
      </c>
      <c r="C29" s="8">
        <v>2</v>
      </c>
      <c r="D29" s="7">
        <v>2022</v>
      </c>
      <c r="E29" s="9">
        <v>14435.999999999467</v>
      </c>
      <c r="F29" s="32">
        <v>0.93</v>
      </c>
      <c r="G29" s="9">
        <v>1241</v>
      </c>
      <c r="H29" s="32">
        <v>4.3899999999999997</v>
      </c>
      <c r="I29" s="9">
        <v>256</v>
      </c>
      <c r="J29" s="32">
        <v>1.72</v>
      </c>
      <c r="K29" s="9">
        <f>'Shenzhen Daily'!I32</f>
        <v>0</v>
      </c>
      <c r="L29" s="9">
        <f>'Shenzhen Daily'!J32</f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2"/>
  <sheetViews>
    <sheetView tabSelected="1" topLeftCell="A4" zoomScale="85" zoomScaleNormal="85" workbookViewId="0">
      <pane xSplit="1" topLeftCell="B1" activePane="topRight" state="frozen"/>
      <selection pane="topRight" activeCell="L12" sqref="L12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6" width="14.85546875" style="29" customWidth="1"/>
    <col min="7" max="7" width="8.85546875" style="13" customWidth="1"/>
    <col min="8" max="8" width="12.5703125" style="13" customWidth="1"/>
    <col min="9" max="10" width="13" style="31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2">
      <c r="A2" s="14" t="s">
        <v>10</v>
      </c>
      <c r="B2" s="36"/>
      <c r="C2" s="38" t="s">
        <v>20</v>
      </c>
      <c r="D2" s="39"/>
      <c r="E2" s="40" t="s">
        <v>21</v>
      </c>
      <c r="F2" s="40"/>
      <c r="G2" s="41" t="s">
        <v>11</v>
      </c>
      <c r="H2" s="42"/>
      <c r="I2" s="15"/>
      <c r="J2" s="15"/>
    </row>
    <row r="3" spans="1:10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3" customFormat="1" ht="35.25" customHeight="1" x14ac:dyDescent="0.15">
      <c r="A4" s="22">
        <v>44592</v>
      </c>
      <c r="B4" s="36"/>
      <c r="C4" s="33">
        <v>112141</v>
      </c>
      <c r="D4" s="34"/>
      <c r="E4" s="33">
        <v>1511</v>
      </c>
      <c r="F4" s="35"/>
      <c r="G4" s="33">
        <v>291</v>
      </c>
      <c r="I4" s="24"/>
      <c r="J4" s="24"/>
    </row>
    <row r="5" spans="1:10" ht="33" customHeight="1" x14ac:dyDescent="0.15">
      <c r="A5" s="25">
        <v>44593</v>
      </c>
      <c r="B5" s="36"/>
      <c r="C5" s="26">
        <v>13198.999999999389</v>
      </c>
      <c r="D5" s="27" t="str">
        <f t="shared" ref="D5:D22" si="0">IF((C5-C4&lt;0), "0",C5-C4)</f>
        <v>0</v>
      </c>
      <c r="E5" s="26">
        <v>1335</v>
      </c>
      <c r="F5" s="27" t="str">
        <f>IF((E5-E4&lt;0), "0",E5-E4)</f>
        <v>0</v>
      </c>
      <c r="G5" s="26">
        <v>267</v>
      </c>
      <c r="H5" s="27" t="str">
        <f>IF((G5-G4&lt;0), "0",G5-G4)</f>
        <v>0</v>
      </c>
      <c r="I5" s="28"/>
      <c r="J5" s="28"/>
    </row>
    <row r="6" spans="1:10" ht="45" customHeight="1" x14ac:dyDescent="0.15">
      <c r="A6" s="25">
        <v>44594</v>
      </c>
      <c r="B6" s="36"/>
      <c r="C6" s="26">
        <v>13381.0000000002</v>
      </c>
      <c r="D6" s="27">
        <f t="shared" si="0"/>
        <v>182.00000000081127</v>
      </c>
      <c r="E6" s="26">
        <v>1332</v>
      </c>
      <c r="F6" s="27" t="str">
        <f t="shared" ref="F6:F32" si="1">IF((E6-E5&lt;0), "0",E6-E5)</f>
        <v>0</v>
      </c>
      <c r="G6" s="26">
        <v>225</v>
      </c>
      <c r="H6" s="27" t="str">
        <f t="shared" ref="H6:H32" si="2">IF((G6-G5&lt;0), "0",G6-G5)</f>
        <v>0</v>
      </c>
      <c r="I6" s="12"/>
      <c r="J6" s="12"/>
    </row>
    <row r="7" spans="1:10" ht="45" customHeight="1" x14ac:dyDescent="0.15">
      <c r="A7" s="25">
        <v>44595</v>
      </c>
      <c r="B7" s="36"/>
      <c r="C7" s="26">
        <v>13388.000000000648</v>
      </c>
      <c r="D7" s="27">
        <f t="shared" si="0"/>
        <v>7.0000000004474714</v>
      </c>
      <c r="E7" s="26">
        <v>1400</v>
      </c>
      <c r="F7" s="27">
        <f t="shared" si="1"/>
        <v>68</v>
      </c>
      <c r="G7" s="26">
        <v>230</v>
      </c>
      <c r="H7" s="27">
        <f t="shared" si="2"/>
        <v>5</v>
      </c>
      <c r="I7" s="12"/>
      <c r="J7" s="12"/>
    </row>
    <row r="8" spans="1:10" ht="45" customHeight="1" x14ac:dyDescent="0.15">
      <c r="A8" s="25">
        <v>44596</v>
      </c>
      <c r="B8" s="36"/>
      <c r="C8" s="26">
        <v>13371.99999999932</v>
      </c>
      <c r="D8" s="27" t="str">
        <f t="shared" si="0"/>
        <v>0</v>
      </c>
      <c r="E8" s="26">
        <v>1341</v>
      </c>
      <c r="F8" s="27" t="str">
        <f t="shared" si="1"/>
        <v>0</v>
      </c>
      <c r="G8" s="26">
        <v>276</v>
      </c>
      <c r="H8" s="27">
        <f t="shared" si="2"/>
        <v>46</v>
      </c>
      <c r="I8" s="12"/>
      <c r="J8" s="12"/>
    </row>
    <row r="9" spans="1:10" ht="45" customHeight="1" x14ac:dyDescent="0.15">
      <c r="A9" s="25">
        <v>44597</v>
      </c>
      <c r="B9" s="36"/>
      <c r="C9" s="26">
        <v>14925.999999999705</v>
      </c>
      <c r="D9" s="27">
        <f t="shared" si="0"/>
        <v>1554.0000000003856</v>
      </c>
      <c r="E9" s="26">
        <v>1423</v>
      </c>
      <c r="F9" s="27">
        <f t="shared" si="1"/>
        <v>82</v>
      </c>
      <c r="G9" s="26">
        <v>269</v>
      </c>
      <c r="H9" s="27" t="str">
        <f t="shared" si="2"/>
        <v>0</v>
      </c>
      <c r="I9" s="12"/>
      <c r="J9" s="12"/>
    </row>
    <row r="10" spans="1:10" ht="45" customHeight="1" x14ac:dyDescent="0.15">
      <c r="A10" s="25">
        <v>44598</v>
      </c>
      <c r="B10" s="36"/>
      <c r="C10" s="26">
        <v>14391.999999999905</v>
      </c>
      <c r="D10" s="27" t="str">
        <f t="shared" si="0"/>
        <v>0</v>
      </c>
      <c r="E10" s="26">
        <v>1274</v>
      </c>
      <c r="F10" s="27" t="str">
        <f t="shared" si="1"/>
        <v>0</v>
      </c>
      <c r="G10" s="26">
        <v>252</v>
      </c>
      <c r="H10" s="27" t="str">
        <f t="shared" si="2"/>
        <v>0</v>
      </c>
      <c r="I10" s="12"/>
      <c r="J10" s="12"/>
    </row>
    <row r="11" spans="1:10" ht="45" customHeight="1" x14ac:dyDescent="0.15">
      <c r="A11" s="25">
        <v>44599</v>
      </c>
      <c r="B11" s="36"/>
      <c r="C11" s="26">
        <v>14766.000000000418</v>
      </c>
      <c r="D11" s="27">
        <f t="shared" si="0"/>
        <v>374.00000000051296</v>
      </c>
      <c r="E11" s="26">
        <v>1383</v>
      </c>
      <c r="F11" s="27">
        <f t="shared" si="1"/>
        <v>109</v>
      </c>
      <c r="G11" s="26">
        <v>280</v>
      </c>
      <c r="H11" s="27">
        <f t="shared" si="2"/>
        <v>28</v>
      </c>
      <c r="I11" s="12"/>
      <c r="J11" s="12"/>
    </row>
    <row r="12" spans="1:10" ht="45" customHeight="1" x14ac:dyDescent="0.15">
      <c r="A12" s="25">
        <v>44600</v>
      </c>
      <c r="B12" s="36"/>
      <c r="C12" s="26">
        <v>14747.999999999636</v>
      </c>
      <c r="D12" s="27" t="str">
        <f t="shared" si="0"/>
        <v>0</v>
      </c>
      <c r="E12" s="26">
        <v>1034</v>
      </c>
      <c r="F12" s="27" t="str">
        <f t="shared" si="1"/>
        <v>0</v>
      </c>
      <c r="G12" s="26">
        <v>252</v>
      </c>
      <c r="H12" s="27" t="str">
        <f t="shared" si="2"/>
        <v>0</v>
      </c>
      <c r="I12" s="12"/>
      <c r="J12" s="12"/>
    </row>
    <row r="13" spans="1:10" ht="45" customHeight="1" x14ac:dyDescent="0.15">
      <c r="A13" s="25">
        <v>44601</v>
      </c>
      <c r="B13" s="36"/>
      <c r="C13" s="26">
        <v>14932.000000000835</v>
      </c>
      <c r="D13" s="27">
        <f t="shared" si="0"/>
        <v>184.00000000119871</v>
      </c>
      <c r="E13" s="26">
        <v>1406</v>
      </c>
      <c r="F13" s="27">
        <f t="shared" si="1"/>
        <v>372</v>
      </c>
      <c r="G13" s="26">
        <v>297</v>
      </c>
      <c r="H13" s="27">
        <f t="shared" si="2"/>
        <v>45</v>
      </c>
      <c r="I13" s="12"/>
      <c r="J13" s="12"/>
    </row>
    <row r="14" spans="1:10" ht="45" customHeight="1" x14ac:dyDescent="0.15">
      <c r="A14" s="25">
        <v>44602</v>
      </c>
      <c r="B14" s="36"/>
      <c r="C14" s="26">
        <v>16232.999999998538</v>
      </c>
      <c r="D14" s="27">
        <f t="shared" si="0"/>
        <v>1300.9999999977026</v>
      </c>
      <c r="E14" s="26">
        <v>1455</v>
      </c>
      <c r="F14" s="27">
        <f t="shared" si="1"/>
        <v>49</v>
      </c>
      <c r="G14" s="26">
        <v>349</v>
      </c>
      <c r="H14" s="27">
        <f t="shared" si="2"/>
        <v>52</v>
      </c>
      <c r="I14" s="12"/>
      <c r="J14" s="12"/>
    </row>
    <row r="15" spans="1:10" ht="45" customHeight="1" x14ac:dyDescent="0.15">
      <c r="A15" s="25">
        <v>44603</v>
      </c>
      <c r="B15" s="36"/>
      <c r="C15" s="26">
        <v>16440.000000001201</v>
      </c>
      <c r="D15" s="27">
        <f t="shared" si="0"/>
        <v>207.000000002663</v>
      </c>
      <c r="E15" s="26">
        <v>1285</v>
      </c>
      <c r="F15" s="27" t="str">
        <f t="shared" si="1"/>
        <v>0</v>
      </c>
      <c r="G15" s="26">
        <v>296</v>
      </c>
      <c r="H15" s="27" t="str">
        <f t="shared" si="2"/>
        <v>0</v>
      </c>
      <c r="I15" s="12"/>
      <c r="J15" s="12"/>
    </row>
    <row r="16" spans="1:10" ht="45" customHeight="1" x14ac:dyDescent="0.15">
      <c r="A16" s="25">
        <v>44604</v>
      </c>
      <c r="B16" s="36"/>
      <c r="C16" s="26">
        <v>17138.999999999352</v>
      </c>
      <c r="D16" s="27">
        <f t="shared" si="0"/>
        <v>698.99999999815191</v>
      </c>
      <c r="E16" s="26">
        <v>1334</v>
      </c>
      <c r="F16" s="27">
        <f t="shared" si="1"/>
        <v>49</v>
      </c>
      <c r="G16" s="26">
        <v>276</v>
      </c>
      <c r="H16" s="27" t="str">
        <f t="shared" si="2"/>
        <v>0</v>
      </c>
      <c r="I16" s="12"/>
      <c r="J16" s="12"/>
    </row>
    <row r="17" spans="1:10" ht="45" customHeight="1" x14ac:dyDescent="0.15">
      <c r="A17" s="25">
        <v>44605</v>
      </c>
      <c r="B17" s="36"/>
      <c r="C17" s="26">
        <v>15170.000000000959</v>
      </c>
      <c r="D17" s="27" t="str">
        <f t="shared" si="0"/>
        <v>0</v>
      </c>
      <c r="E17" s="26">
        <v>1294</v>
      </c>
      <c r="F17" s="27" t="str">
        <f t="shared" si="1"/>
        <v>0</v>
      </c>
      <c r="G17" s="26">
        <v>262</v>
      </c>
      <c r="H17" s="27" t="str">
        <f t="shared" si="2"/>
        <v>0</v>
      </c>
      <c r="I17" s="12"/>
      <c r="J17" s="12"/>
    </row>
    <row r="18" spans="1:10" ht="45" customHeight="1" x14ac:dyDescent="0.15">
      <c r="A18" s="25">
        <v>44606</v>
      </c>
      <c r="B18" s="36"/>
      <c r="C18" s="26">
        <v>16498.999999999898</v>
      </c>
      <c r="D18" s="27">
        <f t="shared" si="0"/>
        <v>1328.9999999989395</v>
      </c>
      <c r="E18" s="26">
        <v>1407</v>
      </c>
      <c r="F18" s="27">
        <f t="shared" si="1"/>
        <v>113</v>
      </c>
      <c r="G18" s="26">
        <v>289</v>
      </c>
      <c r="H18" s="27">
        <f t="shared" si="2"/>
        <v>27</v>
      </c>
      <c r="I18" s="12"/>
      <c r="J18" s="12"/>
    </row>
    <row r="19" spans="1:10" ht="45" customHeight="1" x14ac:dyDescent="0.15">
      <c r="A19" s="25">
        <v>44607</v>
      </c>
      <c r="B19" s="36"/>
      <c r="C19" s="26">
        <v>16883.999999999265</v>
      </c>
      <c r="D19" s="27">
        <f t="shared" si="0"/>
        <v>384.99999999936699</v>
      </c>
      <c r="E19" s="26">
        <v>1443</v>
      </c>
      <c r="F19" s="27">
        <f t="shared" si="1"/>
        <v>36</v>
      </c>
      <c r="G19" s="26">
        <v>315</v>
      </c>
      <c r="H19" s="27">
        <f t="shared" si="2"/>
        <v>26</v>
      </c>
      <c r="I19" s="12"/>
      <c r="J19" s="12"/>
    </row>
    <row r="20" spans="1:10" ht="45" customHeight="1" x14ac:dyDescent="0.15">
      <c r="A20" s="25">
        <v>44608</v>
      </c>
      <c r="B20" s="36"/>
      <c r="C20" s="26">
        <v>16585.000000000698</v>
      </c>
      <c r="D20" s="27" t="str">
        <f t="shared" si="0"/>
        <v>0</v>
      </c>
      <c r="E20" s="26">
        <v>1401</v>
      </c>
      <c r="F20" s="27" t="str">
        <f t="shared" si="1"/>
        <v>0</v>
      </c>
      <c r="G20" s="26">
        <v>315</v>
      </c>
      <c r="H20" s="27">
        <f t="shared" si="2"/>
        <v>0</v>
      </c>
      <c r="I20" s="12"/>
      <c r="J20" s="12"/>
    </row>
    <row r="21" spans="1:10" ht="45" customHeight="1" x14ac:dyDescent="0.15">
      <c r="A21" s="25">
        <v>44609</v>
      </c>
      <c r="B21" s="36"/>
      <c r="C21" s="26">
        <v>16266.000000000371</v>
      </c>
      <c r="D21" s="27" t="str">
        <f t="shared" si="0"/>
        <v>0</v>
      </c>
      <c r="E21" s="26">
        <v>1424</v>
      </c>
      <c r="F21" s="27">
        <f t="shared" si="1"/>
        <v>23</v>
      </c>
      <c r="G21" s="26">
        <v>296</v>
      </c>
      <c r="H21" s="27" t="str">
        <f t="shared" si="2"/>
        <v>0</v>
      </c>
      <c r="I21" s="12"/>
      <c r="J21" s="12"/>
    </row>
    <row r="22" spans="1:10" ht="45" customHeight="1" x14ac:dyDescent="0.15">
      <c r="A22" s="25">
        <v>44610</v>
      </c>
      <c r="B22" s="36"/>
      <c r="C22" s="26">
        <v>15669.999999999447</v>
      </c>
      <c r="D22" s="27" t="str">
        <f t="shared" si="0"/>
        <v>0</v>
      </c>
      <c r="E22" s="26">
        <v>1415</v>
      </c>
      <c r="F22" s="27" t="str">
        <f t="shared" si="1"/>
        <v>0</v>
      </c>
      <c r="G22" s="26">
        <v>315</v>
      </c>
      <c r="H22" s="27">
        <f t="shared" si="2"/>
        <v>19</v>
      </c>
      <c r="I22" s="12"/>
      <c r="J22" s="12"/>
    </row>
    <row r="23" spans="1:10" ht="45" customHeight="1" x14ac:dyDescent="0.15">
      <c r="A23" s="25">
        <v>44611</v>
      </c>
      <c r="B23" s="36"/>
      <c r="C23" s="26">
        <v>15482.999999999265</v>
      </c>
      <c r="D23" s="27" t="str">
        <f>IF((C23-C22&lt;0), "0",C23-C22)</f>
        <v>0</v>
      </c>
      <c r="E23" s="26">
        <v>1571</v>
      </c>
      <c r="F23" s="27">
        <f t="shared" si="1"/>
        <v>156</v>
      </c>
      <c r="G23" s="26">
        <v>286</v>
      </c>
      <c r="H23" s="27" t="str">
        <f t="shared" si="2"/>
        <v>0</v>
      </c>
      <c r="I23" s="12"/>
      <c r="J23" s="12"/>
    </row>
    <row r="24" spans="1:10" ht="45" customHeight="1" x14ac:dyDescent="0.15">
      <c r="A24" s="25">
        <v>44612</v>
      </c>
      <c r="B24" s="36"/>
      <c r="C24" s="26">
        <v>14325.999999999705</v>
      </c>
      <c r="D24" s="27" t="str">
        <f t="shared" ref="D24:D32" si="3">IF((C24-C23&lt;0), "0",C24-C23)</f>
        <v>0</v>
      </c>
      <c r="E24" s="26">
        <v>1700</v>
      </c>
      <c r="F24" s="27">
        <f t="shared" si="1"/>
        <v>129</v>
      </c>
      <c r="G24" s="26">
        <v>302</v>
      </c>
      <c r="H24" s="27">
        <f t="shared" si="2"/>
        <v>16</v>
      </c>
      <c r="I24" s="12"/>
      <c r="J24" s="12"/>
    </row>
    <row r="25" spans="1:10" ht="45" customHeight="1" x14ac:dyDescent="0.15">
      <c r="A25" s="25">
        <v>44613</v>
      </c>
      <c r="B25" s="36"/>
      <c r="C25" s="26">
        <v>14284.000000001039</v>
      </c>
      <c r="D25" s="27" t="str">
        <f t="shared" si="3"/>
        <v>0</v>
      </c>
      <c r="E25" s="26">
        <v>1777</v>
      </c>
      <c r="F25" s="27">
        <f t="shared" si="1"/>
        <v>77</v>
      </c>
      <c r="G25" s="26">
        <v>305</v>
      </c>
      <c r="H25" s="27">
        <f t="shared" si="2"/>
        <v>3</v>
      </c>
      <c r="I25" s="12"/>
      <c r="J25" s="12"/>
    </row>
    <row r="26" spans="1:10" ht="45" customHeight="1" x14ac:dyDescent="0.15">
      <c r="A26" s="25">
        <v>44614</v>
      </c>
      <c r="B26" s="36"/>
      <c r="C26" s="26">
        <v>14894.99999999922</v>
      </c>
      <c r="D26" s="27">
        <f t="shared" si="3"/>
        <v>610.99999999818101</v>
      </c>
      <c r="E26" s="26">
        <v>1858</v>
      </c>
      <c r="F26" s="27">
        <f t="shared" si="1"/>
        <v>81</v>
      </c>
      <c r="G26" s="26">
        <v>275</v>
      </c>
      <c r="H26" s="27" t="str">
        <f t="shared" si="2"/>
        <v>0</v>
      </c>
      <c r="I26" s="12"/>
      <c r="J26" s="12"/>
    </row>
    <row r="27" spans="1:10" ht="45" customHeight="1" x14ac:dyDescent="0.15">
      <c r="A27" s="25">
        <v>44615</v>
      </c>
      <c r="B27" s="36"/>
      <c r="C27" s="26">
        <v>14854.000000001088</v>
      </c>
      <c r="D27" s="27" t="str">
        <f t="shared" si="3"/>
        <v>0</v>
      </c>
      <c r="E27" s="26">
        <v>1886</v>
      </c>
      <c r="F27" s="27">
        <f t="shared" si="1"/>
        <v>28</v>
      </c>
      <c r="G27" s="26">
        <v>318</v>
      </c>
      <c r="H27" s="27">
        <f t="shared" si="2"/>
        <v>43</v>
      </c>
      <c r="I27" s="12"/>
      <c r="J27" s="12"/>
    </row>
    <row r="28" spans="1:10" ht="45" customHeight="1" x14ac:dyDescent="0.15">
      <c r="A28" s="25">
        <v>44616</v>
      </c>
      <c r="B28" s="36"/>
      <c r="C28" s="26">
        <v>15394.999999999278</v>
      </c>
      <c r="D28" s="27">
        <f t="shared" si="3"/>
        <v>540.99999999819011</v>
      </c>
      <c r="E28" s="26">
        <v>1854</v>
      </c>
      <c r="F28" s="27" t="str">
        <f t="shared" si="1"/>
        <v>0</v>
      </c>
      <c r="G28" s="26">
        <v>287</v>
      </c>
      <c r="H28" s="27" t="str">
        <f t="shared" si="2"/>
        <v>0</v>
      </c>
      <c r="I28" s="12"/>
      <c r="J28" s="12"/>
    </row>
    <row r="29" spans="1:10" ht="45" customHeight="1" x14ac:dyDescent="0.15">
      <c r="A29" s="25">
        <v>44617</v>
      </c>
      <c r="B29" s="36"/>
      <c r="C29" s="26">
        <v>14831.000000000518</v>
      </c>
      <c r="D29" s="27" t="str">
        <f t="shared" si="3"/>
        <v>0</v>
      </c>
      <c r="E29" s="26">
        <v>1641</v>
      </c>
      <c r="F29" s="27" t="str">
        <f t="shared" si="1"/>
        <v>0</v>
      </c>
      <c r="G29" s="26">
        <v>295</v>
      </c>
      <c r="H29" s="27">
        <f t="shared" si="2"/>
        <v>8</v>
      </c>
      <c r="I29" s="12"/>
      <c r="J29" s="12"/>
    </row>
    <row r="30" spans="1:10" ht="45" customHeight="1" x14ac:dyDescent="0.15">
      <c r="A30" s="25">
        <v>44618</v>
      </c>
      <c r="B30" s="36"/>
      <c r="C30" s="26">
        <v>16339.999999999203</v>
      </c>
      <c r="D30" s="27">
        <f t="shared" si="3"/>
        <v>1508.9999999986849</v>
      </c>
      <c r="E30" s="26">
        <v>1384</v>
      </c>
      <c r="F30" s="27" t="str">
        <f t="shared" si="1"/>
        <v>0</v>
      </c>
      <c r="G30" s="26">
        <v>323</v>
      </c>
      <c r="H30" s="27">
        <f t="shared" si="2"/>
        <v>28</v>
      </c>
      <c r="I30" s="12"/>
      <c r="J30" s="12"/>
    </row>
    <row r="31" spans="1:10" ht="45" customHeight="1" x14ac:dyDescent="0.15">
      <c r="A31" s="25">
        <v>44619</v>
      </c>
      <c r="B31" s="36"/>
      <c r="C31" s="26">
        <v>13610.000000001015</v>
      </c>
      <c r="D31" s="27" t="str">
        <f t="shared" si="3"/>
        <v>0</v>
      </c>
      <c r="E31" s="26">
        <v>1291</v>
      </c>
      <c r="F31" s="27" t="str">
        <f t="shared" si="1"/>
        <v>0</v>
      </c>
      <c r="G31" s="26">
        <v>259</v>
      </c>
      <c r="H31" s="27" t="str">
        <f t="shared" si="2"/>
        <v>0</v>
      </c>
      <c r="I31" s="12"/>
      <c r="J31" s="12"/>
    </row>
    <row r="32" spans="1:10" ht="45" customHeight="1" x14ac:dyDescent="0.15">
      <c r="A32" s="25">
        <v>44620</v>
      </c>
      <c r="B32" s="36"/>
      <c r="C32" s="26">
        <v>14435.999999999467</v>
      </c>
      <c r="D32" s="27">
        <f t="shared" si="3"/>
        <v>825.99999999845204</v>
      </c>
      <c r="E32" s="26">
        <v>1241</v>
      </c>
      <c r="F32" s="27" t="str">
        <f t="shared" si="1"/>
        <v>0</v>
      </c>
      <c r="G32" s="26">
        <v>256</v>
      </c>
      <c r="H32" s="27" t="str">
        <f t="shared" si="2"/>
        <v>0</v>
      </c>
      <c r="I32" s="12"/>
      <c r="J32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2023-02-22T07:59:19Z</dcterms:modified>
</cp:coreProperties>
</file>