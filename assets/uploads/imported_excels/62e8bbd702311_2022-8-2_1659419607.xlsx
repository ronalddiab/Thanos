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L5" i="3" l="1"/>
  <c r="K5" i="3"/>
  <c r="I5" i="3"/>
  <c r="G5" i="3"/>
  <c r="E5" i="3"/>
  <c r="J5" i="2"/>
  <c r="I5" i="2"/>
  <c r="H5" i="2"/>
  <c r="F5" i="2"/>
  <c r="E5" i="2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<sst xmlns="http://schemas.openxmlformats.org/spreadsheetml/2006/main" count="107" uniqueCount="38">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</sst>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O10" sqref="O1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91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v>0</v>
      </c>
      <c r="F4" s="13">
        <v>0.11799999999999999</v>
      </c>
      <c r="G4" s="15">
        <v>0</v>
      </c>
      <c r="H4" s="13">
        <v>0.99</v>
      </c>
      <c r="I4" s="15">
        <v>0</v>
      </c>
      <c r="J4" s="13">
        <v>8.1000000000000003E-2</v>
      </c>
      <c r="K4" s="21">
        <v>0</v>
      </c>
      <c r="L4" s="15">
        <v>0</v>
      </c>
      <c r="M4" s="14">
        <v>4.393629424766913</v>
      </c>
      <c r="N4" s="16"/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0</v>
      </c>
      <c r="F5" s="13">
        <v>0.11799999999999999</v>
      </c>
      <c r="G5" s="15">
        <f>'08 - 2022'!D11-'08 - 2022'!D10+'08 - 2022'!E11-'08 - 2022'!E10</f>
        <v>0</v>
      </c>
      <c r="H5" s="13">
        <v>0.99</v>
      </c>
      <c r="I5" s="15">
        <f>'08 - 2022'!J11-'08 - 2022'!J10</f>
        <v>0</v>
      </c>
      <c r="J5" s="13">
        <v>8.1000000000000003E-2</v>
      </c>
      <c r="K5" s="21">
        <f>'08 - 2022'!H11-'08 - 2022'!H10</f>
        <v>0</v>
      </c>
      <c r="L5" s="15">
        <f>'08 - 2022'!I11-'08 - 2022'!I10</f>
        <v>0</v>
      </c>
      <c r="M5" s="14">
        <v>4.393629424766913</v>
      </c>
      <c r="N5" s="16"/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0</v>
      </c>
      <c r="F6" s="13">
        <v>0.11799999999999999</v>
      </c>
      <c r="G6" s="15">
        <f>'08 - 2022'!D12-'08 - 2022'!D11+'08 - 2022'!E12-'08 - 2022'!E11</f>
        <v>0</v>
      </c>
      <c r="H6" s="13">
        <v>0.99</v>
      </c>
      <c r="I6" s="15">
        <f>'08 - 2022'!J12-'08 - 2022'!J11</f>
        <v>0</v>
      </c>
      <c r="J6" s="13">
        <v>8.1000000000000003E-2</v>
      </c>
      <c r="K6" s="21">
        <f>'08 - 2022'!H12-'08 - 2022'!H11</f>
        <v>0</v>
      </c>
      <c r="L6" s="15">
        <f>'08 - 2022'!I12-'08 - 2022'!I11</f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0</v>
      </c>
      <c r="F7" s="13">
        <v>0.11799999999999999</v>
      </c>
      <c r="G7" s="15">
        <f>'08 - 2022'!D13-'08 - 2022'!D12+'08 - 2022'!E13-'08 - 2022'!E12</f>
        <v>0</v>
      </c>
      <c r="H7" s="13">
        <v>0.99</v>
      </c>
      <c r="I7" s="15">
        <f>'08 - 2022'!J13-'08 - 2022'!J12</f>
        <v>0</v>
      </c>
      <c r="J7" s="13">
        <v>8.1000000000000003E-2</v>
      </c>
      <c r="K7" s="21">
        <f>'08 - 2022'!H13-'08 - 2022'!H12</f>
        <v>0</v>
      </c>
      <c r="L7" s="15">
        <f>'08 - 2022'!I13-'08 - 2022'!I12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0</v>
      </c>
      <c r="F8" s="13">
        <v>0.11799999999999999</v>
      </c>
      <c r="G8" s="15">
        <f>'08 - 2022'!D14-'08 - 2022'!D13+'08 - 2022'!E14-'08 - 2022'!E13</f>
        <v>0</v>
      </c>
      <c r="H8" s="13">
        <v>0.99</v>
      </c>
      <c r="I8" s="15">
        <f>'08 - 2022'!J14-'08 - 2022'!J13</f>
        <v>0</v>
      </c>
      <c r="J8" s="13">
        <v>8.1000000000000003E-2</v>
      </c>
      <c r="K8" s="21">
        <f>'08 - 2022'!H14-'08 - 2022'!H13</f>
        <v>0</v>
      </c>
      <c r="L8" s="15">
        <f>'08 - 2022'!I14-'08 - 2022'!I13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0</v>
      </c>
      <c r="F9" s="13">
        <v>0.11799999999999999</v>
      </c>
      <c r="G9" s="15">
        <f>'08 - 2022'!D15-'08 - 2022'!D14+'08 - 2022'!E15-'08 - 2022'!E14</f>
        <v>0</v>
      </c>
      <c r="H9" s="13">
        <v>0.99</v>
      </c>
      <c r="I9" s="15">
        <f>'08 - 2022'!J15-'08 - 2022'!J14</f>
        <v>0</v>
      </c>
      <c r="J9" s="13">
        <v>8.1000000000000003E-2</v>
      </c>
      <c r="K9" s="21">
        <f>'08 - 2022'!H15-'08 - 2022'!H14</f>
        <v>0</v>
      </c>
      <c r="L9" s="15">
        <f>'08 - 2022'!I15-'08 - 2022'!I14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0</v>
      </c>
      <c r="F10" s="13">
        <v>0.11799999999999999</v>
      </c>
      <c r="G10" s="15">
        <f>'08 - 2022'!D16-'08 - 2022'!D15+'08 - 2022'!E16-'08 - 2022'!E15</f>
        <v>0</v>
      </c>
      <c r="H10" s="13">
        <v>0.99</v>
      </c>
      <c r="I10" s="15">
        <f>'08 - 2022'!J16-'08 - 2022'!J15</f>
        <v>0</v>
      </c>
      <c r="J10" s="13">
        <v>8.1000000000000003E-2</v>
      </c>
      <c r="K10" s="21">
        <f>'08 - 2022'!H16-'08 - 2022'!H15</f>
        <v>0</v>
      </c>
      <c r="L10" s="15">
        <f>'08 - 2022'!I16-'08 - 2022'!I15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0</v>
      </c>
      <c r="F11" s="13">
        <v>0.11799999999999999</v>
      </c>
      <c r="G11" s="15">
        <f>'08 - 2022'!D17-'08 - 2022'!D16+'08 - 2022'!E17-'08 - 2022'!E16</f>
        <v>0</v>
      </c>
      <c r="H11" s="13">
        <v>0.99</v>
      </c>
      <c r="I11" s="15">
        <f>'08 - 2022'!J17-'08 - 2022'!J16</f>
        <v>0</v>
      </c>
      <c r="J11" s="13">
        <v>8.1000000000000003E-2</v>
      </c>
      <c r="K11" s="21">
        <f>'08 - 2022'!H17-'08 - 2022'!H16</f>
        <v>0</v>
      </c>
      <c r="L11" s="15">
        <f>'08 - 2022'!I17-'08 - 2022'!I16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0</v>
      </c>
      <c r="F12" s="13">
        <v>0.11799999999999999</v>
      </c>
      <c r="G12" s="15">
        <f>'08 - 2022'!D18-'08 - 2022'!D17+'08 - 2022'!E18-'08 - 2022'!E17</f>
        <v>0</v>
      </c>
      <c r="H12" s="13">
        <v>0.99</v>
      </c>
      <c r="I12" s="15">
        <f>'08 - 2022'!J18-'08 - 2022'!J17</f>
        <v>0</v>
      </c>
      <c r="J12" s="13">
        <v>8.1000000000000003E-2</v>
      </c>
      <c r="K12" s="21">
        <f>'08 - 2022'!H18-'08 - 2022'!H17</f>
        <v>0</v>
      </c>
      <c r="L12" s="15">
        <f>'08 - 2022'!I18-'08 - 2022'!I17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0</v>
      </c>
      <c r="F13" s="13">
        <v>0.11799999999999999</v>
      </c>
      <c r="G13" s="15">
        <f>'08 - 2022'!D19-'08 - 2022'!D18+'08 - 2022'!E19-'08 - 2022'!E18</f>
        <v>0</v>
      </c>
      <c r="H13" s="13">
        <v>0.99</v>
      </c>
      <c r="I13" s="15">
        <f>'08 - 2022'!J19-'08 - 2022'!J18</f>
        <v>0</v>
      </c>
      <c r="J13" s="13">
        <v>8.1000000000000003E-2</v>
      </c>
      <c r="K13" s="21">
        <f>'08 - 2022'!H19-'08 - 2022'!H18</f>
        <v>0</v>
      </c>
      <c r="L13" s="15">
        <f>'08 - 2022'!I19-'08 - 2022'!I18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0</v>
      </c>
      <c r="F14" s="13">
        <v>0.11799999999999999</v>
      </c>
      <c r="G14" s="15">
        <f>'08 - 2022'!D20-'08 - 2022'!D19+'08 - 2022'!E20-'08 - 2022'!E19</f>
        <v>0</v>
      </c>
      <c r="H14" s="13">
        <v>0.99</v>
      </c>
      <c r="I14" s="15">
        <f>'08 - 2022'!J20-'08 - 2022'!J19</f>
        <v>0</v>
      </c>
      <c r="J14" s="13">
        <v>8.1000000000000003E-2</v>
      </c>
      <c r="K14" s="21">
        <f>'08 - 2022'!H20-'08 - 2022'!H19</f>
        <v>0</v>
      </c>
      <c r="L14" s="15">
        <f>'08 - 2022'!I20-'08 - 2022'!I19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0</v>
      </c>
      <c r="F15" s="13">
        <v>0.11799999999999999</v>
      </c>
      <c r="G15" s="15">
        <f>'08 - 2022'!D21-'08 - 2022'!D20+'08 - 2022'!E21-'08 - 2022'!E20</f>
        <v>0</v>
      </c>
      <c r="H15" s="13">
        <v>0.99</v>
      </c>
      <c r="I15" s="15">
        <f>'08 - 2022'!J21-'08 - 2022'!J20</f>
        <v>0</v>
      </c>
      <c r="J15" s="13">
        <v>8.1000000000000003E-2</v>
      </c>
      <c r="K15" s="21">
        <f>'08 - 2022'!H21-'08 - 2022'!H20</f>
        <v>0</v>
      </c>
      <c r="L15" s="15">
        <f>'08 - 2022'!I21-'08 - 2022'!I20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0</v>
      </c>
      <c r="F16" s="13">
        <v>0.11799999999999999</v>
      </c>
      <c r="G16" s="15">
        <f>'08 - 2022'!D22-'08 - 2022'!D21+'08 - 2022'!E22-'08 - 2022'!E21</f>
        <v>0</v>
      </c>
      <c r="H16" s="13">
        <v>0.99</v>
      </c>
      <c r="I16" s="15">
        <f>'08 - 2022'!J22-'08 - 2022'!J21</f>
        <v>0</v>
      </c>
      <c r="J16" s="13">
        <v>8.1000000000000003E-2</v>
      </c>
      <c r="K16" s="21">
        <f>'08 - 2022'!H22-'08 - 2022'!H21</f>
        <v>0</v>
      </c>
      <c r="L16" s="15">
        <f>'08 - 2022'!I22-'08 - 2022'!I21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0</v>
      </c>
      <c r="F17" s="13">
        <v>0.11799999999999999</v>
      </c>
      <c r="G17" s="15">
        <f>'08 - 2022'!D23-'08 - 2022'!D22+'08 - 2022'!E23-'08 - 2022'!E22</f>
        <v>0</v>
      </c>
      <c r="H17" s="13">
        <v>0.99</v>
      </c>
      <c r="I17" s="15">
        <f>'08 - 2022'!J23-'08 - 2022'!J22</f>
        <v>0</v>
      </c>
      <c r="J17" s="13">
        <v>8.1000000000000003E-2</v>
      </c>
      <c r="K17" s="21">
        <f>'08 - 2022'!H23-'08 - 2022'!H22</f>
        <v>0</v>
      </c>
      <c r="L17" s="15">
        <f>'08 - 2022'!I23-'08 - 2022'!I22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0</v>
      </c>
      <c r="F18" s="13">
        <v>0.11799999999999999</v>
      </c>
      <c r="G18" s="15">
        <f>'08 - 2022'!D24-'08 - 2022'!D23+'08 - 2022'!E24-'08 - 2022'!E23</f>
        <v>0</v>
      </c>
      <c r="H18" s="13">
        <v>0.99</v>
      </c>
      <c r="I18" s="15">
        <f>'08 - 2022'!J24-'08 - 2022'!J23</f>
        <v>0</v>
      </c>
      <c r="J18" s="13">
        <v>8.1000000000000003E-2</v>
      </c>
      <c r="K18" s="21">
        <f>'08 - 2022'!H24-'08 - 2022'!H23</f>
        <v>0</v>
      </c>
      <c r="L18" s="15">
        <f>'08 - 2022'!I24-'08 - 2022'!I23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0</v>
      </c>
      <c r="F19" s="13">
        <v>0.11799999999999999</v>
      </c>
      <c r="G19" s="15">
        <f>'08 - 2022'!D25-'08 - 2022'!D24+'08 - 2022'!E25-'08 - 2022'!E24</f>
        <v>0</v>
      </c>
      <c r="H19" s="13">
        <v>0.99</v>
      </c>
      <c r="I19" s="15">
        <f>'08 - 2022'!J25-'08 - 2022'!J24</f>
        <v>0</v>
      </c>
      <c r="J19" s="13">
        <v>8.1000000000000003E-2</v>
      </c>
      <c r="K19" s="21">
        <f>'08 - 2022'!H25-'08 - 2022'!H24</f>
        <v>0</v>
      </c>
      <c r="L19" s="15">
        <f>'08 - 2022'!I25-'08 - 2022'!I24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91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" sqref="L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91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v>0</v>
      </c>
      <c r="F4" s="15">
        <v>0</v>
      </c>
      <c r="G4" s="13">
        <v>0.11799999999999999</v>
      </c>
      <c r="H4" s="15">
        <v>0</v>
      </c>
      <c r="I4" s="15">
        <v>0</v>
      </c>
      <c r="J4" s="15">
        <v>0</v>
      </c>
      <c r="K4" s="13">
        <v>0.74</v>
      </c>
      <c r="L4" s="16"/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0</v>
      </c>
      <c r="F5" s="15">
        <f>'08 - 2022'!C11-'08 - 2022'!C10</f>
        <v>0</v>
      </c>
      <c r="G5" s="13">
        <v>0.11799999999999999</v>
      </c>
      <c r="H5" s="15">
        <f>'08 - 2022'!E11-'08 - 2022'!E10</f>
        <v>0</v>
      </c>
      <c r="I5" s="15">
        <f>'08 - 2022'!F11-'08 - 2022'!F10</f>
        <v>0</v>
      </c>
      <c r="J5" s="15">
        <f>'08 - 2022'!G11-'08 - 2022'!G10</f>
        <v>0</v>
      </c>
      <c r="K5" s="13">
        <v>0.74</v>
      </c>
      <c r="L5" s="16"/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0</v>
      </c>
      <c r="F6" s="15">
        <f>'08 - 2022'!C12-'08 - 2022'!C11</f>
        <v>0</v>
      </c>
      <c r="G6" s="13">
        <v>0.11799999999999999</v>
      </c>
      <c r="H6" s="15">
        <f>'08 - 2022'!E12-'08 - 2022'!E11</f>
        <v>0</v>
      </c>
      <c r="I6" s="15">
        <f>'08 - 2022'!F12-'08 - 2022'!F11</f>
        <v>0</v>
      </c>
      <c r="J6" s="15">
        <f>'08 - 2022'!G12-'08 - 2022'!G11</f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0</v>
      </c>
      <c r="F7" s="15">
        <f>'08 - 2022'!C13-'08 - 2022'!C12</f>
        <v>0</v>
      </c>
      <c r="G7" s="13">
        <v>0.11799999999999999</v>
      </c>
      <c r="H7" s="15">
        <f>'08 - 2022'!E13-'08 - 2022'!E12</f>
        <v>0</v>
      </c>
      <c r="I7" s="15">
        <f>'08 - 2022'!F13-'08 - 2022'!F12</f>
        <v>0</v>
      </c>
      <c r="J7" s="15">
        <f>'08 - 2022'!G13-'08 - 2022'!G12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0</v>
      </c>
      <c r="F8" s="15">
        <f>'08 - 2022'!C14-'08 - 2022'!C13</f>
        <v>0</v>
      </c>
      <c r="G8" s="13">
        <v>0.11799999999999999</v>
      </c>
      <c r="H8" s="15">
        <f>'08 - 2022'!E14-'08 - 2022'!E13</f>
        <v>0</v>
      </c>
      <c r="I8" s="15">
        <f>'08 - 2022'!F14-'08 - 2022'!F13</f>
        <v>0</v>
      </c>
      <c r="J8" s="15">
        <f>'08 - 2022'!G14-'08 - 2022'!G13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0</v>
      </c>
      <c r="F9" s="15">
        <f>'08 - 2022'!C15-'08 - 2022'!C14</f>
        <v>0</v>
      </c>
      <c r="G9" s="13">
        <v>0.11799999999999999</v>
      </c>
      <c r="H9" s="15">
        <f>'08 - 2022'!E15-'08 - 2022'!E14</f>
        <v>0</v>
      </c>
      <c r="I9" s="15">
        <f>'08 - 2022'!F15-'08 - 2022'!F14</f>
        <v>0</v>
      </c>
      <c r="J9" s="15">
        <f>'08 - 2022'!G15-'08 - 2022'!G14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0</v>
      </c>
      <c r="F10" s="15">
        <f>'08 - 2022'!C16-'08 - 2022'!C15</f>
        <v>0</v>
      </c>
      <c r="G10" s="13">
        <v>0.11799999999999999</v>
      </c>
      <c r="H10" s="15">
        <f>'08 - 2022'!E16-'08 - 2022'!E15</f>
        <v>0</v>
      </c>
      <c r="I10" s="15">
        <f>'08 - 2022'!F16-'08 - 2022'!F15</f>
        <v>0</v>
      </c>
      <c r="J10" s="15">
        <f>'08 - 2022'!G16-'08 - 2022'!G15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0</v>
      </c>
      <c r="F11" s="15">
        <f>'08 - 2022'!C17-'08 - 2022'!C16</f>
        <v>0</v>
      </c>
      <c r="G11" s="13">
        <v>0.11799999999999999</v>
      </c>
      <c r="H11" s="15">
        <f>'08 - 2022'!E17-'08 - 2022'!E16</f>
        <v>0</v>
      </c>
      <c r="I11" s="15">
        <f>'08 - 2022'!F17-'08 - 2022'!F16</f>
        <v>0</v>
      </c>
      <c r="J11" s="15">
        <f>'08 - 2022'!G17-'08 - 2022'!G16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0</v>
      </c>
      <c r="F12" s="15">
        <f>'08 - 2022'!C18-'08 - 2022'!C17</f>
        <v>0</v>
      </c>
      <c r="G12" s="13">
        <v>0.11799999999999999</v>
      </c>
      <c r="H12" s="15">
        <f>'08 - 2022'!E18-'08 - 2022'!E17</f>
        <v>0</v>
      </c>
      <c r="I12" s="15">
        <f>'08 - 2022'!F18-'08 - 2022'!F17</f>
        <v>0</v>
      </c>
      <c r="J12" s="15">
        <f>'08 - 2022'!G18-'08 - 2022'!G17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0</v>
      </c>
      <c r="F13" s="15">
        <f>'08 - 2022'!C19-'08 - 2022'!C18</f>
        <v>0</v>
      </c>
      <c r="G13" s="13">
        <v>0.11799999999999999</v>
      </c>
      <c r="H13" s="15">
        <f>'08 - 2022'!E19-'08 - 2022'!E18</f>
        <v>0</v>
      </c>
      <c r="I13" s="15">
        <f>'08 - 2022'!F19-'08 - 2022'!F18</f>
        <v>0</v>
      </c>
      <c r="J13" s="15">
        <f>'08 - 2022'!G19-'08 - 2022'!G18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0</v>
      </c>
      <c r="F14" s="15">
        <f>'08 - 2022'!C20-'08 - 2022'!C19</f>
        <v>0</v>
      </c>
      <c r="G14" s="13">
        <v>0.11799999999999999</v>
      </c>
      <c r="H14" s="15">
        <f>'08 - 2022'!E20-'08 - 2022'!E19</f>
        <v>0</v>
      </c>
      <c r="I14" s="15">
        <f>'08 - 2022'!F20-'08 - 2022'!F19</f>
        <v>0</v>
      </c>
      <c r="J14" s="15">
        <f>'08 - 2022'!G20-'08 - 2022'!G19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0</v>
      </c>
      <c r="F15" s="15">
        <f>'08 - 2022'!C21-'08 - 2022'!C20</f>
        <v>0</v>
      </c>
      <c r="G15" s="13">
        <v>0.11799999999999999</v>
      </c>
      <c r="H15" s="15">
        <f>'08 - 2022'!E21-'08 - 2022'!E20</f>
        <v>0</v>
      </c>
      <c r="I15" s="15">
        <f>'08 - 2022'!F21-'08 - 2022'!F20</f>
        <v>0</v>
      </c>
      <c r="J15" s="15">
        <f>'08 - 2022'!G21-'08 - 2022'!G20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0</v>
      </c>
      <c r="F16" s="15">
        <f>'08 - 2022'!C22-'08 - 2022'!C21</f>
        <v>0</v>
      </c>
      <c r="G16" s="13">
        <v>0.11799999999999999</v>
      </c>
      <c r="H16" s="15">
        <f>'08 - 2022'!E22-'08 - 2022'!E21</f>
        <v>0</v>
      </c>
      <c r="I16" s="15">
        <f>'08 - 2022'!F22-'08 - 2022'!F21</f>
        <v>0</v>
      </c>
      <c r="J16" s="15">
        <f>'08 - 2022'!G22-'08 - 2022'!G21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0</v>
      </c>
      <c r="F17" s="15">
        <f>'08 - 2022'!C23-'08 - 2022'!C22</f>
        <v>0</v>
      </c>
      <c r="G17" s="13">
        <v>0.11799999999999999</v>
      </c>
      <c r="H17" s="15">
        <f>'08 - 2022'!E23-'08 - 2022'!E22</f>
        <v>0</v>
      </c>
      <c r="I17" s="15">
        <f>'08 - 2022'!F23-'08 - 2022'!F22</f>
        <v>0</v>
      </c>
      <c r="J17" s="15">
        <f>'08 - 2022'!G23-'08 - 2022'!G22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0</v>
      </c>
      <c r="F18" s="15">
        <f>'08 - 2022'!C24-'08 - 2022'!C23</f>
        <v>0</v>
      </c>
      <c r="G18" s="13">
        <v>0.11799999999999999</v>
      </c>
      <c r="H18" s="15">
        <f>'08 - 2022'!E24-'08 - 2022'!E23</f>
        <v>0</v>
      </c>
      <c r="I18" s="15">
        <f>'08 - 2022'!F24-'08 - 2022'!F23</f>
        <v>0</v>
      </c>
      <c r="J18" s="15">
        <f>'08 - 2022'!G24-'08 - 2022'!G23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0</v>
      </c>
      <c r="F19" s="15">
        <f>'08 - 2022'!C25-'08 - 2022'!C24</f>
        <v>0</v>
      </c>
      <c r="G19" s="13">
        <v>0.11799999999999999</v>
      </c>
      <c r="H19" s="15">
        <f>'08 - 2022'!E25-'08 - 2022'!E24</f>
        <v>0</v>
      </c>
      <c r="I19" s="15">
        <f>'08 - 2022'!F25-'08 - 2022'!F24</f>
        <v>0</v>
      </c>
      <c r="J19" s="15">
        <f>'08 - 2022'!G25-'08 - 2022'!G24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91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B8" sqref="B8:J9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4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50" t="s">
        <v>2</v>
      </c>
      <c r="K5" s="49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5" customFormat="1" ht="12.95" customHeight="1" x14ac:dyDescent="0.25">
      <c r="A7" s="51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2"/>
      <c r="L7" s="53"/>
      <c r="M7" s="54"/>
    </row>
    <row r="8" spans="1:17" s="60" customFormat="1" ht="12.95" customHeight="1" x14ac:dyDescent="0.2">
      <c r="A8" s="56">
        <f>A7+1</f>
        <v>44774</v>
      </c>
      <c r="B8" s="100">
        <v>360498</v>
      </c>
      <c r="C8" s="100">
        <v>1264580</v>
      </c>
      <c r="D8" s="101">
        <v>0.57999999999999996</v>
      </c>
      <c r="E8" s="102">
        <v>3407.27</v>
      </c>
      <c r="F8" s="102">
        <v>2775.1</v>
      </c>
      <c r="G8" s="100">
        <v>44374.53</v>
      </c>
      <c r="H8" s="103">
        <v>14528</v>
      </c>
      <c r="I8" s="100">
        <v>165600</v>
      </c>
      <c r="J8" s="100">
        <v>57981609</v>
      </c>
      <c r="K8" s="57"/>
      <c r="L8" s="58"/>
      <c r="M8" s="59"/>
    </row>
    <row r="9" spans="1:17" s="60" customFormat="1" ht="12.95" customHeight="1" x14ac:dyDescent="0.2">
      <c r="A9" s="56">
        <f t="shared" ref="A9:A38" si="0">A8+1</f>
        <v>44775</v>
      </c>
      <c r="B9" s="104">
        <v>364610</v>
      </c>
      <c r="C9" s="105">
        <v>1270078</v>
      </c>
      <c r="D9" s="106">
        <v>0.55000000000000004</v>
      </c>
      <c r="E9" s="105">
        <v>3431.58</v>
      </c>
      <c r="F9" s="105">
        <v>2783.48</v>
      </c>
      <c r="G9" s="105">
        <v>44401.1</v>
      </c>
      <c r="H9" s="35">
        <v>14528</v>
      </c>
      <c r="I9" s="107">
        <v>165701</v>
      </c>
      <c r="J9" s="107">
        <v>58014944</v>
      </c>
      <c r="K9" s="61"/>
      <c r="L9" s="62"/>
      <c r="M9" s="59"/>
    </row>
    <row r="10" spans="1:17" s="60" customFormat="1" ht="12.95" customHeight="1" x14ac:dyDescent="0.25">
      <c r="A10" s="56">
        <f t="shared" si="0"/>
        <v>44776</v>
      </c>
      <c r="B10" s="35"/>
      <c r="C10" s="35"/>
      <c r="D10" s="31"/>
      <c r="E10" s="32"/>
      <c r="F10" s="32"/>
      <c r="G10" s="34"/>
      <c r="H10" s="35"/>
      <c r="I10" s="35"/>
      <c r="J10" s="36"/>
      <c r="K10" s="61"/>
      <c r="L10" s="63"/>
      <c r="M10" s="59"/>
    </row>
    <row r="11" spans="1:17" s="60" customFormat="1" ht="12.95" customHeight="1" x14ac:dyDescent="0.25">
      <c r="A11" s="56">
        <f t="shared" si="0"/>
        <v>44777</v>
      </c>
      <c r="B11" s="35"/>
      <c r="C11" s="35"/>
      <c r="D11" s="31"/>
      <c r="E11" s="32"/>
      <c r="F11" s="32"/>
      <c r="G11" s="34"/>
      <c r="H11" s="35"/>
      <c r="I11" s="35"/>
      <c r="J11" s="35"/>
      <c r="K11" s="61"/>
      <c r="L11" s="63"/>
      <c r="M11" s="59"/>
    </row>
    <row r="12" spans="1:17" s="60" customFormat="1" ht="12.95" customHeight="1" x14ac:dyDescent="0.25">
      <c r="A12" s="56">
        <f t="shared" si="0"/>
        <v>44778</v>
      </c>
      <c r="B12" s="35"/>
      <c r="C12" s="35"/>
      <c r="D12" s="31"/>
      <c r="E12" s="64"/>
      <c r="F12" s="64"/>
      <c r="G12" s="35"/>
      <c r="H12" s="35"/>
      <c r="I12" s="35"/>
      <c r="J12" s="35"/>
      <c r="K12" s="61"/>
      <c r="L12" s="63"/>
      <c r="M12" s="59"/>
      <c r="N12" s="65"/>
    </row>
    <row r="13" spans="1:17" s="60" customFormat="1" ht="12.95" customHeight="1" x14ac:dyDescent="0.25">
      <c r="A13" s="56">
        <f t="shared" si="0"/>
        <v>44779</v>
      </c>
      <c r="B13" s="35"/>
      <c r="C13" s="33"/>
      <c r="D13" s="31"/>
      <c r="E13" s="32"/>
      <c r="F13" s="32"/>
      <c r="G13" s="34"/>
      <c r="H13" s="35"/>
      <c r="I13" s="33"/>
      <c r="J13" s="33"/>
      <c r="K13" s="61"/>
      <c r="L13" s="63"/>
      <c r="M13" s="59"/>
      <c r="N13" s="66"/>
      <c r="O13" s="66"/>
      <c r="P13" s="66"/>
      <c r="Q13" s="66"/>
    </row>
    <row r="14" spans="1:17" s="60" customFormat="1" ht="12.95" customHeight="1" x14ac:dyDescent="0.25">
      <c r="A14" s="56">
        <f t="shared" si="0"/>
        <v>44780</v>
      </c>
      <c r="B14" s="35"/>
      <c r="C14" s="35"/>
      <c r="D14" s="31"/>
      <c r="E14" s="32"/>
      <c r="F14" s="32"/>
      <c r="G14" s="33"/>
      <c r="H14" s="35"/>
      <c r="I14" s="35"/>
      <c r="J14" s="35"/>
      <c r="K14" s="61"/>
      <c r="L14" s="63"/>
      <c r="M14" s="59"/>
      <c r="N14" s="66"/>
      <c r="O14" s="66"/>
      <c r="P14" s="66"/>
      <c r="Q14" s="66"/>
    </row>
    <row r="15" spans="1:17" s="60" customFormat="1" ht="12.95" customHeight="1" x14ac:dyDescent="0.25">
      <c r="A15" s="56">
        <f t="shared" si="0"/>
        <v>44781</v>
      </c>
      <c r="B15" s="35"/>
      <c r="C15" s="35"/>
      <c r="D15" s="31"/>
      <c r="E15" s="32"/>
      <c r="F15" s="84"/>
      <c r="G15" s="33"/>
      <c r="H15" s="35"/>
      <c r="I15" s="35"/>
      <c r="J15" s="35"/>
      <c r="K15" s="85"/>
      <c r="L15" s="63"/>
      <c r="M15" s="59"/>
      <c r="N15" s="66"/>
      <c r="O15" s="66"/>
      <c r="P15" s="66"/>
      <c r="Q15" s="66"/>
    </row>
    <row r="16" spans="1:17" s="60" customFormat="1" ht="12.95" customHeight="1" x14ac:dyDescent="0.25">
      <c r="A16" s="56">
        <f t="shared" si="0"/>
        <v>44782</v>
      </c>
      <c r="B16" s="86"/>
      <c r="C16" s="35"/>
      <c r="D16" s="31"/>
      <c r="E16" s="32"/>
      <c r="F16" s="84"/>
      <c r="G16" s="33"/>
      <c r="H16" s="35"/>
      <c r="I16" s="35"/>
      <c r="J16" s="35"/>
      <c r="K16" s="85"/>
      <c r="L16" s="63"/>
      <c r="M16" s="59"/>
      <c r="N16" s="66"/>
      <c r="O16" s="66"/>
      <c r="P16" s="66"/>
      <c r="Q16" s="66"/>
    </row>
    <row r="17" spans="1:19" s="60" customFormat="1" ht="12.95" customHeight="1" x14ac:dyDescent="0.25">
      <c r="A17" s="56">
        <f t="shared" si="0"/>
        <v>44783</v>
      </c>
      <c r="B17" s="33"/>
      <c r="C17" s="33"/>
      <c r="D17" s="87"/>
      <c r="E17" s="32"/>
      <c r="F17" s="84"/>
      <c r="G17" s="33"/>
      <c r="H17" s="35"/>
      <c r="I17" s="33"/>
      <c r="J17" s="33"/>
      <c r="K17" s="85"/>
      <c r="L17" s="63"/>
      <c r="M17" s="59"/>
      <c r="N17" s="66"/>
      <c r="O17" s="66"/>
      <c r="P17" s="66"/>
      <c r="Q17" s="66"/>
    </row>
    <row r="18" spans="1:19" s="60" customFormat="1" ht="12.95" customHeight="1" x14ac:dyDescent="0.25">
      <c r="A18" s="56">
        <f t="shared" si="0"/>
        <v>44784</v>
      </c>
      <c r="B18" s="35"/>
      <c r="C18" s="35"/>
      <c r="D18" s="31"/>
      <c r="E18" s="32"/>
      <c r="F18" s="32"/>
      <c r="G18" s="33"/>
      <c r="H18" s="35"/>
      <c r="I18" s="35"/>
      <c r="J18" s="35"/>
      <c r="K18" s="85"/>
      <c r="L18" s="63"/>
      <c r="M18" s="59"/>
      <c r="N18" s="66"/>
      <c r="O18" s="22"/>
      <c r="P18" s="66"/>
      <c r="Q18" s="66"/>
    </row>
    <row r="19" spans="1:19" s="60" customFormat="1" ht="12.95" customHeight="1" x14ac:dyDescent="0.25">
      <c r="A19" s="56">
        <f t="shared" si="0"/>
        <v>44785</v>
      </c>
      <c r="B19" s="37"/>
      <c r="C19" s="37"/>
      <c r="D19" s="31"/>
      <c r="E19" s="32"/>
      <c r="F19" s="32"/>
      <c r="G19" s="38"/>
      <c r="H19" s="35"/>
      <c r="I19" s="37"/>
      <c r="J19" s="37"/>
      <c r="K19" s="85"/>
      <c r="L19" s="63"/>
      <c r="M19" s="59"/>
      <c r="N19" s="66"/>
      <c r="O19" s="22"/>
      <c r="P19" s="66"/>
      <c r="Q19" s="66"/>
    </row>
    <row r="20" spans="1:19" s="60" customFormat="1" ht="12.95" customHeight="1" x14ac:dyDescent="0.25">
      <c r="A20" s="56">
        <f t="shared" si="0"/>
        <v>44786</v>
      </c>
      <c r="B20" s="37"/>
      <c r="C20" s="37"/>
      <c r="D20" s="31"/>
      <c r="E20" s="64"/>
      <c r="F20" s="64"/>
      <c r="G20" s="38"/>
      <c r="H20" s="35"/>
      <c r="I20" s="37"/>
      <c r="J20" s="37"/>
      <c r="K20" s="61"/>
      <c r="L20" s="67"/>
      <c r="M20" s="59"/>
      <c r="N20" s="68"/>
      <c r="O20" s="66"/>
      <c r="P20" s="66"/>
      <c r="Q20" s="66"/>
    </row>
    <row r="21" spans="1:19" s="60" customFormat="1" ht="12.95" customHeight="1" x14ac:dyDescent="0.25">
      <c r="A21" s="56">
        <f t="shared" si="0"/>
        <v>44787</v>
      </c>
      <c r="B21" s="37"/>
      <c r="C21" s="37"/>
      <c r="D21" s="31"/>
      <c r="E21" s="39"/>
      <c r="F21" s="32"/>
      <c r="G21" s="38"/>
      <c r="H21" s="35"/>
      <c r="I21" s="37"/>
      <c r="J21" s="37"/>
      <c r="K21" s="61"/>
      <c r="L21" s="67"/>
      <c r="M21" s="59"/>
      <c r="N21" s="68"/>
      <c r="O21" s="68"/>
      <c r="P21" s="69"/>
      <c r="Q21" s="69"/>
      <c r="S21" s="65"/>
    </row>
    <row r="22" spans="1:19" s="60" customFormat="1" ht="12.95" customHeight="1" x14ac:dyDescent="0.25">
      <c r="A22" s="56">
        <f t="shared" si="0"/>
        <v>44788</v>
      </c>
      <c r="B22" s="88"/>
      <c r="C22" s="86"/>
      <c r="D22" s="31"/>
      <c r="E22" s="32"/>
      <c r="F22" s="32"/>
      <c r="G22" s="38"/>
      <c r="H22" s="35"/>
      <c r="I22" s="38"/>
      <c r="J22" s="37"/>
      <c r="K22" s="61"/>
      <c r="L22" s="67"/>
      <c r="M22" s="59"/>
      <c r="N22" s="68"/>
      <c r="O22" s="68"/>
      <c r="P22" s="66"/>
      <c r="Q22" s="66"/>
    </row>
    <row r="23" spans="1:19" s="60" customFormat="1" ht="12.95" customHeight="1" x14ac:dyDescent="0.25">
      <c r="A23" s="56">
        <f t="shared" si="0"/>
        <v>44789</v>
      </c>
      <c r="B23" s="37"/>
      <c r="C23" s="37"/>
      <c r="D23" s="31"/>
      <c r="E23" s="39"/>
      <c r="F23" s="32"/>
      <c r="G23" s="38"/>
      <c r="H23" s="35"/>
      <c r="I23" s="37"/>
      <c r="J23" s="37"/>
      <c r="K23" s="85"/>
      <c r="L23" s="67"/>
      <c r="M23" s="59"/>
      <c r="N23" s="68"/>
      <c r="O23" s="66"/>
      <c r="P23" s="66"/>
      <c r="Q23" s="66"/>
    </row>
    <row r="24" spans="1:19" s="60" customFormat="1" ht="12.95" customHeight="1" x14ac:dyDescent="0.25">
      <c r="A24" s="56">
        <f t="shared" si="0"/>
        <v>44790</v>
      </c>
      <c r="B24" s="37"/>
      <c r="C24" s="37"/>
      <c r="D24" s="31"/>
      <c r="E24" s="39"/>
      <c r="F24" s="32"/>
      <c r="G24" s="38"/>
      <c r="H24" s="35"/>
      <c r="I24" s="37"/>
      <c r="J24" s="37"/>
      <c r="K24" s="85"/>
      <c r="L24" s="70"/>
      <c r="M24" s="59"/>
      <c r="N24" s="68"/>
      <c r="O24" s="68"/>
      <c r="P24" s="66"/>
      <c r="Q24" s="66"/>
    </row>
    <row r="25" spans="1:19" s="60" customFormat="1" ht="12.95" customHeight="1" x14ac:dyDescent="0.25">
      <c r="A25" s="56">
        <f t="shared" si="0"/>
        <v>44791</v>
      </c>
      <c r="B25" s="38"/>
      <c r="C25" s="38"/>
      <c r="D25" s="31"/>
      <c r="E25" s="39"/>
      <c r="F25" s="32"/>
      <c r="G25" s="38"/>
      <c r="H25" s="35"/>
      <c r="I25" s="37"/>
      <c r="J25" s="37"/>
      <c r="K25" s="89"/>
      <c r="L25" s="70"/>
      <c r="M25" s="59"/>
      <c r="N25" s="68"/>
      <c r="O25" s="68"/>
      <c r="P25" s="66"/>
      <c r="Q25" s="66"/>
    </row>
    <row r="26" spans="1:19" s="60" customFormat="1" ht="12.95" customHeight="1" x14ac:dyDescent="0.25">
      <c r="A26" s="56">
        <f t="shared" si="0"/>
        <v>44792</v>
      </c>
      <c r="B26" s="38"/>
      <c r="C26" s="38"/>
      <c r="D26" s="87"/>
      <c r="E26" s="39"/>
      <c r="F26" s="32"/>
      <c r="G26" s="38"/>
      <c r="H26" s="35"/>
      <c r="I26" s="37"/>
      <c r="J26" s="37"/>
      <c r="K26" s="61"/>
      <c r="L26" s="70"/>
      <c r="M26" s="59"/>
      <c r="N26" s="68"/>
      <c r="O26" s="68"/>
      <c r="P26" s="66"/>
      <c r="Q26" s="66"/>
    </row>
    <row r="27" spans="1:19" s="60" customFormat="1" ht="12.95" customHeight="1" x14ac:dyDescent="0.25">
      <c r="A27" s="56">
        <f t="shared" si="0"/>
        <v>44793</v>
      </c>
      <c r="B27" s="37"/>
      <c r="C27" s="37"/>
      <c r="D27" s="31"/>
      <c r="E27" s="39"/>
      <c r="F27" s="32"/>
      <c r="G27" s="38"/>
      <c r="H27" s="35"/>
      <c r="I27" s="37"/>
      <c r="J27" s="37"/>
      <c r="K27" s="61"/>
      <c r="L27" s="67"/>
      <c r="M27" s="59"/>
    </row>
    <row r="28" spans="1:19" s="60" customFormat="1" ht="12.95" customHeight="1" x14ac:dyDescent="0.25">
      <c r="A28" s="56">
        <f t="shared" si="0"/>
        <v>44794</v>
      </c>
      <c r="B28" s="90"/>
      <c r="C28" s="37"/>
      <c r="D28" s="31"/>
      <c r="E28" s="39"/>
      <c r="F28" s="32"/>
      <c r="G28" s="38"/>
      <c r="H28" s="35"/>
      <c r="I28" s="37"/>
      <c r="J28" s="37"/>
      <c r="K28" s="61"/>
      <c r="L28" s="67"/>
      <c r="M28" s="59"/>
    </row>
    <row r="29" spans="1:19" s="60" customFormat="1" ht="12.95" customHeight="1" x14ac:dyDescent="0.25">
      <c r="A29" s="56">
        <f t="shared" si="0"/>
        <v>44795</v>
      </c>
      <c r="B29" s="37"/>
      <c r="C29" s="37"/>
      <c r="D29" s="31"/>
      <c r="E29" s="39"/>
      <c r="F29" s="32"/>
      <c r="G29" s="38"/>
      <c r="H29" s="35"/>
      <c r="I29" s="37"/>
      <c r="J29" s="37"/>
      <c r="K29" s="61"/>
      <c r="L29" s="67"/>
      <c r="M29" s="59"/>
      <c r="N29" s="65"/>
    </row>
    <row r="30" spans="1:19" s="60" customFormat="1" ht="12.95" customHeight="1" x14ac:dyDescent="0.25">
      <c r="A30" s="56">
        <f t="shared" si="0"/>
        <v>44796</v>
      </c>
      <c r="B30" s="37"/>
      <c r="C30" s="37"/>
      <c r="D30" s="31"/>
      <c r="E30" s="39"/>
      <c r="F30" s="32"/>
      <c r="G30" s="38"/>
      <c r="H30" s="35"/>
      <c r="I30" s="37"/>
      <c r="J30" s="37"/>
      <c r="K30" s="85"/>
      <c r="L30" s="67"/>
      <c r="M30" s="59"/>
    </row>
    <row r="31" spans="1:19" s="60" customFormat="1" ht="12.95" customHeight="1" x14ac:dyDescent="0.25">
      <c r="A31" s="56">
        <f t="shared" si="0"/>
        <v>44797</v>
      </c>
      <c r="B31" s="37"/>
      <c r="C31" s="37"/>
      <c r="D31" s="31"/>
      <c r="E31" s="39"/>
      <c r="F31" s="32"/>
      <c r="G31" s="38"/>
      <c r="H31" s="35"/>
      <c r="I31" s="37"/>
      <c r="J31" s="37"/>
      <c r="K31" s="85"/>
      <c r="L31" s="67"/>
      <c r="M31" s="59"/>
      <c r="N31" s="65"/>
      <c r="O31" s="65"/>
    </row>
    <row r="32" spans="1:19" s="60" customFormat="1" ht="12.95" customHeight="1" x14ac:dyDescent="0.25">
      <c r="A32" s="56">
        <f t="shared" si="0"/>
        <v>44798</v>
      </c>
      <c r="B32" s="37"/>
      <c r="C32" s="37"/>
      <c r="D32" s="31"/>
      <c r="E32" s="39"/>
      <c r="F32" s="32"/>
      <c r="G32" s="38"/>
      <c r="H32" s="35"/>
      <c r="I32" s="37"/>
      <c r="J32" s="37"/>
      <c r="K32" s="85"/>
      <c r="L32" s="67"/>
      <c r="M32" s="59"/>
      <c r="N32" s="65"/>
      <c r="O32" s="65"/>
    </row>
    <row r="33" spans="1:16" s="60" customFormat="1" ht="12.95" customHeight="1" x14ac:dyDescent="0.25">
      <c r="A33" s="56">
        <f t="shared" si="0"/>
        <v>44799</v>
      </c>
      <c r="B33" s="37"/>
      <c r="C33" s="37"/>
      <c r="D33" s="31"/>
      <c r="E33" s="39"/>
      <c r="F33" s="32"/>
      <c r="G33" s="38"/>
      <c r="H33" s="35"/>
      <c r="I33" s="37"/>
      <c r="J33" s="37"/>
      <c r="K33" s="61"/>
      <c r="L33" s="71"/>
      <c r="M33" s="72"/>
      <c r="N33" s="65"/>
      <c r="O33" s="65"/>
    </row>
    <row r="34" spans="1:16" s="60" customFormat="1" ht="12.95" customHeight="1" x14ac:dyDescent="0.25">
      <c r="A34" s="56">
        <f t="shared" si="0"/>
        <v>44800</v>
      </c>
      <c r="B34" s="37"/>
      <c r="C34" s="37"/>
      <c r="D34" s="87"/>
      <c r="E34" s="39"/>
      <c r="F34" s="32"/>
      <c r="G34" s="38"/>
      <c r="H34" s="35"/>
      <c r="I34" s="38"/>
      <c r="J34" s="38"/>
      <c r="K34" s="61"/>
      <c r="L34" s="63"/>
      <c r="M34" s="72"/>
      <c r="N34" s="65"/>
      <c r="P34" s="65"/>
    </row>
    <row r="35" spans="1:16" s="60" customFormat="1" ht="12.95" customHeight="1" x14ac:dyDescent="0.25">
      <c r="A35" s="56">
        <f>A34+1</f>
        <v>44801</v>
      </c>
      <c r="B35" s="35"/>
      <c r="C35" s="40"/>
      <c r="D35" s="31"/>
      <c r="E35" s="39"/>
      <c r="F35" s="32"/>
      <c r="G35" s="33"/>
      <c r="H35" s="35"/>
      <c r="I35" s="35"/>
      <c r="J35" s="35"/>
      <c r="K35" s="61"/>
      <c r="L35" s="67"/>
      <c r="M35" s="59"/>
      <c r="N35" s="65"/>
      <c r="O35" s="65"/>
    </row>
    <row r="36" spans="1:16" s="60" customFormat="1" ht="12.95" customHeight="1" x14ac:dyDescent="0.25">
      <c r="A36" s="73">
        <f t="shared" si="0"/>
        <v>44802</v>
      </c>
      <c r="B36" s="35"/>
      <c r="C36" s="40"/>
      <c r="D36" s="31"/>
      <c r="E36" s="39"/>
      <c r="F36" s="32"/>
      <c r="G36" s="33"/>
      <c r="H36" s="35"/>
      <c r="I36" s="35"/>
      <c r="J36" s="35"/>
      <c r="K36" s="61"/>
      <c r="L36" s="67"/>
      <c r="M36" s="59"/>
      <c r="N36" s="65"/>
      <c r="O36" s="65"/>
    </row>
    <row r="37" spans="1:16" s="60" customFormat="1" ht="12.95" customHeight="1" x14ac:dyDescent="0.25">
      <c r="A37" s="73">
        <f t="shared" si="0"/>
        <v>44803</v>
      </c>
      <c r="B37" s="35"/>
      <c r="C37" s="40"/>
      <c r="D37" s="31"/>
      <c r="E37" s="39"/>
      <c r="F37" s="32"/>
      <c r="G37" s="33"/>
      <c r="H37" s="35"/>
      <c r="I37" s="35"/>
      <c r="J37" s="35"/>
      <c r="K37" s="61"/>
      <c r="L37" s="67"/>
      <c r="M37" s="59"/>
      <c r="N37" s="65"/>
      <c r="O37" s="65"/>
    </row>
    <row r="38" spans="1:16" s="60" customFormat="1" ht="12.95" customHeight="1" thickBot="1" x14ac:dyDescent="0.3">
      <c r="A38" s="74">
        <f t="shared" si="0"/>
        <v>44804</v>
      </c>
      <c r="B38" s="41"/>
      <c r="C38" s="42"/>
      <c r="D38" s="43"/>
      <c r="E38" s="44"/>
      <c r="F38" s="45"/>
      <c r="G38" s="46"/>
      <c r="H38" s="35"/>
      <c r="I38" s="41"/>
      <c r="J38" s="41"/>
      <c r="K38" s="75"/>
      <c r="L38" s="76"/>
      <c r="M38" s="59"/>
      <c r="N38" s="65"/>
      <c r="O38" s="65"/>
    </row>
    <row r="39" spans="1:16" s="60" customFormat="1" ht="12.95" customHeight="1" x14ac:dyDescent="0.25">
      <c r="A39" s="77" t="s">
        <v>35</v>
      </c>
      <c r="B39" s="78">
        <f>B38-B7</f>
        <v>-356339</v>
      </c>
      <c r="C39" s="78">
        <f>C38-C7</f>
        <v>-1258900</v>
      </c>
      <c r="D39" s="78"/>
      <c r="E39" s="78">
        <f>E38-E7</f>
        <v>-3382.84</v>
      </c>
      <c r="F39" s="78">
        <f>F38-F7</f>
        <v>-2768.21</v>
      </c>
      <c r="G39" s="78">
        <f>G38-G7</f>
        <v>-44347.11</v>
      </c>
      <c r="H39" s="78">
        <f t="shared" ref="H39" si="1">H38-H7</f>
        <v>-14528</v>
      </c>
      <c r="I39" s="78">
        <f>I38-I7</f>
        <v>-165500</v>
      </c>
      <c r="J39" s="78">
        <f>J38-J7</f>
        <v>-57947880</v>
      </c>
      <c r="K39" s="78">
        <f>SUM(K7:K38)</f>
        <v>0</v>
      </c>
      <c r="L39" s="47"/>
      <c r="M39" s="47"/>
      <c r="N39" s="65"/>
      <c r="O39" s="65"/>
    </row>
    <row r="40" spans="1:16" s="81" customFormat="1" x14ac:dyDescent="0.25">
      <c r="A40" s="47"/>
      <c r="B40" s="47"/>
      <c r="C40" s="78"/>
      <c r="D40" s="47"/>
      <c r="E40" s="79"/>
      <c r="F40" s="79"/>
      <c r="G40" s="79"/>
      <c r="H40" s="80">
        <f>H39*219.969</f>
        <v>-3195709.6319999998</v>
      </c>
      <c r="I40" s="78">
        <f>I39*219.969</f>
        <v>-36404869.5</v>
      </c>
      <c r="J40" s="79"/>
      <c r="K40" s="47"/>
      <c r="L40" s="47"/>
      <c r="M40" s="47"/>
    </row>
    <row r="41" spans="1:16" s="81" customFormat="1" x14ac:dyDescent="0.25">
      <c r="A41" s="47"/>
      <c r="B41" s="47"/>
      <c r="C41" s="78"/>
      <c r="D41" s="47"/>
      <c r="E41" s="79"/>
      <c r="F41" s="79"/>
      <c r="G41" s="79"/>
      <c r="H41" s="80"/>
      <c r="I41" s="78"/>
      <c r="J41" s="79"/>
      <c r="K41" s="47"/>
      <c r="L41" s="47"/>
    </row>
    <row r="42" spans="1:16" x14ac:dyDescent="0.25">
      <c r="C42" s="82"/>
      <c r="I42" s="83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2022-08-02T05:48:27Z</dcterms:modified>
</cp:coreProperties>
</file>