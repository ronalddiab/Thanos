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6" windowHeight="805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34" i="3" l="1"/>
  <c r="K234" i="3"/>
  <c r="J234" i="3"/>
  <c r="I234" i="3"/>
  <c r="H234" i="3"/>
  <c r="M234" i="3" s="1"/>
  <c r="M233" i="3"/>
  <c r="L233" i="3"/>
  <c r="K233" i="3"/>
  <c r="J233" i="3"/>
  <c r="I233" i="3"/>
  <c r="H233" i="3"/>
  <c r="L232" i="3"/>
  <c r="K232" i="3"/>
  <c r="J232" i="3"/>
  <c r="M232" i="3" s="1"/>
  <c r="I232" i="3"/>
  <c r="H232" i="3"/>
  <c r="O233" i="4"/>
  <c r="L233" i="4"/>
  <c r="M233" i="4" s="1"/>
  <c r="J233" i="4"/>
  <c r="K233" i="4" s="1"/>
  <c r="I233" i="4"/>
  <c r="O232" i="4"/>
  <c r="M232" i="4"/>
  <c r="L232" i="4"/>
  <c r="J232" i="4"/>
  <c r="K232" i="4" s="1"/>
  <c r="I232" i="4"/>
  <c r="O231" i="4"/>
  <c r="L231" i="4"/>
  <c r="M231" i="4" s="1"/>
  <c r="K231" i="4"/>
  <c r="J231" i="4"/>
  <c r="I231" i="4"/>
  <c r="H225" i="3" l="1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<sst xmlns="http://schemas.openxmlformats.org/spreadsheetml/2006/main" count="616" uniqueCount="76">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</sst>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11" workbookViewId="0">
      <selection activeCell="O234" sqref="O234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32" customWidth="1"/>
    <col min="7" max="7" width="11.109375" customWidth="1"/>
    <col min="8" max="8" width="11" style="132" customWidth="1"/>
    <col min="9" max="9" width="11.5546875" customWidth="1"/>
    <col min="10" max="10" width="13.109375" style="132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31">
        <v>2.7</v>
      </c>
      <c r="G225" s="4">
        <f>'Gas Water'!M228</f>
        <v>65774</v>
      </c>
      <c r="H225" s="131">
        <v>13.68</v>
      </c>
      <c r="I225" s="2">
        <f>'Gas Water'!L228</f>
        <v>313</v>
      </c>
      <c r="J225" s="131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31">
        <v>2.7</v>
      </c>
      <c r="G226" s="4">
        <f>'Gas Water'!M229</f>
        <v>-54729</v>
      </c>
      <c r="H226" s="131">
        <v>13.68</v>
      </c>
      <c r="I226" s="2">
        <f>'Gas Water'!L229</f>
        <v>378</v>
      </c>
      <c r="J226" s="131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31">
        <v>2.7</v>
      </c>
      <c r="G227" s="4">
        <f>'Gas Water'!M230</f>
        <v>1363</v>
      </c>
      <c r="H227" s="131">
        <v>13.68</v>
      </c>
      <c r="I227" s="2">
        <f>'Gas Water'!L230</f>
        <v>318</v>
      </c>
      <c r="J227" s="131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31">
        <v>2.7</v>
      </c>
      <c r="G228" s="4">
        <f>'Gas Water'!M231</f>
        <v>3878</v>
      </c>
      <c r="H228" s="131">
        <v>13.68</v>
      </c>
      <c r="I228" s="2">
        <f>'Gas Water'!L231</f>
        <v>280</v>
      </c>
      <c r="J228" s="131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31">
        <v>2.7</v>
      </c>
      <c r="G229" s="4">
        <f>'Gas Water'!M232</f>
        <v>6576</v>
      </c>
      <c r="H229" s="131">
        <v>13.68</v>
      </c>
      <c r="I229" s="2">
        <f>'Gas Water'!L232</f>
        <v>268</v>
      </c>
      <c r="J229" s="131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31">
        <v>2.7</v>
      </c>
      <c r="G230" s="4">
        <f>'Gas Water'!M233</f>
        <v>6035</v>
      </c>
      <c r="H230" s="131">
        <v>13.68</v>
      </c>
      <c r="I230" s="2">
        <f>'Gas Water'!L233</f>
        <v>298</v>
      </c>
      <c r="J230" s="131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31">
        <v>2.7</v>
      </c>
      <c r="G231" s="4">
        <f>'Gas Water'!M234</f>
        <v>6037</v>
      </c>
      <c r="H231" s="131">
        <v>13.68</v>
      </c>
      <c r="I231" s="2">
        <f>'Gas Water'!L234</f>
        <v>288</v>
      </c>
      <c r="J231" s="131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31">
        <v>2.7</v>
      </c>
      <c r="G232" s="4">
        <f>'Gas Water'!M235</f>
        <v>6189</v>
      </c>
      <c r="H232" s="131">
        <v>13.68</v>
      </c>
      <c r="I232" s="2">
        <f>'Gas Water'!L235</f>
        <v>304</v>
      </c>
      <c r="J232" s="131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31">
        <v>2.7</v>
      </c>
      <c r="G233" s="4">
        <f>'Gas Water'!M236</f>
        <v>5975</v>
      </c>
      <c r="H233" s="131">
        <v>13.68</v>
      </c>
      <c r="I233" s="2">
        <f>'Gas Water'!L236</f>
        <v>305</v>
      </c>
      <c r="J233" s="131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31">
        <v>2.7</v>
      </c>
      <c r="G234" s="4">
        <f>'Gas Water'!M237</f>
        <v>5333</v>
      </c>
      <c r="H234" s="131">
        <v>13.68</v>
      </c>
      <c r="I234" s="2">
        <f>'Gas Water'!L237</f>
        <v>308</v>
      </c>
      <c r="J234" s="131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31">
        <v>2.7</v>
      </c>
      <c r="G235" s="4">
        <f>'Gas Water'!M238</f>
        <v>5922</v>
      </c>
      <c r="H235" s="131">
        <v>13.68</v>
      </c>
      <c r="I235" s="2">
        <f>'Gas Water'!L238</f>
        <v>358</v>
      </c>
      <c r="J235" s="131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1"/>
      <c r="G236" s="4" t="str">
        <f>'Gas Water'!M239</f>
        <v/>
      </c>
      <c r="H236" s="131"/>
      <c r="I236" s="2" t="str">
        <f>'Gas Water'!L239</f>
        <v/>
      </c>
      <c r="J236" s="131"/>
      <c r="K236" s="5"/>
      <c r="L236" s="5"/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1"/>
      <c r="G237" s="4" t="str">
        <f>'Gas Water'!M240</f>
        <v/>
      </c>
      <c r="H237" s="131"/>
      <c r="I237" s="2" t="str">
        <f>'Gas Water'!L240</f>
        <v/>
      </c>
      <c r="J237" s="131"/>
      <c r="K237" s="5"/>
      <c r="L237" s="5"/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1"/>
      <c r="G238" s="4" t="str">
        <f>'Gas Water'!M241</f>
        <v/>
      </c>
      <c r="H238" s="131"/>
      <c r="I238" s="2" t="str">
        <f>'Gas Water'!L241</f>
        <v/>
      </c>
      <c r="J238" s="131"/>
      <c r="K238" s="5"/>
      <c r="L238" s="5"/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1"/>
      <c r="G239" s="4" t="str">
        <f>'Gas Water'!M242</f>
        <v/>
      </c>
      <c r="H239" s="131"/>
      <c r="I239" s="2" t="str">
        <f>'Gas Water'!L242</f>
        <v/>
      </c>
      <c r="J239" s="131"/>
      <c r="K239" s="5"/>
      <c r="L239" s="5"/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1"/>
      <c r="G240" s="4" t="str">
        <f>'Gas Water'!M243</f>
        <v/>
      </c>
      <c r="H240" s="131"/>
      <c r="I240" s="2" t="str">
        <f>'Gas Water'!L243</f>
        <v/>
      </c>
      <c r="J240" s="131"/>
      <c r="K240" s="5"/>
      <c r="L240" s="5"/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1"/>
      <c r="G241" s="4" t="str">
        <f>'Gas Water'!M244</f>
        <v/>
      </c>
      <c r="H241" s="131"/>
      <c r="I241" s="2" t="str">
        <f>'Gas Water'!L244</f>
        <v/>
      </c>
      <c r="J241" s="131"/>
      <c r="K241" s="5"/>
      <c r="L241" s="5"/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1"/>
      <c r="G242" s="4" t="str">
        <f>'Gas Water'!M245</f>
        <v/>
      </c>
      <c r="H242" s="131"/>
      <c r="I242" s="2" t="str">
        <f>'Gas Water'!L245</f>
        <v/>
      </c>
      <c r="J242" s="131"/>
      <c r="K242" s="5"/>
      <c r="L242" s="5"/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1"/>
      <c r="G243" s="4" t="str">
        <f>'Gas Water'!M246</f>
        <v/>
      </c>
      <c r="H243" s="131"/>
      <c r="I243" s="2" t="str">
        <f>'Gas Water'!L246</f>
        <v/>
      </c>
      <c r="J243" s="131"/>
      <c r="K243" s="5"/>
      <c r="L243" s="5"/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1"/>
      <c r="G244" s="4" t="str">
        <f>'Gas Water'!M247</f>
        <v/>
      </c>
      <c r="H244" s="131"/>
      <c r="I244" s="2" t="str">
        <f>'Gas Water'!L247</f>
        <v/>
      </c>
      <c r="J244" s="131"/>
      <c r="K244" s="5"/>
      <c r="L244" s="5"/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1"/>
      <c r="G245" s="4" t="str">
        <f>'Gas Water'!M248</f>
        <v/>
      </c>
      <c r="H245" s="131"/>
      <c r="I245" s="2" t="str">
        <f>'Gas Water'!L248</f>
        <v/>
      </c>
      <c r="J245" s="131"/>
      <c r="K245" s="5"/>
      <c r="L245" s="5"/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1"/>
      <c r="G246" s="4" t="str">
        <f>'Gas Water'!M249</f>
        <v/>
      </c>
      <c r="H246" s="131"/>
      <c r="I246" s="2" t="str">
        <f>'Gas Water'!L249</f>
        <v/>
      </c>
      <c r="J246" s="131"/>
      <c r="K246" s="5"/>
      <c r="L246" s="5"/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1"/>
      <c r="G247" s="4" t="str">
        <f>'Gas Water'!M250</f>
        <v/>
      </c>
      <c r="H247" s="131"/>
      <c r="I247" s="2" t="str">
        <f>'Gas Water'!L250</f>
        <v/>
      </c>
      <c r="J247" s="131"/>
      <c r="K247" s="5"/>
      <c r="L247" s="5"/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1"/>
      <c r="G248" s="4" t="str">
        <f>'Gas Water'!M251</f>
        <v/>
      </c>
      <c r="H248" s="131"/>
      <c r="I248" s="2" t="str">
        <f>'Gas Water'!L251</f>
        <v/>
      </c>
      <c r="J248" s="131"/>
      <c r="K248" s="5"/>
      <c r="L248" s="5"/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1"/>
      <c r="G249" s="4" t="str">
        <f>'Gas Water'!M252</f>
        <v/>
      </c>
      <c r="H249" s="131"/>
      <c r="I249" s="2" t="str">
        <f>'Gas Water'!L252</f>
        <v/>
      </c>
      <c r="J249" s="131"/>
      <c r="K249" s="5"/>
      <c r="L249" s="5"/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1"/>
      <c r="G250" s="4" t="str">
        <f>'Gas Water'!M253</f>
        <v/>
      </c>
      <c r="H250" s="131"/>
      <c r="I250" s="2" t="str">
        <f>'Gas Water'!L253</f>
        <v/>
      </c>
      <c r="J250" s="131"/>
      <c r="K250" s="5"/>
      <c r="L250" s="5"/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1"/>
      <c r="G251" s="4" t="str">
        <f>'Gas Water'!M254</f>
        <v/>
      </c>
      <c r="H251" s="131"/>
      <c r="I251" s="2" t="str">
        <f>'Gas Water'!L254</f>
        <v/>
      </c>
      <c r="J251" s="131"/>
      <c r="K251" s="5"/>
      <c r="L251" s="5"/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1"/>
      <c r="G252" s="4" t="str">
        <f>'Gas Water'!M255</f>
        <v/>
      </c>
      <c r="H252" s="131"/>
      <c r="I252" s="2" t="str">
        <f>'Gas Water'!L255</f>
        <v/>
      </c>
      <c r="J252" s="131"/>
      <c r="K252" s="5"/>
      <c r="L252" s="5"/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1"/>
      <c r="G253" s="4" t="str">
        <f>'Gas Water'!M256</f>
        <v/>
      </c>
      <c r="H253" s="131"/>
      <c r="I253" s="2" t="str">
        <f>'Gas Water'!L256</f>
        <v/>
      </c>
      <c r="J253" s="131"/>
      <c r="K253" s="5"/>
      <c r="L253" s="5"/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1"/>
      <c r="G254" s="4" t="str">
        <f>'Gas Water'!M257</f>
        <v/>
      </c>
      <c r="H254" s="131"/>
      <c r="I254" s="2" t="str">
        <f>'Gas Water'!L257</f>
        <v/>
      </c>
      <c r="J254" s="131"/>
      <c r="K254" s="5"/>
      <c r="L254" s="5"/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1"/>
      <c r="G255" s="4" t="str">
        <f>'Gas Water'!M258</f>
        <v/>
      </c>
      <c r="H255" s="131"/>
      <c r="I255" s="2" t="str">
        <f>'Gas Water'!L258</f>
        <v/>
      </c>
      <c r="J255" s="131"/>
      <c r="K255" s="5"/>
      <c r="L255" s="5"/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1"/>
      <c r="G256" s="4" t="str">
        <f>'Gas Water'!M259</f>
        <v/>
      </c>
      <c r="H256" s="131"/>
      <c r="I256" s="2" t="str">
        <f>'Gas Water'!L259</f>
        <v/>
      </c>
      <c r="J256" s="131"/>
      <c r="K256" s="5"/>
      <c r="L256" s="5"/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1"/>
      <c r="G257" s="4" t="str">
        <f>'Gas Water'!M260</f>
        <v/>
      </c>
      <c r="H257" s="131"/>
      <c r="I257" s="2" t="str">
        <f>'Gas Water'!L260</f>
        <v/>
      </c>
      <c r="J257" s="131"/>
      <c r="K257" s="5"/>
      <c r="L257" s="5"/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1"/>
      <c r="G258" s="4" t="str">
        <f>'Gas Water'!M261</f>
        <v/>
      </c>
      <c r="H258" s="131"/>
      <c r="I258" s="2" t="str">
        <f>'Gas Water'!L261</f>
        <v/>
      </c>
      <c r="J258" s="131"/>
      <c r="K258" s="5"/>
      <c r="L258" s="5"/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1"/>
      <c r="G259" s="4" t="str">
        <f>'Gas Water'!M262</f>
        <v/>
      </c>
      <c r="H259" s="131"/>
      <c r="I259" s="2" t="str">
        <f>'Gas Water'!L262</f>
        <v/>
      </c>
      <c r="J259" s="131"/>
      <c r="K259" s="5"/>
      <c r="L259" s="5"/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1"/>
      <c r="G260" s="4" t="str">
        <f>'Gas Water'!M263</f>
        <v/>
      </c>
      <c r="H260" s="131"/>
      <c r="I260" s="2" t="str">
        <f>'Gas Water'!L263</f>
        <v/>
      </c>
      <c r="J260" s="131"/>
      <c r="K260" s="5"/>
      <c r="L260" s="5"/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1"/>
      <c r="G261" s="4" t="str">
        <f>'Gas Water'!M264</f>
        <v/>
      </c>
      <c r="H261" s="131"/>
      <c r="I261" s="2" t="str">
        <f>'Gas Water'!L264</f>
        <v/>
      </c>
      <c r="J261" s="131"/>
      <c r="K261" s="5"/>
      <c r="L261" s="5"/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1"/>
      <c r="G262" s="4" t="str">
        <f>'Gas Water'!M265</f>
        <v/>
      </c>
      <c r="H262" s="131"/>
      <c r="I262" s="2" t="str">
        <f>'Gas Water'!L265</f>
        <v/>
      </c>
      <c r="J262" s="131"/>
      <c r="K262" s="5"/>
      <c r="L262" s="5"/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/>
      <c r="G263" s="4" t="str">
        <f>'Gas Water'!M266</f>
        <v/>
      </c>
      <c r="H263" s="131"/>
      <c r="I263" s="2" t="str">
        <f>'Gas Water'!L266</f>
        <v/>
      </c>
      <c r="J263" s="131"/>
      <c r="K263" s="5"/>
      <c r="L263" s="5"/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/>
      <c r="G264" s="4" t="str">
        <f>'Gas Water'!M267</f>
        <v/>
      </c>
      <c r="H264" s="131"/>
      <c r="I264" s="2" t="str">
        <f>'Gas Water'!L267</f>
        <v/>
      </c>
      <c r="J264" s="131"/>
      <c r="K264" s="5"/>
      <c r="L264" s="5"/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/>
      <c r="G265" s="4" t="str">
        <f>'Gas Water'!M268</f>
        <v/>
      </c>
      <c r="H265" s="131"/>
      <c r="I265" s="2" t="str">
        <f>'Gas Water'!L268</f>
        <v/>
      </c>
      <c r="J265" s="131"/>
      <c r="K265" s="5"/>
      <c r="L265" s="5"/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/>
      <c r="G266" s="4" t="str">
        <f>'Gas Water'!M269</f>
        <v/>
      </c>
      <c r="H266" s="131"/>
      <c r="I266" s="2" t="str">
        <f>'Gas Water'!L269</f>
        <v/>
      </c>
      <c r="J266" s="131"/>
      <c r="K266" s="5"/>
      <c r="L266" s="5"/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/>
      <c r="G267" s="4" t="str">
        <f>'Gas Water'!M270</f>
        <v/>
      </c>
      <c r="H267" s="131"/>
      <c r="I267" s="2" t="str">
        <f>'Gas Water'!L270</f>
        <v/>
      </c>
      <c r="J267" s="131"/>
      <c r="K267" s="5"/>
      <c r="L267" s="5"/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/>
      <c r="G268" s="4" t="str">
        <f>'Gas Water'!M271</f>
        <v/>
      </c>
      <c r="H268" s="131"/>
      <c r="I268" s="2" t="str">
        <f>'Gas Water'!L271</f>
        <v/>
      </c>
      <c r="J268" s="131"/>
      <c r="K268" s="5"/>
      <c r="L268" s="5"/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/>
      <c r="G269" s="4" t="str">
        <f>'Gas Water'!M272</f>
        <v/>
      </c>
      <c r="H269" s="131"/>
      <c r="I269" s="2" t="str">
        <f>'Gas Water'!L272</f>
        <v/>
      </c>
      <c r="J269" s="131"/>
      <c r="K269" s="5"/>
      <c r="L269" s="5"/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/>
      <c r="G270" s="4" t="str">
        <f>'Gas Water'!M273</f>
        <v/>
      </c>
      <c r="H270" s="131"/>
      <c r="I270" s="2" t="str">
        <f>'Gas Water'!L273</f>
        <v/>
      </c>
      <c r="J270" s="131"/>
      <c r="K270" s="5"/>
      <c r="L270" s="5"/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/>
      <c r="G271" s="4" t="str">
        <f>'Gas Water'!M274</f>
        <v/>
      </c>
      <c r="H271" s="131"/>
      <c r="I271" s="2" t="str">
        <f>'Gas Water'!L274</f>
        <v/>
      </c>
      <c r="J271" s="131"/>
      <c r="K271" s="5"/>
      <c r="L271" s="5"/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/>
      <c r="G272" s="4" t="str">
        <f>'Gas Water'!M275</f>
        <v/>
      </c>
      <c r="H272" s="131"/>
      <c r="I272" s="2" t="str">
        <f>'Gas Water'!L275</f>
        <v/>
      </c>
      <c r="J272" s="131"/>
      <c r="K272" s="5"/>
      <c r="L272" s="5"/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/>
      <c r="G273" s="4" t="str">
        <f>'Gas Water'!M276</f>
        <v/>
      </c>
      <c r="H273" s="131"/>
      <c r="I273" s="2" t="str">
        <f>'Gas Water'!L276</f>
        <v/>
      </c>
      <c r="J273" s="131"/>
      <c r="K273" s="5"/>
      <c r="L273" s="5"/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/>
      <c r="G274" s="4" t="str">
        <f>'Gas Water'!M277</f>
        <v/>
      </c>
      <c r="H274" s="131"/>
      <c r="I274" s="2" t="str">
        <f>'Gas Water'!L277</f>
        <v/>
      </c>
      <c r="J274" s="131"/>
      <c r="K274" s="5"/>
      <c r="L274" s="5"/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/>
      <c r="G275" s="4" t="str">
        <f>'Gas Water'!M278</f>
        <v/>
      </c>
      <c r="H275" s="131"/>
      <c r="I275" s="2" t="str">
        <f>'Gas Water'!L278</f>
        <v/>
      </c>
      <c r="J275" s="131"/>
      <c r="K275" s="5"/>
      <c r="L275" s="5"/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/>
      <c r="G276" s="4" t="str">
        <f>'Gas Water'!M279</f>
        <v/>
      </c>
      <c r="H276" s="131"/>
      <c r="I276" s="2" t="str">
        <f>'Gas Water'!L279</f>
        <v/>
      </c>
      <c r="J276" s="131"/>
      <c r="K276" s="5"/>
      <c r="L276" s="5"/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/>
      <c r="G277" s="4" t="str">
        <f>'Gas Water'!M280</f>
        <v/>
      </c>
      <c r="H277" s="131"/>
      <c r="I277" s="2" t="str">
        <f>'Gas Water'!L280</f>
        <v/>
      </c>
      <c r="J277" s="131"/>
      <c r="K277" s="5"/>
      <c r="L277" s="5"/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/>
      <c r="G278" s="4" t="str">
        <f>'Gas Water'!M281</f>
        <v/>
      </c>
      <c r="H278" s="131"/>
      <c r="I278" s="2" t="str">
        <f>'Gas Water'!L281</f>
        <v/>
      </c>
      <c r="J278" s="131"/>
      <c r="K278" s="5"/>
      <c r="L278" s="5"/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/>
      <c r="G279" s="4" t="str">
        <f>'Gas Water'!M282</f>
        <v/>
      </c>
      <c r="H279" s="131"/>
      <c r="I279" s="2" t="str">
        <f>'Gas Water'!L282</f>
        <v/>
      </c>
      <c r="J279" s="131"/>
      <c r="K279" s="5"/>
      <c r="L279" s="5"/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/>
      <c r="G280" s="4" t="str">
        <f>'Gas Water'!M283</f>
        <v/>
      </c>
      <c r="H280" s="131"/>
      <c r="I280" s="2" t="str">
        <f>'Gas Water'!L283</f>
        <v/>
      </c>
      <c r="J280" s="131"/>
      <c r="K280" s="5"/>
      <c r="L280" s="5"/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/>
      <c r="G281" s="4" t="str">
        <f>'Gas Water'!M284</f>
        <v/>
      </c>
      <c r="H281" s="131"/>
      <c r="I281" s="2" t="str">
        <f>'Gas Water'!L284</f>
        <v/>
      </c>
      <c r="J281" s="131"/>
      <c r="K281" s="5"/>
      <c r="L281" s="5"/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/>
      <c r="G282" s="4" t="str">
        <f>'Gas Water'!M285</f>
        <v/>
      </c>
      <c r="H282" s="131"/>
      <c r="I282" s="2" t="str">
        <f>'Gas Water'!L285</f>
        <v/>
      </c>
      <c r="J282" s="131"/>
      <c r="K282" s="5"/>
      <c r="L282" s="5"/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/>
      <c r="G283" s="4" t="str">
        <f>'Gas Water'!M286</f>
        <v/>
      </c>
      <c r="H283" s="131"/>
      <c r="I283" s="2" t="str">
        <f>'Gas Water'!L286</f>
        <v/>
      </c>
      <c r="J283" s="131"/>
      <c r="K283" s="5"/>
      <c r="L283" s="5"/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/>
      <c r="G284" s="4" t="str">
        <f>'Gas Water'!M287</f>
        <v/>
      </c>
      <c r="H284" s="131"/>
      <c r="I284" s="2" t="str">
        <f>'Gas Water'!L287</f>
        <v/>
      </c>
      <c r="J284" s="131"/>
      <c r="K284" s="5"/>
      <c r="L284" s="5"/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/>
      <c r="G285" s="4" t="str">
        <f>'Gas Water'!M288</f>
        <v/>
      </c>
      <c r="H285" s="131"/>
      <c r="I285" s="2" t="str">
        <f>'Gas Water'!L288</f>
        <v/>
      </c>
      <c r="J285" s="131"/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/>
      <c r="G286" s="4" t="str">
        <f>'Gas Water'!M289</f>
        <v/>
      </c>
      <c r="H286" s="131"/>
      <c r="I286" s="2" t="str">
        <f>'Gas Water'!L289</f>
        <v/>
      </c>
      <c r="J286" s="131"/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/>
      <c r="G287" s="4" t="str">
        <f>'Gas Water'!M290</f>
        <v/>
      </c>
      <c r="H287" s="131"/>
      <c r="I287" s="2" t="str">
        <f>'Gas Water'!L290</f>
        <v/>
      </c>
      <c r="J287" s="131"/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/>
      <c r="G288" s="4" t="str">
        <f>'Gas Water'!M291</f>
        <v/>
      </c>
      <c r="H288" s="131"/>
      <c r="I288" s="2" t="str">
        <f>'Gas Water'!L291</f>
        <v/>
      </c>
      <c r="J288" s="131"/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/>
      <c r="G289" s="4" t="str">
        <f>'Gas Water'!M292</f>
        <v/>
      </c>
      <c r="H289" s="131"/>
      <c r="I289" s="2" t="str">
        <f>'Gas Water'!L292</f>
        <v/>
      </c>
      <c r="J289" s="131"/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/>
      <c r="G290" s="4" t="str">
        <f>'Gas Water'!M293</f>
        <v/>
      </c>
      <c r="H290" s="131"/>
      <c r="I290" s="2" t="str">
        <f>'Gas Water'!L293</f>
        <v/>
      </c>
      <c r="J290" s="131"/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/>
      <c r="G291" s="4" t="str">
        <f>'Gas Water'!M294</f>
        <v/>
      </c>
      <c r="H291" s="131"/>
      <c r="I291" s="2" t="str">
        <f>'Gas Water'!L294</f>
        <v/>
      </c>
      <c r="J291" s="131"/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/>
      <c r="G292" s="4" t="str">
        <f>'Gas Water'!M295</f>
        <v/>
      </c>
      <c r="H292" s="131"/>
      <c r="I292" s="2" t="str">
        <f>'Gas Water'!L295</f>
        <v/>
      </c>
      <c r="J292" s="131"/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/>
      <c r="G293" s="4" t="str">
        <f>'Gas Water'!M296</f>
        <v/>
      </c>
      <c r="H293" s="131"/>
      <c r="I293" s="2" t="str">
        <f>'Gas Water'!L296</f>
        <v/>
      </c>
      <c r="J293" s="131"/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/>
      <c r="G294" s="4" t="str">
        <f>'Gas Water'!M297</f>
        <v/>
      </c>
      <c r="H294" s="131"/>
      <c r="I294" s="2" t="str">
        <f>'Gas Water'!L297</f>
        <v/>
      </c>
      <c r="J294" s="131"/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/>
      <c r="G295" s="4" t="str">
        <f>'Gas Water'!M298</f>
        <v/>
      </c>
      <c r="H295" s="131"/>
      <c r="I295" s="2" t="str">
        <f>'Gas Water'!L298</f>
        <v/>
      </c>
      <c r="J295" s="131"/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/>
      <c r="G296" s="4" t="str">
        <f>'Gas Water'!M299</f>
        <v/>
      </c>
      <c r="H296" s="131"/>
      <c r="I296" s="2" t="str">
        <f>'Gas Water'!L299</f>
        <v/>
      </c>
      <c r="J296" s="131"/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/>
      <c r="G297" s="4" t="str">
        <f>'Gas Water'!M300</f>
        <v/>
      </c>
      <c r="H297" s="131"/>
      <c r="I297" s="2" t="str">
        <f>'Gas Water'!L300</f>
        <v/>
      </c>
      <c r="J297" s="131"/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/>
      <c r="G298" s="4" t="str">
        <f>'Gas Water'!M301</f>
        <v/>
      </c>
      <c r="H298" s="131"/>
      <c r="I298" s="2" t="str">
        <f>'Gas Water'!L301</f>
        <v/>
      </c>
      <c r="J298" s="131"/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/>
      <c r="G299" s="4" t="str">
        <f>'Gas Water'!M302</f>
        <v/>
      </c>
      <c r="H299" s="131"/>
      <c r="I299" s="2" t="str">
        <f>'Gas Water'!L302</f>
        <v/>
      </c>
      <c r="J299" s="131"/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/>
      <c r="G300" s="4" t="str">
        <f>'Gas Water'!M303</f>
        <v/>
      </c>
      <c r="H300" s="131"/>
      <c r="I300" s="2" t="str">
        <f>'Gas Water'!L303</f>
        <v/>
      </c>
      <c r="J300" s="131"/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/>
      <c r="G301" s="4" t="str">
        <f>'Gas Water'!M304</f>
        <v/>
      </c>
      <c r="H301" s="131"/>
      <c r="I301" s="2" t="str">
        <f>'Gas Water'!L304</f>
        <v/>
      </c>
      <c r="J301" s="131"/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/>
      <c r="G302" s="4" t="str">
        <f>'Gas Water'!M305</f>
        <v/>
      </c>
      <c r="H302" s="131"/>
      <c r="I302" s="2" t="str">
        <f>'Gas Water'!L305</f>
        <v/>
      </c>
      <c r="J302" s="131"/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/>
      <c r="G303" s="4" t="str">
        <f>'Gas Water'!M306</f>
        <v/>
      </c>
      <c r="H303" s="131"/>
      <c r="I303" s="2" t="str">
        <f>'Gas Water'!L306</f>
        <v/>
      </c>
      <c r="J303" s="131"/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/>
      <c r="G304" s="4" t="str">
        <f>'Gas Water'!M307</f>
        <v/>
      </c>
      <c r="H304" s="131"/>
      <c r="I304" s="2" t="str">
        <f>'Gas Water'!L307</f>
        <v/>
      </c>
      <c r="J304" s="131"/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/>
      <c r="G305" s="4" t="str">
        <f>'Gas Water'!M308</f>
        <v/>
      </c>
      <c r="H305" s="131"/>
      <c r="I305" s="2" t="str">
        <f>'Gas Water'!L308</f>
        <v/>
      </c>
      <c r="J305" s="131"/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/>
      <c r="G306" s="4" t="str">
        <f>'Gas Water'!M309</f>
        <v/>
      </c>
      <c r="H306" s="131"/>
      <c r="I306" s="2" t="str">
        <f>'Gas Water'!L309</f>
        <v/>
      </c>
      <c r="J306" s="131"/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/>
      <c r="G307" s="4" t="str">
        <f>'Gas Water'!M310</f>
        <v/>
      </c>
      <c r="H307" s="131"/>
      <c r="I307" s="2" t="str">
        <f>'Gas Water'!L310</f>
        <v/>
      </c>
      <c r="J307" s="131"/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/>
      <c r="G308" s="4" t="str">
        <f>'Gas Water'!M311</f>
        <v/>
      </c>
      <c r="H308" s="131"/>
      <c r="I308" s="2" t="str">
        <f>'Gas Water'!L311</f>
        <v/>
      </c>
      <c r="J308" s="131"/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/>
      <c r="G309" s="4" t="str">
        <f>'Gas Water'!M312</f>
        <v/>
      </c>
      <c r="H309" s="131"/>
      <c r="I309" s="2" t="str">
        <f>'Gas Water'!L312</f>
        <v/>
      </c>
      <c r="J309" s="131"/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/>
      <c r="G310" s="4" t="str">
        <f>'Gas Water'!M313</f>
        <v/>
      </c>
      <c r="H310" s="131"/>
      <c r="I310" s="2" t="str">
        <f>'Gas Water'!L313</f>
        <v/>
      </c>
      <c r="J310" s="131"/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/>
      <c r="G311" s="4" t="str">
        <f>'Gas Water'!M314</f>
        <v/>
      </c>
      <c r="H311" s="131"/>
      <c r="I311" s="2" t="str">
        <f>'Gas Water'!L314</f>
        <v/>
      </c>
      <c r="J311" s="131"/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/>
      <c r="G312" s="4" t="str">
        <f>'Gas Water'!M315</f>
        <v/>
      </c>
      <c r="H312" s="131"/>
      <c r="I312" s="2" t="str">
        <f>'Gas Water'!L315</f>
        <v/>
      </c>
      <c r="J312" s="131"/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/>
      <c r="G313" s="4" t="str">
        <f>'Gas Water'!M316</f>
        <v/>
      </c>
      <c r="H313" s="131"/>
      <c r="I313" s="2" t="str">
        <f>'Gas Water'!L316</f>
        <v/>
      </c>
      <c r="J313" s="131"/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/>
      <c r="G314" s="4" t="str">
        <f>'Gas Water'!M317</f>
        <v/>
      </c>
      <c r="H314" s="131"/>
      <c r="I314" s="2" t="str">
        <f>'Gas Water'!L317</f>
        <v/>
      </c>
      <c r="J314" s="131"/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/>
      <c r="G315" s="4" t="str">
        <f>'Gas Water'!M318</f>
        <v/>
      </c>
      <c r="H315" s="131"/>
      <c r="I315" s="2" t="str">
        <f>'Gas Water'!L318</f>
        <v/>
      </c>
      <c r="J315" s="131"/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/>
      <c r="G316" s="4" t="str">
        <f>'Gas Water'!M319</f>
        <v/>
      </c>
      <c r="H316" s="131"/>
      <c r="I316" s="2" t="str">
        <f>'Gas Water'!L319</f>
        <v/>
      </c>
      <c r="J316" s="131"/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/>
      <c r="G317" s="4" t="str">
        <f>'Gas Water'!M320</f>
        <v/>
      </c>
      <c r="H317" s="131"/>
      <c r="I317" s="2" t="str">
        <f>'Gas Water'!L320</f>
        <v/>
      </c>
      <c r="J317" s="131"/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/>
      <c r="G318" s="4" t="str">
        <f>'Gas Water'!M321</f>
        <v/>
      </c>
      <c r="H318" s="131"/>
      <c r="I318" s="2" t="str">
        <f>'Gas Water'!L321</f>
        <v/>
      </c>
      <c r="J318" s="131"/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/>
      <c r="G319" s="4" t="str">
        <f>'Gas Water'!M322</f>
        <v/>
      </c>
      <c r="H319" s="131"/>
      <c r="I319" s="2" t="str">
        <f>'Gas Water'!L322</f>
        <v/>
      </c>
      <c r="J319" s="131"/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/>
      <c r="G320" s="4" t="str">
        <f>'Gas Water'!M323</f>
        <v/>
      </c>
      <c r="H320" s="131"/>
      <c r="I320" s="2" t="str">
        <f>'Gas Water'!L323</f>
        <v/>
      </c>
      <c r="J320" s="131"/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/>
      <c r="G321" s="4" t="str">
        <f>'Gas Water'!M324</f>
        <v/>
      </c>
      <c r="H321" s="131"/>
      <c r="I321" s="2" t="str">
        <f>'Gas Water'!L324</f>
        <v/>
      </c>
      <c r="J321" s="131"/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/>
      <c r="G322" s="4" t="str">
        <f>'Gas Water'!M325</f>
        <v/>
      </c>
      <c r="H322" s="131"/>
      <c r="I322" s="2" t="str">
        <f>'Gas Water'!L325</f>
        <v/>
      </c>
      <c r="J322" s="131"/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/>
      <c r="G323" s="4" t="str">
        <f>'Gas Water'!M326</f>
        <v/>
      </c>
      <c r="H323" s="131"/>
      <c r="I323" s="2" t="str">
        <f>'Gas Water'!L326</f>
        <v/>
      </c>
      <c r="J323" s="131"/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/>
      <c r="G324" s="4" t="str">
        <f>'Gas Water'!M327</f>
        <v/>
      </c>
      <c r="H324" s="131"/>
      <c r="I324" s="2" t="str">
        <f>'Gas Water'!L327</f>
        <v/>
      </c>
      <c r="J324" s="131"/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/>
      <c r="G325" s="4" t="str">
        <f>'Gas Water'!M328</f>
        <v/>
      </c>
      <c r="H325" s="131"/>
      <c r="I325" s="2" t="str">
        <f>'Gas Water'!L328</f>
        <v/>
      </c>
      <c r="J325" s="131"/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/>
      <c r="G326" s="4" t="str">
        <f>'Gas Water'!M329</f>
        <v/>
      </c>
      <c r="H326" s="131"/>
      <c r="I326" s="2" t="str">
        <f>'Gas Water'!L329</f>
        <v/>
      </c>
      <c r="J326" s="131"/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/>
      <c r="G327" s="4" t="str">
        <f>'Gas Water'!M330</f>
        <v/>
      </c>
      <c r="H327" s="131"/>
      <c r="I327" s="2" t="str">
        <f>'Gas Water'!L330</f>
        <v/>
      </c>
      <c r="J327" s="131"/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/>
      <c r="G328" s="4" t="str">
        <f>'Gas Water'!M331</f>
        <v/>
      </c>
      <c r="H328" s="131"/>
      <c r="I328" s="2" t="str">
        <f>'Gas Water'!L331</f>
        <v/>
      </c>
      <c r="J328" s="131"/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/>
      <c r="G329" s="4" t="str">
        <f>'Gas Water'!M332</f>
        <v/>
      </c>
      <c r="H329" s="131"/>
      <c r="I329" s="2" t="str">
        <f>'Gas Water'!L332</f>
        <v/>
      </c>
      <c r="J329" s="131"/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/>
      <c r="G330" s="4" t="str">
        <f>'Gas Water'!M333</f>
        <v/>
      </c>
      <c r="H330" s="131"/>
      <c r="I330" s="2" t="str">
        <f>'Gas Water'!L333</f>
        <v/>
      </c>
      <c r="J330" s="131"/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/>
      <c r="G331" s="4" t="str">
        <f>'Gas Water'!M334</f>
        <v/>
      </c>
      <c r="H331" s="131"/>
      <c r="I331" s="2" t="str">
        <f>'Gas Water'!L334</f>
        <v/>
      </c>
      <c r="J331" s="131"/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/>
      <c r="G332" s="4" t="str">
        <f>'Gas Water'!M335</f>
        <v/>
      </c>
      <c r="H332" s="131"/>
      <c r="I332" s="2" t="str">
        <f>'Gas Water'!L335</f>
        <v/>
      </c>
      <c r="J332" s="131"/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/>
      <c r="G333" s="4" t="str">
        <f>'Gas Water'!M336</f>
        <v/>
      </c>
      <c r="H333" s="131"/>
      <c r="I333" s="2" t="str">
        <f>'Gas Water'!L336</f>
        <v/>
      </c>
      <c r="J333" s="131"/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/>
      <c r="G334" s="4" t="str">
        <f>'Gas Water'!M337</f>
        <v/>
      </c>
      <c r="H334" s="131"/>
      <c r="I334" s="2" t="str">
        <f>'Gas Water'!L337</f>
        <v/>
      </c>
      <c r="J334" s="131"/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/>
      <c r="G335" s="4" t="str">
        <f>'Gas Water'!M338</f>
        <v/>
      </c>
      <c r="H335" s="131"/>
      <c r="I335" s="2" t="str">
        <f>'Gas Water'!L338</f>
        <v/>
      </c>
      <c r="J335" s="131"/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/>
      <c r="G336" s="4" t="str">
        <f>'Gas Water'!M339</f>
        <v/>
      </c>
      <c r="H336" s="131"/>
      <c r="I336" s="2" t="str">
        <f>'Gas Water'!L339</f>
        <v/>
      </c>
      <c r="J336" s="131"/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/>
      <c r="G337" s="4" t="str">
        <f>'Gas Water'!M340</f>
        <v/>
      </c>
      <c r="H337" s="131"/>
      <c r="I337" s="2" t="str">
        <f>'Gas Water'!L340</f>
        <v/>
      </c>
      <c r="J337" s="131"/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/>
      <c r="G338" s="4" t="str">
        <f>'Gas Water'!M341</f>
        <v/>
      </c>
      <c r="H338" s="131"/>
      <c r="I338" s="2" t="str">
        <f>'Gas Water'!L341</f>
        <v/>
      </c>
      <c r="J338" s="131"/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/>
      <c r="G339" s="4" t="str">
        <f>'Gas Water'!M342</f>
        <v/>
      </c>
      <c r="H339" s="131"/>
      <c r="I339" s="2" t="str">
        <f>'Gas Water'!L342</f>
        <v/>
      </c>
      <c r="J339" s="131"/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/>
      <c r="G340" s="4" t="str">
        <f>'Gas Water'!M343</f>
        <v/>
      </c>
      <c r="H340" s="131"/>
      <c r="I340" s="2" t="str">
        <f>'Gas Water'!L343</f>
        <v/>
      </c>
      <c r="J340" s="131"/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/>
      <c r="G341" s="4" t="str">
        <f>'Gas Water'!M344</f>
        <v/>
      </c>
      <c r="H341" s="131"/>
      <c r="I341" s="2" t="str">
        <f>'Gas Water'!L344</f>
        <v/>
      </c>
      <c r="J341" s="131"/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/>
      <c r="G342" s="4" t="str">
        <f>'Gas Water'!M345</f>
        <v/>
      </c>
      <c r="H342" s="131"/>
      <c r="I342" s="2" t="str">
        <f>'Gas Water'!L345</f>
        <v/>
      </c>
      <c r="J342" s="131"/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/>
      <c r="G343" s="4" t="str">
        <f>'Gas Water'!M346</f>
        <v/>
      </c>
      <c r="H343" s="131"/>
      <c r="I343" s="2" t="str">
        <f>'Gas Water'!L346</f>
        <v/>
      </c>
      <c r="J343" s="131"/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/>
      <c r="G344" s="4" t="str">
        <f>'Gas Water'!M347</f>
        <v/>
      </c>
      <c r="H344" s="131"/>
      <c r="I344" s="2" t="str">
        <f>'Gas Water'!L347</f>
        <v/>
      </c>
      <c r="J344" s="131"/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/>
      <c r="G345" s="4" t="str">
        <f>'Gas Water'!M348</f>
        <v/>
      </c>
      <c r="H345" s="131"/>
      <c r="I345" s="2" t="str">
        <f>'Gas Water'!L348</f>
        <v/>
      </c>
      <c r="J345" s="131"/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/>
      <c r="G346" s="4" t="str">
        <f>'Gas Water'!M349</f>
        <v/>
      </c>
      <c r="H346" s="131"/>
      <c r="I346" s="2" t="str">
        <f>'Gas Water'!L349</f>
        <v/>
      </c>
      <c r="J346" s="131"/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/>
      <c r="G347" s="4" t="str">
        <f>'Gas Water'!M350</f>
        <v/>
      </c>
      <c r="H347" s="131"/>
      <c r="I347" s="2" t="str">
        <f>'Gas Water'!L350</f>
        <v/>
      </c>
      <c r="J347" s="131"/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/>
      <c r="G348" s="4" t="str">
        <f>'Gas Water'!M351</f>
        <v/>
      </c>
      <c r="H348" s="131"/>
      <c r="I348" s="2" t="str">
        <f>'Gas Water'!L351</f>
        <v/>
      </c>
      <c r="J348" s="131"/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/>
      <c r="G349" s="4" t="str">
        <f>'Gas Water'!M352</f>
        <v/>
      </c>
      <c r="H349" s="131"/>
      <c r="I349" s="2" t="str">
        <f>'Gas Water'!L352</f>
        <v/>
      </c>
      <c r="J349" s="131"/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/>
      <c r="G350" s="4" t="str">
        <f>'Gas Water'!M353</f>
        <v/>
      </c>
      <c r="H350" s="131"/>
      <c r="I350" s="2" t="str">
        <f>'Gas Water'!L353</f>
        <v/>
      </c>
      <c r="J350" s="131"/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/>
      <c r="G351" s="4" t="str">
        <f>'Gas Water'!M354</f>
        <v/>
      </c>
      <c r="H351" s="131"/>
      <c r="I351" s="2" t="str">
        <f>'Gas Water'!L354</f>
        <v/>
      </c>
      <c r="J351" s="131"/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/>
      <c r="G352" s="4" t="str">
        <f>'Gas Water'!M355</f>
        <v/>
      </c>
      <c r="H352" s="131"/>
      <c r="I352" s="2" t="str">
        <f>'Gas Water'!L355</f>
        <v/>
      </c>
      <c r="J352" s="131"/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/>
      <c r="G353" s="4" t="str">
        <f>'Gas Water'!M356</f>
        <v/>
      </c>
      <c r="H353" s="131"/>
      <c r="I353" s="2" t="str">
        <f>'Gas Water'!L356</f>
        <v/>
      </c>
      <c r="J353" s="131"/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/>
      <c r="G354" s="4" t="str">
        <f>'Gas Water'!M357</f>
        <v/>
      </c>
      <c r="H354" s="131"/>
      <c r="I354" s="2" t="str">
        <f>'Gas Water'!L357</f>
        <v/>
      </c>
      <c r="J354" s="131"/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/>
      <c r="G355" s="4" t="str">
        <f>'Gas Water'!M358</f>
        <v/>
      </c>
      <c r="H355" s="131"/>
      <c r="I355" s="2" t="str">
        <f>'Gas Water'!L358</f>
        <v/>
      </c>
      <c r="J355" s="131"/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/>
      <c r="G356" s="4" t="str">
        <f>'Gas Water'!M359</f>
        <v/>
      </c>
      <c r="H356" s="131"/>
      <c r="I356" s="2" t="str">
        <f>'Gas Water'!L359</f>
        <v/>
      </c>
      <c r="J356" s="131"/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/>
      <c r="G357" s="4" t="str">
        <f>'Gas Water'!M360</f>
        <v/>
      </c>
      <c r="H357" s="131"/>
      <c r="I357" s="2" t="str">
        <f>'Gas Water'!L360</f>
        <v/>
      </c>
      <c r="J357" s="131"/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/>
      <c r="G358" s="4" t="str">
        <f>'Gas Water'!M361</f>
        <v/>
      </c>
      <c r="H358" s="131"/>
      <c r="I358" s="2" t="str">
        <f>'Gas Water'!L361</f>
        <v/>
      </c>
      <c r="J358" s="131"/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/>
      <c r="G359" s="4" t="str">
        <f>'Gas Water'!M362</f>
        <v/>
      </c>
      <c r="H359" s="131"/>
      <c r="I359" s="2" t="str">
        <f>'Gas Water'!L362</f>
        <v/>
      </c>
      <c r="J359" s="131"/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/>
      <c r="G360" s="4" t="str">
        <f>'Gas Water'!M363</f>
        <v/>
      </c>
      <c r="H360" s="131"/>
      <c r="I360" s="2" t="str">
        <f>'Gas Water'!L363</f>
        <v/>
      </c>
      <c r="J360" s="131"/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/>
      <c r="G361" s="4" t="str">
        <f>'Gas Water'!M364</f>
        <v/>
      </c>
      <c r="H361" s="131"/>
      <c r="I361" s="2" t="str">
        <f>'Gas Water'!L364</f>
        <v/>
      </c>
      <c r="J361" s="131"/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/>
      <c r="G362" s="4" t="str">
        <f>'Gas Water'!M365</f>
        <v/>
      </c>
      <c r="H362" s="131"/>
      <c r="I362" s="2" t="str">
        <f>'Gas Water'!L365</f>
        <v/>
      </c>
      <c r="J362" s="131"/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/>
      <c r="G363" s="4" t="str">
        <f>'Gas Water'!M366</f>
        <v/>
      </c>
      <c r="H363" s="131"/>
      <c r="I363" s="2" t="str">
        <f>'Gas Water'!L366</f>
        <v/>
      </c>
      <c r="J363" s="131"/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/>
      <c r="G364" s="4" t="str">
        <f>'Gas Water'!M367</f>
        <v/>
      </c>
      <c r="H364" s="131"/>
      <c r="I364" s="2" t="str">
        <f>'Gas Water'!L367</f>
        <v/>
      </c>
      <c r="J364" s="131"/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/>
      <c r="G365" s="4" t="str">
        <f>'Gas Water'!M368</f>
        <v/>
      </c>
      <c r="H365" s="131"/>
      <c r="I365" s="2" t="str">
        <f>'Gas Water'!L368</f>
        <v/>
      </c>
      <c r="J365" s="131"/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/>
      <c r="G366" s="4">
        <f>'Gas Water'!M369</f>
        <v>0</v>
      </c>
      <c r="H366" s="131"/>
      <c r="I366" s="2">
        <f>'Gas Water'!L369</f>
        <v>0</v>
      </c>
      <c r="J366" s="13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14" workbookViewId="0">
      <selection activeCell="M240" sqref="M240"/>
    </sheetView>
  </sheetViews>
  <sheetFormatPr defaultColWidth="9.109375" defaultRowHeight="14.4" x14ac:dyDescent="0.3"/>
  <cols>
    <col min="1" max="1" width="10.88671875" style="129" customWidth="1"/>
    <col min="2" max="2" width="0.109375" style="1" customWidth="1"/>
    <col min="3" max="3" width="4.44140625" style="1" hidden="1" customWidth="1"/>
    <col min="4" max="4" width="13.5546875" style="128" customWidth="1"/>
    <col min="5" max="5" width="10" style="128" customWidth="1"/>
    <col min="6" max="6" width="9.6640625" style="128" customWidth="1"/>
    <col min="7" max="7" width="11.33203125" style="61" hidden="1" customWidth="1"/>
    <col min="8" max="8" width="11.33203125" style="61" customWidth="1"/>
    <col min="9" max="9" width="11.6640625" style="61" customWidth="1"/>
    <col min="10" max="10" width="12" style="61" customWidth="1"/>
    <col min="11" max="11" width="10.44140625" style="61" customWidth="1"/>
    <col min="12" max="12" width="12.6640625" style="61" bestFit="1" customWidth="1"/>
    <col min="13" max="13" width="10.6640625" style="61" bestFit="1" customWidth="1"/>
    <col min="14" max="14" width="14.109375" style="61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55"/>
    </row>
    <row r="2" spans="1:41" ht="15" thickBot="1" x14ac:dyDescent="0.35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" thickBot="1" x14ac:dyDescent="0.35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" thickBot="1" x14ac:dyDescent="0.35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" thickBot="1" x14ac:dyDescent="0.35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" thickBot="1" x14ac:dyDescent="0.35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" thickBot="1" x14ac:dyDescent="0.35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" thickBot="1" x14ac:dyDescent="0.35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" thickBot="1" x14ac:dyDescent="0.35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" thickBot="1" x14ac:dyDescent="0.35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" thickBot="1" x14ac:dyDescent="0.35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" thickBot="1" x14ac:dyDescent="0.35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" thickBot="1" x14ac:dyDescent="0.35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" thickBot="1" x14ac:dyDescent="0.35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" thickBot="1" x14ac:dyDescent="0.35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" thickBot="1" x14ac:dyDescent="0.35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" thickBot="1" x14ac:dyDescent="0.35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" thickBot="1" x14ac:dyDescent="0.35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" thickBot="1" x14ac:dyDescent="0.35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" thickBot="1" x14ac:dyDescent="0.35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" thickBot="1" x14ac:dyDescent="0.35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6"/>
    </row>
    <row r="22" spans="1:21" ht="15" thickBot="1" x14ac:dyDescent="0.35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6"/>
      <c r="Q22" s="167"/>
      <c r="R22" s="19">
        <f t="shared" si="7"/>
        <v>1</v>
      </c>
      <c r="S22" s="19">
        <f t="shared" si="8"/>
        <v>0</v>
      </c>
      <c r="T22" s="156"/>
    </row>
    <row r="23" spans="1:21" ht="15" thickBot="1" x14ac:dyDescent="0.35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29</v>
      </c>
      <c r="Q23" s="64" t="s">
        <v>30</v>
      </c>
      <c r="R23" s="19">
        <f>IF(N23="",0,1)</f>
        <v>1</v>
      </c>
      <c r="S23" s="19">
        <f t="shared" si="8"/>
        <v>0</v>
      </c>
      <c r="T23" s="155"/>
    </row>
    <row r="24" spans="1:21" ht="15" thickBot="1" x14ac:dyDescent="0.35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" thickBot="1" x14ac:dyDescent="0.35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" thickBot="1" x14ac:dyDescent="0.35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31</v>
      </c>
      <c r="Q26" s="68" t="s">
        <v>32</v>
      </c>
      <c r="R26" s="19">
        <f t="shared" si="7"/>
        <v>1</v>
      </c>
      <c r="S26" s="19">
        <f t="shared" si="8"/>
        <v>0</v>
      </c>
      <c r="T26" s="156"/>
    </row>
    <row r="27" spans="1:21" ht="15" thickBot="1" x14ac:dyDescent="0.35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" thickBot="1" x14ac:dyDescent="0.35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33</v>
      </c>
      <c r="Q28" s="72" t="s">
        <v>34</v>
      </c>
      <c r="R28" s="19">
        <f t="shared" si="7"/>
        <v>1</v>
      </c>
      <c r="S28" s="19">
        <f t="shared" si="8"/>
        <v>0</v>
      </c>
      <c r="T28" s="155"/>
    </row>
    <row r="29" spans="1:21" ht="15" thickBot="1" x14ac:dyDescent="0.35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" thickBot="1" x14ac:dyDescent="0.35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35</v>
      </c>
      <c r="Q30" s="158" t="s">
        <v>36</v>
      </c>
      <c r="R30" s="19">
        <f t="shared" si="7"/>
        <v>1</v>
      </c>
      <c r="S30" s="19">
        <f t="shared" si="8"/>
        <v>0</v>
      </c>
      <c r="T30" s="156"/>
    </row>
    <row r="31" spans="1:21" ht="15" thickBot="1" x14ac:dyDescent="0.35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 x14ac:dyDescent="0.35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37</v>
      </c>
      <c r="Q32" s="160" t="s">
        <v>38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" thickBot="1" x14ac:dyDescent="0.35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" thickBot="1" x14ac:dyDescent="0.35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39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" thickBot="1" x14ac:dyDescent="0.35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" thickBot="1" x14ac:dyDescent="0.35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" thickBot="1" x14ac:dyDescent="0.35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" thickBot="1" x14ac:dyDescent="0.35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" thickBot="1" x14ac:dyDescent="0.35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" thickBot="1" x14ac:dyDescent="0.35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" thickBot="1" x14ac:dyDescent="0.35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" thickBot="1" x14ac:dyDescent="0.35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" thickBot="1" x14ac:dyDescent="0.35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" thickBot="1" x14ac:dyDescent="0.35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" thickBot="1" x14ac:dyDescent="0.35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" thickBot="1" x14ac:dyDescent="0.35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" thickBot="1" x14ac:dyDescent="0.35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" thickBot="1" x14ac:dyDescent="0.35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" thickBot="1" x14ac:dyDescent="0.35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5"/>
    </row>
    <row r="50" spans="1:20" ht="15" thickBot="1" x14ac:dyDescent="0.35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6"/>
      <c r="Q50" s="167"/>
      <c r="R50" s="19">
        <f t="shared" si="7"/>
        <v>1</v>
      </c>
      <c r="S50" s="19">
        <f t="shared" si="8"/>
        <v>0</v>
      </c>
      <c r="T50" s="155"/>
    </row>
    <row r="51" spans="1:20" ht="15" thickBot="1" x14ac:dyDescent="0.35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29</v>
      </c>
      <c r="Q51" s="64" t="s">
        <v>30</v>
      </c>
      <c r="R51" s="19">
        <f t="shared" si="7"/>
        <v>1</v>
      </c>
      <c r="S51" s="19">
        <f t="shared" si="8"/>
        <v>0</v>
      </c>
      <c r="T51" s="156"/>
    </row>
    <row r="52" spans="1:20" ht="15" thickBot="1" x14ac:dyDescent="0.35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" thickBot="1" x14ac:dyDescent="0.35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" thickBot="1" x14ac:dyDescent="0.35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31</v>
      </c>
      <c r="Q54" s="68" t="s">
        <v>32</v>
      </c>
      <c r="R54" s="19">
        <f t="shared" si="7"/>
        <v>1</v>
      </c>
      <c r="S54" s="19">
        <f t="shared" si="8"/>
        <v>0</v>
      </c>
      <c r="T54" s="155"/>
    </row>
    <row r="55" spans="1:20" ht="15" thickBot="1" x14ac:dyDescent="0.35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" thickBot="1" x14ac:dyDescent="0.35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33</v>
      </c>
      <c r="Q56" s="72" t="s">
        <v>41</v>
      </c>
      <c r="R56" s="19">
        <f t="shared" si="7"/>
        <v>1</v>
      </c>
      <c r="S56" s="19">
        <f t="shared" si="8"/>
        <v>0</v>
      </c>
      <c r="T56" s="156"/>
    </row>
    <row r="57" spans="1:20" ht="15" thickBot="1" x14ac:dyDescent="0.35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" thickBot="1" x14ac:dyDescent="0.35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35</v>
      </c>
      <c r="Q58" s="158" t="s">
        <v>42</v>
      </c>
      <c r="R58" s="19">
        <f t="shared" si="7"/>
        <v>1</v>
      </c>
      <c r="S58" s="19">
        <f t="shared" si="8"/>
        <v>0</v>
      </c>
      <c r="T58" s="156"/>
    </row>
    <row r="59" spans="1:20" ht="15" thickBot="1" x14ac:dyDescent="0.35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" thickBot="1" x14ac:dyDescent="0.35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37</v>
      </c>
      <c r="Q60" s="160" t="s">
        <v>38</v>
      </c>
      <c r="R60" s="19">
        <f t="shared" si="7"/>
        <v>1</v>
      </c>
      <c r="S60" s="19">
        <f t="shared" si="8"/>
        <v>0</v>
      </c>
      <c r="T60" s="155"/>
    </row>
    <row r="61" spans="1:20" ht="15" thickBot="1" x14ac:dyDescent="0.35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" thickBot="1" x14ac:dyDescent="0.35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" thickBot="1" x14ac:dyDescent="0.35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39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" thickBot="1" x14ac:dyDescent="0.35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" thickBot="1" x14ac:dyDescent="0.35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" thickBot="1" x14ac:dyDescent="0.35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" thickBot="1" x14ac:dyDescent="0.35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" thickBot="1" x14ac:dyDescent="0.35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" thickBot="1" x14ac:dyDescent="0.35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" thickBot="1" x14ac:dyDescent="0.35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" thickBot="1" x14ac:dyDescent="0.35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" thickBot="1" x14ac:dyDescent="0.35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" thickBot="1" x14ac:dyDescent="0.35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" thickBot="1" x14ac:dyDescent="0.35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" thickBot="1" x14ac:dyDescent="0.35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" thickBot="1" x14ac:dyDescent="0.35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" thickBot="1" x14ac:dyDescent="0.35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" thickBot="1" x14ac:dyDescent="0.35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" thickBot="1" x14ac:dyDescent="0.35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" thickBot="1" x14ac:dyDescent="0.35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" thickBot="1" x14ac:dyDescent="0.35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6"/>
    </row>
    <row r="82" spans="1:20" ht="15" thickBot="1" x14ac:dyDescent="0.35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5"/>
    </row>
    <row r="83" spans="1:20" ht="15" thickBot="1" x14ac:dyDescent="0.35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29</v>
      </c>
      <c r="Q83" s="64" t="s">
        <v>30</v>
      </c>
      <c r="R83" s="19">
        <f t="shared" si="39"/>
        <v>1</v>
      </c>
      <c r="S83" s="19">
        <f t="shared" si="40"/>
        <v>0</v>
      </c>
      <c r="T83" s="155"/>
    </row>
    <row r="84" spans="1:20" ht="15" thickBot="1" x14ac:dyDescent="0.35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" thickBot="1" x14ac:dyDescent="0.35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" thickBot="1" x14ac:dyDescent="0.35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31</v>
      </c>
      <c r="Q86" s="68" t="s">
        <v>32</v>
      </c>
      <c r="R86" s="19">
        <f t="shared" si="39"/>
        <v>1</v>
      </c>
      <c r="S86" s="19">
        <f t="shared" si="40"/>
        <v>0</v>
      </c>
      <c r="T86" s="156"/>
    </row>
    <row r="87" spans="1:20" ht="15" thickBot="1" x14ac:dyDescent="0.35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" thickBot="1" x14ac:dyDescent="0.35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33</v>
      </c>
      <c r="Q88" s="72" t="s">
        <v>41</v>
      </c>
      <c r="R88" s="19">
        <f t="shared" si="39"/>
        <v>1</v>
      </c>
      <c r="S88" s="19">
        <f t="shared" si="40"/>
        <v>0</v>
      </c>
      <c r="T88" s="155"/>
    </row>
    <row r="89" spans="1:20" ht="15" thickBot="1" x14ac:dyDescent="0.35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" thickBot="1" x14ac:dyDescent="0.35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35</v>
      </c>
      <c r="Q90" s="158" t="s">
        <v>42</v>
      </c>
      <c r="R90" s="19">
        <f t="shared" si="39"/>
        <v>1</v>
      </c>
      <c r="S90" s="19">
        <f t="shared" si="40"/>
        <v>0</v>
      </c>
      <c r="T90" s="156"/>
    </row>
    <row r="91" spans="1:20" ht="15" thickBot="1" x14ac:dyDescent="0.35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" thickBot="1" x14ac:dyDescent="0.35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37</v>
      </c>
      <c r="Q92" s="160" t="s">
        <v>38</v>
      </c>
      <c r="R92" s="19">
        <f t="shared" si="39"/>
        <v>1</v>
      </c>
      <c r="S92" s="19">
        <f t="shared" si="40"/>
        <v>0</v>
      </c>
      <c r="T92" s="156"/>
    </row>
    <row r="93" spans="1:20" ht="15" thickBot="1" x14ac:dyDescent="0.35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" thickBot="1" x14ac:dyDescent="0.35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39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" thickBot="1" x14ac:dyDescent="0.35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" thickBot="1" x14ac:dyDescent="0.35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" thickBot="1" x14ac:dyDescent="0.35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" thickBot="1" x14ac:dyDescent="0.35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" thickBot="1" x14ac:dyDescent="0.35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" thickBot="1" x14ac:dyDescent="0.35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" thickBot="1" x14ac:dyDescent="0.35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" thickBot="1" x14ac:dyDescent="0.35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" thickBot="1" x14ac:dyDescent="0.35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" thickBot="1" x14ac:dyDescent="0.35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" thickBot="1" x14ac:dyDescent="0.35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" thickBot="1" x14ac:dyDescent="0.35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" thickBot="1" x14ac:dyDescent="0.35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" thickBot="1" x14ac:dyDescent="0.35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" thickBot="1" x14ac:dyDescent="0.35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" thickBot="1" x14ac:dyDescent="0.35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" thickBot="1" x14ac:dyDescent="0.35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6"/>
    </row>
    <row r="112" spans="1:20" ht="15" thickBot="1" x14ac:dyDescent="0.35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6"/>
    </row>
    <row r="113" spans="1:20" ht="15" thickBot="1" x14ac:dyDescent="0.35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29</v>
      </c>
      <c r="Q113" s="64" t="s">
        <v>30</v>
      </c>
      <c r="R113" s="19">
        <f t="shared" si="61"/>
        <v>1</v>
      </c>
      <c r="S113" s="19">
        <f t="shared" si="40"/>
        <v>0</v>
      </c>
      <c r="T113" s="155"/>
    </row>
    <row r="114" spans="1:20" ht="15" thickBot="1" x14ac:dyDescent="0.35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" thickBot="1" x14ac:dyDescent="0.35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" thickBot="1" x14ac:dyDescent="0.35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31</v>
      </c>
      <c r="Q116" s="68" t="s">
        <v>32</v>
      </c>
      <c r="R116" s="19">
        <f t="shared" si="61"/>
        <v>1</v>
      </c>
      <c r="S116" s="19">
        <f t="shared" si="40"/>
        <v>0</v>
      </c>
      <c r="T116" s="156"/>
    </row>
    <row r="117" spans="1:20" ht="15" thickBot="1" x14ac:dyDescent="0.35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" thickBot="1" x14ac:dyDescent="0.35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33</v>
      </c>
      <c r="Q118" s="72" t="s">
        <v>41</v>
      </c>
      <c r="R118" s="19">
        <f t="shared" si="61"/>
        <v>1</v>
      </c>
      <c r="S118" s="19">
        <f t="shared" si="40"/>
        <v>0</v>
      </c>
      <c r="T118" s="156"/>
    </row>
    <row r="119" spans="1:20" ht="15" thickBot="1" x14ac:dyDescent="0.35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" thickBot="1" x14ac:dyDescent="0.35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35</v>
      </c>
      <c r="Q120" s="158" t="s">
        <v>42</v>
      </c>
      <c r="R120" s="19">
        <f t="shared" si="61"/>
        <v>1</v>
      </c>
      <c r="S120" s="19">
        <f t="shared" si="40"/>
        <v>0</v>
      </c>
      <c r="T120" s="155"/>
    </row>
    <row r="121" spans="1:20" ht="15" thickBot="1" x14ac:dyDescent="0.35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" thickBot="1" x14ac:dyDescent="0.35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37</v>
      </c>
      <c r="Q122" s="160" t="s">
        <v>38</v>
      </c>
      <c r="R122" s="19">
        <f t="shared" si="61"/>
        <v>1</v>
      </c>
      <c r="S122" s="19">
        <f t="shared" si="40"/>
        <v>0</v>
      </c>
      <c r="T122" s="156"/>
    </row>
    <row r="123" spans="1:20" ht="15" thickBot="1" x14ac:dyDescent="0.35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" thickBot="1" x14ac:dyDescent="0.35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39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" thickBot="1" x14ac:dyDescent="0.35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" thickBot="1" x14ac:dyDescent="0.35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" thickBot="1" x14ac:dyDescent="0.35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" thickBot="1" x14ac:dyDescent="0.35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" thickBot="1" x14ac:dyDescent="0.35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" thickBot="1" x14ac:dyDescent="0.35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" thickBot="1" x14ac:dyDescent="0.35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" thickBot="1" x14ac:dyDescent="0.35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" thickBot="1" x14ac:dyDescent="0.35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" thickBot="1" x14ac:dyDescent="0.35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" thickBot="1" x14ac:dyDescent="0.35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" thickBot="1" x14ac:dyDescent="0.35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" thickBot="1" x14ac:dyDescent="0.35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" thickBot="1" x14ac:dyDescent="0.35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" thickBot="1" x14ac:dyDescent="0.35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" thickBot="1" x14ac:dyDescent="0.35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" thickBot="1" x14ac:dyDescent="0.35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" thickBot="1" x14ac:dyDescent="0.35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6"/>
    </row>
    <row r="143" spans="1:20" ht="15" thickBot="1" x14ac:dyDescent="0.35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5"/>
    </row>
    <row r="144" spans="1:20" ht="15" thickBot="1" x14ac:dyDescent="0.35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29</v>
      </c>
      <c r="Q144" s="64" t="s">
        <v>30</v>
      </c>
      <c r="R144" s="19">
        <f t="shared" si="61"/>
        <v>1</v>
      </c>
      <c r="S144" s="19">
        <f t="shared" si="71"/>
        <v>0</v>
      </c>
      <c r="T144" s="155"/>
    </row>
    <row r="145" spans="1:20" ht="15" thickBot="1" x14ac:dyDescent="0.35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" thickBot="1" x14ac:dyDescent="0.35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" thickBot="1" x14ac:dyDescent="0.35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31</v>
      </c>
      <c r="Q147" s="68" t="s">
        <v>32</v>
      </c>
      <c r="R147" s="19">
        <f t="shared" si="61"/>
        <v>1</v>
      </c>
      <c r="S147" s="19">
        <f t="shared" si="71"/>
        <v>0</v>
      </c>
      <c r="T147" s="156"/>
    </row>
    <row r="148" spans="1:20" ht="15" thickBot="1" x14ac:dyDescent="0.35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" thickBot="1" x14ac:dyDescent="0.35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33</v>
      </c>
      <c r="Q149" s="72" t="s">
        <v>41</v>
      </c>
      <c r="R149" s="19">
        <f t="shared" si="61"/>
        <v>1</v>
      </c>
      <c r="S149" s="19">
        <f t="shared" si="71"/>
        <v>0</v>
      </c>
      <c r="T149" s="155"/>
    </row>
    <row r="150" spans="1:20" ht="15" thickBot="1" x14ac:dyDescent="0.35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" thickBot="1" x14ac:dyDescent="0.35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35</v>
      </c>
      <c r="Q151" s="158" t="s">
        <v>42</v>
      </c>
      <c r="R151" s="19">
        <f t="shared" si="61"/>
        <v>1</v>
      </c>
      <c r="S151" s="19">
        <f t="shared" si="71"/>
        <v>0</v>
      </c>
      <c r="T151" s="155"/>
    </row>
    <row r="152" spans="1:20" ht="15" thickBot="1" x14ac:dyDescent="0.35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" thickBot="1" x14ac:dyDescent="0.35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37</v>
      </c>
      <c r="Q153" s="160" t="s">
        <v>38</v>
      </c>
      <c r="R153" s="19">
        <f t="shared" si="61"/>
        <v>1</v>
      </c>
      <c r="S153" s="19">
        <f t="shared" si="71"/>
        <v>0</v>
      </c>
      <c r="T153" s="155"/>
    </row>
    <row r="154" spans="1:20" ht="15" thickBot="1" x14ac:dyDescent="0.35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" thickBot="1" x14ac:dyDescent="0.35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39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" thickBot="1" x14ac:dyDescent="0.35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" thickBot="1" x14ac:dyDescent="0.35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" thickBot="1" x14ac:dyDescent="0.35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" thickBot="1" x14ac:dyDescent="0.35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" thickBot="1" x14ac:dyDescent="0.35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" thickBot="1" x14ac:dyDescent="0.35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" thickBot="1" x14ac:dyDescent="0.35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" thickBot="1" x14ac:dyDescent="0.35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" thickBot="1" x14ac:dyDescent="0.35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" thickBot="1" x14ac:dyDescent="0.35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" thickBot="1" x14ac:dyDescent="0.35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" thickBot="1" x14ac:dyDescent="0.35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" thickBot="1" x14ac:dyDescent="0.35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" thickBot="1" x14ac:dyDescent="0.35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" thickBot="1" x14ac:dyDescent="0.35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" thickBot="1" x14ac:dyDescent="0.35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" thickBot="1" x14ac:dyDescent="0.35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6"/>
    </row>
    <row r="173" spans="1:20" ht="15" thickBot="1" x14ac:dyDescent="0.35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6"/>
    </row>
    <row r="174" spans="1:20" ht="15" thickBot="1" x14ac:dyDescent="0.35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29</v>
      </c>
      <c r="Q174" s="64" t="s">
        <v>30</v>
      </c>
      <c r="R174" s="19">
        <f t="shared" si="78"/>
        <v>1</v>
      </c>
      <c r="S174" s="19">
        <f t="shared" si="71"/>
        <v>0</v>
      </c>
      <c r="T174" s="155"/>
    </row>
    <row r="175" spans="1:20" ht="15" thickBot="1" x14ac:dyDescent="0.35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" thickBot="1" x14ac:dyDescent="0.35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" thickBot="1" x14ac:dyDescent="0.35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31</v>
      </c>
      <c r="Q177" s="68" t="s">
        <v>32</v>
      </c>
      <c r="R177" s="19">
        <f t="shared" si="78"/>
        <v>1</v>
      </c>
      <c r="S177" s="19">
        <f t="shared" si="71"/>
        <v>0</v>
      </c>
      <c r="T177" s="156"/>
    </row>
    <row r="178" spans="1:20" x14ac:dyDescent="0.3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 x14ac:dyDescent="0.3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33</v>
      </c>
      <c r="Q179" s="72" t="s">
        <v>41</v>
      </c>
      <c r="R179" s="19">
        <f t="shared" si="78"/>
        <v>1</v>
      </c>
      <c r="S179" s="19">
        <f t="shared" si="71"/>
        <v>0</v>
      </c>
      <c r="T179" s="156"/>
    </row>
    <row r="180" spans="1:20" x14ac:dyDescent="0.3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 x14ac:dyDescent="0.3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35</v>
      </c>
      <c r="Q181" s="158" t="s">
        <v>42</v>
      </c>
      <c r="R181" s="19">
        <f t="shared" si="78"/>
        <v>1</v>
      </c>
      <c r="S181" s="19">
        <f t="shared" si="71"/>
        <v>0</v>
      </c>
      <c r="T181" s="155"/>
    </row>
    <row r="182" spans="1:20" x14ac:dyDescent="0.3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 x14ac:dyDescent="0.3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37</v>
      </c>
      <c r="Q183" s="160" t="s">
        <v>38</v>
      </c>
      <c r="R183" s="19">
        <f t="shared" si="78"/>
        <v>1</v>
      </c>
      <c r="S183" s="19">
        <f t="shared" si="71"/>
        <v>0</v>
      </c>
      <c r="T183" s="155"/>
    </row>
    <row r="184" spans="1:20" x14ac:dyDescent="0.3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 x14ac:dyDescent="0.3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39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 x14ac:dyDescent="0.3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 x14ac:dyDescent="0.3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 x14ac:dyDescent="0.3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 x14ac:dyDescent="0.3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 x14ac:dyDescent="0.3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 x14ac:dyDescent="0.3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 x14ac:dyDescent="0.3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 x14ac:dyDescent="0.3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 x14ac:dyDescent="0.3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 x14ac:dyDescent="0.3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 x14ac:dyDescent="0.3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 x14ac:dyDescent="0.3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 x14ac:dyDescent="0.3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 x14ac:dyDescent="0.3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 x14ac:dyDescent="0.3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 x14ac:dyDescent="0.3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 x14ac:dyDescent="0.3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 x14ac:dyDescent="0.3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6"/>
    </row>
    <row r="204" spans="1:20" x14ac:dyDescent="0.3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5"/>
    </row>
    <row r="205" spans="1:20" x14ac:dyDescent="0.3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29</v>
      </c>
      <c r="Q205" s="64" t="s">
        <v>30</v>
      </c>
      <c r="R205" s="19">
        <f t="shared" si="78"/>
        <v>1</v>
      </c>
      <c r="S205" s="19">
        <f t="shared" si="80"/>
        <v>0</v>
      </c>
      <c r="T205" s="155"/>
    </row>
    <row r="206" spans="1:20" x14ac:dyDescent="0.3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 x14ac:dyDescent="0.3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 x14ac:dyDescent="0.3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31</v>
      </c>
      <c r="Q208" s="68" t="s">
        <v>32</v>
      </c>
      <c r="R208" s="19">
        <f t="shared" si="78"/>
        <v>1</v>
      </c>
      <c r="S208" s="19">
        <f t="shared" si="80"/>
        <v>0</v>
      </c>
      <c r="T208" s="156"/>
    </row>
    <row r="209" spans="1:20" x14ac:dyDescent="0.3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 x14ac:dyDescent="0.3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33</v>
      </c>
      <c r="Q210" s="72" t="s">
        <v>41</v>
      </c>
      <c r="R210" s="19">
        <f t="shared" si="78"/>
        <v>1</v>
      </c>
      <c r="S210" s="19">
        <f t="shared" si="80"/>
        <v>0</v>
      </c>
      <c r="T210" s="155"/>
    </row>
    <row r="211" spans="1:20" x14ac:dyDescent="0.3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 x14ac:dyDescent="0.3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35</v>
      </c>
      <c r="Q212" s="158" t="s">
        <v>42</v>
      </c>
      <c r="R212" s="19">
        <f t="shared" si="78"/>
        <v>1</v>
      </c>
      <c r="S212" s="19">
        <f t="shared" si="80"/>
        <v>0</v>
      </c>
      <c r="T212" s="155"/>
    </row>
    <row r="213" spans="1:20" x14ac:dyDescent="0.3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 x14ac:dyDescent="0.3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37</v>
      </c>
      <c r="Q214" s="160" t="s">
        <v>38</v>
      </c>
      <c r="R214" s="19">
        <f t="shared" si="78"/>
        <v>1</v>
      </c>
      <c r="S214" s="19">
        <f t="shared" si="80"/>
        <v>0</v>
      </c>
      <c r="T214" s="155"/>
    </row>
    <row r="215" spans="1:20" x14ac:dyDescent="0.3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 x14ac:dyDescent="0.3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39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 x14ac:dyDescent="0.3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 x14ac:dyDescent="0.3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 x14ac:dyDescent="0.3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 x14ac:dyDescent="0.3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66072055</v>
      </c>
      <c r="O220" s="57">
        <f t="shared" si="79"/>
        <v>36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 x14ac:dyDescent="0.3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66078331</v>
      </c>
      <c r="O221" s="57">
        <f t="shared" si="79"/>
        <v>6276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 x14ac:dyDescent="0.3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66088085</v>
      </c>
      <c r="O222" s="57">
        <f t="shared" si="79"/>
        <v>9754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 x14ac:dyDescent="0.3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66100202</v>
      </c>
      <c r="O223" s="57">
        <f t="shared" si="79"/>
        <v>12117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 x14ac:dyDescent="0.3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66112156</v>
      </c>
      <c r="O224" s="57">
        <f t="shared" si="79"/>
        <v>11954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 x14ac:dyDescent="0.3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66124327</v>
      </c>
      <c r="O225" s="57">
        <f t="shared" si="79"/>
        <v>12171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 x14ac:dyDescent="0.3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66136578</v>
      </c>
      <c r="O226" s="57">
        <f t="shared" si="79"/>
        <v>12251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 x14ac:dyDescent="0.3">
      <c r="A227" s="50">
        <v>44785</v>
      </c>
      <c r="D227" s="135" t="s">
        <v>48</v>
      </c>
      <c r="E227" s="136">
        <v>3353.201</v>
      </c>
      <c r="F227" s="137">
        <v>103.518</v>
      </c>
      <c r="G227" s="55"/>
      <c r="H227" s="55">
        <v>4140</v>
      </c>
      <c r="I227" s="55">
        <f t="shared" si="76"/>
        <v>29617.559999999983</v>
      </c>
      <c r="J227" s="55">
        <f t="shared" si="77"/>
        <v>1854.7200000000312</v>
      </c>
      <c r="K227" s="56">
        <f t="shared" si="81"/>
        <v>6.2622309197652756E-2</v>
      </c>
      <c r="L227" s="55">
        <f t="shared" si="84"/>
        <v>1854.7200000000312</v>
      </c>
      <c r="M227" s="56">
        <f t="shared" si="83"/>
        <v>6.2622309197652756E-2</v>
      </c>
      <c r="N227" s="57">
        <v>66153251</v>
      </c>
      <c r="O227" s="57">
        <f t="shared" si="79"/>
        <v>16673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 x14ac:dyDescent="0.3">
      <c r="A228" s="50">
        <v>44786</v>
      </c>
      <c r="D228" s="135" t="s">
        <v>48</v>
      </c>
      <c r="E228" s="136">
        <v>3359.181</v>
      </c>
      <c r="F228" s="137">
        <v>103.807</v>
      </c>
      <c r="G228" s="55"/>
      <c r="H228" s="55">
        <v>4140</v>
      </c>
      <c r="I228" s="55">
        <f t="shared" si="76"/>
        <v>24757.200000000077</v>
      </c>
      <c r="J228" s="55">
        <f t="shared" si="77"/>
        <v>1196.4600000000062</v>
      </c>
      <c r="K228" s="56">
        <f t="shared" si="81"/>
        <v>4.8327759197324516E-2</v>
      </c>
      <c r="L228" s="55">
        <f t="shared" si="84"/>
        <v>1196.4600000000062</v>
      </c>
      <c r="M228" s="56">
        <f t="shared" si="83"/>
        <v>4.8327759197324516E-2</v>
      </c>
      <c r="N228" s="57">
        <v>66171168</v>
      </c>
      <c r="O228" s="57">
        <f t="shared" si="79"/>
        <v>17917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 x14ac:dyDescent="0.3">
      <c r="A229" s="50">
        <v>44787</v>
      </c>
      <c r="D229" s="135" t="s">
        <v>48</v>
      </c>
      <c r="E229" s="136">
        <v>3369.1759999999999</v>
      </c>
      <c r="F229" s="137">
        <v>104.31399999999999</v>
      </c>
      <c r="G229" s="55"/>
      <c r="H229" s="55">
        <v>4140</v>
      </c>
      <c r="I229" s="55">
        <f t="shared" si="76"/>
        <v>41379.299999999552</v>
      </c>
      <c r="J229" s="55">
        <f t="shared" si="77"/>
        <v>2098.9799999999618</v>
      </c>
      <c r="K229" s="56">
        <f t="shared" si="81"/>
        <v>5.07253626813403E-2</v>
      </c>
      <c r="L229" s="55">
        <f t="shared" si="84"/>
        <v>2098.9799999999618</v>
      </c>
      <c r="M229" s="56">
        <f t="shared" si="83"/>
        <v>5.07253626813403E-2</v>
      </c>
      <c r="N229" s="57">
        <v>66171188</v>
      </c>
      <c r="O229" s="57">
        <f t="shared" si="79"/>
        <v>20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 x14ac:dyDescent="0.3">
      <c r="A230" s="50">
        <v>44788</v>
      </c>
      <c r="D230" s="135" t="s">
        <v>48</v>
      </c>
      <c r="E230" s="136">
        <v>3377.0070000000001</v>
      </c>
      <c r="F230" s="137">
        <v>104.73399999999999</v>
      </c>
      <c r="G230" s="55"/>
      <c r="H230" s="55">
        <v>4140</v>
      </c>
      <c r="I230" s="55">
        <f t="shared" si="76"/>
        <v>32420.340000000542</v>
      </c>
      <c r="J230" s="55">
        <f t="shared" si="77"/>
        <v>1738.800000000007</v>
      </c>
      <c r="K230" s="56">
        <f t="shared" si="81"/>
        <v>5.3632997062954241E-2</v>
      </c>
      <c r="L230" s="55">
        <f t="shared" si="84"/>
        <v>1738.800000000007</v>
      </c>
      <c r="M230" s="56">
        <f t="shared" si="83"/>
        <v>5.3632997062954241E-2</v>
      </c>
      <c r="N230" s="57">
        <v>66177427</v>
      </c>
      <c r="O230" s="57">
        <f t="shared" si="79"/>
        <v>6239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 x14ac:dyDescent="0.3">
      <c r="A231" s="50">
        <v>44789</v>
      </c>
      <c r="D231" s="135" t="s">
        <v>48</v>
      </c>
      <c r="E231" s="136">
        <v>3382.0680000000002</v>
      </c>
      <c r="F231" s="137">
        <v>104.95099999999999</v>
      </c>
      <c r="G231" s="55"/>
      <c r="H231" s="55">
        <v>4140</v>
      </c>
      <c r="I231" s="57">
        <f t="shared" si="76"/>
        <v>20952.540000000619</v>
      </c>
      <c r="J231" s="55">
        <f t="shared" si="77"/>
        <v>898.37999999999488</v>
      </c>
      <c r="K231" s="56">
        <f t="shared" si="81"/>
        <v>4.2876901798062111E-2</v>
      </c>
      <c r="L231" s="55">
        <f t="shared" si="84"/>
        <v>898.37999999999488</v>
      </c>
      <c r="M231" s="56">
        <f t="shared" si="83"/>
        <v>4.2876901798062111E-2</v>
      </c>
      <c r="N231" s="57">
        <v>66197989</v>
      </c>
      <c r="O231" s="57">
        <f t="shared" si="79"/>
        <v>20562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 x14ac:dyDescent="0.3">
      <c r="A232" s="50">
        <v>44790</v>
      </c>
      <c r="D232" s="135" t="s">
        <v>48</v>
      </c>
      <c r="E232" s="136">
        <v>3388.23</v>
      </c>
      <c r="F232" s="137">
        <v>105.227</v>
      </c>
      <c r="G232" s="55"/>
      <c r="H232" s="55">
        <v>4140</v>
      </c>
      <c r="I232" s="55">
        <f t="shared" si="76"/>
        <v>25510.6799999992</v>
      </c>
      <c r="J232" s="55">
        <f t="shared" si="77"/>
        <v>1142.6400000000433</v>
      </c>
      <c r="K232" s="56">
        <f t="shared" si="81"/>
        <v>4.4790652385592197E-2</v>
      </c>
      <c r="L232" s="55">
        <f t="shared" si="84"/>
        <v>1142.6400000000433</v>
      </c>
      <c r="M232" s="56">
        <f t="shared" si="83"/>
        <v>4.4790652385592197E-2</v>
      </c>
      <c r="N232" s="57">
        <v>66215842</v>
      </c>
      <c r="O232" s="57">
        <f t="shared" si="79"/>
        <v>17853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 x14ac:dyDescent="0.3">
      <c r="A233" s="50">
        <v>44791</v>
      </c>
      <c r="D233" s="135" t="s">
        <v>48</v>
      </c>
      <c r="E233" s="136">
        <v>3394.9450000000002</v>
      </c>
      <c r="F233" s="137">
        <v>105.593</v>
      </c>
      <c r="G233" s="55"/>
      <c r="H233" s="55">
        <v>4140</v>
      </c>
      <c r="I233" s="55">
        <f t="shared" si="76"/>
        <v>27800.100000000602</v>
      </c>
      <c r="J233" s="55">
        <f t="shared" si="77"/>
        <v>1515.2399999999986</v>
      </c>
      <c r="K233" s="56">
        <f t="shared" si="81"/>
        <v>5.4504839910646571E-2</v>
      </c>
      <c r="L233" s="55">
        <f t="shared" si="84"/>
        <v>1515.2399999999986</v>
      </c>
      <c r="M233" s="56">
        <f t="shared" si="83"/>
        <v>5.4504839910646571E-2</v>
      </c>
      <c r="N233" s="57">
        <v>66234017</v>
      </c>
      <c r="O233" s="57">
        <f t="shared" si="79"/>
        <v>18175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 x14ac:dyDescent="0.3">
      <c r="A234" s="50">
        <v>44792</v>
      </c>
      <c r="D234" s="135" t="s">
        <v>48</v>
      </c>
      <c r="E234" s="136">
        <v>3401.2310000000002</v>
      </c>
      <c r="F234" s="137">
        <v>105.90600000000001</v>
      </c>
      <c r="G234" s="55"/>
      <c r="H234" s="55">
        <v>4140</v>
      </c>
      <c r="I234" s="55">
        <f t="shared" si="76"/>
        <v>26024.040000000241</v>
      </c>
      <c r="J234" s="55">
        <f t="shared" si="77"/>
        <v>1295.8200000000099</v>
      </c>
      <c r="K234" s="56">
        <f t="shared" si="81"/>
        <v>4.9793191218580897E-2</v>
      </c>
      <c r="L234" s="55">
        <f t="shared" si="84"/>
        <v>1295.8200000000099</v>
      </c>
      <c r="M234" s="56">
        <f t="shared" si="83"/>
        <v>4.9793191218580897E-2</v>
      </c>
      <c r="N234" s="57">
        <v>66253540</v>
      </c>
      <c r="O234" s="57">
        <f t="shared" si="79"/>
        <v>19523</v>
      </c>
      <c r="P234" s="168" t="s">
        <v>49</v>
      </c>
      <c r="Q234" s="169"/>
      <c r="R234" s="19">
        <f t="shared" si="85"/>
        <v>1</v>
      </c>
      <c r="S234" s="19">
        <f t="shared" si="80"/>
        <v>0</v>
      </c>
      <c r="T234" s="156"/>
    </row>
    <row r="235" spans="1:20" x14ac:dyDescent="0.3">
      <c r="A235" s="50">
        <v>44793</v>
      </c>
      <c r="D235" s="135" t="s">
        <v>48</v>
      </c>
      <c r="E235" s="136">
        <v>3407.5320000000002</v>
      </c>
      <c r="F235" s="137">
        <v>106.215</v>
      </c>
      <c r="G235" s="55"/>
      <c r="H235" s="55">
        <v>4140</v>
      </c>
      <c r="I235" s="55">
        <f t="shared" si="76"/>
        <v>26086.139999999716</v>
      </c>
      <c r="J235" s="55">
        <f t="shared" si="77"/>
        <v>1279.2599999999898</v>
      </c>
      <c r="K235" s="56">
        <f t="shared" si="81"/>
        <v>4.9039834946833977E-2</v>
      </c>
      <c r="L235" s="55">
        <f>IF(F235="","",+(F235-F234)*4140)</f>
        <v>1279.2599999999898</v>
      </c>
      <c r="M235" s="56">
        <f t="shared" si="83"/>
        <v>4.9039834946833977E-2</v>
      </c>
      <c r="N235" s="57">
        <v>66272650</v>
      </c>
      <c r="O235" s="57">
        <f t="shared" si="79"/>
        <v>19110</v>
      </c>
      <c r="P235" s="166"/>
      <c r="Q235" s="167"/>
      <c r="R235" s="19">
        <f t="shared" si="85"/>
        <v>1</v>
      </c>
      <c r="S235" s="19">
        <f t="shared" si="80"/>
        <v>0</v>
      </c>
      <c r="T235" s="155"/>
    </row>
    <row r="236" spans="1:20" x14ac:dyDescent="0.3">
      <c r="A236" s="50">
        <v>44794</v>
      </c>
      <c r="D236" s="135" t="s">
        <v>48</v>
      </c>
      <c r="E236" s="136">
        <v>3414.3760000000002</v>
      </c>
      <c r="F236" s="137">
        <v>106.56</v>
      </c>
      <c r="G236" s="55"/>
      <c r="H236" s="55">
        <v>4140</v>
      </c>
      <c r="I236" s="55">
        <f t="shared" ref="I236:I299" si="86">IF(D236="","",+(E236-E235)*4140)</f>
        <v>28334.160000000211</v>
      </c>
      <c r="J236" s="55">
        <f t="shared" ref="J236:J299" si="87">IF(E236="","",+(F236-F235)*4140)</f>
        <v>1428.2999999999952</v>
      </c>
      <c r="K236" s="56">
        <f t="shared" si="81"/>
        <v>5.0409117475160178E-2</v>
      </c>
      <c r="L236" s="55">
        <f t="shared" si="84"/>
        <v>1428.2999999999952</v>
      </c>
      <c r="M236" s="56">
        <f t="shared" si="83"/>
        <v>5.0409117475160178E-2</v>
      </c>
      <c r="N236" s="57">
        <v>66288192</v>
      </c>
      <c r="O236" s="57">
        <f t="shared" si="79"/>
        <v>15542</v>
      </c>
      <c r="P236" s="64" t="s">
        <v>29</v>
      </c>
      <c r="Q236" s="64" t="s">
        <v>30</v>
      </c>
      <c r="R236" s="19">
        <f t="shared" si="85"/>
        <v>1</v>
      </c>
      <c r="S236" s="19">
        <f t="shared" si="80"/>
        <v>0</v>
      </c>
      <c r="T236" s="155"/>
    </row>
    <row r="237" spans="1:20" x14ac:dyDescent="0.3">
      <c r="A237" s="50">
        <v>44795</v>
      </c>
      <c r="D237" s="135" t="s">
        <v>48</v>
      </c>
      <c r="E237" s="136">
        <v>3420.48</v>
      </c>
      <c r="F237" s="137">
        <v>106.892</v>
      </c>
      <c r="G237" s="55"/>
      <c r="H237" s="55">
        <v>4140</v>
      </c>
      <c r="I237" s="55">
        <f t="shared" si="86"/>
        <v>25270.559999999234</v>
      </c>
      <c r="J237" s="55">
        <f t="shared" si="87"/>
        <v>1374.4799999999736</v>
      </c>
      <c r="K237" s="56">
        <f t="shared" si="81"/>
        <v>5.43905635648761E-2</v>
      </c>
      <c r="L237" s="55">
        <f t="shared" si="84"/>
        <v>1374.4799999999736</v>
      </c>
      <c r="M237" s="56">
        <f t="shared" si="83"/>
        <v>5.43905635648761E-2</v>
      </c>
      <c r="N237" s="57">
        <v>66306976</v>
      </c>
      <c r="O237" s="57">
        <f t="shared" si="79"/>
        <v>18784</v>
      </c>
      <c r="P237" s="65">
        <f>IF(J216="",0,+SUM(J216:J246)/SUM(I216:I246))</f>
        <v>6.2985854085067045E-2</v>
      </c>
      <c r="Q237" s="65">
        <f>IF(L216="",0,+SUM(L216:L246)/SUM(I216:I246))</f>
        <v>6.2985854085067045E-2</v>
      </c>
      <c r="R237" s="19">
        <f t="shared" si="85"/>
        <v>1</v>
      </c>
      <c r="S237" s="19">
        <f t="shared" si="80"/>
        <v>0</v>
      </c>
      <c r="T237" s="156"/>
    </row>
    <row r="238" spans="1:20" x14ac:dyDescent="0.3">
      <c r="A238" s="50">
        <v>44796</v>
      </c>
      <c r="D238" s="135"/>
      <c r="E238" s="136"/>
      <c r="F238" s="137"/>
      <c r="G238" s="55"/>
      <c r="H238" s="55">
        <v>4140</v>
      </c>
      <c r="I238" s="55" t="str">
        <f t="shared" si="86"/>
        <v/>
      </c>
      <c r="J238" s="55" t="str">
        <f t="shared" si="87"/>
        <v/>
      </c>
      <c r="K238" s="56" t="str">
        <f t="shared" si="81"/>
        <v/>
      </c>
      <c r="L238" s="55" t="str">
        <f t="shared" si="84"/>
        <v/>
      </c>
      <c r="M238" s="56" t="str">
        <f t="shared" si="83"/>
        <v/>
      </c>
      <c r="N238" s="57"/>
      <c r="O238" s="57" t="str">
        <f t="shared" si="79"/>
        <v/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0</v>
      </c>
      <c r="S238" s="19">
        <f t="shared" si="80"/>
        <v>1</v>
      </c>
      <c r="T238" s="156"/>
    </row>
    <row r="239" spans="1:20" x14ac:dyDescent="0.3">
      <c r="A239" s="50">
        <v>44797</v>
      </c>
      <c r="D239" s="135"/>
      <c r="E239" s="136"/>
      <c r="F239" s="137"/>
      <c r="G239" s="55"/>
      <c r="H239" s="55">
        <v>4140</v>
      </c>
      <c r="I239" s="55" t="str">
        <f t="shared" si="86"/>
        <v/>
      </c>
      <c r="J239" s="55" t="str">
        <f t="shared" si="87"/>
        <v/>
      </c>
      <c r="K239" s="56" t="str">
        <f t="shared" si="81"/>
        <v/>
      </c>
      <c r="L239" s="55" t="str">
        <f t="shared" si="84"/>
        <v/>
      </c>
      <c r="M239" s="56" t="str">
        <f t="shared" si="83"/>
        <v/>
      </c>
      <c r="N239" s="57"/>
      <c r="O239" s="57" t="str">
        <f t="shared" si="79"/>
        <v/>
      </c>
      <c r="P239" s="67" t="s">
        <v>31</v>
      </c>
      <c r="Q239" s="68" t="s">
        <v>32</v>
      </c>
      <c r="R239" s="19">
        <f t="shared" si="85"/>
        <v>0</v>
      </c>
      <c r="S239" s="19">
        <f t="shared" si="80"/>
        <v>1</v>
      </c>
      <c r="T239" s="156"/>
    </row>
    <row r="240" spans="1:20" x14ac:dyDescent="0.3">
      <c r="A240" s="50">
        <v>44798</v>
      </c>
      <c r="D240" s="135"/>
      <c r="E240" s="136"/>
      <c r="F240" s="137"/>
      <c r="G240" s="55"/>
      <c r="H240" s="55">
        <v>4140</v>
      </c>
      <c r="I240" s="55" t="str">
        <f t="shared" si="86"/>
        <v/>
      </c>
      <c r="J240" s="55" t="str">
        <f t="shared" si="87"/>
        <v/>
      </c>
      <c r="K240" s="56" t="str">
        <f t="shared" si="81"/>
        <v/>
      </c>
      <c r="L240" s="55" t="str">
        <f t="shared" si="84"/>
        <v/>
      </c>
      <c r="M240" s="56" t="str">
        <f t="shared" si="83"/>
        <v/>
      </c>
      <c r="N240" s="57"/>
      <c r="O240" s="57" t="str">
        <f t="shared" si="79"/>
        <v/>
      </c>
      <c r="P240" s="69">
        <f>IF(N215="",0,+(LOOKUP(9.99999999999999E+307,N215:N246)-N215))</f>
        <v>234957</v>
      </c>
      <c r="Q240" s="69">
        <f>IF(P240="",0,+P240/SUM(R216:R246))</f>
        <v>10679.863636363636</v>
      </c>
      <c r="R240" s="19">
        <f t="shared" si="85"/>
        <v>0</v>
      </c>
      <c r="S240" s="19">
        <f t="shared" si="80"/>
        <v>1</v>
      </c>
      <c r="T240" s="156"/>
    </row>
    <row r="241" spans="1:20" x14ac:dyDescent="0.3">
      <c r="A241" s="50">
        <v>44799</v>
      </c>
      <c r="D241" s="135"/>
      <c r="E241" s="136"/>
      <c r="F241" s="137"/>
      <c r="G241" s="55"/>
      <c r="H241" s="55">
        <v>4140</v>
      </c>
      <c r="I241" s="55" t="str">
        <f t="shared" si="86"/>
        <v/>
      </c>
      <c r="J241" s="55" t="str">
        <f t="shared" si="87"/>
        <v/>
      </c>
      <c r="K241" s="56" t="str">
        <f t="shared" si="81"/>
        <v/>
      </c>
      <c r="L241" s="55" t="str">
        <f t="shared" si="84"/>
        <v/>
      </c>
      <c r="M241" s="56" t="str">
        <f t="shared" si="83"/>
        <v/>
      </c>
      <c r="N241" s="57"/>
      <c r="O241" s="57" t="str">
        <f t="shared" si="79"/>
        <v/>
      </c>
      <c r="P241" s="71" t="s">
        <v>33</v>
      </c>
      <c r="Q241" s="72" t="s">
        <v>41</v>
      </c>
      <c r="R241" s="19">
        <f t="shared" si="85"/>
        <v>0</v>
      </c>
      <c r="S241" s="19">
        <f t="shared" si="80"/>
        <v>1</v>
      </c>
      <c r="T241" s="155"/>
    </row>
    <row r="242" spans="1:20" x14ac:dyDescent="0.3">
      <c r="A242" s="50">
        <v>44800</v>
      </c>
      <c r="D242" s="135"/>
      <c r="E242" s="136"/>
      <c r="F242" s="137"/>
      <c r="G242" s="55"/>
      <c r="H242" s="55">
        <v>4140</v>
      </c>
      <c r="I242" s="55" t="str">
        <f t="shared" si="86"/>
        <v/>
      </c>
      <c r="J242" s="55" t="str">
        <f t="shared" si="87"/>
        <v/>
      </c>
      <c r="K242" s="56" t="str">
        <f t="shared" si="81"/>
        <v/>
      </c>
      <c r="L242" s="55" t="str">
        <f t="shared" si="84"/>
        <v/>
      </c>
      <c r="M242" s="56" t="str">
        <f t="shared" si="83"/>
        <v/>
      </c>
      <c r="N242" s="57"/>
      <c r="O242" s="57" t="str">
        <f t="shared" si="79"/>
        <v/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0</v>
      </c>
      <c r="S242" s="19">
        <f t="shared" si="80"/>
        <v>1</v>
      </c>
      <c r="T242" s="155"/>
    </row>
    <row r="243" spans="1:20" x14ac:dyDescent="0.3">
      <c r="A243" s="50">
        <v>44801</v>
      </c>
      <c r="D243" s="135"/>
      <c r="E243" s="136"/>
      <c r="F243" s="137"/>
      <c r="G243" s="55"/>
      <c r="H243" s="55">
        <v>4140</v>
      </c>
      <c r="I243" s="55" t="str">
        <f t="shared" si="86"/>
        <v/>
      </c>
      <c r="J243" s="55" t="str">
        <f t="shared" si="87"/>
        <v/>
      </c>
      <c r="K243" s="56" t="str">
        <f t="shared" si="81"/>
        <v/>
      </c>
      <c r="L243" s="55" t="str">
        <f t="shared" si="84"/>
        <v/>
      </c>
      <c r="M243" s="56" t="str">
        <f t="shared" si="83"/>
        <v/>
      </c>
      <c r="N243" s="57"/>
      <c r="O243" s="57" t="str">
        <f t="shared" si="79"/>
        <v/>
      </c>
      <c r="P243" s="157" t="s">
        <v>35</v>
      </c>
      <c r="Q243" s="158" t="s">
        <v>42</v>
      </c>
      <c r="R243" s="19">
        <f t="shared" si="85"/>
        <v>0</v>
      </c>
      <c r="S243" s="19">
        <f t="shared" si="80"/>
        <v>1</v>
      </c>
      <c r="T243" s="155"/>
    </row>
    <row r="244" spans="1:20" x14ac:dyDescent="0.3">
      <c r="A244" s="50">
        <v>44802</v>
      </c>
      <c r="D244" s="135"/>
      <c r="E244" s="136"/>
      <c r="F244" s="137"/>
      <c r="G244" s="55"/>
      <c r="H244" s="55">
        <v>4140</v>
      </c>
      <c r="I244" s="55" t="str">
        <f t="shared" si="86"/>
        <v/>
      </c>
      <c r="J244" s="55" t="str">
        <f t="shared" si="87"/>
        <v/>
      </c>
      <c r="K244" s="56" t="str">
        <f t="shared" si="81"/>
        <v/>
      </c>
      <c r="L244" s="55" t="str">
        <f t="shared" si="84"/>
        <v/>
      </c>
      <c r="M244" s="56" t="str">
        <f t="shared" si="83"/>
        <v/>
      </c>
      <c r="N244" s="57"/>
      <c r="O244" s="57" t="str">
        <f t="shared" si="79"/>
        <v/>
      </c>
      <c r="P244" s="75">
        <f>P242*Q247</f>
        <v>0</v>
      </c>
      <c r="Q244" s="76">
        <f>IF(Q34="",0,(SUM('[1]Günlük Tüketim'!H216:H246)*1.62)/SUM(O216:O246))</f>
        <v>0</v>
      </c>
      <c r="R244" s="19">
        <f t="shared" si="85"/>
        <v>0</v>
      </c>
      <c r="S244" s="19">
        <f t="shared" si="80"/>
        <v>1</v>
      </c>
      <c r="T244" s="155"/>
    </row>
    <row r="245" spans="1:20" x14ac:dyDescent="0.3">
      <c r="A245" s="50">
        <v>44803</v>
      </c>
      <c r="D245" s="135"/>
      <c r="E245" s="136"/>
      <c r="F245" s="137"/>
      <c r="G245" s="55"/>
      <c r="H245" s="55">
        <v>4140</v>
      </c>
      <c r="I245" s="55" t="str">
        <f t="shared" si="86"/>
        <v/>
      </c>
      <c r="J245" s="55" t="str">
        <f t="shared" si="87"/>
        <v/>
      </c>
      <c r="K245" s="56" t="str">
        <f t="shared" si="81"/>
        <v/>
      </c>
      <c r="L245" s="55" t="str">
        <f t="shared" si="84"/>
        <v/>
      </c>
      <c r="M245" s="56" t="str">
        <f t="shared" si="83"/>
        <v/>
      </c>
      <c r="N245" s="57"/>
      <c r="O245" s="57" t="str">
        <f t="shared" si="79"/>
        <v/>
      </c>
      <c r="P245" s="159" t="s">
        <v>37</v>
      </c>
      <c r="Q245" s="160" t="s">
        <v>38</v>
      </c>
      <c r="R245" s="19">
        <f t="shared" si="85"/>
        <v>0</v>
      </c>
      <c r="S245" s="19">
        <f t="shared" si="80"/>
        <v>1</v>
      </c>
      <c r="T245" s="155"/>
    </row>
    <row r="246" spans="1:20" x14ac:dyDescent="0.3">
      <c r="A246" s="50">
        <v>44804</v>
      </c>
      <c r="D246" s="135"/>
      <c r="E246" s="136"/>
      <c r="F246" s="137"/>
      <c r="G246" s="80"/>
      <c r="H246" s="55">
        <v>4140</v>
      </c>
      <c r="I246" s="55" t="str">
        <f t="shared" si="86"/>
        <v/>
      </c>
      <c r="J246" s="55" t="str">
        <f t="shared" si="87"/>
        <v/>
      </c>
      <c r="K246" s="56" t="str">
        <f t="shared" si="81"/>
        <v/>
      </c>
      <c r="L246" s="80" t="str">
        <f t="shared" si="84"/>
        <v/>
      </c>
      <c r="M246" s="56" t="str">
        <f t="shared" si="83"/>
        <v/>
      </c>
      <c r="N246" s="57"/>
      <c r="O246" s="82" t="str">
        <f t="shared" si="79"/>
        <v/>
      </c>
      <c r="P246" s="83">
        <f>(P244+Q242*SUM(S216:S246)*Q247)</f>
        <v>0</v>
      </c>
      <c r="Q246" s="84">
        <f>Q242*31</f>
        <v>0</v>
      </c>
      <c r="R246" s="19">
        <f t="shared" si="85"/>
        <v>0</v>
      </c>
      <c r="S246" s="19">
        <f t="shared" si="80"/>
        <v>1</v>
      </c>
      <c r="T246" s="155"/>
    </row>
    <row r="247" spans="1:20" ht="12.75" customHeight="1" x14ac:dyDescent="0.3">
      <c r="A247" s="50">
        <v>44805</v>
      </c>
      <c r="D247" s="135"/>
      <c r="E247" s="136"/>
      <c r="F247" s="137"/>
      <c r="G247" s="55"/>
      <c r="H247" s="55">
        <v>4140</v>
      </c>
      <c r="I247" s="55" t="str">
        <f t="shared" si="86"/>
        <v/>
      </c>
      <c r="J247" s="55" t="str">
        <f t="shared" si="87"/>
        <v/>
      </c>
      <c r="K247" s="56" t="str">
        <f t="shared" si="81"/>
        <v/>
      </c>
      <c r="L247" s="55" t="str">
        <f t="shared" si="84"/>
        <v/>
      </c>
      <c r="M247" s="56" t="str">
        <f t="shared" si="83"/>
        <v/>
      </c>
      <c r="N247" s="57"/>
      <c r="O247" s="57" t="str">
        <f t="shared" si="79"/>
        <v/>
      </c>
      <c r="P247" s="85" t="s">
        <v>39</v>
      </c>
      <c r="Q247" s="86">
        <v>0.56999999999999995</v>
      </c>
      <c r="R247" s="19">
        <f t="shared" si="85"/>
        <v>0</v>
      </c>
      <c r="S247" s="19">
        <f t="shared" si="80"/>
        <v>1</v>
      </c>
      <c r="T247" s="155"/>
    </row>
    <row r="248" spans="1:20" ht="12.75" customHeight="1" x14ac:dyDescent="0.3">
      <c r="A248" s="50">
        <v>44806</v>
      </c>
      <c r="D248" s="135"/>
      <c r="E248" s="136"/>
      <c r="F248" s="137"/>
      <c r="G248" s="55"/>
      <c r="H248" s="55">
        <v>4140</v>
      </c>
      <c r="I248" s="55" t="str">
        <f t="shared" si="86"/>
        <v/>
      </c>
      <c r="J248" s="55" t="str">
        <f t="shared" si="87"/>
        <v/>
      </c>
      <c r="K248" s="56" t="str">
        <f t="shared" si="81"/>
        <v/>
      </c>
      <c r="L248" s="55" t="str">
        <f t="shared" si="84"/>
        <v/>
      </c>
      <c r="M248" s="56" t="str">
        <f t="shared" si="83"/>
        <v/>
      </c>
      <c r="N248" s="57"/>
      <c r="O248" s="57" t="str">
        <f t="shared" si="79"/>
        <v/>
      </c>
      <c r="P248" s="58"/>
      <c r="Q248" s="93"/>
      <c r="R248" s="19">
        <f t="shared" si="85"/>
        <v>0</v>
      </c>
      <c r="S248" s="19">
        <f t="shared" si="80"/>
        <v>1</v>
      </c>
      <c r="T248" s="155"/>
    </row>
    <row r="249" spans="1:20" ht="12.75" customHeight="1" x14ac:dyDescent="0.3">
      <c r="A249" s="50">
        <v>44807</v>
      </c>
      <c r="D249" s="135"/>
      <c r="E249" s="136"/>
      <c r="F249" s="137"/>
      <c r="G249" s="55"/>
      <c r="H249" s="55">
        <v>4140</v>
      </c>
      <c r="I249" s="55" t="str">
        <f t="shared" si="86"/>
        <v/>
      </c>
      <c r="J249" s="55" t="str">
        <f t="shared" si="87"/>
        <v/>
      </c>
      <c r="K249" s="56" t="str">
        <f t="shared" si="81"/>
        <v/>
      </c>
      <c r="L249" s="55" t="str">
        <f t="shared" si="84"/>
        <v/>
      </c>
      <c r="M249" s="56" t="str">
        <f t="shared" si="83"/>
        <v/>
      </c>
      <c r="N249" s="57"/>
      <c r="O249" s="57" t="str">
        <f t="shared" si="79"/>
        <v/>
      </c>
      <c r="P249" s="58"/>
      <c r="Q249" s="93"/>
      <c r="R249" s="19">
        <f t="shared" si="85"/>
        <v>0</v>
      </c>
      <c r="S249" s="19">
        <f t="shared" si="80"/>
        <v>1</v>
      </c>
      <c r="T249" s="156"/>
    </row>
    <row r="250" spans="1:20" ht="12.75" customHeight="1" x14ac:dyDescent="0.3">
      <c r="A250" s="50">
        <v>44808</v>
      </c>
      <c r="D250" s="135"/>
      <c r="E250" s="136"/>
      <c r="F250" s="137"/>
      <c r="G250" s="55"/>
      <c r="H250" s="55">
        <v>4140</v>
      </c>
      <c r="I250" s="55" t="str">
        <f t="shared" si="86"/>
        <v/>
      </c>
      <c r="J250" s="55" t="str">
        <f t="shared" si="87"/>
        <v/>
      </c>
      <c r="K250" s="56" t="str">
        <f t="shared" si="81"/>
        <v/>
      </c>
      <c r="L250" s="55" t="str">
        <f t="shared" si="84"/>
        <v/>
      </c>
      <c r="M250" s="56" t="str">
        <f t="shared" si="83"/>
        <v/>
      </c>
      <c r="N250" s="57"/>
      <c r="O250" s="57" t="str">
        <f t="shared" si="79"/>
        <v/>
      </c>
      <c r="P250" s="58"/>
      <c r="Q250" s="93"/>
      <c r="R250" s="19">
        <f>IF(N250="",0,1)</f>
        <v>0</v>
      </c>
      <c r="S250" s="19">
        <f t="shared" si="80"/>
        <v>1</v>
      </c>
      <c r="T250" s="156"/>
    </row>
    <row r="251" spans="1:20" ht="12.75" customHeight="1" x14ac:dyDescent="0.3">
      <c r="A251" s="50">
        <v>44809</v>
      </c>
      <c r="D251" s="135"/>
      <c r="E251" s="136"/>
      <c r="F251" s="137"/>
      <c r="G251" s="55"/>
      <c r="H251" s="55">
        <v>4140</v>
      </c>
      <c r="I251" s="55" t="str">
        <f t="shared" si="86"/>
        <v/>
      </c>
      <c r="J251" s="55" t="str">
        <f t="shared" si="87"/>
        <v/>
      </c>
      <c r="K251" s="56" t="str">
        <f t="shared" si="81"/>
        <v/>
      </c>
      <c r="L251" s="55" t="str">
        <f t="shared" si="84"/>
        <v/>
      </c>
      <c r="M251" s="56" t="str">
        <f t="shared" si="83"/>
        <v/>
      </c>
      <c r="N251" s="57"/>
      <c r="O251" s="57" t="str">
        <f t="shared" si="79"/>
        <v/>
      </c>
      <c r="P251" s="110"/>
      <c r="Q251" s="111"/>
      <c r="R251" s="19">
        <f>IF(N251="",0,1)</f>
        <v>0</v>
      </c>
      <c r="S251" s="19">
        <f t="shared" si="80"/>
        <v>1</v>
      </c>
      <c r="T251" s="155"/>
    </row>
    <row r="252" spans="1:20" ht="12.75" customHeight="1" x14ac:dyDescent="0.3">
      <c r="A252" s="50">
        <v>44810</v>
      </c>
      <c r="D252" s="135"/>
      <c r="E252" s="136"/>
      <c r="F252" s="137"/>
      <c r="G252" s="55"/>
      <c r="H252" s="55">
        <v>4140</v>
      </c>
      <c r="I252" s="55" t="str">
        <f t="shared" si="86"/>
        <v/>
      </c>
      <c r="J252" s="55" t="str">
        <f t="shared" si="87"/>
        <v/>
      </c>
      <c r="K252" s="56" t="str">
        <f t="shared" si="81"/>
        <v/>
      </c>
      <c r="L252" s="55" t="str">
        <f t="shared" si="84"/>
        <v/>
      </c>
      <c r="M252" s="56" t="str">
        <f t="shared" si="83"/>
        <v/>
      </c>
      <c r="N252" s="57"/>
      <c r="O252" s="57" t="str">
        <f t="shared" si="79"/>
        <v/>
      </c>
      <c r="P252" s="112"/>
      <c r="Q252" s="113"/>
      <c r="R252" s="19">
        <f>IF(N252="",0,1)</f>
        <v>0</v>
      </c>
      <c r="S252" s="19">
        <f t="shared" si="80"/>
        <v>1</v>
      </c>
      <c r="T252" s="155"/>
    </row>
    <row r="253" spans="1:20" ht="12.75" customHeight="1" x14ac:dyDescent="0.3">
      <c r="A253" s="50">
        <v>44811</v>
      </c>
      <c r="D253" s="135"/>
      <c r="E253" s="136"/>
      <c r="F253" s="137"/>
      <c r="G253" s="55"/>
      <c r="H253" s="55">
        <v>4140</v>
      </c>
      <c r="I253" s="55" t="str">
        <f t="shared" si="86"/>
        <v/>
      </c>
      <c r="J253" s="55" t="str">
        <f t="shared" si="87"/>
        <v/>
      </c>
      <c r="K253" s="56" t="str">
        <f t="shared" si="81"/>
        <v/>
      </c>
      <c r="L253" s="55" t="str">
        <f t="shared" si="84"/>
        <v/>
      </c>
      <c r="M253" s="56" t="str">
        <f t="shared" si="83"/>
        <v/>
      </c>
      <c r="N253" s="57"/>
      <c r="O253" s="57" t="str">
        <f t="shared" si="79"/>
        <v/>
      </c>
      <c r="P253" s="114"/>
      <c r="Q253" s="115"/>
      <c r="R253" s="19">
        <f t="shared" ref="R253:R316" si="88">IF(N253="",0,1)</f>
        <v>0</v>
      </c>
      <c r="S253" s="19">
        <f t="shared" si="80"/>
        <v>1</v>
      </c>
      <c r="T253" s="155"/>
    </row>
    <row r="254" spans="1:20" ht="12.75" customHeight="1" x14ac:dyDescent="0.3">
      <c r="A254" s="50">
        <v>44812</v>
      </c>
      <c r="D254" s="135"/>
      <c r="E254" s="136"/>
      <c r="F254" s="137"/>
      <c r="G254" s="55"/>
      <c r="H254" s="55">
        <v>4140</v>
      </c>
      <c r="I254" s="55" t="str">
        <f t="shared" si="86"/>
        <v/>
      </c>
      <c r="J254" s="55" t="str">
        <f t="shared" si="87"/>
        <v/>
      </c>
      <c r="K254" s="56" t="str">
        <f t="shared" si="81"/>
        <v/>
      </c>
      <c r="L254" s="55" t="str">
        <f t="shared" si="84"/>
        <v/>
      </c>
      <c r="M254" s="56" t="str">
        <f t="shared" si="83"/>
        <v/>
      </c>
      <c r="N254" s="57"/>
      <c r="O254" s="57" t="str">
        <f t="shared" si="79"/>
        <v/>
      </c>
      <c r="P254" s="58"/>
      <c r="Q254" s="60"/>
      <c r="R254" s="19">
        <f t="shared" si="88"/>
        <v>0</v>
      </c>
      <c r="S254" s="19">
        <f t="shared" si="80"/>
        <v>1</v>
      </c>
      <c r="T254" s="156"/>
    </row>
    <row r="255" spans="1:20" ht="12.75" customHeight="1" x14ac:dyDescent="0.3">
      <c r="A255" s="50">
        <v>44813</v>
      </c>
      <c r="D255" s="135"/>
      <c r="E255" s="136"/>
      <c r="F255" s="137"/>
      <c r="G255" s="55"/>
      <c r="H255" s="55">
        <v>4140</v>
      </c>
      <c r="I255" s="55" t="str">
        <f t="shared" si="86"/>
        <v/>
      </c>
      <c r="J255" s="55" t="str">
        <f t="shared" si="87"/>
        <v/>
      </c>
      <c r="K255" s="56" t="str">
        <f t="shared" si="81"/>
        <v/>
      </c>
      <c r="L255" s="55" t="str">
        <f t="shared" si="84"/>
        <v/>
      </c>
      <c r="M255" s="56" t="str">
        <f t="shared" si="83"/>
        <v/>
      </c>
      <c r="N255" s="57"/>
      <c r="O255" s="57" t="str">
        <f t="shared" si="79"/>
        <v/>
      </c>
      <c r="P255" s="58"/>
      <c r="Q255" s="60"/>
      <c r="R255" s="19">
        <f t="shared" si="88"/>
        <v>0</v>
      </c>
      <c r="S255" s="19">
        <f t="shared" si="80"/>
        <v>1</v>
      </c>
      <c r="T255" s="156"/>
    </row>
    <row r="256" spans="1:20" ht="12.75" customHeight="1" x14ac:dyDescent="0.3">
      <c r="A256" s="50">
        <v>44814</v>
      </c>
      <c r="D256" s="135"/>
      <c r="E256" s="136"/>
      <c r="F256" s="137"/>
      <c r="G256" s="55"/>
      <c r="H256" s="55">
        <v>4140</v>
      </c>
      <c r="I256" s="55" t="str">
        <f t="shared" si="86"/>
        <v/>
      </c>
      <c r="J256" s="55" t="str">
        <f t="shared" si="87"/>
        <v/>
      </c>
      <c r="K256" s="56" t="str">
        <f t="shared" si="81"/>
        <v/>
      </c>
      <c r="L256" s="55" t="str">
        <f t="shared" si="84"/>
        <v/>
      </c>
      <c r="M256" s="56" t="str">
        <f t="shared" si="83"/>
        <v/>
      </c>
      <c r="N256" s="57"/>
      <c r="O256" s="57" t="str">
        <f t="shared" si="79"/>
        <v/>
      </c>
      <c r="P256" s="58"/>
      <c r="Q256" s="59"/>
      <c r="R256" s="19">
        <f t="shared" si="88"/>
        <v>0</v>
      </c>
      <c r="S256" s="19">
        <f t="shared" si="80"/>
        <v>1</v>
      </c>
      <c r="T256" s="155"/>
    </row>
    <row r="257" spans="1:20" ht="12.75" customHeight="1" x14ac:dyDescent="0.3">
      <c r="A257" s="50">
        <v>44815</v>
      </c>
      <c r="D257" s="135"/>
      <c r="E257" s="136"/>
      <c r="F257" s="137"/>
      <c r="G257" s="55"/>
      <c r="H257" s="55">
        <v>4140</v>
      </c>
      <c r="I257" s="55" t="str">
        <f t="shared" si="86"/>
        <v/>
      </c>
      <c r="J257" s="55" t="str">
        <f t="shared" si="87"/>
        <v/>
      </c>
      <c r="K257" s="56" t="str">
        <f t="shared" si="81"/>
        <v/>
      </c>
      <c r="L257" s="55" t="str">
        <f>IF(F257="","",+(F257-F256)*4140)</f>
        <v/>
      </c>
      <c r="M257" s="56" t="str">
        <f t="shared" si="83"/>
        <v/>
      </c>
      <c r="N257" s="57"/>
      <c r="O257" s="57" t="str">
        <f t="shared" si="79"/>
        <v/>
      </c>
      <c r="P257" s="58"/>
      <c r="Q257" s="59"/>
      <c r="R257" s="19">
        <f t="shared" si="88"/>
        <v>0</v>
      </c>
      <c r="S257" s="19">
        <f t="shared" si="80"/>
        <v>1</v>
      </c>
      <c r="T257" s="155"/>
    </row>
    <row r="258" spans="1:20" ht="12.75" customHeight="1" x14ac:dyDescent="0.3">
      <c r="A258" s="50">
        <v>44816</v>
      </c>
      <c r="D258" s="135"/>
      <c r="E258" s="136"/>
      <c r="F258" s="137"/>
      <c r="G258" s="55"/>
      <c r="H258" s="55">
        <v>4140</v>
      </c>
      <c r="I258" s="55" t="str">
        <f t="shared" si="86"/>
        <v/>
      </c>
      <c r="J258" s="55" t="str">
        <f t="shared" si="87"/>
        <v/>
      </c>
      <c r="K258" s="56" t="str">
        <f t="shared" si="81"/>
        <v/>
      </c>
      <c r="L258" s="55" t="str">
        <f t="shared" si="84"/>
        <v/>
      </c>
      <c r="M258" s="56" t="str">
        <f t="shared" si="83"/>
        <v/>
      </c>
      <c r="N258" s="57"/>
      <c r="O258" s="57" t="str">
        <f t="shared" si="79"/>
        <v/>
      </c>
      <c r="P258" s="58"/>
      <c r="Q258" s="60"/>
      <c r="R258" s="19">
        <f t="shared" si="88"/>
        <v>0</v>
      </c>
      <c r="S258" s="19">
        <f t="shared" si="80"/>
        <v>1</v>
      </c>
      <c r="T258" s="155"/>
    </row>
    <row r="259" spans="1:20" ht="12.75" customHeight="1" x14ac:dyDescent="0.3">
      <c r="A259" s="50">
        <v>44817</v>
      </c>
      <c r="D259" s="135"/>
      <c r="E259" s="136"/>
      <c r="F259" s="137"/>
      <c r="G259" s="55"/>
      <c r="H259" s="55">
        <v>4140</v>
      </c>
      <c r="I259" s="55" t="str">
        <f t="shared" si="86"/>
        <v/>
      </c>
      <c r="J259" s="55" t="str">
        <f t="shared" si="87"/>
        <v/>
      </c>
      <c r="K259" s="56" t="str">
        <f t="shared" si="81"/>
        <v/>
      </c>
      <c r="L259" s="55" t="str">
        <f t="shared" si="84"/>
        <v/>
      </c>
      <c r="M259" s="56" t="str">
        <f t="shared" si="83"/>
        <v/>
      </c>
      <c r="N259" s="57"/>
      <c r="O259" s="57" t="str">
        <f t="shared" si="79"/>
        <v/>
      </c>
      <c r="P259" s="58"/>
      <c r="Q259" s="60"/>
      <c r="R259" s="19">
        <f t="shared" si="88"/>
        <v>0</v>
      </c>
      <c r="S259" s="19">
        <f t="shared" si="80"/>
        <v>1</v>
      </c>
      <c r="T259" s="156"/>
    </row>
    <row r="260" spans="1:20" ht="12.75" customHeight="1" x14ac:dyDescent="0.3">
      <c r="A260" s="50">
        <v>44818</v>
      </c>
      <c r="D260" s="135"/>
      <c r="E260" s="136"/>
      <c r="F260" s="137"/>
      <c r="G260" s="55"/>
      <c r="H260" s="55">
        <v>4140</v>
      </c>
      <c r="I260" s="55" t="str">
        <f t="shared" si="86"/>
        <v/>
      </c>
      <c r="J260" s="55" t="str">
        <f t="shared" si="87"/>
        <v/>
      </c>
      <c r="K260" s="56" t="str">
        <f t="shared" si="81"/>
        <v/>
      </c>
      <c r="L260" s="55" t="str">
        <f t="shared" si="84"/>
        <v/>
      </c>
      <c r="M260" s="56" t="str">
        <f t="shared" si="83"/>
        <v/>
      </c>
      <c r="N260" s="57"/>
      <c r="O260" s="57" t="str">
        <f t="shared" si="79"/>
        <v/>
      </c>
      <c r="P260" s="58"/>
      <c r="Q260" s="59"/>
      <c r="R260" s="19">
        <f t="shared" si="88"/>
        <v>0</v>
      </c>
      <c r="S260" s="19">
        <f t="shared" si="80"/>
        <v>1</v>
      </c>
      <c r="T260" s="156"/>
    </row>
    <row r="261" spans="1:20" ht="12.75" customHeight="1" x14ac:dyDescent="0.3">
      <c r="A261" s="50">
        <v>44819</v>
      </c>
      <c r="D261" s="135"/>
      <c r="E261" s="136"/>
      <c r="F261" s="137"/>
      <c r="G261" s="55"/>
      <c r="H261" s="55">
        <v>4140</v>
      </c>
      <c r="I261" s="55" t="str">
        <f t="shared" si="86"/>
        <v/>
      </c>
      <c r="J261" s="55" t="str">
        <f t="shared" si="87"/>
        <v/>
      </c>
      <c r="K261" s="56" t="str">
        <f t="shared" si="81"/>
        <v/>
      </c>
      <c r="L261" s="55" t="str">
        <f t="shared" ref="L261:L324" si="89">IF(F261="","",+(F261-F260)*4140)</f>
        <v/>
      </c>
      <c r="M261" s="56" t="str">
        <f t="shared" si="83"/>
        <v/>
      </c>
      <c r="N261" s="57"/>
      <c r="O261" s="57" t="str">
        <f t="shared" si="79"/>
        <v/>
      </c>
      <c r="P261" s="58"/>
      <c r="Q261" s="59"/>
      <c r="R261" s="19">
        <f t="shared" si="88"/>
        <v>0</v>
      </c>
      <c r="S261" s="19">
        <f t="shared" si="80"/>
        <v>1</v>
      </c>
      <c r="T261" s="155"/>
    </row>
    <row r="262" spans="1:20" ht="12.75" customHeight="1" x14ac:dyDescent="0.3">
      <c r="A262" s="50">
        <v>44820</v>
      </c>
      <c r="D262" s="135"/>
      <c r="E262" s="136"/>
      <c r="F262" s="137"/>
      <c r="G262" s="55"/>
      <c r="H262" s="55">
        <v>4140</v>
      </c>
      <c r="I262" s="55" t="str">
        <f t="shared" si="86"/>
        <v/>
      </c>
      <c r="J262" s="55" t="str">
        <f t="shared" si="87"/>
        <v/>
      </c>
      <c r="K262" s="56" t="str">
        <f t="shared" si="81"/>
        <v/>
      </c>
      <c r="L262" s="55" t="str">
        <f t="shared" si="89"/>
        <v/>
      </c>
      <c r="M262" s="56" t="str">
        <f t="shared" si="83"/>
        <v/>
      </c>
      <c r="N262" s="57"/>
      <c r="O262" s="57" t="str">
        <f t="shared" ref="O262:O314" si="90">IF(N262="","",N262-N261)</f>
        <v/>
      </c>
      <c r="P262" s="58"/>
      <c r="Q262" s="59"/>
      <c r="R262" s="19">
        <f t="shared" si="88"/>
        <v>0</v>
      </c>
      <c r="S262" s="19">
        <f t="shared" si="80"/>
        <v>1</v>
      </c>
      <c r="T262" s="155"/>
    </row>
    <row r="263" spans="1:20" ht="12.75" customHeight="1" x14ac:dyDescent="0.3">
      <c r="A263" s="50">
        <v>44821</v>
      </c>
      <c r="D263" s="135"/>
      <c r="E263" s="136"/>
      <c r="F263" s="137"/>
      <c r="G263" s="55"/>
      <c r="H263" s="55">
        <v>4140</v>
      </c>
      <c r="I263" s="55" t="str">
        <f t="shared" si="86"/>
        <v/>
      </c>
      <c r="J263" s="55" t="str">
        <f t="shared" si="87"/>
        <v/>
      </c>
      <c r="K263" s="56" t="str">
        <f t="shared" si="81"/>
        <v/>
      </c>
      <c r="L263" s="55" t="str">
        <f t="shared" si="89"/>
        <v/>
      </c>
      <c r="M263" s="56" t="str">
        <f t="shared" si="83"/>
        <v/>
      </c>
      <c r="N263" s="57"/>
      <c r="O263" s="57" t="str">
        <f t="shared" si="90"/>
        <v/>
      </c>
      <c r="P263" s="58"/>
      <c r="Q263" s="93"/>
      <c r="R263" s="19">
        <f t="shared" si="88"/>
        <v>0</v>
      </c>
      <c r="S263" s="19">
        <f t="shared" si="80"/>
        <v>1</v>
      </c>
      <c r="T263" s="155"/>
    </row>
    <row r="264" spans="1:20" ht="12.75" customHeight="1" x14ac:dyDescent="0.3">
      <c r="A264" s="50">
        <v>44822</v>
      </c>
      <c r="D264" s="135"/>
      <c r="E264" s="136"/>
      <c r="F264" s="137"/>
      <c r="G264" s="55"/>
      <c r="H264" s="55">
        <v>4140</v>
      </c>
      <c r="I264" s="55" t="str">
        <f t="shared" si="86"/>
        <v/>
      </c>
      <c r="J264" s="55" t="str">
        <f t="shared" si="87"/>
        <v/>
      </c>
      <c r="K264" s="56" t="str">
        <f t="shared" si="81"/>
        <v/>
      </c>
      <c r="L264" s="55" t="str">
        <f t="shared" si="89"/>
        <v/>
      </c>
      <c r="M264" s="56" t="str">
        <f t="shared" si="83"/>
        <v/>
      </c>
      <c r="N264" s="57"/>
      <c r="O264" s="57" t="str">
        <f t="shared" si="90"/>
        <v/>
      </c>
      <c r="P264" s="164" t="s">
        <v>50</v>
      </c>
      <c r="Q264" s="165"/>
      <c r="R264" s="19">
        <f t="shared" si="88"/>
        <v>0</v>
      </c>
      <c r="S264" s="19">
        <f t="shared" ref="S264:S327" si="91">IF(N264="",1,0)</f>
        <v>1</v>
      </c>
      <c r="T264" s="156"/>
    </row>
    <row r="265" spans="1:20" ht="12.75" customHeight="1" x14ac:dyDescent="0.3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/>
      <c r="O265" s="57" t="str">
        <f t="shared" si="90"/>
        <v/>
      </c>
      <c r="P265" s="166"/>
      <c r="Q265" s="167"/>
      <c r="R265" s="19">
        <f t="shared" si="88"/>
        <v>0</v>
      </c>
      <c r="S265" s="19">
        <f t="shared" si="91"/>
        <v>1</v>
      </c>
      <c r="T265" s="156"/>
    </row>
    <row r="266" spans="1:20" ht="12.75" customHeight="1" x14ac:dyDescent="0.3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/>
      <c r="O266" s="57" t="str">
        <f t="shared" si="90"/>
        <v/>
      </c>
      <c r="P266" s="64" t="s">
        <v>29</v>
      </c>
      <c r="Q266" s="64" t="s">
        <v>30</v>
      </c>
      <c r="R266" s="19">
        <f t="shared" si="88"/>
        <v>0</v>
      </c>
      <c r="S266" s="19">
        <f t="shared" si="91"/>
        <v>1</v>
      </c>
      <c r="T266" s="155"/>
    </row>
    <row r="267" spans="1:20" ht="12.75" customHeight="1" x14ac:dyDescent="0.3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/>
      <c r="O267" s="57" t="str">
        <f t="shared" si="90"/>
        <v/>
      </c>
      <c r="P267" s="65">
        <f>IF(J247="",0,+SUM(J247:J276)/SUM(I247:I276))</f>
        <v>0</v>
      </c>
      <c r="Q267" s="65">
        <f>IF(L247="",0,+SUM(L247:L276)/SUM(I247:I276))</f>
        <v>0</v>
      </c>
      <c r="R267" s="19">
        <f t="shared" si="88"/>
        <v>0</v>
      </c>
      <c r="S267" s="19">
        <f t="shared" si="91"/>
        <v>1</v>
      </c>
      <c r="T267" s="155"/>
    </row>
    <row r="268" spans="1:20" ht="12.75" customHeight="1" x14ac:dyDescent="0.3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/>
      <c r="O268" s="57" t="str">
        <f t="shared" si="90"/>
        <v/>
      </c>
      <c r="P268" s="66">
        <f>IF(J247="",0,+(+(LOOKUP(9.99999999999999E+307,E247:E276)-E246))/(+(LOOKUP(9.99999999999999E+307,D247:D276)-D246)))</f>
        <v>0</v>
      </c>
      <c r="Q268" s="66">
        <f>IF(L247="",0,+(+(LOOKUP(9.99999999999999E+307,F247:F276)-F246))/(+(LOOKUP(9.99999999999999E+307,D247:D276)-D246)))</f>
        <v>0</v>
      </c>
      <c r="R268" s="19">
        <f t="shared" si="88"/>
        <v>0</v>
      </c>
      <c r="S268" s="19">
        <f t="shared" si="91"/>
        <v>1</v>
      </c>
      <c r="T268" s="156"/>
    </row>
    <row r="269" spans="1:20" ht="12.75" customHeight="1" x14ac:dyDescent="0.3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/>
      <c r="O269" s="57" t="str">
        <f t="shared" si="90"/>
        <v/>
      </c>
      <c r="P269" s="67" t="s">
        <v>31</v>
      </c>
      <c r="Q269" s="68" t="s">
        <v>32</v>
      </c>
      <c r="R269" s="19">
        <f t="shared" si="88"/>
        <v>0</v>
      </c>
      <c r="S269" s="19">
        <f t="shared" si="91"/>
        <v>1</v>
      </c>
      <c r="T269" s="156"/>
    </row>
    <row r="270" spans="1:20" ht="12.75" customHeight="1" x14ac:dyDescent="0.3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/>
      <c r="O270" s="57" t="str">
        <f t="shared" si="90"/>
        <v/>
      </c>
      <c r="P270" s="69">
        <f>IF(N246="",0,+(LOOKUP(9.99999999999999E+307,N246:N276)-N246))</f>
        <v>0</v>
      </c>
      <c r="Q270" s="70" t="e">
        <f>IF(P270="",0,+P270/SUM(R247:R276))</f>
        <v>#DIV/0!</v>
      </c>
      <c r="R270" s="19">
        <f t="shared" si="88"/>
        <v>0</v>
      </c>
      <c r="S270" s="19">
        <f t="shared" si="91"/>
        <v>1</v>
      </c>
      <c r="T270" s="156"/>
    </row>
    <row r="271" spans="1:20" ht="12.75" customHeight="1" x14ac:dyDescent="0.3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/>
      <c r="O271" s="57" t="str">
        <f t="shared" si="90"/>
        <v/>
      </c>
      <c r="P271" s="71" t="s">
        <v>33</v>
      </c>
      <c r="Q271" s="72" t="s">
        <v>41</v>
      </c>
      <c r="R271" s="19">
        <f t="shared" si="88"/>
        <v>0</v>
      </c>
      <c r="S271" s="19">
        <f t="shared" si="91"/>
        <v>1</v>
      </c>
      <c r="T271" s="156"/>
    </row>
    <row r="272" spans="1:20" ht="12.75" customHeight="1" x14ac:dyDescent="0.3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/>
      <c r="O272" s="57" t="str">
        <f t="shared" si="90"/>
        <v/>
      </c>
      <c r="P272" s="73">
        <f>IF(D246="",0,+(LOOKUP(9.99999999999999E+307,D246:D276)-D246))*4140</f>
        <v>0</v>
      </c>
      <c r="Q272" s="74" t="e">
        <f>IF(P272="",0,+P272/SUM(R247:R276))</f>
        <v>#DIV/0!</v>
      </c>
      <c r="R272" s="19">
        <f t="shared" si="88"/>
        <v>0</v>
      </c>
      <c r="S272" s="19">
        <f t="shared" si="91"/>
        <v>1</v>
      </c>
      <c r="T272" s="155"/>
    </row>
    <row r="273" spans="1:23" ht="12.75" customHeight="1" x14ac:dyDescent="0.3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/>
      <c r="O273" s="57" t="str">
        <f t="shared" si="90"/>
        <v/>
      </c>
      <c r="P273" s="157" t="s">
        <v>35</v>
      </c>
      <c r="Q273" s="158" t="s">
        <v>42</v>
      </c>
      <c r="R273" s="19">
        <f t="shared" si="88"/>
        <v>0</v>
      </c>
      <c r="S273" s="19">
        <f t="shared" si="91"/>
        <v>1</v>
      </c>
      <c r="T273" s="155"/>
    </row>
    <row r="274" spans="1:23" ht="12.75" customHeight="1" x14ac:dyDescent="0.3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/>
      <c r="O274" s="57" t="str">
        <f t="shared" si="90"/>
        <v/>
      </c>
      <c r="P274" s="75">
        <f>P272*Q277</f>
        <v>0</v>
      </c>
      <c r="Q274" s="76" t="e">
        <f>IF(Q34="",0,(SUM('[1]Günlük Tüketim'!H247:H276)*1.62)/SUM(O247:O276))</f>
        <v>#DIV/0!</v>
      </c>
      <c r="R274" s="19">
        <f t="shared" si="88"/>
        <v>0</v>
      </c>
      <c r="S274" s="19">
        <f t="shared" si="91"/>
        <v>1</v>
      </c>
      <c r="T274" s="155"/>
    </row>
    <row r="275" spans="1:23" ht="12.75" customHeight="1" x14ac:dyDescent="0.3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/>
      <c r="O275" s="57" t="str">
        <f t="shared" si="90"/>
        <v/>
      </c>
      <c r="P275" s="159" t="s">
        <v>37</v>
      </c>
      <c r="Q275" s="160" t="s">
        <v>38</v>
      </c>
      <c r="R275" s="19">
        <f t="shared" si="88"/>
        <v>0</v>
      </c>
      <c r="S275" s="19">
        <f t="shared" si="91"/>
        <v>1</v>
      </c>
      <c r="T275" s="155"/>
    </row>
    <row r="276" spans="1:23" ht="12.75" customHeight="1" x14ac:dyDescent="0.3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/>
      <c r="O276" s="82" t="str">
        <f t="shared" si="90"/>
        <v/>
      </c>
      <c r="P276" s="116" t="e">
        <f>(P274+Q272*SUM(S247:S276)*Q277)</f>
        <v>#DIV/0!</v>
      </c>
      <c r="Q276" s="84" t="e">
        <f>Q272*30</f>
        <v>#DIV/0!</v>
      </c>
      <c r="R276" s="19">
        <f t="shared" si="88"/>
        <v>0</v>
      </c>
      <c r="S276" s="19">
        <f t="shared" si="91"/>
        <v>1</v>
      </c>
      <c r="T276" s="155"/>
    </row>
    <row r="277" spans="1:23" x14ac:dyDescent="0.3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/>
      <c r="O277" s="57" t="str">
        <f t="shared" si="90"/>
        <v/>
      </c>
      <c r="P277" s="85" t="s">
        <v>39</v>
      </c>
      <c r="Q277" s="86">
        <v>0.56999999999999995</v>
      </c>
      <c r="R277" s="19">
        <f t="shared" si="88"/>
        <v>0</v>
      </c>
      <c r="S277" s="19">
        <f t="shared" si="91"/>
        <v>1</v>
      </c>
      <c r="T277" s="155"/>
    </row>
    <row r="278" spans="1:23" x14ac:dyDescent="0.3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/>
      <c r="O278" s="57" t="str">
        <f t="shared" si="90"/>
        <v/>
      </c>
      <c r="P278" s="58"/>
      <c r="Q278" s="93"/>
      <c r="R278" s="19">
        <f t="shared" si="88"/>
        <v>0</v>
      </c>
      <c r="S278" s="19">
        <f t="shared" si="91"/>
        <v>1</v>
      </c>
      <c r="T278" s="155"/>
      <c r="W278" s="1" t="s">
        <v>51</v>
      </c>
    </row>
    <row r="279" spans="1:23" x14ac:dyDescent="0.3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/>
      <c r="O279" s="57" t="str">
        <f t="shared" si="90"/>
        <v/>
      </c>
      <c r="P279" s="89"/>
      <c r="Q279" s="90"/>
      <c r="R279" s="19">
        <f t="shared" si="88"/>
        <v>0</v>
      </c>
      <c r="S279" s="19">
        <f t="shared" si="91"/>
        <v>1</v>
      </c>
      <c r="T279" s="156"/>
    </row>
    <row r="280" spans="1:23" x14ac:dyDescent="0.3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/>
      <c r="O280" s="57" t="str">
        <f t="shared" si="90"/>
        <v/>
      </c>
      <c r="P280" s="91"/>
      <c r="Q280" s="92"/>
      <c r="R280" s="19">
        <f t="shared" si="88"/>
        <v>0</v>
      </c>
      <c r="S280" s="19">
        <f t="shared" si="91"/>
        <v>1</v>
      </c>
      <c r="T280" s="156"/>
    </row>
    <row r="281" spans="1:23" x14ac:dyDescent="0.3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/>
      <c r="O281" s="57" t="str">
        <f t="shared" si="90"/>
        <v/>
      </c>
      <c r="P281" s="91"/>
      <c r="Q281" s="90"/>
      <c r="R281" s="19">
        <f t="shared" si="88"/>
        <v>0</v>
      </c>
      <c r="S281" s="19">
        <f t="shared" si="91"/>
        <v>1</v>
      </c>
      <c r="T281" s="155"/>
    </row>
    <row r="282" spans="1:23" x14ac:dyDescent="0.3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/>
      <c r="O282" s="57" t="str">
        <f t="shared" si="90"/>
        <v/>
      </c>
      <c r="P282" s="58"/>
      <c r="Q282" s="59"/>
      <c r="R282" s="19">
        <f t="shared" si="88"/>
        <v>0</v>
      </c>
      <c r="S282" s="19">
        <f t="shared" si="91"/>
        <v>1</v>
      </c>
      <c r="T282" s="155"/>
    </row>
    <row r="283" spans="1:23" x14ac:dyDescent="0.3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/>
      <c r="O283" s="57" t="str">
        <f t="shared" si="90"/>
        <v/>
      </c>
      <c r="P283" s="58"/>
      <c r="Q283" s="60"/>
      <c r="R283" s="19">
        <f t="shared" si="88"/>
        <v>0</v>
      </c>
      <c r="S283" s="19">
        <f t="shared" si="91"/>
        <v>1</v>
      </c>
      <c r="T283" s="155"/>
    </row>
    <row r="284" spans="1:23" x14ac:dyDescent="0.3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/>
      <c r="O284" s="57" t="str">
        <f t="shared" si="90"/>
        <v/>
      </c>
      <c r="P284" s="58"/>
      <c r="Q284" s="60"/>
      <c r="R284" s="19">
        <f t="shared" si="88"/>
        <v>0</v>
      </c>
      <c r="S284" s="19">
        <f t="shared" si="91"/>
        <v>1</v>
      </c>
      <c r="T284" s="156"/>
    </row>
    <row r="285" spans="1:23" x14ac:dyDescent="0.3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/>
      <c r="O285" s="57" t="str">
        <f t="shared" si="90"/>
        <v/>
      </c>
      <c r="P285" s="58"/>
      <c r="Q285" s="60"/>
      <c r="R285" s="19">
        <f t="shared" si="88"/>
        <v>0</v>
      </c>
      <c r="S285" s="19">
        <f t="shared" si="91"/>
        <v>1</v>
      </c>
      <c r="T285" s="156"/>
    </row>
    <row r="286" spans="1:23" x14ac:dyDescent="0.3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/>
      <c r="O286" s="57" t="str">
        <f t="shared" si="90"/>
        <v/>
      </c>
      <c r="P286" s="58"/>
      <c r="Q286" s="59"/>
      <c r="R286" s="19">
        <f t="shared" si="88"/>
        <v>0</v>
      </c>
      <c r="S286" s="19">
        <f t="shared" si="91"/>
        <v>1</v>
      </c>
      <c r="T286" s="155"/>
    </row>
    <row r="287" spans="1:23" x14ac:dyDescent="0.3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/>
      <c r="O287" s="57" t="str">
        <f t="shared" si="90"/>
        <v/>
      </c>
      <c r="P287" s="58"/>
      <c r="Q287" s="59"/>
      <c r="R287" s="19">
        <f t="shared" si="88"/>
        <v>0</v>
      </c>
      <c r="S287" s="19">
        <f t="shared" si="91"/>
        <v>1</v>
      </c>
      <c r="T287" s="155"/>
    </row>
    <row r="288" spans="1:23" x14ac:dyDescent="0.3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/>
      <c r="O288" s="57" t="str">
        <f t="shared" si="90"/>
        <v/>
      </c>
      <c r="P288" s="58"/>
      <c r="Q288" s="60"/>
      <c r="R288" s="19">
        <f t="shared" si="88"/>
        <v>0</v>
      </c>
      <c r="S288" s="19">
        <f t="shared" si="91"/>
        <v>1</v>
      </c>
      <c r="T288" s="155"/>
    </row>
    <row r="289" spans="1:20" x14ac:dyDescent="0.3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/>
      <c r="O289" s="57" t="str">
        <f t="shared" si="90"/>
        <v/>
      </c>
      <c r="P289" s="58"/>
      <c r="Q289" s="60"/>
      <c r="R289" s="19">
        <f t="shared" si="88"/>
        <v>0</v>
      </c>
      <c r="S289" s="19">
        <f t="shared" si="91"/>
        <v>1</v>
      </c>
      <c r="T289" s="156"/>
    </row>
    <row r="290" spans="1:20" x14ac:dyDescent="0.3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/>
      <c r="O290" s="57" t="str">
        <f t="shared" si="90"/>
        <v/>
      </c>
      <c r="P290" s="58"/>
      <c r="Q290" s="59"/>
      <c r="R290" s="19">
        <f t="shared" si="88"/>
        <v>0</v>
      </c>
      <c r="S290" s="19">
        <f t="shared" si="91"/>
        <v>1</v>
      </c>
      <c r="T290" s="156"/>
    </row>
    <row r="291" spans="1:20" x14ac:dyDescent="0.3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/>
      <c r="O291" s="57" t="str">
        <f t="shared" si="90"/>
        <v/>
      </c>
      <c r="P291" s="58"/>
      <c r="Q291" s="59"/>
      <c r="R291" s="19">
        <f t="shared" si="88"/>
        <v>0</v>
      </c>
      <c r="S291" s="19">
        <f t="shared" si="91"/>
        <v>1</v>
      </c>
      <c r="T291" s="155"/>
    </row>
    <row r="292" spans="1:20" x14ac:dyDescent="0.3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/>
      <c r="O292" s="57" t="str">
        <f t="shared" si="90"/>
        <v/>
      </c>
      <c r="P292" s="58"/>
      <c r="Q292" s="59"/>
      <c r="R292" s="19">
        <f t="shared" si="88"/>
        <v>0</v>
      </c>
      <c r="S292" s="19">
        <f t="shared" si="91"/>
        <v>1</v>
      </c>
      <c r="T292" s="155"/>
    </row>
    <row r="293" spans="1:20" x14ac:dyDescent="0.3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/>
      <c r="O293" s="57" t="str">
        <f>IF(N293="","",N293-N292)</f>
        <v/>
      </c>
      <c r="P293" s="58"/>
      <c r="Q293" s="93"/>
      <c r="R293" s="19">
        <f t="shared" si="88"/>
        <v>0</v>
      </c>
      <c r="S293" s="19">
        <f t="shared" si="91"/>
        <v>1</v>
      </c>
      <c r="T293" s="155"/>
    </row>
    <row r="294" spans="1:20" x14ac:dyDescent="0.3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/>
      <c r="O294" s="57" t="str">
        <f>IF(N294="","",N294-N293)</f>
        <v/>
      </c>
      <c r="P294" s="58"/>
      <c r="Q294" s="93"/>
      <c r="R294" s="19">
        <f t="shared" si="88"/>
        <v>0</v>
      </c>
      <c r="S294" s="19">
        <f t="shared" si="91"/>
        <v>1</v>
      </c>
      <c r="T294" s="156"/>
    </row>
    <row r="295" spans="1:20" x14ac:dyDescent="0.3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/>
      <c r="O295" s="57" t="str">
        <f t="shared" si="90"/>
        <v/>
      </c>
      <c r="P295" s="164" t="s">
        <v>52</v>
      </c>
      <c r="Q295" s="165"/>
      <c r="R295" s="19">
        <f t="shared" si="88"/>
        <v>0</v>
      </c>
      <c r="S295" s="19">
        <f t="shared" si="91"/>
        <v>1</v>
      </c>
      <c r="T295" s="156"/>
    </row>
    <row r="296" spans="1:20" x14ac:dyDescent="0.3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/>
      <c r="O296" s="57" t="str">
        <f t="shared" si="90"/>
        <v/>
      </c>
      <c r="P296" s="166"/>
      <c r="Q296" s="167"/>
      <c r="R296" s="19">
        <f t="shared" si="88"/>
        <v>0</v>
      </c>
      <c r="S296" s="19">
        <f t="shared" si="91"/>
        <v>1</v>
      </c>
      <c r="T296" s="155"/>
    </row>
    <row r="297" spans="1:20" x14ac:dyDescent="0.3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/>
      <c r="O297" s="57" t="str">
        <f t="shared" si="90"/>
        <v/>
      </c>
      <c r="P297" s="64" t="s">
        <v>29</v>
      </c>
      <c r="Q297" s="64" t="s">
        <v>30</v>
      </c>
      <c r="R297" s="19">
        <f t="shared" si="88"/>
        <v>0</v>
      </c>
      <c r="S297" s="19">
        <f t="shared" si="91"/>
        <v>1</v>
      </c>
      <c r="T297" s="155"/>
    </row>
    <row r="298" spans="1:20" x14ac:dyDescent="0.3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/>
      <c r="O298" s="57" t="str">
        <f t="shared" si="90"/>
        <v/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56"/>
    </row>
    <row r="299" spans="1:20" x14ac:dyDescent="0.3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/>
      <c r="O299" s="57" t="str">
        <f t="shared" si="90"/>
        <v/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56"/>
    </row>
    <row r="300" spans="1:20" x14ac:dyDescent="0.3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/>
      <c r="O300" s="57" t="str">
        <f t="shared" si="90"/>
        <v/>
      </c>
      <c r="P300" s="67" t="s">
        <v>31</v>
      </c>
      <c r="Q300" s="68" t="s">
        <v>32</v>
      </c>
      <c r="R300" s="19">
        <f t="shared" si="88"/>
        <v>0</v>
      </c>
      <c r="S300" s="19">
        <f t="shared" si="91"/>
        <v>1</v>
      </c>
      <c r="T300" s="156"/>
    </row>
    <row r="301" spans="1:20" x14ac:dyDescent="0.3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/>
      <c r="O301" s="57" t="str">
        <f t="shared" si="90"/>
        <v/>
      </c>
      <c r="P301" s="69">
        <f>IF(N276="",0,+(LOOKUP(9.99999999999999E+307,N276:N307)-N276))</f>
        <v>0</v>
      </c>
      <c r="Q301" s="70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56"/>
    </row>
    <row r="302" spans="1:20" x14ac:dyDescent="0.3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/>
      <c r="O302" s="57" t="str">
        <f t="shared" si="90"/>
        <v/>
      </c>
      <c r="P302" s="71" t="s">
        <v>33</v>
      </c>
      <c r="Q302" s="72" t="s">
        <v>41</v>
      </c>
      <c r="R302" s="19">
        <f t="shared" si="88"/>
        <v>0</v>
      </c>
      <c r="S302" s="19">
        <f t="shared" si="91"/>
        <v>1</v>
      </c>
      <c r="T302" s="155"/>
    </row>
    <row r="303" spans="1:20" x14ac:dyDescent="0.3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/>
      <c r="O303" s="57" t="str">
        <f t="shared" si="90"/>
        <v/>
      </c>
      <c r="P303" s="73">
        <f>IF(D276="",0,+(LOOKUP(9.99999999999999E+307,D276:D307)-D276))*4140</f>
        <v>0</v>
      </c>
      <c r="Q303" s="74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55"/>
    </row>
    <row r="304" spans="1:20" x14ac:dyDescent="0.3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/>
      <c r="O304" s="57" t="str">
        <f t="shared" si="90"/>
        <v/>
      </c>
      <c r="P304" s="157" t="s">
        <v>35</v>
      </c>
      <c r="Q304" s="158" t="s">
        <v>42</v>
      </c>
      <c r="R304" s="19">
        <f t="shared" si="88"/>
        <v>0</v>
      </c>
      <c r="S304" s="19">
        <f t="shared" si="91"/>
        <v>1</v>
      </c>
      <c r="T304" s="155"/>
    </row>
    <row r="305" spans="1:20" x14ac:dyDescent="0.3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/>
      <c r="O305" s="57" t="str">
        <f t="shared" si="90"/>
        <v/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55"/>
    </row>
    <row r="306" spans="1:20" x14ac:dyDescent="0.3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/>
      <c r="O306" s="57" t="str">
        <f t="shared" si="90"/>
        <v/>
      </c>
      <c r="P306" s="159" t="s">
        <v>37</v>
      </c>
      <c r="Q306" s="160" t="s">
        <v>38</v>
      </c>
      <c r="R306" s="19">
        <f t="shared" si="88"/>
        <v>0</v>
      </c>
      <c r="S306" s="19">
        <f t="shared" si="91"/>
        <v>1</v>
      </c>
      <c r="T306" s="155"/>
    </row>
    <row r="307" spans="1:20" x14ac:dyDescent="0.3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/>
      <c r="O307" s="82" t="str">
        <f t="shared" si="90"/>
        <v/>
      </c>
      <c r="P307" s="117" t="e">
        <f>(P305+Q303*SUM(S277:S307)*Q308)</f>
        <v>#DIV/0!</v>
      </c>
      <c r="Q307" s="118" t="e">
        <f>Q303*31</f>
        <v>#DIV/0!</v>
      </c>
      <c r="R307" s="19">
        <f t="shared" si="88"/>
        <v>0</v>
      </c>
      <c r="S307" s="19">
        <f t="shared" si="91"/>
        <v>1</v>
      </c>
      <c r="T307" s="155"/>
    </row>
    <row r="308" spans="1:20" x14ac:dyDescent="0.3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/>
      <c r="O308" s="57" t="str">
        <f t="shared" si="90"/>
        <v/>
      </c>
      <c r="P308" s="100" t="s">
        <v>39</v>
      </c>
      <c r="Q308" s="101">
        <v>0.56999999999999995</v>
      </c>
      <c r="R308" s="19">
        <f t="shared" si="88"/>
        <v>0</v>
      </c>
      <c r="S308" s="19">
        <f t="shared" si="91"/>
        <v>1</v>
      </c>
      <c r="T308" s="155"/>
    </row>
    <row r="309" spans="1:20" x14ac:dyDescent="0.3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/>
      <c r="O309" s="57" t="str">
        <f t="shared" si="90"/>
        <v/>
      </c>
      <c r="P309" s="119"/>
      <c r="Q309" s="119"/>
      <c r="R309" s="19">
        <f t="shared" si="88"/>
        <v>0</v>
      </c>
      <c r="S309" s="19">
        <f t="shared" si="91"/>
        <v>1</v>
      </c>
      <c r="T309" s="155"/>
    </row>
    <row r="310" spans="1:20" x14ac:dyDescent="0.3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/>
      <c r="O310" s="57" t="str">
        <f t="shared" si="90"/>
        <v/>
      </c>
      <c r="P310" s="89"/>
      <c r="Q310" s="90"/>
      <c r="R310" s="19">
        <f>IF(N310="",0,1)</f>
        <v>0</v>
      </c>
      <c r="S310" s="19">
        <f t="shared" si="91"/>
        <v>1</v>
      </c>
      <c r="T310" s="156"/>
    </row>
    <row r="311" spans="1:20" x14ac:dyDescent="0.3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/>
      <c r="O311" s="57" t="str">
        <f t="shared" si="90"/>
        <v/>
      </c>
      <c r="P311" s="91"/>
      <c r="Q311" s="92"/>
      <c r="R311" s="19">
        <f>IF(N311="",0,1)</f>
        <v>0</v>
      </c>
      <c r="S311" s="19">
        <f>IF(N312="",1,0)</f>
        <v>1</v>
      </c>
      <c r="T311" s="156"/>
    </row>
    <row r="312" spans="1:20" x14ac:dyDescent="0.3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/>
      <c r="O312" s="57" t="str">
        <f t="shared" si="90"/>
        <v/>
      </c>
      <c r="P312" s="91"/>
      <c r="Q312" s="90"/>
      <c r="R312" s="19">
        <f>IF(N312="",0,1)</f>
        <v>0</v>
      </c>
      <c r="S312" s="19">
        <f>IF(N313="",1,0)</f>
        <v>1</v>
      </c>
      <c r="T312" s="155"/>
    </row>
    <row r="313" spans="1:20" x14ac:dyDescent="0.3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/>
      <c r="O313" s="57" t="str">
        <f t="shared" si="90"/>
        <v/>
      </c>
      <c r="P313" s="58"/>
      <c r="Q313" s="60"/>
      <c r="R313" s="19">
        <f t="shared" si="88"/>
        <v>0</v>
      </c>
      <c r="S313" s="19">
        <f t="shared" si="91"/>
        <v>1</v>
      </c>
      <c r="T313" s="155"/>
    </row>
    <row r="314" spans="1:20" x14ac:dyDescent="0.3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/>
      <c r="O314" s="57" t="str">
        <f t="shared" si="90"/>
        <v/>
      </c>
      <c r="P314" s="58"/>
      <c r="Q314" s="60"/>
      <c r="R314" s="19">
        <f t="shared" si="88"/>
        <v>0</v>
      </c>
      <c r="S314" s="19">
        <f t="shared" si="91"/>
        <v>1</v>
      </c>
      <c r="T314" s="155"/>
    </row>
    <row r="315" spans="1:20" x14ac:dyDescent="0.3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/>
      <c r="O315" s="57" t="str">
        <f>IF(N315="","",N315-N314)</f>
        <v/>
      </c>
      <c r="P315" s="58"/>
      <c r="Q315" s="60"/>
      <c r="R315" s="19">
        <f t="shared" si="88"/>
        <v>0</v>
      </c>
      <c r="S315" s="19">
        <f t="shared" si="91"/>
        <v>1</v>
      </c>
      <c r="T315" s="156"/>
    </row>
    <row r="316" spans="1:20" x14ac:dyDescent="0.3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/>
      <c r="O316" s="57" t="str">
        <f t="shared" ref="O316:O367" si="97">IF(N316="","",N316-N315)</f>
        <v/>
      </c>
      <c r="P316" s="58"/>
      <c r="Q316" s="59"/>
      <c r="R316" s="19">
        <f t="shared" si="88"/>
        <v>0</v>
      </c>
      <c r="S316" s="19">
        <f t="shared" si="91"/>
        <v>1</v>
      </c>
      <c r="T316" s="156"/>
    </row>
    <row r="317" spans="1:20" x14ac:dyDescent="0.3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/>
      <c r="O317" s="57" t="str">
        <f t="shared" si="97"/>
        <v/>
      </c>
      <c r="P317" s="58"/>
      <c r="Q317" s="59"/>
      <c r="R317" s="19">
        <f t="shared" ref="R317:R368" si="98">IF(N317="",0,1)</f>
        <v>0</v>
      </c>
      <c r="S317" s="19">
        <f t="shared" si="91"/>
        <v>1</v>
      </c>
      <c r="T317" s="155"/>
    </row>
    <row r="318" spans="1:20" x14ac:dyDescent="0.3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/>
      <c r="O318" s="57" t="str">
        <f t="shared" si="97"/>
        <v/>
      </c>
      <c r="P318" s="58"/>
      <c r="Q318" s="60"/>
      <c r="R318" s="19">
        <f t="shared" si="98"/>
        <v>0</v>
      </c>
      <c r="S318" s="19">
        <f t="shared" si="91"/>
        <v>1</v>
      </c>
      <c r="T318" s="155"/>
    </row>
    <row r="319" spans="1:20" x14ac:dyDescent="0.3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/>
      <c r="O319" s="57" t="str">
        <f>IF(N319="","",N319-N318)</f>
        <v/>
      </c>
      <c r="P319" s="58"/>
      <c r="Q319" s="60"/>
      <c r="R319" s="19">
        <f t="shared" si="98"/>
        <v>0</v>
      </c>
      <c r="S319" s="19">
        <f t="shared" si="91"/>
        <v>1</v>
      </c>
      <c r="T319" s="155"/>
    </row>
    <row r="320" spans="1:20" x14ac:dyDescent="0.3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/>
      <c r="O320" s="57" t="str">
        <f t="shared" si="97"/>
        <v/>
      </c>
      <c r="P320" s="58"/>
      <c r="Q320" s="59"/>
      <c r="R320" s="19">
        <f t="shared" si="98"/>
        <v>0</v>
      </c>
      <c r="S320" s="19">
        <f t="shared" si="91"/>
        <v>1</v>
      </c>
      <c r="T320" s="156"/>
    </row>
    <row r="321" spans="1:20" x14ac:dyDescent="0.3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/>
      <c r="O321" s="57" t="str">
        <f t="shared" si="97"/>
        <v/>
      </c>
      <c r="P321" s="58"/>
      <c r="Q321" s="120"/>
      <c r="R321" s="19">
        <f t="shared" si="98"/>
        <v>0</v>
      </c>
      <c r="S321" s="19">
        <f t="shared" si="91"/>
        <v>1</v>
      </c>
      <c r="T321" s="156"/>
    </row>
    <row r="322" spans="1:20" x14ac:dyDescent="0.3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/>
      <c r="O322" s="57" t="str">
        <f t="shared" si="97"/>
        <v/>
      </c>
      <c r="P322" s="58"/>
      <c r="Q322" s="59"/>
      <c r="R322" s="19">
        <f t="shared" si="98"/>
        <v>0</v>
      </c>
      <c r="S322" s="19">
        <f t="shared" si="91"/>
        <v>1</v>
      </c>
      <c r="T322" s="155"/>
    </row>
    <row r="323" spans="1:20" x14ac:dyDescent="0.3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/>
      <c r="O323" s="57" t="str">
        <f t="shared" si="97"/>
        <v/>
      </c>
      <c r="P323" s="58"/>
      <c r="Q323" s="93"/>
      <c r="R323" s="19">
        <f t="shared" si="98"/>
        <v>0</v>
      </c>
      <c r="S323" s="19">
        <f t="shared" si="91"/>
        <v>1</v>
      </c>
      <c r="T323" s="155"/>
    </row>
    <row r="324" spans="1:20" x14ac:dyDescent="0.3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/>
      <c r="O324" s="57" t="str">
        <f t="shared" si="97"/>
        <v/>
      </c>
      <c r="P324" s="58"/>
      <c r="Q324" s="93"/>
      <c r="R324" s="19">
        <f t="shared" si="98"/>
        <v>0</v>
      </c>
      <c r="S324" s="19">
        <f t="shared" si="91"/>
        <v>1</v>
      </c>
      <c r="T324" s="155"/>
    </row>
    <row r="325" spans="1:20" x14ac:dyDescent="0.3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/>
      <c r="O325" s="57" t="str">
        <f t="shared" si="97"/>
        <v/>
      </c>
      <c r="P325" s="164" t="s">
        <v>53</v>
      </c>
      <c r="Q325" s="165"/>
      <c r="R325" s="19">
        <f t="shared" si="98"/>
        <v>0</v>
      </c>
      <c r="S325" s="19">
        <f t="shared" si="91"/>
        <v>1</v>
      </c>
      <c r="T325" s="156"/>
    </row>
    <row r="326" spans="1:20" x14ac:dyDescent="0.3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/>
      <c r="O326" s="57" t="str">
        <f t="shared" si="97"/>
        <v/>
      </c>
      <c r="P326" s="166"/>
      <c r="Q326" s="167"/>
      <c r="R326" s="19">
        <f t="shared" si="98"/>
        <v>0</v>
      </c>
      <c r="S326" s="19">
        <f t="shared" si="91"/>
        <v>1</v>
      </c>
      <c r="T326" s="156"/>
    </row>
    <row r="327" spans="1:20" x14ac:dyDescent="0.3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/>
      <c r="O327" s="57" t="str">
        <f t="shared" si="97"/>
        <v/>
      </c>
      <c r="P327" s="64" t="s">
        <v>29</v>
      </c>
      <c r="Q327" s="64" t="s">
        <v>30</v>
      </c>
      <c r="R327" s="19">
        <f t="shared" si="98"/>
        <v>0</v>
      </c>
      <c r="S327" s="19">
        <f t="shared" si="91"/>
        <v>1</v>
      </c>
      <c r="T327" s="155"/>
    </row>
    <row r="328" spans="1:20" x14ac:dyDescent="0.3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/>
      <c r="O328" s="57" t="str">
        <f>IF(N328="","",N328-N327)</f>
        <v/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55"/>
    </row>
    <row r="329" spans="1:20" x14ac:dyDescent="0.3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/>
      <c r="O329" s="57" t="str">
        <f t="shared" si="97"/>
        <v/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56"/>
    </row>
    <row r="330" spans="1:20" x14ac:dyDescent="0.3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/>
      <c r="O330" s="57" t="str">
        <f t="shared" si="97"/>
        <v/>
      </c>
      <c r="P330" s="67" t="s">
        <v>31</v>
      </c>
      <c r="Q330" s="68" t="s">
        <v>32</v>
      </c>
      <c r="R330" s="19">
        <f t="shared" si="98"/>
        <v>0</v>
      </c>
      <c r="S330" s="19">
        <f t="shared" si="101"/>
        <v>1</v>
      </c>
      <c r="T330" s="156"/>
    </row>
    <row r="331" spans="1:20" x14ac:dyDescent="0.3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/>
      <c r="O331" s="57" t="str">
        <f t="shared" si="97"/>
        <v/>
      </c>
      <c r="P331" s="69">
        <f>IF(N307="",0,+(LOOKUP(9.99999999999999E+307,N307:N337)-N307))</f>
        <v>0</v>
      </c>
      <c r="Q331" s="70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56"/>
    </row>
    <row r="332" spans="1:20" x14ac:dyDescent="0.3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/>
      <c r="O332" s="57" t="str">
        <f t="shared" si="97"/>
        <v/>
      </c>
      <c r="P332" s="71" t="s">
        <v>33</v>
      </c>
      <c r="Q332" s="72" t="s">
        <v>41</v>
      </c>
      <c r="R332" s="19">
        <f t="shared" si="98"/>
        <v>0</v>
      </c>
      <c r="S332" s="19">
        <f t="shared" si="101"/>
        <v>1</v>
      </c>
      <c r="T332" s="156"/>
    </row>
    <row r="333" spans="1:20" x14ac:dyDescent="0.3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/>
      <c r="O333" s="57" t="str">
        <f t="shared" si="97"/>
        <v/>
      </c>
      <c r="P333" s="73">
        <f>IF(D307="",0,+(LOOKUP(9.99999999999999E+307,D307:D337)-D307))*4140</f>
        <v>0</v>
      </c>
      <c r="Q333" s="74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55"/>
    </row>
    <row r="334" spans="1:20" x14ac:dyDescent="0.3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/>
      <c r="O334" s="57" t="str">
        <f t="shared" si="97"/>
        <v/>
      </c>
      <c r="P334" s="157" t="s">
        <v>35</v>
      </c>
      <c r="Q334" s="158" t="s">
        <v>42</v>
      </c>
      <c r="R334" s="19">
        <f t="shared" si="98"/>
        <v>0</v>
      </c>
      <c r="S334" s="19">
        <f t="shared" si="101"/>
        <v>1</v>
      </c>
      <c r="T334" s="155"/>
    </row>
    <row r="335" spans="1:20" x14ac:dyDescent="0.3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/>
      <c r="O335" s="57" t="str">
        <f t="shared" si="97"/>
        <v/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55"/>
    </row>
    <row r="336" spans="1:20" x14ac:dyDescent="0.3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/>
      <c r="O336" s="57" t="str">
        <f t="shared" si="97"/>
        <v/>
      </c>
      <c r="P336" s="161" t="s">
        <v>37</v>
      </c>
      <c r="Q336" s="161" t="s">
        <v>38</v>
      </c>
      <c r="R336" s="19">
        <f t="shared" si="98"/>
        <v>0</v>
      </c>
      <c r="S336" s="19">
        <f t="shared" si="101"/>
        <v>1</v>
      </c>
      <c r="T336" s="155"/>
    </row>
    <row r="337" spans="1:20" x14ac:dyDescent="0.3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/>
      <c r="O337" s="123" t="str">
        <f t="shared" si="97"/>
        <v/>
      </c>
      <c r="P337" s="124" t="e">
        <f>(P335+Q333*SUM(S308:S337)*Q338)</f>
        <v>#DIV/0!</v>
      </c>
      <c r="Q337" s="125" t="e">
        <f>Q333*30</f>
        <v>#DIV/0!</v>
      </c>
      <c r="R337" s="19">
        <f t="shared" si="98"/>
        <v>0</v>
      </c>
      <c r="S337" s="19">
        <f t="shared" si="101"/>
        <v>1</v>
      </c>
      <c r="T337" s="155"/>
    </row>
    <row r="338" spans="1:20" x14ac:dyDescent="0.3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/>
      <c r="O338" s="57" t="str">
        <f t="shared" si="97"/>
        <v/>
      </c>
      <c r="P338" s="126" t="s">
        <v>39</v>
      </c>
      <c r="Q338" s="127">
        <v>0.56999999999999995</v>
      </c>
      <c r="R338" s="19">
        <f t="shared" si="98"/>
        <v>0</v>
      </c>
      <c r="S338" s="19">
        <f t="shared" si="101"/>
        <v>1</v>
      </c>
      <c r="T338" s="155"/>
    </row>
    <row r="339" spans="1:20" x14ac:dyDescent="0.3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/>
      <c r="O339" s="57" t="str">
        <f t="shared" si="97"/>
        <v/>
      </c>
      <c r="P339" s="119"/>
      <c r="Q339" s="119"/>
      <c r="R339" s="19">
        <f t="shared" si="98"/>
        <v>0</v>
      </c>
      <c r="S339" s="19">
        <f t="shared" si="101"/>
        <v>1</v>
      </c>
      <c r="T339" s="155"/>
    </row>
    <row r="340" spans="1:20" x14ac:dyDescent="0.3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/>
      <c r="O340" s="57" t="str">
        <f t="shared" si="97"/>
        <v/>
      </c>
      <c r="P340" s="89"/>
      <c r="Q340" s="90"/>
      <c r="R340" s="19">
        <f t="shared" si="98"/>
        <v>0</v>
      </c>
      <c r="S340" s="19">
        <f t="shared" si="101"/>
        <v>1</v>
      </c>
      <c r="T340" s="156"/>
    </row>
    <row r="341" spans="1:20" x14ac:dyDescent="0.3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/>
      <c r="O341" s="57" t="str">
        <f t="shared" si="97"/>
        <v/>
      </c>
      <c r="P341" s="91"/>
      <c r="Q341" s="92"/>
      <c r="R341" s="19">
        <f t="shared" si="98"/>
        <v>0</v>
      </c>
      <c r="S341" s="19">
        <f t="shared" si="101"/>
        <v>1</v>
      </c>
      <c r="T341" s="156"/>
    </row>
    <row r="342" spans="1:20" x14ac:dyDescent="0.3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/>
      <c r="O342" s="57" t="str">
        <f t="shared" si="97"/>
        <v/>
      </c>
      <c r="P342" s="91"/>
      <c r="Q342" s="90"/>
      <c r="R342" s="19">
        <f t="shared" si="98"/>
        <v>0</v>
      </c>
      <c r="S342" s="19">
        <f t="shared" si="101"/>
        <v>1</v>
      </c>
      <c r="T342" s="155"/>
    </row>
    <row r="343" spans="1:20" x14ac:dyDescent="0.3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/>
      <c r="O343" s="57" t="str">
        <f t="shared" si="97"/>
        <v/>
      </c>
      <c r="P343" s="58"/>
      <c r="Q343" s="59"/>
      <c r="R343" s="19">
        <f t="shared" si="98"/>
        <v>0</v>
      </c>
      <c r="S343" s="19">
        <f t="shared" si="101"/>
        <v>1</v>
      </c>
      <c r="T343" s="155"/>
    </row>
    <row r="344" spans="1:20" x14ac:dyDescent="0.3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/>
      <c r="O344" s="57" t="str">
        <f>IF(N344="","",N344-N343)</f>
        <v/>
      </c>
      <c r="P344" s="58"/>
      <c r="Q344" s="60"/>
      <c r="R344" s="19">
        <f t="shared" si="98"/>
        <v>0</v>
      </c>
      <c r="S344" s="19">
        <f t="shared" si="101"/>
        <v>1</v>
      </c>
      <c r="T344" s="155"/>
    </row>
    <row r="345" spans="1:20" x14ac:dyDescent="0.3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/>
      <c r="O345" s="57" t="str">
        <f t="shared" si="97"/>
        <v/>
      </c>
      <c r="P345" s="58"/>
      <c r="Q345" s="60"/>
      <c r="R345" s="19">
        <f t="shared" si="98"/>
        <v>0</v>
      </c>
      <c r="S345" s="19">
        <f t="shared" si="101"/>
        <v>1</v>
      </c>
      <c r="T345" s="156"/>
    </row>
    <row r="346" spans="1:20" x14ac:dyDescent="0.3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/>
      <c r="O346" s="57" t="str">
        <f t="shared" si="97"/>
        <v/>
      </c>
      <c r="P346" s="58"/>
      <c r="Q346" s="60"/>
      <c r="R346" s="19">
        <f t="shared" si="98"/>
        <v>0</v>
      </c>
      <c r="S346" s="19">
        <f t="shared" si="101"/>
        <v>1</v>
      </c>
      <c r="T346" s="156"/>
    </row>
    <row r="347" spans="1:20" x14ac:dyDescent="0.3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/>
      <c r="O347" s="57" t="str">
        <f t="shared" si="97"/>
        <v/>
      </c>
      <c r="P347" s="58"/>
      <c r="Q347" s="59"/>
      <c r="R347" s="19">
        <f t="shared" si="98"/>
        <v>0</v>
      </c>
      <c r="S347" s="19">
        <f t="shared" si="101"/>
        <v>1</v>
      </c>
      <c r="T347" s="155"/>
    </row>
    <row r="348" spans="1:20" x14ac:dyDescent="0.3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/>
      <c r="O348" s="57" t="str">
        <f t="shared" si="97"/>
        <v/>
      </c>
      <c r="P348" s="58"/>
      <c r="Q348" s="59"/>
      <c r="R348" s="19">
        <f t="shared" si="98"/>
        <v>0</v>
      </c>
      <c r="S348" s="19">
        <f t="shared" si="101"/>
        <v>1</v>
      </c>
      <c r="T348" s="155"/>
    </row>
    <row r="349" spans="1:20" x14ac:dyDescent="0.3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/>
      <c r="O349" s="57" t="str">
        <f t="shared" si="97"/>
        <v/>
      </c>
      <c r="P349" s="58"/>
      <c r="Q349" s="60"/>
      <c r="R349" s="19">
        <f t="shared" si="98"/>
        <v>0</v>
      </c>
      <c r="S349" s="19">
        <f t="shared" si="101"/>
        <v>1</v>
      </c>
      <c r="T349" s="155"/>
    </row>
    <row r="350" spans="1:20" x14ac:dyDescent="0.3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/>
      <c r="O350" s="57" t="str">
        <f t="shared" si="97"/>
        <v/>
      </c>
      <c r="P350" s="58"/>
      <c r="Q350" s="60"/>
      <c r="R350" s="19">
        <f t="shared" si="98"/>
        <v>0</v>
      </c>
      <c r="S350" s="19">
        <f t="shared" si="101"/>
        <v>1</v>
      </c>
      <c r="T350" s="156"/>
    </row>
    <row r="351" spans="1:20" x14ac:dyDescent="0.3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/>
      <c r="O351" s="57" t="str">
        <f t="shared" si="97"/>
        <v/>
      </c>
      <c r="P351" s="58"/>
      <c r="Q351" s="59"/>
      <c r="R351" s="19">
        <f t="shared" si="98"/>
        <v>0</v>
      </c>
      <c r="S351" s="19">
        <f t="shared" si="101"/>
        <v>1</v>
      </c>
      <c r="T351" s="156"/>
    </row>
    <row r="352" spans="1:20" x14ac:dyDescent="0.3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/>
      <c r="O352" s="57" t="str">
        <f t="shared" si="97"/>
        <v/>
      </c>
      <c r="P352" s="58"/>
      <c r="Q352" s="59"/>
      <c r="R352" s="19">
        <f t="shared" si="98"/>
        <v>0</v>
      </c>
      <c r="S352" s="19">
        <f t="shared" si="101"/>
        <v>1</v>
      </c>
      <c r="T352" s="155"/>
    </row>
    <row r="353" spans="1:20" x14ac:dyDescent="0.3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/>
      <c r="O353" s="57" t="str">
        <f t="shared" si="97"/>
        <v/>
      </c>
      <c r="P353" s="58"/>
      <c r="Q353" s="59"/>
      <c r="R353" s="19">
        <f t="shared" si="98"/>
        <v>0</v>
      </c>
      <c r="S353" s="19">
        <f t="shared" si="101"/>
        <v>1</v>
      </c>
      <c r="T353" s="155"/>
    </row>
    <row r="354" spans="1:20" x14ac:dyDescent="0.3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/>
      <c r="O354" s="57" t="str">
        <f t="shared" si="97"/>
        <v/>
      </c>
      <c r="P354" s="58"/>
      <c r="Q354" s="93"/>
      <c r="R354" s="19">
        <f t="shared" si="98"/>
        <v>0</v>
      </c>
      <c r="S354" s="19">
        <f t="shared" si="101"/>
        <v>1</v>
      </c>
      <c r="T354" s="155"/>
    </row>
    <row r="355" spans="1:20" x14ac:dyDescent="0.3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/>
      <c r="O355" s="57">
        <v>0</v>
      </c>
      <c r="P355" s="58"/>
      <c r="Q355" s="93"/>
      <c r="R355" s="19">
        <f t="shared" si="98"/>
        <v>0</v>
      </c>
      <c r="S355" s="19">
        <f t="shared" si="101"/>
        <v>1</v>
      </c>
      <c r="T355" s="156"/>
    </row>
    <row r="356" spans="1:20" x14ac:dyDescent="0.3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/>
      <c r="O356" s="57" t="str">
        <f t="shared" si="97"/>
        <v/>
      </c>
      <c r="P356" s="164" t="s">
        <v>54</v>
      </c>
      <c r="Q356" s="165"/>
      <c r="R356" s="19">
        <f t="shared" si="98"/>
        <v>0</v>
      </c>
      <c r="S356" s="19">
        <f t="shared" si="101"/>
        <v>1</v>
      </c>
      <c r="T356" s="156"/>
    </row>
    <row r="357" spans="1:20" x14ac:dyDescent="0.3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/>
      <c r="O357" s="57" t="str">
        <f t="shared" si="97"/>
        <v/>
      </c>
      <c r="P357" s="166"/>
      <c r="Q357" s="167"/>
      <c r="R357" s="19">
        <f t="shared" si="98"/>
        <v>0</v>
      </c>
      <c r="S357" s="19">
        <f t="shared" si="101"/>
        <v>1</v>
      </c>
      <c r="T357" s="155"/>
    </row>
    <row r="358" spans="1:20" x14ac:dyDescent="0.3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/>
      <c r="O358" s="57" t="str">
        <f t="shared" si="97"/>
        <v/>
      </c>
      <c r="P358" s="64" t="s">
        <v>29</v>
      </c>
      <c r="Q358" s="64" t="s">
        <v>30</v>
      </c>
      <c r="R358" s="19">
        <f t="shared" si="98"/>
        <v>0</v>
      </c>
      <c r="S358" s="19">
        <f t="shared" si="101"/>
        <v>1</v>
      </c>
      <c r="T358" s="155"/>
    </row>
    <row r="359" spans="1:20" x14ac:dyDescent="0.3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/>
      <c r="O359" s="57" t="str">
        <f t="shared" si="97"/>
        <v/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56"/>
    </row>
    <row r="360" spans="1:20" x14ac:dyDescent="0.3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/>
      <c r="O360" s="57" t="str">
        <f t="shared" si="97"/>
        <v/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56"/>
    </row>
    <row r="361" spans="1:20" x14ac:dyDescent="0.3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/>
      <c r="O361" s="57" t="str">
        <f t="shared" si="97"/>
        <v/>
      </c>
      <c r="P361" s="67" t="s">
        <v>31</v>
      </c>
      <c r="Q361" s="68" t="s">
        <v>32</v>
      </c>
      <c r="R361" s="19">
        <f t="shared" si="98"/>
        <v>0</v>
      </c>
      <c r="S361" s="19">
        <f t="shared" si="101"/>
        <v>1</v>
      </c>
      <c r="T361" s="156"/>
    </row>
    <row r="362" spans="1:20" x14ac:dyDescent="0.3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/>
      <c r="O362" s="57" t="str">
        <f t="shared" si="97"/>
        <v/>
      </c>
      <c r="P362" s="69">
        <f>IF(N337="",0,+(LOOKUP(9.99999999999999E+307,N337:N368)-N337))</f>
        <v>0</v>
      </c>
      <c r="Q362" s="70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56"/>
    </row>
    <row r="363" spans="1:20" x14ac:dyDescent="0.3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/>
      <c r="O363" s="57" t="str">
        <f t="shared" si="97"/>
        <v/>
      </c>
      <c r="P363" s="71" t="s">
        <v>33</v>
      </c>
      <c r="Q363" s="72" t="s">
        <v>41</v>
      </c>
      <c r="R363" s="19">
        <f t="shared" si="98"/>
        <v>0</v>
      </c>
      <c r="S363" s="19">
        <f t="shared" si="101"/>
        <v>1</v>
      </c>
      <c r="T363" s="155"/>
    </row>
    <row r="364" spans="1:20" x14ac:dyDescent="0.3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/>
      <c r="O364" s="57" t="str">
        <f t="shared" si="97"/>
        <v/>
      </c>
      <c r="P364" s="73">
        <f>IF(D337="",0,+(LOOKUP(9.99999999999999E+307,D337:D368)-D337))*4140</f>
        <v>0</v>
      </c>
      <c r="Q364" s="74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55"/>
    </row>
    <row r="365" spans="1:20" x14ac:dyDescent="0.3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/>
      <c r="O365" s="57" t="str">
        <f t="shared" si="97"/>
        <v/>
      </c>
      <c r="P365" s="157" t="s">
        <v>35</v>
      </c>
      <c r="Q365" s="158" t="s">
        <v>42</v>
      </c>
      <c r="R365" s="19">
        <f t="shared" si="98"/>
        <v>0</v>
      </c>
      <c r="S365" s="19">
        <f t="shared" si="101"/>
        <v>1</v>
      </c>
      <c r="T365" s="155"/>
    </row>
    <row r="366" spans="1:20" x14ac:dyDescent="0.3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/>
      <c r="O366" s="57" t="str">
        <f t="shared" si="97"/>
        <v/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55"/>
    </row>
    <row r="367" spans="1:20" x14ac:dyDescent="0.3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/>
      <c r="O367" s="57" t="str">
        <f t="shared" si="97"/>
        <v/>
      </c>
      <c r="P367" s="159" t="s">
        <v>37</v>
      </c>
      <c r="Q367" s="160" t="s">
        <v>38</v>
      </c>
      <c r="R367" s="19">
        <f t="shared" si="98"/>
        <v>0</v>
      </c>
      <c r="S367" s="19">
        <f t="shared" si="101"/>
        <v>1</v>
      </c>
      <c r="T367" s="155"/>
    </row>
    <row r="368" spans="1:20" x14ac:dyDescent="0.3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/>
      <c r="O368" s="57">
        <v>0</v>
      </c>
      <c r="P368" s="83" t="e">
        <f>(P366+Q364*SUM(S338:S368)*Q369)</f>
        <v>#DIV/0!</v>
      </c>
      <c r="Q368" s="84" t="e">
        <f>Q364*31</f>
        <v>#DIV/0!</v>
      </c>
      <c r="R368" s="19">
        <f t="shared" si="98"/>
        <v>0</v>
      </c>
      <c r="S368" s="19">
        <f t="shared" si="101"/>
        <v>1</v>
      </c>
      <c r="T368" s="155"/>
    </row>
    <row r="369" spans="1:19" ht="18" customHeight="1" x14ac:dyDescent="0.3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/>
      <c r="O369" s="57">
        <v>0</v>
      </c>
      <c r="P369" s="85" t="s">
        <v>39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213" workbookViewId="0">
      <selection activeCell="I240" sqref="I240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73"/>
      <c r="C1" s="173"/>
      <c r="D1" s="173"/>
      <c r="E1" s="173"/>
      <c r="F1" s="173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66</v>
      </c>
      <c r="O25" s="170" t="s">
        <v>67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68</v>
      </c>
      <c r="O29" s="170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66</v>
      </c>
      <c r="O53" s="170" t="s">
        <v>67</v>
      </c>
      <c r="Q53" s="19">
        <f t="shared" si="5"/>
        <v>0</v>
      </c>
    </row>
    <row r="54" spans="2:17" ht="12.9" customHeight="1" x14ac:dyDescent="0.25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" customHeight="1" thickBot="1" x14ac:dyDescent="0.3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" customHeight="1" thickBot="1" x14ac:dyDescent="0.3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68</v>
      </c>
      <c r="O57" s="170" t="s">
        <v>69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" customHeight="1" thickBot="1" x14ac:dyDescent="0.3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70</v>
      </c>
      <c r="O60" s="170" t="s">
        <v>71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" customHeight="1" thickBot="1" x14ac:dyDescent="0.3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" customHeight="1" x14ac:dyDescent="0.25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66</v>
      </c>
      <c r="O84" s="170" t="s">
        <v>67</v>
      </c>
      <c r="Q84" s="19">
        <f t="shared" si="35"/>
        <v>0</v>
      </c>
    </row>
    <row r="85" spans="2:18" ht="12.9" customHeight="1" x14ac:dyDescent="0.25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" customHeight="1" thickBot="1" x14ac:dyDescent="0.3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" customHeight="1" thickBot="1" x14ac:dyDescent="0.3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68</v>
      </c>
      <c r="O88" s="170" t="s">
        <v>69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" customHeight="1" thickBot="1" x14ac:dyDescent="0.3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70</v>
      </c>
      <c r="O91" s="170" t="s">
        <v>71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" customHeight="1" thickBot="1" x14ac:dyDescent="0.3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66</v>
      </c>
      <c r="O114" s="170" t="s">
        <v>67</v>
      </c>
      <c r="Q114" s="19">
        <f t="shared" si="35"/>
        <v>0</v>
      </c>
    </row>
    <row r="115" spans="2:17" ht="13.8" x14ac:dyDescent="0.25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" customHeight="1" thickBot="1" x14ac:dyDescent="0.3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" customHeight="1" thickBot="1" x14ac:dyDescent="0.3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68</v>
      </c>
      <c r="O118" s="170" t="s">
        <v>69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" customHeight="1" thickBot="1" x14ac:dyDescent="0.3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66</v>
      </c>
      <c r="O145" s="170" t="s">
        <v>67</v>
      </c>
      <c r="Q145" s="19">
        <f t="shared" si="90"/>
        <v>0</v>
      </c>
    </row>
    <row r="146" spans="2:18" ht="12.9" customHeight="1" x14ac:dyDescent="0.25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" customHeight="1" thickBot="1" x14ac:dyDescent="0.3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" customHeight="1" thickBot="1" x14ac:dyDescent="0.3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68</v>
      </c>
      <c r="O149" s="170" t="s">
        <v>69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" customHeight="1" thickBot="1" x14ac:dyDescent="0.3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66</v>
      </c>
      <c r="O175" s="170" t="s">
        <v>67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68</v>
      </c>
      <c r="O179" s="170" t="s">
        <v>69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0" t="s">
        <v>66</v>
      </c>
      <c r="O206" s="170" t="s">
        <v>67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1"/>
      <c r="O207" s="171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2"/>
      <c r="O208" s="172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0" t="s">
        <v>68</v>
      </c>
      <c r="O210" s="170" t="s">
        <v>69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2"/>
      <c r="O211" s="172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75799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60303</v>
      </c>
      <c r="L228" s="27">
        <f t="shared" si="99"/>
        <v>313</v>
      </c>
      <c r="M228" s="28">
        <f t="shared" si="95"/>
        <v>65774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-59734</v>
      </c>
      <c r="L229" s="27">
        <f t="shared" si="99"/>
        <v>378</v>
      </c>
      <c r="M229" s="28">
        <f t="shared" si="95"/>
        <v>-54729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70" t="s">
        <v>66</v>
      </c>
      <c r="O237" s="170" t="s">
        <v>67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71"/>
      <c r="O238" s="171"/>
      <c r="Q238" s="19">
        <f t="shared" si="98"/>
        <v>0</v>
      </c>
    </row>
    <row r="239" spans="2:17" ht="12.9" customHeight="1" thickBot="1" x14ac:dyDescent="0.3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" customHeight="1" thickBot="1" x14ac:dyDescent="0.3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6968</v>
      </c>
      <c r="O240" s="30">
        <f>SUM(M217:M247)</f>
        <v>91735</v>
      </c>
      <c r="Q240" s="19">
        <f t="shared" si="98"/>
        <v>1</v>
      </c>
    </row>
    <row r="241" spans="2:17" ht="12.9" customHeight="1" x14ac:dyDescent="0.25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68</v>
      </c>
      <c r="O241" s="170" t="s">
        <v>69</v>
      </c>
      <c r="Q241" s="19">
        <f t="shared" si="98"/>
        <v>1</v>
      </c>
    </row>
    <row r="242" spans="2:17" ht="12.9" customHeight="1" thickBot="1" x14ac:dyDescent="0.3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" customHeight="1" thickBot="1" x14ac:dyDescent="0.3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>
        <f>AVERAGE(L217:L247)</f>
        <v>316.72727272727275</v>
      </c>
      <c r="O243" s="30">
        <f>AVERAGE(M217:M247)</f>
        <v>4169.772727272727</v>
      </c>
      <c r="Q243" s="19">
        <f t="shared" si="98"/>
        <v>1</v>
      </c>
    </row>
    <row r="244" spans="2:17" ht="12.9" customHeight="1" x14ac:dyDescent="0.25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" customHeight="1" x14ac:dyDescent="0.25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" customHeight="1" x14ac:dyDescent="0.25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" customHeight="1" x14ac:dyDescent="0.25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" customHeight="1" x14ac:dyDescent="0.25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" customHeight="1" x14ac:dyDescent="0.25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" customHeight="1" x14ac:dyDescent="0.25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" customHeight="1" x14ac:dyDescent="0.25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" customHeight="1" x14ac:dyDescent="0.25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" customHeight="1" x14ac:dyDescent="0.25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" customHeight="1" x14ac:dyDescent="0.25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" customHeight="1" x14ac:dyDescent="0.25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" customHeight="1" x14ac:dyDescent="0.25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" customHeight="1" x14ac:dyDescent="0.25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" customHeight="1" x14ac:dyDescent="0.25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" customHeight="1" x14ac:dyDescent="0.25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" customHeight="1" x14ac:dyDescent="0.25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" customHeight="1" x14ac:dyDescent="0.25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" customHeight="1" x14ac:dyDescent="0.25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" customHeight="1" x14ac:dyDescent="0.25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" customHeight="1" x14ac:dyDescent="0.25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" customHeight="1" x14ac:dyDescent="0.25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" customHeight="1" thickBot="1" x14ac:dyDescent="0.3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" customHeight="1" x14ac:dyDescent="0.25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66</v>
      </c>
      <c r="O267" s="170" t="s">
        <v>67</v>
      </c>
      <c r="Q267" s="19">
        <f t="shared" si="98"/>
        <v>1</v>
      </c>
    </row>
    <row r="268" spans="2:17" ht="12.9" customHeight="1" x14ac:dyDescent="0.25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" customHeight="1" thickBot="1" x14ac:dyDescent="0.3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" customHeight="1" thickBot="1" x14ac:dyDescent="0.3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" customHeight="1" x14ac:dyDescent="0.25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68</v>
      </c>
      <c r="O271" s="170" t="s">
        <v>69</v>
      </c>
      <c r="Q271" s="19">
        <f t="shared" si="98"/>
        <v>1</v>
      </c>
    </row>
    <row r="272" spans="2:17" ht="12.9" customHeight="1" thickBot="1" x14ac:dyDescent="0.3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" customHeight="1" thickBot="1" x14ac:dyDescent="0.3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" customHeight="1" x14ac:dyDescent="0.25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" customHeight="1" x14ac:dyDescent="0.25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" customHeight="1" x14ac:dyDescent="0.25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" customHeight="1" x14ac:dyDescent="0.25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" customHeight="1" x14ac:dyDescent="0.25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" customHeight="1" x14ac:dyDescent="0.25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" customHeight="1" x14ac:dyDescent="0.25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" customHeight="1" x14ac:dyDescent="0.25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" customHeight="1" x14ac:dyDescent="0.25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" customHeight="1" x14ac:dyDescent="0.25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" customHeight="1" x14ac:dyDescent="0.25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" customHeight="1" x14ac:dyDescent="0.25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" customHeight="1" x14ac:dyDescent="0.25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" customHeight="1" x14ac:dyDescent="0.25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" customHeight="1" x14ac:dyDescent="0.25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" customHeight="1" x14ac:dyDescent="0.25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" customHeight="1" x14ac:dyDescent="0.25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" customHeight="1" x14ac:dyDescent="0.25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" customHeight="1" x14ac:dyDescent="0.25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" customHeight="1" x14ac:dyDescent="0.25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" customHeight="1" x14ac:dyDescent="0.25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" customHeight="1" x14ac:dyDescent="0.25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" customHeight="1" x14ac:dyDescent="0.25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" customHeight="1" thickBot="1" x14ac:dyDescent="0.3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" customHeight="1" x14ac:dyDescent="0.25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66</v>
      </c>
      <c r="O298" s="170" t="s">
        <v>67</v>
      </c>
      <c r="Q298" s="19">
        <f t="shared" si="103"/>
        <v>1</v>
      </c>
    </row>
    <row r="299" spans="2:17" ht="12.9" customHeight="1" x14ac:dyDescent="0.25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" customHeight="1" thickBot="1" x14ac:dyDescent="0.3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" customHeight="1" thickBot="1" x14ac:dyDescent="0.3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" customHeight="1" x14ac:dyDescent="0.25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68</v>
      </c>
      <c r="O302" s="170" t="s">
        <v>69</v>
      </c>
      <c r="Q302" s="19">
        <f t="shared" si="103"/>
        <v>1</v>
      </c>
    </row>
    <row r="303" spans="2:17" ht="12.9" customHeight="1" thickBot="1" x14ac:dyDescent="0.3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" customHeight="1" thickBot="1" x14ac:dyDescent="0.3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" customHeight="1" x14ac:dyDescent="0.25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" customHeight="1" x14ac:dyDescent="0.25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" customHeight="1" x14ac:dyDescent="0.25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" customHeight="1" x14ac:dyDescent="0.25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" customHeight="1" x14ac:dyDescent="0.25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" customHeight="1" x14ac:dyDescent="0.25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" customHeight="1" x14ac:dyDescent="0.25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" customHeight="1" x14ac:dyDescent="0.25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" customHeight="1" x14ac:dyDescent="0.25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" customHeight="1" x14ac:dyDescent="0.25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" customHeight="1" x14ac:dyDescent="0.25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66</v>
      </c>
      <c r="O328" s="170" t="s">
        <v>67</v>
      </c>
      <c r="Q328" s="19">
        <f t="shared" si="103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68</v>
      </c>
      <c r="O332" s="170" t="s">
        <v>69</v>
      </c>
      <c r="Q332" s="19">
        <f t="shared" si="103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66</v>
      </c>
      <c r="O359" s="170" t="s">
        <v>67</v>
      </c>
      <c r="Q359" s="19">
        <f t="shared" si="107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68</v>
      </c>
      <c r="O363" s="170" t="s">
        <v>69</v>
      </c>
      <c r="Q363" s="19">
        <f t="shared" si="107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3"/>
    <row r="395" ht="12.75" customHeight="1" x14ac:dyDescent="0.3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2022-08-23T08:51:39Z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