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8 au 31.08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01.08 au 31.08'!$A$1:$AE$49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2" i="4" l="1"/>
  <c r="E42" i="4"/>
  <c r="C42" i="4"/>
  <c r="G41" i="4"/>
  <c r="E41" i="4"/>
  <c r="C41" i="4"/>
  <c r="G40" i="4"/>
  <c r="E40" i="4"/>
  <c r="C40" i="4"/>
  <c r="G47" i="6"/>
  <c r="E47" i="6"/>
  <c r="C47" i="6"/>
  <c r="G46" i="6"/>
  <c r="E46" i="6"/>
  <c r="C46" i="6"/>
  <c r="G45" i="6"/>
  <c r="E45" i="6"/>
  <c r="C45" i="6"/>
  <c r="G44" i="6" l="1"/>
  <c r="E44" i="6"/>
  <c r="C44" i="6"/>
  <c r="G39" i="4"/>
  <c r="E39" i="4"/>
  <c r="C39" i="4"/>
  <c r="G38" i="4" l="1"/>
  <c r="E38" i="4"/>
  <c r="C38" i="4"/>
  <c r="G37" i="4"/>
  <c r="E37" i="4"/>
  <c r="C37" i="4"/>
  <c r="G36" i="4"/>
  <c r="E36" i="4"/>
  <c r="C36" i="4"/>
  <c r="G35" i="4"/>
  <c r="E35" i="4"/>
  <c r="C35" i="4"/>
  <c r="G34" i="4"/>
  <c r="E34" i="4"/>
  <c r="C34" i="4"/>
  <c r="G33" i="4"/>
  <c r="E33" i="4"/>
  <c r="C33" i="4"/>
  <c r="G32" i="4"/>
  <c r="E32" i="4"/>
  <c r="C32" i="4"/>
  <c r="G31" i="4"/>
  <c r="E31" i="4"/>
  <c r="C31" i="4"/>
  <c r="G30" i="4"/>
  <c r="E30" i="4"/>
  <c r="C30" i="4"/>
  <c r="G29" i="4"/>
  <c r="E29" i="4"/>
  <c r="C29" i="4"/>
  <c r="G28" i="4"/>
  <c r="E28" i="4"/>
  <c r="C28" i="4"/>
  <c r="G27" i="4"/>
  <c r="E27" i="4"/>
  <c r="C27" i="4"/>
  <c r="G43" i="6"/>
  <c r="E43" i="6"/>
  <c r="C43" i="6"/>
  <c r="G42" i="6"/>
  <c r="E42" i="6"/>
  <c r="C42" i="6"/>
  <c r="G41" i="6"/>
  <c r="E41" i="6"/>
  <c r="C41" i="6"/>
  <c r="G40" i="6"/>
  <c r="E40" i="6"/>
  <c r="C40" i="6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1" i="6" l="1"/>
  <c r="E31" i="6"/>
  <c r="C31" i="6"/>
  <c r="G26" i="4"/>
  <c r="E26" i="4"/>
  <c r="C26" i="4"/>
  <c r="G25" i="4" l="1"/>
  <c r="E25" i="4"/>
  <c r="C25" i="4"/>
  <c r="G30" i="6"/>
  <c r="E30" i="6"/>
  <c r="C30" i="6"/>
  <c r="G29" i="6" l="1"/>
  <c r="E29" i="6"/>
  <c r="C29" i="6"/>
  <c r="G24" i="4" l="1"/>
  <c r="E24" i="4"/>
  <c r="C24" i="4"/>
  <c r="G28" i="6"/>
  <c r="E28" i="6"/>
  <c r="C28" i="6"/>
  <c r="G27" i="6" l="1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23" i="4"/>
  <c r="E23" i="4"/>
  <c r="C23" i="4"/>
  <c r="G22" i="4"/>
  <c r="E22" i="4"/>
  <c r="C22" i="4"/>
  <c r="G21" i="4"/>
  <c r="E21" i="4"/>
  <c r="C21" i="4"/>
  <c r="G20" i="4"/>
  <c r="E20" i="4"/>
  <c r="C20" i="4"/>
  <c r="G19" i="4"/>
  <c r="E19" i="4"/>
  <c r="C19" i="4"/>
  <c r="G18" i="4"/>
  <c r="E18" i="4"/>
  <c r="C18" i="4"/>
  <c r="G17" i="4"/>
  <c r="E17" i="4"/>
  <c r="C17" i="4"/>
  <c r="G16" i="4"/>
  <c r="E16" i="4"/>
  <c r="C16" i="4"/>
  <c r="G15" i="4"/>
  <c r="E15" i="4"/>
  <c r="C15" i="4"/>
  <c r="G14" i="4" l="1"/>
  <c r="E14" i="4"/>
  <c r="C14" i="4"/>
  <c r="G13" i="4" l="1"/>
  <c r="E13" i="4"/>
  <c r="C13" i="4"/>
  <c r="G18" i="6"/>
  <c r="E18" i="6"/>
  <c r="C18" i="6"/>
  <c r="G12" i="4" l="1"/>
  <c r="E12" i="4"/>
  <c r="C12" i="4"/>
  <c r="G17" i="6"/>
  <c r="E17" i="6"/>
  <c r="C17" i="6"/>
  <c r="J11" i="10" l="1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J10" i="10"/>
  <c r="G16" i="6"/>
  <c r="K10" i="10" s="1"/>
  <c r="E16" i="6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Z43" i="4"/>
  <c r="W43" i="4"/>
  <c r="T43" i="4"/>
  <c r="Q43" i="4"/>
  <c r="E43" i="4"/>
  <c r="C43" i="4"/>
  <c r="G11" i="4"/>
  <c r="G43" i="4" s="1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C48" i="6" l="1"/>
  <c r="Y32" i="10"/>
  <c r="Y33" i="10"/>
  <c r="I20" i="4" l="1"/>
  <c r="B32" i="13" l="1"/>
  <c r="M32" i="13"/>
  <c r="K32" i="13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I18" i="6"/>
  <c r="L12" i="10" s="1"/>
  <c r="I19" i="6"/>
  <c r="L13" i="10" s="1"/>
  <c r="I20" i="6"/>
  <c r="L14" i="10" s="1"/>
  <c r="I21" i="6"/>
  <c r="L15" i="10" s="1"/>
  <c r="I22" i="6"/>
  <c r="L16" i="10" s="1"/>
  <c r="I23" i="6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44" i="6"/>
  <c r="L38" i="10" s="1"/>
  <c r="I45" i="6"/>
  <c r="L39" i="10" s="1"/>
  <c r="I46" i="6"/>
  <c r="L40" i="10" s="1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 s="1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F33" i="10"/>
  <c r="F10" i="10"/>
  <c r="K7" i="13"/>
  <c r="Z17" i="10"/>
  <c r="E48" i="6"/>
  <c r="K14" i="13"/>
  <c r="K16" i="13"/>
  <c r="Z11" i="10" l="1"/>
  <c r="O13" i="10"/>
  <c r="O11" i="10"/>
  <c r="O12" i="10"/>
  <c r="O40" i="10"/>
  <c r="O38" i="10"/>
  <c r="O36" i="10"/>
  <c r="O37" i="10"/>
  <c r="L39" i="4"/>
  <c r="N39" i="4" s="1"/>
  <c r="O39" i="4" s="1"/>
  <c r="U38" i="10" s="1"/>
  <c r="G30" i="13" s="1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I4" i="4"/>
  <c r="I41" i="4"/>
  <c r="L25" i="4"/>
  <c r="N25" i="4" s="1"/>
  <c r="O25" i="4" s="1"/>
  <c r="U24" i="10" s="1"/>
  <c r="I21" i="4"/>
  <c r="I18" i="4"/>
  <c r="I15" i="4"/>
  <c r="M40" i="10"/>
  <c r="E32" i="13" s="1"/>
  <c r="I6" i="4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L7" i="4"/>
  <c r="N7" i="4" s="1"/>
  <c r="O7" i="4" s="1"/>
  <c r="P7" i="4" s="1"/>
  <c r="L40" i="4"/>
  <c r="N40" i="4" s="1"/>
  <c r="O40" i="4" s="1"/>
  <c r="U39" i="10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L12" i="4"/>
  <c r="N12" i="4" s="1"/>
  <c r="O12" i="4" s="1"/>
  <c r="K48" i="4"/>
  <c r="L48" i="4" s="1"/>
  <c r="M48" i="4" s="1"/>
  <c r="I5" i="4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L37" i="4"/>
  <c r="N37" i="4" s="1"/>
  <c r="O37" i="4" s="1"/>
  <c r="L38" i="4"/>
  <c r="N38" i="4" s="1"/>
  <c r="O38" i="4" s="1"/>
  <c r="P39" i="4"/>
  <c r="L34" i="4"/>
  <c r="N34" i="4" s="1"/>
  <c r="O34" i="4" s="1"/>
  <c r="U33" i="10" s="1"/>
  <c r="L35" i="4"/>
  <c r="N35" i="4" s="1"/>
  <c r="O35" i="4" s="1"/>
  <c r="L30" i="4"/>
  <c r="N30" i="4" s="1"/>
  <c r="O30" i="4" s="1"/>
  <c r="U29" i="10" s="1"/>
  <c r="L31" i="4"/>
  <c r="N31" i="4" s="1"/>
  <c r="O31" i="4" s="1"/>
  <c r="U30" i="10" s="1"/>
  <c r="L33" i="4"/>
  <c r="N33" i="4" s="1"/>
  <c r="O33" i="4" s="1"/>
  <c r="L32" i="4"/>
  <c r="N32" i="4" s="1"/>
  <c r="O32" i="4" s="1"/>
  <c r="U31" i="10" s="1"/>
  <c r="L28" i="4"/>
  <c r="N28" i="4" s="1"/>
  <c r="O28" i="4" s="1"/>
  <c r="U27" i="10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40" i="10" l="1"/>
  <c r="G32" i="13" s="1"/>
  <c r="O32" i="13" s="1"/>
  <c r="I43" i="4"/>
  <c r="U32" i="10"/>
  <c r="G24" i="13" s="1"/>
  <c r="O24" i="13" s="1"/>
  <c r="U36" i="10"/>
  <c r="G28" i="13" s="1"/>
  <c r="O28" i="13" s="1"/>
  <c r="P38" i="4"/>
  <c r="U37" i="10"/>
  <c r="G29" i="13" s="1"/>
  <c r="U34" i="10"/>
  <c r="G26" i="13" s="1"/>
  <c r="O26" i="13" s="1"/>
  <c r="U35" i="10"/>
  <c r="W35" i="10" s="1"/>
  <c r="AJ35" i="10" s="1"/>
  <c r="AK35" i="10" s="1"/>
  <c r="P24" i="4"/>
  <c r="U23" i="10"/>
  <c r="G15" i="13" s="1"/>
  <c r="P17" i="4"/>
  <c r="U16" i="10"/>
  <c r="G8" i="13" s="1"/>
  <c r="O8" i="13" s="1"/>
  <c r="U20" i="10"/>
  <c r="W20" i="10" s="1"/>
  <c r="AJ20" i="10" s="1"/>
  <c r="AK20" i="10" s="1"/>
  <c r="N43" i="4"/>
  <c r="P12" i="4"/>
  <c r="U11" i="10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F41" i="10"/>
  <c r="W23" i="10"/>
  <c r="P25" i="4"/>
  <c r="M39" i="10"/>
  <c r="E31" i="13" s="1"/>
  <c r="O39" i="10"/>
  <c r="W38" i="10"/>
  <c r="AJ38" i="10" s="1"/>
  <c r="AK38" i="10" s="1"/>
  <c r="P37" i="4"/>
  <c r="P36" i="4"/>
  <c r="W34" i="10"/>
  <c r="AJ34" i="10" s="1"/>
  <c r="AK34" i="10" s="1"/>
  <c r="P35" i="4"/>
  <c r="M29" i="10"/>
  <c r="E21" i="13" s="1"/>
  <c r="P31" i="4"/>
  <c r="P23" i="4"/>
  <c r="P21" i="4"/>
  <c r="W29" i="10"/>
  <c r="AJ29" i="10" s="1"/>
  <c r="AK29" i="10" s="1"/>
  <c r="P40" i="4"/>
  <c r="W39" i="10"/>
  <c r="G25" i="13"/>
  <c r="O25" i="13" s="1"/>
  <c r="P28" i="4"/>
  <c r="G19" i="13"/>
  <c r="O19" i="13" s="1"/>
  <c r="M18" i="10"/>
  <c r="E10" i="13" s="1"/>
  <c r="W16" i="10"/>
  <c r="AJ16" i="10" s="1"/>
  <c r="AK16" i="10" s="1"/>
  <c r="M12" i="10"/>
  <c r="E4" i="13" s="1"/>
  <c r="O17" i="13"/>
  <c r="F23" i="10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G27" i="13" l="1"/>
  <c r="W36" i="10"/>
  <c r="AJ36" i="10" s="1"/>
  <c r="AK36" i="10" s="1"/>
  <c r="W32" i="10"/>
  <c r="AJ32" i="10" s="1"/>
  <c r="AK32" i="10" s="1"/>
  <c r="O27" i="13"/>
  <c r="O29" i="13"/>
  <c r="G12" i="13"/>
  <c r="O12" i="13" s="1"/>
  <c r="AJ23" i="10"/>
  <c r="AK23" i="10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<sst xmlns="http://schemas.openxmlformats.org/spreadsheetml/2006/main" count="251" uniqueCount="86">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</sst>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4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7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100</c:v>
                </c:pt>
                <c:pt idx="13">
                  <c:v>90</c:v>
                </c:pt>
                <c:pt idx="14">
                  <c:v>70</c:v>
                </c:pt>
                <c:pt idx="15">
                  <c:v>70</c:v>
                </c:pt>
                <c:pt idx="16">
                  <c:v>90</c:v>
                </c:pt>
                <c:pt idx="17">
                  <c:v>100</c:v>
                </c:pt>
                <c:pt idx="18">
                  <c:v>70</c:v>
                </c:pt>
                <c:pt idx="19">
                  <c:v>50</c:v>
                </c:pt>
                <c:pt idx="20">
                  <c:v>80</c:v>
                </c:pt>
                <c:pt idx="21">
                  <c:v>90</c:v>
                </c:pt>
                <c:pt idx="22">
                  <c:v>80</c:v>
                </c:pt>
                <c:pt idx="23">
                  <c:v>90</c:v>
                </c:pt>
                <c:pt idx="24">
                  <c:v>90</c:v>
                </c:pt>
                <c:pt idx="25">
                  <c:v>100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79296"/>
        <c:axId val="223483776"/>
      </c:lineChart>
      <c:dateAx>
        <c:axId val="22347929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483776"/>
        <c:crosses val="autoZero"/>
        <c:auto val="1"/>
        <c:lblOffset val="100"/>
        <c:baseTimeUnit val="days"/>
      </c:dateAx>
      <c:valAx>
        <c:axId val="22348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4792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939</c:v>
                </c:pt>
                <c:pt idx="1">
                  <c:v>947</c:v>
                </c:pt>
                <c:pt idx="2">
                  <c:v>922</c:v>
                </c:pt>
                <c:pt idx="3">
                  <c:v>864</c:v>
                </c:pt>
                <c:pt idx="4">
                  <c:v>945</c:v>
                </c:pt>
                <c:pt idx="5">
                  <c:v>991</c:v>
                </c:pt>
                <c:pt idx="6">
                  <c:v>1016</c:v>
                </c:pt>
                <c:pt idx="7">
                  <c:v>812</c:v>
                </c:pt>
                <c:pt idx="8">
                  <c:v>904</c:v>
                </c:pt>
                <c:pt idx="9">
                  <c:v>907</c:v>
                </c:pt>
                <c:pt idx="10">
                  <c:v>912</c:v>
                </c:pt>
                <c:pt idx="11">
                  <c:v>914</c:v>
                </c:pt>
                <c:pt idx="12">
                  <c:v>972</c:v>
                </c:pt>
                <c:pt idx="13">
                  <c:v>974</c:v>
                </c:pt>
                <c:pt idx="14">
                  <c:v>906</c:v>
                </c:pt>
                <c:pt idx="15">
                  <c:v>920</c:v>
                </c:pt>
                <c:pt idx="16">
                  <c:v>950</c:v>
                </c:pt>
                <c:pt idx="17">
                  <c:v>974</c:v>
                </c:pt>
                <c:pt idx="18">
                  <c:v>950</c:v>
                </c:pt>
                <c:pt idx="19">
                  <c:v>1249</c:v>
                </c:pt>
                <c:pt idx="20">
                  <c:v>1012</c:v>
                </c:pt>
                <c:pt idx="21">
                  <c:v>1032</c:v>
                </c:pt>
                <c:pt idx="22">
                  <c:v>908</c:v>
                </c:pt>
                <c:pt idx="23">
                  <c:v>951</c:v>
                </c:pt>
                <c:pt idx="24">
                  <c:v>1006</c:v>
                </c:pt>
                <c:pt idx="25">
                  <c:v>1042</c:v>
                </c:pt>
                <c:pt idx="26">
                  <c:v>973</c:v>
                </c:pt>
                <c:pt idx="27">
                  <c:v>1022</c:v>
                </c:pt>
                <c:pt idx="28">
                  <c:v>866</c:v>
                </c:pt>
                <c:pt idx="29">
                  <c:v>868</c:v>
                </c:pt>
                <c:pt idx="30">
                  <c:v>1081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1378</c:v>
                </c:pt>
                <c:pt idx="2">
                  <c:v>1504</c:v>
                </c:pt>
                <c:pt idx="3">
                  <c:v>1462</c:v>
                </c:pt>
                <c:pt idx="4">
                  <c:v>1443</c:v>
                </c:pt>
                <c:pt idx="5">
                  <c:v>1607</c:v>
                </c:pt>
                <c:pt idx="6">
                  <c:v>1635</c:v>
                </c:pt>
                <c:pt idx="7">
                  <c:v>1538</c:v>
                </c:pt>
                <c:pt idx="8">
                  <c:v>1488</c:v>
                </c:pt>
                <c:pt idx="9">
                  <c:v>1598</c:v>
                </c:pt>
                <c:pt idx="10">
                  <c:v>1579</c:v>
                </c:pt>
                <c:pt idx="11">
                  <c:v>1480</c:v>
                </c:pt>
                <c:pt idx="12">
                  <c:v>1672</c:v>
                </c:pt>
                <c:pt idx="13">
                  <c:v>1544</c:v>
                </c:pt>
                <c:pt idx="14">
                  <c:v>1549</c:v>
                </c:pt>
                <c:pt idx="15">
                  <c:v>1540</c:v>
                </c:pt>
                <c:pt idx="16">
                  <c:v>1490</c:v>
                </c:pt>
                <c:pt idx="17">
                  <c:v>1560</c:v>
                </c:pt>
                <c:pt idx="18">
                  <c:v>1490</c:v>
                </c:pt>
                <c:pt idx="19">
                  <c:v>2052</c:v>
                </c:pt>
                <c:pt idx="20">
                  <c:v>1617</c:v>
                </c:pt>
                <c:pt idx="21">
                  <c:v>1653</c:v>
                </c:pt>
                <c:pt idx="22">
                  <c:v>1470</c:v>
                </c:pt>
                <c:pt idx="23">
                  <c:v>1671</c:v>
                </c:pt>
                <c:pt idx="24">
                  <c:v>1739</c:v>
                </c:pt>
                <c:pt idx="25">
                  <c:v>1752</c:v>
                </c:pt>
                <c:pt idx="26">
                  <c:v>1663</c:v>
                </c:pt>
                <c:pt idx="27">
                  <c:v>1611</c:v>
                </c:pt>
                <c:pt idx="28">
                  <c:v>1504</c:v>
                </c:pt>
                <c:pt idx="29">
                  <c:v>1322</c:v>
                </c:pt>
                <c:pt idx="30">
                  <c:v>1668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560</c:v>
                </c:pt>
                <c:pt idx="1">
                  <c:v>598</c:v>
                </c:pt>
                <c:pt idx="2">
                  <c:v>608</c:v>
                </c:pt>
                <c:pt idx="3">
                  <c:v>566</c:v>
                </c:pt>
                <c:pt idx="4">
                  <c:v>601</c:v>
                </c:pt>
                <c:pt idx="5">
                  <c:v>669</c:v>
                </c:pt>
                <c:pt idx="6">
                  <c:v>644</c:v>
                </c:pt>
                <c:pt idx="7">
                  <c:v>607</c:v>
                </c:pt>
                <c:pt idx="8">
                  <c:v>645</c:v>
                </c:pt>
                <c:pt idx="9">
                  <c:v>649</c:v>
                </c:pt>
                <c:pt idx="10">
                  <c:v>637</c:v>
                </c:pt>
                <c:pt idx="11">
                  <c:v>553</c:v>
                </c:pt>
                <c:pt idx="12">
                  <c:v>664</c:v>
                </c:pt>
                <c:pt idx="13">
                  <c:v>599</c:v>
                </c:pt>
                <c:pt idx="14">
                  <c:v>607</c:v>
                </c:pt>
                <c:pt idx="15">
                  <c:v>647</c:v>
                </c:pt>
                <c:pt idx="16">
                  <c:v>640</c:v>
                </c:pt>
                <c:pt idx="17">
                  <c:v>670</c:v>
                </c:pt>
                <c:pt idx="18">
                  <c:v>640</c:v>
                </c:pt>
                <c:pt idx="19">
                  <c:v>575</c:v>
                </c:pt>
                <c:pt idx="20">
                  <c:v>688</c:v>
                </c:pt>
                <c:pt idx="21">
                  <c:v>679</c:v>
                </c:pt>
                <c:pt idx="22">
                  <c:v>635</c:v>
                </c:pt>
                <c:pt idx="23">
                  <c:v>705</c:v>
                </c:pt>
                <c:pt idx="24">
                  <c:v>585</c:v>
                </c:pt>
                <c:pt idx="25">
                  <c:v>670</c:v>
                </c:pt>
                <c:pt idx="26">
                  <c:v>586</c:v>
                </c:pt>
                <c:pt idx="27">
                  <c:v>626</c:v>
                </c:pt>
                <c:pt idx="28">
                  <c:v>542</c:v>
                </c:pt>
                <c:pt idx="29">
                  <c:v>517</c:v>
                </c:pt>
                <c:pt idx="30">
                  <c:v>627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16960"/>
        <c:axId val="200218496"/>
      </c:lineChart>
      <c:dateAx>
        <c:axId val="20021696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218496"/>
        <c:crosses val="autoZero"/>
        <c:auto val="1"/>
        <c:lblOffset val="100"/>
        <c:baseTimeUnit val="days"/>
      </c:dateAx>
      <c:valAx>
        <c:axId val="2002184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21696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44043</c:v>
                </c:pt>
                <c:pt idx="1">
                  <c:v>44044</c:v>
                </c:pt>
                <c:pt idx="2">
                  <c:v>44045</c:v>
                </c:pt>
                <c:pt idx="3">
                  <c:v>44046</c:v>
                </c:pt>
                <c:pt idx="4">
                  <c:v>44047</c:v>
                </c:pt>
                <c:pt idx="5">
                  <c:v>44048</c:v>
                </c:pt>
                <c:pt idx="6">
                  <c:v>44049</c:v>
                </c:pt>
                <c:pt idx="7">
                  <c:v>44050</c:v>
                </c:pt>
                <c:pt idx="8">
                  <c:v>44051</c:v>
                </c:pt>
                <c:pt idx="9">
                  <c:v>44052</c:v>
                </c:pt>
                <c:pt idx="10">
                  <c:v>44053</c:v>
                </c:pt>
                <c:pt idx="11">
                  <c:v>44054</c:v>
                </c:pt>
                <c:pt idx="12">
                  <c:v>44055</c:v>
                </c:pt>
                <c:pt idx="13">
                  <c:v>44056</c:v>
                </c:pt>
                <c:pt idx="14">
                  <c:v>44057</c:v>
                </c:pt>
                <c:pt idx="15">
                  <c:v>44058</c:v>
                </c:pt>
                <c:pt idx="16">
                  <c:v>44059</c:v>
                </c:pt>
                <c:pt idx="17">
                  <c:v>44060</c:v>
                </c:pt>
                <c:pt idx="18">
                  <c:v>44061</c:v>
                </c:pt>
                <c:pt idx="19">
                  <c:v>44062</c:v>
                </c:pt>
                <c:pt idx="20">
                  <c:v>44063</c:v>
                </c:pt>
                <c:pt idx="21">
                  <c:v>44064</c:v>
                </c:pt>
                <c:pt idx="22">
                  <c:v>44065</c:v>
                </c:pt>
                <c:pt idx="23">
                  <c:v>44066</c:v>
                </c:pt>
                <c:pt idx="24">
                  <c:v>44067</c:v>
                </c:pt>
                <c:pt idx="25">
                  <c:v>44068</c:v>
                </c:pt>
                <c:pt idx="26">
                  <c:v>44069</c:v>
                </c:pt>
                <c:pt idx="27">
                  <c:v>44070</c:v>
                </c:pt>
                <c:pt idx="28">
                  <c:v>44071</c:v>
                </c:pt>
                <c:pt idx="29">
                  <c:v>44072</c:v>
                </c:pt>
                <c:pt idx="30">
                  <c:v>44073</c:v>
                </c:pt>
                <c:pt idx="31">
                  <c:v>44074</c:v>
                </c:pt>
                <c:pt idx="32">
                  <c:v>44075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283456"/>
        <c:axId val="169295872"/>
      </c:lineChart>
      <c:dateAx>
        <c:axId val="22328345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95872"/>
        <c:crosses val="autoZero"/>
        <c:auto val="1"/>
        <c:lblOffset val="100"/>
        <c:baseTimeUnit val="days"/>
      </c:dateAx>
      <c:valAx>
        <c:axId val="1692958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28345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29" sqref="N29:N32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8</v>
      </c>
      <c r="D2" s="160">
        <v>2020</v>
      </c>
      <c r="E2" s="161">
        <f>'Consommation du 01.08 au 31.08'!M10</f>
        <v>2818</v>
      </c>
      <c r="F2" s="161">
        <v>0.99</v>
      </c>
      <c r="G2" s="161">
        <f>'Consommation du 01.08 au 31.08'!U10</f>
        <v>0</v>
      </c>
      <c r="H2" s="161">
        <v>7.8338000000000001</v>
      </c>
      <c r="I2" s="161">
        <f>'Consommation du 01.08 au 31.08'!Y10*1000</f>
        <v>29.999999998835847</v>
      </c>
      <c r="J2" s="161">
        <v>0.53</v>
      </c>
      <c r="K2" s="161">
        <f>'Consommation du 01.08 au 31.08'!D10</f>
        <v>70</v>
      </c>
      <c r="L2" s="161">
        <v>12.67</v>
      </c>
      <c r="M2" s="160">
        <f>'Consommation du 01.08 au 31.08'!AC10</f>
        <v>0</v>
      </c>
      <c r="N2" s="160">
        <v>0</v>
      </c>
      <c r="O2" s="161">
        <f>E2*F2+G2*H2+I2*J2+K2*L2</f>
        <v>3692.6199999993833</v>
      </c>
    </row>
    <row r="3" spans="1:15" x14ac:dyDescent="0.2">
      <c r="A3" s="158" t="s">
        <v>84</v>
      </c>
      <c r="B3" s="159">
        <f>B2+1</f>
        <v>2</v>
      </c>
      <c r="C3" s="159">
        <v>8</v>
      </c>
      <c r="D3" s="160">
        <v>2020</v>
      </c>
      <c r="E3" s="161">
        <f>'Consommation du 01.08 au 31.08'!M11</f>
        <v>2923</v>
      </c>
      <c r="F3" s="161">
        <v>0.99</v>
      </c>
      <c r="G3" s="161">
        <f>'Consommation du 01.08 au 31.08'!U11</f>
        <v>0</v>
      </c>
      <c r="H3" s="161">
        <v>7.8338000000000001</v>
      </c>
      <c r="I3" s="161">
        <f>'Consommation du 01.08 au 31.08'!Y11*1000</f>
        <v>0</v>
      </c>
      <c r="J3" s="161">
        <v>0.53</v>
      </c>
      <c r="K3" s="161">
        <f>'Consommation du 01.08 au 31.08'!D11</f>
        <v>70</v>
      </c>
      <c r="L3" s="161">
        <v>12.67</v>
      </c>
      <c r="M3" s="160">
        <f>'Consommation du 01.08 au 31.08'!AC11</f>
        <v>0</v>
      </c>
      <c r="N3" s="160">
        <v>0</v>
      </c>
      <c r="O3" s="161">
        <f t="shared" ref="O3:O31" si="0">E3*F3+G3*H3+I3*J3+K3*L3</f>
        <v>3780.67</v>
      </c>
    </row>
    <row r="4" spans="1:15" x14ac:dyDescent="0.2">
      <c r="A4" s="158" t="s">
        <v>84</v>
      </c>
      <c r="B4" s="159">
        <f t="shared" ref="B4:B32" si="1">B3+1</f>
        <v>3</v>
      </c>
      <c r="C4" s="159">
        <v>8</v>
      </c>
      <c r="D4" s="160">
        <v>2020</v>
      </c>
      <c r="E4" s="161">
        <f>'Consommation du 01.08 au 31.08'!M12</f>
        <v>3034</v>
      </c>
      <c r="F4" s="161">
        <v>0.99</v>
      </c>
      <c r="G4" s="161">
        <f>'Consommation du 01.08 au 31.08'!U12</f>
        <v>0</v>
      </c>
      <c r="H4" s="161">
        <v>7.8338000000000001</v>
      </c>
      <c r="I4" s="161">
        <f>'Consommation du 01.08 au 31.08'!Y12*1000</f>
        <v>0</v>
      </c>
      <c r="J4" s="161">
        <v>0.53</v>
      </c>
      <c r="K4" s="161">
        <f>'Consommation du 01.08 au 31.08'!D12</f>
        <v>70</v>
      </c>
      <c r="L4" s="161">
        <v>12.67</v>
      </c>
      <c r="M4" s="160">
        <f>'Consommation du 01.08 au 31.08'!AC12</f>
        <v>0</v>
      </c>
      <c r="N4" s="160">
        <v>0</v>
      </c>
      <c r="O4" s="161">
        <f t="shared" si="0"/>
        <v>3890.56</v>
      </c>
    </row>
    <row r="5" spans="1:15" x14ac:dyDescent="0.2">
      <c r="A5" s="158" t="s">
        <v>84</v>
      </c>
      <c r="B5" s="159">
        <f t="shared" si="1"/>
        <v>4</v>
      </c>
      <c r="C5" s="159">
        <v>8</v>
      </c>
      <c r="D5" s="160">
        <v>2020</v>
      </c>
      <c r="E5" s="161">
        <f>'Consommation du 01.08 au 31.08'!M13</f>
        <v>2892</v>
      </c>
      <c r="F5" s="161">
        <v>0.99</v>
      </c>
      <c r="G5" s="161">
        <f>'Consommation du 01.08 au 31.08'!U13</f>
        <v>0</v>
      </c>
      <c r="H5" s="161">
        <v>7.8338000000000001</v>
      </c>
      <c r="I5" s="161">
        <f>'Consommation du 01.08 au 31.08'!Y13*1000</f>
        <v>0</v>
      </c>
      <c r="J5" s="161">
        <v>0.53</v>
      </c>
      <c r="K5" s="161">
        <f>'Consommation du 01.08 au 31.08'!D13</f>
        <v>70</v>
      </c>
      <c r="L5" s="161">
        <v>12.67</v>
      </c>
      <c r="M5" s="160">
        <f>'Consommation du 01.08 au 31.08'!AC13</f>
        <v>0</v>
      </c>
      <c r="N5" s="160">
        <v>0</v>
      </c>
      <c r="O5" s="161">
        <f t="shared" si="0"/>
        <v>3749.98</v>
      </c>
    </row>
    <row r="6" spans="1:15" x14ac:dyDescent="0.2">
      <c r="A6" s="158" t="s">
        <v>84</v>
      </c>
      <c r="B6" s="159">
        <f t="shared" si="1"/>
        <v>5</v>
      </c>
      <c r="C6" s="159">
        <v>8</v>
      </c>
      <c r="D6" s="160">
        <v>2020</v>
      </c>
      <c r="E6" s="161">
        <f>'Consommation du 01.08 au 31.08'!M14</f>
        <v>2989</v>
      </c>
      <c r="F6" s="161">
        <v>0.99</v>
      </c>
      <c r="G6" s="161">
        <f>'Consommation du 01.08 au 31.08'!U14</f>
        <v>0</v>
      </c>
      <c r="H6" s="161">
        <v>7.8338000000000001</v>
      </c>
      <c r="I6" s="161">
        <f>'Consommation du 01.08 au 31.08'!Y14*1000</f>
        <v>0</v>
      </c>
      <c r="J6" s="161">
        <v>0.53</v>
      </c>
      <c r="K6" s="161">
        <f>'Consommation du 01.08 au 31.08'!D14</f>
        <v>70</v>
      </c>
      <c r="L6" s="161">
        <v>12.67</v>
      </c>
      <c r="M6" s="160">
        <f>'Consommation du 01.08 au 31.08'!AC14</f>
        <v>0</v>
      </c>
      <c r="N6" s="160">
        <v>0</v>
      </c>
      <c r="O6" s="161">
        <f t="shared" si="0"/>
        <v>3846.01</v>
      </c>
    </row>
    <row r="7" spans="1:15" x14ac:dyDescent="0.2">
      <c r="A7" s="158" t="s">
        <v>84</v>
      </c>
      <c r="B7" s="159">
        <f t="shared" si="1"/>
        <v>6</v>
      </c>
      <c r="C7" s="159">
        <v>8</v>
      </c>
      <c r="D7" s="160">
        <v>2020</v>
      </c>
      <c r="E7" s="161">
        <f>'Consommation du 01.08 au 31.08'!M15</f>
        <v>3267</v>
      </c>
      <c r="F7" s="161">
        <v>0.99</v>
      </c>
      <c r="G7" s="161">
        <f>'Consommation du 01.08 au 31.08'!U15</f>
        <v>0</v>
      </c>
      <c r="H7" s="161">
        <v>7.8338000000000001</v>
      </c>
      <c r="I7" s="161">
        <f>'Consommation du 01.08 au 31.08'!Y15*1000</f>
        <v>0</v>
      </c>
      <c r="J7" s="161">
        <v>0.53</v>
      </c>
      <c r="K7" s="161">
        <f>'Consommation du 01.08 au 31.08'!D15</f>
        <v>70</v>
      </c>
      <c r="L7" s="161">
        <v>12.67</v>
      </c>
      <c r="M7" s="160">
        <f>'Consommation du 01.08 au 31.08'!AC15</f>
        <v>0</v>
      </c>
      <c r="N7" s="160">
        <v>0</v>
      </c>
      <c r="O7" s="161">
        <f t="shared" si="0"/>
        <v>4121.2299999999996</v>
      </c>
    </row>
    <row r="8" spans="1:15" x14ac:dyDescent="0.2">
      <c r="A8" s="158" t="s">
        <v>84</v>
      </c>
      <c r="B8" s="159">
        <f t="shared" si="1"/>
        <v>7</v>
      </c>
      <c r="C8" s="159">
        <v>8</v>
      </c>
      <c r="D8" s="160">
        <v>2020</v>
      </c>
      <c r="E8" s="161">
        <f>'Consommation du 01.08 au 31.08'!M16</f>
        <v>3295</v>
      </c>
      <c r="F8" s="161">
        <v>0.99</v>
      </c>
      <c r="G8" s="161">
        <f>'Consommation du 01.08 au 31.08'!U16</f>
        <v>0</v>
      </c>
      <c r="H8" s="161">
        <v>7.8338000000000001</v>
      </c>
      <c r="I8" s="161">
        <f>'Consommation du 01.08 au 31.08'!Y16*1000</f>
        <v>0</v>
      </c>
      <c r="J8" s="161">
        <v>0.53</v>
      </c>
      <c r="K8" s="161">
        <f>'Consommation du 01.08 au 31.08'!D16</f>
        <v>70</v>
      </c>
      <c r="L8" s="161">
        <v>12.67</v>
      </c>
      <c r="M8" s="160">
        <f>'Consommation du 01.08 au 31.08'!AC16</f>
        <v>0</v>
      </c>
      <c r="N8" s="160">
        <v>0</v>
      </c>
      <c r="O8" s="161">
        <f t="shared" si="0"/>
        <v>4148.95</v>
      </c>
    </row>
    <row r="9" spans="1:15" x14ac:dyDescent="0.2">
      <c r="A9" s="158" t="s">
        <v>84</v>
      </c>
      <c r="B9" s="159">
        <f t="shared" si="1"/>
        <v>8</v>
      </c>
      <c r="C9" s="159">
        <v>8</v>
      </c>
      <c r="D9" s="160">
        <v>2020</v>
      </c>
      <c r="E9" s="161">
        <f>'Consommation du 01.08 au 31.08'!M17</f>
        <v>2957</v>
      </c>
      <c r="F9" s="161">
        <v>0.99</v>
      </c>
      <c r="G9" s="161">
        <f>'Consommation du 01.08 au 31.08'!U17</f>
        <v>0</v>
      </c>
      <c r="H9" s="161">
        <v>7.8338000000000001</v>
      </c>
      <c r="I9" s="161">
        <f>'Consommation du 01.08 au 31.08'!Y17*1000</f>
        <v>0</v>
      </c>
      <c r="J9" s="161">
        <v>0.53</v>
      </c>
      <c r="K9" s="161">
        <f>'Consommation du 01.08 au 31.08'!D17</f>
        <v>80</v>
      </c>
      <c r="L9" s="161">
        <v>12.67</v>
      </c>
      <c r="M9" s="160">
        <f>'Consommation du 01.08 au 31.08'!AC17</f>
        <v>0</v>
      </c>
      <c r="N9" s="160">
        <v>0</v>
      </c>
      <c r="O9" s="161">
        <f t="shared" si="0"/>
        <v>3941.0299999999997</v>
      </c>
    </row>
    <row r="10" spans="1:15" x14ac:dyDescent="0.2">
      <c r="A10" s="158" t="s">
        <v>84</v>
      </c>
      <c r="B10" s="159">
        <f t="shared" si="1"/>
        <v>9</v>
      </c>
      <c r="C10" s="159">
        <v>8</v>
      </c>
      <c r="D10" s="160">
        <v>2020</v>
      </c>
      <c r="E10" s="161">
        <f>'Consommation du 01.08 au 31.08'!M18</f>
        <v>3037</v>
      </c>
      <c r="F10" s="161">
        <v>0.99</v>
      </c>
      <c r="G10" s="161">
        <f>'Consommation du 01.08 au 31.08'!U18</f>
        <v>0</v>
      </c>
      <c r="H10" s="161">
        <v>7.8338000000000001</v>
      </c>
      <c r="I10" s="161">
        <f>'Consommation du 01.08 au 31.08'!Y18*1000</f>
        <v>0</v>
      </c>
      <c r="J10" s="161">
        <v>0.53</v>
      </c>
      <c r="K10" s="161">
        <f>'Consommation du 01.08 au 31.08'!D18</f>
        <v>80</v>
      </c>
      <c r="L10" s="161">
        <v>12.67</v>
      </c>
      <c r="M10" s="160">
        <f>'Consommation du 01.08 au 31.08'!AC18</f>
        <v>0</v>
      </c>
      <c r="N10" s="160">
        <v>0</v>
      </c>
      <c r="O10" s="161">
        <f t="shared" si="0"/>
        <v>4020.23</v>
      </c>
    </row>
    <row r="11" spans="1:15" x14ac:dyDescent="0.2">
      <c r="A11" s="158" t="s">
        <v>84</v>
      </c>
      <c r="B11" s="159">
        <f t="shared" si="1"/>
        <v>10</v>
      </c>
      <c r="C11" s="159">
        <v>8</v>
      </c>
      <c r="D11" s="160">
        <v>2020</v>
      </c>
      <c r="E11" s="161">
        <f>'Consommation du 01.08 au 31.08'!M19</f>
        <v>3154</v>
      </c>
      <c r="F11" s="161">
        <v>0.99</v>
      </c>
      <c r="G11" s="161">
        <f>'Consommation du 01.08 au 31.08'!U19</f>
        <v>0</v>
      </c>
      <c r="H11" s="161">
        <v>7.8338000000000001</v>
      </c>
      <c r="I11" s="161">
        <f>'Consommation du 01.08 au 31.08'!Y19*1000</f>
        <v>0</v>
      </c>
      <c r="J11" s="161">
        <v>0.53</v>
      </c>
      <c r="K11" s="161">
        <f>'Consommation du 01.08 au 31.08'!D19</f>
        <v>80</v>
      </c>
      <c r="L11" s="161">
        <v>12.67</v>
      </c>
      <c r="M11" s="160">
        <f>'Consommation du 01.08 au 31.08'!AC19</f>
        <v>0</v>
      </c>
      <c r="N11" s="160">
        <v>0</v>
      </c>
      <c r="O11" s="161">
        <f t="shared" si="0"/>
        <v>4136.0600000000004</v>
      </c>
    </row>
    <row r="12" spans="1:15" x14ac:dyDescent="0.2">
      <c r="A12" s="158" t="s">
        <v>84</v>
      </c>
      <c r="B12" s="159">
        <f t="shared" si="1"/>
        <v>11</v>
      </c>
      <c r="C12" s="159">
        <v>8</v>
      </c>
      <c r="D12" s="160">
        <v>2020</v>
      </c>
      <c r="E12" s="161">
        <f>'Consommation du 01.08 au 31.08'!M20</f>
        <v>3128</v>
      </c>
      <c r="F12" s="161">
        <v>0.99</v>
      </c>
      <c r="G12" s="161">
        <f>'Consommation du 01.08 au 31.08'!U20</f>
        <v>0</v>
      </c>
      <c r="H12" s="161">
        <v>7.8338000000000001</v>
      </c>
      <c r="I12" s="161">
        <f>'Consommation du 01.08 au 31.08'!Y20*1000</f>
        <v>0</v>
      </c>
      <c r="J12" s="161">
        <v>0.53</v>
      </c>
      <c r="K12" s="161">
        <f>'Consommation du 01.08 au 31.08'!D20</f>
        <v>80</v>
      </c>
      <c r="L12" s="161">
        <v>12.67</v>
      </c>
      <c r="M12" s="160">
        <f>'Consommation du 01.08 au 31.08'!AC20</f>
        <v>0</v>
      </c>
      <c r="N12" s="160">
        <v>0</v>
      </c>
      <c r="O12" s="161">
        <f t="shared" si="0"/>
        <v>4110.32</v>
      </c>
    </row>
    <row r="13" spans="1:15" x14ac:dyDescent="0.2">
      <c r="A13" s="158" t="s">
        <v>84</v>
      </c>
      <c r="B13" s="159">
        <f t="shared" si="1"/>
        <v>12</v>
      </c>
      <c r="C13" s="159">
        <v>8</v>
      </c>
      <c r="D13" s="160">
        <v>2020</v>
      </c>
      <c r="E13" s="161">
        <f>'Consommation du 01.08 au 31.08'!M21</f>
        <v>2947</v>
      </c>
      <c r="F13" s="161">
        <v>0.99</v>
      </c>
      <c r="G13" s="161">
        <f>'Consommation du 01.08 au 31.08'!U21</f>
        <v>0</v>
      </c>
      <c r="H13" s="161">
        <v>7.8338000000000001</v>
      </c>
      <c r="I13" s="161">
        <f>'Consommation du 01.08 au 31.08'!Y21*1000</f>
        <v>0</v>
      </c>
      <c r="J13" s="161">
        <v>0.53</v>
      </c>
      <c r="K13" s="161">
        <f>'Consommation du 01.08 au 31.08'!D21</f>
        <v>80</v>
      </c>
      <c r="L13" s="161">
        <v>12.67</v>
      </c>
      <c r="M13" s="160">
        <f>'Consommation du 01.08 au 31.08'!AC21</f>
        <v>0</v>
      </c>
      <c r="N13" s="160">
        <v>0</v>
      </c>
      <c r="O13" s="161">
        <f t="shared" si="0"/>
        <v>3931.13</v>
      </c>
    </row>
    <row r="14" spans="1:15" x14ac:dyDescent="0.2">
      <c r="A14" s="158" t="s">
        <v>84</v>
      </c>
      <c r="B14" s="159">
        <f t="shared" si="1"/>
        <v>13</v>
      </c>
      <c r="C14" s="159">
        <v>8</v>
      </c>
      <c r="D14" s="160">
        <v>2020</v>
      </c>
      <c r="E14" s="161">
        <f>'Consommation du 01.08 au 31.08'!M22</f>
        <v>3308</v>
      </c>
      <c r="F14" s="161">
        <v>0.99</v>
      </c>
      <c r="G14" s="161">
        <f>'Consommation du 01.08 au 31.08'!U22</f>
        <v>0</v>
      </c>
      <c r="H14" s="161">
        <v>7.8338000000000001</v>
      </c>
      <c r="I14" s="161">
        <f>'Consommation du 01.08 au 31.08'!Y22*1000</f>
        <v>0</v>
      </c>
      <c r="J14" s="161">
        <v>0.53</v>
      </c>
      <c r="K14" s="161">
        <f>'Consommation du 01.08 au 31.08'!D22</f>
        <v>100</v>
      </c>
      <c r="L14" s="161">
        <v>12.67</v>
      </c>
      <c r="M14" s="160">
        <f>'Consommation du 01.08 au 31.08'!AC22</f>
        <v>0</v>
      </c>
      <c r="N14" s="160">
        <v>0</v>
      </c>
      <c r="O14" s="161">
        <f t="shared" si="0"/>
        <v>4541.92</v>
      </c>
    </row>
    <row r="15" spans="1:15" x14ac:dyDescent="0.2">
      <c r="A15" s="158" t="s">
        <v>84</v>
      </c>
      <c r="B15" s="159">
        <f t="shared" si="1"/>
        <v>14</v>
      </c>
      <c r="C15" s="159">
        <v>8</v>
      </c>
      <c r="D15" s="160">
        <v>2020</v>
      </c>
      <c r="E15" s="161">
        <f>'Consommation du 01.08 au 31.08'!M23</f>
        <v>3117</v>
      </c>
      <c r="F15" s="161">
        <v>0.99</v>
      </c>
      <c r="G15" s="161">
        <f>'Consommation du 01.08 au 31.08'!U23</f>
        <v>0</v>
      </c>
      <c r="H15" s="161">
        <v>7.8338000000000001</v>
      </c>
      <c r="I15" s="161">
        <f>'Consommation du 01.08 au 31.08'!Y23*1000</f>
        <v>0</v>
      </c>
      <c r="J15" s="161">
        <v>0.53</v>
      </c>
      <c r="K15" s="161">
        <f>'Consommation du 01.08 au 31.08'!D23</f>
        <v>90</v>
      </c>
      <c r="L15" s="161">
        <v>12.67</v>
      </c>
      <c r="M15" s="160">
        <f>'Consommation du 01.08 au 31.08'!AC23</f>
        <v>0</v>
      </c>
      <c r="N15" s="160">
        <v>0</v>
      </c>
      <c r="O15" s="161">
        <f t="shared" si="0"/>
        <v>4226.13</v>
      </c>
    </row>
    <row r="16" spans="1:15" x14ac:dyDescent="0.2">
      <c r="A16" s="158" t="s">
        <v>84</v>
      </c>
      <c r="B16" s="159">
        <f t="shared" si="1"/>
        <v>15</v>
      </c>
      <c r="C16" s="159">
        <v>8</v>
      </c>
      <c r="D16" s="160">
        <v>2020</v>
      </c>
      <c r="E16" s="161">
        <f>'Consommation du 01.08 au 31.08'!M24</f>
        <v>3062</v>
      </c>
      <c r="F16" s="161">
        <v>0.99</v>
      </c>
      <c r="G16" s="161">
        <f>'Consommation du 01.08 au 31.08'!U24</f>
        <v>0</v>
      </c>
      <c r="H16" s="161">
        <v>7.8338000000000001</v>
      </c>
      <c r="I16" s="161">
        <f>'Consommation du 01.08 au 31.08'!Y24*1000</f>
        <v>0</v>
      </c>
      <c r="J16" s="161">
        <v>0.53</v>
      </c>
      <c r="K16" s="161">
        <f>'Consommation du 01.08 au 31.08'!D24</f>
        <v>70</v>
      </c>
      <c r="L16" s="161">
        <v>12.67</v>
      </c>
      <c r="M16" s="160">
        <f>'Consommation du 01.08 au 31.08'!AC24</f>
        <v>0</v>
      </c>
      <c r="N16" s="160">
        <v>0</v>
      </c>
      <c r="O16" s="161">
        <f t="shared" si="0"/>
        <v>3918.28</v>
      </c>
    </row>
    <row r="17" spans="1:15" x14ac:dyDescent="0.2">
      <c r="A17" s="158" t="s">
        <v>84</v>
      </c>
      <c r="B17" s="159">
        <f t="shared" si="1"/>
        <v>16</v>
      </c>
      <c r="C17" s="159">
        <v>8</v>
      </c>
      <c r="D17" s="160">
        <v>2020</v>
      </c>
      <c r="E17" s="161">
        <f>'Consommation du 01.08 au 31.08'!M25</f>
        <v>3107</v>
      </c>
      <c r="F17" s="161">
        <v>0.99</v>
      </c>
      <c r="G17" s="161">
        <f>'Consommation du 01.08 au 31.08'!U25</f>
        <v>0</v>
      </c>
      <c r="H17" s="161">
        <v>7.8338000000000001</v>
      </c>
      <c r="I17" s="161">
        <f>'Consommation du 01.08 au 31.08'!Y25*1000</f>
        <v>0</v>
      </c>
      <c r="J17" s="161">
        <v>0.53</v>
      </c>
      <c r="K17" s="161">
        <f>'Consommation du 01.08 au 31.08'!D25</f>
        <v>70</v>
      </c>
      <c r="L17" s="161">
        <v>12.67</v>
      </c>
      <c r="M17" s="160">
        <f>'Consommation du 01.08 au 31.08'!AC25</f>
        <v>0</v>
      </c>
      <c r="N17" s="160">
        <v>0</v>
      </c>
      <c r="O17" s="161">
        <f t="shared" si="0"/>
        <v>3962.83</v>
      </c>
    </row>
    <row r="18" spans="1:15" x14ac:dyDescent="0.2">
      <c r="A18" s="158" t="s">
        <v>84</v>
      </c>
      <c r="B18" s="159">
        <f t="shared" si="1"/>
        <v>17</v>
      </c>
      <c r="C18" s="159">
        <v>8</v>
      </c>
      <c r="D18" s="160">
        <v>2020</v>
      </c>
      <c r="E18" s="161">
        <f>'Consommation du 01.08 au 31.08'!M26</f>
        <v>3080</v>
      </c>
      <c r="F18" s="161">
        <v>0.99</v>
      </c>
      <c r="G18" s="161">
        <f>'Consommation du 01.08 au 31.08'!U26</f>
        <v>0</v>
      </c>
      <c r="H18" s="161">
        <v>7.8338000000000001</v>
      </c>
      <c r="I18" s="161">
        <f>'Consommation du 01.08 au 31.08'!Y26*1000</f>
        <v>0</v>
      </c>
      <c r="J18" s="161">
        <v>0.53</v>
      </c>
      <c r="K18" s="161">
        <f>'Consommation du 01.08 au 31.08'!D26</f>
        <v>90</v>
      </c>
      <c r="L18" s="161">
        <v>12.67</v>
      </c>
      <c r="M18" s="160">
        <f>'Consommation du 01.08 au 31.08'!AC26</f>
        <v>0</v>
      </c>
      <c r="N18" s="160">
        <v>0</v>
      </c>
      <c r="O18" s="161">
        <f t="shared" si="0"/>
        <v>4189.5</v>
      </c>
    </row>
    <row r="19" spans="1:15" x14ac:dyDescent="0.2">
      <c r="A19" s="158" t="s">
        <v>84</v>
      </c>
      <c r="B19" s="159">
        <f t="shared" si="1"/>
        <v>18</v>
      </c>
      <c r="C19" s="159">
        <v>8</v>
      </c>
      <c r="D19" s="160">
        <v>2020</v>
      </c>
      <c r="E19" s="161">
        <f>'Consommation du 01.08 au 31.08'!M27</f>
        <v>3204</v>
      </c>
      <c r="F19" s="161">
        <v>0.99</v>
      </c>
      <c r="G19" s="161">
        <f>'Consommation du 01.08 au 31.08'!U27</f>
        <v>0</v>
      </c>
      <c r="H19" s="161">
        <v>7.8338000000000001</v>
      </c>
      <c r="I19" s="161">
        <f>'Consommation du 01.08 au 31.08'!Y27*1000</f>
        <v>0</v>
      </c>
      <c r="J19" s="161">
        <v>0.53</v>
      </c>
      <c r="K19" s="161">
        <f>'Consommation du 01.08 au 31.08'!D27</f>
        <v>100</v>
      </c>
      <c r="L19" s="161">
        <v>12.67</v>
      </c>
      <c r="M19" s="160">
        <f>'Consommation du 01.08 au 31.08'!AC27</f>
        <v>0</v>
      </c>
      <c r="N19" s="160">
        <v>0</v>
      </c>
      <c r="O19" s="161">
        <f t="shared" si="0"/>
        <v>4438.96</v>
      </c>
    </row>
    <row r="20" spans="1:15" x14ac:dyDescent="0.2">
      <c r="A20" s="158" t="s">
        <v>84</v>
      </c>
      <c r="B20" s="159">
        <f t="shared" si="1"/>
        <v>19</v>
      </c>
      <c r="C20" s="159">
        <v>8</v>
      </c>
      <c r="D20" s="160">
        <v>2020</v>
      </c>
      <c r="E20" s="161">
        <f>'Consommation du 01.08 au 31.08'!M28</f>
        <v>3080</v>
      </c>
      <c r="F20" s="161">
        <v>0.99</v>
      </c>
      <c r="G20" s="161">
        <f>'Consommation du 01.08 au 31.08'!U28</f>
        <v>0</v>
      </c>
      <c r="H20" s="161">
        <v>7.8338000000000001</v>
      </c>
      <c r="I20" s="161">
        <f>'Consommation du 01.08 au 31.08'!Y28*1000</f>
        <v>0</v>
      </c>
      <c r="J20" s="161">
        <v>0.53</v>
      </c>
      <c r="K20" s="161">
        <f>'Consommation du 01.08 au 31.08'!D28</f>
        <v>70</v>
      </c>
      <c r="L20" s="161">
        <v>12.67</v>
      </c>
      <c r="M20" s="160">
        <f>'Consommation du 01.08 au 31.08'!AC28</f>
        <v>0</v>
      </c>
      <c r="N20" s="160">
        <v>0</v>
      </c>
      <c r="O20" s="161">
        <f t="shared" si="0"/>
        <v>3936.1</v>
      </c>
    </row>
    <row r="21" spans="1:15" x14ac:dyDescent="0.2">
      <c r="A21" s="158" t="s">
        <v>84</v>
      </c>
      <c r="B21" s="159">
        <f t="shared" si="1"/>
        <v>20</v>
      </c>
      <c r="C21" s="159">
        <v>8</v>
      </c>
      <c r="D21" s="160">
        <v>2020</v>
      </c>
      <c r="E21" s="161">
        <f>'Consommation du 01.08 au 31.08'!M29</f>
        <v>3876</v>
      </c>
      <c r="F21" s="161">
        <v>0.99</v>
      </c>
      <c r="G21" s="161">
        <f>'Consommation du 01.08 au 31.08'!U29</f>
        <v>0</v>
      </c>
      <c r="H21" s="161">
        <v>7.8338000000000001</v>
      </c>
      <c r="I21" s="161">
        <f>'Consommation du 01.08 au 31.08'!Y29*1000</f>
        <v>0</v>
      </c>
      <c r="J21" s="161">
        <v>0.53</v>
      </c>
      <c r="K21" s="161">
        <f>'Consommation du 01.08 au 31.08'!D29</f>
        <v>50</v>
      </c>
      <c r="L21" s="161">
        <v>12.67</v>
      </c>
      <c r="M21" s="160">
        <f>'Consommation du 01.08 au 31.08'!AC29</f>
        <v>0</v>
      </c>
      <c r="N21" s="160">
        <v>0</v>
      </c>
      <c r="O21" s="161">
        <f t="shared" si="0"/>
        <v>4470.74</v>
      </c>
    </row>
    <row r="22" spans="1:15" x14ac:dyDescent="0.2">
      <c r="A22" s="158" t="s">
        <v>84</v>
      </c>
      <c r="B22" s="159">
        <f t="shared" si="1"/>
        <v>21</v>
      </c>
      <c r="C22" s="159">
        <v>8</v>
      </c>
      <c r="D22" s="160">
        <v>2020</v>
      </c>
      <c r="E22" s="161">
        <f>'Consommation du 01.08 au 31.08'!M30</f>
        <v>3317</v>
      </c>
      <c r="F22" s="161">
        <v>0.99</v>
      </c>
      <c r="G22" s="161">
        <f>'Consommation du 01.08 au 31.08'!U30</f>
        <v>0</v>
      </c>
      <c r="H22" s="161">
        <v>7.8338000000000001</v>
      </c>
      <c r="I22" s="161">
        <f>'Consommation du 01.08 au 31.08'!Y30*1000</f>
        <v>0</v>
      </c>
      <c r="J22" s="161">
        <v>0.53</v>
      </c>
      <c r="K22" s="161">
        <f>'Consommation du 01.08 au 31.08'!D30</f>
        <v>80</v>
      </c>
      <c r="L22" s="161">
        <v>12.67</v>
      </c>
      <c r="M22" s="160">
        <f>'Consommation du 01.08 au 31.08'!AC30</f>
        <v>0</v>
      </c>
      <c r="N22" s="160">
        <v>0</v>
      </c>
      <c r="O22" s="161">
        <f t="shared" si="0"/>
        <v>4297.43</v>
      </c>
    </row>
    <row r="23" spans="1:15" x14ac:dyDescent="0.2">
      <c r="A23" s="158" t="s">
        <v>84</v>
      </c>
      <c r="B23" s="159">
        <f t="shared" si="1"/>
        <v>22</v>
      </c>
      <c r="C23" s="159">
        <v>8</v>
      </c>
      <c r="D23" s="160">
        <v>2020</v>
      </c>
      <c r="E23" s="161">
        <f>'Consommation du 01.08 au 31.08'!M31</f>
        <v>3364</v>
      </c>
      <c r="F23" s="161">
        <v>0.99</v>
      </c>
      <c r="G23" s="161">
        <f>'Consommation du 01.08 au 31.08'!U31</f>
        <v>0</v>
      </c>
      <c r="H23" s="161">
        <v>7.8338000000000001</v>
      </c>
      <c r="I23" s="161">
        <f>'Consommation du 01.08 au 31.08'!Y31*1000</f>
        <v>0</v>
      </c>
      <c r="J23" s="161">
        <v>0.53</v>
      </c>
      <c r="K23" s="161">
        <f>'Consommation du 01.08 au 31.08'!D31</f>
        <v>90</v>
      </c>
      <c r="L23" s="161">
        <v>12.67</v>
      </c>
      <c r="M23" s="160">
        <f>'Consommation du 01.08 au 31.08'!AC31</f>
        <v>0</v>
      </c>
      <c r="N23" s="160">
        <v>0</v>
      </c>
      <c r="O23" s="161">
        <f t="shared" si="0"/>
        <v>4470.66</v>
      </c>
    </row>
    <row r="24" spans="1:15" x14ac:dyDescent="0.2">
      <c r="A24" s="158" t="s">
        <v>84</v>
      </c>
      <c r="B24" s="159">
        <f t="shared" si="1"/>
        <v>23</v>
      </c>
      <c r="C24" s="159">
        <v>8</v>
      </c>
      <c r="D24" s="160">
        <v>2020</v>
      </c>
      <c r="E24" s="161">
        <f>'Consommation du 01.08 au 31.08'!M32</f>
        <v>3013</v>
      </c>
      <c r="F24" s="161">
        <v>0.99</v>
      </c>
      <c r="G24" s="161">
        <f>'Consommation du 01.08 au 31.08'!U32</f>
        <v>0</v>
      </c>
      <c r="H24" s="161">
        <v>7.8338000000000001</v>
      </c>
      <c r="I24" s="161">
        <f>'Consommation du 01.08 au 31.08'!Y32*1000</f>
        <v>0</v>
      </c>
      <c r="J24" s="161">
        <v>0.53</v>
      </c>
      <c r="K24" s="161">
        <f>'Consommation du 01.08 au 31.08'!D32</f>
        <v>80</v>
      </c>
      <c r="L24" s="161">
        <v>12.67</v>
      </c>
      <c r="M24" s="160">
        <f>'Consommation du 01.08 au 31.08'!AC32</f>
        <v>0</v>
      </c>
      <c r="N24" s="160">
        <v>0</v>
      </c>
      <c r="O24" s="161">
        <f t="shared" si="0"/>
        <v>3996.47</v>
      </c>
    </row>
    <row r="25" spans="1:15" x14ac:dyDescent="0.2">
      <c r="A25" s="158" t="s">
        <v>84</v>
      </c>
      <c r="B25" s="159">
        <f t="shared" si="1"/>
        <v>24</v>
      </c>
      <c r="C25" s="159">
        <v>8</v>
      </c>
      <c r="D25" s="160">
        <v>2020</v>
      </c>
      <c r="E25" s="161">
        <f>'Consommation du 01.08 au 31.08'!M33</f>
        <v>3327</v>
      </c>
      <c r="F25" s="161">
        <v>0.99</v>
      </c>
      <c r="G25" s="161">
        <f>'Consommation du 01.08 au 31.08'!U33</f>
        <v>0</v>
      </c>
      <c r="H25" s="161">
        <v>7.8338000000000001</v>
      </c>
      <c r="I25" s="161">
        <f>'Consommation du 01.08 au 31.08'!Y33*1000</f>
        <v>0</v>
      </c>
      <c r="J25" s="161">
        <v>0.53</v>
      </c>
      <c r="K25" s="161">
        <f>'Consommation du 01.08 au 31.08'!D33</f>
        <v>90</v>
      </c>
      <c r="L25" s="161">
        <v>12.67</v>
      </c>
      <c r="M25" s="160">
        <f>'Consommation du 01.08 au 31.08'!AC33</f>
        <v>0</v>
      </c>
      <c r="N25" s="160">
        <v>0</v>
      </c>
      <c r="O25" s="161">
        <f t="shared" si="0"/>
        <v>4434.03</v>
      </c>
    </row>
    <row r="26" spans="1:15" x14ac:dyDescent="0.2">
      <c r="A26" s="158" t="s">
        <v>84</v>
      </c>
      <c r="B26" s="159">
        <f>B25+1</f>
        <v>25</v>
      </c>
      <c r="C26" s="159">
        <v>8</v>
      </c>
      <c r="D26" s="160">
        <v>2020</v>
      </c>
      <c r="E26" s="161">
        <f>'Consommation du 01.08 au 31.08'!M34</f>
        <v>3330</v>
      </c>
      <c r="F26" s="161">
        <v>0.99</v>
      </c>
      <c r="G26" s="161">
        <f>'Consommation du 01.08 au 31.08'!U34</f>
        <v>0</v>
      </c>
      <c r="H26" s="161">
        <v>7.8338000000000001</v>
      </c>
      <c r="I26" s="161">
        <f>'Consommation du 01.08 au 31.08'!Y34*1000</f>
        <v>0</v>
      </c>
      <c r="J26" s="161">
        <v>0.53</v>
      </c>
      <c r="K26" s="161">
        <f>'Consommation du 01.08 au 31.08'!D34</f>
        <v>90</v>
      </c>
      <c r="L26" s="161">
        <v>12.67</v>
      </c>
      <c r="M26" s="160">
        <f>'Consommation du 01.08 au 31.08'!AC34</f>
        <v>0</v>
      </c>
      <c r="N26" s="160">
        <v>0</v>
      </c>
      <c r="O26" s="161">
        <f t="shared" si="0"/>
        <v>4437</v>
      </c>
    </row>
    <row r="27" spans="1:15" x14ac:dyDescent="0.2">
      <c r="A27" s="158" t="s">
        <v>84</v>
      </c>
      <c r="B27" s="159">
        <f t="shared" si="1"/>
        <v>26</v>
      </c>
      <c r="C27" s="159">
        <v>8</v>
      </c>
      <c r="D27" s="160">
        <v>2020</v>
      </c>
      <c r="E27" s="161">
        <f>'Consommation du 01.08 au 31.08'!M35</f>
        <v>3464</v>
      </c>
      <c r="F27" s="161">
        <v>0.99</v>
      </c>
      <c r="G27" s="161">
        <f>'Consommation du 01.08 au 31.08'!U35</f>
        <v>0</v>
      </c>
      <c r="H27" s="161">
        <v>7.8338000000000001</v>
      </c>
      <c r="I27" s="161">
        <f>'Consommation du 01.08 au 31.08'!Y35*1000</f>
        <v>0</v>
      </c>
      <c r="J27" s="161">
        <v>0.53</v>
      </c>
      <c r="K27" s="161">
        <f>'Consommation du 01.08 au 31.08'!D35</f>
        <v>100</v>
      </c>
      <c r="L27" s="161">
        <v>12.67</v>
      </c>
      <c r="M27" s="160">
        <f>'Consommation du 01.08 au 31.08'!AC35</f>
        <v>0</v>
      </c>
      <c r="N27" s="160">
        <v>0</v>
      </c>
      <c r="O27" s="161">
        <f t="shared" si="0"/>
        <v>4696.3600000000006</v>
      </c>
    </row>
    <row r="28" spans="1:15" x14ac:dyDescent="0.2">
      <c r="A28" s="158" t="s">
        <v>84</v>
      </c>
      <c r="B28" s="159">
        <f t="shared" si="1"/>
        <v>27</v>
      </c>
      <c r="C28" s="159">
        <v>8</v>
      </c>
      <c r="D28" s="160">
        <v>2020</v>
      </c>
      <c r="E28" s="161">
        <f>'Consommation du 01.08 au 31.08'!M36</f>
        <v>3222</v>
      </c>
      <c r="F28" s="161">
        <v>0.99</v>
      </c>
      <c r="G28" s="161">
        <f>'Consommation du 01.08 au 31.08'!U36</f>
        <v>0</v>
      </c>
      <c r="H28" s="161">
        <v>7.8338000000000001</v>
      </c>
      <c r="I28" s="161">
        <f>'Consommation du 01.08 au 31.08'!Y36*1000</f>
        <v>0</v>
      </c>
      <c r="J28" s="161">
        <v>0.53</v>
      </c>
      <c r="K28" s="161">
        <f>'Consommation du 01.08 au 31.08'!D36</f>
        <v>110</v>
      </c>
      <c r="L28" s="161">
        <v>12.67</v>
      </c>
      <c r="M28" s="160">
        <f>'Consommation du 01.08 au 31.08'!AC36</f>
        <v>0</v>
      </c>
      <c r="N28" s="160">
        <v>0</v>
      </c>
      <c r="O28" s="161">
        <f t="shared" si="0"/>
        <v>4583.4799999999996</v>
      </c>
    </row>
    <row r="29" spans="1:15" x14ac:dyDescent="0.2">
      <c r="A29" s="158" t="s">
        <v>84</v>
      </c>
      <c r="B29" s="159">
        <f t="shared" si="1"/>
        <v>28</v>
      </c>
      <c r="C29" s="159">
        <v>8</v>
      </c>
      <c r="D29" s="160">
        <v>2020</v>
      </c>
      <c r="E29" s="161">
        <f>'Consommation du 01.08 au 31.08'!M37</f>
        <v>3259</v>
      </c>
      <c r="F29" s="161">
        <v>0.99</v>
      </c>
      <c r="G29" s="161">
        <f>'Consommation du 01.08 au 31.08'!U37</f>
        <v>0</v>
      </c>
      <c r="H29" s="161">
        <v>7.8338000000000001</v>
      </c>
      <c r="I29" s="161">
        <f>'Consommation du 01.08 au 31.08'!Y37*1000</f>
        <v>0</v>
      </c>
      <c r="J29" s="161">
        <v>0.53</v>
      </c>
      <c r="K29" s="161">
        <f>'Consommation du 01.08 au 31.08'!D37</f>
        <v>110</v>
      </c>
      <c r="L29" s="161">
        <v>12.67</v>
      </c>
      <c r="M29" s="160">
        <f>'Consommation du 01.08 au 31.08'!AC37</f>
        <v>0</v>
      </c>
      <c r="N29" s="160">
        <v>0</v>
      </c>
      <c r="O29" s="161">
        <f t="shared" si="0"/>
        <v>4620.1099999999997</v>
      </c>
    </row>
    <row r="30" spans="1:15" x14ac:dyDescent="0.2">
      <c r="A30" s="158" t="s">
        <v>84</v>
      </c>
      <c r="B30" s="159">
        <f t="shared" si="1"/>
        <v>29</v>
      </c>
      <c r="C30" s="159">
        <v>8</v>
      </c>
      <c r="D30" s="160">
        <v>2020</v>
      </c>
      <c r="E30" s="161">
        <f>'Consommation du 01.08 au 31.08'!M38</f>
        <v>2912</v>
      </c>
      <c r="F30" s="161">
        <v>0.99</v>
      </c>
      <c r="G30" s="161">
        <f>'Consommation du 01.08 au 31.08'!U38</f>
        <v>0</v>
      </c>
      <c r="H30" s="161">
        <v>7.8338000000000001</v>
      </c>
      <c r="I30" s="161">
        <f>'Consommation du 01.08 au 31.08'!Y38*1000</f>
        <v>0</v>
      </c>
      <c r="J30" s="161">
        <v>0.53</v>
      </c>
      <c r="K30" s="161">
        <f>'Consommation du 01.08 au 31.08'!D38</f>
        <v>110</v>
      </c>
      <c r="L30" s="161">
        <v>12.67</v>
      </c>
      <c r="M30" s="160">
        <f>'Consommation du 01.08 au 31.08'!AC38</f>
        <v>0</v>
      </c>
      <c r="N30" s="160">
        <v>0</v>
      </c>
      <c r="O30" s="161">
        <f t="shared" si="0"/>
        <v>4276.58</v>
      </c>
    </row>
    <row r="31" spans="1:15" x14ac:dyDescent="0.2">
      <c r="A31" s="158" t="s">
        <v>84</v>
      </c>
      <c r="B31" s="159">
        <f t="shared" si="1"/>
        <v>30</v>
      </c>
      <c r="C31" s="159">
        <v>8</v>
      </c>
      <c r="D31" s="160">
        <v>2020</v>
      </c>
      <c r="E31" s="161">
        <f>'Consommation du 01.08 au 31.08'!M39</f>
        <v>2707</v>
      </c>
      <c r="F31" s="161">
        <v>0.99</v>
      </c>
      <c r="G31" s="161">
        <f>'Consommation du 01.08 au 31.08'!U39</f>
        <v>0</v>
      </c>
      <c r="H31" s="161">
        <v>7.8338000000000001</v>
      </c>
      <c r="I31" s="161">
        <f>'Consommation du 01.08 au 31.08'!Y39*1000</f>
        <v>0</v>
      </c>
      <c r="J31" s="161">
        <v>0.53</v>
      </c>
      <c r="K31" s="161">
        <f>'Consommation du 01.08 au 31.08'!D39</f>
        <v>100</v>
      </c>
      <c r="L31" s="161">
        <v>12.67</v>
      </c>
      <c r="M31" s="160">
        <f>'Consommation du 01.08 au 31.08'!AC39</f>
        <v>0</v>
      </c>
      <c r="N31" s="160">
        <v>0</v>
      </c>
      <c r="O31" s="161">
        <f t="shared" si="0"/>
        <v>3946.93</v>
      </c>
    </row>
    <row r="32" spans="1:15" x14ac:dyDescent="0.2">
      <c r="A32" s="158" t="s">
        <v>84</v>
      </c>
      <c r="B32" s="159">
        <f t="shared" si="1"/>
        <v>31</v>
      </c>
      <c r="C32" s="159">
        <v>8</v>
      </c>
      <c r="D32" s="160">
        <v>2020</v>
      </c>
      <c r="E32" s="161">
        <f>'Consommation du 01.08 au 31.08'!M40</f>
        <v>3376</v>
      </c>
      <c r="F32" s="161">
        <v>0.99</v>
      </c>
      <c r="G32" s="161">
        <f>'Consommation du 01.08 au 31.08'!U40</f>
        <v>0</v>
      </c>
      <c r="H32" s="161">
        <v>7.8338000000000001</v>
      </c>
      <c r="I32" s="161">
        <f>'Consommation du 01.08 au 31.08'!Y40*1000</f>
        <v>0</v>
      </c>
      <c r="J32" s="161">
        <v>0.53</v>
      </c>
      <c r="K32" s="161">
        <f>'Consommation du 01.08 au 31.08'!D40</f>
        <v>100</v>
      </c>
      <c r="L32" s="161">
        <v>12.67</v>
      </c>
      <c r="M32" s="160">
        <f>'Consommation du 01.08 au 31.08'!AC40</f>
        <v>0</v>
      </c>
      <c r="N32" s="160">
        <v>0</v>
      </c>
      <c r="O32" s="161">
        <f t="shared" ref="O32" si="2">E32*F32+G32*H32+I32*J32+K32*L32</f>
        <v>4609.24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129421.53999999938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1" zoomScale="60" zoomScaleNormal="60" workbookViewId="0">
      <selection activeCell="AB38" sqref="AB38:AH4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44044</v>
      </c>
      <c r="C10" s="93"/>
      <c r="D10" s="148">
        <f>'Suivi EAU-ELEC'!C16</f>
        <v>70</v>
      </c>
      <c r="E10" s="152"/>
      <c r="F10" s="206">
        <f t="shared" ref="F10:F40" si="0">D10*12.67</f>
        <v>886.9</v>
      </c>
      <c r="G10" s="207"/>
      <c r="H10" s="208"/>
      <c r="I10" s="143"/>
      <c r="J10" s="94">
        <f>'Suivi EAU-ELEC'!E16</f>
        <v>939</v>
      </c>
      <c r="K10" s="95">
        <f>'Suivi EAU-ELEC'!G16</f>
        <v>1319</v>
      </c>
      <c r="L10" s="95">
        <f>'Suivi EAU-ELEC'!I16</f>
        <v>560</v>
      </c>
      <c r="M10" s="82">
        <f>L10+K10+J10</f>
        <v>2818</v>
      </c>
      <c r="N10" s="58"/>
      <c r="O10" s="59">
        <f>J10*0.99+K10*0.99+L10*0.99</f>
        <v>2789.82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17028.59</v>
      </c>
      <c r="Y10" s="154">
        <f t="shared" ref="Y10:Y40" si="1">IF(X11&lt;X10,0,X11-X10)</f>
        <v>2.9999999998835847E-2</v>
      </c>
      <c r="Z10" s="64">
        <f>Y10*0.53*1000</f>
        <v>15.899999999382999</v>
      </c>
      <c r="AA10" s="58"/>
      <c r="AB10" s="84">
        <v>38</v>
      </c>
      <c r="AC10" s="78">
        <v>0</v>
      </c>
      <c r="AD10" s="79">
        <v>0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3692.6199999993833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44045</v>
      </c>
      <c r="C11" s="93"/>
      <c r="D11" s="148">
        <f>'Suivi EAU-ELEC'!C17</f>
        <v>70</v>
      </c>
      <c r="E11" s="96"/>
      <c r="F11" s="206">
        <f t="shared" si="0"/>
        <v>886.9</v>
      </c>
      <c r="G11" s="207"/>
      <c r="H11" s="208"/>
      <c r="I11" s="143"/>
      <c r="J11" s="94">
        <f>'Suivi EAU-ELEC'!E17</f>
        <v>947</v>
      </c>
      <c r="K11" s="95">
        <f>'Suivi EAU-ELEC'!G17</f>
        <v>1378</v>
      </c>
      <c r="L11" s="95">
        <f>'Suivi EAU-ELEC'!I17</f>
        <v>598</v>
      </c>
      <c r="M11" s="82">
        <f t="shared" ref="M11:M40" si="4">L11+K11+J11</f>
        <v>2923</v>
      </c>
      <c r="N11" s="58"/>
      <c r="O11" s="59">
        <f t="shared" ref="O11:O40" si="5">J11*0.99+K11*0.99+L11*0.99</f>
        <v>2893.77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17028.62</v>
      </c>
      <c r="Y11" s="149">
        <f t="shared" si="1"/>
        <v>0</v>
      </c>
      <c r="Z11" s="64">
        <f t="shared" ref="Z11:Z40" si="7">Y11*0.53*1000</f>
        <v>0</v>
      </c>
      <c r="AA11" s="58"/>
      <c r="AB11" s="84">
        <v>39</v>
      </c>
      <c r="AC11" s="78">
        <v>0</v>
      </c>
      <c r="AD11" s="79">
        <v>0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3780.67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44046</v>
      </c>
      <c r="C12" s="93"/>
      <c r="D12" s="148">
        <f>'Suivi EAU-ELEC'!C18</f>
        <v>70</v>
      </c>
      <c r="E12" s="96"/>
      <c r="F12" s="206">
        <f t="shared" si="0"/>
        <v>886.9</v>
      </c>
      <c r="G12" s="207"/>
      <c r="H12" s="208"/>
      <c r="I12" s="143"/>
      <c r="J12" s="94">
        <f>'Suivi EAU-ELEC'!E18</f>
        <v>922</v>
      </c>
      <c r="K12" s="95">
        <f>'Suivi EAU-ELEC'!G18</f>
        <v>1504</v>
      </c>
      <c r="L12" s="95">
        <f>'Suivi EAU-ELEC'!I18</f>
        <v>608</v>
      </c>
      <c r="M12" s="82">
        <f t="shared" si="4"/>
        <v>3034</v>
      </c>
      <c r="N12" s="58"/>
      <c r="O12" s="59">
        <f t="shared" si="5"/>
        <v>3003.66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17028.62</v>
      </c>
      <c r="Y12" s="149">
        <f t="shared" si="1"/>
        <v>0</v>
      </c>
      <c r="Z12" s="64">
        <f t="shared" si="7"/>
        <v>0</v>
      </c>
      <c r="AA12" s="58"/>
      <c r="AB12" s="84">
        <v>34</v>
      </c>
      <c r="AC12" s="78">
        <v>0</v>
      </c>
      <c r="AD12" s="79">
        <v>0</v>
      </c>
      <c r="AE12" s="83" t="s">
        <v>85</v>
      </c>
      <c r="AF12" s="83" t="s">
        <v>85</v>
      </c>
      <c r="AG12" s="80" t="s">
        <v>85</v>
      </c>
      <c r="AH12" s="81" t="s">
        <v>85</v>
      </c>
      <c r="AI12" s="44"/>
      <c r="AJ12" s="130">
        <f t="shared" si="2"/>
        <v>3890.56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44047</v>
      </c>
      <c r="C13" s="93"/>
      <c r="D13" s="148">
        <f>'Suivi EAU-ELEC'!C19</f>
        <v>70</v>
      </c>
      <c r="E13" s="96"/>
      <c r="F13" s="203">
        <f t="shared" si="0"/>
        <v>886.9</v>
      </c>
      <c r="G13" s="204"/>
      <c r="H13" s="205"/>
      <c r="I13" s="143"/>
      <c r="J13" s="94">
        <f>'Suivi EAU-ELEC'!E19</f>
        <v>864</v>
      </c>
      <c r="K13" s="95">
        <f>'Suivi EAU-ELEC'!G19</f>
        <v>1462</v>
      </c>
      <c r="L13" s="95">
        <f>'Suivi EAU-ELEC'!I19</f>
        <v>566</v>
      </c>
      <c r="M13" s="82">
        <f t="shared" si="4"/>
        <v>2892</v>
      </c>
      <c r="N13" s="58"/>
      <c r="O13" s="59">
        <f t="shared" si="5"/>
        <v>2863.08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17028.62</v>
      </c>
      <c r="Y13" s="149">
        <f t="shared" si="1"/>
        <v>0</v>
      </c>
      <c r="Z13" s="64">
        <f t="shared" si="7"/>
        <v>0</v>
      </c>
      <c r="AA13" s="58"/>
      <c r="AB13" s="84">
        <v>34</v>
      </c>
      <c r="AC13" s="78">
        <v>0</v>
      </c>
      <c r="AD13" s="79">
        <v>0</v>
      </c>
      <c r="AE13" s="83" t="s">
        <v>85</v>
      </c>
      <c r="AF13" s="83" t="s">
        <v>85</v>
      </c>
      <c r="AG13" s="80" t="s">
        <v>85</v>
      </c>
      <c r="AH13" s="81" t="s">
        <v>85</v>
      </c>
      <c r="AI13" s="44"/>
      <c r="AJ13" s="130">
        <f t="shared" si="2"/>
        <v>3749.98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44048</v>
      </c>
      <c r="C14" s="93"/>
      <c r="D14" s="148">
        <f>'Suivi EAU-ELEC'!C20</f>
        <v>70</v>
      </c>
      <c r="E14" s="96"/>
      <c r="F14" s="206">
        <f t="shared" si="0"/>
        <v>886.9</v>
      </c>
      <c r="G14" s="207"/>
      <c r="H14" s="208"/>
      <c r="I14" s="143"/>
      <c r="J14" s="94">
        <f>'Suivi EAU-ELEC'!E20</f>
        <v>945</v>
      </c>
      <c r="K14" s="95">
        <f>'Suivi EAU-ELEC'!G20</f>
        <v>1443</v>
      </c>
      <c r="L14" s="95">
        <f>'Suivi EAU-ELEC'!I20</f>
        <v>601</v>
      </c>
      <c r="M14" s="82">
        <f t="shared" si="4"/>
        <v>2989</v>
      </c>
      <c r="N14" s="58"/>
      <c r="O14" s="59">
        <f t="shared" si="5"/>
        <v>2959.1099999999997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17028.62</v>
      </c>
      <c r="Y14" s="149">
        <f t="shared" si="1"/>
        <v>0</v>
      </c>
      <c r="Z14" s="64">
        <f t="shared" si="7"/>
        <v>0</v>
      </c>
      <c r="AA14" s="58"/>
      <c r="AB14" s="61">
        <v>34</v>
      </c>
      <c r="AC14" s="78">
        <v>0</v>
      </c>
      <c r="AD14" s="79">
        <v>0</v>
      </c>
      <c r="AE14" s="83" t="s">
        <v>85</v>
      </c>
      <c r="AF14" s="83" t="s">
        <v>85</v>
      </c>
      <c r="AG14" s="80" t="s">
        <v>85</v>
      </c>
      <c r="AH14" s="81" t="s">
        <v>85</v>
      </c>
      <c r="AI14" s="44"/>
      <c r="AJ14" s="130">
        <f t="shared" si="2"/>
        <v>3846.0099999999998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44049</v>
      </c>
      <c r="C15" s="93"/>
      <c r="D15" s="148">
        <f>'Suivi EAU-ELEC'!C21</f>
        <v>70</v>
      </c>
      <c r="E15" s="96"/>
      <c r="F15" s="209">
        <f t="shared" si="0"/>
        <v>886.9</v>
      </c>
      <c r="G15" s="210"/>
      <c r="H15" s="211"/>
      <c r="I15" s="145"/>
      <c r="J15" s="94">
        <f>'Suivi EAU-ELEC'!E21</f>
        <v>991</v>
      </c>
      <c r="K15" s="95">
        <f>'Suivi EAU-ELEC'!G21</f>
        <v>1607</v>
      </c>
      <c r="L15" s="95">
        <f>'Suivi EAU-ELEC'!I21</f>
        <v>669</v>
      </c>
      <c r="M15" s="82">
        <f t="shared" si="4"/>
        <v>3267</v>
      </c>
      <c r="N15" s="58"/>
      <c r="O15" s="59">
        <f t="shared" si="5"/>
        <v>3234.33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17028.62</v>
      </c>
      <c r="Y15" s="149">
        <f t="shared" si="1"/>
        <v>0</v>
      </c>
      <c r="Z15" s="64">
        <f t="shared" si="7"/>
        <v>0</v>
      </c>
      <c r="AA15" s="58"/>
      <c r="AB15" s="61">
        <v>30</v>
      </c>
      <c r="AC15" s="78">
        <v>0</v>
      </c>
      <c r="AD15" s="79">
        <v>0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30">
        <f t="shared" si="2"/>
        <v>4121.2299999999996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44050</v>
      </c>
      <c r="C16" s="93"/>
      <c r="D16" s="148">
        <f>'Suivi EAU-ELEC'!C22</f>
        <v>70</v>
      </c>
      <c r="E16" s="96"/>
      <c r="F16" s="203">
        <f t="shared" si="0"/>
        <v>886.9</v>
      </c>
      <c r="G16" s="204"/>
      <c r="H16" s="205"/>
      <c r="I16" s="142"/>
      <c r="J16" s="94">
        <f>'Suivi EAU-ELEC'!E22</f>
        <v>1016</v>
      </c>
      <c r="K16" s="95">
        <f>'Suivi EAU-ELEC'!G22</f>
        <v>1635</v>
      </c>
      <c r="L16" s="95">
        <f>'Suivi EAU-ELEC'!I22</f>
        <v>644</v>
      </c>
      <c r="M16" s="82">
        <f t="shared" si="4"/>
        <v>3295</v>
      </c>
      <c r="N16" s="58"/>
      <c r="O16" s="59">
        <f t="shared" si="5"/>
        <v>3262.05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17028.62</v>
      </c>
      <c r="Y16" s="149">
        <f t="shared" si="1"/>
        <v>0</v>
      </c>
      <c r="Z16" s="64">
        <f t="shared" si="7"/>
        <v>0</v>
      </c>
      <c r="AA16" s="58"/>
      <c r="AB16" s="61">
        <v>30</v>
      </c>
      <c r="AC16" s="78">
        <v>0</v>
      </c>
      <c r="AD16" s="79">
        <v>0</v>
      </c>
      <c r="AE16" s="83" t="s">
        <v>85</v>
      </c>
      <c r="AF16" s="83" t="s">
        <v>85</v>
      </c>
      <c r="AG16" s="80" t="s">
        <v>85</v>
      </c>
      <c r="AH16" s="81" t="s">
        <v>85</v>
      </c>
      <c r="AI16" s="44"/>
      <c r="AJ16" s="130">
        <f t="shared" si="2"/>
        <v>4148.95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44051</v>
      </c>
      <c r="C17" s="93"/>
      <c r="D17" s="148">
        <f>'Suivi EAU-ELEC'!C23</f>
        <v>80</v>
      </c>
      <c r="E17" s="96"/>
      <c r="F17" s="206">
        <f t="shared" si="0"/>
        <v>1013.6</v>
      </c>
      <c r="G17" s="207"/>
      <c r="H17" s="208"/>
      <c r="I17" s="143"/>
      <c r="J17" s="94">
        <f>'Suivi EAU-ELEC'!E23</f>
        <v>812</v>
      </c>
      <c r="K17" s="95">
        <f>'Suivi EAU-ELEC'!G23</f>
        <v>1538</v>
      </c>
      <c r="L17" s="95">
        <f>'Suivi EAU-ELEC'!I23</f>
        <v>607</v>
      </c>
      <c r="M17" s="82">
        <f t="shared" si="4"/>
        <v>2957</v>
      </c>
      <c r="N17" s="58"/>
      <c r="O17" s="59">
        <f t="shared" si="5"/>
        <v>2927.43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17028.62</v>
      </c>
      <c r="Y17" s="149">
        <f t="shared" si="1"/>
        <v>0</v>
      </c>
      <c r="Z17" s="64">
        <f t="shared" si="7"/>
        <v>0</v>
      </c>
      <c r="AA17" s="67"/>
      <c r="AB17" s="61">
        <v>31</v>
      </c>
      <c r="AC17" s="78">
        <v>0</v>
      </c>
      <c r="AD17" s="79">
        <v>0</v>
      </c>
      <c r="AE17" s="83" t="s">
        <v>85</v>
      </c>
      <c r="AF17" s="83" t="s">
        <v>85</v>
      </c>
      <c r="AG17" s="80" t="s">
        <v>85</v>
      </c>
      <c r="AH17" s="81" t="s">
        <v>85</v>
      </c>
      <c r="AI17" s="44"/>
      <c r="AJ17" s="130">
        <f t="shared" si="2"/>
        <v>3941.0299999999997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44052</v>
      </c>
      <c r="C18" s="93"/>
      <c r="D18" s="148">
        <f>'Suivi EAU-ELEC'!C24</f>
        <v>80</v>
      </c>
      <c r="E18" s="96"/>
      <c r="F18" s="209">
        <f t="shared" si="0"/>
        <v>1013.6</v>
      </c>
      <c r="G18" s="210"/>
      <c r="H18" s="211"/>
      <c r="I18" s="143"/>
      <c r="J18" s="94">
        <f>'Suivi EAU-ELEC'!E24</f>
        <v>904</v>
      </c>
      <c r="K18" s="95">
        <f>'Suivi EAU-ELEC'!G24</f>
        <v>1488</v>
      </c>
      <c r="L18" s="95">
        <f>'Suivi EAU-ELEC'!I24</f>
        <v>645</v>
      </c>
      <c r="M18" s="82">
        <f t="shared" si="4"/>
        <v>3037</v>
      </c>
      <c r="N18" s="58"/>
      <c r="O18" s="59">
        <f t="shared" si="5"/>
        <v>3006.63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17028.62</v>
      </c>
      <c r="Y18" s="149">
        <f t="shared" si="1"/>
        <v>0</v>
      </c>
      <c r="Z18" s="64">
        <f t="shared" si="7"/>
        <v>0</v>
      </c>
      <c r="AA18" s="67"/>
      <c r="AB18" s="61">
        <v>34</v>
      </c>
      <c r="AC18" s="78">
        <v>0</v>
      </c>
      <c r="AD18" s="79">
        <v>0</v>
      </c>
      <c r="AE18" s="83" t="s">
        <v>85</v>
      </c>
      <c r="AF18" s="83" t="s">
        <v>85</v>
      </c>
      <c r="AG18" s="80" t="s">
        <v>85</v>
      </c>
      <c r="AH18" s="81" t="s">
        <v>85</v>
      </c>
      <c r="AI18" s="44"/>
      <c r="AJ18" s="130">
        <f t="shared" si="2"/>
        <v>4020.23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44053</v>
      </c>
      <c r="C19" s="93"/>
      <c r="D19" s="148">
        <f>'Suivi EAU-ELEC'!C25</f>
        <v>80</v>
      </c>
      <c r="E19" s="96"/>
      <c r="F19" s="206">
        <f t="shared" si="0"/>
        <v>1013.6</v>
      </c>
      <c r="G19" s="207"/>
      <c r="H19" s="208"/>
      <c r="I19" s="143"/>
      <c r="J19" s="94">
        <f>'Suivi EAU-ELEC'!E25</f>
        <v>907</v>
      </c>
      <c r="K19" s="95">
        <f>'Suivi EAU-ELEC'!G25</f>
        <v>1598</v>
      </c>
      <c r="L19" s="95">
        <f>'Suivi EAU-ELEC'!I25</f>
        <v>649</v>
      </c>
      <c r="M19" s="82">
        <f t="shared" si="4"/>
        <v>3154</v>
      </c>
      <c r="N19" s="58"/>
      <c r="O19" s="59">
        <f t="shared" si="5"/>
        <v>3122.46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17028.62</v>
      </c>
      <c r="Y19" s="149">
        <f t="shared" si="1"/>
        <v>0</v>
      </c>
      <c r="Z19" s="64">
        <f t="shared" si="7"/>
        <v>0</v>
      </c>
      <c r="AA19" s="67"/>
      <c r="AB19" s="61">
        <v>32</v>
      </c>
      <c r="AC19" s="78">
        <v>0</v>
      </c>
      <c r="AD19" s="79">
        <v>0</v>
      </c>
      <c r="AE19" s="83" t="s">
        <v>85</v>
      </c>
      <c r="AF19" s="83" t="s">
        <v>85</v>
      </c>
      <c r="AG19" s="80" t="s">
        <v>85</v>
      </c>
      <c r="AH19" s="81" t="s">
        <v>85</v>
      </c>
      <c r="AI19" s="44"/>
      <c r="AJ19" s="130">
        <f t="shared" si="2"/>
        <v>4136.0600000000004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44054</v>
      </c>
      <c r="C20" s="93"/>
      <c r="D20" s="148">
        <f>'Suivi EAU-ELEC'!C26</f>
        <v>80</v>
      </c>
      <c r="E20" s="96"/>
      <c r="F20" s="203">
        <f t="shared" si="0"/>
        <v>1013.6</v>
      </c>
      <c r="G20" s="204"/>
      <c r="H20" s="205"/>
      <c r="I20" s="143"/>
      <c r="J20" s="94">
        <f>'Suivi EAU-ELEC'!E26</f>
        <v>912</v>
      </c>
      <c r="K20" s="95">
        <f>'Suivi EAU-ELEC'!G26</f>
        <v>1579</v>
      </c>
      <c r="L20" s="95">
        <f>'Suivi EAU-ELEC'!I26</f>
        <v>637</v>
      </c>
      <c r="M20" s="82">
        <f t="shared" si="4"/>
        <v>3128</v>
      </c>
      <c r="N20" s="58"/>
      <c r="O20" s="59">
        <f t="shared" si="5"/>
        <v>3096.7200000000003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17028.62</v>
      </c>
      <c r="Y20" s="149">
        <f t="shared" si="1"/>
        <v>0</v>
      </c>
      <c r="Z20" s="64">
        <f t="shared" si="7"/>
        <v>0</v>
      </c>
      <c r="AA20" s="67">
        <v>14</v>
      </c>
      <c r="AB20" s="61">
        <v>30</v>
      </c>
      <c r="AC20" s="78">
        <v>0</v>
      </c>
      <c r="AD20" s="79">
        <v>0</v>
      </c>
      <c r="AE20" s="83" t="s">
        <v>85</v>
      </c>
      <c r="AF20" s="83" t="s">
        <v>85</v>
      </c>
      <c r="AG20" s="80" t="s">
        <v>85</v>
      </c>
      <c r="AH20" s="81" t="s">
        <v>85</v>
      </c>
      <c r="AI20" s="44"/>
      <c r="AJ20" s="130">
        <f t="shared" si="2"/>
        <v>4110.3200000000006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44055</v>
      </c>
      <c r="C21" s="93"/>
      <c r="D21" s="148">
        <f>'Suivi EAU-ELEC'!C27</f>
        <v>80</v>
      </c>
      <c r="E21" s="96"/>
      <c r="F21" s="206">
        <f t="shared" si="0"/>
        <v>1013.6</v>
      </c>
      <c r="G21" s="207"/>
      <c r="H21" s="208"/>
      <c r="I21" s="143"/>
      <c r="J21" s="94">
        <f>'Suivi EAU-ELEC'!E27</f>
        <v>914</v>
      </c>
      <c r="K21" s="95">
        <f>'Suivi EAU-ELEC'!G27</f>
        <v>1480</v>
      </c>
      <c r="L21" s="95">
        <f>'Suivi EAU-ELEC'!I27</f>
        <v>553</v>
      </c>
      <c r="M21" s="82">
        <f t="shared" si="4"/>
        <v>2947</v>
      </c>
      <c r="N21" s="58"/>
      <c r="O21" s="59">
        <f t="shared" si="5"/>
        <v>2917.5299999999997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17028.62</v>
      </c>
      <c r="Y21" s="149">
        <f t="shared" si="1"/>
        <v>0</v>
      </c>
      <c r="Z21" s="64">
        <f t="shared" si="7"/>
        <v>0</v>
      </c>
      <c r="AA21" s="67">
        <v>14</v>
      </c>
      <c r="AB21" s="61">
        <v>30</v>
      </c>
      <c r="AC21" s="78">
        <v>0</v>
      </c>
      <c r="AD21" s="79">
        <v>0</v>
      </c>
      <c r="AE21" s="83" t="s">
        <v>85</v>
      </c>
      <c r="AF21" s="83" t="s">
        <v>85</v>
      </c>
      <c r="AG21" s="80" t="s">
        <v>85</v>
      </c>
      <c r="AH21" s="81" t="s">
        <v>85</v>
      </c>
      <c r="AI21" s="44"/>
      <c r="AJ21" s="130">
        <f t="shared" si="2"/>
        <v>3931.1299999999997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44056</v>
      </c>
      <c r="C22" s="93"/>
      <c r="D22" s="148">
        <f>'Suivi EAU-ELEC'!C28</f>
        <v>100</v>
      </c>
      <c r="E22" s="96"/>
      <c r="F22" s="209">
        <f t="shared" si="0"/>
        <v>1267</v>
      </c>
      <c r="G22" s="210"/>
      <c r="H22" s="211"/>
      <c r="I22" s="143"/>
      <c r="J22" s="94">
        <f>'Suivi EAU-ELEC'!E28</f>
        <v>972</v>
      </c>
      <c r="K22" s="95">
        <f>'Suivi EAU-ELEC'!G28</f>
        <v>1672</v>
      </c>
      <c r="L22" s="95">
        <f>'Suivi EAU-ELEC'!I28</f>
        <v>664</v>
      </c>
      <c r="M22" s="82">
        <f t="shared" si="4"/>
        <v>3308</v>
      </c>
      <c r="N22" s="58"/>
      <c r="O22" s="59">
        <f t="shared" si="5"/>
        <v>3274.92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17028.62</v>
      </c>
      <c r="Y22" s="149">
        <f t="shared" si="1"/>
        <v>0</v>
      </c>
      <c r="Z22" s="64">
        <f t="shared" si="7"/>
        <v>0</v>
      </c>
      <c r="AA22" s="58"/>
      <c r="AB22" s="61">
        <v>32</v>
      </c>
      <c r="AC22" s="78">
        <v>0</v>
      </c>
      <c r="AD22" s="79">
        <v>0</v>
      </c>
      <c r="AE22" s="83" t="s">
        <v>85</v>
      </c>
      <c r="AF22" s="83" t="s">
        <v>85</v>
      </c>
      <c r="AG22" s="80" t="s">
        <v>85</v>
      </c>
      <c r="AH22" s="81" t="s">
        <v>85</v>
      </c>
      <c r="AI22" s="44"/>
      <c r="AJ22" s="130">
        <f t="shared" si="2"/>
        <v>4541.92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44057</v>
      </c>
      <c r="C23" s="93"/>
      <c r="D23" s="148">
        <f>'Suivi EAU-ELEC'!C29</f>
        <v>90</v>
      </c>
      <c r="E23" s="96"/>
      <c r="F23" s="206">
        <f t="shared" si="0"/>
        <v>1140.3</v>
      </c>
      <c r="G23" s="207"/>
      <c r="H23" s="208"/>
      <c r="I23" s="143"/>
      <c r="J23" s="94">
        <f>'Suivi EAU-ELEC'!E29</f>
        <v>974</v>
      </c>
      <c r="K23" s="95">
        <f>'Suivi EAU-ELEC'!G29</f>
        <v>1544</v>
      </c>
      <c r="L23" s="95">
        <f>'Suivi EAU-ELEC'!I29</f>
        <v>599</v>
      </c>
      <c r="M23" s="82">
        <f t="shared" si="4"/>
        <v>3117</v>
      </c>
      <c r="N23" s="58"/>
      <c r="O23" s="59">
        <f t="shared" si="5"/>
        <v>3085.83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17028.62</v>
      </c>
      <c r="Y23" s="149">
        <f t="shared" si="1"/>
        <v>0</v>
      </c>
      <c r="Z23" s="64">
        <f t="shared" si="7"/>
        <v>0</v>
      </c>
      <c r="AA23" s="58"/>
      <c r="AB23" s="61">
        <v>30</v>
      </c>
      <c r="AC23" s="78">
        <v>0</v>
      </c>
      <c r="AD23" s="79">
        <v>0</v>
      </c>
      <c r="AE23" s="83" t="s">
        <v>85</v>
      </c>
      <c r="AF23" s="83" t="s">
        <v>85</v>
      </c>
      <c r="AG23" s="80" t="s">
        <v>85</v>
      </c>
      <c r="AH23" s="81" t="s">
        <v>85</v>
      </c>
      <c r="AI23" s="44"/>
      <c r="AJ23" s="130">
        <f t="shared" si="2"/>
        <v>4226.13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44058</v>
      </c>
      <c r="C24" s="93"/>
      <c r="D24" s="148">
        <f>'Suivi EAU-ELEC'!C30</f>
        <v>70</v>
      </c>
      <c r="E24" s="96"/>
      <c r="F24" s="206">
        <f t="shared" si="0"/>
        <v>886.9</v>
      </c>
      <c r="G24" s="207"/>
      <c r="H24" s="208"/>
      <c r="I24" s="143"/>
      <c r="J24" s="94">
        <f>'Suivi EAU-ELEC'!E30</f>
        <v>906</v>
      </c>
      <c r="K24" s="95">
        <f>'Suivi EAU-ELEC'!G30</f>
        <v>1549</v>
      </c>
      <c r="L24" s="95">
        <f>'Suivi EAU-ELEC'!I30</f>
        <v>607</v>
      </c>
      <c r="M24" s="82">
        <f t="shared" si="4"/>
        <v>3062</v>
      </c>
      <c r="N24" s="58"/>
      <c r="O24" s="59">
        <f t="shared" si="5"/>
        <v>3031.3799999999997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17028.62</v>
      </c>
      <c r="Y24" s="149">
        <f t="shared" si="1"/>
        <v>0</v>
      </c>
      <c r="Z24" s="64">
        <f t="shared" si="7"/>
        <v>0</v>
      </c>
      <c r="AA24" s="58"/>
      <c r="AB24" s="61">
        <v>30</v>
      </c>
      <c r="AC24" s="78">
        <v>0</v>
      </c>
      <c r="AD24" s="79">
        <v>0</v>
      </c>
      <c r="AE24" s="83" t="s">
        <v>85</v>
      </c>
      <c r="AF24" s="83" t="s">
        <v>85</v>
      </c>
      <c r="AG24" s="80" t="s">
        <v>85</v>
      </c>
      <c r="AH24" s="81" t="s">
        <v>85</v>
      </c>
      <c r="AJ24" s="130">
        <f>(F24+O24+W24+Z24)</f>
        <v>3918.2799999999997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44059</v>
      </c>
      <c r="C25" s="93"/>
      <c r="D25" s="148">
        <f>'Suivi EAU-ELEC'!C31</f>
        <v>70</v>
      </c>
      <c r="E25" s="96"/>
      <c r="F25" s="206">
        <f t="shared" si="0"/>
        <v>886.9</v>
      </c>
      <c r="G25" s="207"/>
      <c r="H25" s="208"/>
      <c r="I25" s="143"/>
      <c r="J25" s="94">
        <f>'Suivi EAU-ELEC'!E31</f>
        <v>920</v>
      </c>
      <c r="K25" s="95">
        <f>'Suivi EAU-ELEC'!G31</f>
        <v>1540</v>
      </c>
      <c r="L25" s="95">
        <f>'Suivi EAU-ELEC'!I31</f>
        <v>647</v>
      </c>
      <c r="M25" s="82">
        <f t="shared" si="4"/>
        <v>3107</v>
      </c>
      <c r="N25" s="58"/>
      <c r="O25" s="59">
        <f t="shared" si="5"/>
        <v>3075.9299999999994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17028.62</v>
      </c>
      <c r="Y25" s="149">
        <f t="shared" si="1"/>
        <v>0</v>
      </c>
      <c r="Z25" s="64">
        <f t="shared" si="7"/>
        <v>0</v>
      </c>
      <c r="AA25" s="58"/>
      <c r="AB25" s="61">
        <v>30</v>
      </c>
      <c r="AC25" s="78">
        <v>0</v>
      </c>
      <c r="AD25" s="79">
        <v>0</v>
      </c>
      <c r="AE25" s="83" t="s">
        <v>85</v>
      </c>
      <c r="AF25" s="83" t="s">
        <v>85</v>
      </c>
      <c r="AG25" s="80" t="s">
        <v>85</v>
      </c>
      <c r="AH25" s="81" t="s">
        <v>85</v>
      </c>
      <c r="AI25" s="44"/>
      <c r="AJ25" s="130">
        <f>(F25+O25+W25+Z25)</f>
        <v>3962.8299999999995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44060</v>
      </c>
      <c r="C26" s="93"/>
      <c r="D26" s="148">
        <f>'Suivi EAU-ELEC'!C32</f>
        <v>90</v>
      </c>
      <c r="E26" s="151"/>
      <c r="F26" s="206">
        <f t="shared" si="0"/>
        <v>1140.3</v>
      </c>
      <c r="G26" s="207"/>
      <c r="H26" s="208"/>
      <c r="I26" s="143"/>
      <c r="J26" s="94">
        <f>'Suivi EAU-ELEC'!E32</f>
        <v>950</v>
      </c>
      <c r="K26" s="95">
        <f>'Suivi EAU-ELEC'!G32</f>
        <v>1490</v>
      </c>
      <c r="L26" s="95">
        <f>'Suivi EAU-ELEC'!I32</f>
        <v>640</v>
      </c>
      <c r="M26" s="82">
        <f t="shared" si="4"/>
        <v>3080</v>
      </c>
      <c r="N26" s="58"/>
      <c r="O26" s="59">
        <f t="shared" si="5"/>
        <v>3049.2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17028.62</v>
      </c>
      <c r="Y26" s="149">
        <f t="shared" si="1"/>
        <v>0</v>
      </c>
      <c r="Z26" s="64">
        <f t="shared" si="7"/>
        <v>0</v>
      </c>
      <c r="AA26" s="85"/>
      <c r="AB26" s="61">
        <v>30</v>
      </c>
      <c r="AC26" s="78">
        <v>0</v>
      </c>
      <c r="AD26" s="79">
        <v>0</v>
      </c>
      <c r="AE26" s="83" t="s">
        <v>85</v>
      </c>
      <c r="AF26" s="83" t="s">
        <v>85</v>
      </c>
      <c r="AG26" s="80" t="s">
        <v>85</v>
      </c>
      <c r="AH26" s="81" t="s">
        <v>85</v>
      </c>
      <c r="AI26" s="44"/>
      <c r="AJ26" s="130">
        <f>(F26+O26+W26+Z26)</f>
        <v>4189.5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44061</v>
      </c>
      <c r="C27" s="93"/>
      <c r="D27" s="148">
        <f>'Suivi EAU-ELEC'!C33</f>
        <v>100</v>
      </c>
      <c r="E27" s="151"/>
      <c r="F27" s="206">
        <f t="shared" si="0"/>
        <v>1267</v>
      </c>
      <c r="G27" s="207"/>
      <c r="H27" s="208"/>
      <c r="I27" s="143"/>
      <c r="J27" s="94">
        <f>'Suivi EAU-ELEC'!E33</f>
        <v>974</v>
      </c>
      <c r="K27" s="95">
        <f>'Suivi EAU-ELEC'!G33</f>
        <v>1560</v>
      </c>
      <c r="L27" s="95">
        <f>'Suivi EAU-ELEC'!I33</f>
        <v>670</v>
      </c>
      <c r="M27" s="82">
        <f t="shared" si="4"/>
        <v>3204</v>
      </c>
      <c r="N27" s="58"/>
      <c r="O27" s="59">
        <f t="shared" si="5"/>
        <v>3171.96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17028.62</v>
      </c>
      <c r="Y27" s="149">
        <f t="shared" si="1"/>
        <v>0</v>
      </c>
      <c r="Z27" s="64">
        <f t="shared" si="7"/>
        <v>0</v>
      </c>
      <c r="AA27" s="85"/>
      <c r="AB27" s="61">
        <v>30</v>
      </c>
      <c r="AC27" s="78">
        <v>0</v>
      </c>
      <c r="AD27" s="79">
        <v>0</v>
      </c>
      <c r="AE27" s="83" t="s">
        <v>85</v>
      </c>
      <c r="AF27" s="83" t="s">
        <v>85</v>
      </c>
      <c r="AG27" s="80" t="s">
        <v>85</v>
      </c>
      <c r="AH27" s="81" t="s">
        <v>85</v>
      </c>
      <c r="AI27" s="44"/>
      <c r="AJ27" s="130">
        <f t="shared" si="2"/>
        <v>4438.96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44062</v>
      </c>
      <c r="C28" s="93"/>
      <c r="D28" s="148">
        <f>'Suivi EAU-ELEC'!C34</f>
        <v>70</v>
      </c>
      <c r="E28" s="151"/>
      <c r="F28" s="203">
        <f t="shared" si="0"/>
        <v>886.9</v>
      </c>
      <c r="G28" s="204"/>
      <c r="H28" s="205"/>
      <c r="I28" s="144"/>
      <c r="J28" s="94">
        <f>'Suivi EAU-ELEC'!E34</f>
        <v>950</v>
      </c>
      <c r="K28" s="95">
        <f>'Suivi EAU-ELEC'!G34</f>
        <v>1490</v>
      </c>
      <c r="L28" s="95">
        <f>'Suivi EAU-ELEC'!I34</f>
        <v>640</v>
      </c>
      <c r="M28" s="82">
        <f t="shared" si="4"/>
        <v>3080</v>
      </c>
      <c r="N28" s="58"/>
      <c r="O28" s="59">
        <f t="shared" si="5"/>
        <v>3049.2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17028.62</v>
      </c>
      <c r="Y28" s="149">
        <f t="shared" si="1"/>
        <v>0</v>
      </c>
      <c r="Z28" s="64">
        <f t="shared" si="7"/>
        <v>0</v>
      </c>
      <c r="AA28" s="85"/>
      <c r="AB28" s="61">
        <v>30</v>
      </c>
      <c r="AC28" s="78">
        <v>0</v>
      </c>
      <c r="AD28" s="79">
        <v>0</v>
      </c>
      <c r="AE28" s="83" t="s">
        <v>85</v>
      </c>
      <c r="AF28" s="83" t="s">
        <v>85</v>
      </c>
      <c r="AG28" s="80" t="s">
        <v>85</v>
      </c>
      <c r="AH28" s="81" t="s">
        <v>85</v>
      </c>
      <c r="AI28" s="44"/>
      <c r="AJ28" s="130">
        <f>(F28+O28+W28+Z28)</f>
        <v>3936.1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44063</v>
      </c>
      <c r="C29" s="93"/>
      <c r="D29" s="148">
        <f>'Suivi EAU-ELEC'!C35</f>
        <v>50</v>
      </c>
      <c r="E29" s="151"/>
      <c r="F29" s="206">
        <f t="shared" si="0"/>
        <v>633.5</v>
      </c>
      <c r="G29" s="207"/>
      <c r="H29" s="208"/>
      <c r="I29" s="144"/>
      <c r="J29" s="94">
        <f>'Suivi EAU-ELEC'!E35</f>
        <v>1249</v>
      </c>
      <c r="K29" s="95">
        <f>'Suivi EAU-ELEC'!G35</f>
        <v>2052</v>
      </c>
      <c r="L29" s="95">
        <f>'Suivi EAU-ELEC'!I35</f>
        <v>575</v>
      </c>
      <c r="M29" s="82">
        <f t="shared" si="4"/>
        <v>3876</v>
      </c>
      <c r="N29" s="58"/>
      <c r="O29" s="59">
        <f t="shared" si="5"/>
        <v>3837.24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17028.62</v>
      </c>
      <c r="Y29" s="149">
        <f t="shared" si="1"/>
        <v>0</v>
      </c>
      <c r="Z29" s="64">
        <f t="shared" si="7"/>
        <v>0</v>
      </c>
      <c r="AA29" s="85"/>
      <c r="AB29" s="61">
        <v>32</v>
      </c>
      <c r="AC29" s="78">
        <v>0</v>
      </c>
      <c r="AD29" s="79">
        <v>0</v>
      </c>
      <c r="AE29" s="83" t="s">
        <v>85</v>
      </c>
      <c r="AF29" s="83" t="s">
        <v>85</v>
      </c>
      <c r="AG29" s="80" t="s">
        <v>85</v>
      </c>
      <c r="AH29" s="81" t="s">
        <v>85</v>
      </c>
      <c r="AI29" s="44"/>
      <c r="AJ29" s="130">
        <f t="shared" si="2"/>
        <v>4470.74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44064</v>
      </c>
      <c r="C30" s="98"/>
      <c r="D30" s="148">
        <f>'Suivi EAU-ELEC'!C36</f>
        <v>80</v>
      </c>
      <c r="E30" s="151"/>
      <c r="F30" s="203">
        <f t="shared" si="0"/>
        <v>1013.6</v>
      </c>
      <c r="G30" s="204"/>
      <c r="H30" s="205"/>
      <c r="I30" s="144"/>
      <c r="J30" s="94">
        <f>'Suivi EAU-ELEC'!E36</f>
        <v>1012</v>
      </c>
      <c r="K30" s="95">
        <f>'Suivi EAU-ELEC'!G36</f>
        <v>1617</v>
      </c>
      <c r="L30" s="95">
        <f>'Suivi EAU-ELEC'!I36</f>
        <v>688</v>
      </c>
      <c r="M30" s="82">
        <f t="shared" si="4"/>
        <v>3317</v>
      </c>
      <c r="N30" s="58"/>
      <c r="O30" s="59">
        <f t="shared" si="5"/>
        <v>3283.83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17028.62</v>
      </c>
      <c r="Y30" s="149">
        <f t="shared" si="1"/>
        <v>0</v>
      </c>
      <c r="Z30" s="64">
        <f t="shared" si="7"/>
        <v>0</v>
      </c>
      <c r="AA30" s="85"/>
      <c r="AB30" s="61">
        <v>31</v>
      </c>
      <c r="AC30" s="78">
        <v>0</v>
      </c>
      <c r="AD30" s="79">
        <v>0</v>
      </c>
      <c r="AE30" s="83" t="s">
        <v>85</v>
      </c>
      <c r="AF30" s="83" t="s">
        <v>85</v>
      </c>
      <c r="AG30" s="80" t="s">
        <v>85</v>
      </c>
      <c r="AH30" s="81" t="s">
        <v>85</v>
      </c>
      <c r="AI30" s="44"/>
      <c r="AJ30" s="130">
        <f t="shared" si="2"/>
        <v>4297.43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44065</v>
      </c>
      <c r="C31" s="93"/>
      <c r="D31" s="148">
        <f>'Suivi EAU-ELEC'!C37</f>
        <v>90</v>
      </c>
      <c r="E31" s="96"/>
      <c r="F31" s="206">
        <f t="shared" si="0"/>
        <v>1140.3</v>
      </c>
      <c r="G31" s="207"/>
      <c r="H31" s="208"/>
      <c r="I31" s="145"/>
      <c r="J31" s="94">
        <f>'Suivi EAU-ELEC'!E37</f>
        <v>1032</v>
      </c>
      <c r="K31" s="95">
        <f>'Suivi EAU-ELEC'!G37</f>
        <v>1653</v>
      </c>
      <c r="L31" s="95">
        <f>'Suivi EAU-ELEC'!I37</f>
        <v>679</v>
      </c>
      <c r="M31" s="82">
        <f t="shared" si="4"/>
        <v>3364</v>
      </c>
      <c r="N31" s="58"/>
      <c r="O31" s="59">
        <f t="shared" si="5"/>
        <v>3330.36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17028.62</v>
      </c>
      <c r="Y31" s="149">
        <f>IF(X33&lt;X31,0,X33-X31)</f>
        <v>0</v>
      </c>
      <c r="Z31" s="64">
        <f t="shared" si="7"/>
        <v>0</v>
      </c>
      <c r="AA31" s="58"/>
      <c r="AB31" s="61">
        <v>33</v>
      </c>
      <c r="AC31" s="78">
        <v>0</v>
      </c>
      <c r="AD31" s="79">
        <v>0</v>
      </c>
      <c r="AE31" s="83" t="s">
        <v>85</v>
      </c>
      <c r="AF31" s="83" t="s">
        <v>85</v>
      </c>
      <c r="AG31" s="80" t="s">
        <v>85</v>
      </c>
      <c r="AH31" s="81" t="s">
        <v>85</v>
      </c>
      <c r="AI31" s="44"/>
      <c r="AJ31" s="130">
        <f t="shared" si="2"/>
        <v>4470.66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44066</v>
      </c>
      <c r="C32" s="93"/>
      <c r="D32" s="148">
        <f>'Suivi EAU-ELEC'!C38</f>
        <v>80</v>
      </c>
      <c r="E32" s="96"/>
      <c r="F32" s="206">
        <f t="shared" si="0"/>
        <v>1013.6</v>
      </c>
      <c r="G32" s="207"/>
      <c r="H32" s="208"/>
      <c r="I32" s="142"/>
      <c r="J32" s="94">
        <f>'Suivi EAU-ELEC'!E38</f>
        <v>908</v>
      </c>
      <c r="K32" s="95">
        <f>'Suivi EAU-ELEC'!G38</f>
        <v>1470</v>
      </c>
      <c r="L32" s="95">
        <f>'Suivi EAU-ELEC'!I38</f>
        <v>635</v>
      </c>
      <c r="M32" s="82">
        <f t="shared" si="4"/>
        <v>3013</v>
      </c>
      <c r="N32" s="58"/>
      <c r="O32" s="59">
        <f t="shared" si="5"/>
        <v>2982.87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>
        <v>17028.62</v>
      </c>
      <c r="Y32" s="149">
        <f t="shared" ref="Y32:Y33" si="9">IF(X34&lt;X32,0,X34-X32)</f>
        <v>0</v>
      </c>
      <c r="Z32" s="64">
        <f t="shared" si="7"/>
        <v>0</v>
      </c>
      <c r="AA32" s="58"/>
      <c r="AB32" s="61">
        <v>33</v>
      </c>
      <c r="AC32" s="78">
        <v>0</v>
      </c>
      <c r="AD32" s="79">
        <v>0</v>
      </c>
      <c r="AE32" s="83" t="s">
        <v>85</v>
      </c>
      <c r="AF32" s="83" t="s">
        <v>85</v>
      </c>
      <c r="AG32" s="80" t="s">
        <v>85</v>
      </c>
      <c r="AH32" s="81" t="s">
        <v>85</v>
      </c>
      <c r="AI32" s="44"/>
      <c r="AJ32" s="130">
        <f t="shared" si="2"/>
        <v>3996.47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44067</v>
      </c>
      <c r="C33" s="93"/>
      <c r="D33" s="148">
        <f>'Suivi EAU-ELEC'!C39</f>
        <v>90</v>
      </c>
      <c r="E33" s="96"/>
      <c r="F33" s="206">
        <f t="shared" si="0"/>
        <v>1140.3</v>
      </c>
      <c r="G33" s="207"/>
      <c r="H33" s="208"/>
      <c r="I33" s="143"/>
      <c r="J33" s="94">
        <f>'Suivi EAU-ELEC'!E39</f>
        <v>951</v>
      </c>
      <c r="K33" s="95">
        <f>'Suivi EAU-ELEC'!G39</f>
        <v>1671</v>
      </c>
      <c r="L33" s="95">
        <f>'Suivi EAU-ELEC'!I39</f>
        <v>705</v>
      </c>
      <c r="M33" s="82">
        <f t="shared" si="4"/>
        <v>3327</v>
      </c>
      <c r="N33" s="58"/>
      <c r="O33" s="59">
        <f t="shared" si="5"/>
        <v>3293.7299999999996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>
        <v>17028.62</v>
      </c>
      <c r="Y33" s="149">
        <f t="shared" si="9"/>
        <v>0</v>
      </c>
      <c r="Z33" s="64">
        <f t="shared" si="7"/>
        <v>0</v>
      </c>
      <c r="AA33" s="58"/>
      <c r="AB33" s="61">
        <v>35</v>
      </c>
      <c r="AC33" s="78">
        <v>0</v>
      </c>
      <c r="AD33" s="79">
        <v>0</v>
      </c>
      <c r="AE33" s="83" t="s">
        <v>85</v>
      </c>
      <c r="AF33" s="83" t="s">
        <v>85</v>
      </c>
      <c r="AG33" s="80" t="s">
        <v>85</v>
      </c>
      <c r="AH33" s="81" t="s">
        <v>85</v>
      </c>
      <c r="AI33" s="44"/>
      <c r="AJ33" s="130">
        <f t="shared" si="2"/>
        <v>4434.03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44068</v>
      </c>
      <c r="C34" s="93"/>
      <c r="D34" s="148">
        <f>'Suivi EAU-ELEC'!C40</f>
        <v>90</v>
      </c>
      <c r="E34" s="96"/>
      <c r="F34" s="206">
        <f t="shared" si="0"/>
        <v>1140.3</v>
      </c>
      <c r="G34" s="207"/>
      <c r="H34" s="208"/>
      <c r="I34" s="143"/>
      <c r="J34" s="94">
        <f>'Suivi EAU-ELEC'!E40</f>
        <v>1006</v>
      </c>
      <c r="K34" s="95">
        <f>'Suivi EAU-ELEC'!G40</f>
        <v>1739</v>
      </c>
      <c r="L34" s="95">
        <f>'Suivi EAU-ELEC'!I40</f>
        <v>585</v>
      </c>
      <c r="M34" s="82">
        <f t="shared" si="4"/>
        <v>3330</v>
      </c>
      <c r="N34" s="58"/>
      <c r="O34" s="59">
        <f t="shared" si="5"/>
        <v>3296.7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>
        <v>17028.62</v>
      </c>
      <c r="Y34" s="149">
        <f t="shared" si="1"/>
        <v>0</v>
      </c>
      <c r="Z34" s="64">
        <f t="shared" si="7"/>
        <v>0</v>
      </c>
      <c r="AA34" s="58"/>
      <c r="AB34" s="61">
        <v>36</v>
      </c>
      <c r="AC34" s="78">
        <v>0</v>
      </c>
      <c r="AD34" s="79">
        <v>0</v>
      </c>
      <c r="AE34" s="83" t="s">
        <v>85</v>
      </c>
      <c r="AF34" s="83" t="s">
        <v>85</v>
      </c>
      <c r="AG34" s="80" t="s">
        <v>85</v>
      </c>
      <c r="AH34" s="81" t="s">
        <v>85</v>
      </c>
      <c r="AI34" s="44"/>
      <c r="AJ34" s="130">
        <f t="shared" si="2"/>
        <v>4437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44069</v>
      </c>
      <c r="C35" s="93"/>
      <c r="D35" s="148">
        <f>'Suivi EAU-ELEC'!C41</f>
        <v>100</v>
      </c>
      <c r="E35" s="96"/>
      <c r="F35" s="209">
        <f t="shared" si="0"/>
        <v>1267</v>
      </c>
      <c r="G35" s="210"/>
      <c r="H35" s="211"/>
      <c r="I35" s="143"/>
      <c r="J35" s="94">
        <f>'Suivi EAU-ELEC'!E41</f>
        <v>1042</v>
      </c>
      <c r="K35" s="95">
        <f>'Suivi EAU-ELEC'!G41</f>
        <v>1752</v>
      </c>
      <c r="L35" s="95">
        <f>'Suivi EAU-ELEC'!I41</f>
        <v>670</v>
      </c>
      <c r="M35" s="82">
        <f t="shared" si="4"/>
        <v>3464</v>
      </c>
      <c r="N35" s="58"/>
      <c r="O35" s="59">
        <f t="shared" si="5"/>
        <v>3429.3599999999997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>
        <v>17028.62</v>
      </c>
      <c r="Y35" s="149">
        <f t="shared" si="1"/>
        <v>0</v>
      </c>
      <c r="Z35" s="64">
        <f t="shared" si="7"/>
        <v>0</v>
      </c>
      <c r="AA35" s="58"/>
      <c r="AB35" s="61">
        <v>37</v>
      </c>
      <c r="AC35" s="78">
        <v>0</v>
      </c>
      <c r="AD35" s="79">
        <v>0</v>
      </c>
      <c r="AE35" s="83" t="s">
        <v>85</v>
      </c>
      <c r="AF35" s="83" t="s">
        <v>85</v>
      </c>
      <c r="AG35" s="80" t="s">
        <v>85</v>
      </c>
      <c r="AH35" s="81" t="s">
        <v>85</v>
      </c>
      <c r="AI35" s="44"/>
      <c r="AJ35" s="130">
        <f t="shared" si="2"/>
        <v>4696.3599999999997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44070</v>
      </c>
      <c r="C36" s="93"/>
      <c r="D36" s="148">
        <f>'Suivi EAU-ELEC'!C42</f>
        <v>110</v>
      </c>
      <c r="E36" s="96"/>
      <c r="F36" s="216">
        <f t="shared" si="0"/>
        <v>1393.7</v>
      </c>
      <c r="G36" s="217"/>
      <c r="H36" s="218"/>
      <c r="I36" s="143"/>
      <c r="J36" s="94">
        <f>'Suivi EAU-ELEC'!E42</f>
        <v>973</v>
      </c>
      <c r="K36" s="95">
        <f>'Suivi EAU-ELEC'!G42</f>
        <v>1663</v>
      </c>
      <c r="L36" s="95">
        <f>'Suivi EAU-ELEC'!I42</f>
        <v>586</v>
      </c>
      <c r="M36" s="82">
        <f t="shared" si="4"/>
        <v>3222</v>
      </c>
      <c r="N36" s="58"/>
      <c r="O36" s="59">
        <f t="shared" si="5"/>
        <v>3189.7799999999997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>
        <v>17028.62</v>
      </c>
      <c r="Y36" s="149">
        <f t="shared" si="1"/>
        <v>0</v>
      </c>
      <c r="Z36" s="64">
        <f t="shared" si="7"/>
        <v>0</v>
      </c>
      <c r="AA36" s="58"/>
      <c r="AB36" s="61">
        <v>37</v>
      </c>
      <c r="AC36" s="78">
        <v>0</v>
      </c>
      <c r="AD36" s="79">
        <v>0</v>
      </c>
      <c r="AE36" s="83" t="s">
        <v>85</v>
      </c>
      <c r="AF36" s="83" t="s">
        <v>85</v>
      </c>
      <c r="AG36" s="80" t="s">
        <v>85</v>
      </c>
      <c r="AH36" s="81" t="s">
        <v>85</v>
      </c>
      <c r="AI36" s="44"/>
      <c r="AJ36" s="130">
        <f t="shared" si="2"/>
        <v>4583.4799999999996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44071</v>
      </c>
      <c r="C37" s="93"/>
      <c r="D37" s="148">
        <f>'Suivi EAU-ELEC'!C43</f>
        <v>110</v>
      </c>
      <c r="E37" s="96"/>
      <c r="F37" s="219">
        <f t="shared" si="0"/>
        <v>1393.7</v>
      </c>
      <c r="G37" s="220"/>
      <c r="H37" s="221"/>
      <c r="I37" s="143"/>
      <c r="J37" s="94">
        <f>'Suivi EAU-ELEC'!E43</f>
        <v>1022</v>
      </c>
      <c r="K37" s="95">
        <f>'Suivi EAU-ELEC'!G43</f>
        <v>1611</v>
      </c>
      <c r="L37" s="95">
        <f>'Suivi EAU-ELEC'!I43</f>
        <v>626</v>
      </c>
      <c r="M37" s="82">
        <f t="shared" si="4"/>
        <v>3259</v>
      </c>
      <c r="N37" s="58"/>
      <c r="O37" s="59">
        <f t="shared" si="5"/>
        <v>3226.41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>
        <v>17028.62</v>
      </c>
      <c r="Y37" s="149">
        <f t="shared" si="1"/>
        <v>0</v>
      </c>
      <c r="Z37" s="64">
        <f t="shared" si="7"/>
        <v>0</v>
      </c>
      <c r="AA37" s="58"/>
      <c r="AB37" s="61">
        <v>35</v>
      </c>
      <c r="AC37" s="78">
        <v>0</v>
      </c>
      <c r="AD37" s="79">
        <v>0</v>
      </c>
      <c r="AE37" s="83" t="s">
        <v>85</v>
      </c>
      <c r="AF37" s="83" t="s">
        <v>85</v>
      </c>
      <c r="AG37" s="80" t="s">
        <v>85</v>
      </c>
      <c r="AH37" s="81" t="s">
        <v>85</v>
      </c>
      <c r="AI37" s="44"/>
      <c r="AJ37" s="130">
        <f t="shared" si="2"/>
        <v>4620.1099999999997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44072</v>
      </c>
      <c r="C38" s="93"/>
      <c r="D38" s="148">
        <f>'Suivi EAU-ELEC'!C44</f>
        <v>110</v>
      </c>
      <c r="E38" s="96"/>
      <c r="F38" s="203">
        <f t="shared" si="0"/>
        <v>1393.7</v>
      </c>
      <c r="G38" s="204"/>
      <c r="H38" s="205"/>
      <c r="I38" s="143"/>
      <c r="J38" s="94">
        <f>'Suivi EAU-ELEC'!E44</f>
        <v>866</v>
      </c>
      <c r="K38" s="95">
        <f>'Suivi EAU-ELEC'!G44</f>
        <v>1504</v>
      </c>
      <c r="L38" s="95">
        <f>'Suivi EAU-ELEC'!I44</f>
        <v>542</v>
      </c>
      <c r="M38" s="82">
        <f t="shared" si="4"/>
        <v>2912</v>
      </c>
      <c r="N38" s="58"/>
      <c r="O38" s="59">
        <f t="shared" si="5"/>
        <v>2882.88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>
        <v>17028.62</v>
      </c>
      <c r="Y38" s="149">
        <f t="shared" si="1"/>
        <v>0</v>
      </c>
      <c r="Z38" s="64">
        <f t="shared" si="7"/>
        <v>0</v>
      </c>
      <c r="AA38" s="58"/>
      <c r="AB38" s="61">
        <v>28</v>
      </c>
      <c r="AC38" s="78">
        <v>0</v>
      </c>
      <c r="AD38" s="79">
        <v>0</v>
      </c>
      <c r="AE38" s="83" t="s">
        <v>85</v>
      </c>
      <c r="AF38" s="83" t="s">
        <v>85</v>
      </c>
      <c r="AG38" s="80" t="s">
        <v>85</v>
      </c>
      <c r="AH38" s="81" t="s">
        <v>85</v>
      </c>
      <c r="AI38" s="44"/>
      <c r="AJ38" s="130">
        <f t="shared" si="2"/>
        <v>4276.58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44073</v>
      </c>
      <c r="C39" s="93"/>
      <c r="D39" s="148">
        <f>'Suivi EAU-ELEC'!C45</f>
        <v>100</v>
      </c>
      <c r="E39" s="96"/>
      <c r="F39" s="206">
        <f t="shared" si="0"/>
        <v>1267</v>
      </c>
      <c r="G39" s="207"/>
      <c r="H39" s="208"/>
      <c r="I39" s="143"/>
      <c r="J39" s="94">
        <f>'Suivi EAU-ELEC'!E45</f>
        <v>868</v>
      </c>
      <c r="K39" s="95">
        <f>'Suivi EAU-ELEC'!G45</f>
        <v>1322</v>
      </c>
      <c r="L39" s="95">
        <f>'Suivi EAU-ELEC'!I45</f>
        <v>517</v>
      </c>
      <c r="M39" s="82">
        <f t="shared" si="4"/>
        <v>2707</v>
      </c>
      <c r="N39" s="58"/>
      <c r="O39" s="59">
        <f t="shared" si="5"/>
        <v>2679.93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>
        <v>29</v>
      </c>
      <c r="AC39" s="78">
        <v>0</v>
      </c>
      <c r="AD39" s="79">
        <v>0</v>
      </c>
      <c r="AE39" s="83" t="s">
        <v>85</v>
      </c>
      <c r="AF39" s="83" t="s">
        <v>85</v>
      </c>
      <c r="AG39" s="80" t="s">
        <v>85</v>
      </c>
      <c r="AH39" s="81" t="s">
        <v>85</v>
      </c>
      <c r="AI39" s="44"/>
      <c r="AJ39" s="130">
        <f t="shared" si="2"/>
        <v>3946.93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44074</v>
      </c>
      <c r="C40" s="93"/>
      <c r="D40" s="148">
        <f>'Suivi EAU-ELEC'!C46</f>
        <v>100</v>
      </c>
      <c r="E40" s="150"/>
      <c r="F40" s="209">
        <f t="shared" si="0"/>
        <v>1267</v>
      </c>
      <c r="G40" s="210"/>
      <c r="H40" s="211"/>
      <c r="I40" s="143"/>
      <c r="J40" s="94">
        <f>'Suivi EAU-ELEC'!E46</f>
        <v>1081</v>
      </c>
      <c r="K40" s="95">
        <f>'Suivi EAU-ELEC'!G46</f>
        <v>1668</v>
      </c>
      <c r="L40" s="95">
        <f>'Suivi EAU-ELEC'!I46</f>
        <v>627</v>
      </c>
      <c r="M40" s="82">
        <f t="shared" si="4"/>
        <v>3376</v>
      </c>
      <c r="N40" s="58"/>
      <c r="O40" s="59">
        <f t="shared" si="5"/>
        <v>3342.2400000000002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>
        <v>35</v>
      </c>
      <c r="AC40" s="78">
        <v>0</v>
      </c>
      <c r="AD40" s="79">
        <v>0</v>
      </c>
      <c r="AE40" s="83" t="s">
        <v>85</v>
      </c>
      <c r="AF40" s="83" t="s">
        <v>85</v>
      </c>
      <c r="AG40" s="80" t="s">
        <v>85</v>
      </c>
      <c r="AH40" s="81" t="s">
        <v>85</v>
      </c>
      <c r="AI40" s="44"/>
      <c r="AJ40" s="131">
        <f t="shared" si="2"/>
        <v>4609.24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100</v>
      </c>
      <c r="E41" s="102"/>
      <c r="F41" s="212">
        <f>SUM(F10:H40)</f>
        <v>32815.300000000003</v>
      </c>
      <c r="G41" s="213"/>
      <c r="H41" s="214"/>
      <c r="I41" s="102"/>
      <c r="J41" s="104">
        <f>SUM(J10:J40)</f>
        <v>29729</v>
      </c>
      <c r="K41" s="104">
        <f>SUM(K10:K40)</f>
        <v>48598</v>
      </c>
      <c r="L41" s="104">
        <f>SUM(L10:L40)</f>
        <v>19239</v>
      </c>
      <c r="M41" s="104">
        <f>SUM(M10:M40)</f>
        <v>97566</v>
      </c>
      <c r="N41" s="103"/>
      <c r="O41" s="104">
        <f>SUM(O10:O40)</f>
        <v>96590.339999999982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0</v>
      </c>
      <c r="V41" s="58"/>
      <c r="W41" s="104">
        <f>SUM(W10:W40)</f>
        <v>0</v>
      </c>
      <c r="X41" s="140"/>
      <c r="Y41" s="104">
        <f>SUM(Y10:Y40)</f>
        <v>2.9999999998835847E-2</v>
      </c>
      <c r="Z41" s="104">
        <f>SUM(Z10:Z40)</f>
        <v>15.899999999382999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120865.36999999938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29729</v>
      </c>
      <c r="H43" s="187"/>
      <c r="I43" s="188"/>
      <c r="J43" s="189">
        <f>G43*F43</f>
        <v>19292.634550000002</v>
      </c>
      <c r="K43" s="190"/>
      <c r="L43" s="191">
        <f>J43+J44+J45</f>
        <v>86244.65221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48598</v>
      </c>
      <c r="H44" s="187"/>
      <c r="I44" s="188"/>
      <c r="J44" s="189">
        <f>G44*F44</f>
        <v>43060.257899999997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19239</v>
      </c>
      <c r="H45" s="201"/>
      <c r="I45" s="202"/>
      <c r="J45" s="189">
        <f>G45*F45</f>
        <v>23891.759760000001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100</v>
      </c>
      <c r="H46" s="164"/>
      <c r="I46" s="165"/>
      <c r="J46" s="166">
        <f>G46*F46</f>
        <v>1267</v>
      </c>
      <c r="K46" s="167"/>
      <c r="L46" s="168">
        <f>J46</f>
        <v>1267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0</v>
      </c>
      <c r="H47" s="175"/>
      <c r="I47" s="176"/>
      <c r="J47" s="174">
        <f>G47*F47</f>
        <v>0</v>
      </c>
      <c r="K47" s="176"/>
      <c r="L47" s="177">
        <f>J47</f>
        <v>0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B40" sqref="B40:H4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8"/>
      <c r="B1" s="278"/>
      <c r="C1" s="279"/>
      <c r="D1" s="280" t="s">
        <v>57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A1" s="283"/>
      <c r="AB1" s="284"/>
      <c r="AC1" s="284"/>
    </row>
    <row r="2" spans="1:31" ht="41.25" customHeight="1" thickBot="1" x14ac:dyDescent="0.4">
      <c r="A2" s="48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8"/>
      <c r="Q2" s="285">
        <v>803</v>
      </c>
      <c r="R2" s="286"/>
      <c r="S2" s="286"/>
      <c r="T2" s="286">
        <v>519</v>
      </c>
      <c r="U2" s="286"/>
      <c r="V2" s="286"/>
      <c r="W2" s="286">
        <v>800</v>
      </c>
      <c r="X2" s="286"/>
      <c r="Y2" s="286"/>
      <c r="Z2" s="286">
        <v>802</v>
      </c>
      <c r="AA2" s="286"/>
      <c r="AB2" s="289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44037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72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44038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44039</v>
      </c>
      <c r="B6" s="20">
        <v>76</v>
      </c>
      <c r="C6" s="18">
        <f t="shared" si="0"/>
        <v>1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0.25</v>
      </c>
      <c r="M6" s="18">
        <f t="shared" si="7"/>
        <v>28000</v>
      </c>
      <c r="N6" s="18">
        <f t="shared" si="8"/>
        <v>70</v>
      </c>
      <c r="O6" s="18">
        <f t="shared" si="9"/>
        <v>37.1</v>
      </c>
      <c r="P6" s="21">
        <f t="shared" si="10"/>
        <v>290.63398000000001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44040</v>
      </c>
      <c r="B7" s="20">
        <v>75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299</v>
      </c>
      <c r="K7" s="18">
        <f t="shared" si="5"/>
        <v>74.75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44041</v>
      </c>
      <c r="B8" s="20">
        <v>75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299</v>
      </c>
      <c r="K8" s="18">
        <f t="shared" si="5"/>
        <v>74.75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44042</v>
      </c>
      <c r="B9" s="20">
        <v>75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299</v>
      </c>
      <c r="K9" s="18">
        <f t="shared" si="5"/>
        <v>74.75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44043</v>
      </c>
      <c r="B10" s="20">
        <v>75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299</v>
      </c>
      <c r="K10" s="18">
        <f t="shared" si="5"/>
        <v>74.75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44044</v>
      </c>
      <c r="B11" s="20">
        <v>75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299</v>
      </c>
      <c r="K11" s="18">
        <f t="shared" si="5"/>
        <v>74.75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44045</v>
      </c>
      <c r="B12" s="20">
        <v>75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72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299</v>
      </c>
      <c r="K12" s="18">
        <f t="shared" ref="K12:K42" si="20">J12/4</f>
        <v>74.75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44046</v>
      </c>
      <c r="B13" s="20">
        <v>75</v>
      </c>
      <c r="C13" s="18">
        <f t="shared" ref="C13" si="22">IF(AC13&gt;0,((B13-R13)+(S13-B14)),IF(B14=0, ,(B13-B14)))</f>
        <v>0</v>
      </c>
      <c r="D13" s="20">
        <v>77</v>
      </c>
      <c r="E13" s="18">
        <f t="shared" ref="E13" si="23">IF(AC13&gt;0,((D13-U13)+(V13-D14)),IF(D14=0, ,(D13-D14)))</f>
        <v>0</v>
      </c>
      <c r="F13" s="20">
        <v>72</v>
      </c>
      <c r="G13" s="18">
        <f t="shared" ref="G13" si="24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9"/>
        <v>299</v>
      </c>
      <c r="K13" s="18">
        <f t="shared" si="20"/>
        <v>74.75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44047</v>
      </c>
      <c r="B14" s="20">
        <v>75</v>
      </c>
      <c r="C14" s="18">
        <f t="shared" ref="C14:C23" si="25">IF(AC14&gt;0,((B14-R14)+(S14-B15)),IF(B15=0, ,(B14-B15)))</f>
        <v>0</v>
      </c>
      <c r="D14" s="20">
        <v>77</v>
      </c>
      <c r="E14" s="18">
        <f t="shared" ref="E14:E23" si="26">IF(AC14&gt;0,((D14-U14)+(V14-D15)),IF(D15=0, ,(D14-D15)))</f>
        <v>0</v>
      </c>
      <c r="F14" s="20">
        <v>72</v>
      </c>
      <c r="G14" s="18">
        <f t="shared" ref="G14:G23" si="27">IF(AC14&gt;0,((F14-X14)+(Y14-F15)),IF(F15=0, ,(F14-F15)))</f>
        <v>0</v>
      </c>
      <c r="H14" s="20">
        <v>75</v>
      </c>
      <c r="I14" s="18">
        <f t="shared" si="3"/>
        <v>0</v>
      </c>
      <c r="J14" s="18">
        <f t="shared" si="19"/>
        <v>299</v>
      </c>
      <c r="K14" s="18">
        <f t="shared" si="20"/>
        <v>74.75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8">(R14+U14+X14+AA14)/4</f>
        <v>0</v>
      </c>
      <c r="AE14" s="49">
        <f t="shared" ref="AE14:AE42" si="29">(S14+V14+Y14+AB14)/4</f>
        <v>0</v>
      </c>
    </row>
    <row r="15" spans="1:31" ht="32.25" customHeight="1" x14ac:dyDescent="0.3">
      <c r="A15" s="19">
        <f t="shared" si="13"/>
        <v>44048</v>
      </c>
      <c r="B15" s="20">
        <v>75</v>
      </c>
      <c r="C15" s="18">
        <f t="shared" si="25"/>
        <v>0</v>
      </c>
      <c r="D15" s="20">
        <v>77</v>
      </c>
      <c r="E15" s="18">
        <f t="shared" si="26"/>
        <v>0</v>
      </c>
      <c r="F15" s="20">
        <v>72</v>
      </c>
      <c r="G15" s="18">
        <f t="shared" si="27"/>
        <v>0</v>
      </c>
      <c r="H15" s="20">
        <v>75</v>
      </c>
      <c r="I15" s="18">
        <f t="shared" si="3"/>
        <v>0</v>
      </c>
      <c r="J15" s="18">
        <f t="shared" si="19"/>
        <v>299</v>
      </c>
      <c r="K15" s="18">
        <f t="shared" si="20"/>
        <v>74.75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8"/>
        <v>0</v>
      </c>
      <c r="AE15" s="49">
        <f t="shared" si="29"/>
        <v>0</v>
      </c>
    </row>
    <row r="16" spans="1:31" ht="32.25" customHeight="1" x14ac:dyDescent="0.3">
      <c r="A16" s="19">
        <f t="shared" si="13"/>
        <v>44049</v>
      </c>
      <c r="B16" s="20">
        <v>75</v>
      </c>
      <c r="C16" s="18">
        <f t="shared" si="25"/>
        <v>0</v>
      </c>
      <c r="D16" s="20">
        <v>77</v>
      </c>
      <c r="E16" s="18">
        <f t="shared" si="26"/>
        <v>0</v>
      </c>
      <c r="F16" s="20">
        <v>72</v>
      </c>
      <c r="G16" s="18">
        <f t="shared" si="27"/>
        <v>0</v>
      </c>
      <c r="H16" s="20">
        <v>75</v>
      </c>
      <c r="I16" s="18">
        <f t="shared" si="3"/>
        <v>0</v>
      </c>
      <c r="J16" s="18">
        <f t="shared" si="19"/>
        <v>299</v>
      </c>
      <c r="K16" s="18">
        <f t="shared" si="20"/>
        <v>74.75</v>
      </c>
      <c r="L16" s="18">
        <f t="shared" si="6"/>
        <v>0</v>
      </c>
      <c r="M16" s="18">
        <f t="shared" si="7"/>
        <v>28000</v>
      </c>
      <c r="N16" s="18">
        <f t="shared" ref="N16:N42" si="30">L16*M16/100</f>
        <v>0</v>
      </c>
      <c r="O16" s="18">
        <f t="shared" ref="O16:O42" si="31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8"/>
        <v>0</v>
      </c>
      <c r="AE16" s="49">
        <f t="shared" si="29"/>
        <v>0</v>
      </c>
    </row>
    <row r="17" spans="1:31" ht="32.25" customHeight="1" x14ac:dyDescent="0.3">
      <c r="A17" s="19">
        <f t="shared" si="13"/>
        <v>44050</v>
      </c>
      <c r="B17" s="20">
        <v>75</v>
      </c>
      <c r="C17" s="18">
        <f t="shared" si="25"/>
        <v>0</v>
      </c>
      <c r="D17" s="20">
        <v>77</v>
      </c>
      <c r="E17" s="18">
        <f t="shared" si="26"/>
        <v>0</v>
      </c>
      <c r="F17" s="20">
        <v>72</v>
      </c>
      <c r="G17" s="18">
        <f t="shared" si="27"/>
        <v>0</v>
      </c>
      <c r="H17" s="20">
        <v>75</v>
      </c>
      <c r="I17" s="18">
        <f t="shared" si="3"/>
        <v>0</v>
      </c>
      <c r="J17" s="18">
        <f t="shared" si="19"/>
        <v>299</v>
      </c>
      <c r="K17" s="18">
        <f t="shared" si="20"/>
        <v>74.75</v>
      </c>
      <c r="L17" s="18">
        <f t="shared" ref="L17:L42" si="32">IF(AC17&gt;0,((K17-AD17)+(AE17-K18)),IF(K18=0, ,(K17-K18)))</f>
        <v>0</v>
      </c>
      <c r="M17" s="18">
        <f t="shared" si="7"/>
        <v>28000</v>
      </c>
      <c r="N17" s="18">
        <f t="shared" si="30"/>
        <v>0</v>
      </c>
      <c r="O17" s="18">
        <f t="shared" si="31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8"/>
        <v>0</v>
      </c>
      <c r="AE17" s="49">
        <f t="shared" si="29"/>
        <v>0</v>
      </c>
    </row>
    <row r="18" spans="1:31" ht="32.25" customHeight="1" x14ac:dyDescent="0.3">
      <c r="A18" s="19">
        <f t="shared" si="13"/>
        <v>44051</v>
      </c>
      <c r="B18" s="20">
        <v>75</v>
      </c>
      <c r="C18" s="18">
        <f t="shared" si="25"/>
        <v>0</v>
      </c>
      <c r="D18" s="20">
        <v>77</v>
      </c>
      <c r="E18" s="18">
        <f t="shared" si="26"/>
        <v>0</v>
      </c>
      <c r="F18" s="20">
        <v>72</v>
      </c>
      <c r="G18" s="18">
        <f t="shared" si="27"/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9"/>
        <v>299</v>
      </c>
      <c r="K18" s="18">
        <f t="shared" si="20"/>
        <v>74.75</v>
      </c>
      <c r="L18" s="18">
        <f t="shared" si="32"/>
        <v>0</v>
      </c>
      <c r="M18" s="18">
        <f t="shared" si="7"/>
        <v>28000</v>
      </c>
      <c r="N18" s="18">
        <f t="shared" si="30"/>
        <v>0</v>
      </c>
      <c r="O18" s="18">
        <f t="shared" si="31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8"/>
        <v>0</v>
      </c>
      <c r="AE18" s="49">
        <f t="shared" si="29"/>
        <v>0</v>
      </c>
    </row>
    <row r="19" spans="1:31" ht="32.25" customHeight="1" x14ac:dyDescent="0.3">
      <c r="A19" s="19">
        <f t="shared" si="13"/>
        <v>44052</v>
      </c>
      <c r="B19" s="20">
        <v>75</v>
      </c>
      <c r="C19" s="18">
        <f t="shared" si="25"/>
        <v>0</v>
      </c>
      <c r="D19" s="20">
        <v>77</v>
      </c>
      <c r="E19" s="18">
        <f t="shared" si="26"/>
        <v>0</v>
      </c>
      <c r="F19" s="20">
        <v>72</v>
      </c>
      <c r="G19" s="18">
        <f t="shared" si="27"/>
        <v>0</v>
      </c>
      <c r="H19" s="20">
        <v>75</v>
      </c>
      <c r="I19" s="18">
        <f t="shared" si="33"/>
        <v>0</v>
      </c>
      <c r="J19" s="18">
        <f t="shared" si="19"/>
        <v>299</v>
      </c>
      <c r="K19" s="18">
        <f t="shared" si="20"/>
        <v>74.75</v>
      </c>
      <c r="L19" s="18">
        <f t="shared" si="32"/>
        <v>0</v>
      </c>
      <c r="M19" s="18">
        <f t="shared" si="7"/>
        <v>28000</v>
      </c>
      <c r="N19" s="18">
        <f t="shared" si="30"/>
        <v>0</v>
      </c>
      <c r="O19" s="18">
        <f t="shared" si="31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8"/>
        <v>0</v>
      </c>
      <c r="AE19" s="49">
        <f t="shared" si="29"/>
        <v>0</v>
      </c>
    </row>
    <row r="20" spans="1:31" ht="32.25" customHeight="1" x14ac:dyDescent="0.3">
      <c r="A20" s="19">
        <f t="shared" si="13"/>
        <v>44053</v>
      </c>
      <c r="B20" s="20">
        <v>75</v>
      </c>
      <c r="C20" s="18">
        <f t="shared" si="25"/>
        <v>0</v>
      </c>
      <c r="D20" s="20">
        <v>77</v>
      </c>
      <c r="E20" s="18">
        <f t="shared" si="26"/>
        <v>0</v>
      </c>
      <c r="F20" s="20">
        <v>72</v>
      </c>
      <c r="G20" s="18">
        <f t="shared" si="27"/>
        <v>0</v>
      </c>
      <c r="H20" s="20">
        <v>75</v>
      </c>
      <c r="I20" s="18">
        <f t="shared" si="33"/>
        <v>0</v>
      </c>
      <c r="J20" s="18">
        <f t="shared" si="19"/>
        <v>299</v>
      </c>
      <c r="K20" s="18">
        <f t="shared" si="20"/>
        <v>74.75</v>
      </c>
      <c r="L20" s="18">
        <f t="shared" si="32"/>
        <v>0</v>
      </c>
      <c r="M20" s="18">
        <f t="shared" si="7"/>
        <v>28000</v>
      </c>
      <c r="N20" s="18">
        <f t="shared" si="30"/>
        <v>0</v>
      </c>
      <c r="O20" s="18">
        <f t="shared" si="31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8"/>
        <v>0</v>
      </c>
      <c r="AE20" s="49">
        <f t="shared" si="29"/>
        <v>0</v>
      </c>
    </row>
    <row r="21" spans="1:31" ht="32.25" customHeight="1" x14ac:dyDescent="0.3">
      <c r="A21" s="19">
        <f t="shared" si="13"/>
        <v>44054</v>
      </c>
      <c r="B21" s="20">
        <v>75</v>
      </c>
      <c r="C21" s="18">
        <f t="shared" si="25"/>
        <v>0</v>
      </c>
      <c r="D21" s="20">
        <v>77</v>
      </c>
      <c r="E21" s="18">
        <f t="shared" si="26"/>
        <v>0</v>
      </c>
      <c r="F21" s="20">
        <v>72</v>
      </c>
      <c r="G21" s="18">
        <f t="shared" si="27"/>
        <v>0</v>
      </c>
      <c r="H21" s="20">
        <v>75</v>
      </c>
      <c r="I21" s="18">
        <f t="shared" si="33"/>
        <v>0</v>
      </c>
      <c r="J21" s="18">
        <f t="shared" si="19"/>
        <v>299</v>
      </c>
      <c r="K21" s="18">
        <f t="shared" si="20"/>
        <v>74.75</v>
      </c>
      <c r="L21" s="18">
        <f t="shared" si="32"/>
        <v>0</v>
      </c>
      <c r="M21" s="18">
        <f t="shared" si="7"/>
        <v>28000</v>
      </c>
      <c r="N21" s="18">
        <f t="shared" si="30"/>
        <v>0</v>
      </c>
      <c r="O21" s="18">
        <f t="shared" si="31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8"/>
        <v>0</v>
      </c>
      <c r="AE21" s="49">
        <f t="shared" si="29"/>
        <v>0</v>
      </c>
    </row>
    <row r="22" spans="1:31" ht="32.25" customHeight="1" x14ac:dyDescent="0.3">
      <c r="A22" s="19">
        <f t="shared" si="13"/>
        <v>44055</v>
      </c>
      <c r="B22" s="20">
        <v>75</v>
      </c>
      <c r="C22" s="18">
        <f t="shared" si="25"/>
        <v>0</v>
      </c>
      <c r="D22" s="20">
        <v>77</v>
      </c>
      <c r="E22" s="18">
        <f t="shared" si="26"/>
        <v>0</v>
      </c>
      <c r="F22" s="20">
        <v>72</v>
      </c>
      <c r="G22" s="18">
        <f t="shared" si="27"/>
        <v>0</v>
      </c>
      <c r="H22" s="20">
        <v>75</v>
      </c>
      <c r="I22" s="18">
        <f t="shared" si="33"/>
        <v>0</v>
      </c>
      <c r="J22" s="18">
        <f t="shared" si="19"/>
        <v>299</v>
      </c>
      <c r="K22" s="18">
        <f t="shared" si="20"/>
        <v>74.75</v>
      </c>
      <c r="L22" s="18">
        <f t="shared" si="32"/>
        <v>0</v>
      </c>
      <c r="M22" s="18">
        <f t="shared" si="7"/>
        <v>28000</v>
      </c>
      <c r="N22" s="18">
        <f t="shared" si="30"/>
        <v>0</v>
      </c>
      <c r="O22" s="18">
        <f t="shared" si="31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8"/>
        <v>0</v>
      </c>
      <c r="AE22" s="49">
        <f t="shared" si="29"/>
        <v>0</v>
      </c>
    </row>
    <row r="23" spans="1:31" ht="32.25" customHeight="1" x14ac:dyDescent="0.3">
      <c r="A23" s="19">
        <f t="shared" si="13"/>
        <v>44056</v>
      </c>
      <c r="B23" s="20">
        <v>75</v>
      </c>
      <c r="C23" s="18">
        <f t="shared" si="25"/>
        <v>0</v>
      </c>
      <c r="D23" s="20">
        <v>77</v>
      </c>
      <c r="E23" s="18">
        <f t="shared" si="26"/>
        <v>0</v>
      </c>
      <c r="F23" s="20">
        <v>72</v>
      </c>
      <c r="G23" s="18">
        <f t="shared" si="27"/>
        <v>0</v>
      </c>
      <c r="H23" s="20">
        <v>75</v>
      </c>
      <c r="I23" s="18">
        <f t="shared" si="33"/>
        <v>0</v>
      </c>
      <c r="J23" s="18">
        <f t="shared" si="19"/>
        <v>299</v>
      </c>
      <c r="K23" s="18">
        <f t="shared" si="20"/>
        <v>74.75</v>
      </c>
      <c r="L23" s="18">
        <f t="shared" si="32"/>
        <v>0</v>
      </c>
      <c r="M23" s="18">
        <f t="shared" si="7"/>
        <v>28000</v>
      </c>
      <c r="N23" s="18">
        <f t="shared" si="30"/>
        <v>0</v>
      </c>
      <c r="O23" s="18">
        <f t="shared" si="31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8"/>
        <v>0</v>
      </c>
      <c r="AE23" s="49">
        <f t="shared" si="29"/>
        <v>0</v>
      </c>
    </row>
    <row r="24" spans="1:31" ht="32.25" customHeight="1" x14ac:dyDescent="0.3">
      <c r="A24" s="19">
        <f t="shared" si="13"/>
        <v>44057</v>
      </c>
      <c r="B24" s="20">
        <v>75</v>
      </c>
      <c r="C24" s="18">
        <f t="shared" ref="C24" si="34">IF(AC24&gt;0,((B24-R24)+(S24-B25)),IF(B25=0, ,(B24-B25)))</f>
        <v>0</v>
      </c>
      <c r="D24" s="20">
        <v>77</v>
      </c>
      <c r="E24" s="18">
        <f t="shared" ref="E24" si="35">IF(AC24&gt;0,((D24-U24)+(V24-D25)),IF(D25=0, ,(D24-D25)))</f>
        <v>0</v>
      </c>
      <c r="F24" s="20">
        <v>72</v>
      </c>
      <c r="G24" s="18">
        <f t="shared" ref="G24" si="36">IF(AC24&gt;0,((F24-X24)+(Y24-F25)),IF(F25=0, ,(F24-F25)))</f>
        <v>0</v>
      </c>
      <c r="H24" s="20">
        <v>75</v>
      </c>
      <c r="I24" s="18">
        <f t="shared" si="33"/>
        <v>0</v>
      </c>
      <c r="J24" s="18">
        <f t="shared" si="19"/>
        <v>299</v>
      </c>
      <c r="K24" s="18">
        <f t="shared" si="20"/>
        <v>74.75</v>
      </c>
      <c r="L24" s="18">
        <f t="shared" si="32"/>
        <v>0</v>
      </c>
      <c r="M24" s="18">
        <f t="shared" si="7"/>
        <v>28000</v>
      </c>
      <c r="N24" s="18">
        <f t="shared" si="30"/>
        <v>0</v>
      </c>
      <c r="O24" s="18">
        <f t="shared" si="31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8"/>
        <v>0</v>
      </c>
      <c r="AE24" s="49">
        <f t="shared" si="29"/>
        <v>0</v>
      </c>
    </row>
    <row r="25" spans="1:31" ht="32.25" customHeight="1" x14ac:dyDescent="0.3">
      <c r="A25" s="19">
        <f t="shared" si="13"/>
        <v>44058</v>
      </c>
      <c r="B25" s="20">
        <v>75</v>
      </c>
      <c r="C25" s="18">
        <f t="shared" ref="C25" si="37">IF(AC25&gt;0,((B25-R25)+(S25-B26)),IF(B26=0, ,(B25-B26)))</f>
        <v>0</v>
      </c>
      <c r="D25" s="20">
        <v>77</v>
      </c>
      <c r="E25" s="18">
        <f t="shared" ref="E25" si="38">IF(AC25&gt;0,((D25-U25)+(V25-D26)),IF(D26=0, ,(D25-D26)))</f>
        <v>0</v>
      </c>
      <c r="F25" s="20">
        <v>72</v>
      </c>
      <c r="G25" s="18">
        <f t="shared" ref="G25" si="39">IF(AC25&gt;0,((F25-X25)+(Y25-F26)),IF(F26=0, ,(F25-F26)))</f>
        <v>0</v>
      </c>
      <c r="H25" s="20">
        <v>75</v>
      </c>
      <c r="I25" s="18">
        <f t="shared" si="33"/>
        <v>0</v>
      </c>
      <c r="J25" s="18">
        <f t="shared" si="19"/>
        <v>299</v>
      </c>
      <c r="K25" s="18">
        <f t="shared" si="20"/>
        <v>74.75</v>
      </c>
      <c r="L25" s="18">
        <f t="shared" si="32"/>
        <v>0</v>
      </c>
      <c r="M25" s="18">
        <f t="shared" si="7"/>
        <v>28000</v>
      </c>
      <c r="N25" s="18">
        <f t="shared" si="30"/>
        <v>0</v>
      </c>
      <c r="O25" s="18">
        <f t="shared" si="31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8"/>
        <v>0</v>
      </c>
      <c r="AE25" s="49">
        <f t="shared" si="29"/>
        <v>0</v>
      </c>
    </row>
    <row r="26" spans="1:31" ht="32.25" customHeight="1" x14ac:dyDescent="0.3">
      <c r="A26" s="19">
        <f t="shared" si="13"/>
        <v>44059</v>
      </c>
      <c r="B26" s="20">
        <v>75</v>
      </c>
      <c r="C26" s="18">
        <f t="shared" ref="C26:C38" si="40">IF(AC26&gt;0,((B26-R26)+(S26-B27)),IF(B27=0, ,(B26-B27)))</f>
        <v>0</v>
      </c>
      <c r="D26" s="20">
        <v>77</v>
      </c>
      <c r="E26" s="18">
        <f t="shared" ref="E26:E38" si="41">IF(AC26&gt;0,((D26-U26)+(V26-D27)),IF(D27=0, ,(D26-D27)))</f>
        <v>0</v>
      </c>
      <c r="F26" s="20">
        <v>72</v>
      </c>
      <c r="G26" s="18">
        <f t="shared" ref="G26:G38" si="42">IF(AC26&gt;0,((F26-X26)+(Y26-F27)),IF(F27=0, ,(F26-F27)))</f>
        <v>0</v>
      </c>
      <c r="H26" s="20">
        <v>75</v>
      </c>
      <c r="I26" s="18">
        <f t="shared" si="33"/>
        <v>0</v>
      </c>
      <c r="J26" s="18">
        <f t="shared" si="19"/>
        <v>299</v>
      </c>
      <c r="K26" s="18">
        <f t="shared" si="20"/>
        <v>74.75</v>
      </c>
      <c r="L26" s="18">
        <f t="shared" si="32"/>
        <v>0</v>
      </c>
      <c r="M26" s="18">
        <f t="shared" si="7"/>
        <v>28000</v>
      </c>
      <c r="N26" s="18">
        <f t="shared" si="30"/>
        <v>0</v>
      </c>
      <c r="O26" s="18">
        <f t="shared" si="31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8"/>
        <v>0</v>
      </c>
      <c r="AE26" s="49">
        <f t="shared" si="29"/>
        <v>0</v>
      </c>
    </row>
    <row r="27" spans="1:31" ht="32.25" customHeight="1" x14ac:dyDescent="0.3">
      <c r="A27" s="19">
        <f t="shared" si="13"/>
        <v>44060</v>
      </c>
      <c r="B27" s="20">
        <v>75</v>
      </c>
      <c r="C27" s="18">
        <f t="shared" si="40"/>
        <v>0</v>
      </c>
      <c r="D27" s="20">
        <v>77</v>
      </c>
      <c r="E27" s="18">
        <f t="shared" si="41"/>
        <v>0</v>
      </c>
      <c r="F27" s="20">
        <v>72</v>
      </c>
      <c r="G27" s="18">
        <f t="shared" si="42"/>
        <v>0</v>
      </c>
      <c r="H27" s="20">
        <v>75</v>
      </c>
      <c r="I27" s="18">
        <f t="shared" si="33"/>
        <v>0</v>
      </c>
      <c r="J27" s="18">
        <f t="shared" si="19"/>
        <v>299</v>
      </c>
      <c r="K27" s="18">
        <f t="shared" si="20"/>
        <v>74.75</v>
      </c>
      <c r="L27" s="18">
        <f t="shared" si="32"/>
        <v>0</v>
      </c>
      <c r="M27" s="18">
        <f t="shared" si="7"/>
        <v>28000</v>
      </c>
      <c r="N27" s="18">
        <f t="shared" si="30"/>
        <v>0</v>
      </c>
      <c r="O27" s="18">
        <f t="shared" si="31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8"/>
        <v>0</v>
      </c>
      <c r="AE27" s="49">
        <f t="shared" si="29"/>
        <v>0</v>
      </c>
    </row>
    <row r="28" spans="1:31" ht="32.25" customHeight="1" x14ac:dyDescent="0.3">
      <c r="A28" s="19">
        <f t="shared" si="13"/>
        <v>44061</v>
      </c>
      <c r="B28" s="20">
        <v>75</v>
      </c>
      <c r="C28" s="18">
        <f t="shared" si="40"/>
        <v>0</v>
      </c>
      <c r="D28" s="20">
        <v>77</v>
      </c>
      <c r="E28" s="18">
        <f t="shared" si="41"/>
        <v>0</v>
      </c>
      <c r="F28" s="20">
        <v>72</v>
      </c>
      <c r="G28" s="18">
        <f t="shared" si="42"/>
        <v>0</v>
      </c>
      <c r="H28" s="20">
        <v>75</v>
      </c>
      <c r="I28" s="18">
        <f t="shared" si="33"/>
        <v>0</v>
      </c>
      <c r="J28" s="18">
        <f t="shared" si="19"/>
        <v>299</v>
      </c>
      <c r="K28" s="18">
        <f t="shared" si="20"/>
        <v>74.75</v>
      </c>
      <c r="L28" s="18">
        <f t="shared" si="32"/>
        <v>0</v>
      </c>
      <c r="M28" s="18">
        <f t="shared" si="7"/>
        <v>28000</v>
      </c>
      <c r="N28" s="18">
        <f t="shared" si="30"/>
        <v>0</v>
      </c>
      <c r="O28" s="18">
        <f t="shared" si="31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8"/>
        <v>0</v>
      </c>
      <c r="AE28" s="49">
        <f t="shared" si="29"/>
        <v>0</v>
      </c>
    </row>
    <row r="29" spans="1:31" ht="32.25" customHeight="1" x14ac:dyDescent="0.3">
      <c r="A29" s="19">
        <f t="shared" si="13"/>
        <v>44062</v>
      </c>
      <c r="B29" s="20">
        <v>75</v>
      </c>
      <c r="C29" s="18">
        <f t="shared" si="40"/>
        <v>0</v>
      </c>
      <c r="D29" s="20">
        <v>77</v>
      </c>
      <c r="E29" s="18">
        <f t="shared" si="41"/>
        <v>0</v>
      </c>
      <c r="F29" s="20">
        <v>72</v>
      </c>
      <c r="G29" s="18">
        <f t="shared" si="42"/>
        <v>0</v>
      </c>
      <c r="H29" s="20">
        <v>75</v>
      </c>
      <c r="I29" s="18">
        <f t="shared" si="33"/>
        <v>0</v>
      </c>
      <c r="J29" s="18">
        <f t="shared" si="19"/>
        <v>299</v>
      </c>
      <c r="K29" s="18">
        <f t="shared" si="20"/>
        <v>74.75</v>
      </c>
      <c r="L29" s="18">
        <f t="shared" si="32"/>
        <v>0</v>
      </c>
      <c r="M29" s="18">
        <f t="shared" si="7"/>
        <v>28000</v>
      </c>
      <c r="N29" s="18">
        <f t="shared" si="30"/>
        <v>0</v>
      </c>
      <c r="O29" s="18">
        <f t="shared" si="31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8"/>
        <v>0</v>
      </c>
      <c r="AE29" s="49">
        <f t="shared" si="29"/>
        <v>0</v>
      </c>
    </row>
    <row r="30" spans="1:31" ht="32.25" customHeight="1" x14ac:dyDescent="0.3">
      <c r="A30" s="19">
        <f t="shared" si="13"/>
        <v>44063</v>
      </c>
      <c r="B30" s="20">
        <v>75</v>
      </c>
      <c r="C30" s="18">
        <f t="shared" si="40"/>
        <v>0</v>
      </c>
      <c r="D30" s="20">
        <v>77</v>
      </c>
      <c r="E30" s="18">
        <f t="shared" si="41"/>
        <v>0</v>
      </c>
      <c r="F30" s="20">
        <v>72</v>
      </c>
      <c r="G30" s="18">
        <f t="shared" si="42"/>
        <v>0</v>
      </c>
      <c r="H30" s="20">
        <v>75</v>
      </c>
      <c r="I30" s="18">
        <f t="shared" si="33"/>
        <v>0</v>
      </c>
      <c r="J30" s="18">
        <f t="shared" si="19"/>
        <v>299</v>
      </c>
      <c r="K30" s="18">
        <f t="shared" si="20"/>
        <v>74.75</v>
      </c>
      <c r="L30" s="18">
        <f t="shared" si="32"/>
        <v>0</v>
      </c>
      <c r="M30" s="18">
        <f t="shared" si="7"/>
        <v>28000</v>
      </c>
      <c r="N30" s="18">
        <f t="shared" si="30"/>
        <v>0</v>
      </c>
      <c r="O30" s="18">
        <f t="shared" si="31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8"/>
        <v>0</v>
      </c>
      <c r="AE30" s="49">
        <f t="shared" si="29"/>
        <v>0</v>
      </c>
    </row>
    <row r="31" spans="1:31" ht="32.25" customHeight="1" x14ac:dyDescent="0.3">
      <c r="A31" s="19">
        <f t="shared" si="13"/>
        <v>44064</v>
      </c>
      <c r="B31" s="20">
        <v>75</v>
      </c>
      <c r="C31" s="18">
        <f t="shared" si="40"/>
        <v>0</v>
      </c>
      <c r="D31" s="20">
        <v>77</v>
      </c>
      <c r="E31" s="18">
        <f t="shared" si="41"/>
        <v>0</v>
      </c>
      <c r="F31" s="20">
        <v>72</v>
      </c>
      <c r="G31" s="18">
        <f t="shared" si="42"/>
        <v>0</v>
      </c>
      <c r="H31" s="20">
        <v>75</v>
      </c>
      <c r="I31" s="18">
        <f t="shared" si="33"/>
        <v>0</v>
      </c>
      <c r="J31" s="18">
        <f t="shared" si="19"/>
        <v>299</v>
      </c>
      <c r="K31" s="18">
        <f t="shared" si="20"/>
        <v>74.75</v>
      </c>
      <c r="L31" s="18">
        <f t="shared" si="32"/>
        <v>0</v>
      </c>
      <c r="M31" s="18">
        <f t="shared" si="7"/>
        <v>28000</v>
      </c>
      <c r="N31" s="18">
        <f t="shared" si="30"/>
        <v>0</v>
      </c>
      <c r="O31" s="18">
        <f t="shared" si="31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8"/>
        <v>0</v>
      </c>
      <c r="AE31" s="49">
        <f t="shared" si="29"/>
        <v>0</v>
      </c>
    </row>
    <row r="32" spans="1:31" ht="32.25" customHeight="1" x14ac:dyDescent="0.3">
      <c r="A32" s="19">
        <f t="shared" si="13"/>
        <v>44065</v>
      </c>
      <c r="B32" s="20">
        <v>75</v>
      </c>
      <c r="C32" s="18">
        <f t="shared" si="40"/>
        <v>0</v>
      </c>
      <c r="D32" s="20">
        <v>77</v>
      </c>
      <c r="E32" s="18">
        <f t="shared" si="41"/>
        <v>0</v>
      </c>
      <c r="F32" s="20">
        <v>72</v>
      </c>
      <c r="G32" s="18">
        <f t="shared" si="42"/>
        <v>0</v>
      </c>
      <c r="H32" s="20">
        <v>75</v>
      </c>
      <c r="I32" s="18">
        <f t="shared" si="33"/>
        <v>0</v>
      </c>
      <c r="J32" s="18">
        <f t="shared" si="19"/>
        <v>299</v>
      </c>
      <c r="K32" s="18">
        <f t="shared" si="20"/>
        <v>74.75</v>
      </c>
      <c r="L32" s="18">
        <f t="shared" si="32"/>
        <v>0</v>
      </c>
      <c r="M32" s="18">
        <f t="shared" si="7"/>
        <v>28000</v>
      </c>
      <c r="N32" s="18">
        <f t="shared" si="30"/>
        <v>0</v>
      </c>
      <c r="O32" s="18">
        <f t="shared" si="31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8"/>
        <v>0</v>
      </c>
      <c r="AE32" s="49">
        <f t="shared" si="29"/>
        <v>0</v>
      </c>
    </row>
    <row r="33" spans="1:31" ht="32.25" customHeight="1" x14ac:dyDescent="0.3">
      <c r="A33" s="19">
        <f t="shared" si="13"/>
        <v>44066</v>
      </c>
      <c r="B33" s="20">
        <v>75</v>
      </c>
      <c r="C33" s="18">
        <f t="shared" si="40"/>
        <v>0</v>
      </c>
      <c r="D33" s="20">
        <v>77</v>
      </c>
      <c r="E33" s="18">
        <f t="shared" si="41"/>
        <v>0</v>
      </c>
      <c r="F33" s="20">
        <v>72</v>
      </c>
      <c r="G33" s="18">
        <f t="shared" si="42"/>
        <v>0</v>
      </c>
      <c r="H33" s="20">
        <v>75</v>
      </c>
      <c r="I33" s="18">
        <f t="shared" si="33"/>
        <v>0</v>
      </c>
      <c r="J33" s="18">
        <f t="shared" si="19"/>
        <v>299</v>
      </c>
      <c r="K33" s="18">
        <f t="shared" si="20"/>
        <v>74.75</v>
      </c>
      <c r="L33" s="18">
        <f t="shared" si="32"/>
        <v>0</v>
      </c>
      <c r="M33" s="18">
        <f t="shared" si="7"/>
        <v>28000</v>
      </c>
      <c r="N33" s="18">
        <f t="shared" si="30"/>
        <v>0</v>
      </c>
      <c r="O33" s="18">
        <f t="shared" si="31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8"/>
        <v>0</v>
      </c>
      <c r="AE33" s="49">
        <f t="shared" si="29"/>
        <v>0</v>
      </c>
    </row>
    <row r="34" spans="1:31" ht="32.25" customHeight="1" x14ac:dyDescent="0.3">
      <c r="A34" s="19">
        <f t="shared" si="13"/>
        <v>44067</v>
      </c>
      <c r="B34" s="20">
        <v>75</v>
      </c>
      <c r="C34" s="18">
        <f t="shared" si="40"/>
        <v>0</v>
      </c>
      <c r="D34" s="20">
        <v>77</v>
      </c>
      <c r="E34" s="18">
        <f t="shared" si="41"/>
        <v>0</v>
      </c>
      <c r="F34" s="20">
        <v>72</v>
      </c>
      <c r="G34" s="18">
        <f t="shared" si="42"/>
        <v>0</v>
      </c>
      <c r="H34" s="20">
        <v>75</v>
      </c>
      <c r="I34" s="18">
        <f t="shared" si="33"/>
        <v>0</v>
      </c>
      <c r="J34" s="18">
        <f t="shared" si="19"/>
        <v>299</v>
      </c>
      <c r="K34" s="18">
        <f t="shared" si="20"/>
        <v>74.75</v>
      </c>
      <c r="L34" s="18">
        <f t="shared" si="32"/>
        <v>0</v>
      </c>
      <c r="M34" s="18">
        <f t="shared" si="7"/>
        <v>28000</v>
      </c>
      <c r="N34" s="18">
        <f t="shared" si="30"/>
        <v>0</v>
      </c>
      <c r="O34" s="18">
        <f t="shared" si="31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8"/>
        <v>0</v>
      </c>
      <c r="AE34" s="49">
        <f t="shared" si="29"/>
        <v>0</v>
      </c>
    </row>
    <row r="35" spans="1:31" ht="32.25" customHeight="1" x14ac:dyDescent="0.3">
      <c r="A35" s="19">
        <f t="shared" si="13"/>
        <v>44068</v>
      </c>
      <c r="B35" s="20">
        <v>75</v>
      </c>
      <c r="C35" s="18">
        <f t="shared" si="40"/>
        <v>0</v>
      </c>
      <c r="D35" s="20">
        <v>77</v>
      </c>
      <c r="E35" s="18">
        <f t="shared" si="41"/>
        <v>0</v>
      </c>
      <c r="F35" s="20">
        <v>72</v>
      </c>
      <c r="G35" s="18">
        <f t="shared" si="42"/>
        <v>0</v>
      </c>
      <c r="H35" s="20">
        <v>75</v>
      </c>
      <c r="I35" s="18">
        <f t="shared" si="33"/>
        <v>0</v>
      </c>
      <c r="J35" s="18">
        <f t="shared" si="19"/>
        <v>299</v>
      </c>
      <c r="K35" s="18">
        <f t="shared" si="20"/>
        <v>74.75</v>
      </c>
      <c r="L35" s="18">
        <f t="shared" si="32"/>
        <v>0</v>
      </c>
      <c r="M35" s="18">
        <f t="shared" si="7"/>
        <v>28000</v>
      </c>
      <c r="N35" s="18">
        <f t="shared" si="30"/>
        <v>0</v>
      </c>
      <c r="O35" s="18">
        <f t="shared" si="31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8"/>
        <v>0</v>
      </c>
      <c r="AE35" s="49">
        <f t="shared" si="29"/>
        <v>0</v>
      </c>
    </row>
    <row r="36" spans="1:31" ht="32.25" customHeight="1" x14ac:dyDescent="0.3">
      <c r="A36" s="19">
        <f t="shared" si="13"/>
        <v>44069</v>
      </c>
      <c r="B36" s="20">
        <v>75</v>
      </c>
      <c r="C36" s="18">
        <f t="shared" si="40"/>
        <v>0</v>
      </c>
      <c r="D36" s="20">
        <v>77</v>
      </c>
      <c r="E36" s="18">
        <f t="shared" si="41"/>
        <v>0</v>
      </c>
      <c r="F36" s="20">
        <v>72</v>
      </c>
      <c r="G36" s="18">
        <f t="shared" si="42"/>
        <v>0</v>
      </c>
      <c r="H36" s="20">
        <v>75</v>
      </c>
      <c r="I36" s="18">
        <f t="shared" si="33"/>
        <v>0</v>
      </c>
      <c r="J36" s="18">
        <f t="shared" si="19"/>
        <v>299</v>
      </c>
      <c r="K36" s="18">
        <f t="shared" si="20"/>
        <v>74.75</v>
      </c>
      <c r="L36" s="18">
        <f t="shared" si="32"/>
        <v>0</v>
      </c>
      <c r="M36" s="18">
        <f t="shared" si="7"/>
        <v>28000</v>
      </c>
      <c r="N36" s="18">
        <f t="shared" si="30"/>
        <v>0</v>
      </c>
      <c r="O36" s="18">
        <f t="shared" si="31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8"/>
        <v>0</v>
      </c>
      <c r="AE36" s="49">
        <f t="shared" si="29"/>
        <v>0</v>
      </c>
    </row>
    <row r="37" spans="1:31" ht="32.25" customHeight="1" x14ac:dyDescent="0.3">
      <c r="A37" s="19">
        <f t="shared" si="13"/>
        <v>44070</v>
      </c>
      <c r="B37" s="20">
        <v>75</v>
      </c>
      <c r="C37" s="18">
        <f t="shared" si="40"/>
        <v>0</v>
      </c>
      <c r="D37" s="20">
        <v>77</v>
      </c>
      <c r="E37" s="18">
        <f t="shared" si="41"/>
        <v>0</v>
      </c>
      <c r="F37" s="20">
        <v>72</v>
      </c>
      <c r="G37" s="18">
        <f t="shared" si="42"/>
        <v>0</v>
      </c>
      <c r="H37" s="20">
        <v>75</v>
      </c>
      <c r="I37" s="18">
        <f t="shared" si="33"/>
        <v>0</v>
      </c>
      <c r="J37" s="18">
        <f t="shared" si="19"/>
        <v>299</v>
      </c>
      <c r="K37" s="18">
        <f t="shared" si="20"/>
        <v>74.75</v>
      </c>
      <c r="L37" s="18">
        <f t="shared" si="32"/>
        <v>0</v>
      </c>
      <c r="M37" s="18">
        <f t="shared" si="7"/>
        <v>28000</v>
      </c>
      <c r="N37" s="18">
        <f t="shared" si="30"/>
        <v>0</v>
      </c>
      <c r="O37" s="18">
        <f t="shared" si="31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8"/>
        <v>0</v>
      </c>
      <c r="AE37" s="49">
        <f t="shared" si="29"/>
        <v>0</v>
      </c>
    </row>
    <row r="38" spans="1:31" ht="32.25" customHeight="1" x14ac:dyDescent="0.3">
      <c r="A38" s="19">
        <f t="shared" si="13"/>
        <v>44071</v>
      </c>
      <c r="B38" s="20">
        <v>75</v>
      </c>
      <c r="C38" s="18">
        <f t="shared" si="40"/>
        <v>0</v>
      </c>
      <c r="D38" s="20">
        <v>77</v>
      </c>
      <c r="E38" s="18">
        <f t="shared" si="41"/>
        <v>0</v>
      </c>
      <c r="F38" s="20">
        <v>72</v>
      </c>
      <c r="G38" s="18">
        <f t="shared" si="42"/>
        <v>0</v>
      </c>
      <c r="H38" s="20">
        <v>75</v>
      </c>
      <c r="I38" s="18">
        <f t="shared" si="33"/>
        <v>0</v>
      </c>
      <c r="J38" s="18">
        <f t="shared" si="19"/>
        <v>299</v>
      </c>
      <c r="K38" s="18">
        <f t="shared" si="20"/>
        <v>74.75</v>
      </c>
      <c r="L38" s="18">
        <f t="shared" si="32"/>
        <v>0</v>
      </c>
      <c r="M38" s="18">
        <f t="shared" si="7"/>
        <v>28000</v>
      </c>
      <c r="N38" s="18">
        <f t="shared" si="30"/>
        <v>0</v>
      </c>
      <c r="O38" s="18">
        <f t="shared" si="31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8"/>
        <v>0</v>
      </c>
      <c r="AE38" s="49">
        <f t="shared" si="29"/>
        <v>0</v>
      </c>
    </row>
    <row r="39" spans="1:31" ht="32.25" customHeight="1" x14ac:dyDescent="0.3">
      <c r="A39" s="19">
        <f t="shared" si="13"/>
        <v>44072</v>
      </c>
      <c r="B39" s="20">
        <v>75</v>
      </c>
      <c r="C39" s="18">
        <f t="shared" ref="C39" si="43">IF(AC39&gt;0,((B39-R39)+(S39-B40)),IF(B40=0, ,(B39-B40)))</f>
        <v>0</v>
      </c>
      <c r="D39" s="20">
        <v>77</v>
      </c>
      <c r="E39" s="18">
        <f t="shared" ref="E39" si="44">IF(AC39&gt;0,((D39-U39)+(V39-D40)),IF(D40=0, ,(D39-D40)))</f>
        <v>0</v>
      </c>
      <c r="F39" s="20">
        <v>72</v>
      </c>
      <c r="G39" s="18">
        <f t="shared" ref="G39" si="45">IF(AC39&gt;0,((F39-X39)+(Y39-F40)),IF(F40=0, ,(F39-F40)))</f>
        <v>0</v>
      </c>
      <c r="H39" s="20">
        <v>75</v>
      </c>
      <c r="I39" s="18">
        <f t="shared" si="33"/>
        <v>0</v>
      </c>
      <c r="J39" s="18">
        <f t="shared" si="19"/>
        <v>299</v>
      </c>
      <c r="K39" s="18">
        <f t="shared" si="20"/>
        <v>74.75</v>
      </c>
      <c r="L39" s="18">
        <f t="shared" si="32"/>
        <v>0</v>
      </c>
      <c r="M39" s="18">
        <f t="shared" si="7"/>
        <v>28000</v>
      </c>
      <c r="N39" s="18">
        <f t="shared" si="30"/>
        <v>0</v>
      </c>
      <c r="O39" s="18">
        <f t="shared" si="31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8"/>
        <v>0</v>
      </c>
      <c r="AE39" s="49">
        <f t="shared" si="29"/>
        <v>0</v>
      </c>
    </row>
    <row r="40" spans="1:31" ht="32.25" customHeight="1" x14ac:dyDescent="0.3">
      <c r="A40" s="19">
        <f t="shared" si="13"/>
        <v>44073</v>
      </c>
      <c r="B40" s="20">
        <v>75</v>
      </c>
      <c r="C40" s="18">
        <f t="shared" ref="C40:C42" si="46">IF(AC40&gt;0,((B40-R40)+(S40-B41)),IF(B41=0, ,(B40-B41)))</f>
        <v>0</v>
      </c>
      <c r="D40" s="20">
        <v>77</v>
      </c>
      <c r="E40" s="18">
        <f t="shared" ref="E40:E42" si="47">IF(AC40&gt;0,((D40-U40)+(V40-D41)),IF(D41=0, ,(D40-D41)))</f>
        <v>0</v>
      </c>
      <c r="F40" s="20">
        <v>72</v>
      </c>
      <c r="G40" s="18">
        <f t="shared" ref="G40:G42" si="48">IF(AC40&gt;0,((F40-X40)+(Y40-F41)),IF(F41=0, ,(F40-F41)))</f>
        <v>0</v>
      </c>
      <c r="H40" s="20">
        <v>75</v>
      </c>
      <c r="I40" s="18">
        <f t="shared" si="33"/>
        <v>0</v>
      </c>
      <c r="J40" s="18">
        <f t="shared" si="19"/>
        <v>299</v>
      </c>
      <c r="K40" s="18">
        <f t="shared" si="20"/>
        <v>74.75</v>
      </c>
      <c r="L40" s="18">
        <f t="shared" si="32"/>
        <v>0</v>
      </c>
      <c r="M40" s="18">
        <f t="shared" si="7"/>
        <v>28000</v>
      </c>
      <c r="N40" s="18">
        <f t="shared" si="30"/>
        <v>0</v>
      </c>
      <c r="O40" s="18">
        <f t="shared" si="31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8"/>
        <v>0</v>
      </c>
      <c r="AE40" s="49">
        <f t="shared" si="29"/>
        <v>0</v>
      </c>
    </row>
    <row r="41" spans="1:31" ht="32.25" customHeight="1" x14ac:dyDescent="0.3">
      <c r="A41" s="19">
        <f t="shared" si="13"/>
        <v>44074</v>
      </c>
      <c r="B41" s="20">
        <v>75</v>
      </c>
      <c r="C41" s="18">
        <f t="shared" si="46"/>
        <v>0</v>
      </c>
      <c r="D41" s="20">
        <v>77</v>
      </c>
      <c r="E41" s="18">
        <f t="shared" si="47"/>
        <v>0</v>
      </c>
      <c r="F41" s="20">
        <v>72</v>
      </c>
      <c r="G41" s="18">
        <f t="shared" si="48"/>
        <v>0</v>
      </c>
      <c r="H41" s="20">
        <v>75</v>
      </c>
      <c r="I41" s="18">
        <f t="shared" si="33"/>
        <v>0</v>
      </c>
      <c r="J41" s="18">
        <f t="shared" si="19"/>
        <v>299</v>
      </c>
      <c r="K41" s="18">
        <f t="shared" si="20"/>
        <v>74.75</v>
      </c>
      <c r="L41" s="18">
        <f t="shared" si="32"/>
        <v>0</v>
      </c>
      <c r="M41" s="18">
        <f t="shared" si="7"/>
        <v>28000</v>
      </c>
      <c r="N41" s="18">
        <f t="shared" si="30"/>
        <v>0</v>
      </c>
      <c r="O41" s="18">
        <f t="shared" si="31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8"/>
        <v>0</v>
      </c>
      <c r="AE41" s="49">
        <f t="shared" si="29"/>
        <v>0</v>
      </c>
    </row>
    <row r="42" spans="1:31" ht="32.25" customHeight="1" x14ac:dyDescent="0.3">
      <c r="A42" s="19">
        <f t="shared" si="13"/>
        <v>44075</v>
      </c>
      <c r="B42" s="20">
        <v>75</v>
      </c>
      <c r="C42" s="18">
        <f t="shared" si="46"/>
        <v>0</v>
      </c>
      <c r="D42" s="20">
        <v>77</v>
      </c>
      <c r="E42" s="18">
        <f t="shared" si="47"/>
        <v>0</v>
      </c>
      <c r="F42" s="20">
        <v>72</v>
      </c>
      <c r="G42" s="18">
        <f t="shared" si="48"/>
        <v>0</v>
      </c>
      <c r="H42" s="20">
        <v>75</v>
      </c>
      <c r="I42" s="18">
        <f t="shared" si="33"/>
        <v>0</v>
      </c>
      <c r="J42" s="18">
        <f t="shared" si="19"/>
        <v>299</v>
      </c>
      <c r="K42" s="18">
        <f t="shared" si="20"/>
        <v>74.75</v>
      </c>
      <c r="L42" s="18">
        <f t="shared" si="32"/>
        <v>0</v>
      </c>
      <c r="M42" s="18">
        <f t="shared" si="7"/>
        <v>28000</v>
      </c>
      <c r="N42" s="18">
        <f t="shared" si="30"/>
        <v>0</v>
      </c>
      <c r="O42" s="18">
        <f t="shared" si="31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8"/>
        <v>0</v>
      </c>
      <c r="AE42" s="49">
        <f t="shared" si="29"/>
        <v>0</v>
      </c>
    </row>
    <row r="43" spans="1:31" ht="32.25" customHeight="1" thickBot="1" x14ac:dyDescent="0.35">
      <c r="B43" s="20"/>
      <c r="C43" s="18">
        <f>SUM(C11:C41)</f>
        <v>0</v>
      </c>
      <c r="D43" s="20"/>
      <c r="E43" s="18">
        <f>SUM(E11:E41)</f>
        <v>0</v>
      </c>
      <c r="F43" s="20"/>
      <c r="G43" s="18">
        <f>SUM(G11:G41)</f>
        <v>0</v>
      </c>
      <c r="H43" s="20"/>
      <c r="I43" s="18">
        <f>SUM(I11:I41)</f>
        <v>0</v>
      </c>
      <c r="J43" s="16"/>
      <c r="K43" s="16"/>
      <c r="L43" s="16"/>
      <c r="M43" s="16"/>
      <c r="N43" s="18">
        <f>SUM(N11:N41)</f>
        <v>0</v>
      </c>
      <c r="O43" s="18">
        <f>N43*0.53</f>
        <v>0</v>
      </c>
      <c r="P43" s="21">
        <f>O43*7.8338</f>
        <v>0</v>
      </c>
      <c r="Q43" s="265">
        <f>SUM(Q11:Q41)</f>
        <v>0</v>
      </c>
      <c r="R43" s="266"/>
      <c r="S43" s="267"/>
      <c r="T43" s="268">
        <f>SUM(T11:T41)</f>
        <v>0</v>
      </c>
      <c r="U43" s="266"/>
      <c r="V43" s="267"/>
      <c r="W43" s="268">
        <f>SUM(W11:W41)</f>
        <v>0</v>
      </c>
      <c r="X43" s="266"/>
      <c r="Y43" s="267"/>
      <c r="Z43" s="265">
        <f>SUM(Z11:Z41)</f>
        <v>0</v>
      </c>
      <c r="AA43" s="266"/>
      <c r="AB43" s="267"/>
      <c r="AC43" s="138">
        <f>SUM(AC11:AC41)</f>
        <v>0</v>
      </c>
      <c r="AD43" s="139"/>
      <c r="AE43" s="136"/>
    </row>
    <row r="44" spans="1:31" ht="35.25" customHeight="1" thickBot="1" x14ac:dyDescent="0.35">
      <c r="B44" s="269"/>
      <c r="C44" s="270"/>
      <c r="D44" s="270"/>
      <c r="E44" s="270"/>
      <c r="F44" s="270"/>
      <c r="G44" s="270"/>
      <c r="H44" s="270"/>
      <c r="I44" s="271"/>
      <c r="J44" s="16"/>
      <c r="K44" s="16"/>
      <c r="L44" s="16"/>
      <c r="M44" s="16"/>
      <c r="N44" s="16"/>
      <c r="O44" s="16"/>
      <c r="P44" s="16"/>
      <c r="Q44" s="272">
        <f>Q43+T43+W43+Z43</f>
        <v>0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4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5" t="s">
        <v>36</v>
      </c>
      <c r="I47" s="276"/>
      <c r="J47" s="277"/>
      <c r="K47" s="28">
        <f>N43</f>
        <v>0</v>
      </c>
      <c r="L47" s="29">
        <f>O43</f>
        <v>0</v>
      </c>
      <c r="M47" s="29">
        <f>P43</f>
        <v>0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B45" sqref="B45:H4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2490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44037</v>
      </c>
      <c r="B9" s="40">
        <v>123696</v>
      </c>
      <c r="C9" s="41">
        <f t="shared" ref="C9:C16" si="0">IF(B10&lt;B9,0,B10-B9)*10</f>
        <v>70</v>
      </c>
      <c r="D9" s="42">
        <v>18505152</v>
      </c>
      <c r="E9" s="41">
        <f t="shared" ref="E9:E16" si="1">IF(D10&lt;D9,0,D10-D9)</f>
        <v>932</v>
      </c>
      <c r="F9" s="42">
        <v>33253571</v>
      </c>
      <c r="G9" s="41">
        <f t="shared" ref="G9:G47" si="2">IF(F10&lt;F9,0,F10-F9)</f>
        <v>1411</v>
      </c>
      <c r="H9" s="42">
        <v>14719712</v>
      </c>
      <c r="I9" s="41">
        <f t="shared" ref="I9:I16" si="3">IF(H10&lt;H9,0,H10-H9)</f>
        <v>600</v>
      </c>
    </row>
    <row r="10" spans="1:20" ht="21" thickTop="1" thickBot="1" x14ac:dyDescent="0.35">
      <c r="A10" s="39">
        <f>(A9+1)</f>
        <v>44038</v>
      </c>
      <c r="B10" s="40">
        <v>123703</v>
      </c>
      <c r="C10" s="41">
        <f t="shared" si="0"/>
        <v>80</v>
      </c>
      <c r="D10" s="42">
        <v>18506084</v>
      </c>
      <c r="E10" s="41">
        <f t="shared" si="1"/>
        <v>967</v>
      </c>
      <c r="F10" s="42">
        <v>33254982</v>
      </c>
      <c r="G10" s="41">
        <f t="shared" si="2"/>
        <v>1264</v>
      </c>
      <c r="H10" s="42">
        <v>14720312</v>
      </c>
      <c r="I10" s="41">
        <f t="shared" si="3"/>
        <v>490</v>
      </c>
    </row>
    <row r="11" spans="1:20" ht="21" thickTop="1" thickBot="1" x14ac:dyDescent="0.35">
      <c r="A11" s="39">
        <f t="shared" ref="A11:A47" si="4">(A10+1)</f>
        <v>44039</v>
      </c>
      <c r="B11" s="40">
        <v>123711</v>
      </c>
      <c r="C11" s="41">
        <f t="shared" si="0"/>
        <v>70</v>
      </c>
      <c r="D11" s="42">
        <v>18507051</v>
      </c>
      <c r="E11" s="41">
        <f t="shared" si="1"/>
        <v>967</v>
      </c>
      <c r="F11" s="42">
        <v>33256246</v>
      </c>
      <c r="G11" s="41">
        <f t="shared" si="2"/>
        <v>1518</v>
      </c>
      <c r="H11" s="42">
        <v>14720802</v>
      </c>
      <c r="I11" s="41">
        <f t="shared" si="3"/>
        <v>627</v>
      </c>
    </row>
    <row r="12" spans="1:20" ht="21" thickTop="1" thickBot="1" x14ac:dyDescent="0.35">
      <c r="A12" s="39">
        <f t="shared" si="4"/>
        <v>44040</v>
      </c>
      <c r="B12" s="40">
        <v>123718</v>
      </c>
      <c r="C12" s="41">
        <f t="shared" si="0"/>
        <v>70</v>
      </c>
      <c r="D12" s="42">
        <v>18508018</v>
      </c>
      <c r="E12" s="41">
        <f t="shared" si="1"/>
        <v>1000</v>
      </c>
      <c r="F12" s="42">
        <v>33257764</v>
      </c>
      <c r="G12" s="41">
        <f t="shared" si="2"/>
        <v>1500</v>
      </c>
      <c r="H12" s="42">
        <v>14721429</v>
      </c>
      <c r="I12" s="41">
        <f t="shared" si="3"/>
        <v>615</v>
      </c>
    </row>
    <row r="13" spans="1:20" ht="21" thickTop="1" thickBot="1" x14ac:dyDescent="0.35">
      <c r="A13" s="39">
        <f t="shared" si="4"/>
        <v>44041</v>
      </c>
      <c r="B13" s="40">
        <v>123725</v>
      </c>
      <c r="C13" s="41">
        <f t="shared" si="0"/>
        <v>90</v>
      </c>
      <c r="D13" s="42">
        <v>18509018</v>
      </c>
      <c r="E13" s="41">
        <f t="shared" si="1"/>
        <v>927</v>
      </c>
      <c r="F13" s="42">
        <v>33259264</v>
      </c>
      <c r="G13" s="41">
        <f t="shared" si="2"/>
        <v>1479</v>
      </c>
      <c r="H13" s="42">
        <v>14722044</v>
      </c>
      <c r="I13" s="41">
        <f t="shared" si="3"/>
        <v>574</v>
      </c>
    </row>
    <row r="14" spans="1:20" ht="21" thickTop="1" thickBot="1" x14ac:dyDescent="0.35">
      <c r="A14" s="39">
        <f t="shared" si="4"/>
        <v>44042</v>
      </c>
      <c r="B14" s="40">
        <v>123734</v>
      </c>
      <c r="C14" s="41">
        <f t="shared" si="0"/>
        <v>80</v>
      </c>
      <c r="D14" s="42">
        <v>18509945</v>
      </c>
      <c r="E14" s="41">
        <f t="shared" si="1"/>
        <v>920</v>
      </c>
      <c r="F14" s="42">
        <v>33260743</v>
      </c>
      <c r="G14" s="41">
        <f t="shared" si="2"/>
        <v>1411</v>
      </c>
      <c r="H14" s="42">
        <v>14722618</v>
      </c>
      <c r="I14" s="41">
        <f t="shared" si="3"/>
        <v>583</v>
      </c>
    </row>
    <row r="15" spans="1:20" ht="21" thickTop="1" thickBot="1" x14ac:dyDescent="0.35">
      <c r="A15" s="39">
        <f t="shared" si="4"/>
        <v>44043</v>
      </c>
      <c r="B15" s="40">
        <v>123742</v>
      </c>
      <c r="C15" s="41">
        <f t="shared" si="0"/>
        <v>80</v>
      </c>
      <c r="D15" s="42">
        <v>18510865</v>
      </c>
      <c r="E15" s="41">
        <f t="shared" si="1"/>
        <v>964</v>
      </c>
      <c r="F15" s="42">
        <v>33262154</v>
      </c>
      <c r="G15" s="41">
        <f t="shared" si="2"/>
        <v>1439</v>
      </c>
      <c r="H15" s="42">
        <v>14723201</v>
      </c>
      <c r="I15" s="41">
        <f t="shared" si="3"/>
        <v>595</v>
      </c>
    </row>
    <row r="16" spans="1:20" ht="21" thickTop="1" thickBot="1" x14ac:dyDescent="0.35">
      <c r="A16" s="39">
        <f t="shared" si="4"/>
        <v>44044</v>
      </c>
      <c r="B16" s="40">
        <v>123750</v>
      </c>
      <c r="C16" s="41">
        <f t="shared" si="0"/>
        <v>70</v>
      </c>
      <c r="D16" s="42">
        <v>18511829</v>
      </c>
      <c r="E16" s="41">
        <f t="shared" si="1"/>
        <v>939</v>
      </c>
      <c r="F16" s="42">
        <v>33263593</v>
      </c>
      <c r="G16" s="41">
        <f t="shared" si="2"/>
        <v>1319</v>
      </c>
      <c r="H16" s="42">
        <v>14723796</v>
      </c>
      <c r="I16" s="41">
        <f t="shared" si="3"/>
        <v>560</v>
      </c>
    </row>
    <row r="17" spans="1:9" ht="21" thickTop="1" thickBot="1" x14ac:dyDescent="0.35">
      <c r="A17" s="39">
        <f t="shared" si="4"/>
        <v>44045</v>
      </c>
      <c r="B17" s="40">
        <v>123757</v>
      </c>
      <c r="C17" s="41">
        <f>IF(B18&lt;B17,0,B18-B17)*10</f>
        <v>70</v>
      </c>
      <c r="D17" s="42">
        <v>18512768</v>
      </c>
      <c r="E17" s="41">
        <f>IF(D18&lt;D17,0,D18-D17)</f>
        <v>947</v>
      </c>
      <c r="F17" s="42">
        <v>33264912</v>
      </c>
      <c r="G17" s="41">
        <f t="shared" si="2"/>
        <v>1378</v>
      </c>
      <c r="H17" s="42">
        <v>14724356</v>
      </c>
      <c r="I17" s="41">
        <f t="shared" ref="I17:I43" si="5">IF(H18&lt;H17,0,H18-H17)</f>
        <v>598</v>
      </c>
    </row>
    <row r="18" spans="1:9" ht="21" thickTop="1" thickBot="1" x14ac:dyDescent="0.35">
      <c r="A18" s="39">
        <f t="shared" si="4"/>
        <v>44046</v>
      </c>
      <c r="B18" s="40">
        <v>123764</v>
      </c>
      <c r="C18" s="41">
        <f t="shared" ref="C18:C47" si="6">IF(B19&lt;B18,0,B19-B18)*10</f>
        <v>70</v>
      </c>
      <c r="D18" s="42">
        <v>18513715</v>
      </c>
      <c r="E18" s="41">
        <f t="shared" ref="E18:E47" si="7">IF(D19&lt;D18,0,D19-D18)</f>
        <v>922</v>
      </c>
      <c r="F18" s="42">
        <v>33266290</v>
      </c>
      <c r="G18" s="41">
        <f t="shared" si="2"/>
        <v>1504</v>
      </c>
      <c r="H18" s="42">
        <v>14724954</v>
      </c>
      <c r="I18" s="41">
        <f t="shared" si="5"/>
        <v>608</v>
      </c>
    </row>
    <row r="19" spans="1:9" ht="21" thickTop="1" thickBot="1" x14ac:dyDescent="0.35">
      <c r="A19" s="39">
        <f t="shared" si="4"/>
        <v>44047</v>
      </c>
      <c r="B19" s="40">
        <v>123771</v>
      </c>
      <c r="C19" s="41">
        <f t="shared" si="6"/>
        <v>70</v>
      </c>
      <c r="D19" s="42">
        <v>18514637</v>
      </c>
      <c r="E19" s="41">
        <f t="shared" si="7"/>
        <v>864</v>
      </c>
      <c r="F19" s="42">
        <v>33267794</v>
      </c>
      <c r="G19" s="41">
        <f t="shared" si="2"/>
        <v>1462</v>
      </c>
      <c r="H19" s="42">
        <v>14725562</v>
      </c>
      <c r="I19" s="41">
        <f t="shared" si="5"/>
        <v>566</v>
      </c>
    </row>
    <row r="20" spans="1:9" ht="21" thickTop="1" thickBot="1" x14ac:dyDescent="0.35">
      <c r="A20" s="39">
        <f t="shared" si="4"/>
        <v>44048</v>
      </c>
      <c r="B20" s="40">
        <v>123778</v>
      </c>
      <c r="C20" s="41">
        <f t="shared" si="6"/>
        <v>70</v>
      </c>
      <c r="D20" s="42">
        <v>18515501</v>
      </c>
      <c r="E20" s="41">
        <f t="shared" si="7"/>
        <v>945</v>
      </c>
      <c r="F20" s="42">
        <v>33269256</v>
      </c>
      <c r="G20" s="41">
        <f t="shared" si="2"/>
        <v>1443</v>
      </c>
      <c r="H20" s="42">
        <v>14726128</v>
      </c>
      <c r="I20" s="41">
        <f t="shared" si="5"/>
        <v>601</v>
      </c>
    </row>
    <row r="21" spans="1:9" ht="21" thickTop="1" thickBot="1" x14ac:dyDescent="0.35">
      <c r="A21" s="39">
        <f t="shared" si="4"/>
        <v>44049</v>
      </c>
      <c r="B21" s="40">
        <v>123785</v>
      </c>
      <c r="C21" s="41">
        <f t="shared" si="6"/>
        <v>70</v>
      </c>
      <c r="D21" s="42">
        <v>18516446</v>
      </c>
      <c r="E21" s="41">
        <f t="shared" si="7"/>
        <v>991</v>
      </c>
      <c r="F21" s="42">
        <v>33270699</v>
      </c>
      <c r="G21" s="41">
        <f t="shared" si="2"/>
        <v>1607</v>
      </c>
      <c r="H21" s="42">
        <v>14726729</v>
      </c>
      <c r="I21" s="41">
        <f t="shared" si="5"/>
        <v>669</v>
      </c>
    </row>
    <row r="22" spans="1:9" ht="21" thickTop="1" thickBot="1" x14ac:dyDescent="0.35">
      <c r="A22" s="39">
        <f t="shared" si="4"/>
        <v>44050</v>
      </c>
      <c r="B22" s="40">
        <v>123792</v>
      </c>
      <c r="C22" s="41">
        <f t="shared" si="6"/>
        <v>70</v>
      </c>
      <c r="D22" s="42">
        <v>18517437</v>
      </c>
      <c r="E22" s="41">
        <f t="shared" si="7"/>
        <v>1016</v>
      </c>
      <c r="F22" s="42">
        <v>33272306</v>
      </c>
      <c r="G22" s="41">
        <f t="shared" si="2"/>
        <v>1635</v>
      </c>
      <c r="H22" s="42">
        <v>14727398</v>
      </c>
      <c r="I22" s="41">
        <f t="shared" si="5"/>
        <v>644</v>
      </c>
    </row>
    <row r="23" spans="1:9" ht="21" thickTop="1" thickBot="1" x14ac:dyDescent="0.35">
      <c r="A23" s="39">
        <f t="shared" si="4"/>
        <v>44051</v>
      </c>
      <c r="B23" s="40">
        <v>123799</v>
      </c>
      <c r="C23" s="41">
        <f t="shared" si="6"/>
        <v>80</v>
      </c>
      <c r="D23" s="42">
        <v>18518453</v>
      </c>
      <c r="E23" s="41">
        <f t="shared" si="7"/>
        <v>812</v>
      </c>
      <c r="F23" s="42">
        <v>33273941</v>
      </c>
      <c r="G23" s="41">
        <f t="shared" si="2"/>
        <v>1538</v>
      </c>
      <c r="H23" s="42">
        <v>14728042</v>
      </c>
      <c r="I23" s="41">
        <f t="shared" si="5"/>
        <v>607</v>
      </c>
    </row>
    <row r="24" spans="1:9" ht="21" thickTop="1" thickBot="1" x14ac:dyDescent="0.35">
      <c r="A24" s="39">
        <f t="shared" si="4"/>
        <v>44052</v>
      </c>
      <c r="B24" s="40">
        <v>123807</v>
      </c>
      <c r="C24" s="41">
        <f t="shared" si="6"/>
        <v>80</v>
      </c>
      <c r="D24" s="42">
        <v>18519265</v>
      </c>
      <c r="E24" s="41">
        <f t="shared" si="7"/>
        <v>904</v>
      </c>
      <c r="F24" s="42">
        <v>33275479</v>
      </c>
      <c r="G24" s="41">
        <f t="shared" si="2"/>
        <v>1488</v>
      </c>
      <c r="H24" s="42">
        <v>14728649</v>
      </c>
      <c r="I24" s="41">
        <f t="shared" si="5"/>
        <v>645</v>
      </c>
    </row>
    <row r="25" spans="1:9" ht="21" thickTop="1" thickBot="1" x14ac:dyDescent="0.35">
      <c r="A25" s="39">
        <f t="shared" si="4"/>
        <v>44053</v>
      </c>
      <c r="B25" s="40">
        <v>123815</v>
      </c>
      <c r="C25" s="41">
        <f t="shared" si="6"/>
        <v>80</v>
      </c>
      <c r="D25" s="42">
        <v>18520169</v>
      </c>
      <c r="E25" s="41">
        <f t="shared" si="7"/>
        <v>907</v>
      </c>
      <c r="F25" s="42">
        <v>33276967</v>
      </c>
      <c r="G25" s="41">
        <f t="shared" si="2"/>
        <v>1598</v>
      </c>
      <c r="H25" s="42">
        <v>14729294</v>
      </c>
      <c r="I25" s="41">
        <f t="shared" si="5"/>
        <v>649</v>
      </c>
    </row>
    <row r="26" spans="1:9" ht="21" thickTop="1" thickBot="1" x14ac:dyDescent="0.35">
      <c r="A26" s="39">
        <f t="shared" si="4"/>
        <v>44054</v>
      </c>
      <c r="B26" s="40">
        <v>123823</v>
      </c>
      <c r="C26" s="41">
        <f t="shared" si="6"/>
        <v>80</v>
      </c>
      <c r="D26" s="42">
        <v>18521076</v>
      </c>
      <c r="E26" s="41">
        <f t="shared" si="7"/>
        <v>912</v>
      </c>
      <c r="F26" s="42">
        <v>33278565</v>
      </c>
      <c r="G26" s="41">
        <f t="shared" si="2"/>
        <v>1579</v>
      </c>
      <c r="H26" s="42">
        <v>14729943</v>
      </c>
      <c r="I26" s="41">
        <f t="shared" si="5"/>
        <v>637</v>
      </c>
    </row>
    <row r="27" spans="1:9" ht="21" thickTop="1" thickBot="1" x14ac:dyDescent="0.35">
      <c r="A27" s="39">
        <f t="shared" si="4"/>
        <v>44055</v>
      </c>
      <c r="B27" s="40">
        <v>123831</v>
      </c>
      <c r="C27" s="41">
        <f t="shared" si="6"/>
        <v>80</v>
      </c>
      <c r="D27" s="42">
        <v>18521988</v>
      </c>
      <c r="E27" s="41">
        <f t="shared" si="7"/>
        <v>914</v>
      </c>
      <c r="F27" s="42">
        <v>33280144</v>
      </c>
      <c r="G27" s="41">
        <f t="shared" si="2"/>
        <v>1480</v>
      </c>
      <c r="H27" s="42">
        <v>14730580</v>
      </c>
      <c r="I27" s="41">
        <f t="shared" si="5"/>
        <v>553</v>
      </c>
    </row>
    <row r="28" spans="1:9" ht="21" thickTop="1" thickBot="1" x14ac:dyDescent="0.35">
      <c r="A28" s="39">
        <f t="shared" si="4"/>
        <v>44056</v>
      </c>
      <c r="B28" s="40">
        <v>123839</v>
      </c>
      <c r="C28" s="41">
        <f t="shared" si="6"/>
        <v>100</v>
      </c>
      <c r="D28" s="42">
        <v>18522902</v>
      </c>
      <c r="E28" s="41">
        <f t="shared" si="7"/>
        <v>972</v>
      </c>
      <c r="F28" s="42">
        <v>33281624</v>
      </c>
      <c r="G28" s="41">
        <f t="shared" si="2"/>
        <v>1672</v>
      </c>
      <c r="H28" s="42">
        <v>14731133</v>
      </c>
      <c r="I28" s="41">
        <f t="shared" si="5"/>
        <v>664</v>
      </c>
    </row>
    <row r="29" spans="1:9" ht="21" thickTop="1" thickBot="1" x14ac:dyDescent="0.35">
      <c r="A29" s="39">
        <f t="shared" si="4"/>
        <v>44057</v>
      </c>
      <c r="B29" s="40">
        <v>123849</v>
      </c>
      <c r="C29" s="41">
        <f t="shared" si="6"/>
        <v>90</v>
      </c>
      <c r="D29" s="42">
        <v>18523874</v>
      </c>
      <c r="E29" s="41">
        <f t="shared" si="7"/>
        <v>974</v>
      </c>
      <c r="F29" s="42">
        <v>33283296</v>
      </c>
      <c r="G29" s="41">
        <f t="shared" si="2"/>
        <v>1544</v>
      </c>
      <c r="H29" s="42">
        <v>14731797</v>
      </c>
      <c r="I29" s="41">
        <f t="shared" si="5"/>
        <v>599</v>
      </c>
    </row>
    <row r="30" spans="1:9" ht="21" thickTop="1" thickBot="1" x14ac:dyDescent="0.35">
      <c r="A30" s="39">
        <f t="shared" si="4"/>
        <v>44058</v>
      </c>
      <c r="B30" s="40">
        <v>123858</v>
      </c>
      <c r="C30" s="41">
        <f t="shared" si="6"/>
        <v>70</v>
      </c>
      <c r="D30" s="42">
        <v>18524848</v>
      </c>
      <c r="E30" s="41">
        <f t="shared" si="7"/>
        <v>906</v>
      </c>
      <c r="F30" s="42">
        <v>33284840</v>
      </c>
      <c r="G30" s="41">
        <f t="shared" si="2"/>
        <v>1549</v>
      </c>
      <c r="H30" s="42">
        <v>14732396</v>
      </c>
      <c r="I30" s="41">
        <f t="shared" si="5"/>
        <v>607</v>
      </c>
    </row>
    <row r="31" spans="1:9" ht="21" thickTop="1" thickBot="1" x14ac:dyDescent="0.35">
      <c r="A31" s="39">
        <f t="shared" si="4"/>
        <v>44059</v>
      </c>
      <c r="B31" s="40">
        <v>123865</v>
      </c>
      <c r="C31" s="41">
        <f t="shared" si="6"/>
        <v>70</v>
      </c>
      <c r="D31" s="42">
        <v>18525754</v>
      </c>
      <c r="E31" s="41">
        <f t="shared" si="7"/>
        <v>920</v>
      </c>
      <c r="F31" s="42">
        <v>33286389</v>
      </c>
      <c r="G31" s="41">
        <f t="shared" si="2"/>
        <v>1540</v>
      </c>
      <c r="H31" s="42">
        <v>14733003</v>
      </c>
      <c r="I31" s="41">
        <f t="shared" si="5"/>
        <v>647</v>
      </c>
    </row>
    <row r="32" spans="1:9" ht="21" thickTop="1" thickBot="1" x14ac:dyDescent="0.35">
      <c r="A32" s="39">
        <f t="shared" si="4"/>
        <v>44060</v>
      </c>
      <c r="B32" s="40">
        <v>123872</v>
      </c>
      <c r="C32" s="41">
        <f t="shared" si="6"/>
        <v>90</v>
      </c>
      <c r="D32" s="42">
        <v>18526674</v>
      </c>
      <c r="E32" s="41">
        <f t="shared" si="7"/>
        <v>950</v>
      </c>
      <c r="F32" s="42">
        <v>33287929</v>
      </c>
      <c r="G32" s="41">
        <f t="shared" si="2"/>
        <v>1490</v>
      </c>
      <c r="H32" s="42">
        <v>14733650</v>
      </c>
      <c r="I32" s="41">
        <f t="shared" si="5"/>
        <v>640</v>
      </c>
    </row>
    <row r="33" spans="1:9" ht="21" thickTop="1" thickBot="1" x14ac:dyDescent="0.35">
      <c r="A33" s="39">
        <f t="shared" si="4"/>
        <v>44061</v>
      </c>
      <c r="B33" s="40">
        <v>123881</v>
      </c>
      <c r="C33" s="41">
        <f t="shared" si="6"/>
        <v>100</v>
      </c>
      <c r="D33" s="42">
        <v>18527624</v>
      </c>
      <c r="E33" s="41">
        <f t="shared" si="7"/>
        <v>974</v>
      </c>
      <c r="F33" s="42">
        <v>33289419</v>
      </c>
      <c r="G33" s="41">
        <f t="shared" si="2"/>
        <v>1560</v>
      </c>
      <c r="H33" s="42">
        <v>14734290</v>
      </c>
      <c r="I33" s="41">
        <f t="shared" si="5"/>
        <v>670</v>
      </c>
    </row>
    <row r="34" spans="1:9" ht="21" thickTop="1" thickBot="1" x14ac:dyDescent="0.35">
      <c r="A34" s="39">
        <f t="shared" si="4"/>
        <v>44062</v>
      </c>
      <c r="B34" s="40">
        <v>123891</v>
      </c>
      <c r="C34" s="41">
        <f t="shared" si="6"/>
        <v>70</v>
      </c>
      <c r="D34" s="42">
        <v>18528598</v>
      </c>
      <c r="E34" s="41">
        <f t="shared" si="7"/>
        <v>950</v>
      </c>
      <c r="F34" s="42">
        <v>33290979</v>
      </c>
      <c r="G34" s="41">
        <f t="shared" si="2"/>
        <v>1490</v>
      </c>
      <c r="H34" s="42">
        <v>14734960</v>
      </c>
      <c r="I34" s="41">
        <f t="shared" si="5"/>
        <v>640</v>
      </c>
    </row>
    <row r="35" spans="1:9" ht="21" thickTop="1" thickBot="1" x14ac:dyDescent="0.35">
      <c r="A35" s="39">
        <f t="shared" si="4"/>
        <v>44063</v>
      </c>
      <c r="B35" s="40">
        <v>123898</v>
      </c>
      <c r="C35" s="41">
        <f t="shared" si="6"/>
        <v>50</v>
      </c>
      <c r="D35" s="42">
        <v>18529548</v>
      </c>
      <c r="E35" s="41">
        <f t="shared" si="7"/>
        <v>1249</v>
      </c>
      <c r="F35" s="42">
        <v>33292469</v>
      </c>
      <c r="G35" s="41">
        <f t="shared" si="2"/>
        <v>2052</v>
      </c>
      <c r="H35" s="42">
        <v>14735600</v>
      </c>
      <c r="I35" s="41">
        <f t="shared" si="5"/>
        <v>575</v>
      </c>
    </row>
    <row r="36" spans="1:9" ht="21" thickTop="1" thickBot="1" x14ac:dyDescent="0.35">
      <c r="A36" s="39">
        <f t="shared" si="4"/>
        <v>44064</v>
      </c>
      <c r="B36" s="40">
        <v>123903</v>
      </c>
      <c r="C36" s="41">
        <f t="shared" si="6"/>
        <v>80</v>
      </c>
      <c r="D36" s="42">
        <v>18530797</v>
      </c>
      <c r="E36" s="41">
        <f t="shared" si="7"/>
        <v>1012</v>
      </c>
      <c r="F36" s="42">
        <v>33294521</v>
      </c>
      <c r="G36" s="41">
        <f t="shared" si="2"/>
        <v>1617</v>
      </c>
      <c r="H36" s="42">
        <v>14736175</v>
      </c>
      <c r="I36" s="41">
        <f t="shared" si="5"/>
        <v>688</v>
      </c>
    </row>
    <row r="37" spans="1:9" ht="21" thickTop="1" thickBot="1" x14ac:dyDescent="0.35">
      <c r="A37" s="39">
        <f t="shared" si="4"/>
        <v>44065</v>
      </c>
      <c r="B37" s="40">
        <v>123911</v>
      </c>
      <c r="C37" s="41">
        <f t="shared" si="6"/>
        <v>90</v>
      </c>
      <c r="D37" s="42">
        <v>18531809</v>
      </c>
      <c r="E37" s="41">
        <f t="shared" si="7"/>
        <v>1032</v>
      </c>
      <c r="F37" s="42">
        <v>33296138</v>
      </c>
      <c r="G37" s="41">
        <f t="shared" si="2"/>
        <v>1653</v>
      </c>
      <c r="H37" s="42">
        <v>14736863</v>
      </c>
      <c r="I37" s="41">
        <f t="shared" si="5"/>
        <v>679</v>
      </c>
    </row>
    <row r="38" spans="1:9" ht="21" thickTop="1" thickBot="1" x14ac:dyDescent="0.35">
      <c r="A38" s="39">
        <f t="shared" si="4"/>
        <v>44066</v>
      </c>
      <c r="B38" s="40">
        <v>123920</v>
      </c>
      <c r="C38" s="41">
        <f t="shared" si="6"/>
        <v>80</v>
      </c>
      <c r="D38" s="42">
        <v>18532841</v>
      </c>
      <c r="E38" s="41">
        <f t="shared" si="7"/>
        <v>908</v>
      </c>
      <c r="F38" s="42">
        <v>33297791</v>
      </c>
      <c r="G38" s="41">
        <f t="shared" si="2"/>
        <v>1470</v>
      </c>
      <c r="H38" s="42">
        <v>14737542</v>
      </c>
      <c r="I38" s="41">
        <f t="shared" si="5"/>
        <v>635</v>
      </c>
    </row>
    <row r="39" spans="1:9" ht="21" thickTop="1" thickBot="1" x14ac:dyDescent="0.35">
      <c r="A39" s="39">
        <f t="shared" si="4"/>
        <v>44067</v>
      </c>
      <c r="B39" s="40">
        <v>123928</v>
      </c>
      <c r="C39" s="41">
        <f t="shared" si="6"/>
        <v>90</v>
      </c>
      <c r="D39" s="42">
        <v>18533749</v>
      </c>
      <c r="E39" s="41">
        <f t="shared" si="7"/>
        <v>951</v>
      </c>
      <c r="F39" s="42">
        <v>33299261</v>
      </c>
      <c r="G39" s="41">
        <f t="shared" si="2"/>
        <v>1671</v>
      </c>
      <c r="H39" s="42">
        <v>14738177</v>
      </c>
      <c r="I39" s="41">
        <f t="shared" si="5"/>
        <v>705</v>
      </c>
    </row>
    <row r="40" spans="1:9" ht="21" thickTop="1" thickBot="1" x14ac:dyDescent="0.35">
      <c r="A40" s="39">
        <f t="shared" si="4"/>
        <v>44068</v>
      </c>
      <c r="B40" s="40">
        <v>123937</v>
      </c>
      <c r="C40" s="41">
        <f t="shared" si="6"/>
        <v>90</v>
      </c>
      <c r="D40" s="42">
        <v>18534700</v>
      </c>
      <c r="E40" s="41">
        <f t="shared" si="7"/>
        <v>1006</v>
      </c>
      <c r="F40" s="42">
        <v>33300932</v>
      </c>
      <c r="G40" s="41">
        <f t="shared" si="2"/>
        <v>1739</v>
      </c>
      <c r="H40" s="42">
        <v>14738882</v>
      </c>
      <c r="I40" s="41">
        <f t="shared" si="5"/>
        <v>585</v>
      </c>
    </row>
    <row r="41" spans="1:9" ht="21" thickTop="1" thickBot="1" x14ac:dyDescent="0.35">
      <c r="A41" s="39">
        <f t="shared" si="4"/>
        <v>44069</v>
      </c>
      <c r="B41" s="40">
        <v>123946</v>
      </c>
      <c r="C41" s="41">
        <f t="shared" si="6"/>
        <v>100</v>
      </c>
      <c r="D41" s="42">
        <v>18535706</v>
      </c>
      <c r="E41" s="41">
        <f t="shared" si="7"/>
        <v>1042</v>
      </c>
      <c r="F41" s="42">
        <v>33302671</v>
      </c>
      <c r="G41" s="41">
        <f t="shared" si="2"/>
        <v>1752</v>
      </c>
      <c r="H41" s="42">
        <v>14739467</v>
      </c>
      <c r="I41" s="41">
        <f t="shared" si="5"/>
        <v>670</v>
      </c>
    </row>
    <row r="42" spans="1:9" ht="21" thickTop="1" thickBot="1" x14ac:dyDescent="0.35">
      <c r="A42" s="39">
        <f t="shared" si="4"/>
        <v>44070</v>
      </c>
      <c r="B42" s="40">
        <v>123956</v>
      </c>
      <c r="C42" s="41">
        <f t="shared" si="6"/>
        <v>110</v>
      </c>
      <c r="D42" s="42">
        <v>18536748</v>
      </c>
      <c r="E42" s="41">
        <f t="shared" si="7"/>
        <v>973</v>
      </c>
      <c r="F42" s="42">
        <v>33304423</v>
      </c>
      <c r="G42" s="41">
        <f t="shared" si="2"/>
        <v>1663</v>
      </c>
      <c r="H42" s="42">
        <v>14740137</v>
      </c>
      <c r="I42" s="41">
        <f t="shared" si="5"/>
        <v>586</v>
      </c>
    </row>
    <row r="43" spans="1:9" ht="21" thickTop="1" thickBot="1" x14ac:dyDescent="0.35">
      <c r="A43" s="39">
        <f t="shared" si="4"/>
        <v>44071</v>
      </c>
      <c r="B43" s="40">
        <v>123967</v>
      </c>
      <c r="C43" s="41">
        <f t="shared" si="6"/>
        <v>110</v>
      </c>
      <c r="D43" s="42">
        <v>18537721</v>
      </c>
      <c r="E43" s="41">
        <f t="shared" si="7"/>
        <v>1022</v>
      </c>
      <c r="F43" s="42">
        <v>33306086</v>
      </c>
      <c r="G43" s="41">
        <f t="shared" si="2"/>
        <v>1611</v>
      </c>
      <c r="H43" s="42">
        <v>14740723</v>
      </c>
      <c r="I43" s="41">
        <f t="shared" si="5"/>
        <v>626</v>
      </c>
    </row>
    <row r="44" spans="1:9" ht="21" thickTop="1" thickBot="1" x14ac:dyDescent="0.35">
      <c r="A44" s="39">
        <f t="shared" si="4"/>
        <v>44072</v>
      </c>
      <c r="B44" s="40">
        <v>123978</v>
      </c>
      <c r="C44" s="41">
        <f t="shared" si="6"/>
        <v>110</v>
      </c>
      <c r="D44" s="42">
        <v>18538743</v>
      </c>
      <c r="E44" s="41">
        <f t="shared" si="7"/>
        <v>866</v>
      </c>
      <c r="F44" s="42">
        <v>33307697</v>
      </c>
      <c r="G44" s="41">
        <f t="shared" si="2"/>
        <v>1504</v>
      </c>
      <c r="H44" s="42">
        <v>14741349</v>
      </c>
      <c r="I44" s="41">
        <f>IF(H45&lt;H44,0,H45-H44)</f>
        <v>542</v>
      </c>
    </row>
    <row r="45" spans="1:9" ht="21" thickTop="1" thickBot="1" x14ac:dyDescent="0.35">
      <c r="A45" s="39">
        <f t="shared" si="4"/>
        <v>44073</v>
      </c>
      <c r="B45" s="40">
        <v>123989</v>
      </c>
      <c r="C45" s="41">
        <f t="shared" si="6"/>
        <v>100</v>
      </c>
      <c r="D45" s="42">
        <v>18539609</v>
      </c>
      <c r="E45" s="41">
        <f t="shared" si="7"/>
        <v>868</v>
      </c>
      <c r="F45" s="42">
        <v>33309201</v>
      </c>
      <c r="G45" s="41">
        <f t="shared" si="2"/>
        <v>1322</v>
      </c>
      <c r="H45" s="42">
        <v>14741891</v>
      </c>
      <c r="I45" s="41">
        <f>IF(H46&lt;H45,0,H46-H45)</f>
        <v>517</v>
      </c>
    </row>
    <row r="46" spans="1:9" ht="21" thickTop="1" thickBot="1" x14ac:dyDescent="0.35">
      <c r="A46" s="39">
        <f t="shared" si="4"/>
        <v>44074</v>
      </c>
      <c r="B46" s="40">
        <v>123999</v>
      </c>
      <c r="C46" s="41">
        <f t="shared" si="6"/>
        <v>100</v>
      </c>
      <c r="D46" s="42">
        <v>18540477</v>
      </c>
      <c r="E46" s="41">
        <f t="shared" si="7"/>
        <v>1081</v>
      </c>
      <c r="F46" s="42">
        <v>33310523</v>
      </c>
      <c r="G46" s="41">
        <f t="shared" si="2"/>
        <v>1668</v>
      </c>
      <c r="H46" s="42">
        <v>14742408</v>
      </c>
      <c r="I46" s="41">
        <f>IF(H47&lt;H46,0,H47-H46)</f>
        <v>627</v>
      </c>
    </row>
    <row r="47" spans="1:9" ht="21" thickTop="1" thickBot="1" x14ac:dyDescent="0.35">
      <c r="A47" s="39">
        <f t="shared" si="4"/>
        <v>44075</v>
      </c>
      <c r="B47" s="40">
        <v>124009</v>
      </c>
      <c r="C47" s="41">
        <f t="shared" si="6"/>
        <v>0</v>
      </c>
      <c r="D47" s="42">
        <v>18541558</v>
      </c>
      <c r="E47" s="41">
        <f t="shared" si="7"/>
        <v>0</v>
      </c>
      <c r="F47" s="42">
        <v>33312191</v>
      </c>
      <c r="G47" s="41">
        <f t="shared" si="2"/>
        <v>0</v>
      </c>
      <c r="H47" s="42">
        <v>14743035</v>
      </c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SUM(C16:C46)</f>
        <v>2590</v>
      </c>
      <c r="E48" s="41">
        <f>SUM(E16:E45)</f>
        <v>28648</v>
      </c>
      <c r="F48" s="53"/>
      <c r="G48" s="41">
        <f>SUM(G16:G45)</f>
        <v>46930</v>
      </c>
      <c r="H48" s="53"/>
      <c r="I48" s="41">
        <f>SUM(I16:I45)</f>
        <v>18612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76" priority="702" stopIfTrue="1" operator="lessThanOrEqual">
      <formula>0</formula>
    </cfRule>
  </conditionalFormatting>
  <conditionalFormatting sqref="C48">
    <cfRule type="cellIs" dxfId="75" priority="364" stopIfTrue="1" operator="lessThanOrEqual">
      <formula>0</formula>
    </cfRule>
  </conditionalFormatting>
  <conditionalFormatting sqref="C48">
    <cfRule type="cellIs" dxfId="74" priority="363" stopIfTrue="1" operator="lessThanOrEqual">
      <formula>0</formula>
    </cfRule>
  </conditionalFormatting>
  <conditionalFormatting sqref="C48">
    <cfRule type="cellIs" dxfId="73" priority="362" stopIfTrue="1" operator="lessThanOrEqual">
      <formula>0</formula>
    </cfRule>
  </conditionalFormatting>
  <conditionalFormatting sqref="C48">
    <cfRule type="cellIs" dxfId="72" priority="361" stopIfTrue="1" operator="lessThanOrEqual">
      <formula>0</formula>
    </cfRule>
  </conditionalFormatting>
  <conditionalFormatting sqref="E48">
    <cfRule type="cellIs" dxfId="71" priority="304" stopIfTrue="1" operator="lessThanOrEqual">
      <formula>0</formula>
    </cfRule>
  </conditionalFormatting>
  <conditionalFormatting sqref="E48">
    <cfRule type="cellIs" dxfId="70" priority="303" stopIfTrue="1" operator="lessThanOrEqual">
      <formula>0</formula>
    </cfRule>
  </conditionalFormatting>
  <conditionalFormatting sqref="E48">
    <cfRule type="cellIs" dxfId="69" priority="302" stopIfTrue="1" operator="lessThanOrEqual">
      <formula>0</formula>
    </cfRule>
  </conditionalFormatting>
  <conditionalFormatting sqref="E48">
    <cfRule type="cellIs" dxfId="68" priority="301" stopIfTrue="1" operator="lessThanOrEqual">
      <formula>0</formula>
    </cfRule>
  </conditionalFormatting>
  <conditionalFormatting sqref="G48">
    <cfRule type="cellIs" dxfId="67" priority="300" stopIfTrue="1" operator="lessThanOrEqual">
      <formula>0</formula>
    </cfRule>
  </conditionalFormatting>
  <conditionalFormatting sqref="G48">
    <cfRule type="cellIs" dxfId="66" priority="299" stopIfTrue="1" operator="lessThanOrEqual">
      <formula>0</formula>
    </cfRule>
  </conditionalFormatting>
  <conditionalFormatting sqref="G48">
    <cfRule type="cellIs" dxfId="65" priority="298" stopIfTrue="1" operator="lessThanOrEqual">
      <formula>0</formula>
    </cfRule>
  </conditionalFormatting>
  <conditionalFormatting sqref="G48">
    <cfRule type="cellIs" dxfId="64" priority="297" stopIfTrue="1" operator="lessThanOrEqual">
      <formula>0</formula>
    </cfRule>
  </conditionalFormatting>
  <conditionalFormatting sqref="I48">
    <cfRule type="cellIs" dxfId="63" priority="296" stopIfTrue="1" operator="lessThanOrEqual">
      <formula>0</formula>
    </cfRule>
  </conditionalFormatting>
  <conditionalFormatting sqref="I48">
    <cfRule type="cellIs" dxfId="62" priority="295" stopIfTrue="1" operator="lessThanOrEqual">
      <formula>0</formula>
    </cfRule>
  </conditionalFormatting>
  <conditionalFormatting sqref="I48">
    <cfRule type="cellIs" dxfId="61" priority="294" stopIfTrue="1" operator="lessThanOrEqual">
      <formula>0</formula>
    </cfRule>
  </conditionalFormatting>
  <conditionalFormatting sqref="I48">
    <cfRule type="cellIs" dxfId="60" priority="293" stopIfTrue="1" operator="lessThanOrEqual">
      <formula>0</formula>
    </cfRule>
  </conditionalFormatting>
  <conditionalFormatting sqref="C9">
    <cfRule type="cellIs" dxfId="55" priority="56" stopIfTrue="1" operator="lessThanOrEqual">
      <formula>0</formula>
    </cfRule>
  </conditionalFormatting>
  <conditionalFormatting sqref="C9">
    <cfRule type="cellIs" dxfId="54" priority="55" stopIfTrue="1" operator="lessThanOrEqual">
      <formula>0</formula>
    </cfRule>
  </conditionalFormatting>
  <conditionalFormatting sqref="C9">
    <cfRule type="cellIs" dxfId="53" priority="54" stopIfTrue="1" operator="lessThanOrEqual">
      <formula>0</formula>
    </cfRule>
  </conditionalFormatting>
  <conditionalFormatting sqref="C9">
    <cfRule type="cellIs" dxfId="52" priority="53" stopIfTrue="1" operator="lessThanOrEqual">
      <formula>0</formula>
    </cfRule>
  </conditionalFormatting>
  <conditionalFormatting sqref="C10:C15">
    <cfRule type="cellIs" dxfId="51" priority="52" stopIfTrue="1" operator="lessThanOrEqual">
      <formula>0</formula>
    </cfRule>
  </conditionalFormatting>
  <conditionalFormatting sqref="C10:C15">
    <cfRule type="cellIs" dxfId="50" priority="51" stopIfTrue="1" operator="lessThanOrEqual">
      <formula>0</formula>
    </cfRule>
  </conditionalFormatting>
  <conditionalFormatting sqref="C10:C15">
    <cfRule type="cellIs" dxfId="49" priority="50" stopIfTrue="1" operator="lessThanOrEqual">
      <formula>0</formula>
    </cfRule>
  </conditionalFormatting>
  <conditionalFormatting sqref="C10:C15">
    <cfRule type="cellIs" dxfId="48" priority="49" stopIfTrue="1" operator="lessThanOrEqual">
      <formula>0</formula>
    </cfRule>
  </conditionalFormatting>
  <conditionalFormatting sqref="C16">
    <cfRule type="cellIs" dxfId="47" priority="48" stopIfTrue="1" operator="lessThanOrEqual">
      <formula>0</formula>
    </cfRule>
  </conditionalFormatting>
  <conditionalFormatting sqref="C16">
    <cfRule type="cellIs" dxfId="46" priority="47" stopIfTrue="1" operator="lessThanOrEqual">
      <formula>0</formula>
    </cfRule>
  </conditionalFormatting>
  <conditionalFormatting sqref="C16">
    <cfRule type="cellIs" dxfId="45" priority="46" stopIfTrue="1" operator="lessThanOrEqual">
      <formula>0</formula>
    </cfRule>
  </conditionalFormatting>
  <conditionalFormatting sqref="C16">
    <cfRule type="cellIs" dxfId="44" priority="45" stopIfTrue="1" operator="lessThanOrEqual">
      <formula>0</formula>
    </cfRule>
  </conditionalFormatting>
  <conditionalFormatting sqref="C17">
    <cfRule type="cellIs" dxfId="43" priority="44" stopIfTrue="1" operator="lessThanOrEqual">
      <formula>0</formula>
    </cfRule>
  </conditionalFormatting>
  <conditionalFormatting sqref="C17">
    <cfRule type="cellIs" dxfId="42" priority="43" stopIfTrue="1" operator="lessThanOrEqual">
      <formula>0</formula>
    </cfRule>
  </conditionalFormatting>
  <conditionalFormatting sqref="C17">
    <cfRule type="cellIs" dxfId="41" priority="42" stopIfTrue="1" operator="lessThanOrEqual">
      <formula>0</formula>
    </cfRule>
  </conditionalFormatting>
  <conditionalFormatting sqref="C17">
    <cfRule type="cellIs" dxfId="40" priority="41" stopIfTrue="1" operator="lessThanOrEqual">
      <formula>0</formula>
    </cfRule>
  </conditionalFormatting>
  <conditionalFormatting sqref="C18">
    <cfRule type="cellIs" dxfId="39" priority="40" stopIfTrue="1" operator="lessThanOrEqual">
      <formula>0</formula>
    </cfRule>
  </conditionalFormatting>
  <conditionalFormatting sqref="C18">
    <cfRule type="cellIs" dxfId="38" priority="39" stopIfTrue="1" operator="lessThanOrEqual">
      <formula>0</formula>
    </cfRule>
  </conditionalFormatting>
  <conditionalFormatting sqref="C18">
    <cfRule type="cellIs" dxfId="37" priority="38" stopIfTrue="1" operator="lessThanOrEqual">
      <formula>0</formula>
    </cfRule>
  </conditionalFormatting>
  <conditionalFormatting sqref="C18">
    <cfRule type="cellIs" dxfId="36" priority="37" stopIfTrue="1" operator="lessThanOrEqual">
      <formula>0</formula>
    </cfRule>
  </conditionalFormatting>
  <conditionalFormatting sqref="C19:C27">
    <cfRule type="cellIs" dxfId="35" priority="32" stopIfTrue="1" operator="lessThanOrEqual">
      <formula>0</formula>
    </cfRule>
  </conditionalFormatting>
  <conditionalFormatting sqref="C19:C27">
    <cfRule type="cellIs" dxfId="34" priority="31" stopIfTrue="1" operator="lessThanOrEqual">
      <formula>0</formula>
    </cfRule>
  </conditionalFormatting>
  <conditionalFormatting sqref="C19:C27">
    <cfRule type="cellIs" dxfId="33" priority="30" stopIfTrue="1" operator="lessThanOrEqual">
      <formula>0</formula>
    </cfRule>
  </conditionalFormatting>
  <conditionalFormatting sqref="C19:C27">
    <cfRule type="cellIs" dxfId="32" priority="29" stopIfTrue="1" operator="lessThanOrEqual">
      <formula>0</formula>
    </cfRule>
  </conditionalFormatting>
  <conditionalFormatting sqref="C28">
    <cfRule type="cellIs" dxfId="31" priority="28" stopIfTrue="1" operator="lessThanOrEqual">
      <formula>0</formula>
    </cfRule>
  </conditionalFormatting>
  <conditionalFormatting sqref="C28">
    <cfRule type="cellIs" dxfId="30" priority="27" stopIfTrue="1" operator="lessThanOrEqual">
      <formula>0</formula>
    </cfRule>
  </conditionalFormatting>
  <conditionalFormatting sqref="C28">
    <cfRule type="cellIs" dxfId="29" priority="26" stopIfTrue="1" operator="lessThanOrEqual">
      <formula>0</formula>
    </cfRule>
  </conditionalFormatting>
  <conditionalFormatting sqref="C28">
    <cfRule type="cellIs" dxfId="28" priority="25" stopIfTrue="1" operator="lessThanOrEqual">
      <formula>0</formula>
    </cfRule>
  </conditionalFormatting>
  <conditionalFormatting sqref="C29">
    <cfRule type="cellIs" dxfId="27" priority="24" stopIfTrue="1" operator="lessThanOrEqual">
      <formula>0</formula>
    </cfRule>
  </conditionalFormatting>
  <conditionalFormatting sqref="C29">
    <cfRule type="cellIs" dxfId="26" priority="23" stopIfTrue="1" operator="lessThanOrEqual">
      <formula>0</formula>
    </cfRule>
  </conditionalFormatting>
  <conditionalFormatting sqref="C29">
    <cfRule type="cellIs" dxfId="25" priority="22" stopIfTrue="1" operator="lessThanOrEqual">
      <formula>0</formula>
    </cfRule>
  </conditionalFormatting>
  <conditionalFormatting sqref="C29">
    <cfRule type="cellIs" dxfId="24" priority="21" stopIfTrue="1" operator="lessThanOrEqual">
      <formula>0</formula>
    </cfRule>
  </conditionalFormatting>
  <conditionalFormatting sqref="C30">
    <cfRule type="cellIs" dxfId="23" priority="20" stopIfTrue="1" operator="lessThanOrEqual">
      <formula>0</formula>
    </cfRule>
  </conditionalFormatting>
  <conditionalFormatting sqref="C30">
    <cfRule type="cellIs" dxfId="22" priority="19" stopIfTrue="1" operator="lessThanOrEqual">
      <formula>0</formula>
    </cfRule>
  </conditionalFormatting>
  <conditionalFormatting sqref="C30">
    <cfRule type="cellIs" dxfId="21" priority="18" stopIfTrue="1" operator="lessThanOrEqual">
      <formula>0</formula>
    </cfRule>
  </conditionalFormatting>
  <conditionalFormatting sqref="C30">
    <cfRule type="cellIs" dxfId="20" priority="17" stopIfTrue="1" operator="lessThanOrEqual">
      <formula>0</formula>
    </cfRule>
  </conditionalFormatting>
  <conditionalFormatting sqref="C31">
    <cfRule type="cellIs" dxfId="19" priority="16" stopIfTrue="1" operator="lessThanOrEqual">
      <formula>0</formula>
    </cfRule>
  </conditionalFormatting>
  <conditionalFormatting sqref="C31">
    <cfRule type="cellIs" dxfId="18" priority="15" stopIfTrue="1" operator="lessThanOrEqual">
      <formula>0</formula>
    </cfRule>
  </conditionalFormatting>
  <conditionalFormatting sqref="C31">
    <cfRule type="cellIs" dxfId="17" priority="14" stopIfTrue="1" operator="lessThanOrEqual">
      <formula>0</formula>
    </cfRule>
  </conditionalFormatting>
  <conditionalFormatting sqref="C31">
    <cfRule type="cellIs" dxfId="16" priority="13" stopIfTrue="1" operator="lessThanOrEqual">
      <formula>0</formula>
    </cfRule>
  </conditionalFormatting>
  <conditionalFormatting sqref="C32:C43">
    <cfRule type="cellIs" dxfId="15" priority="12" stopIfTrue="1" operator="lessThanOrEqual">
      <formula>0</formula>
    </cfRule>
  </conditionalFormatting>
  <conditionalFormatting sqref="C32:C43">
    <cfRule type="cellIs" dxfId="14" priority="11" stopIfTrue="1" operator="lessThanOrEqual">
      <formula>0</formula>
    </cfRule>
  </conditionalFormatting>
  <conditionalFormatting sqref="C32:C43">
    <cfRule type="cellIs" dxfId="13" priority="10" stopIfTrue="1" operator="lessThanOrEqual">
      <formula>0</formula>
    </cfRule>
  </conditionalFormatting>
  <conditionalFormatting sqref="C32:C43">
    <cfRule type="cellIs" dxfId="12" priority="9" stopIfTrue="1" operator="lessThanOrEqual">
      <formula>0</formula>
    </cfRule>
  </conditionalFormatting>
  <conditionalFormatting sqref="C44">
    <cfRule type="cellIs" dxfId="11" priority="8" stopIfTrue="1" operator="lessThanOrEqual">
      <formula>0</formula>
    </cfRule>
  </conditionalFormatting>
  <conditionalFormatting sqref="C44">
    <cfRule type="cellIs" dxfId="10" priority="7" stopIfTrue="1" operator="lessThanOrEqual">
      <formula>0</formula>
    </cfRule>
  </conditionalFormatting>
  <conditionalFormatting sqref="C44">
    <cfRule type="cellIs" dxfId="9" priority="6" stopIfTrue="1" operator="lessThanOrEqual">
      <formula>0</formula>
    </cfRule>
  </conditionalFormatting>
  <conditionalFormatting sqref="C44">
    <cfRule type="cellIs" dxfId="8" priority="5" stopIfTrue="1" operator="lessThanOrEqual">
      <formula>0</formula>
    </cfRule>
  </conditionalFormatting>
  <conditionalFormatting sqref="C45:C47">
    <cfRule type="cellIs" dxfId="7" priority="4" stopIfTrue="1" operator="lessThanOrEqual">
      <formula>0</formula>
    </cfRule>
  </conditionalFormatting>
  <conditionalFormatting sqref="C45:C47">
    <cfRule type="cellIs" dxfId="5" priority="3" stopIfTrue="1" operator="lessThanOrEqual">
      <formula>0</formula>
    </cfRule>
  </conditionalFormatting>
  <conditionalFormatting sqref="C45:C47">
    <cfRule type="cellIs" dxfId="3" priority="2" stopIfTrue="1" operator="lessThanOrEqual">
      <formula>0</formula>
    </cfRule>
  </conditionalFormatting>
  <conditionalFormatting sqref="C45:C4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01.08 au 31.08</vt:lpstr>
      <vt:lpstr>Suivi Gaz</vt:lpstr>
      <vt:lpstr>Suivi EAU-ELEC</vt:lpstr>
      <vt:lpstr>Feuil1</vt:lpstr>
      <vt:lpstr>'Consommation du 01.08 au 31.08'!Print_Area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2020-09-06T14:33:11Z</dcterms:modified>
</cp:coreProperties>
</file>