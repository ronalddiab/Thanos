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filterPrivacy="1" defaultThemeVersion="124226"/>
  <xr:revisionPtr revIDLastSave="0" documentId="13_ncr:1_{B3135CB4-1311-476D-B561-397985285287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H21" i="2"/>
  <c r="C21" i="2"/>
  <c r="C22" i="2"/>
  <c r="C23" i="2"/>
  <c r="C24" i="2"/>
  <c r="O17" i="8" l="1"/>
  <c r="G17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V33" i="8" s="1"/>
  <c r="W33" i="8"/>
  <c r="E34" i="8"/>
  <c r="I34" i="8"/>
  <c r="K34" i="8"/>
  <c r="M34" i="8"/>
  <c r="O34" i="8"/>
  <c r="S34" i="8"/>
  <c r="U34" i="8"/>
  <c r="W34" i="8"/>
  <c r="C33" i="8"/>
  <c r="H33" i="8" s="1"/>
  <c r="C34" i="8"/>
  <c r="T33" i="8" l="1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X30" i="8" s="1"/>
  <c r="U30" i="8"/>
  <c r="S30" i="8"/>
  <c r="Q30" i="8"/>
  <c r="R30" i="8" s="1"/>
  <c r="O30" i="8"/>
  <c r="P30" i="8" s="1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T28" i="8" s="1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J15" i="8" s="1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T12" i="8" s="1"/>
  <c r="Q12" i="8"/>
  <c r="O12" i="8"/>
  <c r="M12" i="8"/>
  <c r="K12" i="8"/>
  <c r="I12" i="8"/>
  <c r="E12" i="8"/>
  <c r="C12" i="8"/>
  <c r="A12" i="8"/>
  <c r="W11" i="8"/>
  <c r="U11" i="8"/>
  <c r="S11" i="8"/>
  <c r="Q11" i="8"/>
  <c r="R11" i="8" s="1"/>
  <c r="O11" i="8"/>
  <c r="M11" i="8"/>
  <c r="K11" i="8"/>
  <c r="I11" i="8"/>
  <c r="J11" i="8" s="1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T8" i="8" s="1"/>
  <c r="Q8" i="8"/>
  <c r="O8" i="8"/>
  <c r="M8" i="8"/>
  <c r="K8" i="8"/>
  <c r="I8" i="8"/>
  <c r="E8" i="8"/>
  <c r="C8" i="8"/>
  <c r="A8" i="8"/>
  <c r="W7" i="8"/>
  <c r="U7" i="8"/>
  <c r="S7" i="8"/>
  <c r="Q7" i="8"/>
  <c r="R7" i="8" s="1"/>
  <c r="O7" i="8"/>
  <c r="M7" i="8"/>
  <c r="K7" i="8"/>
  <c r="I7" i="8"/>
  <c r="J7" i="8" s="1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X6" i="8" l="1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2" authorId="0" shapeId="0" xr:uid="{20CD1090-8499-4E45-A7ED-14AE0C7809C6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Double check with reading book,reading matching.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17" authorId="0" shapeId="0" xr:uid="{00000000-0006-0000-0500-000001000000}">
      <text>
        <r>
          <rPr>
            <sz val="9"/>
            <color indexed="81"/>
            <rFont val="Tahoma"/>
            <family val="2"/>
          </rPr>
          <t>farhad
new meter fixed
14/01/21 evening</t>
        </r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<sst xmlns="http://schemas.openxmlformats.org/spreadsheetml/2006/main" count="201" uniqueCount="128">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</sst>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-350440</c:v>
                </c:pt>
                <c:pt idx="1">
                  <c:v>-2013700</c:v>
                </c:pt>
                <c:pt idx="2">
                  <c:v>-195330</c:v>
                </c:pt>
                <c:pt idx="3">
                  <c:v>-780280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-45508</c:v>
                </c:pt>
                <c:pt idx="1">
                  <c:v>0.18958033043666631</c:v>
                </c:pt>
                <c:pt idx="2" formatCode="_(* #,##0.00_);_(* \(#,##0.00\);_(* &quot;-&quot;??_);_(@_)">
                  <c:v>-182356</c:v>
                </c:pt>
                <c:pt idx="3">
                  <c:v>0.75967106304624943</c:v>
                </c:pt>
                <c:pt idx="4" formatCode="0.00">
                  <c:v>-25830</c:v>
                </c:pt>
                <c:pt idx="5">
                  <c:v>0.10760437582796631</c:v>
                </c:pt>
                <c:pt idx="6" formatCode="0.00">
                  <c:v>-57588</c:v>
                </c:pt>
                <c:pt idx="7">
                  <c:v>0.23990401839647402</c:v>
                </c:pt>
                <c:pt idx="8" formatCode="0.00">
                  <c:v>-5466</c:v>
                </c:pt>
                <c:pt idx="9">
                  <c:v>2.2770635628171266E-2</c:v>
                </c:pt>
                <c:pt idx="10" formatCode="0.00">
                  <c:v>-61</c:v>
                </c:pt>
                <c:pt idx="11">
                  <c:v>2.5411796072419453E-4</c:v>
                </c:pt>
                <c:pt idx="12" formatCode="0.00">
                  <c:v>-66842</c:v>
                </c:pt>
                <c:pt idx="13">
                  <c:v>0.27845496279879689</c:v>
                </c:pt>
                <c:pt idx="14" formatCode="_(* #,##0.00_);_(* \(#,##0.00\);_(* &quot;-&quot;??_);_(@_)">
                  <c:v>-238934</c:v>
                </c:pt>
                <c:pt idx="15">
                  <c:v>0.99536755455204418</c:v>
                </c:pt>
                <c:pt idx="16" formatCode="0.00">
                  <c:v>-108776</c:v>
                </c:pt>
                <c:pt idx="17">
                  <c:v>0.45314648025795057</c:v>
                </c:pt>
                <c:pt idx="18" formatCode="0.00">
                  <c:v>-18332</c:v>
                </c:pt>
                <c:pt idx="19">
                  <c:v>7.6368695999933345E-2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-240046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-749693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439808"/>
        <c:axId val="148441344"/>
      </c:barChart>
      <c:catAx>
        <c:axId val="148439808"/>
        <c:scaling>
          <c:orientation val="minMax"/>
        </c:scaling>
        <c:delete val="1"/>
        <c:axPos val="b"/>
        <c:majorTickMark val="none"/>
        <c:minorTickMark val="none"/>
        <c:tickLblPos val="nextTo"/>
        <c:crossAx val="148441344"/>
        <c:crosses val="autoZero"/>
        <c:auto val="1"/>
        <c:lblAlgn val="ctr"/>
        <c:lblOffset val="100"/>
        <c:noMultiLvlLbl val="0"/>
      </c:catAx>
      <c:valAx>
        <c:axId val="148441344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8439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2" sqref="M2:O2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2</v>
      </c>
      <c r="D2" s="46">
        <v>2021</v>
      </c>
      <c r="E2" s="107">
        <v>20560</v>
      </c>
      <c r="F2" s="48">
        <v>0.14000000000000001</v>
      </c>
      <c r="G2" s="107">
        <v>5432</v>
      </c>
      <c r="H2" s="48">
        <v>0.4453480216384178</v>
      </c>
      <c r="I2" s="65">
        <v>279</v>
      </c>
      <c r="J2" s="76">
        <v>0.4</v>
      </c>
      <c r="K2" s="108">
        <f>K33/31</f>
        <v>0</v>
      </c>
      <c r="L2" s="76">
        <v>1.5287027707808565</v>
      </c>
      <c r="M2" s="72">
        <v>23</v>
      </c>
      <c r="N2" s="72">
        <v>52</v>
      </c>
      <c r="O2" s="72">
        <v>148</v>
      </c>
    </row>
    <row r="3" spans="1:15" ht="15" x14ac:dyDescent="0.25">
      <c r="A3" s="45" t="s">
        <v>9</v>
      </c>
      <c r="B3" s="46">
        <f>B2+1</f>
        <v>2</v>
      </c>
      <c r="C3" s="47">
        <v>2</v>
      </c>
      <c r="D3" s="46">
        <v>2021</v>
      </c>
      <c r="E3" s="107">
        <v>0</v>
      </c>
      <c r="F3" s="48">
        <v>0.14000000000000001</v>
      </c>
      <c r="G3" s="107">
        <v>0</v>
      </c>
      <c r="H3" s="48">
        <v>0.4453480216384178</v>
      </c>
      <c r="I3" s="65">
        <v>0</v>
      </c>
      <c r="J3" s="76">
        <v>0.4</v>
      </c>
      <c r="K3" s="108">
        <v>0</v>
      </c>
      <c r="L3" s="76">
        <v>1.5287027707808565</v>
      </c>
      <c r="M3" s="72"/>
      <c r="N3" s="72"/>
      <c r="O3" s="72"/>
    </row>
    <row r="4" spans="1:15" ht="15" x14ac:dyDescent="0.25">
      <c r="A4" s="45" t="s">
        <v>9</v>
      </c>
      <c r="B4" s="46">
        <f t="shared" ref="B4:B32" si="0">B3+1</f>
        <v>3</v>
      </c>
      <c r="C4" s="47">
        <v>2</v>
      </c>
      <c r="D4" s="46">
        <v>2021</v>
      </c>
      <c r="E4" s="107">
        <v>0</v>
      </c>
      <c r="F4" s="48">
        <v>0.14000000000000001</v>
      </c>
      <c r="G4" s="107">
        <v>0</v>
      </c>
      <c r="H4" s="48">
        <v>0.4453480216384178</v>
      </c>
      <c r="I4" s="65">
        <v>0</v>
      </c>
      <c r="J4" s="76">
        <v>0.4</v>
      </c>
      <c r="K4" s="108">
        <v>0</v>
      </c>
      <c r="L4" s="76">
        <v>1.5287027707808565</v>
      </c>
      <c r="M4" s="72"/>
      <c r="N4" s="72"/>
      <c r="O4" s="72"/>
    </row>
    <row r="5" spans="1:15" ht="15" x14ac:dyDescent="0.25">
      <c r="A5" s="45" t="s">
        <v>9</v>
      </c>
      <c r="B5" s="46">
        <f t="shared" si="0"/>
        <v>4</v>
      </c>
      <c r="C5" s="47">
        <v>2</v>
      </c>
      <c r="D5" s="46">
        <v>2021</v>
      </c>
      <c r="E5" s="107">
        <v>0</v>
      </c>
      <c r="F5" s="48">
        <v>0.14000000000000001</v>
      </c>
      <c r="G5" s="107">
        <v>0</v>
      </c>
      <c r="H5" s="48">
        <v>0.4453480216384178</v>
      </c>
      <c r="I5" s="65">
        <v>0</v>
      </c>
      <c r="J5" s="76">
        <v>0.4</v>
      </c>
      <c r="K5" s="108">
        <v>0</v>
      </c>
      <c r="L5" s="76">
        <v>1.5287027707808565</v>
      </c>
      <c r="M5" s="72"/>
      <c r="N5" s="72"/>
      <c r="O5" s="72"/>
    </row>
    <row r="6" spans="1:15" ht="15" x14ac:dyDescent="0.25">
      <c r="A6" s="45" t="s">
        <v>9</v>
      </c>
      <c r="B6" s="46">
        <f t="shared" si="0"/>
        <v>5</v>
      </c>
      <c r="C6" s="47">
        <v>2</v>
      </c>
      <c r="D6" s="46">
        <v>2021</v>
      </c>
      <c r="E6" s="107">
        <v>0</v>
      </c>
      <c r="F6" s="48">
        <v>0.14000000000000001</v>
      </c>
      <c r="G6" s="107">
        <v>0</v>
      </c>
      <c r="H6" s="48">
        <v>0.4453480216384178</v>
      </c>
      <c r="I6" s="65">
        <v>0</v>
      </c>
      <c r="J6" s="76">
        <v>0.4</v>
      </c>
      <c r="K6" s="108">
        <v>0</v>
      </c>
      <c r="L6" s="76">
        <v>1.5287027707808565</v>
      </c>
      <c r="M6" s="72"/>
      <c r="N6" s="72"/>
      <c r="O6" s="72"/>
    </row>
    <row r="7" spans="1:15" ht="15" x14ac:dyDescent="0.25">
      <c r="A7" s="45" t="s">
        <v>9</v>
      </c>
      <c r="B7" s="46">
        <f t="shared" si="0"/>
        <v>6</v>
      </c>
      <c r="C7" s="47">
        <v>2</v>
      </c>
      <c r="D7" s="46">
        <v>2021</v>
      </c>
      <c r="E7" s="107">
        <v>0</v>
      </c>
      <c r="F7" s="48">
        <v>0.14000000000000001</v>
      </c>
      <c r="G7" s="107">
        <v>0</v>
      </c>
      <c r="H7" s="48">
        <v>0.4453480216384178</v>
      </c>
      <c r="I7" s="65">
        <v>0</v>
      </c>
      <c r="J7" s="76">
        <v>0.4</v>
      </c>
      <c r="K7" s="108">
        <v>0</v>
      </c>
      <c r="L7" s="76">
        <v>1.5287027707808565</v>
      </c>
      <c r="M7" s="72"/>
      <c r="N7" s="72"/>
      <c r="O7" s="72"/>
    </row>
    <row r="8" spans="1:15" ht="15" x14ac:dyDescent="0.25">
      <c r="A8" s="45" t="s">
        <v>9</v>
      </c>
      <c r="B8" s="46">
        <f t="shared" si="0"/>
        <v>7</v>
      </c>
      <c r="C8" s="47">
        <v>2</v>
      </c>
      <c r="D8" s="46">
        <v>2021</v>
      </c>
      <c r="E8" s="107">
        <v>0</v>
      </c>
      <c r="F8" s="48">
        <v>0.14000000000000001</v>
      </c>
      <c r="G8" s="107">
        <v>0</v>
      </c>
      <c r="H8" s="48">
        <v>0.4453480216384178</v>
      </c>
      <c r="I8" s="65">
        <v>0</v>
      </c>
      <c r="J8" s="76">
        <v>0.4</v>
      </c>
      <c r="K8" s="108">
        <v>0</v>
      </c>
      <c r="L8" s="76">
        <v>1.5287027707808565</v>
      </c>
      <c r="M8" s="72"/>
      <c r="N8" s="72"/>
      <c r="O8" s="72"/>
    </row>
    <row r="9" spans="1:15" ht="15" x14ac:dyDescent="0.25">
      <c r="A9" s="45" t="s">
        <v>9</v>
      </c>
      <c r="B9" s="46">
        <f t="shared" si="0"/>
        <v>8</v>
      </c>
      <c r="C9" s="47">
        <v>2</v>
      </c>
      <c r="D9" s="46">
        <v>2021</v>
      </c>
      <c r="E9" s="107">
        <v>0</v>
      </c>
      <c r="F9" s="48">
        <v>0.14000000000000001</v>
      </c>
      <c r="G9" s="107">
        <v>0</v>
      </c>
      <c r="H9" s="48">
        <v>0.4453480216384178</v>
      </c>
      <c r="I9" s="65">
        <v>0</v>
      </c>
      <c r="J9" s="76">
        <v>0.4</v>
      </c>
      <c r="K9" s="108">
        <v>0</v>
      </c>
      <c r="L9" s="76">
        <v>1.5287027707808565</v>
      </c>
      <c r="M9" s="72"/>
      <c r="N9" s="72"/>
      <c r="O9" s="72"/>
    </row>
    <row r="10" spans="1:15" ht="15" x14ac:dyDescent="0.25">
      <c r="A10" s="45" t="s">
        <v>9</v>
      </c>
      <c r="B10" s="46">
        <f t="shared" si="0"/>
        <v>9</v>
      </c>
      <c r="C10" s="47">
        <v>2</v>
      </c>
      <c r="D10" s="46">
        <v>2021</v>
      </c>
      <c r="E10" s="107">
        <v>0</v>
      </c>
      <c r="F10" s="48">
        <v>0.14000000000000001</v>
      </c>
      <c r="G10" s="107">
        <v>0</v>
      </c>
      <c r="H10" s="48">
        <v>0.4453480216384178</v>
      </c>
      <c r="I10" s="65">
        <v>0</v>
      </c>
      <c r="J10" s="76">
        <v>0.4</v>
      </c>
      <c r="K10" s="108">
        <v>0</v>
      </c>
      <c r="L10" s="76">
        <v>1.5287027707808565</v>
      </c>
      <c r="M10" s="72"/>
      <c r="N10" s="72"/>
      <c r="O10" s="72"/>
    </row>
    <row r="11" spans="1:15" ht="15" x14ac:dyDescent="0.25">
      <c r="A11" s="45" t="s">
        <v>9</v>
      </c>
      <c r="B11" s="46">
        <f t="shared" si="0"/>
        <v>10</v>
      </c>
      <c r="C11" s="47">
        <v>2</v>
      </c>
      <c r="D11" s="46">
        <v>2021</v>
      </c>
      <c r="E11" s="107">
        <v>0</v>
      </c>
      <c r="F11" s="48">
        <v>0.14000000000000001</v>
      </c>
      <c r="G11" s="107">
        <v>0</v>
      </c>
      <c r="H11" s="48">
        <v>0.4453480216384178</v>
      </c>
      <c r="I11" s="65">
        <v>0</v>
      </c>
      <c r="J11" s="76">
        <v>0.4</v>
      </c>
      <c r="K11" s="108">
        <v>0</v>
      </c>
      <c r="L11" s="76">
        <v>1.5287027707808565</v>
      </c>
      <c r="M11" s="72"/>
      <c r="N11" s="72"/>
      <c r="O11" s="72"/>
    </row>
    <row r="12" spans="1:15" ht="15" x14ac:dyDescent="0.25">
      <c r="A12" s="45" t="s">
        <v>9</v>
      </c>
      <c r="B12" s="46">
        <f t="shared" si="0"/>
        <v>11</v>
      </c>
      <c r="C12" s="47">
        <v>2</v>
      </c>
      <c r="D12" s="46">
        <v>2021</v>
      </c>
      <c r="E12" s="107">
        <v>0</v>
      </c>
      <c r="F12" s="48">
        <v>0.14000000000000001</v>
      </c>
      <c r="G12" s="107">
        <v>0</v>
      </c>
      <c r="H12" s="48">
        <v>0.4453480216384178</v>
      </c>
      <c r="I12" s="65">
        <v>0</v>
      </c>
      <c r="J12" s="76">
        <v>0.4</v>
      </c>
      <c r="K12" s="108">
        <v>0</v>
      </c>
      <c r="L12" s="76">
        <v>1.5287027707808565</v>
      </c>
      <c r="M12" s="72"/>
      <c r="N12" s="72"/>
      <c r="O12" s="72"/>
    </row>
    <row r="13" spans="1:15" ht="15" x14ac:dyDescent="0.25">
      <c r="A13" s="45" t="s">
        <v>9</v>
      </c>
      <c r="B13" s="46">
        <f t="shared" si="0"/>
        <v>12</v>
      </c>
      <c r="C13" s="47">
        <v>2</v>
      </c>
      <c r="D13" s="46">
        <v>2021</v>
      </c>
      <c r="E13" s="107">
        <v>0</v>
      </c>
      <c r="F13" s="48">
        <v>0.14000000000000001</v>
      </c>
      <c r="G13" s="107">
        <v>0</v>
      </c>
      <c r="H13" s="48">
        <v>0.4453480216384178</v>
      </c>
      <c r="I13" s="65">
        <v>0</v>
      </c>
      <c r="J13" s="76">
        <v>0.4</v>
      </c>
      <c r="K13" s="108">
        <v>0</v>
      </c>
      <c r="L13" s="76">
        <v>1.5287027707808565</v>
      </c>
      <c r="M13" s="72"/>
      <c r="N13" s="72"/>
      <c r="O13" s="72"/>
    </row>
    <row r="14" spans="1:15" ht="15" x14ac:dyDescent="0.25">
      <c r="A14" s="45" t="s">
        <v>9</v>
      </c>
      <c r="B14" s="46">
        <f t="shared" si="0"/>
        <v>13</v>
      </c>
      <c r="C14" s="47">
        <v>2</v>
      </c>
      <c r="D14" s="46">
        <v>2021</v>
      </c>
      <c r="E14" s="107">
        <v>0</v>
      </c>
      <c r="F14" s="48">
        <v>0.14000000000000001</v>
      </c>
      <c r="G14" s="107">
        <v>0</v>
      </c>
      <c r="H14" s="48">
        <v>0.4453480216384178</v>
      </c>
      <c r="I14" s="65">
        <v>0</v>
      </c>
      <c r="J14" s="76">
        <v>0.4</v>
      </c>
      <c r="K14" s="108">
        <v>0</v>
      </c>
      <c r="L14" s="76">
        <v>1.5287027707808565</v>
      </c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2</v>
      </c>
      <c r="D15" s="46">
        <v>2021</v>
      </c>
      <c r="E15" s="107">
        <v>0</v>
      </c>
      <c r="F15" s="48">
        <v>0.14000000000000001</v>
      </c>
      <c r="G15" s="107">
        <v>0</v>
      </c>
      <c r="H15" s="48">
        <v>0.4453480216384178</v>
      </c>
      <c r="I15" s="65">
        <v>0</v>
      </c>
      <c r="J15" s="76">
        <v>0.4</v>
      </c>
      <c r="K15" s="108">
        <v>0</v>
      </c>
      <c r="L15" s="76">
        <v>1.5287027707808565</v>
      </c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2</v>
      </c>
      <c r="D16" s="46">
        <v>2021</v>
      </c>
      <c r="E16" s="107">
        <v>0</v>
      </c>
      <c r="F16" s="48">
        <v>0.14000000000000001</v>
      </c>
      <c r="G16" s="107">
        <v>0</v>
      </c>
      <c r="H16" s="48">
        <v>0.4453480216384178</v>
      </c>
      <c r="I16" s="65">
        <v>0</v>
      </c>
      <c r="J16" s="76">
        <v>0.4</v>
      </c>
      <c r="K16" s="108">
        <v>0</v>
      </c>
      <c r="L16" s="76">
        <v>1.5287027707808565</v>
      </c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2</v>
      </c>
      <c r="D17" s="46">
        <v>2021</v>
      </c>
      <c r="E17" s="107">
        <v>0</v>
      </c>
      <c r="F17" s="48">
        <v>0.14000000000000001</v>
      </c>
      <c r="G17" s="107">
        <v>0</v>
      </c>
      <c r="H17" s="48">
        <v>0.4453480216384178</v>
      </c>
      <c r="I17" s="65">
        <v>0</v>
      </c>
      <c r="J17" s="76">
        <v>0.4</v>
      </c>
      <c r="K17" s="108">
        <v>0</v>
      </c>
      <c r="L17" s="76">
        <v>1.5287027707808565</v>
      </c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2</v>
      </c>
      <c r="D18" s="46">
        <v>2021</v>
      </c>
      <c r="E18" s="107">
        <v>0</v>
      </c>
      <c r="F18" s="48">
        <v>0.14000000000000001</v>
      </c>
      <c r="G18" s="107">
        <v>0</v>
      </c>
      <c r="H18" s="48">
        <v>0.4453480216384178</v>
      </c>
      <c r="I18" s="65">
        <v>0</v>
      </c>
      <c r="J18" s="76">
        <v>0.4</v>
      </c>
      <c r="K18" s="108">
        <v>0</v>
      </c>
      <c r="L18" s="76">
        <v>1.5287027707808565</v>
      </c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2</v>
      </c>
      <c r="D19" s="46">
        <v>2021</v>
      </c>
      <c r="E19" s="107">
        <v>0</v>
      </c>
      <c r="F19" s="48">
        <v>0.14000000000000001</v>
      </c>
      <c r="G19" s="107">
        <v>0</v>
      </c>
      <c r="H19" s="48">
        <v>0.4453480216384178</v>
      </c>
      <c r="I19" s="65">
        <v>0</v>
      </c>
      <c r="J19" s="76">
        <v>0.4</v>
      </c>
      <c r="K19" s="108">
        <v>0</v>
      </c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2</v>
      </c>
      <c r="D20" s="46">
        <v>2021</v>
      </c>
      <c r="E20" s="107">
        <v>0</v>
      </c>
      <c r="F20" s="48">
        <v>0.14000000000000001</v>
      </c>
      <c r="G20" s="107">
        <v>0</v>
      </c>
      <c r="H20" s="48">
        <v>0.4453480216384178</v>
      </c>
      <c r="I20" s="65">
        <v>0</v>
      </c>
      <c r="J20" s="76">
        <v>0.4</v>
      </c>
      <c r="K20" s="108">
        <v>0</v>
      </c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2</v>
      </c>
      <c r="D21" s="46">
        <v>2021</v>
      </c>
      <c r="E21" s="107">
        <v>0</v>
      </c>
      <c r="F21" s="48">
        <v>0.14000000000000001</v>
      </c>
      <c r="G21" s="107">
        <v>0</v>
      </c>
      <c r="H21" s="48">
        <v>0.4453480216384178</v>
      </c>
      <c r="I21" s="65">
        <v>0</v>
      </c>
      <c r="J21" s="76">
        <v>0.4</v>
      </c>
      <c r="K21" s="108">
        <v>0</v>
      </c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2</v>
      </c>
      <c r="D22" s="46">
        <v>2021</v>
      </c>
      <c r="E22" s="107">
        <v>0</v>
      </c>
      <c r="F22" s="48">
        <v>0.14000000000000001</v>
      </c>
      <c r="G22" s="107">
        <v>0</v>
      </c>
      <c r="H22" s="48">
        <v>0.4453480216384178</v>
      </c>
      <c r="I22" s="65">
        <v>0</v>
      </c>
      <c r="J22" s="76">
        <v>0.4</v>
      </c>
      <c r="K22" s="108">
        <v>0</v>
      </c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2</v>
      </c>
      <c r="D23" s="46">
        <v>2021</v>
      </c>
      <c r="E23" s="107">
        <v>0</v>
      </c>
      <c r="F23" s="48">
        <v>0.14000000000000001</v>
      </c>
      <c r="G23" s="107">
        <v>0</v>
      </c>
      <c r="H23" s="48">
        <v>0.4453480216384178</v>
      </c>
      <c r="I23" s="65">
        <v>0</v>
      </c>
      <c r="J23" s="76">
        <v>0.4</v>
      </c>
      <c r="K23" s="108">
        <v>0</v>
      </c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2</v>
      </c>
      <c r="D24" s="46">
        <v>2021</v>
      </c>
      <c r="E24" s="107">
        <v>0</v>
      </c>
      <c r="F24" s="48">
        <v>0.14000000000000001</v>
      </c>
      <c r="G24" s="107">
        <v>0</v>
      </c>
      <c r="H24" s="48">
        <v>0.4453480216384178</v>
      </c>
      <c r="I24" s="65">
        <v>0</v>
      </c>
      <c r="J24" s="76">
        <v>0.4</v>
      </c>
      <c r="K24" s="108">
        <v>0</v>
      </c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2</v>
      </c>
      <c r="D25" s="46">
        <v>2021</v>
      </c>
      <c r="E25" s="107">
        <v>0</v>
      </c>
      <c r="F25" s="48">
        <v>0.14000000000000001</v>
      </c>
      <c r="G25" s="107">
        <v>0</v>
      </c>
      <c r="H25" s="48">
        <v>0.4453480216384178</v>
      </c>
      <c r="I25" s="65">
        <v>0</v>
      </c>
      <c r="J25" s="76">
        <v>0.4</v>
      </c>
      <c r="K25" s="108">
        <v>0</v>
      </c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2</v>
      </c>
      <c r="D26" s="46">
        <v>2021</v>
      </c>
      <c r="E26" s="107">
        <v>0</v>
      </c>
      <c r="F26" s="48">
        <v>0.14000000000000001</v>
      </c>
      <c r="G26" s="107">
        <v>0</v>
      </c>
      <c r="H26" s="48">
        <v>0.4453480216384178</v>
      </c>
      <c r="I26" s="65">
        <v>0</v>
      </c>
      <c r="J26" s="76">
        <v>0.4</v>
      </c>
      <c r="K26" s="108">
        <v>0</v>
      </c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2</v>
      </c>
      <c r="D27" s="46">
        <v>2021</v>
      </c>
      <c r="E27" s="107">
        <v>0</v>
      </c>
      <c r="F27" s="48">
        <v>0.14000000000000001</v>
      </c>
      <c r="G27" s="107">
        <v>0</v>
      </c>
      <c r="H27" s="48">
        <v>0.4453480216384178</v>
      </c>
      <c r="I27" s="65">
        <v>0</v>
      </c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2</v>
      </c>
      <c r="D28" s="46">
        <v>2021</v>
      </c>
      <c r="E28" s="107">
        <v>0</v>
      </c>
      <c r="F28" s="48">
        <v>0.14000000000000001</v>
      </c>
      <c r="G28" s="107">
        <v>0</v>
      </c>
      <c r="H28" s="48">
        <v>0.4453480216384178</v>
      </c>
      <c r="I28" s="65">
        <v>0</v>
      </c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2</v>
      </c>
      <c r="D29" s="46">
        <v>2021</v>
      </c>
      <c r="E29" s="107">
        <v>0</v>
      </c>
      <c r="F29" s="48">
        <v>0.14000000000000001</v>
      </c>
      <c r="G29" s="107">
        <v>0</v>
      </c>
      <c r="H29" s="48">
        <v>0.4453480216384178</v>
      </c>
      <c r="I29" s="65">
        <v>0</v>
      </c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0</v>
      </c>
      <c r="D30" s="46">
        <v>2021</v>
      </c>
      <c r="E30" s="107">
        <v>0</v>
      </c>
      <c r="F30" s="48">
        <v>0.14000000000000001</v>
      </c>
      <c r="G30" s="107">
        <v>0</v>
      </c>
      <c r="H30" s="48">
        <v>0.4453480216384178</v>
      </c>
      <c r="I30" s="65">
        <v>0</v>
      </c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0</v>
      </c>
      <c r="D31" s="46">
        <v>2021</v>
      </c>
      <c r="E31" s="107">
        <v>0</v>
      </c>
      <c r="F31" s="48">
        <v>0.14000000000000001</v>
      </c>
      <c r="G31" s="107">
        <v>0</v>
      </c>
      <c r="H31" s="48">
        <v>0.4453480216384178</v>
      </c>
      <c r="I31" s="65">
        <v>0</v>
      </c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0</v>
      </c>
      <c r="D32" s="46">
        <v>2021</v>
      </c>
      <c r="E32" s="107">
        <v>0</v>
      </c>
      <c r="F32" s="48">
        <v>0.14000000000000001</v>
      </c>
      <c r="G32" s="107">
        <v>0</v>
      </c>
      <c r="H32" s="48">
        <v>0.4453480216384178</v>
      </c>
      <c r="I32" s="65">
        <v>0</v>
      </c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20560</v>
      </c>
      <c r="F33" s="104">
        <v>0</v>
      </c>
      <c r="G33" s="101">
        <f>SUM(G2:G32)</f>
        <v>5432</v>
      </c>
      <c r="H33" s="102">
        <v>0</v>
      </c>
      <c r="I33" s="103">
        <f>SUM(I2:I32)</f>
        <v>279</v>
      </c>
      <c r="J33" s="104">
        <v>0</v>
      </c>
      <c r="K33" s="105">
        <v>0</v>
      </c>
      <c r="L33" s="102">
        <v>0</v>
      </c>
      <c r="M33" s="106">
        <f t="shared" ref="M33:O33" si="1">SUM(M2:M32)</f>
        <v>23</v>
      </c>
      <c r="N33" s="106">
        <f t="shared" si="1"/>
        <v>52</v>
      </c>
      <c r="O33" s="106">
        <f t="shared" si="1"/>
        <v>148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topLeftCell="D1" zoomScale="78" zoomScaleNormal="78" workbookViewId="0">
      <selection activeCell="X11" sqref="X11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10" t="s">
        <v>11</v>
      </c>
      <c r="C2" s="110" t="s">
        <v>12</v>
      </c>
      <c r="D2" s="110" t="s">
        <v>13</v>
      </c>
      <c r="E2" s="110" t="s">
        <v>14</v>
      </c>
      <c r="F2" s="110" t="s">
        <v>15</v>
      </c>
      <c r="G2" s="115" t="s">
        <v>16</v>
      </c>
      <c r="H2" s="117" t="s">
        <v>17</v>
      </c>
      <c r="I2" s="110" t="s">
        <v>18</v>
      </c>
      <c r="J2" s="120" t="s">
        <v>19</v>
      </c>
      <c r="K2" s="121"/>
      <c r="L2" s="122"/>
      <c r="M2" s="115" t="s">
        <v>20</v>
      </c>
      <c r="N2" s="117" t="s">
        <v>21</v>
      </c>
      <c r="O2" s="118" t="s">
        <v>22</v>
      </c>
      <c r="P2" s="117" t="s">
        <v>23</v>
      </c>
      <c r="Q2" s="123" t="s">
        <v>24</v>
      </c>
      <c r="R2" s="110" t="s">
        <v>25</v>
      </c>
      <c r="S2" s="110" t="s">
        <v>26</v>
      </c>
      <c r="T2" s="110" t="s">
        <v>27</v>
      </c>
      <c r="V2" s="112" t="s">
        <v>6</v>
      </c>
      <c r="W2" s="112" t="s">
        <v>7</v>
      </c>
      <c r="X2" s="112" t="s">
        <v>8</v>
      </c>
    </row>
    <row r="3" spans="1:25" s="17" customFormat="1" ht="45" customHeight="1" x14ac:dyDescent="0.25">
      <c r="A3" s="30"/>
      <c r="B3" s="111"/>
      <c r="C3" s="111"/>
      <c r="D3" s="111"/>
      <c r="E3" s="111"/>
      <c r="F3" s="111"/>
      <c r="G3" s="116"/>
      <c r="H3" s="117"/>
      <c r="I3" s="11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4"/>
      <c r="R3" s="111"/>
      <c r="S3" s="111"/>
      <c r="T3" s="111"/>
      <c r="V3" s="112"/>
      <c r="W3" s="112"/>
      <c r="X3" s="112"/>
    </row>
    <row r="4" spans="1:25" ht="21" customHeight="1" x14ac:dyDescent="0.25">
      <c r="A4" s="8">
        <v>44228</v>
      </c>
      <c r="B4" s="1">
        <v>789.94</v>
      </c>
      <c r="C4" s="1">
        <v>195.33</v>
      </c>
      <c r="D4" s="1">
        <v>7127780.3200000003</v>
      </c>
      <c r="E4" s="1">
        <v>7729754.3600000003</v>
      </c>
      <c r="F4" s="1">
        <v>2.0137</v>
      </c>
      <c r="G4" s="1">
        <v>609.17999999999995</v>
      </c>
      <c r="H4" s="1">
        <v>507.25</v>
      </c>
      <c r="I4" s="1">
        <v>189.12</v>
      </c>
      <c r="J4" s="1">
        <v>282.31</v>
      </c>
      <c r="K4" s="1">
        <v>295.32</v>
      </c>
      <c r="L4" s="1">
        <v>202.65</v>
      </c>
      <c r="M4" s="1">
        <v>407.78</v>
      </c>
      <c r="N4" s="1">
        <v>353.62</v>
      </c>
      <c r="O4" s="1">
        <v>114.83</v>
      </c>
      <c r="P4" s="1">
        <v>471.72</v>
      </c>
      <c r="Q4" s="1">
        <v>350.86</v>
      </c>
      <c r="R4" s="1">
        <v>119.31</v>
      </c>
      <c r="S4" s="1">
        <v>95.495999999999995</v>
      </c>
      <c r="T4" s="1">
        <v>350.44</v>
      </c>
      <c r="V4" s="71">
        <v>23</v>
      </c>
      <c r="W4" s="71">
        <v>52</v>
      </c>
      <c r="X4" s="71">
        <v>148</v>
      </c>
      <c r="Y4" s="17"/>
    </row>
    <row r="5" spans="1:25" ht="21" customHeight="1" x14ac:dyDescent="0.25">
      <c r="A5" s="8">
        <v>44229</v>
      </c>
      <c r="B5" s="1">
        <v>791.11</v>
      </c>
      <c r="C5" s="1">
        <v>195.59</v>
      </c>
      <c r="D5" s="1">
        <v>7129899.6799999997</v>
      </c>
      <c r="E5" s="1">
        <v>7732600.4000000004</v>
      </c>
      <c r="F5" s="1">
        <v>2.0160999999999998</v>
      </c>
      <c r="G5" s="1">
        <v>610.13</v>
      </c>
      <c r="H5" s="1">
        <v>508.09</v>
      </c>
      <c r="I5" s="1">
        <v>189.36</v>
      </c>
      <c r="J5" s="1">
        <v>282.63</v>
      </c>
      <c r="K5" s="1">
        <v>295.62</v>
      </c>
      <c r="L5" s="1">
        <v>202.84</v>
      </c>
      <c r="M5" s="1">
        <v>408.46</v>
      </c>
      <c r="N5" s="1">
        <v>354.45</v>
      </c>
      <c r="O5" s="1">
        <v>115.03</v>
      </c>
      <c r="P5" s="1">
        <v>472.5</v>
      </c>
      <c r="Q5" s="1">
        <v>351.4</v>
      </c>
      <c r="R5" s="1">
        <v>119.48</v>
      </c>
      <c r="S5" s="1">
        <v>95.629000000000005</v>
      </c>
      <c r="T5" s="1">
        <v>350.56</v>
      </c>
      <c r="V5" s="71"/>
      <c r="W5" s="71"/>
      <c r="X5" s="71"/>
      <c r="Y5" s="17"/>
    </row>
    <row r="6" spans="1:25" ht="21" customHeight="1" x14ac:dyDescent="0.25">
      <c r="A6" s="8">
        <v>44230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V6" s="71"/>
      <c r="W6" s="71"/>
      <c r="X6" s="71"/>
      <c r="Y6" s="17"/>
    </row>
    <row r="7" spans="1:25" ht="21" customHeight="1" x14ac:dyDescent="0.25">
      <c r="A7" s="8">
        <v>44231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V7" s="71"/>
      <c r="W7" s="71"/>
      <c r="X7" s="71"/>
      <c r="Y7" s="17"/>
    </row>
    <row r="8" spans="1:25" ht="21" customHeight="1" x14ac:dyDescent="0.25">
      <c r="A8" s="8">
        <v>44232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V8" s="71"/>
      <c r="W8" s="71"/>
      <c r="X8" s="71"/>
      <c r="Y8" s="17"/>
    </row>
    <row r="9" spans="1:25" ht="21" customHeight="1" x14ac:dyDescent="0.25">
      <c r="A9" s="8">
        <v>44233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V9" s="71"/>
      <c r="W9" s="71"/>
      <c r="X9" s="71"/>
      <c r="Y9" s="17"/>
    </row>
    <row r="10" spans="1:25" ht="21" customHeight="1" x14ac:dyDescent="0.25">
      <c r="A10" s="8">
        <v>44234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V10" s="71"/>
      <c r="W10" s="71"/>
      <c r="X10" s="71"/>
      <c r="Y10" s="17"/>
    </row>
    <row r="11" spans="1:25" ht="21" customHeight="1" x14ac:dyDescent="0.25">
      <c r="A11" s="8">
        <v>44235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V11" s="71"/>
      <c r="W11" s="71"/>
      <c r="X11" s="71"/>
      <c r="Y11" s="17"/>
    </row>
    <row r="12" spans="1:25" ht="21" customHeight="1" x14ac:dyDescent="0.25">
      <c r="A12" s="8">
        <v>44236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V12" s="71"/>
      <c r="W12" s="71"/>
      <c r="X12" s="71"/>
      <c r="Y12" s="17"/>
    </row>
    <row r="13" spans="1:25" ht="21" customHeight="1" x14ac:dyDescent="0.25">
      <c r="A13" s="8">
        <v>44237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V13" s="71"/>
      <c r="W13" s="71"/>
      <c r="X13" s="71"/>
      <c r="Y13" s="17"/>
    </row>
    <row r="14" spans="1:25" ht="21" customHeight="1" x14ac:dyDescent="0.25">
      <c r="A14" s="8">
        <v>44238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V14" s="71"/>
      <c r="W14" s="71"/>
      <c r="X14" s="71"/>
      <c r="Y14" s="17"/>
    </row>
    <row r="15" spans="1:25" ht="21" customHeight="1" x14ac:dyDescent="0.25">
      <c r="A15" s="8">
        <v>44239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V15" s="71"/>
      <c r="W15" s="71"/>
      <c r="X15" s="71"/>
      <c r="Y15" s="17"/>
    </row>
    <row r="16" spans="1:25" ht="21" customHeight="1" x14ac:dyDescent="0.25">
      <c r="A16" s="8">
        <v>44240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V16" s="71"/>
      <c r="W16" s="71"/>
      <c r="X16" s="71"/>
      <c r="Y16" s="17"/>
    </row>
    <row r="17" spans="1:25" ht="21" customHeight="1" x14ac:dyDescent="0.25">
      <c r="A17" s="8">
        <v>44241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V17" s="71"/>
      <c r="W17" s="71"/>
      <c r="X17" s="71"/>
      <c r="Y17" s="17"/>
    </row>
    <row r="18" spans="1:25" ht="21" customHeight="1" x14ac:dyDescent="0.25">
      <c r="A18" s="8">
        <v>44242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71"/>
      <c r="W18" s="71"/>
      <c r="X18" s="71"/>
      <c r="Y18" s="17"/>
    </row>
    <row r="19" spans="1:25" ht="21" customHeight="1" x14ac:dyDescent="0.25">
      <c r="A19" s="8">
        <v>44243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44244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44245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44246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44247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44248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44249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44250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44251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44252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44253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44254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44255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23</v>
      </c>
      <c r="W35" s="78">
        <f>SUM(W4:W34)</f>
        <v>52</v>
      </c>
      <c r="X35" s="78">
        <f>SUM(X4:X34)</f>
        <v>148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M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8" t="s">
        <v>32</v>
      </c>
      <c r="B2" s="110" t="s">
        <v>33</v>
      </c>
      <c r="C2" s="110" t="s">
        <v>34</v>
      </c>
      <c r="D2" s="110" t="s">
        <v>120</v>
      </c>
      <c r="E2" s="118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9"/>
      <c r="B3" s="111"/>
      <c r="C3" s="111"/>
      <c r="D3" s="111"/>
      <c r="E3" s="119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44228</v>
      </c>
      <c r="B4" s="26">
        <v>20560</v>
      </c>
      <c r="C4" s="4">
        <f>('Kwh Reading'!T5-'Kwh Reading'!T4)*1000</f>
        <v>120.00000000000455</v>
      </c>
      <c r="D4" s="2">
        <f>('Kwh Reading'!F5-'Kwh Reading'!F4)*1000000</f>
        <v>2399.9999999997358</v>
      </c>
      <c r="E4" s="2">
        <f>('Kwh Reading'!C5-'Kwh Reading'!C4)*1000</f>
        <v>259.99999999999091</v>
      </c>
      <c r="F4" s="2">
        <f>('Kwh Reading'!J5-'Kwh Reading'!J4)*1000</f>
        <v>319.99999999999318</v>
      </c>
      <c r="G4" s="2">
        <f>('Kwh Reading'!K5-'Kwh Reading'!K4)*1000</f>
        <v>300.00000000001137</v>
      </c>
      <c r="H4" s="2">
        <f>('Kwh Reading'!L5-'Kwh Reading'!L4)*1000</f>
        <v>189.99999999999773</v>
      </c>
      <c r="I4" s="2">
        <f>('Kwh Reading'!R5-'Kwh Reading'!R4)*1000</f>
        <v>170.00000000000171</v>
      </c>
      <c r="J4" s="2">
        <f>('Kwh Reading'!S5-'Kwh Reading'!S4)*1000</f>
        <v>133.00000000000978</v>
      </c>
      <c r="K4" s="2">
        <f>('Kwh Reading'!I5-'Kwh Reading'!I4)*1000</f>
        <v>240.00000000000909</v>
      </c>
      <c r="L4" s="2">
        <f>('Kwh Reading'!B5-'Kwh Reading'!B4)*1000</f>
        <v>1169.9999999999591</v>
      </c>
      <c r="M4" s="2">
        <f>('Kwh Reading'!M5-'Kwh Reading'!M4)*1000</f>
        <v>680.00000000000682</v>
      </c>
      <c r="N4" s="2">
        <f>('Kwh Reading'!H5-'Kwh Reading'!H4)*1000</f>
        <v>839.99999999997499</v>
      </c>
      <c r="O4" s="2">
        <f>('Kwh Reading'!P5-'Kwh Reading'!P4)*1000</f>
        <v>779.99999999997272</v>
      </c>
      <c r="P4" s="2">
        <f>('Kwh Reading'!G5-'Kwh Reading'!G4)*1000</f>
        <v>950.00000000004547</v>
      </c>
      <c r="Q4" s="2">
        <f>('Kwh Reading'!Q5-'Kwh Reading'!Q4)*1000</f>
        <v>539.99999999996362</v>
      </c>
      <c r="R4" s="2">
        <f>('Kwh Reading'!N5-'Kwh Reading'!N4)*1000</f>
        <v>829.99999999998408</v>
      </c>
      <c r="S4" s="2">
        <f>'Kwh Reading'!E5-'Kwh Reading'!E4</f>
        <v>2846.0400000000373</v>
      </c>
      <c r="T4" s="2">
        <f>'Kwh Reading'!D5-'Kwh Reading'!D4</f>
        <v>2119.359999999404</v>
      </c>
      <c r="U4" s="27">
        <f>('Kwh Reading'!O5-'Kwh Reading'!O4)*1000</f>
        <v>200.00000000000284</v>
      </c>
      <c r="V4" s="16">
        <f>B4-(SUM(C4:U4))</f>
        <v>5471.6000000008953</v>
      </c>
    </row>
    <row r="5" spans="1:22" x14ac:dyDescent="0.25">
      <c r="A5" s="3">
        <f>'Kwh Reading'!A5</f>
        <v>44229</v>
      </c>
      <c r="B5" s="26">
        <f>TOTAL!E3</f>
        <v>0</v>
      </c>
      <c r="C5" s="4">
        <f>('Kwh Reading'!T6-'Kwh Reading'!T5)*1000</f>
        <v>-350560</v>
      </c>
      <c r="D5" s="2">
        <f>('Kwh Reading'!F6-'Kwh Reading'!F5)*1000000</f>
        <v>-2016099.9999999998</v>
      </c>
      <c r="E5" s="2">
        <f>('Kwh Reading'!C6-'Kwh Reading'!C5)*1000</f>
        <v>-195590</v>
      </c>
      <c r="F5" s="2">
        <f>('Kwh Reading'!J6-'Kwh Reading'!J5)*1000</f>
        <v>-282630</v>
      </c>
      <c r="G5" s="2">
        <f>('Kwh Reading'!K6-'Kwh Reading'!K5)*1000</f>
        <v>-295620</v>
      </c>
      <c r="H5" s="2">
        <f>('Kwh Reading'!L6-'Kwh Reading'!L5)*1000</f>
        <v>-202840</v>
      </c>
      <c r="I5" s="2">
        <f>('Kwh Reading'!R6-'Kwh Reading'!R5)*1000</f>
        <v>-119480</v>
      </c>
      <c r="J5" s="2">
        <f>('Kwh Reading'!S6-'Kwh Reading'!S5)*1000</f>
        <v>-95629</v>
      </c>
      <c r="K5" s="2">
        <f>('Kwh Reading'!I6-'Kwh Reading'!I5)*1000</f>
        <v>-189360</v>
      </c>
      <c r="L5" s="2">
        <f>('Kwh Reading'!B6-'Kwh Reading'!B5)*1000</f>
        <v>-791110</v>
      </c>
      <c r="M5" s="2">
        <f>('Kwh Reading'!M6-'Kwh Reading'!M5)*1000</f>
        <v>-408460</v>
      </c>
      <c r="N5" s="2">
        <f>('Kwh Reading'!H6-'Kwh Reading'!H5)*1000</f>
        <v>-508090</v>
      </c>
      <c r="O5" s="2">
        <f>('Kwh Reading'!P6-'Kwh Reading'!P5)*1000</f>
        <v>-472500</v>
      </c>
      <c r="P5" s="2">
        <f>('Kwh Reading'!G6-'Kwh Reading'!G5)*1000</f>
        <v>-610130</v>
      </c>
      <c r="Q5" s="2">
        <f>('Kwh Reading'!Q6-'Kwh Reading'!Q5)*1000</f>
        <v>-351400</v>
      </c>
      <c r="R5" s="2">
        <f>('Kwh Reading'!N6-'Kwh Reading'!N5)*1000</f>
        <v>-354450</v>
      </c>
      <c r="S5" s="2">
        <f>'Kwh Reading'!E6-'Kwh Reading'!E5</f>
        <v>-7732600.4000000004</v>
      </c>
      <c r="T5" s="2">
        <f>'Kwh Reading'!D6-'Kwh Reading'!D5</f>
        <v>-7129899.6799999997</v>
      </c>
      <c r="U5" s="27">
        <f>('Kwh Reading'!O6-'Kwh Reading'!O5)*1000</f>
        <v>-115030</v>
      </c>
      <c r="V5" s="16">
        <f>B5-(SUM(C5:U5))</f>
        <v>22221479.079999998</v>
      </c>
    </row>
    <row r="6" spans="1:22" x14ac:dyDescent="0.25">
      <c r="A6" s="3">
        <f>'Kwh Reading'!A6</f>
        <v>44230</v>
      </c>
      <c r="B6" s="26">
        <f>TOTAL!E4</f>
        <v>0</v>
      </c>
      <c r="C6" s="4">
        <f>('Kwh Reading'!T7-'Kwh Reading'!T6)*1000</f>
        <v>0</v>
      </c>
      <c r="D6" s="2">
        <f>('Kwh Reading'!F7-'Kwh Reading'!F6)*1000000</f>
        <v>0</v>
      </c>
      <c r="E6" s="2">
        <f>('Kwh Reading'!C7-'Kwh Reading'!C6)*1000</f>
        <v>0</v>
      </c>
      <c r="F6" s="2">
        <f>('Kwh Reading'!J7-'Kwh Reading'!J6)*1000</f>
        <v>0</v>
      </c>
      <c r="G6" s="2">
        <f>('Kwh Reading'!K7-'Kwh Reading'!K6)*1000</f>
        <v>0</v>
      </c>
      <c r="H6" s="2">
        <f>('Kwh Reading'!L7-'Kwh Reading'!L6)*1000</f>
        <v>0</v>
      </c>
      <c r="I6" s="2">
        <f>('Kwh Reading'!R7-'Kwh Reading'!R6)*1000</f>
        <v>0</v>
      </c>
      <c r="J6" s="2">
        <f>('Kwh Reading'!S7-'Kwh Reading'!S6)*1000</f>
        <v>0</v>
      </c>
      <c r="K6" s="2">
        <f>('Kwh Reading'!I7-'Kwh Reading'!I6)*1000</f>
        <v>0</v>
      </c>
      <c r="L6" s="2">
        <f>('Kwh Reading'!B7-'Kwh Reading'!B6)*1000</f>
        <v>0</v>
      </c>
      <c r="M6" s="2">
        <f>('Kwh Reading'!M7-'Kwh Reading'!M6)*1000</f>
        <v>0</v>
      </c>
      <c r="N6" s="2">
        <f>('Kwh Reading'!H7-'Kwh Reading'!H6)*1000</f>
        <v>0</v>
      </c>
      <c r="O6" s="2">
        <f>('Kwh Reading'!P7-'Kwh Reading'!P6)*1000</f>
        <v>0</v>
      </c>
      <c r="P6" s="2">
        <f>('Kwh Reading'!G7-'Kwh Reading'!G6)*1000</f>
        <v>0</v>
      </c>
      <c r="Q6" s="2">
        <f>('Kwh Reading'!Q7-'Kwh Reading'!Q6)*1000</f>
        <v>0</v>
      </c>
      <c r="R6" s="2">
        <f>('Kwh Reading'!N7-'Kwh Reading'!N6)*1000</f>
        <v>0</v>
      </c>
      <c r="S6" s="2">
        <f>'Kwh Reading'!E7-'Kwh Reading'!E6</f>
        <v>0</v>
      </c>
      <c r="T6" s="2">
        <f>'Kwh Reading'!D7-'Kwh Reading'!D6</f>
        <v>0</v>
      </c>
      <c r="U6" s="27">
        <f>('Kwh Reading'!O7-'Kwh Reading'!O6)*1000</f>
        <v>0</v>
      </c>
      <c r="V6" s="16">
        <f t="shared" ref="V6:V34" si="0">B6-(SUM(C6:U6))</f>
        <v>0</v>
      </c>
    </row>
    <row r="7" spans="1:22" x14ac:dyDescent="0.25">
      <c r="A7" s="3">
        <f>'Kwh Reading'!A7</f>
        <v>44231</v>
      </c>
      <c r="B7" s="26">
        <f>TOTAL!E5</f>
        <v>0</v>
      </c>
      <c r="C7" s="4">
        <f>('Kwh Reading'!T8-'Kwh Reading'!T7)*1000</f>
        <v>0</v>
      </c>
      <c r="D7" s="2">
        <f>('Kwh Reading'!F8-'Kwh Reading'!F7)*1000000</f>
        <v>0</v>
      </c>
      <c r="E7" s="2">
        <f>('Kwh Reading'!C8-'Kwh Reading'!C7)*1000</f>
        <v>0</v>
      </c>
      <c r="F7" s="2">
        <f>('Kwh Reading'!J8-'Kwh Reading'!J7)*1000</f>
        <v>0</v>
      </c>
      <c r="G7" s="2">
        <f>('Kwh Reading'!K8-'Kwh Reading'!K7)*1000</f>
        <v>0</v>
      </c>
      <c r="H7" s="2">
        <f>('Kwh Reading'!L8-'Kwh Reading'!L7)*1000</f>
        <v>0</v>
      </c>
      <c r="I7" s="2">
        <f>('Kwh Reading'!R8-'Kwh Reading'!R7)*1000</f>
        <v>0</v>
      </c>
      <c r="J7" s="2">
        <f>('Kwh Reading'!S8-'Kwh Reading'!S7)*1000</f>
        <v>0</v>
      </c>
      <c r="K7" s="2">
        <f>('Kwh Reading'!I8-'Kwh Reading'!I7)*1000</f>
        <v>0</v>
      </c>
      <c r="L7" s="2">
        <f>('Kwh Reading'!B8-'Kwh Reading'!B7)*1000</f>
        <v>0</v>
      </c>
      <c r="M7" s="2">
        <f>('Kwh Reading'!M8-'Kwh Reading'!M7)*1000</f>
        <v>0</v>
      </c>
      <c r="N7" s="2">
        <f>('Kwh Reading'!H8-'Kwh Reading'!H7)*1000</f>
        <v>0</v>
      </c>
      <c r="O7" s="2">
        <f>('Kwh Reading'!P8-'Kwh Reading'!P7)*1000</f>
        <v>0</v>
      </c>
      <c r="P7" s="2">
        <f>('Kwh Reading'!G8-'Kwh Reading'!G7)*1000</f>
        <v>0</v>
      </c>
      <c r="Q7" s="2">
        <f>('Kwh Reading'!Q8-'Kwh Reading'!Q7)*1000</f>
        <v>0</v>
      </c>
      <c r="R7" s="2">
        <f>('Kwh Reading'!N8-'Kwh Reading'!N7)*1000</f>
        <v>0</v>
      </c>
      <c r="S7" s="2">
        <f>'Kwh Reading'!E8-'Kwh Reading'!E7</f>
        <v>0</v>
      </c>
      <c r="T7" s="2">
        <f>'Kwh Reading'!D8-'Kwh Reading'!D7</f>
        <v>0</v>
      </c>
      <c r="U7" s="27">
        <f>('Kwh Reading'!O8-'Kwh Reading'!O7)*1000</f>
        <v>0</v>
      </c>
      <c r="V7" s="16">
        <f t="shared" si="0"/>
        <v>0</v>
      </c>
    </row>
    <row r="8" spans="1:22" x14ac:dyDescent="0.25">
      <c r="A8" s="3">
        <f>'Kwh Reading'!A8</f>
        <v>44232</v>
      </c>
      <c r="B8" s="26">
        <f>TOTAL!E6</f>
        <v>0</v>
      </c>
      <c r="C8" s="4">
        <f>('Kwh Reading'!T9-'Kwh Reading'!T8)*1000</f>
        <v>0</v>
      </c>
      <c r="D8" s="2">
        <f>('Kwh Reading'!F9-'Kwh Reading'!F8)*1000000</f>
        <v>0</v>
      </c>
      <c r="E8" s="2">
        <f>('Kwh Reading'!C9-'Kwh Reading'!C8)*1000</f>
        <v>0</v>
      </c>
      <c r="F8" s="2">
        <f>('Kwh Reading'!J9-'Kwh Reading'!J8)*1000</f>
        <v>0</v>
      </c>
      <c r="G8" s="2">
        <f>('Kwh Reading'!K9-'Kwh Reading'!K8)*1000</f>
        <v>0</v>
      </c>
      <c r="H8" s="2">
        <f>('Kwh Reading'!L9-'Kwh Reading'!L8)*1000</f>
        <v>0</v>
      </c>
      <c r="I8" s="2">
        <f>('Kwh Reading'!R9-'Kwh Reading'!R8)*1000</f>
        <v>0</v>
      </c>
      <c r="J8" s="2">
        <f>('Kwh Reading'!S9-'Kwh Reading'!S8)*1000</f>
        <v>0</v>
      </c>
      <c r="K8" s="2">
        <f>('Kwh Reading'!I9-'Kwh Reading'!I8)*1000</f>
        <v>0</v>
      </c>
      <c r="L8" s="2">
        <f>('Kwh Reading'!B9-'Kwh Reading'!B8)*1000</f>
        <v>0</v>
      </c>
      <c r="M8" s="2">
        <f>('Kwh Reading'!M9-'Kwh Reading'!M8)*1000</f>
        <v>0</v>
      </c>
      <c r="N8" s="2">
        <f>('Kwh Reading'!H9-'Kwh Reading'!H8)*1000</f>
        <v>0</v>
      </c>
      <c r="O8" s="2">
        <f>('Kwh Reading'!P9-'Kwh Reading'!P8)*1000</f>
        <v>0</v>
      </c>
      <c r="P8" s="2">
        <f>('Kwh Reading'!G9-'Kwh Reading'!G8)*1000</f>
        <v>0</v>
      </c>
      <c r="Q8" s="2">
        <f>('Kwh Reading'!Q9-'Kwh Reading'!Q8)*1000</f>
        <v>0</v>
      </c>
      <c r="R8" s="2">
        <f>('Kwh Reading'!N9-'Kwh Reading'!N8)*1000</f>
        <v>0</v>
      </c>
      <c r="S8" s="2">
        <f>'Kwh Reading'!E9-'Kwh Reading'!E8</f>
        <v>0</v>
      </c>
      <c r="T8" s="2">
        <f>'Kwh Reading'!D9-'Kwh Reading'!D8</f>
        <v>0</v>
      </c>
      <c r="U8" s="27">
        <f>('Kwh Reading'!O9-'Kwh Reading'!O8)*1000</f>
        <v>0</v>
      </c>
      <c r="V8" s="16">
        <f t="shared" si="0"/>
        <v>0</v>
      </c>
    </row>
    <row r="9" spans="1:22" x14ac:dyDescent="0.25">
      <c r="A9" s="3">
        <f>'Kwh Reading'!A9</f>
        <v>44233</v>
      </c>
      <c r="B9" s="26">
        <f>TOTAL!E7</f>
        <v>0</v>
      </c>
      <c r="C9" s="4">
        <f>('Kwh Reading'!T10-'Kwh Reading'!T9)*1000</f>
        <v>0</v>
      </c>
      <c r="D9" s="2">
        <f>('Kwh Reading'!F10-'Kwh Reading'!F9)*1000000</f>
        <v>0</v>
      </c>
      <c r="E9" s="2">
        <f>('Kwh Reading'!C10-'Kwh Reading'!C9)*1000</f>
        <v>0</v>
      </c>
      <c r="F9" s="2">
        <f>('Kwh Reading'!J10-'Kwh Reading'!J9)*1000</f>
        <v>0</v>
      </c>
      <c r="G9" s="2">
        <f>('Kwh Reading'!K10-'Kwh Reading'!K9)*1000</f>
        <v>0</v>
      </c>
      <c r="H9" s="2">
        <f>('Kwh Reading'!L10-'Kwh Reading'!L9)*1000</f>
        <v>0</v>
      </c>
      <c r="I9" s="2">
        <f>('Kwh Reading'!R10-'Kwh Reading'!R9)*1000</f>
        <v>0</v>
      </c>
      <c r="J9" s="2">
        <f>('Kwh Reading'!S10-'Kwh Reading'!S9)*1000</f>
        <v>0</v>
      </c>
      <c r="K9" s="2">
        <f>('Kwh Reading'!I10-'Kwh Reading'!I9)*1000</f>
        <v>0</v>
      </c>
      <c r="L9" s="2">
        <f>('Kwh Reading'!B10-'Kwh Reading'!B9)*1000</f>
        <v>0</v>
      </c>
      <c r="M9" s="2">
        <f>('Kwh Reading'!M10-'Kwh Reading'!M9)*1000</f>
        <v>0</v>
      </c>
      <c r="N9" s="2">
        <f>('Kwh Reading'!H10-'Kwh Reading'!H9)*1000</f>
        <v>0</v>
      </c>
      <c r="O9" s="2">
        <f>('Kwh Reading'!P10-'Kwh Reading'!P9)*1000</f>
        <v>0</v>
      </c>
      <c r="P9" s="2">
        <f>('Kwh Reading'!G10-'Kwh Reading'!G9)*1000</f>
        <v>0</v>
      </c>
      <c r="Q9" s="2">
        <f>('Kwh Reading'!Q10-'Kwh Reading'!Q9)*1000</f>
        <v>0</v>
      </c>
      <c r="R9" s="2">
        <f>('Kwh Reading'!N10-'Kwh Reading'!N9)*1000</f>
        <v>0</v>
      </c>
      <c r="S9" s="2">
        <f>'Kwh Reading'!E10-'Kwh Reading'!E9</f>
        <v>0</v>
      </c>
      <c r="T9" s="2">
        <f>'Kwh Reading'!D10-'Kwh Reading'!D9</f>
        <v>0</v>
      </c>
      <c r="U9" s="27">
        <f>('Kwh Reading'!O10-'Kwh Reading'!O9)*1000</f>
        <v>0</v>
      </c>
      <c r="V9" s="16">
        <f t="shared" si="0"/>
        <v>0</v>
      </c>
    </row>
    <row r="10" spans="1:22" x14ac:dyDescent="0.25">
      <c r="A10" s="3">
        <f>'Kwh Reading'!A10</f>
        <v>44234</v>
      </c>
      <c r="B10" s="26">
        <f>TOTAL!E8</f>
        <v>0</v>
      </c>
      <c r="C10" s="4">
        <f>('Kwh Reading'!T11-'Kwh Reading'!T10)*1000</f>
        <v>0</v>
      </c>
      <c r="D10" s="2">
        <f>('Kwh Reading'!F11-'Kwh Reading'!F10)*1000000</f>
        <v>0</v>
      </c>
      <c r="E10" s="2">
        <f>('Kwh Reading'!C11-'Kwh Reading'!C10)*1000</f>
        <v>0</v>
      </c>
      <c r="F10" s="2">
        <f>('Kwh Reading'!J11-'Kwh Reading'!J10)*1000</f>
        <v>0</v>
      </c>
      <c r="G10" s="2">
        <f>('Kwh Reading'!K11-'Kwh Reading'!K10)*1000</f>
        <v>0</v>
      </c>
      <c r="H10" s="2">
        <f>('Kwh Reading'!L11-'Kwh Reading'!L10)*1000</f>
        <v>0</v>
      </c>
      <c r="I10" s="2">
        <f>('Kwh Reading'!R11-'Kwh Reading'!R10)*1000</f>
        <v>0</v>
      </c>
      <c r="J10" s="2">
        <f>('Kwh Reading'!S11-'Kwh Reading'!S10)*1000</f>
        <v>0</v>
      </c>
      <c r="K10" s="2">
        <f>('Kwh Reading'!I11-'Kwh Reading'!I10)*1000</f>
        <v>0</v>
      </c>
      <c r="L10" s="2">
        <f>('Kwh Reading'!B11-'Kwh Reading'!B10)*1000</f>
        <v>0</v>
      </c>
      <c r="M10" s="2">
        <f>('Kwh Reading'!M11-'Kwh Reading'!M10)*1000</f>
        <v>0</v>
      </c>
      <c r="N10" s="2">
        <f>('Kwh Reading'!H11-'Kwh Reading'!H10)*1000</f>
        <v>0</v>
      </c>
      <c r="O10" s="2">
        <f>('Kwh Reading'!P11-'Kwh Reading'!P10)*1000</f>
        <v>0</v>
      </c>
      <c r="P10" s="2">
        <f>('Kwh Reading'!G11-'Kwh Reading'!G10)*1000</f>
        <v>0</v>
      </c>
      <c r="Q10" s="2">
        <f>('Kwh Reading'!Q11-'Kwh Reading'!Q10)*1000</f>
        <v>0</v>
      </c>
      <c r="R10" s="2">
        <f>('Kwh Reading'!N11-'Kwh Reading'!N10)*1000</f>
        <v>0</v>
      </c>
      <c r="S10" s="34">
        <f>'Kwh Reading'!E11-'Kwh Reading'!E10</f>
        <v>0</v>
      </c>
      <c r="T10" s="34">
        <f>'Kwh Reading'!D11-'Kwh Reading'!D10</f>
        <v>0</v>
      </c>
      <c r="U10" s="27">
        <f>('Kwh Reading'!O11-'Kwh Reading'!O10)*1000</f>
        <v>0</v>
      </c>
      <c r="V10" s="16">
        <f t="shared" si="0"/>
        <v>0</v>
      </c>
    </row>
    <row r="11" spans="1:22" x14ac:dyDescent="0.25">
      <c r="A11" s="3">
        <f>'Kwh Reading'!A11</f>
        <v>44235</v>
      </c>
      <c r="B11" s="26">
        <f>TOTAL!E9</f>
        <v>0</v>
      </c>
      <c r="C11" s="4">
        <f>('Kwh Reading'!T12-'Kwh Reading'!T11)*1000</f>
        <v>0</v>
      </c>
      <c r="D11" s="2">
        <f>('Kwh Reading'!F12-'Kwh Reading'!F11)*1000000</f>
        <v>0</v>
      </c>
      <c r="E11" s="2">
        <f>('Kwh Reading'!C12-'Kwh Reading'!C11)*1000</f>
        <v>0</v>
      </c>
      <c r="F11" s="2">
        <f>('Kwh Reading'!J12-'Kwh Reading'!J11)*1000</f>
        <v>0</v>
      </c>
      <c r="G11" s="2">
        <f>('Kwh Reading'!K12-'Kwh Reading'!K11)*1000</f>
        <v>0</v>
      </c>
      <c r="H11" s="2">
        <f>('Kwh Reading'!L12-'Kwh Reading'!L11)*1000</f>
        <v>0</v>
      </c>
      <c r="I11" s="2">
        <f>('Kwh Reading'!R12-'Kwh Reading'!R11)*1000</f>
        <v>0</v>
      </c>
      <c r="J11" s="2">
        <f>('Kwh Reading'!S12-'Kwh Reading'!S11)*1000</f>
        <v>0</v>
      </c>
      <c r="K11" s="2">
        <f>('Kwh Reading'!I12-'Kwh Reading'!I11)*1000</f>
        <v>0</v>
      </c>
      <c r="L11" s="2">
        <f>('Kwh Reading'!B12-'Kwh Reading'!B11)*1000</f>
        <v>0</v>
      </c>
      <c r="M11" s="2">
        <f>('Kwh Reading'!M12-'Kwh Reading'!M11)*1000</f>
        <v>0</v>
      </c>
      <c r="N11" s="2">
        <f>('Kwh Reading'!H12-'Kwh Reading'!H11)*1000</f>
        <v>0</v>
      </c>
      <c r="O11" s="2">
        <f>('Kwh Reading'!P12-'Kwh Reading'!P11)*1000</f>
        <v>0</v>
      </c>
      <c r="P11" s="2">
        <f>('Kwh Reading'!G12-'Kwh Reading'!G11)*1000</f>
        <v>0</v>
      </c>
      <c r="Q11" s="2">
        <f>('Kwh Reading'!Q12-'Kwh Reading'!Q11)*1000</f>
        <v>0</v>
      </c>
      <c r="R11" s="2">
        <f>('Kwh Reading'!N12-'Kwh Reading'!N11)*1000</f>
        <v>0</v>
      </c>
      <c r="S11" s="34">
        <f>'Kwh Reading'!E12-'Kwh Reading'!E11</f>
        <v>0</v>
      </c>
      <c r="T11" s="34">
        <f>'Kwh Reading'!D12-'Kwh Reading'!D11</f>
        <v>0</v>
      </c>
      <c r="U11" s="27">
        <f>('Kwh Reading'!O12-'Kwh Reading'!O11)*1000</f>
        <v>0</v>
      </c>
      <c r="V11" s="16">
        <f t="shared" si="0"/>
        <v>0</v>
      </c>
    </row>
    <row r="12" spans="1:22" x14ac:dyDescent="0.25">
      <c r="A12" s="3">
        <f>'Kwh Reading'!A12</f>
        <v>44236</v>
      </c>
      <c r="B12" s="26">
        <f>TOTAL!E10</f>
        <v>0</v>
      </c>
      <c r="C12" s="4">
        <f>('Kwh Reading'!T13-'Kwh Reading'!T12)*1000</f>
        <v>0</v>
      </c>
      <c r="D12" s="2">
        <f>('Kwh Reading'!F13-'Kwh Reading'!F12)*1000000</f>
        <v>0</v>
      </c>
      <c r="E12" s="2">
        <f>('Kwh Reading'!C13-'Kwh Reading'!C12)*1000</f>
        <v>0</v>
      </c>
      <c r="F12" s="2">
        <f>('Kwh Reading'!J13-'Kwh Reading'!J12)*1000</f>
        <v>0</v>
      </c>
      <c r="G12" s="2">
        <f>('Kwh Reading'!K13-'Kwh Reading'!K12)*1000</f>
        <v>0</v>
      </c>
      <c r="H12" s="2">
        <f>('Kwh Reading'!L13-'Kwh Reading'!L12)*1000</f>
        <v>0</v>
      </c>
      <c r="I12" s="2">
        <f>('Kwh Reading'!R13-'Kwh Reading'!R12)*1000</f>
        <v>0</v>
      </c>
      <c r="J12" s="2">
        <f>('Kwh Reading'!S13-'Kwh Reading'!S12)*1000</f>
        <v>0</v>
      </c>
      <c r="K12" s="2">
        <f>('Kwh Reading'!I13-'Kwh Reading'!I12)*1000</f>
        <v>0</v>
      </c>
      <c r="L12" s="2">
        <f>('Kwh Reading'!B13-'Kwh Reading'!B12)*1000</f>
        <v>0</v>
      </c>
      <c r="M12" s="2">
        <f>('Kwh Reading'!M13-'Kwh Reading'!M12)*1000</f>
        <v>0</v>
      </c>
      <c r="N12" s="2">
        <f>('Kwh Reading'!H13-'Kwh Reading'!H12)*1000</f>
        <v>0</v>
      </c>
      <c r="O12" s="2">
        <f>('Kwh Reading'!P13-'Kwh Reading'!P12)*1000</f>
        <v>0</v>
      </c>
      <c r="P12" s="2">
        <f>('Kwh Reading'!G13-'Kwh Reading'!G12)*1000</f>
        <v>0</v>
      </c>
      <c r="Q12" s="2">
        <f>('Kwh Reading'!Q13-'Kwh Reading'!Q12)*1000</f>
        <v>0</v>
      </c>
      <c r="R12" s="2">
        <f>('Kwh Reading'!N13-'Kwh Reading'!N12)*1000</f>
        <v>0</v>
      </c>
      <c r="S12" s="34">
        <f>'Kwh Reading'!E13-'Kwh Reading'!E12</f>
        <v>0</v>
      </c>
      <c r="T12" s="34">
        <f>'Kwh Reading'!D13-'Kwh Reading'!D12</f>
        <v>0</v>
      </c>
      <c r="U12" s="27">
        <f>('Kwh Reading'!O13-'Kwh Reading'!O12)*1000</f>
        <v>0</v>
      </c>
      <c r="V12" s="16">
        <f t="shared" si="0"/>
        <v>0</v>
      </c>
    </row>
    <row r="13" spans="1:22" x14ac:dyDescent="0.25">
      <c r="A13" s="3">
        <f>'Kwh Reading'!A13</f>
        <v>44237</v>
      </c>
      <c r="B13" s="26">
        <f>TOTAL!E11</f>
        <v>0</v>
      </c>
      <c r="C13" s="4">
        <f>('Kwh Reading'!T14-'Kwh Reading'!T13)*1000</f>
        <v>0</v>
      </c>
      <c r="D13" s="2">
        <f>('Kwh Reading'!F14-'Kwh Reading'!F13)*1000000</f>
        <v>0</v>
      </c>
      <c r="E13" s="2">
        <f>('Kwh Reading'!C14-'Kwh Reading'!C13)*1000</f>
        <v>0</v>
      </c>
      <c r="F13" s="2">
        <f>('Kwh Reading'!J14-'Kwh Reading'!J13)*1000</f>
        <v>0</v>
      </c>
      <c r="G13" s="2">
        <f>('Kwh Reading'!K14-'Kwh Reading'!K13)*1000</f>
        <v>0</v>
      </c>
      <c r="H13" s="2">
        <f>('Kwh Reading'!L14-'Kwh Reading'!L13)*1000</f>
        <v>0</v>
      </c>
      <c r="I13" s="2">
        <f>('Kwh Reading'!R14-'Kwh Reading'!R13)*1000</f>
        <v>0</v>
      </c>
      <c r="J13" s="2">
        <f>('Kwh Reading'!S14-'Kwh Reading'!S13)*1000</f>
        <v>0</v>
      </c>
      <c r="K13" s="2">
        <f>('Kwh Reading'!I14-'Kwh Reading'!I13)*1000</f>
        <v>0</v>
      </c>
      <c r="L13" s="2">
        <f>('Kwh Reading'!B14-'Kwh Reading'!B13)*1000</f>
        <v>0</v>
      </c>
      <c r="M13" s="2">
        <f>('Kwh Reading'!M14-'Kwh Reading'!M13)*1000</f>
        <v>0</v>
      </c>
      <c r="N13" s="2">
        <f>('Kwh Reading'!H14-'Kwh Reading'!H13)*1000</f>
        <v>0</v>
      </c>
      <c r="O13" s="2">
        <f>('Kwh Reading'!P14-'Kwh Reading'!P13)*1000</f>
        <v>0</v>
      </c>
      <c r="P13" s="2">
        <f>('Kwh Reading'!G14-'Kwh Reading'!G13)*1000</f>
        <v>0</v>
      </c>
      <c r="Q13" s="2">
        <f>('Kwh Reading'!Q14-'Kwh Reading'!Q13)*1000</f>
        <v>0</v>
      </c>
      <c r="R13" s="2">
        <f>('Kwh Reading'!N14-'Kwh Reading'!N13)*1000</f>
        <v>0</v>
      </c>
      <c r="S13" s="34">
        <f>'Kwh Reading'!E14-'Kwh Reading'!E13</f>
        <v>0</v>
      </c>
      <c r="T13" s="34">
        <f>'Kwh Reading'!D14-'Kwh Reading'!D13</f>
        <v>0</v>
      </c>
      <c r="U13" s="27">
        <f>('Kwh Reading'!O14-'Kwh Reading'!O13)*1000</f>
        <v>0</v>
      </c>
      <c r="V13" s="16">
        <f t="shared" si="0"/>
        <v>0</v>
      </c>
    </row>
    <row r="14" spans="1:22" x14ac:dyDescent="0.25">
      <c r="A14" s="3">
        <f>'Kwh Reading'!A14</f>
        <v>44238</v>
      </c>
      <c r="B14" s="26">
        <f>TOTAL!E12</f>
        <v>0</v>
      </c>
      <c r="C14" s="4">
        <f>('Kwh Reading'!T15-'Kwh Reading'!T14)*1000</f>
        <v>0</v>
      </c>
      <c r="D14" s="2">
        <f>('Kwh Reading'!F15-'Kwh Reading'!F14)*1000000</f>
        <v>0</v>
      </c>
      <c r="E14" s="2">
        <f>('Kwh Reading'!C15-'Kwh Reading'!C14)*1000</f>
        <v>0</v>
      </c>
      <c r="F14" s="2">
        <f>('Kwh Reading'!J15-'Kwh Reading'!J14)*1000</f>
        <v>0</v>
      </c>
      <c r="G14" s="2">
        <f>('Kwh Reading'!K15-'Kwh Reading'!K14)*1000</f>
        <v>0</v>
      </c>
      <c r="H14" s="2">
        <f>('Kwh Reading'!L15-'Kwh Reading'!L14)*1000</f>
        <v>0</v>
      </c>
      <c r="I14" s="2">
        <f>('Kwh Reading'!R15-'Kwh Reading'!R14)*1000</f>
        <v>0</v>
      </c>
      <c r="J14" s="2">
        <f>('Kwh Reading'!S15-'Kwh Reading'!S14)*1000</f>
        <v>0</v>
      </c>
      <c r="K14" s="2">
        <f>('Kwh Reading'!I15-'Kwh Reading'!I14)*1000</f>
        <v>0</v>
      </c>
      <c r="L14" s="2">
        <f>('Kwh Reading'!B15-'Kwh Reading'!B14)*1000</f>
        <v>0</v>
      </c>
      <c r="M14" s="2">
        <f>('Kwh Reading'!M15-'Kwh Reading'!M14)*1000</f>
        <v>0</v>
      </c>
      <c r="N14" s="2">
        <f>('Kwh Reading'!H15-'Kwh Reading'!H14)*1000</f>
        <v>0</v>
      </c>
      <c r="O14" s="2">
        <f>('Kwh Reading'!P15-'Kwh Reading'!P14)*1000</f>
        <v>0</v>
      </c>
      <c r="P14" s="2">
        <f>('Kwh Reading'!G15-'Kwh Reading'!G14)*1000</f>
        <v>0</v>
      </c>
      <c r="Q14" s="2">
        <f>('Kwh Reading'!Q15-'Kwh Reading'!Q14)*1000</f>
        <v>0</v>
      </c>
      <c r="R14" s="2">
        <f>('Kwh Reading'!N15-'Kwh Reading'!N14)*1000</f>
        <v>0</v>
      </c>
      <c r="S14" s="34">
        <f>'Kwh Reading'!E15-'Kwh Reading'!E14</f>
        <v>0</v>
      </c>
      <c r="T14" s="34">
        <f>'Kwh Reading'!D15-'Kwh Reading'!D14</f>
        <v>0</v>
      </c>
      <c r="U14" s="27">
        <f>('Kwh Reading'!O15-'Kwh Reading'!O14)*1000</f>
        <v>0</v>
      </c>
      <c r="V14" s="16">
        <f t="shared" si="0"/>
        <v>0</v>
      </c>
    </row>
    <row r="15" spans="1:22" x14ac:dyDescent="0.25">
      <c r="A15" s="3">
        <f>'Kwh Reading'!A15</f>
        <v>44239</v>
      </c>
      <c r="B15" s="26">
        <f>TOTAL!E13</f>
        <v>0</v>
      </c>
      <c r="C15" s="4">
        <f>('Kwh Reading'!T16-'Kwh Reading'!T15)*1000</f>
        <v>0</v>
      </c>
      <c r="D15" s="2">
        <f>('Kwh Reading'!F16-'Kwh Reading'!F15)*1000000</f>
        <v>0</v>
      </c>
      <c r="E15" s="2">
        <f>('Kwh Reading'!C16-'Kwh Reading'!C15)*1000</f>
        <v>0</v>
      </c>
      <c r="F15" s="2">
        <f>('Kwh Reading'!J16-'Kwh Reading'!J15)*1000</f>
        <v>0</v>
      </c>
      <c r="G15" s="2">
        <f>('Kwh Reading'!K16-'Kwh Reading'!K15)*1000</f>
        <v>0</v>
      </c>
      <c r="H15" s="2">
        <f>('Kwh Reading'!L16-'Kwh Reading'!L15)*1000</f>
        <v>0</v>
      </c>
      <c r="I15" s="2">
        <f>('Kwh Reading'!R16-'Kwh Reading'!R15)*1000</f>
        <v>0</v>
      </c>
      <c r="J15" s="2">
        <f>('Kwh Reading'!S16-'Kwh Reading'!S15)*1000</f>
        <v>0</v>
      </c>
      <c r="K15" s="2">
        <f>('Kwh Reading'!I16-'Kwh Reading'!I15)*1000</f>
        <v>0</v>
      </c>
      <c r="L15" s="2">
        <f>('Kwh Reading'!B16-'Kwh Reading'!B15)*1000</f>
        <v>0</v>
      </c>
      <c r="M15" s="2">
        <f>('Kwh Reading'!M16-'Kwh Reading'!M15)*1000</f>
        <v>0</v>
      </c>
      <c r="N15" s="2">
        <f>('Kwh Reading'!H16-'Kwh Reading'!H15)*1000</f>
        <v>0</v>
      </c>
      <c r="O15" s="2">
        <f>('Kwh Reading'!P16-'Kwh Reading'!P15)*1000</f>
        <v>0</v>
      </c>
      <c r="P15" s="2">
        <f>('Kwh Reading'!G16-'Kwh Reading'!G15)*1000</f>
        <v>0</v>
      </c>
      <c r="Q15" s="2">
        <f>('Kwh Reading'!Q16-'Kwh Reading'!Q15)*1000</f>
        <v>0</v>
      </c>
      <c r="R15" s="2">
        <f>('Kwh Reading'!N16-'Kwh Reading'!N15)*1000</f>
        <v>0</v>
      </c>
      <c r="S15" s="34">
        <f>'Kwh Reading'!E16-'Kwh Reading'!E15</f>
        <v>0</v>
      </c>
      <c r="T15" s="34">
        <f>'Kwh Reading'!D16-'Kwh Reading'!D15</f>
        <v>0</v>
      </c>
      <c r="U15" s="27">
        <f>('Kwh Reading'!O16-'Kwh Reading'!O15)*1000</f>
        <v>0</v>
      </c>
      <c r="V15" s="16">
        <f t="shared" si="0"/>
        <v>0</v>
      </c>
    </row>
    <row r="16" spans="1:22" x14ac:dyDescent="0.25">
      <c r="A16" s="3">
        <f>'Kwh Reading'!A16</f>
        <v>44240</v>
      </c>
      <c r="B16" s="26">
        <f>TOTAL!E14</f>
        <v>0</v>
      </c>
      <c r="C16" s="4">
        <f>('Kwh Reading'!T17-'Kwh Reading'!T16)*1000</f>
        <v>0</v>
      </c>
      <c r="D16" s="2">
        <f>('Kwh Reading'!F17-'Kwh Reading'!F16)*1000000</f>
        <v>0</v>
      </c>
      <c r="E16" s="2">
        <f>('Kwh Reading'!C17-'Kwh Reading'!C16)*1000</f>
        <v>0</v>
      </c>
      <c r="F16" s="2">
        <f>('Kwh Reading'!J17-'Kwh Reading'!J16)*1000</f>
        <v>0</v>
      </c>
      <c r="G16" s="2">
        <f>('Kwh Reading'!K17-'Kwh Reading'!K16)*1000</f>
        <v>0</v>
      </c>
      <c r="H16" s="2">
        <f>('Kwh Reading'!L17-'Kwh Reading'!L16)*1000</f>
        <v>0</v>
      </c>
      <c r="I16" s="2">
        <f>('Kwh Reading'!R17-'Kwh Reading'!R16)*1000</f>
        <v>0</v>
      </c>
      <c r="J16" s="2">
        <f>('Kwh Reading'!S17-'Kwh Reading'!S16)*1000</f>
        <v>0</v>
      </c>
      <c r="K16" s="2">
        <f>('Kwh Reading'!I17-'Kwh Reading'!I16)*1000</f>
        <v>0</v>
      </c>
      <c r="L16" s="2">
        <f>('Kwh Reading'!B17-'Kwh Reading'!B16)*1000</f>
        <v>0</v>
      </c>
      <c r="M16" s="2">
        <f>('Kwh Reading'!M17-'Kwh Reading'!M16)*1000</f>
        <v>0</v>
      </c>
      <c r="N16" s="2">
        <f>('Kwh Reading'!H17-'Kwh Reading'!H16)*1000</f>
        <v>0</v>
      </c>
      <c r="O16" s="2">
        <f>('Kwh Reading'!P17-'Kwh Reading'!P16)*1000</f>
        <v>0</v>
      </c>
      <c r="P16" s="2">
        <f>('Kwh Reading'!G17-'Kwh Reading'!G16)*1000</f>
        <v>0</v>
      </c>
      <c r="Q16" s="2">
        <f>('Kwh Reading'!Q17-'Kwh Reading'!Q16)*1000</f>
        <v>0</v>
      </c>
      <c r="R16" s="2">
        <f>('Kwh Reading'!N17-'Kwh Reading'!N16)*1000</f>
        <v>0</v>
      </c>
      <c r="S16" s="34">
        <f>'Kwh Reading'!E17-'Kwh Reading'!E16</f>
        <v>0</v>
      </c>
      <c r="T16" s="34">
        <f>'Kwh Reading'!D17-'Kwh Reading'!D16</f>
        <v>0</v>
      </c>
      <c r="U16" s="27">
        <f>('Kwh Reading'!O17-'Kwh Reading'!O16)*1000</f>
        <v>0</v>
      </c>
      <c r="V16" s="16">
        <f t="shared" si="0"/>
        <v>0</v>
      </c>
    </row>
    <row r="17" spans="1:22" x14ac:dyDescent="0.25">
      <c r="A17" s="3">
        <f>'Kwh Reading'!A17</f>
        <v>44241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4">
        <f>'Kwh Reading'!E18-'Kwh Reading'!E17</f>
        <v>0</v>
      </c>
      <c r="T17" s="34">
        <f>'Kwh Reading'!D18-'Kwh Reading'!D17</f>
        <v>0</v>
      </c>
      <c r="U17" s="27">
        <f>('Kwh Reading'!O18-'Kwh Reading'!O17)*1000</f>
        <v>0</v>
      </c>
      <c r="V17" s="16">
        <f t="shared" si="0"/>
        <v>0</v>
      </c>
    </row>
    <row r="18" spans="1:22" x14ac:dyDescent="0.25">
      <c r="A18" s="3">
        <f>'Kwh Reading'!A18</f>
        <v>44242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4">
        <f>'Kwh Reading'!E19-'Kwh Reading'!E18</f>
        <v>0</v>
      </c>
      <c r="T18" s="34">
        <f>'Kwh Reading'!D19-'Kwh Reading'!D18</f>
        <v>0</v>
      </c>
      <c r="U18" s="27">
        <f>('Kwh Reading'!O19-'Kwh Reading'!O18)*1000</f>
        <v>0</v>
      </c>
      <c r="V18" s="16">
        <f t="shared" si="0"/>
        <v>0</v>
      </c>
    </row>
    <row r="19" spans="1:22" x14ac:dyDescent="0.25">
      <c r="A19" s="3">
        <f>'Kwh Reading'!A19</f>
        <v>44243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0"/>
        <v>0</v>
      </c>
    </row>
    <row r="20" spans="1:22" x14ac:dyDescent="0.25">
      <c r="A20" s="3">
        <f>'Kwh Reading'!A20</f>
        <v>44244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0"/>
        <v>0</v>
      </c>
    </row>
    <row r="21" spans="1:22" ht="16.5" customHeight="1" x14ac:dyDescent="0.25">
      <c r="A21" s="3">
        <f>'Kwh Reading'!A21</f>
        <v>44245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0"/>
        <v>0</v>
      </c>
    </row>
    <row r="22" spans="1:22" x14ac:dyDescent="0.25">
      <c r="A22" s="3">
        <f>'Kwh Reading'!A22</f>
        <v>44246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0"/>
        <v>0</v>
      </c>
    </row>
    <row r="23" spans="1:22" x14ac:dyDescent="0.25">
      <c r="A23" s="3">
        <f>'Kwh Reading'!A23</f>
        <v>44247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0"/>
        <v>0</v>
      </c>
    </row>
    <row r="24" spans="1:22" x14ac:dyDescent="0.25">
      <c r="A24" s="3">
        <f>'Kwh Reading'!A24</f>
        <v>44248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0"/>
        <v>0</v>
      </c>
    </row>
    <row r="25" spans="1:22" x14ac:dyDescent="0.25">
      <c r="A25" s="3">
        <f>'Kwh Reading'!A25</f>
        <v>44249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0"/>
        <v>0</v>
      </c>
    </row>
    <row r="26" spans="1:22" x14ac:dyDescent="0.25">
      <c r="A26" s="3">
        <f>'Kwh Reading'!A26</f>
        <v>44250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0"/>
        <v>0</v>
      </c>
    </row>
    <row r="27" spans="1:22" x14ac:dyDescent="0.25">
      <c r="A27" s="3">
        <f>'Kwh Reading'!A27</f>
        <v>44251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0"/>
        <v>0</v>
      </c>
    </row>
    <row r="28" spans="1:22" x14ac:dyDescent="0.25">
      <c r="A28" s="3">
        <f>'Kwh Reading'!A28</f>
        <v>44252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0"/>
        <v>0</v>
      </c>
    </row>
    <row r="29" spans="1:22" x14ac:dyDescent="0.25">
      <c r="A29" s="3">
        <f>'Kwh Reading'!A29</f>
        <v>44253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0"/>
        <v>0</v>
      </c>
    </row>
    <row r="30" spans="1:22" x14ac:dyDescent="0.25">
      <c r="A30" s="3">
        <f>'Kwh Reading'!A30</f>
        <v>44254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44255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0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0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20560</v>
      </c>
      <c r="C35" s="75">
        <f t="shared" ref="C35" si="1">SUM(C4:C34)</f>
        <v>-350440</v>
      </c>
      <c r="D35" s="75">
        <f t="shared" ref="D35" si="2">SUM(D4:D34)</f>
        <v>-2013700</v>
      </c>
      <c r="E35" s="75">
        <f t="shared" ref="E35" si="3">SUM(E4:E34)</f>
        <v>-195330</v>
      </c>
      <c r="F35" s="75">
        <f t="shared" ref="F35" si="4">SUM(F4:F34)</f>
        <v>-282310</v>
      </c>
      <c r="G35" s="75">
        <f t="shared" ref="G35:U35" si="5">SUM(G4:G34)</f>
        <v>-295320</v>
      </c>
      <c r="H35" s="75">
        <f t="shared" si="5"/>
        <v>-202650</v>
      </c>
      <c r="I35" s="75">
        <f t="shared" si="5"/>
        <v>-119310</v>
      </c>
      <c r="J35" s="75">
        <f t="shared" si="5"/>
        <v>-95495.999999999985</v>
      </c>
      <c r="K35" s="75">
        <f t="shared" si="5"/>
        <v>-189120</v>
      </c>
      <c r="L35" s="75">
        <f t="shared" si="5"/>
        <v>-789940</v>
      </c>
      <c r="M35" s="75">
        <f t="shared" si="5"/>
        <v>-407780</v>
      </c>
      <c r="N35" s="75">
        <f t="shared" si="5"/>
        <v>-507250</v>
      </c>
      <c r="O35" s="75">
        <f t="shared" si="5"/>
        <v>-471720</v>
      </c>
      <c r="P35" s="75">
        <f t="shared" si="5"/>
        <v>-609180</v>
      </c>
      <c r="Q35" s="75">
        <f t="shared" si="5"/>
        <v>-350860.00000000006</v>
      </c>
      <c r="R35" s="75">
        <f t="shared" si="5"/>
        <v>-353620</v>
      </c>
      <c r="S35" s="75">
        <f t="shared" si="5"/>
        <v>-7729754.3600000003</v>
      </c>
      <c r="T35" s="75">
        <f t="shared" si="5"/>
        <v>-7127780.3200000003</v>
      </c>
      <c r="U35" s="75">
        <f t="shared" si="5"/>
        <v>-114830</v>
      </c>
      <c r="V35" s="75">
        <f>SUM(V4:V34)</f>
        <v>22226950.68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9" sqref="B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44228</v>
      </c>
      <c r="B3" s="83">
        <f>TOTAL!E2</f>
        <v>20560</v>
      </c>
      <c r="C3" s="1">
        <f>'Kwh Consumption'!C4</f>
        <v>120.00000000000455</v>
      </c>
      <c r="D3" s="1">
        <f>'Kwh Consumption'!D4</f>
        <v>2399.9999999997358</v>
      </c>
      <c r="E3" s="1">
        <f>'Kwh Consumption'!E4</f>
        <v>259.99999999999091</v>
      </c>
      <c r="F3" s="1">
        <f>('Kwh Consumption'!F4+'Kwh Consumption'!G4+'Kwh Consumption'!H4)</f>
        <v>810.00000000000227</v>
      </c>
      <c r="G3" s="16">
        <f>('Kwh Consumption'!I4+'Kwh Consumption'!J4)</f>
        <v>303.00000000001148</v>
      </c>
      <c r="H3" s="1">
        <f>('Kwh Consumption'!K4+'Kwh Consumption'!L4)</f>
        <v>1409.9999999999682</v>
      </c>
      <c r="I3" s="1">
        <f>('Kwh Consumption'!M4+'Kwh Consumption'!N4+'Kwh Consumption'!O4+'Kwh Consumption'!P4+'Kwh Consumption'!Q4+'Kwh Consumption'!R4)</f>
        <v>4619.9999999999472</v>
      </c>
      <c r="J3" s="1">
        <f>('Kwh Consumption'!S4+'Kwh Consumption'!T4)</f>
        <v>4965.3999999994412</v>
      </c>
      <c r="K3" s="1">
        <f>'Kwh Consumption'!U4</f>
        <v>200.00000000000284</v>
      </c>
      <c r="L3" s="32">
        <f t="shared" ref="L3:L33" si="0">B3-C3-D3-E3-F3-G3-H3-I3-J3-K3</f>
        <v>5471.6000000008962</v>
      </c>
    </row>
    <row r="4" spans="1:12" x14ac:dyDescent="0.25">
      <c r="A4" s="14">
        <f>'Kwh Reading'!A5</f>
        <v>44229</v>
      </c>
      <c r="B4" s="83">
        <f>TOTAL!E3</f>
        <v>0</v>
      </c>
      <c r="C4" s="1">
        <f>'Kwh Consumption'!C5</f>
        <v>-350560</v>
      </c>
      <c r="D4" s="1">
        <f>'Kwh Consumption'!D5</f>
        <v>-2016099.9999999998</v>
      </c>
      <c r="E4" s="1">
        <f>'Kwh Consumption'!E5</f>
        <v>-195590</v>
      </c>
      <c r="F4" s="1">
        <f>('Kwh Consumption'!F5+'Kwh Consumption'!G5+'Kwh Consumption'!H5)</f>
        <v>-781090</v>
      </c>
      <c r="G4" s="16">
        <f>('Kwh Consumption'!I5+'Kwh Consumption'!J5)</f>
        <v>-215109</v>
      </c>
      <c r="H4" s="1">
        <f>('Kwh Consumption'!K5+'Kwh Consumption'!L5)</f>
        <v>-980470</v>
      </c>
      <c r="I4" s="1">
        <f>('Kwh Consumption'!M5+'Kwh Consumption'!N5+'Kwh Consumption'!O5+'Kwh Consumption'!P5+'Kwh Consumption'!Q5+'Kwh Consumption'!R5)</f>
        <v>-2705030</v>
      </c>
      <c r="J4" s="1">
        <f>('Kwh Consumption'!S5+'Kwh Consumption'!T5)</f>
        <v>-14862500.08</v>
      </c>
      <c r="K4" s="1">
        <f>'Kwh Consumption'!U5</f>
        <v>-115030</v>
      </c>
      <c r="L4" s="32">
        <f t="shared" si="0"/>
        <v>22221479.079999998</v>
      </c>
    </row>
    <row r="5" spans="1:12" x14ac:dyDescent="0.25">
      <c r="A5" s="14">
        <f>'Kwh Reading'!A6</f>
        <v>44230</v>
      </c>
      <c r="B5" s="83">
        <f>TOTAL!E4</f>
        <v>0</v>
      </c>
      <c r="C5" s="1">
        <f>'Kwh Consumption'!C6</f>
        <v>0</v>
      </c>
      <c r="D5" s="1">
        <f>'Kwh Consumption'!D6</f>
        <v>0</v>
      </c>
      <c r="E5" s="1">
        <f>'Kwh Consumption'!E6</f>
        <v>0</v>
      </c>
      <c r="F5" s="1">
        <f>('Kwh Consumption'!F6+'Kwh Consumption'!G6+'Kwh Consumption'!H6)</f>
        <v>0</v>
      </c>
      <c r="G5" s="16">
        <f>('Kwh Consumption'!I6+'Kwh Consumption'!J6)</f>
        <v>0</v>
      </c>
      <c r="H5" s="1">
        <f>('Kwh Consumption'!K6+'Kwh Consumption'!L6)</f>
        <v>0</v>
      </c>
      <c r="I5" s="1">
        <f>('Kwh Consumption'!M6+'Kwh Consumption'!N6+'Kwh Consumption'!O6+'Kwh Consumption'!P6+'Kwh Consumption'!Q6+'Kwh Consumption'!R6)</f>
        <v>0</v>
      </c>
      <c r="J5" s="1">
        <f>('Kwh Consumption'!S6+'Kwh Consumption'!T6)</f>
        <v>0</v>
      </c>
      <c r="K5" s="1">
        <f>'Kwh Consumption'!U6</f>
        <v>0</v>
      </c>
      <c r="L5" s="32">
        <f t="shared" si="0"/>
        <v>0</v>
      </c>
    </row>
    <row r="6" spans="1:12" x14ac:dyDescent="0.25">
      <c r="A6" s="14">
        <f>'Kwh Reading'!A7</f>
        <v>44231</v>
      </c>
      <c r="B6" s="83">
        <f>TOTAL!E5</f>
        <v>0</v>
      </c>
      <c r="C6" s="1">
        <f>'Kwh Consumption'!C7</f>
        <v>0</v>
      </c>
      <c r="D6" s="1">
        <f>'Kwh Consumption'!D7</f>
        <v>0</v>
      </c>
      <c r="E6" s="1">
        <f>'Kwh Consumption'!E7</f>
        <v>0</v>
      </c>
      <c r="F6" s="1">
        <f>('Kwh Consumption'!F7+'Kwh Consumption'!G7+'Kwh Consumption'!H7)</f>
        <v>0</v>
      </c>
      <c r="G6" s="16">
        <f>('Kwh Consumption'!I7+'Kwh Consumption'!J7)</f>
        <v>0</v>
      </c>
      <c r="H6" s="1">
        <f>('Kwh Consumption'!K7+'Kwh Consumption'!L7)</f>
        <v>0</v>
      </c>
      <c r="I6" s="1">
        <f>('Kwh Consumption'!M7+'Kwh Consumption'!N7+'Kwh Consumption'!O7+'Kwh Consumption'!P7+'Kwh Consumption'!Q7+'Kwh Consumption'!R7)</f>
        <v>0</v>
      </c>
      <c r="J6" s="1">
        <f>('Kwh Consumption'!S7+'Kwh Consumption'!T7)</f>
        <v>0</v>
      </c>
      <c r="K6" s="1">
        <f>'Kwh Consumption'!U7</f>
        <v>0</v>
      </c>
      <c r="L6" s="32">
        <f t="shared" si="0"/>
        <v>0</v>
      </c>
    </row>
    <row r="7" spans="1:12" x14ac:dyDescent="0.25">
      <c r="A7" s="14">
        <f>'Kwh Reading'!A8</f>
        <v>44232</v>
      </c>
      <c r="B7" s="83">
        <f>TOTAL!E6</f>
        <v>0</v>
      </c>
      <c r="C7" s="1">
        <f>'Kwh Consumption'!C8</f>
        <v>0</v>
      </c>
      <c r="D7" s="1">
        <f>'Kwh Consumption'!D8</f>
        <v>0</v>
      </c>
      <c r="E7" s="1">
        <f>'Kwh Consumption'!E8</f>
        <v>0</v>
      </c>
      <c r="F7" s="1">
        <f>('Kwh Consumption'!F8+'Kwh Consumption'!G8+'Kwh Consumption'!H8)</f>
        <v>0</v>
      </c>
      <c r="G7" s="16">
        <f>('Kwh Consumption'!I8+'Kwh Consumption'!J8)</f>
        <v>0</v>
      </c>
      <c r="H7" s="1">
        <f>('Kwh Consumption'!K8+'Kwh Consumption'!L8)</f>
        <v>0</v>
      </c>
      <c r="I7" s="1">
        <f>('Kwh Consumption'!M8+'Kwh Consumption'!N8+'Kwh Consumption'!O8+'Kwh Consumption'!P8+'Kwh Consumption'!Q8+'Kwh Consumption'!R8)</f>
        <v>0</v>
      </c>
      <c r="J7" s="1">
        <f>('Kwh Consumption'!S8+'Kwh Consumption'!T8)</f>
        <v>0</v>
      </c>
      <c r="K7" s="1">
        <f>'Kwh Consumption'!U8</f>
        <v>0</v>
      </c>
      <c r="L7" s="32">
        <f t="shared" si="0"/>
        <v>0</v>
      </c>
    </row>
    <row r="8" spans="1:12" x14ac:dyDescent="0.25">
      <c r="A8" s="14">
        <f>'Kwh Reading'!A9</f>
        <v>44233</v>
      </c>
      <c r="B8" s="83">
        <f>TOTAL!E7</f>
        <v>0</v>
      </c>
      <c r="C8" s="1">
        <f>'Kwh Consumption'!C9</f>
        <v>0</v>
      </c>
      <c r="D8" s="1">
        <f>'Kwh Consumption'!D9</f>
        <v>0</v>
      </c>
      <c r="E8" s="1">
        <f>'Kwh Consumption'!E9</f>
        <v>0</v>
      </c>
      <c r="F8" s="1">
        <f>('Kwh Consumption'!F9+'Kwh Consumption'!G9+'Kwh Consumption'!H9)</f>
        <v>0</v>
      </c>
      <c r="G8" s="16">
        <f>('Kwh Consumption'!I9+'Kwh Consumption'!J9)</f>
        <v>0</v>
      </c>
      <c r="H8" s="1">
        <f>('Kwh Consumption'!K9+'Kwh Consumption'!L9)</f>
        <v>0</v>
      </c>
      <c r="I8" s="1">
        <f>('Kwh Consumption'!M9+'Kwh Consumption'!N9+'Kwh Consumption'!O9+'Kwh Consumption'!P9+'Kwh Consumption'!Q9+'Kwh Consumption'!R9)</f>
        <v>0</v>
      </c>
      <c r="J8" s="1">
        <f>('Kwh Consumption'!S9+'Kwh Consumption'!T9)</f>
        <v>0</v>
      </c>
      <c r="K8" s="1">
        <f>'Kwh Consumption'!U9</f>
        <v>0</v>
      </c>
      <c r="L8" s="32">
        <f t="shared" si="0"/>
        <v>0</v>
      </c>
    </row>
    <row r="9" spans="1:12" x14ac:dyDescent="0.25">
      <c r="A9" s="14">
        <f>'Kwh Reading'!A10</f>
        <v>44234</v>
      </c>
      <c r="B9" s="83">
        <f>TOTAL!E8</f>
        <v>0</v>
      </c>
      <c r="C9" s="1">
        <f>'Kwh Consumption'!C10</f>
        <v>0</v>
      </c>
      <c r="D9" s="1">
        <f>'Kwh Consumption'!D10</f>
        <v>0</v>
      </c>
      <c r="E9" s="1">
        <f>'Kwh Consumption'!E10</f>
        <v>0</v>
      </c>
      <c r="F9" s="1">
        <f>('Kwh Consumption'!F10+'Kwh Consumption'!G10+'Kwh Consumption'!H10)</f>
        <v>0</v>
      </c>
      <c r="G9" s="16">
        <f>('Kwh Consumption'!I10+'Kwh Consumption'!J10)</f>
        <v>0</v>
      </c>
      <c r="H9" s="1">
        <f>('Kwh Consumption'!K10+'Kwh Consumption'!L10)</f>
        <v>0</v>
      </c>
      <c r="I9" s="1">
        <f>('Kwh Consumption'!M10+'Kwh Consumption'!N10+'Kwh Consumption'!O10+'Kwh Consumption'!P10+'Kwh Consumption'!Q10+'Kwh Consumption'!R10)</f>
        <v>0</v>
      </c>
      <c r="J9" s="1">
        <f>('Kwh Consumption'!S10+'Kwh Consumption'!T10)</f>
        <v>0</v>
      </c>
      <c r="K9" s="1">
        <f>'Kwh Consumption'!U10</f>
        <v>0</v>
      </c>
      <c r="L9" s="32">
        <f t="shared" si="0"/>
        <v>0</v>
      </c>
    </row>
    <row r="10" spans="1:12" x14ac:dyDescent="0.25">
      <c r="A10" s="14">
        <f>'Kwh Reading'!A11</f>
        <v>44235</v>
      </c>
      <c r="B10" s="83">
        <f>TOTAL!E9</f>
        <v>0</v>
      </c>
      <c r="C10" s="1">
        <f>'Kwh Consumption'!C11</f>
        <v>0</v>
      </c>
      <c r="D10" s="1">
        <f>'Kwh Consumption'!D11</f>
        <v>0</v>
      </c>
      <c r="E10" s="1">
        <f>'Kwh Consumption'!E11</f>
        <v>0</v>
      </c>
      <c r="F10" s="1">
        <f>('Kwh Consumption'!F11+'Kwh Consumption'!G11+'Kwh Consumption'!H11)</f>
        <v>0</v>
      </c>
      <c r="G10" s="16">
        <f>('Kwh Consumption'!I11+'Kwh Consumption'!J11)</f>
        <v>0</v>
      </c>
      <c r="H10" s="1">
        <f>('Kwh Consumption'!K11+'Kwh Consumption'!L11)</f>
        <v>0</v>
      </c>
      <c r="I10" s="1">
        <f>('Kwh Consumption'!M11+'Kwh Consumption'!N11+'Kwh Consumption'!O11+'Kwh Consumption'!P11+'Kwh Consumption'!Q11+'Kwh Consumption'!R11)</f>
        <v>0</v>
      </c>
      <c r="J10" s="1">
        <f>('Kwh Consumption'!S11+'Kwh Consumption'!T11)</f>
        <v>0</v>
      </c>
      <c r="K10" s="1">
        <f>'Kwh Consumption'!U11</f>
        <v>0</v>
      </c>
      <c r="L10" s="32">
        <f t="shared" si="0"/>
        <v>0</v>
      </c>
    </row>
    <row r="11" spans="1:12" x14ac:dyDescent="0.25">
      <c r="A11" s="14">
        <f>'Kwh Reading'!A12</f>
        <v>44236</v>
      </c>
      <c r="B11" s="83">
        <f>TOTAL!E10</f>
        <v>0</v>
      </c>
      <c r="C11" s="1">
        <f>'Kwh Consumption'!C12</f>
        <v>0</v>
      </c>
      <c r="D11" s="1">
        <f>'Kwh Consumption'!D12</f>
        <v>0</v>
      </c>
      <c r="E11" s="1">
        <f>'Kwh Consumption'!E12</f>
        <v>0</v>
      </c>
      <c r="F11" s="1">
        <f>('Kwh Consumption'!F12+'Kwh Consumption'!G12+'Kwh Consumption'!H12)</f>
        <v>0</v>
      </c>
      <c r="G11" s="16">
        <f>('Kwh Consumption'!I12+'Kwh Consumption'!J12)</f>
        <v>0</v>
      </c>
      <c r="H11" s="1">
        <f>('Kwh Consumption'!K12+'Kwh Consumption'!L12)</f>
        <v>0</v>
      </c>
      <c r="I11" s="1">
        <f>('Kwh Consumption'!M12+'Kwh Consumption'!N12+'Kwh Consumption'!O12+'Kwh Consumption'!P12+'Kwh Consumption'!Q12+'Kwh Consumption'!R12)</f>
        <v>0</v>
      </c>
      <c r="J11" s="1">
        <f>('Kwh Consumption'!S12+'Kwh Consumption'!T12)</f>
        <v>0</v>
      </c>
      <c r="K11" s="1">
        <f>'Kwh Consumption'!U12</f>
        <v>0</v>
      </c>
      <c r="L11" s="32">
        <f t="shared" si="0"/>
        <v>0</v>
      </c>
    </row>
    <row r="12" spans="1:12" x14ac:dyDescent="0.25">
      <c r="A12" s="14">
        <f>'Kwh Reading'!A13</f>
        <v>44237</v>
      </c>
      <c r="B12" s="83">
        <f>TOTAL!E11</f>
        <v>0</v>
      </c>
      <c r="C12" s="1">
        <f>'Kwh Consumption'!C13</f>
        <v>0</v>
      </c>
      <c r="D12" s="1">
        <f>'Kwh Consumption'!D13</f>
        <v>0</v>
      </c>
      <c r="E12" s="1">
        <f>'Kwh Consumption'!E13</f>
        <v>0</v>
      </c>
      <c r="F12" s="1">
        <f>('Kwh Consumption'!F13+'Kwh Consumption'!G13+'Kwh Consumption'!H13)</f>
        <v>0</v>
      </c>
      <c r="G12" s="16">
        <f>('Kwh Consumption'!I13+'Kwh Consumption'!J13)</f>
        <v>0</v>
      </c>
      <c r="H12" s="1">
        <f>('Kwh Consumption'!K13+'Kwh Consumption'!L13)</f>
        <v>0</v>
      </c>
      <c r="I12" s="1">
        <f>('Kwh Consumption'!M13+'Kwh Consumption'!N13+'Kwh Consumption'!O13+'Kwh Consumption'!P13+'Kwh Consumption'!Q13+'Kwh Consumption'!R13)</f>
        <v>0</v>
      </c>
      <c r="J12" s="1">
        <f>('Kwh Consumption'!S13+'Kwh Consumption'!T13)</f>
        <v>0</v>
      </c>
      <c r="K12" s="1">
        <f>'Kwh Consumption'!U13</f>
        <v>0</v>
      </c>
      <c r="L12" s="32">
        <f t="shared" si="0"/>
        <v>0</v>
      </c>
    </row>
    <row r="13" spans="1:12" x14ac:dyDescent="0.25">
      <c r="A13" s="14">
        <f>'Kwh Reading'!A14</f>
        <v>44238</v>
      </c>
      <c r="B13" s="83">
        <f>TOTAL!E12</f>
        <v>0</v>
      </c>
      <c r="C13" s="1">
        <f>'Kwh Consumption'!C14</f>
        <v>0</v>
      </c>
      <c r="D13" s="1">
        <f>'Kwh Consumption'!D14</f>
        <v>0</v>
      </c>
      <c r="E13" s="1">
        <f>'Kwh Consumption'!E14</f>
        <v>0</v>
      </c>
      <c r="F13" s="1">
        <f>('Kwh Consumption'!F14+'Kwh Consumption'!G14+'Kwh Consumption'!H14)</f>
        <v>0</v>
      </c>
      <c r="G13" s="16">
        <f>('Kwh Consumption'!I14+'Kwh Consumption'!J14)</f>
        <v>0</v>
      </c>
      <c r="H13" s="1">
        <f>('Kwh Consumption'!K14+'Kwh Consumption'!L14)</f>
        <v>0</v>
      </c>
      <c r="I13" s="1">
        <f>('Kwh Consumption'!M14+'Kwh Consumption'!N14+'Kwh Consumption'!O14+'Kwh Consumption'!P14+'Kwh Consumption'!Q14+'Kwh Consumption'!R14)</f>
        <v>0</v>
      </c>
      <c r="J13" s="1">
        <f>('Kwh Consumption'!S14+'Kwh Consumption'!T14)</f>
        <v>0</v>
      </c>
      <c r="K13" s="1">
        <f>'Kwh Consumption'!U14</f>
        <v>0</v>
      </c>
      <c r="L13" s="32">
        <f t="shared" si="0"/>
        <v>0</v>
      </c>
    </row>
    <row r="14" spans="1:12" x14ac:dyDescent="0.25">
      <c r="A14" s="14">
        <f>'Kwh Reading'!A15</f>
        <v>44239</v>
      </c>
      <c r="B14" s="83">
        <f>TOTAL!E13</f>
        <v>0</v>
      </c>
      <c r="C14" s="1">
        <f>'Kwh Consumption'!C15</f>
        <v>0</v>
      </c>
      <c r="D14" s="1">
        <f>'Kwh Consumption'!D15</f>
        <v>0</v>
      </c>
      <c r="E14" s="1">
        <f>'Kwh Consumption'!E15</f>
        <v>0</v>
      </c>
      <c r="F14" s="1">
        <f>('Kwh Consumption'!F15+'Kwh Consumption'!G15+'Kwh Consumption'!H15)</f>
        <v>0</v>
      </c>
      <c r="G14" s="16">
        <f>('Kwh Consumption'!I15+'Kwh Consumption'!J15)</f>
        <v>0</v>
      </c>
      <c r="H14" s="1">
        <f>('Kwh Consumption'!K15+'Kwh Consumption'!L15)</f>
        <v>0</v>
      </c>
      <c r="I14" s="1">
        <f>('Kwh Consumption'!M15+'Kwh Consumption'!N15+'Kwh Consumption'!O15+'Kwh Consumption'!P15+'Kwh Consumption'!Q15+'Kwh Consumption'!R15)</f>
        <v>0</v>
      </c>
      <c r="J14" s="1">
        <f>('Kwh Consumption'!S15+'Kwh Consumption'!T15)</f>
        <v>0</v>
      </c>
      <c r="K14" s="1">
        <f>'Kwh Consumption'!U15</f>
        <v>0</v>
      </c>
      <c r="L14" s="32">
        <f t="shared" si="0"/>
        <v>0</v>
      </c>
    </row>
    <row r="15" spans="1:12" x14ac:dyDescent="0.25">
      <c r="A15" s="14">
        <f>'Kwh Reading'!A16</f>
        <v>44240</v>
      </c>
      <c r="B15" s="83">
        <f>TOTAL!E14</f>
        <v>0</v>
      </c>
      <c r="C15" s="1">
        <f>'Kwh Consumption'!C16</f>
        <v>0</v>
      </c>
      <c r="D15" s="1">
        <f>'Kwh Consumption'!D16</f>
        <v>0</v>
      </c>
      <c r="E15" s="1">
        <f>'Kwh Consumption'!E16</f>
        <v>0</v>
      </c>
      <c r="F15" s="1">
        <f>('Kwh Consumption'!F16+'Kwh Consumption'!G16+'Kwh Consumption'!H16)</f>
        <v>0</v>
      </c>
      <c r="G15" s="16">
        <f>('Kwh Consumption'!I16+'Kwh Consumption'!J16)</f>
        <v>0</v>
      </c>
      <c r="H15" s="1">
        <f>('Kwh Consumption'!K16+'Kwh Consumption'!L16)</f>
        <v>0</v>
      </c>
      <c r="I15" s="1">
        <f>('Kwh Consumption'!M16+'Kwh Consumption'!N16+'Kwh Consumption'!O16+'Kwh Consumption'!P16+'Kwh Consumption'!Q16+'Kwh Consumption'!R16)</f>
        <v>0</v>
      </c>
      <c r="J15" s="1">
        <f>('Kwh Consumption'!S16+'Kwh Consumption'!T16)</f>
        <v>0</v>
      </c>
      <c r="K15" s="1">
        <f>'Kwh Consumption'!U16</f>
        <v>0</v>
      </c>
      <c r="L15" s="32">
        <f t="shared" si="0"/>
        <v>0</v>
      </c>
    </row>
    <row r="16" spans="1:12" x14ac:dyDescent="0.25">
      <c r="A16" s="14">
        <f>'Kwh Reading'!A17</f>
        <v>44241</v>
      </c>
      <c r="B16" s="83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2">
        <f t="shared" si="0"/>
        <v>0</v>
      </c>
    </row>
    <row r="17" spans="1:12" x14ac:dyDescent="0.25">
      <c r="A17" s="14">
        <f>'Kwh Reading'!A18</f>
        <v>44242</v>
      </c>
      <c r="B17" s="83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1">
        <f>'Kwh Consumption'!U18</f>
        <v>0</v>
      </c>
      <c r="L17" s="32">
        <f t="shared" si="0"/>
        <v>0</v>
      </c>
    </row>
    <row r="18" spans="1:12" x14ac:dyDescent="0.25">
      <c r="A18" s="14">
        <f>'Kwh Reading'!A19</f>
        <v>44243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44244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44245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44246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44247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44248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44249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44250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44251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44252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44253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44254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44255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0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0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0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20560</v>
      </c>
      <c r="C34" s="75">
        <f>SUM(C3:C33)</f>
        <v>-350440</v>
      </c>
      <c r="D34" s="75">
        <f t="shared" ref="D34:L34" si="1">SUM(D3:D33)</f>
        <v>-2013700</v>
      </c>
      <c r="E34" s="75">
        <f t="shared" si="1"/>
        <v>-195330</v>
      </c>
      <c r="F34" s="75">
        <f t="shared" si="1"/>
        <v>-780280</v>
      </c>
      <c r="G34" s="75">
        <f t="shared" si="1"/>
        <v>-214806</v>
      </c>
      <c r="H34" s="75">
        <f t="shared" si="1"/>
        <v>-979060</v>
      </c>
      <c r="I34" s="75">
        <f t="shared" si="1"/>
        <v>-2700410</v>
      </c>
      <c r="J34" s="75">
        <f t="shared" si="1"/>
        <v>-14857534.68</v>
      </c>
      <c r="K34" s="75">
        <f t="shared" si="1"/>
        <v>-114830</v>
      </c>
      <c r="L34" s="75">
        <f t="shared" si="1"/>
        <v>22226950.68</v>
      </c>
      <c r="M34" s="84">
        <f>C34+D34+E34+F34+G34+H34+I34+J34+K34+L34</f>
        <v>20560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-49061.600000000006</v>
      </c>
      <c r="D36" s="75">
        <f>D34*B36</f>
        <v>-281918</v>
      </c>
      <c r="E36" s="75">
        <f>E34*B36</f>
        <v>-27346.200000000004</v>
      </c>
      <c r="F36" s="75">
        <f>F34*B36</f>
        <v>-109239.20000000001</v>
      </c>
      <c r="G36" s="75">
        <f>G34*B36</f>
        <v>-30072.840000000004</v>
      </c>
      <c r="H36" s="75">
        <f>H34*B36</f>
        <v>-137068.40000000002</v>
      </c>
      <c r="I36" s="75">
        <f>I34*B36</f>
        <v>-378057.4</v>
      </c>
      <c r="J36" s="75">
        <f>J34*B36</f>
        <v>-2080054.8552000001</v>
      </c>
      <c r="K36" s="75">
        <f>K34*B36</f>
        <v>-16076.2</v>
      </c>
      <c r="L36" s="75">
        <f>L34*B36</f>
        <v>3111773.0952000003</v>
      </c>
      <c r="M36" s="84">
        <f>C36+D36+E36+F36+G36+H36+I36+J36+K36+L36</f>
        <v>2878.3999999999069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44228</v>
      </c>
      <c r="B3" s="11">
        <f>TOTAL!F2</f>
        <v>0.14000000000000001</v>
      </c>
      <c r="C3" s="11">
        <f>'Kwh Consumption'!B4*' Kwh area wise $ '!B3</f>
        <v>2878.4</v>
      </c>
      <c r="D3" s="1">
        <f>'Kwh Consumption'!C4*' Kwh area wise $ '!B3</f>
        <v>16.800000000000637</v>
      </c>
      <c r="E3" s="1">
        <f>'Kwh Consumption'!D4*' Kwh area wise $ '!B3</f>
        <v>335.99999999996305</v>
      </c>
      <c r="F3" s="1">
        <f>'Kwh Consumption'!E4*' Kwh area wise $ '!B3</f>
        <v>36.399999999998727</v>
      </c>
      <c r="G3" s="1">
        <f>('Kwh Consumption'!F4+'Kwh Consumption'!G4+'Kwh Consumption'!H4)*' Kwh area wise $ '!B3</f>
        <v>113.40000000000033</v>
      </c>
      <c r="H3" s="16">
        <f>('Kwh Consumption'!I4+'Kwh Consumption'!J4)*' Kwh area wise $ '!B3</f>
        <v>42.420000000001615</v>
      </c>
      <c r="I3" s="1">
        <f>('Kwh Consumption'!K4+'Kwh Consumption'!L4)*' Kwh area wise $ '!B3</f>
        <v>197.39999999999557</v>
      </c>
      <c r="J3" s="1">
        <f>('Kwh Consumption'!M4+'Kwh Consumption'!N4+'Kwh Consumption'!O4+'Kwh Consumption'!P4+'Kwh Consumption'!Q4+'Kwh Consumption'!R4)*' Kwh area wise $ '!B3</f>
        <v>646.79999999999268</v>
      </c>
      <c r="K3" s="1">
        <f>('Kwh Consumption'!S4+'Kwh Consumption'!T4)*' Kwh area wise $ '!B3</f>
        <v>695.15599999992185</v>
      </c>
      <c r="L3" s="1">
        <f>'Kwh Consumption'!U4*' Kwh area wise $ '!B3</f>
        <v>28.000000000000401</v>
      </c>
      <c r="M3" s="1">
        <f>'Kwh Consumption'!V4*' Kwh area wise $ '!B3</f>
        <v>766.0240000001254</v>
      </c>
    </row>
    <row r="4" spans="1:13" x14ac:dyDescent="0.25">
      <c r="A4" s="14">
        <f>'Kwh Reading'!A5</f>
        <v>44229</v>
      </c>
      <c r="B4" s="11">
        <f>TOTAL!F3</f>
        <v>0.14000000000000001</v>
      </c>
      <c r="C4" s="11">
        <f>'Kwh Consumption'!B5*' Kwh area wise $ '!B4</f>
        <v>0</v>
      </c>
      <c r="D4" s="1">
        <f>'Kwh Consumption'!C5*' Kwh area wise $ '!B4</f>
        <v>-49078.400000000001</v>
      </c>
      <c r="E4" s="1">
        <f>'Kwh Consumption'!D5*' Kwh area wise $ '!B4</f>
        <v>-282254</v>
      </c>
      <c r="F4" s="1">
        <f>'Kwh Consumption'!E5*' Kwh area wise $ '!B4</f>
        <v>-27382.600000000002</v>
      </c>
      <c r="G4" s="1">
        <f>('Kwh Consumption'!F5+'Kwh Consumption'!G5+'Kwh Consumption'!H5)*' Kwh area wise $ '!B4</f>
        <v>-109352.6</v>
      </c>
      <c r="H4" s="16">
        <f>('Kwh Consumption'!I5+'Kwh Consumption'!J5)*' Kwh area wise $ '!B4</f>
        <v>-30115.260000000002</v>
      </c>
      <c r="I4" s="1">
        <f>('Kwh Consumption'!K5+'Kwh Consumption'!L5)*' Kwh area wise $ '!B4</f>
        <v>-137265.80000000002</v>
      </c>
      <c r="J4" s="1">
        <f>('Kwh Consumption'!M5+'Kwh Consumption'!N5+'Kwh Consumption'!O5+'Kwh Consumption'!P5+'Kwh Consumption'!Q5+'Kwh Consumption'!R5)*' Kwh area wise $ '!B4</f>
        <v>-378704.2</v>
      </c>
      <c r="K4" s="1">
        <f>('Kwh Consumption'!S5+'Kwh Consumption'!T5)*' Kwh area wise $ '!B4</f>
        <v>-2080750.0112000003</v>
      </c>
      <c r="L4" s="1">
        <f>'Kwh Consumption'!U5*' Kwh area wise $ '!B4</f>
        <v>-16104.2</v>
      </c>
      <c r="M4" s="1">
        <f>'Kwh Consumption'!V5*' Kwh area wise $ '!B4</f>
        <v>3111007.0712000001</v>
      </c>
    </row>
    <row r="5" spans="1:13" x14ac:dyDescent="0.25">
      <c r="A5" s="14">
        <f>'Kwh Reading'!A6</f>
        <v>44230</v>
      </c>
      <c r="B5" s="11">
        <f>TOTAL!F4</f>
        <v>0.14000000000000001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1">
        <f>('Kwh Consumption'!S6+'Kwh Consumption'!T6)*' Kwh area wise $ '!B5</f>
        <v>0</v>
      </c>
      <c r="L5" s="1">
        <f>'Kwh Consumption'!U6*' Kwh area wise $ '!B5</f>
        <v>0</v>
      </c>
      <c r="M5" s="1">
        <f>'Kwh Consumption'!V6*' Kwh area wise $ '!B5</f>
        <v>0</v>
      </c>
    </row>
    <row r="6" spans="1:13" x14ac:dyDescent="0.25">
      <c r="A6" s="14">
        <f>'Kwh Reading'!A7</f>
        <v>44231</v>
      </c>
      <c r="B6" s="11">
        <f>TOTAL!F5</f>
        <v>0.14000000000000001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1">
        <f>('Kwh Consumption'!S7+'Kwh Consumption'!T7)*' Kwh area wise $ '!B6</f>
        <v>0</v>
      </c>
      <c r="L6" s="1">
        <f>'Kwh Consumption'!U7*' Kwh area wise $ '!B6</f>
        <v>0</v>
      </c>
      <c r="M6" s="1">
        <f>'Kwh Consumption'!V7*' Kwh area wise $ '!B6</f>
        <v>0</v>
      </c>
    </row>
    <row r="7" spans="1:13" x14ac:dyDescent="0.25">
      <c r="A7" s="14">
        <f>'Kwh Reading'!A8</f>
        <v>44232</v>
      </c>
      <c r="B7" s="11">
        <f>TOTAL!F6</f>
        <v>0.14000000000000001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1">
        <f>('Kwh Consumption'!S8+'Kwh Consumption'!T8)*' Kwh area wise $ '!B7</f>
        <v>0</v>
      </c>
      <c r="L7" s="1">
        <f>'Kwh Consumption'!U8*' Kwh area wise $ '!B7</f>
        <v>0</v>
      </c>
      <c r="M7" s="1">
        <f>'Kwh Consumption'!V8*' Kwh area wise $ '!B7</f>
        <v>0</v>
      </c>
    </row>
    <row r="8" spans="1:13" x14ac:dyDescent="0.25">
      <c r="A8" s="14">
        <f>'Kwh Reading'!A9</f>
        <v>44233</v>
      </c>
      <c r="B8" s="11">
        <f>TOTAL!F7</f>
        <v>0.14000000000000001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1">
        <f>('Kwh Consumption'!S9+'Kwh Consumption'!T9)*' Kwh area wise $ '!B8</f>
        <v>0</v>
      </c>
      <c r="L8" s="1">
        <f>'Kwh Consumption'!U9*' Kwh area wise $ '!B8</f>
        <v>0</v>
      </c>
      <c r="M8" s="1">
        <f>'Kwh Consumption'!V9*' Kwh area wise $ '!B8</f>
        <v>0</v>
      </c>
    </row>
    <row r="9" spans="1:13" x14ac:dyDescent="0.25">
      <c r="A9" s="14">
        <f>'Kwh Reading'!A10</f>
        <v>44234</v>
      </c>
      <c r="B9" s="11">
        <f>TOTAL!F8</f>
        <v>0.14000000000000001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1">
        <f>('Kwh Consumption'!S10+'Kwh Consumption'!T10)*' Kwh area wise $ '!B9</f>
        <v>0</v>
      </c>
      <c r="L9" s="1">
        <f>'Kwh Consumption'!U10*' Kwh area wise $ '!B9</f>
        <v>0</v>
      </c>
      <c r="M9" s="1">
        <f>'Kwh Consumption'!V10*' Kwh area wise $ '!B9</f>
        <v>0</v>
      </c>
    </row>
    <row r="10" spans="1:13" x14ac:dyDescent="0.25">
      <c r="A10" s="14">
        <f>'Kwh Reading'!A11</f>
        <v>44235</v>
      </c>
      <c r="B10" s="11">
        <f>TOTAL!F9</f>
        <v>0.14000000000000001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1">
        <f>('Kwh Consumption'!S11+'Kwh Consumption'!T11)*' Kwh area wise $ '!B10</f>
        <v>0</v>
      </c>
      <c r="L10" s="1">
        <f>'Kwh Consumption'!U11*' Kwh area wise $ '!B10</f>
        <v>0</v>
      </c>
      <c r="M10" s="1">
        <f>'Kwh Consumption'!V11*' Kwh area wise $ '!B10</f>
        <v>0</v>
      </c>
    </row>
    <row r="11" spans="1:13" x14ac:dyDescent="0.25">
      <c r="A11" s="14">
        <f>'Kwh Reading'!A12</f>
        <v>44236</v>
      </c>
      <c r="B11" s="11">
        <f>TOTAL!F10</f>
        <v>0.14000000000000001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1">
        <f>('Kwh Consumption'!S12+'Kwh Consumption'!T12)*' Kwh area wise $ '!B11</f>
        <v>0</v>
      </c>
      <c r="L11" s="1">
        <f>'Kwh Consumption'!U12*' Kwh area wise $ '!B11</f>
        <v>0</v>
      </c>
      <c r="M11" s="1">
        <f>'Kwh Consumption'!V12*' Kwh area wise $ '!B11</f>
        <v>0</v>
      </c>
    </row>
    <row r="12" spans="1:13" x14ac:dyDescent="0.25">
      <c r="A12" s="14">
        <f>'Kwh Reading'!A13</f>
        <v>44237</v>
      </c>
      <c r="B12" s="11">
        <f>TOTAL!F11</f>
        <v>0.14000000000000001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1">
        <f>('Kwh Consumption'!S13+'Kwh Consumption'!T13)*' Kwh area wise $ '!B12</f>
        <v>0</v>
      </c>
      <c r="L12" s="1">
        <f>'Kwh Consumption'!U13*' Kwh area wise $ '!B12</f>
        <v>0</v>
      </c>
      <c r="M12" s="1">
        <f>'Kwh Consumption'!V13*' Kwh area wise $ '!B12</f>
        <v>0</v>
      </c>
    </row>
    <row r="13" spans="1:13" x14ac:dyDescent="0.25">
      <c r="A13" s="14">
        <f>'Kwh Reading'!A14</f>
        <v>44238</v>
      </c>
      <c r="B13" s="11">
        <f>TOTAL!F12</f>
        <v>0.14000000000000001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1">
        <f>('Kwh Consumption'!S14+'Kwh Consumption'!T14)*' Kwh area wise $ '!B13</f>
        <v>0</v>
      </c>
      <c r="L13" s="1">
        <f>'Kwh Consumption'!U14*' Kwh area wise $ '!B13</f>
        <v>0</v>
      </c>
      <c r="M13" s="1">
        <f>'Kwh Consumption'!V14*' Kwh area wise $ '!B13</f>
        <v>0</v>
      </c>
    </row>
    <row r="14" spans="1:13" x14ac:dyDescent="0.25">
      <c r="A14" s="14">
        <f>'Kwh Reading'!A15</f>
        <v>44239</v>
      </c>
      <c r="B14" s="11">
        <f>TOTAL!F13</f>
        <v>0.14000000000000001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1">
        <f>('Kwh Consumption'!S15+'Kwh Consumption'!T15)*' Kwh area wise $ '!B14</f>
        <v>0</v>
      </c>
      <c r="L14" s="1">
        <f>'Kwh Consumption'!U15*' Kwh area wise $ '!B14</f>
        <v>0</v>
      </c>
      <c r="M14" s="1">
        <f>'Kwh Consumption'!V15*' Kwh area wise $ '!B14</f>
        <v>0</v>
      </c>
    </row>
    <row r="15" spans="1:13" x14ac:dyDescent="0.25">
      <c r="A15" s="14">
        <f>'Kwh Reading'!A16</f>
        <v>44240</v>
      </c>
      <c r="B15" s="11">
        <f>TOTAL!F14</f>
        <v>0.14000000000000001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1">
        <f>('Kwh Consumption'!S16+'Kwh Consumption'!T16)*' Kwh area wise $ '!B15</f>
        <v>0</v>
      </c>
      <c r="L15" s="1">
        <f>'Kwh Consumption'!U16*' Kwh area wise $ '!B15</f>
        <v>0</v>
      </c>
      <c r="M15" s="1">
        <f>'Kwh Consumption'!V16*' Kwh area wise $ '!B15</f>
        <v>0</v>
      </c>
    </row>
    <row r="16" spans="1:13" x14ac:dyDescent="0.25">
      <c r="A16" s="14">
        <f>'Kwh Reading'!A17</f>
        <v>44241</v>
      </c>
      <c r="B16" s="11">
        <f>TOTAL!F15</f>
        <v>0.14000000000000001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44242</v>
      </c>
      <c r="B17" s="11">
        <f>TOTAL!F16</f>
        <v>0.14000000000000001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44243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44244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44245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44246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44247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44248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44249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44250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44251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44252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44253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44254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44255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0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0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0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2878.4</v>
      </c>
      <c r="D34" s="75">
        <f t="shared" si="0"/>
        <v>-49061.599999999999</v>
      </c>
      <c r="E34" s="75">
        <f t="shared" si="0"/>
        <v>-281918.00000000006</v>
      </c>
      <c r="F34" s="75">
        <f t="shared" si="0"/>
        <v>-27346.200000000004</v>
      </c>
      <c r="G34" s="75">
        <f t="shared" si="0"/>
        <v>-109239.20000000001</v>
      </c>
      <c r="H34" s="75">
        <f t="shared" si="0"/>
        <v>-30072.84</v>
      </c>
      <c r="I34" s="75">
        <f t="shared" si="0"/>
        <v>-137068.40000000002</v>
      </c>
      <c r="J34" s="75">
        <f t="shared" si="0"/>
        <v>-378057.4</v>
      </c>
      <c r="K34" s="75">
        <f t="shared" si="0"/>
        <v>-2080054.8552000003</v>
      </c>
      <c r="L34" s="75">
        <f t="shared" si="0"/>
        <v>-16076.2</v>
      </c>
      <c r="M34" s="75">
        <f>SUM(M3:M33)</f>
        <v>3111773.0952000003</v>
      </c>
      <c r="N34" s="84">
        <f>D34+E34+F34+G34+H34+I34+J34+K34+L34+M34</f>
        <v>2878.3999999994412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H12" sqref="H12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44228</v>
      </c>
      <c r="B3" s="33">
        <v>142036</v>
      </c>
      <c r="C3" s="33">
        <v>98010</v>
      </c>
      <c r="D3" s="33">
        <v>187883</v>
      </c>
      <c r="E3" s="55">
        <v>238934</v>
      </c>
      <c r="F3" s="33">
        <v>66842</v>
      </c>
      <c r="G3" s="55">
        <v>108776</v>
      </c>
      <c r="H3" s="33">
        <v>45508</v>
      </c>
      <c r="I3" s="56">
        <v>57588</v>
      </c>
      <c r="J3" s="55">
        <v>18332</v>
      </c>
      <c r="K3" s="55">
        <v>1024</v>
      </c>
      <c r="L3" s="55">
        <v>16228</v>
      </c>
      <c r="M3" s="55">
        <v>22024</v>
      </c>
      <c r="N3" s="55">
        <v>6669</v>
      </c>
      <c r="O3" s="55">
        <v>1544</v>
      </c>
      <c r="P3" s="33">
        <v>25830</v>
      </c>
      <c r="Q3" s="55">
        <v>61</v>
      </c>
      <c r="R3" s="55">
        <v>5466</v>
      </c>
    </row>
    <row r="4" spans="1:18" x14ac:dyDescent="0.25">
      <c r="A4" s="54">
        <v>44229</v>
      </c>
      <c r="B4" s="56">
        <v>142215</v>
      </c>
      <c r="C4" s="56">
        <v>98165</v>
      </c>
      <c r="D4" s="55">
        <v>188057</v>
      </c>
      <c r="E4" s="55">
        <v>238991</v>
      </c>
      <c r="F4" s="55">
        <v>66843</v>
      </c>
      <c r="G4" s="55">
        <v>108797</v>
      </c>
      <c r="H4" s="33">
        <v>45543</v>
      </c>
      <c r="I4" s="55">
        <v>57601</v>
      </c>
      <c r="J4" s="55">
        <v>18343</v>
      </c>
      <c r="K4" s="55">
        <v>1024</v>
      </c>
      <c r="L4" s="55">
        <v>16235</v>
      </c>
      <c r="M4" s="55">
        <v>22038</v>
      </c>
      <c r="N4" s="55">
        <v>6671</v>
      </c>
      <c r="O4" s="55">
        <v>1545</v>
      </c>
      <c r="P4" s="55">
        <v>25830</v>
      </c>
      <c r="Q4" s="33">
        <v>61</v>
      </c>
      <c r="R4" s="55">
        <v>5468</v>
      </c>
    </row>
    <row r="5" spans="1:18" x14ac:dyDescent="0.25">
      <c r="A5" s="54">
        <v>44230</v>
      </c>
      <c r="B5" s="55"/>
      <c r="C5" s="33"/>
      <c r="D5" s="55"/>
      <c r="E5" s="55"/>
      <c r="F5" s="55"/>
      <c r="G5" s="55"/>
      <c r="H5" s="33"/>
      <c r="I5" s="55"/>
      <c r="J5" s="55"/>
      <c r="K5" s="55"/>
      <c r="L5" s="55"/>
      <c r="M5" s="55"/>
      <c r="N5" s="55"/>
      <c r="O5" s="55"/>
      <c r="P5" s="55"/>
      <c r="Q5" s="33"/>
      <c r="R5" s="55"/>
    </row>
    <row r="6" spans="1:18" x14ac:dyDescent="0.25">
      <c r="A6" s="54">
        <v>44231</v>
      </c>
      <c r="B6" s="56"/>
      <c r="C6" s="56"/>
      <c r="D6" s="55"/>
      <c r="E6" s="55"/>
      <c r="F6" s="55"/>
      <c r="G6" s="55"/>
      <c r="H6" s="33"/>
      <c r="I6" s="55"/>
      <c r="J6" s="55"/>
      <c r="K6" s="55"/>
      <c r="L6" s="55"/>
      <c r="M6" s="55"/>
      <c r="N6" s="55"/>
      <c r="O6" s="55"/>
      <c r="P6" s="55"/>
      <c r="Q6" s="33"/>
      <c r="R6" s="55"/>
    </row>
    <row r="7" spans="1:18" x14ac:dyDescent="0.25">
      <c r="A7" s="54">
        <v>44232</v>
      </c>
      <c r="B7" s="56"/>
      <c r="C7" s="33"/>
      <c r="D7" s="55"/>
      <c r="E7" s="55"/>
      <c r="F7" s="55"/>
      <c r="G7" s="55"/>
      <c r="H7" s="33"/>
      <c r="I7" s="55"/>
      <c r="J7" s="55"/>
      <c r="K7" s="55"/>
      <c r="L7" s="55"/>
      <c r="M7" s="55"/>
      <c r="N7" s="55"/>
      <c r="O7" s="55"/>
      <c r="P7" s="55"/>
      <c r="Q7" s="33"/>
      <c r="R7" s="55"/>
    </row>
    <row r="8" spans="1:18" x14ac:dyDescent="0.25">
      <c r="A8" s="54">
        <v>44233</v>
      </c>
      <c r="B8" s="33"/>
      <c r="C8" s="56"/>
      <c r="D8" s="55"/>
      <c r="E8" s="55"/>
      <c r="F8" s="55"/>
      <c r="G8" s="55"/>
      <c r="H8" s="33"/>
      <c r="I8" s="55"/>
      <c r="J8" s="55"/>
      <c r="K8" s="55"/>
      <c r="L8" s="55"/>
      <c r="M8" s="55"/>
      <c r="N8" s="55"/>
      <c r="O8" s="55"/>
      <c r="P8" s="55"/>
      <c r="Q8" s="33"/>
      <c r="R8" s="55"/>
    </row>
    <row r="9" spans="1:18" x14ac:dyDescent="0.25">
      <c r="A9" s="54">
        <v>44234</v>
      </c>
      <c r="B9" s="33"/>
      <c r="C9" s="33"/>
      <c r="D9" s="55"/>
      <c r="E9" s="55"/>
      <c r="F9" s="55"/>
      <c r="G9" s="55"/>
      <c r="H9" s="33"/>
      <c r="I9" s="55"/>
      <c r="J9" s="55"/>
      <c r="K9" s="55"/>
      <c r="L9" s="55"/>
      <c r="M9" s="55"/>
      <c r="N9" s="55"/>
      <c r="O9" s="55"/>
      <c r="P9" s="55"/>
      <c r="Q9" s="33"/>
      <c r="R9" s="55"/>
    </row>
    <row r="10" spans="1:18" x14ac:dyDescent="0.25">
      <c r="A10" s="54">
        <v>44235</v>
      </c>
      <c r="B10" s="33"/>
      <c r="C10" s="56"/>
      <c r="D10" s="55"/>
      <c r="E10" s="55"/>
      <c r="F10" s="55"/>
      <c r="G10" s="55"/>
      <c r="H10" s="33"/>
      <c r="I10" s="55"/>
      <c r="J10" s="55"/>
      <c r="K10" s="55"/>
      <c r="L10" s="55"/>
      <c r="M10" s="55"/>
      <c r="N10" s="55"/>
      <c r="O10" s="55"/>
      <c r="P10" s="55"/>
      <c r="Q10" s="33"/>
      <c r="R10" s="55"/>
    </row>
    <row r="11" spans="1:18" x14ac:dyDescent="0.25">
      <c r="A11" s="54">
        <v>44236</v>
      </c>
      <c r="B11" s="33"/>
      <c r="C11" s="33"/>
      <c r="D11" s="55"/>
      <c r="E11" s="55"/>
      <c r="F11" s="55"/>
      <c r="G11" s="55"/>
      <c r="H11" s="33"/>
      <c r="I11" s="55"/>
      <c r="J11" s="55"/>
      <c r="K11" s="55"/>
      <c r="L11" s="55"/>
      <c r="M11" s="55"/>
      <c r="N11" s="55"/>
      <c r="O11" s="55"/>
      <c r="P11" s="55"/>
      <c r="Q11" s="33"/>
      <c r="R11" s="55"/>
    </row>
    <row r="12" spans="1:18" x14ac:dyDescent="0.25">
      <c r="A12" s="54">
        <v>44237</v>
      </c>
      <c r="B12" s="33"/>
      <c r="C12" s="56"/>
      <c r="D12" s="55"/>
      <c r="E12" s="55"/>
      <c r="F12" s="55"/>
      <c r="G12" s="55"/>
      <c r="H12" s="33"/>
      <c r="I12" s="55"/>
      <c r="J12" s="55"/>
      <c r="K12" s="55"/>
      <c r="L12" s="55"/>
      <c r="M12" s="55"/>
      <c r="N12" s="55"/>
      <c r="O12" s="55"/>
      <c r="P12" s="55"/>
      <c r="Q12" s="33"/>
      <c r="R12" s="55"/>
    </row>
    <row r="13" spans="1:18" x14ac:dyDescent="0.25">
      <c r="A13" s="54">
        <v>44238</v>
      </c>
      <c r="B13" s="33"/>
      <c r="C13" s="33"/>
      <c r="D13" s="55"/>
      <c r="E13" s="55"/>
      <c r="F13" s="55"/>
      <c r="G13" s="55"/>
      <c r="H13" s="33"/>
      <c r="I13" s="55"/>
      <c r="J13" s="55"/>
      <c r="K13" s="55"/>
      <c r="L13" s="55"/>
      <c r="M13" s="55"/>
      <c r="N13" s="55"/>
      <c r="O13" s="55"/>
      <c r="P13" s="55"/>
      <c r="Q13" s="33"/>
      <c r="R13" s="55"/>
    </row>
    <row r="14" spans="1:18" x14ac:dyDescent="0.25">
      <c r="A14" s="54">
        <v>44239</v>
      </c>
      <c r="B14" s="33"/>
      <c r="C14" s="56"/>
      <c r="D14" s="55"/>
      <c r="E14" s="55"/>
      <c r="F14" s="55"/>
      <c r="G14" s="55"/>
      <c r="H14" s="33"/>
      <c r="I14" s="55"/>
      <c r="J14" s="55"/>
      <c r="K14" s="55"/>
      <c r="L14" s="55"/>
      <c r="M14" s="55"/>
      <c r="N14" s="55"/>
      <c r="O14" s="55"/>
      <c r="P14" s="55"/>
      <c r="Q14" s="33"/>
      <c r="R14" s="55"/>
    </row>
    <row r="15" spans="1:18" x14ac:dyDescent="0.25">
      <c r="A15" s="54">
        <v>44240</v>
      </c>
      <c r="B15" s="33"/>
      <c r="C15" s="33"/>
      <c r="D15" s="55"/>
      <c r="E15" s="55"/>
      <c r="F15" s="55"/>
      <c r="G15" s="55"/>
      <c r="H15" s="33"/>
      <c r="I15" s="55"/>
      <c r="J15" s="55"/>
      <c r="K15" s="55"/>
      <c r="L15" s="55"/>
      <c r="M15" s="55"/>
      <c r="N15" s="55"/>
      <c r="O15" s="55"/>
      <c r="P15" s="55"/>
      <c r="Q15" s="33"/>
      <c r="R15" s="55"/>
    </row>
    <row r="16" spans="1:18" x14ac:dyDescent="0.25">
      <c r="A16" s="54">
        <v>44241</v>
      </c>
      <c r="B16" s="33"/>
      <c r="C16" s="56"/>
      <c r="D16" s="55"/>
      <c r="E16" s="55"/>
      <c r="F16" s="55"/>
      <c r="G16" s="55"/>
      <c r="H16" s="33"/>
      <c r="I16" s="55"/>
      <c r="J16" s="55"/>
      <c r="K16" s="55"/>
      <c r="L16" s="55"/>
      <c r="M16" s="55"/>
      <c r="N16" s="55"/>
      <c r="O16" s="55"/>
      <c r="P16" s="55"/>
      <c r="Q16" s="33"/>
      <c r="R16" s="55"/>
    </row>
    <row r="17" spans="1:22" x14ac:dyDescent="0.25">
      <c r="A17" s="54">
        <v>44242</v>
      </c>
      <c r="B17" s="33"/>
      <c r="C17" s="33"/>
      <c r="D17" s="55"/>
      <c r="E17" s="55"/>
      <c r="F17" s="55"/>
      <c r="G17" s="55"/>
      <c r="H17" s="33"/>
      <c r="I17" s="55"/>
      <c r="J17" s="55"/>
      <c r="K17" s="55"/>
      <c r="L17" s="55"/>
      <c r="M17" s="55"/>
      <c r="N17" s="55"/>
      <c r="O17" s="55"/>
      <c r="P17" s="55"/>
      <c r="Q17" s="33"/>
      <c r="R17" s="55"/>
    </row>
    <row r="18" spans="1:22" x14ac:dyDescent="0.25">
      <c r="A18" s="54">
        <v>44243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</row>
    <row r="19" spans="1:22" x14ac:dyDescent="0.25">
      <c r="A19" s="54">
        <v>44244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44245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44246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44247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44248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44249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44250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44251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44252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44253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44254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44255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/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/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/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D1" zoomScale="70" zoomScaleNormal="70" workbookViewId="0">
      <pane ySplit="3" topLeftCell="A4" activePane="bottomLeft" state="frozen"/>
      <selection activeCell="C25" sqref="C25"/>
      <selection pane="bottomLeft" activeCell="B4" sqref="B4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6" t="s">
        <v>32</v>
      </c>
      <c r="B2" s="137" t="s">
        <v>109</v>
      </c>
      <c r="C2" s="137" t="s">
        <v>110</v>
      </c>
      <c r="D2" s="137"/>
      <c r="E2" s="138" t="s">
        <v>98</v>
      </c>
      <c r="F2" s="135"/>
      <c r="G2" s="132" t="s">
        <v>113</v>
      </c>
      <c r="H2" s="135"/>
      <c r="I2" s="132" t="s">
        <v>111</v>
      </c>
      <c r="J2" s="135"/>
      <c r="K2" s="132" t="s">
        <v>112</v>
      </c>
      <c r="L2" s="135"/>
      <c r="M2" s="132" t="s">
        <v>108</v>
      </c>
      <c r="N2" s="135"/>
      <c r="O2" s="132" t="s">
        <v>107</v>
      </c>
      <c r="P2" s="135"/>
      <c r="Q2" s="132" t="s">
        <v>114</v>
      </c>
      <c r="R2" s="135"/>
      <c r="S2" s="132" t="s">
        <v>115</v>
      </c>
      <c r="T2" s="135"/>
      <c r="U2" s="132" t="s">
        <v>116</v>
      </c>
      <c r="V2" s="135"/>
      <c r="W2" s="132" t="s">
        <v>100</v>
      </c>
      <c r="X2" s="133"/>
      <c r="Y2" s="134" t="s">
        <v>53</v>
      </c>
      <c r="Z2" s="134"/>
    </row>
    <row r="3" spans="1:26" ht="30" x14ac:dyDescent="0.35">
      <c r="A3" s="136"/>
      <c r="B3" s="137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44228</v>
      </c>
      <c r="B4" s="65">
        <f>TOTAL!I2</f>
        <v>279</v>
      </c>
      <c r="C4" s="66">
        <f>('Water Reading'!B4-'Water Reading'!B3)+('Water Reading'!C4-'Water Reading'!C3)</f>
        <v>334</v>
      </c>
      <c r="D4" s="67">
        <f>C4/B4</f>
        <v>1.1971326164874552</v>
      </c>
      <c r="E4" s="88">
        <f>'Water Reading'!H4-'Water Reading'!H3</f>
        <v>35</v>
      </c>
      <c r="F4" s="89">
        <f>E4/C4</f>
        <v>0.10479041916167664</v>
      </c>
      <c r="G4" s="93">
        <f>('Water Reading'!D4-'Water Reading'!D3)-('Water Reading'!R4-'Water Reading'!R3)-('Water Reading'!Q4-'Water Reading'!Q3)</f>
        <v>172</v>
      </c>
      <c r="H4" s="89">
        <f>G4/C4</f>
        <v>0.51497005988023947</v>
      </c>
      <c r="I4" s="90">
        <f>'Water Reading'!P4-'Water Reading'!P3</f>
        <v>0</v>
      </c>
      <c r="J4" s="68">
        <f>I4/C4</f>
        <v>0</v>
      </c>
      <c r="K4" s="91">
        <f>('Water Reading'!I4-'Water Reading'!I3)</f>
        <v>13</v>
      </c>
      <c r="L4" s="68">
        <f>K4/C4</f>
        <v>3.8922155688622756E-2</v>
      </c>
      <c r="M4" s="90">
        <f>'Water Reading'!R4-'Water Reading'!R3</f>
        <v>2</v>
      </c>
      <c r="N4" s="92">
        <f>M4/C4</f>
        <v>5.9880239520958087E-3</v>
      </c>
      <c r="O4" s="90">
        <f>'Water Reading'!Q4-'Water Reading'!Q3</f>
        <v>0</v>
      </c>
      <c r="P4" s="99">
        <f>O4/C4</f>
        <v>0</v>
      </c>
      <c r="Q4" s="91">
        <f>'Water Reading'!F4-'Water Reading'!F3</f>
        <v>1</v>
      </c>
      <c r="R4" s="100">
        <f>Q4/C4</f>
        <v>2.9940119760479044E-3</v>
      </c>
      <c r="S4" s="90">
        <f>'Water Reading'!E4-'Water Reading'!E3</f>
        <v>57</v>
      </c>
      <c r="T4" s="100">
        <f>S4/C4</f>
        <v>0.17065868263473055</v>
      </c>
      <c r="U4" s="90">
        <f>'Water Reading'!G4-'Water Reading'!G3</f>
        <v>21</v>
      </c>
      <c r="V4" s="100">
        <f>U4/C4</f>
        <v>6.2874251497005984E-2</v>
      </c>
      <c r="W4" s="90">
        <f>'Water Reading'!J4-'Water Reading'!J3</f>
        <v>11</v>
      </c>
      <c r="X4" s="100">
        <f>W4/C4</f>
        <v>3.2934131736526949E-2</v>
      </c>
      <c r="Y4" s="66">
        <f t="shared" ref="Y4:Y34" si="0">E4+I4+K4+M4+O4+G4+Q4+S4+U4+W4</f>
        <v>312</v>
      </c>
      <c r="Z4" s="67">
        <f t="shared" ref="Z4:Z35" si="1">Y4/B4</f>
        <v>1.118279569892473</v>
      </c>
    </row>
    <row r="5" spans="1:26" x14ac:dyDescent="0.25">
      <c r="A5" s="8">
        <f>'Water Reading'!A4</f>
        <v>44229</v>
      </c>
      <c r="B5" s="65">
        <f>TOTAL!I3</f>
        <v>0</v>
      </c>
      <c r="C5" s="66">
        <f>('Water Reading'!B5-'Water Reading'!B4)+('Water Reading'!C5-'Water Reading'!C4)</f>
        <v>-240380</v>
      </c>
      <c r="D5" s="67" t="e">
        <f t="shared" ref="D5:D34" si="2">C5/B5</f>
        <v>#DIV/0!</v>
      </c>
      <c r="E5" s="88">
        <f>'Water Reading'!H5-'Water Reading'!H4</f>
        <v>-45543</v>
      </c>
      <c r="F5" s="89">
        <f t="shared" ref="F5:F34" si="3">E5/C5</f>
        <v>0.18946251768033948</v>
      </c>
      <c r="G5" s="93">
        <f>('Water Reading'!D5-'Water Reading'!D4)-('Water Reading'!R5-'Water Reading'!R4)-('Water Reading'!Q5-'Water Reading'!Q4)</f>
        <v>-182528</v>
      </c>
      <c r="H5" s="89">
        <f t="shared" ref="H5:H34" si="4">G5/C5</f>
        <v>0.75933105915633581</v>
      </c>
      <c r="I5" s="90">
        <f>'Water Reading'!P5-'Water Reading'!P4</f>
        <v>-25830</v>
      </c>
      <c r="J5" s="68">
        <f t="shared" ref="J5:J34" si="5">I5/C5</f>
        <v>0.10745486313337216</v>
      </c>
      <c r="K5" s="91">
        <f>('Water Reading'!I5-'Water Reading'!I4)</f>
        <v>-57601</v>
      </c>
      <c r="L5" s="68">
        <f t="shared" ref="L5:L34" si="6">K5/C5</f>
        <v>0.23962476079540726</v>
      </c>
      <c r="M5" s="90">
        <f>'Water Reading'!R5-'Water Reading'!R4</f>
        <v>-5468</v>
      </c>
      <c r="N5" s="92">
        <f t="shared" ref="N5:N34" si="7">M5/C5</f>
        <v>2.2747316748481572E-2</v>
      </c>
      <c r="O5" s="90">
        <f>'Water Reading'!Q5-'Water Reading'!Q4</f>
        <v>-61</v>
      </c>
      <c r="P5" s="99">
        <f t="shared" ref="P5:P34" si="8">O5/C5</f>
        <v>2.537648722855479E-4</v>
      </c>
      <c r="Q5" s="91">
        <f>'Water Reading'!F5-'Water Reading'!F4</f>
        <v>-66843</v>
      </c>
      <c r="R5" s="100">
        <f t="shared" ref="R5:R34" si="9">Q5/C5</f>
        <v>0.27807221898660456</v>
      </c>
      <c r="S5" s="90">
        <f>'Water Reading'!E5-'Water Reading'!E4</f>
        <v>-238991</v>
      </c>
      <c r="T5" s="100">
        <f t="shared" ref="T5:T34" si="10">S5/C5</f>
        <v>0.9942216490556619</v>
      </c>
      <c r="U5" s="90">
        <f>'Water Reading'!G5-'Water Reading'!G4</f>
        <v>-108797</v>
      </c>
      <c r="V5" s="100">
        <f t="shared" ref="V5:V34" si="11">U5/C5</f>
        <v>0.45260421000083201</v>
      </c>
      <c r="W5" s="90">
        <f>'Water Reading'!J5-'Water Reading'!J4</f>
        <v>-18343</v>
      </c>
      <c r="X5" s="100">
        <f t="shared" ref="X5:X34" si="12">W5/C5</f>
        <v>7.6308345120226315E-2</v>
      </c>
      <c r="Y5" s="66">
        <f t="shared" si="0"/>
        <v>-750005</v>
      </c>
      <c r="Z5" s="67" t="e">
        <f t="shared" si="1"/>
        <v>#DIV/0!</v>
      </c>
    </row>
    <row r="6" spans="1:26" x14ac:dyDescent="0.25">
      <c r="A6" s="8">
        <f>'Water Reading'!A5</f>
        <v>44230</v>
      </c>
      <c r="B6" s="65">
        <f>TOTAL!I4</f>
        <v>0</v>
      </c>
      <c r="C6" s="66">
        <f>('Water Reading'!B6-'Water Reading'!B5)+('Water Reading'!C6-'Water Reading'!C5)</f>
        <v>0</v>
      </c>
      <c r="D6" s="67" t="e">
        <f t="shared" si="2"/>
        <v>#DIV/0!</v>
      </c>
      <c r="E6" s="88">
        <f>'Water Reading'!H6-'Water Reading'!H5</f>
        <v>0</v>
      </c>
      <c r="F6" s="89" t="e">
        <f t="shared" si="3"/>
        <v>#DIV/0!</v>
      </c>
      <c r="G6" s="93">
        <f>('Water Reading'!D6-'Water Reading'!D5)-('Water Reading'!R6-'Water Reading'!R5)-('Water Reading'!Q6-'Water Reading'!Q5)</f>
        <v>0</v>
      </c>
      <c r="H6" s="89" t="e">
        <f t="shared" si="4"/>
        <v>#DIV/0!</v>
      </c>
      <c r="I6" s="90">
        <f>'Water Reading'!P6-'Water Reading'!P5</f>
        <v>0</v>
      </c>
      <c r="J6" s="68" t="e">
        <f t="shared" si="5"/>
        <v>#DIV/0!</v>
      </c>
      <c r="K6" s="91">
        <f>('Water Reading'!I6-'Water Reading'!I5)</f>
        <v>0</v>
      </c>
      <c r="L6" s="68" t="e">
        <f t="shared" si="6"/>
        <v>#DIV/0!</v>
      </c>
      <c r="M6" s="90">
        <f>'Water Reading'!R6-'Water Reading'!R5</f>
        <v>0</v>
      </c>
      <c r="N6" s="92" t="e">
        <f t="shared" si="7"/>
        <v>#DIV/0!</v>
      </c>
      <c r="O6" s="90">
        <f>'Water Reading'!Q6-'Water Reading'!Q5</f>
        <v>0</v>
      </c>
      <c r="P6" s="99" t="e">
        <f t="shared" si="8"/>
        <v>#DIV/0!</v>
      </c>
      <c r="Q6" s="91">
        <f>'Water Reading'!F6-'Water Reading'!F5</f>
        <v>0</v>
      </c>
      <c r="R6" s="100" t="e">
        <f t="shared" si="9"/>
        <v>#DIV/0!</v>
      </c>
      <c r="S6" s="90">
        <f>'Water Reading'!E6-'Water Reading'!E5</f>
        <v>0</v>
      </c>
      <c r="T6" s="100" t="e">
        <f t="shared" si="10"/>
        <v>#DIV/0!</v>
      </c>
      <c r="U6" s="90">
        <f>'Water Reading'!G6-'Water Reading'!G5</f>
        <v>0</v>
      </c>
      <c r="V6" s="100" t="e">
        <f t="shared" si="11"/>
        <v>#DIV/0!</v>
      </c>
      <c r="W6" s="90">
        <f>'Water Reading'!J6-'Water Reading'!J5</f>
        <v>0</v>
      </c>
      <c r="X6" s="100" t="e">
        <f t="shared" si="12"/>
        <v>#DIV/0!</v>
      </c>
      <c r="Y6" s="66">
        <f t="shared" si="0"/>
        <v>0</v>
      </c>
      <c r="Z6" s="67" t="e">
        <f t="shared" si="1"/>
        <v>#DIV/0!</v>
      </c>
    </row>
    <row r="7" spans="1:26" x14ac:dyDescent="0.25">
      <c r="A7" s="8">
        <f>'Water Reading'!A6</f>
        <v>44231</v>
      </c>
      <c r="B7" s="65">
        <f>TOTAL!I5</f>
        <v>0</v>
      </c>
      <c r="C7" s="66">
        <f>('Water Reading'!B7-'Water Reading'!B6)+('Water Reading'!C7-'Water Reading'!C6)</f>
        <v>0</v>
      </c>
      <c r="D7" s="67" t="e">
        <f t="shared" si="2"/>
        <v>#DIV/0!</v>
      </c>
      <c r="E7" s="88">
        <f>'Water Reading'!H7-'Water Reading'!H6</f>
        <v>0</v>
      </c>
      <c r="F7" s="89" t="e">
        <f t="shared" si="3"/>
        <v>#DIV/0!</v>
      </c>
      <c r="G7" s="93">
        <f>('Water Reading'!D7-'Water Reading'!D6)-('Water Reading'!R7-'Water Reading'!R6)-('Water Reading'!Q7-'Water Reading'!Q6)</f>
        <v>0</v>
      </c>
      <c r="H7" s="89" t="e">
        <f t="shared" si="4"/>
        <v>#DIV/0!</v>
      </c>
      <c r="I7" s="90">
        <f>'Water Reading'!P7-'Water Reading'!P6</f>
        <v>0</v>
      </c>
      <c r="J7" s="68" t="e">
        <f t="shared" si="5"/>
        <v>#DIV/0!</v>
      </c>
      <c r="K7" s="91">
        <f>('Water Reading'!I7-'Water Reading'!I6)</f>
        <v>0</v>
      </c>
      <c r="L7" s="68" t="e">
        <f t="shared" si="6"/>
        <v>#DIV/0!</v>
      </c>
      <c r="M7" s="90">
        <f>'Water Reading'!R7-'Water Reading'!R6</f>
        <v>0</v>
      </c>
      <c r="N7" s="92" t="e">
        <f t="shared" si="7"/>
        <v>#DIV/0!</v>
      </c>
      <c r="O7" s="90">
        <f>'Water Reading'!Q7-'Water Reading'!Q6</f>
        <v>0</v>
      </c>
      <c r="P7" s="99" t="e">
        <f t="shared" si="8"/>
        <v>#DIV/0!</v>
      </c>
      <c r="Q7" s="91">
        <f>'Water Reading'!F7-'Water Reading'!F6</f>
        <v>0</v>
      </c>
      <c r="R7" s="100" t="e">
        <f t="shared" si="9"/>
        <v>#DIV/0!</v>
      </c>
      <c r="S7" s="90">
        <f>'Water Reading'!E7-'Water Reading'!E6</f>
        <v>0</v>
      </c>
      <c r="T7" s="100" t="e">
        <f t="shared" si="10"/>
        <v>#DIV/0!</v>
      </c>
      <c r="U7" s="90">
        <f>'Water Reading'!G7-'Water Reading'!G6</f>
        <v>0</v>
      </c>
      <c r="V7" s="100" t="e">
        <f t="shared" si="11"/>
        <v>#DIV/0!</v>
      </c>
      <c r="W7" s="90">
        <f>'Water Reading'!J7-'Water Reading'!J6</f>
        <v>0</v>
      </c>
      <c r="X7" s="100" t="e">
        <f t="shared" si="12"/>
        <v>#DIV/0!</v>
      </c>
      <c r="Y7" s="66">
        <f t="shared" si="0"/>
        <v>0</v>
      </c>
      <c r="Z7" s="67" t="e">
        <f t="shared" si="1"/>
        <v>#DIV/0!</v>
      </c>
    </row>
    <row r="8" spans="1:26" x14ac:dyDescent="0.25">
      <c r="A8" s="8">
        <f>'Water Reading'!A7</f>
        <v>44232</v>
      </c>
      <c r="B8" s="65">
        <f>TOTAL!I6</f>
        <v>0</v>
      </c>
      <c r="C8" s="66">
        <f>('Water Reading'!B8-'Water Reading'!B7)+('Water Reading'!C8-'Water Reading'!C7)</f>
        <v>0</v>
      </c>
      <c r="D8" s="67" t="e">
        <f t="shared" si="2"/>
        <v>#DIV/0!</v>
      </c>
      <c r="E8" s="88">
        <f>'Water Reading'!H8-'Water Reading'!H7</f>
        <v>0</v>
      </c>
      <c r="F8" s="89" t="e">
        <f t="shared" si="3"/>
        <v>#DIV/0!</v>
      </c>
      <c r="G8" s="93">
        <f>('Water Reading'!D8-'Water Reading'!D7)-('Water Reading'!R8-'Water Reading'!R7)-('Water Reading'!Q8-'Water Reading'!Q7)</f>
        <v>0</v>
      </c>
      <c r="H8" s="89" t="e">
        <f t="shared" si="4"/>
        <v>#DIV/0!</v>
      </c>
      <c r="I8" s="90">
        <f>'Water Reading'!P8-'Water Reading'!P7</f>
        <v>0</v>
      </c>
      <c r="J8" s="68" t="e">
        <f t="shared" si="5"/>
        <v>#DIV/0!</v>
      </c>
      <c r="K8" s="91">
        <f>('Water Reading'!I8-'Water Reading'!I7)</f>
        <v>0</v>
      </c>
      <c r="L8" s="68" t="e">
        <f t="shared" si="6"/>
        <v>#DIV/0!</v>
      </c>
      <c r="M8" s="90">
        <f>'Water Reading'!R8-'Water Reading'!R7</f>
        <v>0</v>
      </c>
      <c r="N8" s="92" t="e">
        <f t="shared" si="7"/>
        <v>#DIV/0!</v>
      </c>
      <c r="O8" s="90">
        <f>'Water Reading'!Q8-'Water Reading'!Q7</f>
        <v>0</v>
      </c>
      <c r="P8" s="99" t="e">
        <f t="shared" si="8"/>
        <v>#DIV/0!</v>
      </c>
      <c r="Q8" s="91">
        <f>'Water Reading'!F8-'Water Reading'!F7</f>
        <v>0</v>
      </c>
      <c r="R8" s="100" t="e">
        <f t="shared" si="9"/>
        <v>#DIV/0!</v>
      </c>
      <c r="S8" s="90">
        <f>'Water Reading'!E8-'Water Reading'!E7</f>
        <v>0</v>
      </c>
      <c r="T8" s="100" t="e">
        <f t="shared" si="10"/>
        <v>#DIV/0!</v>
      </c>
      <c r="U8" s="90">
        <f>'Water Reading'!G8-'Water Reading'!G7</f>
        <v>0</v>
      </c>
      <c r="V8" s="100" t="e">
        <f t="shared" si="11"/>
        <v>#DIV/0!</v>
      </c>
      <c r="W8" s="90">
        <f>'Water Reading'!J8-'Water Reading'!J7</f>
        <v>0</v>
      </c>
      <c r="X8" s="100" t="e">
        <f t="shared" si="12"/>
        <v>#DIV/0!</v>
      </c>
      <c r="Y8" s="66">
        <f t="shared" si="0"/>
        <v>0</v>
      </c>
      <c r="Z8" s="67" t="e">
        <f t="shared" si="1"/>
        <v>#DIV/0!</v>
      </c>
    </row>
    <row r="9" spans="1:26" x14ac:dyDescent="0.25">
      <c r="A9" s="8">
        <f>'Water Reading'!A8</f>
        <v>44233</v>
      </c>
      <c r="B9" s="65">
        <f>TOTAL!I7</f>
        <v>0</v>
      </c>
      <c r="C9" s="66">
        <f>('Water Reading'!B9-'Water Reading'!B8)+('Water Reading'!C9-'Water Reading'!C8)</f>
        <v>0</v>
      </c>
      <c r="D9" s="67" t="e">
        <f t="shared" si="2"/>
        <v>#DIV/0!</v>
      </c>
      <c r="E9" s="88">
        <f>'Water Reading'!H9-'Water Reading'!H8</f>
        <v>0</v>
      </c>
      <c r="F9" s="89" t="e">
        <f t="shared" si="3"/>
        <v>#DIV/0!</v>
      </c>
      <c r="G9" s="93">
        <f>('Water Reading'!D9-'Water Reading'!D8)-('Water Reading'!R9-'Water Reading'!R8)-('Water Reading'!Q9-'Water Reading'!Q8)</f>
        <v>0</v>
      </c>
      <c r="H9" s="89" t="e">
        <f t="shared" si="4"/>
        <v>#DIV/0!</v>
      </c>
      <c r="I9" s="90">
        <f>'Water Reading'!P9-'Water Reading'!P8</f>
        <v>0</v>
      </c>
      <c r="J9" s="68" t="e">
        <f t="shared" si="5"/>
        <v>#DIV/0!</v>
      </c>
      <c r="K9" s="91">
        <f>('Water Reading'!I9-'Water Reading'!I8)</f>
        <v>0</v>
      </c>
      <c r="L9" s="68" t="e">
        <f t="shared" si="6"/>
        <v>#DIV/0!</v>
      </c>
      <c r="M9" s="90">
        <f>'Water Reading'!R9-'Water Reading'!R8</f>
        <v>0</v>
      </c>
      <c r="N9" s="92" t="e">
        <f t="shared" si="7"/>
        <v>#DIV/0!</v>
      </c>
      <c r="O9" s="90">
        <f>'Water Reading'!Q9-'Water Reading'!Q8</f>
        <v>0</v>
      </c>
      <c r="P9" s="99" t="e">
        <f t="shared" si="8"/>
        <v>#DIV/0!</v>
      </c>
      <c r="Q9" s="91">
        <f>'Water Reading'!F9-'Water Reading'!F8</f>
        <v>0</v>
      </c>
      <c r="R9" s="100" t="e">
        <f t="shared" si="9"/>
        <v>#DIV/0!</v>
      </c>
      <c r="S9" s="90">
        <f>'Water Reading'!E9-'Water Reading'!E8</f>
        <v>0</v>
      </c>
      <c r="T9" s="100" t="e">
        <f t="shared" si="10"/>
        <v>#DIV/0!</v>
      </c>
      <c r="U9" s="90">
        <f>'Water Reading'!G9-'Water Reading'!G8</f>
        <v>0</v>
      </c>
      <c r="V9" s="100" t="e">
        <f t="shared" si="11"/>
        <v>#DIV/0!</v>
      </c>
      <c r="W9" s="90">
        <f>'Water Reading'!J9-'Water Reading'!J8</f>
        <v>0</v>
      </c>
      <c r="X9" s="100" t="e">
        <f t="shared" si="12"/>
        <v>#DIV/0!</v>
      </c>
      <c r="Y9" s="66">
        <f t="shared" si="0"/>
        <v>0</v>
      </c>
      <c r="Z9" s="67" t="e">
        <f t="shared" si="1"/>
        <v>#DIV/0!</v>
      </c>
    </row>
    <row r="10" spans="1:26" x14ac:dyDescent="0.25">
      <c r="A10" s="8">
        <f>'Water Reading'!A9</f>
        <v>44234</v>
      </c>
      <c r="B10" s="65">
        <f>TOTAL!I8</f>
        <v>0</v>
      </c>
      <c r="C10" s="66">
        <f>('Water Reading'!B10-'Water Reading'!B9)+('Water Reading'!C10-'Water Reading'!C9)</f>
        <v>0</v>
      </c>
      <c r="D10" s="67" t="e">
        <f t="shared" si="2"/>
        <v>#DIV/0!</v>
      </c>
      <c r="E10" s="88">
        <f>'Water Reading'!H10-'Water Reading'!H9</f>
        <v>0</v>
      </c>
      <c r="F10" s="89" t="e">
        <f t="shared" si="3"/>
        <v>#DIV/0!</v>
      </c>
      <c r="G10" s="93">
        <f>('Water Reading'!D10-'Water Reading'!D9)-('Water Reading'!R10-'Water Reading'!R9)-('Water Reading'!Q10-'Water Reading'!Q9)</f>
        <v>0</v>
      </c>
      <c r="H10" s="89" t="e">
        <f t="shared" si="4"/>
        <v>#DIV/0!</v>
      </c>
      <c r="I10" s="90">
        <f>'Water Reading'!P10-'Water Reading'!P9</f>
        <v>0</v>
      </c>
      <c r="J10" s="68" t="e">
        <f t="shared" si="5"/>
        <v>#DIV/0!</v>
      </c>
      <c r="K10" s="91">
        <f>('Water Reading'!I10-'Water Reading'!I9)</f>
        <v>0</v>
      </c>
      <c r="L10" s="68" t="e">
        <f t="shared" si="6"/>
        <v>#DIV/0!</v>
      </c>
      <c r="M10" s="90">
        <f>'Water Reading'!R10-'Water Reading'!R9</f>
        <v>0</v>
      </c>
      <c r="N10" s="92" t="e">
        <f t="shared" si="7"/>
        <v>#DIV/0!</v>
      </c>
      <c r="O10" s="90">
        <f>'Water Reading'!Q10-'Water Reading'!Q9</f>
        <v>0</v>
      </c>
      <c r="P10" s="99" t="e">
        <f t="shared" si="8"/>
        <v>#DIV/0!</v>
      </c>
      <c r="Q10" s="91">
        <f>'Water Reading'!F10-'Water Reading'!F9</f>
        <v>0</v>
      </c>
      <c r="R10" s="100" t="e">
        <f t="shared" si="9"/>
        <v>#DIV/0!</v>
      </c>
      <c r="S10" s="90">
        <f>'Water Reading'!E10-'Water Reading'!E9</f>
        <v>0</v>
      </c>
      <c r="T10" s="100" t="e">
        <f t="shared" si="10"/>
        <v>#DIV/0!</v>
      </c>
      <c r="U10" s="90">
        <f>'Water Reading'!G10-'Water Reading'!G9</f>
        <v>0</v>
      </c>
      <c r="V10" s="100" t="e">
        <f t="shared" si="11"/>
        <v>#DIV/0!</v>
      </c>
      <c r="W10" s="90">
        <f>'Water Reading'!J10-'Water Reading'!J9</f>
        <v>0</v>
      </c>
      <c r="X10" s="100" t="e">
        <f t="shared" si="12"/>
        <v>#DIV/0!</v>
      </c>
      <c r="Y10" s="66">
        <f t="shared" si="0"/>
        <v>0</v>
      </c>
      <c r="Z10" s="67" t="e">
        <f t="shared" si="1"/>
        <v>#DIV/0!</v>
      </c>
    </row>
    <row r="11" spans="1:26" x14ac:dyDescent="0.25">
      <c r="A11" s="8">
        <f>'Water Reading'!A10</f>
        <v>44235</v>
      </c>
      <c r="B11" s="65">
        <f>TOTAL!I9</f>
        <v>0</v>
      </c>
      <c r="C11" s="66">
        <f>('Water Reading'!B11-'Water Reading'!B10)+('Water Reading'!C11-'Water Reading'!C10)</f>
        <v>0</v>
      </c>
      <c r="D11" s="67" t="e">
        <f t="shared" si="2"/>
        <v>#DIV/0!</v>
      </c>
      <c r="E11" s="88">
        <f>'Water Reading'!H11-'Water Reading'!H10</f>
        <v>0</v>
      </c>
      <c r="F11" s="89" t="e">
        <f t="shared" si="3"/>
        <v>#DIV/0!</v>
      </c>
      <c r="G11" s="93">
        <f>('Water Reading'!D11-'Water Reading'!D10)-('Water Reading'!R11-'Water Reading'!R10)-('Water Reading'!Q11-'Water Reading'!Q10)</f>
        <v>0</v>
      </c>
      <c r="H11" s="89" t="e">
        <f t="shared" si="4"/>
        <v>#DIV/0!</v>
      </c>
      <c r="I11" s="90">
        <f>'Water Reading'!P11-'Water Reading'!P10</f>
        <v>0</v>
      </c>
      <c r="J11" s="68" t="e">
        <f t="shared" si="5"/>
        <v>#DIV/0!</v>
      </c>
      <c r="K11" s="91">
        <f>('Water Reading'!I11-'Water Reading'!I10)</f>
        <v>0</v>
      </c>
      <c r="L11" s="68" t="e">
        <f t="shared" si="6"/>
        <v>#DIV/0!</v>
      </c>
      <c r="M11" s="90">
        <f>'Water Reading'!R11-'Water Reading'!R10</f>
        <v>0</v>
      </c>
      <c r="N11" s="92" t="e">
        <f t="shared" si="7"/>
        <v>#DIV/0!</v>
      </c>
      <c r="O11" s="98">
        <f>'Water Reading'!Q11-'Water Reading'!Q10</f>
        <v>0</v>
      </c>
      <c r="P11" s="99" t="e">
        <f t="shared" si="8"/>
        <v>#DIV/0!</v>
      </c>
      <c r="Q11" s="91">
        <f>'Water Reading'!F11-'Water Reading'!F10</f>
        <v>0</v>
      </c>
      <c r="R11" s="100" t="e">
        <f t="shared" si="9"/>
        <v>#DIV/0!</v>
      </c>
      <c r="S11" s="90">
        <f>'Water Reading'!E11-'Water Reading'!E10</f>
        <v>0</v>
      </c>
      <c r="T11" s="100" t="e">
        <f t="shared" si="10"/>
        <v>#DIV/0!</v>
      </c>
      <c r="U11" s="90">
        <f>'Water Reading'!G11-'Water Reading'!G10</f>
        <v>0</v>
      </c>
      <c r="V11" s="100" t="e">
        <f t="shared" si="11"/>
        <v>#DIV/0!</v>
      </c>
      <c r="W11" s="90">
        <f>'Water Reading'!J11-'Water Reading'!J10</f>
        <v>0</v>
      </c>
      <c r="X11" s="100" t="e">
        <f t="shared" si="12"/>
        <v>#DIV/0!</v>
      </c>
      <c r="Y11" s="66">
        <f t="shared" si="0"/>
        <v>0</v>
      </c>
      <c r="Z11" s="67" t="e">
        <f t="shared" si="1"/>
        <v>#DIV/0!</v>
      </c>
    </row>
    <row r="12" spans="1:26" x14ac:dyDescent="0.25">
      <c r="A12" s="8">
        <f>'Water Reading'!A11</f>
        <v>44236</v>
      </c>
      <c r="B12" s="65">
        <f>TOTAL!I10</f>
        <v>0</v>
      </c>
      <c r="C12" s="66">
        <f>('Water Reading'!B12-'Water Reading'!B11)+('Water Reading'!C12-'Water Reading'!C11)</f>
        <v>0</v>
      </c>
      <c r="D12" s="67" t="e">
        <f t="shared" si="2"/>
        <v>#DIV/0!</v>
      </c>
      <c r="E12" s="88">
        <f>'Water Reading'!H12-'Water Reading'!H11</f>
        <v>0</v>
      </c>
      <c r="F12" s="89" t="e">
        <f t="shared" si="3"/>
        <v>#DIV/0!</v>
      </c>
      <c r="G12" s="93">
        <f>('Water Reading'!D12-'Water Reading'!D11)-('Water Reading'!R12-'Water Reading'!R11)-('Water Reading'!Q12-'Water Reading'!Q11)</f>
        <v>0</v>
      </c>
      <c r="H12" s="89" t="e">
        <f t="shared" si="4"/>
        <v>#DIV/0!</v>
      </c>
      <c r="I12" s="90">
        <f>'Water Reading'!P12-'Water Reading'!P11</f>
        <v>0</v>
      </c>
      <c r="J12" s="68" t="e">
        <f t="shared" si="5"/>
        <v>#DIV/0!</v>
      </c>
      <c r="K12" s="91">
        <f>('Water Reading'!I12-'Water Reading'!I11)</f>
        <v>0</v>
      </c>
      <c r="L12" s="68" t="e">
        <f t="shared" si="6"/>
        <v>#DIV/0!</v>
      </c>
      <c r="M12" s="90">
        <f>'Water Reading'!R12-'Water Reading'!R11</f>
        <v>0</v>
      </c>
      <c r="N12" s="92" t="e">
        <f t="shared" si="7"/>
        <v>#DIV/0!</v>
      </c>
      <c r="O12" s="98">
        <f>'Water Reading'!Q12-'Water Reading'!Q11</f>
        <v>0</v>
      </c>
      <c r="P12" s="99" t="e">
        <f t="shared" si="8"/>
        <v>#DIV/0!</v>
      </c>
      <c r="Q12" s="91">
        <f>'Water Reading'!F12-'Water Reading'!F11</f>
        <v>0</v>
      </c>
      <c r="R12" s="100" t="e">
        <f t="shared" si="9"/>
        <v>#DIV/0!</v>
      </c>
      <c r="S12" s="90">
        <f>'Water Reading'!E12-'Water Reading'!E11</f>
        <v>0</v>
      </c>
      <c r="T12" s="100" t="e">
        <f t="shared" si="10"/>
        <v>#DIV/0!</v>
      </c>
      <c r="U12" s="90">
        <f>'Water Reading'!G12-'Water Reading'!G11</f>
        <v>0</v>
      </c>
      <c r="V12" s="100" t="e">
        <f t="shared" si="11"/>
        <v>#DIV/0!</v>
      </c>
      <c r="W12" s="90">
        <f>'Water Reading'!J12-'Water Reading'!J11</f>
        <v>0</v>
      </c>
      <c r="X12" s="100" t="e">
        <f t="shared" si="12"/>
        <v>#DIV/0!</v>
      </c>
      <c r="Y12" s="66">
        <f t="shared" si="0"/>
        <v>0</v>
      </c>
      <c r="Z12" s="67" t="e">
        <f t="shared" si="1"/>
        <v>#DIV/0!</v>
      </c>
    </row>
    <row r="13" spans="1:26" x14ac:dyDescent="0.25">
      <c r="A13" s="8">
        <f>'Water Reading'!A12</f>
        <v>44237</v>
      </c>
      <c r="B13" s="65">
        <f>TOTAL!I11</f>
        <v>0</v>
      </c>
      <c r="C13" s="66">
        <f>('Water Reading'!B13-'Water Reading'!B12)+('Water Reading'!C13-'Water Reading'!C12)</f>
        <v>0</v>
      </c>
      <c r="D13" s="67" t="e">
        <f t="shared" si="2"/>
        <v>#DIV/0!</v>
      </c>
      <c r="E13" s="87">
        <f>'Water Reading'!H13-'Water Reading'!H12</f>
        <v>0</v>
      </c>
      <c r="F13" s="89" t="e">
        <f t="shared" si="3"/>
        <v>#DIV/0!</v>
      </c>
      <c r="G13" s="93">
        <f>('Water Reading'!D13-'Water Reading'!D12)-('Water Reading'!R13-'Water Reading'!R12)-('Water Reading'!Q13-'Water Reading'!Q12)</f>
        <v>0</v>
      </c>
      <c r="H13" s="89" t="e">
        <f t="shared" si="4"/>
        <v>#DIV/0!</v>
      </c>
      <c r="I13" s="90">
        <f>'Water Reading'!P13-'Water Reading'!P12</f>
        <v>0</v>
      </c>
      <c r="J13" s="68" t="e">
        <f t="shared" si="5"/>
        <v>#DIV/0!</v>
      </c>
      <c r="K13" s="91">
        <f>('Water Reading'!I13-'Water Reading'!I12)</f>
        <v>0</v>
      </c>
      <c r="L13" s="68" t="e">
        <f t="shared" si="6"/>
        <v>#DIV/0!</v>
      </c>
      <c r="M13" s="90">
        <f>'Water Reading'!R13-'Water Reading'!R12</f>
        <v>0</v>
      </c>
      <c r="N13" s="92" t="e">
        <f t="shared" si="7"/>
        <v>#DIV/0!</v>
      </c>
      <c r="O13" s="90">
        <f>'Water Reading'!Q13-'Water Reading'!Q12</f>
        <v>0</v>
      </c>
      <c r="P13" s="99" t="e">
        <f t="shared" si="8"/>
        <v>#DIV/0!</v>
      </c>
      <c r="Q13" s="91">
        <f>'Water Reading'!F13-'Water Reading'!F12</f>
        <v>0</v>
      </c>
      <c r="R13" s="100" t="e">
        <f t="shared" si="9"/>
        <v>#DIV/0!</v>
      </c>
      <c r="S13" s="94">
        <f>'Water Reading'!E13-'Water Reading'!E12</f>
        <v>0</v>
      </c>
      <c r="T13" s="100" t="e">
        <f t="shared" si="10"/>
        <v>#DIV/0!</v>
      </c>
      <c r="U13" s="90">
        <f>'Water Reading'!G13-'Water Reading'!G12</f>
        <v>0</v>
      </c>
      <c r="V13" s="100" t="e">
        <f t="shared" si="11"/>
        <v>#DIV/0!</v>
      </c>
      <c r="W13" s="90">
        <f>'Water Reading'!J13-'Water Reading'!J12</f>
        <v>0</v>
      </c>
      <c r="X13" s="100" t="e">
        <f t="shared" si="12"/>
        <v>#DIV/0!</v>
      </c>
      <c r="Y13" s="66">
        <f t="shared" si="0"/>
        <v>0</v>
      </c>
      <c r="Z13" s="67" t="e">
        <f t="shared" si="1"/>
        <v>#DIV/0!</v>
      </c>
    </row>
    <row r="14" spans="1:26" x14ac:dyDescent="0.25">
      <c r="A14" s="8">
        <f>'Water Reading'!A13</f>
        <v>44238</v>
      </c>
      <c r="B14" s="65">
        <f>TOTAL!I12</f>
        <v>0</v>
      </c>
      <c r="C14" s="66">
        <f>('Water Reading'!B14-'Water Reading'!B13)+('Water Reading'!C14-'Water Reading'!C13)</f>
        <v>0</v>
      </c>
      <c r="D14" s="67" t="e">
        <f t="shared" si="2"/>
        <v>#DIV/0!</v>
      </c>
      <c r="E14" s="88">
        <f>'Water Reading'!H14-'Water Reading'!H13</f>
        <v>0</v>
      </c>
      <c r="F14" s="89" t="e">
        <f t="shared" si="3"/>
        <v>#DIV/0!</v>
      </c>
      <c r="G14" s="93">
        <f>('Water Reading'!D14-'Water Reading'!D13)-('Water Reading'!R14-'Water Reading'!R13)-('Water Reading'!Q14-'Water Reading'!Q13)</f>
        <v>0</v>
      </c>
      <c r="H14" s="89" t="e">
        <f t="shared" si="4"/>
        <v>#DIV/0!</v>
      </c>
      <c r="I14" s="90">
        <f>'Water Reading'!P14-'Water Reading'!P13</f>
        <v>0</v>
      </c>
      <c r="J14" s="68" t="e">
        <f t="shared" si="5"/>
        <v>#DIV/0!</v>
      </c>
      <c r="K14" s="91">
        <f>('Water Reading'!I14-'Water Reading'!I13)</f>
        <v>0</v>
      </c>
      <c r="L14" s="68" t="e">
        <f t="shared" si="6"/>
        <v>#DIV/0!</v>
      </c>
      <c r="M14" s="90">
        <f>'Water Reading'!R14-'Water Reading'!R13</f>
        <v>0</v>
      </c>
      <c r="N14" s="92" t="e">
        <f t="shared" si="7"/>
        <v>#DIV/0!</v>
      </c>
      <c r="O14" s="90">
        <f>'Water Reading'!Q14-'Water Reading'!Q13</f>
        <v>0</v>
      </c>
      <c r="P14" s="99" t="e">
        <f t="shared" si="8"/>
        <v>#DIV/0!</v>
      </c>
      <c r="Q14" s="91">
        <f>'Water Reading'!F14-'Water Reading'!F13</f>
        <v>0</v>
      </c>
      <c r="R14" s="100" t="e">
        <f t="shared" si="9"/>
        <v>#DIV/0!</v>
      </c>
      <c r="S14" s="94">
        <f>'Water Reading'!E14-'Water Reading'!E13</f>
        <v>0</v>
      </c>
      <c r="T14" s="100" t="e">
        <f t="shared" si="10"/>
        <v>#DIV/0!</v>
      </c>
      <c r="U14" s="90">
        <f>'Water Reading'!G14-'Water Reading'!G13</f>
        <v>0</v>
      </c>
      <c r="V14" s="100" t="e">
        <f t="shared" si="11"/>
        <v>#DIV/0!</v>
      </c>
      <c r="W14" s="90">
        <f>'Water Reading'!J14-'Water Reading'!J13</f>
        <v>0</v>
      </c>
      <c r="X14" s="100" t="e">
        <f t="shared" si="12"/>
        <v>#DIV/0!</v>
      </c>
      <c r="Y14" s="66">
        <f t="shared" si="0"/>
        <v>0</v>
      </c>
      <c r="Z14" s="67" t="e">
        <f t="shared" si="1"/>
        <v>#DIV/0!</v>
      </c>
    </row>
    <row r="15" spans="1:26" x14ac:dyDescent="0.25">
      <c r="A15" s="8">
        <f>'Water Reading'!A14</f>
        <v>44239</v>
      </c>
      <c r="B15" s="65">
        <f>TOTAL!I13</f>
        <v>0</v>
      </c>
      <c r="C15" s="66">
        <f>('Water Reading'!B15-'Water Reading'!B14)+('Water Reading'!C15-'Water Reading'!C14)</f>
        <v>0</v>
      </c>
      <c r="D15" s="67" t="e">
        <f t="shared" si="2"/>
        <v>#DIV/0!</v>
      </c>
      <c r="E15" s="87">
        <f>'Water Reading'!H15-'Water Reading'!H14</f>
        <v>0</v>
      </c>
      <c r="F15" s="89" t="e">
        <f t="shared" si="3"/>
        <v>#DIV/0!</v>
      </c>
      <c r="G15" s="93">
        <f>('Water Reading'!D15-'Water Reading'!D14)-('Water Reading'!R15-'Water Reading'!R14)-('Water Reading'!Q15-'Water Reading'!Q14)</f>
        <v>0</v>
      </c>
      <c r="H15" s="89" t="e">
        <f t="shared" si="4"/>
        <v>#DIV/0!</v>
      </c>
      <c r="I15" s="90">
        <f>'Water Reading'!P15-'Water Reading'!P14</f>
        <v>0</v>
      </c>
      <c r="J15" s="68" t="e">
        <f t="shared" si="5"/>
        <v>#DIV/0!</v>
      </c>
      <c r="K15" s="91">
        <f>('Water Reading'!I15-'Water Reading'!I14)</f>
        <v>0</v>
      </c>
      <c r="L15" s="68" t="e">
        <f t="shared" si="6"/>
        <v>#DIV/0!</v>
      </c>
      <c r="M15" s="90">
        <f>'Water Reading'!R15-'Water Reading'!R14</f>
        <v>0</v>
      </c>
      <c r="N15" s="92" t="e">
        <f t="shared" si="7"/>
        <v>#DIV/0!</v>
      </c>
      <c r="O15" s="90">
        <f>'Water Reading'!Q15-'Water Reading'!Q14</f>
        <v>0</v>
      </c>
      <c r="P15" s="99" t="e">
        <f t="shared" si="8"/>
        <v>#DIV/0!</v>
      </c>
      <c r="Q15" s="91">
        <f>'Water Reading'!F15-'Water Reading'!F14</f>
        <v>0</v>
      </c>
      <c r="R15" s="100" t="e">
        <f t="shared" si="9"/>
        <v>#DIV/0!</v>
      </c>
      <c r="S15" s="94">
        <f>'Water Reading'!E15-'Water Reading'!E14</f>
        <v>0</v>
      </c>
      <c r="T15" s="100" t="e">
        <f t="shared" si="10"/>
        <v>#DIV/0!</v>
      </c>
      <c r="U15" s="90">
        <f>'Water Reading'!G15-'Water Reading'!G14</f>
        <v>0</v>
      </c>
      <c r="V15" s="100" t="e">
        <f t="shared" si="11"/>
        <v>#DIV/0!</v>
      </c>
      <c r="W15" s="90">
        <f>'Water Reading'!J15-'Water Reading'!J14</f>
        <v>0</v>
      </c>
      <c r="X15" s="100" t="e">
        <f t="shared" si="12"/>
        <v>#DIV/0!</v>
      </c>
      <c r="Y15" s="66">
        <f t="shared" si="0"/>
        <v>0</v>
      </c>
      <c r="Z15" s="67" t="e">
        <f t="shared" si="1"/>
        <v>#DIV/0!</v>
      </c>
    </row>
    <row r="16" spans="1:26" x14ac:dyDescent="0.25">
      <c r="A16" s="8">
        <f>'Water Reading'!A15</f>
        <v>44240</v>
      </c>
      <c r="B16" s="65">
        <f>TOTAL!I14</f>
        <v>0</v>
      </c>
      <c r="C16" s="66">
        <f>('Water Reading'!B16-'Water Reading'!B15)+('Water Reading'!C16-'Water Reading'!C15)</f>
        <v>0</v>
      </c>
      <c r="D16" s="67" t="e">
        <f t="shared" si="2"/>
        <v>#DIV/0!</v>
      </c>
      <c r="E16" s="87">
        <f>'Water Reading'!H16-'Water Reading'!H15</f>
        <v>0</v>
      </c>
      <c r="F16" s="89" t="e">
        <f t="shared" si="3"/>
        <v>#DIV/0!</v>
      </c>
      <c r="G16" s="93">
        <f>('Water Reading'!D16-'Water Reading'!D15)-('Water Reading'!R16-'Water Reading'!R15)-('Water Reading'!Q16-'Water Reading'!Q15)</f>
        <v>0</v>
      </c>
      <c r="H16" s="89" t="e">
        <f t="shared" si="4"/>
        <v>#DIV/0!</v>
      </c>
      <c r="I16" s="90">
        <f>'Water Reading'!P16-'Water Reading'!P15</f>
        <v>0</v>
      </c>
      <c r="J16" s="68" t="e">
        <f t="shared" si="5"/>
        <v>#DIV/0!</v>
      </c>
      <c r="K16" s="90">
        <f>('Water Reading'!I16-'Water Reading'!I15)-('Water Reading'!P16-'Water Reading'!P15)</f>
        <v>0</v>
      </c>
      <c r="L16" s="68" t="e">
        <f t="shared" si="6"/>
        <v>#DIV/0!</v>
      </c>
      <c r="M16" s="90">
        <f>'Water Reading'!R16-'Water Reading'!R15</f>
        <v>0</v>
      </c>
      <c r="N16" s="92" t="e">
        <f t="shared" si="7"/>
        <v>#DIV/0!</v>
      </c>
      <c r="O16" s="90">
        <f>'Water Reading'!Q16-'Water Reading'!Q15</f>
        <v>0</v>
      </c>
      <c r="P16" s="99" t="e">
        <f t="shared" si="8"/>
        <v>#DIV/0!</v>
      </c>
      <c r="Q16" s="91">
        <f>'Water Reading'!F16-'Water Reading'!F15</f>
        <v>0</v>
      </c>
      <c r="R16" s="100" t="e">
        <f t="shared" si="9"/>
        <v>#DIV/0!</v>
      </c>
      <c r="S16" s="94">
        <f>'Water Reading'!E16-'Water Reading'!E15</f>
        <v>0</v>
      </c>
      <c r="T16" s="100" t="e">
        <f t="shared" si="10"/>
        <v>#DIV/0!</v>
      </c>
      <c r="U16" s="90">
        <f>'Water Reading'!G16-'Water Reading'!G15</f>
        <v>0</v>
      </c>
      <c r="V16" s="100" t="e">
        <f t="shared" si="11"/>
        <v>#DIV/0!</v>
      </c>
      <c r="W16" s="90">
        <f>'Water Reading'!J16-'Water Reading'!J15</f>
        <v>0</v>
      </c>
      <c r="X16" s="100" t="e">
        <f t="shared" si="12"/>
        <v>#DIV/0!</v>
      </c>
      <c r="Y16" s="66">
        <f t="shared" si="0"/>
        <v>0</v>
      </c>
      <c r="Z16" s="67" t="e">
        <f t="shared" si="1"/>
        <v>#DIV/0!</v>
      </c>
    </row>
    <row r="17" spans="1:26" x14ac:dyDescent="0.25">
      <c r="A17" s="8">
        <f>'Water Reading'!A16</f>
        <v>44241</v>
      </c>
      <c r="B17" s="65">
        <f>TOTAL!I15</f>
        <v>0</v>
      </c>
      <c r="C17" s="66">
        <f>('Water Reading'!B17-'Water Reading'!B16)+('Water Reading'!C17-'Water Reading'!C16)</f>
        <v>0</v>
      </c>
      <c r="D17" s="67" t="e">
        <f t="shared" si="2"/>
        <v>#DIV/0!</v>
      </c>
      <c r="E17" s="87">
        <f>'Water Reading'!H17-'Water Reading'!H16</f>
        <v>0</v>
      </c>
      <c r="F17" s="89" t="e">
        <f t="shared" si="3"/>
        <v>#DIV/0!</v>
      </c>
      <c r="G17" s="93">
        <f>('Water Reading'!D17-'Water Reading'!D16)-('Water Reading'!R17-'Water Reading'!R16)-('Water Reading'!Q17)</f>
        <v>0</v>
      </c>
      <c r="H17" s="89" t="e">
        <f t="shared" si="4"/>
        <v>#DIV/0!</v>
      </c>
      <c r="I17" s="90">
        <f>'Water Reading'!P17-'Water Reading'!P16</f>
        <v>0</v>
      </c>
      <c r="J17" s="68" t="e">
        <f t="shared" si="5"/>
        <v>#DIV/0!</v>
      </c>
      <c r="K17" s="90">
        <f>('Water Reading'!I17-'Water Reading'!I16)-('Water Reading'!P17-'Water Reading'!P16)</f>
        <v>0</v>
      </c>
      <c r="L17" s="68" t="e">
        <f t="shared" si="6"/>
        <v>#DIV/0!</v>
      </c>
      <c r="M17" s="90">
        <f>'Water Reading'!R17-'Water Reading'!R16</f>
        <v>0</v>
      </c>
      <c r="N17" s="92" t="e">
        <f t="shared" si="7"/>
        <v>#DIV/0!</v>
      </c>
      <c r="O17" s="90">
        <f>'Water Reading'!Q17</f>
        <v>0</v>
      </c>
      <c r="P17" s="99" t="e">
        <f t="shared" si="8"/>
        <v>#DIV/0!</v>
      </c>
      <c r="Q17" s="91">
        <f>'Water Reading'!F17-'Water Reading'!F16</f>
        <v>0</v>
      </c>
      <c r="R17" s="100" t="e">
        <f t="shared" si="9"/>
        <v>#DIV/0!</v>
      </c>
      <c r="S17" s="94">
        <f>'Water Reading'!E17-'Water Reading'!E16</f>
        <v>0</v>
      </c>
      <c r="T17" s="100" t="e">
        <f t="shared" si="10"/>
        <v>#DIV/0!</v>
      </c>
      <c r="U17" s="90">
        <f>'Water Reading'!G17-'Water Reading'!G16</f>
        <v>0</v>
      </c>
      <c r="V17" s="100" t="e">
        <f t="shared" si="11"/>
        <v>#DIV/0!</v>
      </c>
      <c r="W17" s="90">
        <f>'Water Reading'!J17-'Water Reading'!J16</f>
        <v>0</v>
      </c>
      <c r="X17" s="100" t="e">
        <f t="shared" si="12"/>
        <v>#DIV/0!</v>
      </c>
      <c r="Y17" s="66">
        <f t="shared" si="0"/>
        <v>0</v>
      </c>
      <c r="Z17" s="67" t="e">
        <f t="shared" si="1"/>
        <v>#DIV/0!</v>
      </c>
    </row>
    <row r="18" spans="1:26" x14ac:dyDescent="0.25">
      <c r="A18" s="8">
        <f>'Water Reading'!A17</f>
        <v>44242</v>
      </c>
      <c r="B18" s="65">
        <f>TOTAL!I16</f>
        <v>0</v>
      </c>
      <c r="C18" s="66">
        <f>('Water Reading'!B18-'Water Reading'!B17)+('Water Reading'!C18-'Water Reading'!C17)</f>
        <v>0</v>
      </c>
      <c r="D18" s="67" t="e">
        <f t="shared" si="2"/>
        <v>#DIV/0!</v>
      </c>
      <c r="E18" s="87">
        <f>'Water Reading'!H18-'Water Reading'!H17</f>
        <v>0</v>
      </c>
      <c r="F18" s="89" t="e">
        <f t="shared" si="3"/>
        <v>#DIV/0!</v>
      </c>
      <c r="G18" s="93">
        <f>('Water Reading'!D18-'Water Reading'!D17)-('Water Reading'!R18-'Water Reading'!R17)-('Water Reading'!Q18-'Water Reading'!Q17)</f>
        <v>0</v>
      </c>
      <c r="H18" s="89" t="e">
        <f t="shared" si="4"/>
        <v>#DIV/0!</v>
      </c>
      <c r="I18" s="90">
        <f>'Water Reading'!P18-'Water Reading'!P17</f>
        <v>0</v>
      </c>
      <c r="J18" s="68" t="e">
        <f t="shared" si="5"/>
        <v>#DIV/0!</v>
      </c>
      <c r="K18" s="90">
        <f>('Water Reading'!I18-'Water Reading'!I17)-('Water Reading'!P18-'Water Reading'!P17)</f>
        <v>0</v>
      </c>
      <c r="L18" s="68" t="e">
        <f t="shared" si="6"/>
        <v>#DIV/0!</v>
      </c>
      <c r="M18" s="90">
        <f>'Water Reading'!R18-'Water Reading'!R17</f>
        <v>0</v>
      </c>
      <c r="N18" s="92" t="e">
        <f t="shared" si="7"/>
        <v>#DIV/0!</v>
      </c>
      <c r="O18" s="90">
        <f>'Water Reading'!Q18-'Water Reading'!Q17</f>
        <v>0</v>
      </c>
      <c r="P18" s="99" t="e">
        <f t="shared" si="8"/>
        <v>#DIV/0!</v>
      </c>
      <c r="Q18" s="91">
        <f>'Water Reading'!F18-'Water Reading'!F17</f>
        <v>0</v>
      </c>
      <c r="R18" s="100" t="e">
        <f t="shared" si="9"/>
        <v>#DIV/0!</v>
      </c>
      <c r="S18" s="94">
        <f>'Water Reading'!E18-'Water Reading'!E17</f>
        <v>0</v>
      </c>
      <c r="T18" s="100" t="e">
        <f t="shared" si="10"/>
        <v>#DIV/0!</v>
      </c>
      <c r="U18" s="90">
        <f>'Water Reading'!G18-'Water Reading'!G17</f>
        <v>0</v>
      </c>
      <c r="V18" s="100" t="e">
        <f t="shared" si="11"/>
        <v>#DIV/0!</v>
      </c>
      <c r="W18" s="90">
        <f>'Water Reading'!J18-'Water Reading'!J17</f>
        <v>0</v>
      </c>
      <c r="X18" s="100" t="e">
        <f t="shared" si="12"/>
        <v>#DIV/0!</v>
      </c>
      <c r="Y18" s="66">
        <f t="shared" si="0"/>
        <v>0</v>
      </c>
      <c r="Z18" s="67" t="e">
        <f t="shared" si="1"/>
        <v>#DIV/0!</v>
      </c>
    </row>
    <row r="19" spans="1:26" x14ac:dyDescent="0.25">
      <c r="A19" s="8">
        <f>'Water Reading'!A18</f>
        <v>44243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0">
        <f>('Water Reading'!I19-'Water Reading'!I18)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44244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0">
        <f>('Water Reading'!I20-'Water Reading'!I19)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44245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0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44246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0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44247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0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44248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0">
        <f>('Water Reading'!I24-'Water Reading'!I23)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44249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0">
        <f>('Water Reading'!I25-'Water Reading'!I24)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44250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0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44251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0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44252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0">
        <f>('Water Reading'!I28-'Water Reading'!I27)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44253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0">
        <f>('Water Reading'!I29-'Water Reading'!I28)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44254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0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44255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0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0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0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279</v>
      </c>
      <c r="C35" s="75">
        <f>SUM(C4:C34)</f>
        <v>-240046</v>
      </c>
      <c r="D35" s="96">
        <f>C35/B35</f>
        <v>-860.37992831541214</v>
      </c>
      <c r="E35" s="7">
        <f>SUM(E4:E34)</f>
        <v>-45508</v>
      </c>
      <c r="F35" s="95">
        <f>E35/C35</f>
        <v>0.18958033043666631</v>
      </c>
      <c r="G35" s="75">
        <f>SUM(G4:G34)</f>
        <v>-182356</v>
      </c>
      <c r="H35" s="95">
        <f>G35/C35</f>
        <v>0.75967106304624943</v>
      </c>
      <c r="I35" s="7">
        <f>SUM(I4:I34)</f>
        <v>-25830</v>
      </c>
      <c r="J35" s="95">
        <f>I35/C35</f>
        <v>0.10760437582796631</v>
      </c>
      <c r="K35" s="7">
        <f>SUM(K4:K34)</f>
        <v>-57588</v>
      </c>
      <c r="L35" s="95">
        <f>K35/C35</f>
        <v>0.23990401839647402</v>
      </c>
      <c r="M35" s="7">
        <f>SUM(M4:M34)</f>
        <v>-5466</v>
      </c>
      <c r="N35" s="95">
        <f>M35/C35</f>
        <v>2.2770635628171266E-2</v>
      </c>
      <c r="O35" s="7">
        <f>SUM(O4:O34)</f>
        <v>-61</v>
      </c>
      <c r="P35" s="95">
        <f>O35/C35</f>
        <v>2.5411796072419453E-4</v>
      </c>
      <c r="Q35" s="7">
        <f>SUM(Q4:Q34)</f>
        <v>-66842</v>
      </c>
      <c r="R35" s="95">
        <f>Q35/C35</f>
        <v>0.27845496279879689</v>
      </c>
      <c r="S35" s="75">
        <f>SUM(S4:S34)</f>
        <v>-238934</v>
      </c>
      <c r="T35" s="95">
        <f>S35/C35</f>
        <v>0.99536755455204418</v>
      </c>
      <c r="U35" s="7">
        <f>SUM(U4:U34)</f>
        <v>-108776</v>
      </c>
      <c r="V35" s="95">
        <f>U35/C35</f>
        <v>0.45314648025795057</v>
      </c>
      <c r="W35" s="7">
        <f>SUM(W4:W34)</f>
        <v>-18332</v>
      </c>
      <c r="X35" s="95">
        <f>W35/C35</f>
        <v>7.6368695999933345E-2</v>
      </c>
      <c r="Y35" s="75">
        <f>SUM(Y4:Y34)</f>
        <v>-749693</v>
      </c>
      <c r="Z35" s="95">
        <f t="shared" si="1"/>
        <v>-2687.0716845878137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2021-02-02T06:39:41Z</dcterms:modified>
  <cp:category/>
  <cp:contentStatus/>
</cp:coreProperties>
</file>