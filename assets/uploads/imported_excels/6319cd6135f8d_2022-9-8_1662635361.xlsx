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  <sheet name="Waste Record - August" sheetId="6" r:id="rId6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6" l="1"/>
  <c r="H43" i="5"/>
  <c r="P7" i="1"/>
  <c r="P8" i="1"/>
  <c r="N38" i="6"/>
  <c r="L38" i="6"/>
  <c r="J38" i="6"/>
  <c r="H38" i="6"/>
  <c r="F38" i="6"/>
  <c r="D38" i="6"/>
  <c r="B38" i="6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<sst xmlns="http://schemas.openxmlformats.org/spreadsheetml/2006/main" count="169" uniqueCount="46">
  <si>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</si>
  <si>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</si>
  <si>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</si>
  <si>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</si>
  <si>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</si>
  <si>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</si>
  <si>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</si>
  <si>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</si>
  <si>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</si>
  <si>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</si>
  <si>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</si>
  <si>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</si>
  <si>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</si>
  <si>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</si>
  <si>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</si>
  <si>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</si>
  <si>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</si>
  <si>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</si>
  <si>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</si>
  <si>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</si>
  <si>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</si>
  <si>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</si>
  <si>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</si>
  <si>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</si>
  <si>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</si>
  <si>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</si>
  <si>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</si>
  <si>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</si>
  <si>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</si>
  <si>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</si>
  <si>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</si>
  <si>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</si>
  <si>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</si>
  <si>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</si>
  <si>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</si>
  <si>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</si>
  <si>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</si>
  <si>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</si>
  <si>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</si>
  <si>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</si>
  <si>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</si>
  <si>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</si>
  <si>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</si>
  <si>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</si>
  <si>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</si>
  <si>
    <t>Month of August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</si>
</sst>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zoomScale="115" zoomScaleNormal="115" workbookViewId="0">
      <selection activeCell="A9" sqref="A9:XFD9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>
        <f>'Waste Record - May'!F39</f>
        <v>0</v>
      </c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P8" s="5">
        <f>'Waste Record - May'!F40</f>
        <v>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D9" s="5">
        <v>300</v>
      </c>
      <c r="N9" s="5">
        <v>500</v>
      </c>
      <c r="P9" s="5">
        <v>3</v>
      </c>
      <c r="T9" s="5">
        <v>6391</v>
      </c>
      <c r="V9" s="5">
        <v>7766</v>
      </c>
      <c r="W9" s="5">
        <v>19340910</v>
      </c>
      <c r="Z9" s="5">
        <v>15000</v>
      </c>
      <c r="AA9" s="5">
        <v>6958000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16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4" sqref="H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H43" sqref="H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146</v>
      </c>
      <c r="I7" s="10"/>
      <c r="J7" s="15">
        <v>170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375</v>
      </c>
      <c r="I8" s="10"/>
      <c r="J8" s="15">
        <v>210</v>
      </c>
      <c r="K8" s="10"/>
      <c r="L8" s="15">
        <v>275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203</v>
      </c>
      <c r="I9" s="10"/>
      <c r="J9" s="15">
        <v>217</v>
      </c>
      <c r="K9" s="10"/>
      <c r="L9" s="15">
        <v>150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346</v>
      </c>
      <c r="I10" s="10"/>
      <c r="J10" s="15">
        <v>300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323</v>
      </c>
      <c r="I11" s="10"/>
      <c r="J11" s="15">
        <v>180</v>
      </c>
      <c r="K11" s="10"/>
      <c r="L11" s="15">
        <v>115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173</v>
      </c>
      <c r="I12" s="10"/>
      <c r="J12" s="15">
        <v>175</v>
      </c>
      <c r="K12" s="10"/>
      <c r="L12" s="15">
        <v>40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212</v>
      </c>
      <c r="I13" s="10"/>
      <c r="J13" s="15">
        <v>164</v>
      </c>
      <c r="K13" s="10"/>
      <c r="L13" s="15">
        <v>145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>
        <v>3</v>
      </c>
      <c r="G14" s="10"/>
      <c r="H14" s="16">
        <v>109</v>
      </c>
      <c r="I14" s="10"/>
      <c r="J14" s="15">
        <v>150</v>
      </c>
      <c r="K14" s="10"/>
      <c r="L14" s="15">
        <v>210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30</v>
      </c>
      <c r="C15" s="10"/>
      <c r="D15" s="15"/>
      <c r="E15" s="10"/>
      <c r="F15" s="15"/>
      <c r="G15" s="10"/>
      <c r="H15" s="16">
        <v>301</v>
      </c>
      <c r="I15" s="10"/>
      <c r="J15" s="15">
        <v>104</v>
      </c>
      <c r="K15" s="10"/>
      <c r="L15" s="15"/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124</v>
      </c>
      <c r="I16" s="10"/>
      <c r="J16" s="15">
        <v>160</v>
      </c>
      <c r="K16" s="10"/>
      <c r="L16" s="15">
        <v>30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249</v>
      </c>
      <c r="I17" s="10"/>
      <c r="J17" s="15">
        <v>115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210</v>
      </c>
      <c r="I18" s="10"/>
      <c r="J18" s="15">
        <v>230</v>
      </c>
      <c r="K18" s="10"/>
      <c r="L18" s="15">
        <v>152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131</v>
      </c>
      <c r="I19" s="10"/>
      <c r="J19" s="15">
        <v>420</v>
      </c>
      <c r="K19" s="10"/>
      <c r="L19" s="15">
        <v>146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15</v>
      </c>
      <c r="C20" s="10"/>
      <c r="D20" s="15"/>
      <c r="E20" s="10"/>
      <c r="F20" s="15"/>
      <c r="G20" s="10"/>
      <c r="H20" s="16">
        <v>244</v>
      </c>
      <c r="I20" s="10"/>
      <c r="J20" s="15">
        <v>239</v>
      </c>
      <c r="K20" s="10"/>
      <c r="L20" s="15">
        <v>165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</v>
      </c>
      <c r="C21" s="10"/>
      <c r="D21" s="15"/>
      <c r="E21" s="10"/>
      <c r="F21" s="15"/>
      <c r="G21" s="10"/>
      <c r="H21" s="16">
        <v>328</v>
      </c>
      <c r="I21" s="10"/>
      <c r="J21" s="15">
        <v>165</v>
      </c>
      <c r="K21" s="10"/>
      <c r="L21" s="15"/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208</v>
      </c>
      <c r="I22" s="10"/>
      <c r="J22" s="15">
        <v>195</v>
      </c>
      <c r="K22" s="10"/>
      <c r="L22" s="15">
        <v>75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5</v>
      </c>
      <c r="C23" s="10"/>
      <c r="D23" s="15"/>
      <c r="E23" s="10"/>
      <c r="F23" s="15"/>
      <c r="G23" s="10"/>
      <c r="H23" s="16">
        <v>190</v>
      </c>
      <c r="I23" s="10"/>
      <c r="J23" s="15">
        <v>209</v>
      </c>
      <c r="K23" s="10"/>
      <c r="L23" s="15">
        <v>5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15</v>
      </c>
      <c r="C24" s="10"/>
      <c r="D24" s="15"/>
      <c r="E24" s="10"/>
      <c r="F24" s="15"/>
      <c r="G24" s="10"/>
      <c r="H24" s="16">
        <v>131</v>
      </c>
      <c r="I24" s="10"/>
      <c r="J24" s="15">
        <v>189</v>
      </c>
      <c r="K24" s="10"/>
      <c r="L24" s="15">
        <v>15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127</v>
      </c>
      <c r="I25" s="10"/>
      <c r="J25" s="15">
        <v>555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178</v>
      </c>
      <c r="I26" s="10"/>
      <c r="J26" s="15">
        <v>270</v>
      </c>
      <c r="K26" s="10"/>
      <c r="L26" s="15">
        <v>330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159</v>
      </c>
      <c r="I27" s="10"/>
      <c r="J27" s="15">
        <v>117</v>
      </c>
      <c r="K27" s="10"/>
      <c r="L27" s="15">
        <v>60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240</v>
      </c>
      <c r="I28" s="10"/>
      <c r="J28" s="15">
        <v>187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3</v>
      </c>
      <c r="C29" s="10"/>
      <c r="D29" s="15"/>
      <c r="E29" s="10"/>
      <c r="F29" s="15"/>
      <c r="G29" s="10"/>
      <c r="H29" s="16">
        <v>173</v>
      </c>
      <c r="I29" s="10"/>
      <c r="J29" s="15">
        <v>106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40</v>
      </c>
      <c r="C30" s="10"/>
      <c r="D30" s="15"/>
      <c r="E30" s="10"/>
      <c r="F30" s="15"/>
      <c r="G30" s="10"/>
      <c r="H30" s="16">
        <v>91</v>
      </c>
      <c r="I30" s="10"/>
      <c r="J30" s="15">
        <v>190</v>
      </c>
      <c r="K30" s="10"/>
      <c r="L30" s="15">
        <v>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3</v>
      </c>
      <c r="C31" s="10"/>
      <c r="D31" s="15"/>
      <c r="E31" s="10"/>
      <c r="F31" s="15"/>
      <c r="G31" s="10"/>
      <c r="H31" s="16">
        <v>115</v>
      </c>
      <c r="I31" s="10"/>
      <c r="J31" s="15">
        <v>258</v>
      </c>
      <c r="K31" s="10"/>
      <c r="L31" s="15">
        <v>205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40</v>
      </c>
      <c r="C32" s="10"/>
      <c r="D32" s="15"/>
      <c r="E32" s="10"/>
      <c r="F32" s="15"/>
      <c r="G32" s="10"/>
      <c r="H32" s="16">
        <v>154</v>
      </c>
      <c r="I32" s="10"/>
      <c r="J32" s="15">
        <v>275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10</v>
      </c>
      <c r="C33" s="10"/>
      <c r="D33" s="15"/>
      <c r="E33" s="10"/>
      <c r="F33" s="15"/>
      <c r="G33" s="10"/>
      <c r="H33" s="16">
        <v>168</v>
      </c>
      <c r="I33" s="10"/>
      <c r="J33" s="15">
        <v>278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95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136</v>
      </c>
      <c r="I35" s="10"/>
      <c r="J35" s="15">
        <v>60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77</v>
      </c>
      <c r="C36" s="10"/>
      <c r="D36" s="15"/>
      <c r="E36" s="10"/>
      <c r="F36" s="15"/>
      <c r="G36" s="10"/>
      <c r="H36" s="16">
        <v>97</v>
      </c>
      <c r="I36" s="10"/>
      <c r="J36" s="15">
        <v>212</v>
      </c>
      <c r="K36" s="10"/>
      <c r="L36" s="15">
        <v>120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42</v>
      </c>
      <c r="C37" s="10"/>
      <c r="D37" s="15"/>
      <c r="E37" s="10"/>
      <c r="F37" s="15"/>
      <c r="G37" s="10"/>
      <c r="H37" s="16">
        <v>132</v>
      </c>
      <c r="I37" s="10"/>
      <c r="J37" s="15">
        <v>216</v>
      </c>
      <c r="K37" s="10"/>
      <c r="L37" s="15">
        <v>20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300</v>
      </c>
      <c r="C38" s="12"/>
      <c r="D38" s="12">
        <f t="shared" ref="D38:N38" si="0">SUM(D7:D37)</f>
        <v>0</v>
      </c>
      <c r="E38" s="12"/>
      <c r="F38" s="12">
        <f t="shared" si="0"/>
        <v>3</v>
      </c>
      <c r="G38" s="12"/>
      <c r="H38" s="12">
        <f t="shared" si="0"/>
        <v>5868</v>
      </c>
      <c r="I38" s="12"/>
      <c r="J38" s="12">
        <f t="shared" si="0"/>
        <v>6391</v>
      </c>
      <c r="K38" s="12"/>
      <c r="L38" s="12">
        <f t="shared" si="0"/>
        <v>2398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7766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 Data</vt:lpstr>
      <vt:lpstr>Waste Record - April</vt:lpstr>
      <vt:lpstr>Waste Record - May</vt:lpstr>
      <vt:lpstr>Waste Record - June</vt:lpstr>
      <vt:lpstr>Waste Record - July</vt:lpstr>
      <vt:lpstr>Waste Record -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2022-09-08T11:05:33Z</dcterms:modified>
</cp:coreProperties>
</file>