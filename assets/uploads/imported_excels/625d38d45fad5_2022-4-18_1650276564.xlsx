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1697" documentId="8_{5B502D95-7A37-4D5A-8B6B-374537CC2F26}" xr6:coauthVersionLast="47" xr6:coauthVersionMax="47" xr10:uidLastSave="{0B4AF006-6923-4DEF-A5D5-26F2DAF96626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6" i="2" l="1"/>
  <c r="N27" i="2"/>
  <c r="M27" i="2"/>
  <c r="L27" i="2"/>
  <c r="F27" i="2"/>
  <c r="K26" i="6"/>
  <c r="I26" i="6"/>
  <c r="G26" i="6"/>
  <c r="E26" i="6"/>
  <c r="C26" i="6"/>
  <c r="V23" i="2"/>
  <c r="V24" i="2"/>
  <c r="V25" i="2"/>
  <c r="N24" i="2"/>
  <c r="N25" i="2"/>
  <c r="N26" i="2"/>
  <c r="M24" i="2"/>
  <c r="M25" i="2"/>
  <c r="M26" i="2"/>
  <c r="L24" i="2"/>
  <c r="L25" i="2"/>
  <c r="L26" i="2"/>
  <c r="F24" i="2"/>
  <c r="F25" i="2"/>
  <c r="F26" i="2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M22" i="2"/>
  <c r="L22" i="2"/>
  <c r="F22" i="2"/>
  <c r="K21" i="6"/>
  <c r="N22" i="2" s="1"/>
  <c r="I21" i="6"/>
  <c r="G21" i="6"/>
  <c r="E21" i="6"/>
  <c r="C21" i="6"/>
  <c r="V20" i="2"/>
  <c r="N21" i="2"/>
  <c r="M21" i="2"/>
  <c r="L21" i="2"/>
  <c r="F21" i="2"/>
  <c r="K20" i="6"/>
  <c r="I20" i="6"/>
  <c r="G20" i="6"/>
  <c r="E20" i="6"/>
  <c r="C20" i="6"/>
  <c r="M48" i="4"/>
  <c r="P5" i="4"/>
  <c r="P6" i="4"/>
  <c r="P7" i="4"/>
  <c r="P8" i="4"/>
  <c r="P9" i="4"/>
  <c r="P10" i="4"/>
  <c r="P11" i="4"/>
  <c r="P12" i="4"/>
  <c r="P13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V18" i="2"/>
  <c r="V19" i="2"/>
  <c r="N19" i="2"/>
  <c r="N20" i="2"/>
  <c r="M19" i="2"/>
  <c r="M20" i="2"/>
  <c r="L19" i="2"/>
  <c r="L20" i="2"/>
  <c r="F19" i="2"/>
  <c r="F20" i="2"/>
  <c r="K19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5" i="2"/>
  <c r="V16" i="2"/>
  <c r="N16" i="2"/>
  <c r="N17" i="2"/>
  <c r="M16" i="2"/>
  <c r="M17" i="2"/>
  <c r="L16" i="2"/>
  <c r="L17" i="2"/>
  <c r="F16" i="2"/>
  <c r="F17" i="2"/>
  <c r="K16" i="6"/>
  <c r="I16" i="6"/>
  <c r="G16" i="6"/>
  <c r="E16" i="6"/>
  <c r="C16" i="6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V10" i="2"/>
  <c r="N11" i="2"/>
  <c r="N12" i="2"/>
  <c r="N13" i="2"/>
  <c r="N14" i="2"/>
  <c r="M14" i="2"/>
  <c r="M11" i="2"/>
  <c r="M12" i="2"/>
  <c r="M13" i="2"/>
  <c r="L11" i="2"/>
  <c r="L12" i="2"/>
  <c r="L13" i="2"/>
  <c r="L14" i="2"/>
  <c r="F11" i="2"/>
  <c r="F12" i="2"/>
  <c r="F13" i="2"/>
  <c r="F14" i="2"/>
  <c r="N10" i="2"/>
  <c r="M10" i="2"/>
  <c r="L10" i="2"/>
  <c r="F10" i="2"/>
  <c r="K12" i="6"/>
  <c r="I12" i="6"/>
  <c r="G12" i="6"/>
  <c r="E12" i="6"/>
  <c r="C12" i="6"/>
  <c r="C13" i="6"/>
  <c r="K11" i="6"/>
  <c r="I11" i="6"/>
  <c r="G11" i="6"/>
  <c r="E11" i="6"/>
  <c r="C11" i="6"/>
  <c r="G4" i="4"/>
  <c r="E4" i="4"/>
  <c r="C4" i="4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E29" i="6"/>
  <c r="C29" i="6"/>
  <c r="K28" i="6"/>
  <c r="I28" i="6"/>
  <c r="G28" i="6"/>
  <c r="G29" i="6"/>
  <c r="E28" i="6"/>
  <c r="K13" i="6"/>
  <c r="I13" i="6"/>
  <c r="G13" i="6"/>
  <c r="E13" i="6"/>
  <c r="K10" i="6"/>
  <c r="I10" i="6"/>
  <c r="G10" i="6"/>
  <c r="E10" i="6"/>
  <c r="C10" i="6"/>
  <c r="Q10" i="2"/>
  <c r="L27" i="22"/>
  <c r="L28" i="22"/>
  <c r="L29" i="22"/>
  <c r="L30" i="22"/>
  <c r="L31" i="22"/>
  <c r="K27" i="22"/>
  <c r="K28" i="22"/>
  <c r="K29" i="22"/>
  <c r="K30" i="22"/>
  <c r="I27" i="22"/>
  <c r="I28" i="22"/>
  <c r="I29" i="22"/>
  <c r="I30" i="22"/>
  <c r="G27" i="22"/>
  <c r="G28" i="22"/>
  <c r="G29" i="22"/>
  <c r="G30" i="22"/>
  <c r="G31" i="22"/>
  <c r="I26" i="21"/>
  <c r="I27" i="21"/>
  <c r="I28" i="21"/>
  <c r="I29" i="21"/>
  <c r="I30" i="21"/>
  <c r="I31" i="21"/>
  <c r="H26" i="21"/>
  <c r="H27" i="21"/>
  <c r="H28" i="21"/>
  <c r="H29" i="21"/>
  <c r="H30" i="21"/>
  <c r="H31" i="21"/>
  <c r="G27" i="21"/>
  <c r="G28" i="21"/>
  <c r="G29" i="21"/>
  <c r="G30" i="21"/>
  <c r="G31" i="21"/>
  <c r="F27" i="21"/>
  <c r="F28" i="21"/>
  <c r="F29" i="21"/>
  <c r="F30" i="21"/>
  <c r="F31" i="21"/>
  <c r="E27" i="21"/>
  <c r="E27" i="22" s="1"/>
  <c r="E28" i="21"/>
  <c r="E28" i="22" s="1"/>
  <c r="E29" i="21"/>
  <c r="E29" i="22" s="1"/>
  <c r="E30" i="21"/>
  <c r="E30" i="22" s="1"/>
  <c r="E31" i="21"/>
  <c r="E31" i="22" s="1"/>
  <c r="Q39" i="2"/>
  <c r="Q36" i="2"/>
  <c r="Q37" i="2"/>
  <c r="O39" i="2"/>
  <c r="O36" i="2"/>
  <c r="O37" i="2"/>
  <c r="H39" i="2"/>
  <c r="H37" i="2"/>
  <c r="H36" i="2"/>
  <c r="C28" i="6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K31" i="22"/>
  <c r="C35" i="4"/>
  <c r="I31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4" i="4"/>
  <c r="G16" i="4"/>
  <c r="G26" i="4"/>
  <c r="E8" i="4"/>
  <c r="E14" i="4"/>
  <c r="E16" i="4"/>
  <c r="E17" i="4"/>
  <c r="E26" i="4"/>
  <c r="C8" i="4"/>
  <c r="C14" i="4"/>
  <c r="C16" i="4"/>
  <c r="C17" i="4"/>
  <c r="C26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L9" i="4"/>
  <c r="N9" i="4"/>
  <c r="AC43" i="4"/>
  <c r="I9" i="4"/>
  <c r="O9" i="4"/>
  <c r="G12" i="4" l="1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0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<sst xmlns="http://schemas.openxmlformats.org/spreadsheetml/2006/main" count="482" uniqueCount="186">
  <si>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</si>
  <si>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</si>
  <si>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</si>
  <si>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</si>
  <si>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</si>
  <si>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</si>
  <si>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</si>
  <si>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</si>
  <si>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</si>
  <si>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</si>
  <si>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</si>
  <si>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</si>
  <si>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</si>
  <si>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</si>
  <si>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</si>
  <si>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</si>
  <si>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</si>
  <si>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</si>
  <si>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</si>
  <si>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</si>
  <si>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</si>
  <si>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</si>
  <si>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</si>
  <si>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</si>
  <si>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</si>
  <si>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</si>
  <si>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</si>
  <si>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</si>
  <si>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</si>
  <si>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</si>
  <si>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</si>
  <si>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</si>
  <si>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</si>
  <si>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</si>
  <si>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</si>
  <si>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</si>
  <si>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</si>
  <si>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</si>
  <si>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</si>
  <si>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</si>
  <si>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</si>
  <si>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</si>
  <si>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</si>
  <si>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</si>
  <si>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</si>
  <si>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</si>
  <si>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</si>
  <si>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</si>
  <si>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</si>
  <si>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</si>
  <si>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</si>
  <si>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</si>
  <si>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</si>
  <si>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</si>
  <si>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</si>
  <si>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</si>
  <si>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</si>
  <si>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</si>
  <si>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</si>
  <si>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</si>
  <si>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</si>
  <si>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</si>
  <si>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</si>
  <si>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</si>
  <si>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</si>
  <si>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</si>
  <si>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</si>
  <si>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</si>
  <si>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</si>
  <si>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</si>
  <si>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</si>
  <si>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</si>
  <si>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</si>
  <si>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</si>
  <si>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</si>
  <si>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</si>
  <si>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</si>
  <si>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</si>
  <si>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</si>
  <si>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</si>
  <si>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</si>
  <si>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</si>
  <si>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</si>
  <si>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</si>
  <si>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</si>
  <si>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</si>
  <si>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</si>
  <si>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</si>
  <si>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</si>
  <si>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</si>
  <si>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</si>
  <si>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</si>
  <si>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</si>
  <si>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</si>
  <si>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</si>
  <si>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</si>
  <si>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</si>
  <si>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</si>
  <si>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</si>
  <si>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</si>
  <si>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</si>
  <si>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</si>
  <si>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</si>
  <si>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</si>
  <si>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</si>
  <si>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</si>
  <si>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</si>
  <si>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</si>
  <si>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</si>
  <si>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</si>
  <si>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</si>
  <si>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</si>
  <si>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</si>
  <si>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</si>
  <si>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</si>
  <si>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</si>
  <si>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</si>
  <si>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</si>
  <si>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</si>
  <si>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</si>
  <si>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</si>
  <si>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</si>
  <si>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</si>
  <si>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</si>
  <si>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</si>
  <si>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</si>
  <si>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</si>
  <si>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</si>
  <si>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</si>
  <si>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</si>
  <si>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</si>
  <si>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</si>
  <si>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Avril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</si>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</sst>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118.89999999999418</c:v>
                </c:pt>
                <c:pt idx="1">
                  <c:v>143</c:v>
                </c:pt>
                <c:pt idx="2">
                  <c:v>137</c:v>
                </c:pt>
                <c:pt idx="3">
                  <c:v>134</c:v>
                </c:pt>
                <c:pt idx="4">
                  <c:v>63.899999999994179</c:v>
                </c:pt>
                <c:pt idx="5">
                  <c:v>124.5</c:v>
                </c:pt>
                <c:pt idx="6">
                  <c:v>99</c:v>
                </c:pt>
                <c:pt idx="7">
                  <c:v>104</c:v>
                </c:pt>
                <c:pt idx="8">
                  <c:v>136.80000000001746</c:v>
                </c:pt>
                <c:pt idx="9">
                  <c:v>131.79999999998836</c:v>
                </c:pt>
                <c:pt idx="10">
                  <c:v>88</c:v>
                </c:pt>
                <c:pt idx="11">
                  <c:v>104</c:v>
                </c:pt>
                <c:pt idx="12">
                  <c:v>143</c:v>
                </c:pt>
                <c:pt idx="13">
                  <c:v>109</c:v>
                </c:pt>
                <c:pt idx="14">
                  <c:v>108.5</c:v>
                </c:pt>
                <c:pt idx="15">
                  <c:v>156.5</c:v>
                </c:pt>
                <c:pt idx="16">
                  <c:v>126</c:v>
                </c:pt>
                <c:pt idx="17">
                  <c:v>91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3872</c:v>
                </c:pt>
                <c:pt idx="1">
                  <c:v>2925</c:v>
                </c:pt>
                <c:pt idx="2">
                  <c:v>2848</c:v>
                </c:pt>
                <c:pt idx="3">
                  <c:v>2993</c:v>
                </c:pt>
                <c:pt idx="4">
                  <c:v>3095</c:v>
                </c:pt>
                <c:pt idx="5">
                  <c:v>2998</c:v>
                </c:pt>
                <c:pt idx="6">
                  <c:v>2968</c:v>
                </c:pt>
                <c:pt idx="7">
                  <c:v>2732</c:v>
                </c:pt>
                <c:pt idx="8">
                  <c:v>2858</c:v>
                </c:pt>
                <c:pt idx="9">
                  <c:v>3317</c:v>
                </c:pt>
                <c:pt idx="10">
                  <c:v>2959</c:v>
                </c:pt>
                <c:pt idx="11">
                  <c:v>3117</c:v>
                </c:pt>
                <c:pt idx="12">
                  <c:v>3569</c:v>
                </c:pt>
                <c:pt idx="13">
                  <c:v>3005</c:v>
                </c:pt>
                <c:pt idx="14">
                  <c:v>2878</c:v>
                </c:pt>
                <c:pt idx="15">
                  <c:v>3637</c:v>
                </c:pt>
                <c:pt idx="16">
                  <c:v>3222</c:v>
                </c:pt>
                <c:pt idx="17">
                  <c:v>3398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5571</c:v>
                </c:pt>
                <c:pt idx="1">
                  <c:v>5835</c:v>
                </c:pt>
                <c:pt idx="2">
                  <c:v>5402</c:v>
                </c:pt>
                <c:pt idx="3">
                  <c:v>5079</c:v>
                </c:pt>
                <c:pt idx="4">
                  <c:v>4560</c:v>
                </c:pt>
                <c:pt idx="5">
                  <c:v>5103</c:v>
                </c:pt>
                <c:pt idx="6">
                  <c:v>5120</c:v>
                </c:pt>
                <c:pt idx="7">
                  <c:v>5401</c:v>
                </c:pt>
                <c:pt idx="8">
                  <c:v>5414</c:v>
                </c:pt>
                <c:pt idx="9">
                  <c:v>5290</c:v>
                </c:pt>
                <c:pt idx="10">
                  <c:v>5314</c:v>
                </c:pt>
                <c:pt idx="11">
                  <c:v>5458</c:v>
                </c:pt>
                <c:pt idx="12">
                  <c:v>5987</c:v>
                </c:pt>
                <c:pt idx="13">
                  <c:v>5960</c:v>
                </c:pt>
                <c:pt idx="14">
                  <c:v>5738</c:v>
                </c:pt>
                <c:pt idx="15">
                  <c:v>5811</c:v>
                </c:pt>
                <c:pt idx="16">
                  <c:v>5842</c:v>
                </c:pt>
                <c:pt idx="17">
                  <c:v>5729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2678</c:v>
                </c:pt>
                <c:pt idx="1">
                  <c:v>2283</c:v>
                </c:pt>
                <c:pt idx="2">
                  <c:v>2333</c:v>
                </c:pt>
                <c:pt idx="3">
                  <c:v>2389</c:v>
                </c:pt>
                <c:pt idx="4">
                  <c:v>2339</c:v>
                </c:pt>
                <c:pt idx="5">
                  <c:v>2130</c:v>
                </c:pt>
                <c:pt idx="6">
                  <c:v>2178</c:v>
                </c:pt>
                <c:pt idx="7">
                  <c:v>2478</c:v>
                </c:pt>
                <c:pt idx="8">
                  <c:v>2428</c:v>
                </c:pt>
                <c:pt idx="9">
                  <c:v>2491</c:v>
                </c:pt>
                <c:pt idx="10">
                  <c:v>2466</c:v>
                </c:pt>
                <c:pt idx="11">
                  <c:v>2539</c:v>
                </c:pt>
                <c:pt idx="12">
                  <c:v>2966</c:v>
                </c:pt>
                <c:pt idx="13">
                  <c:v>2522</c:v>
                </c:pt>
                <c:pt idx="14">
                  <c:v>2537</c:v>
                </c:pt>
                <c:pt idx="15">
                  <c:v>2703</c:v>
                </c:pt>
                <c:pt idx="16">
                  <c:v>2413</c:v>
                </c:pt>
                <c:pt idx="17">
                  <c:v>2560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575.98577999999998</c:v>
                </c:pt>
                <c:pt idx="1">
                  <c:v>703.98262</c:v>
                </c:pt>
                <c:pt idx="2">
                  <c:v>671.98341000000005</c:v>
                </c:pt>
                <c:pt idx="3">
                  <c:v>192.35820000000001</c:v>
                </c:pt>
                <c:pt idx="4">
                  <c:v>415.98973000000001</c:v>
                </c:pt>
                <c:pt idx="5">
                  <c:v>479.98815000000002</c:v>
                </c:pt>
                <c:pt idx="6">
                  <c:v>415.98973000000001</c:v>
                </c:pt>
                <c:pt idx="7">
                  <c:v>895.97788000000003</c:v>
                </c:pt>
                <c:pt idx="8">
                  <c:v>415.98973000000001</c:v>
                </c:pt>
                <c:pt idx="9">
                  <c:v>223.99447000000001</c:v>
                </c:pt>
                <c:pt idx="10">
                  <c:v>479.98815000000002</c:v>
                </c:pt>
                <c:pt idx="11">
                  <c:v>543.98657000000003</c:v>
                </c:pt>
                <c:pt idx="12">
                  <c:v>511.98736000000002</c:v>
                </c:pt>
                <c:pt idx="13">
                  <c:v>479.98815000000002</c:v>
                </c:pt>
                <c:pt idx="14">
                  <c:v>479.98815000000002</c:v>
                </c:pt>
                <c:pt idx="15">
                  <c:v>639.98419999999999</c:v>
                </c:pt>
                <c:pt idx="16">
                  <c:v>511.98736000000002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6" workbookViewId="0">
      <selection activeCell="A32" sqref="A32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2022</v>
      </c>
      <c r="E2" s="137">
        <f>submetering!E2+submetering!F2+submetering!G2</f>
        <v>12121</v>
      </c>
      <c r="F2" s="134">
        <v>1.05</v>
      </c>
      <c r="G2" s="134">
        <f>'Consommation mensuel énergie'!V10</f>
        <v>575.98577999999998</v>
      </c>
      <c r="H2" s="134">
        <v>9.9649999999999999</v>
      </c>
      <c r="I2" s="134">
        <f>'Consommation mensuel énergie'!F10</f>
        <v>118.89999999999418</v>
      </c>
      <c r="J2" s="134">
        <v>11.4</v>
      </c>
      <c r="K2" s="137">
        <f>'Consommation mensuel énergie'!D10</f>
        <v>84</v>
      </c>
      <c r="L2" s="137">
        <f>'Consommation mensuel énergie'!E10</f>
        <v>145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submetering!E3+submetering!F3+submetering!G3</f>
        <v>11099</v>
      </c>
      <c r="F3" s="134">
        <v>1.05</v>
      </c>
      <c r="G3" s="134">
        <f>'Consommation mensuel énergie'!V11</f>
        <v>703.98262</v>
      </c>
      <c r="H3" s="134">
        <v>9.9649999999999999</v>
      </c>
      <c r="I3" s="134">
        <f>'Consommation mensuel énergie'!F11</f>
        <v>143</v>
      </c>
      <c r="J3" s="134">
        <v>11.4</v>
      </c>
      <c r="K3" s="137">
        <f>'Consommation mensuel énergie'!D11</f>
        <v>86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submetering!E4+submetering!F4+submetering!G4</f>
        <v>10583</v>
      </c>
      <c r="F4" s="134">
        <v>1.05</v>
      </c>
      <c r="G4" s="134">
        <f>'Consommation mensuel énergie'!V12</f>
        <v>671.98341000000005</v>
      </c>
      <c r="H4" s="134">
        <v>9.9649999999999999</v>
      </c>
      <c r="I4" s="134">
        <f>'Consommation mensuel énergie'!F12</f>
        <v>137</v>
      </c>
      <c r="J4" s="134">
        <v>11.4</v>
      </c>
      <c r="K4" s="137">
        <f>'Consommation mensuel énergie'!D12</f>
        <v>52</v>
      </c>
      <c r="L4" s="137">
        <f>'Consommation mensuel énergie'!E12</f>
        <v>86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submetering!E5+submetering!F5+submetering!G5</f>
        <v>10461</v>
      </c>
      <c r="F5" s="134">
        <v>1.05</v>
      </c>
      <c r="G5" s="134">
        <f>'Consommation mensuel énergie'!V13</f>
        <v>192.35820000000001</v>
      </c>
      <c r="H5" s="134">
        <v>9.9649999999999999</v>
      </c>
      <c r="I5" s="134">
        <f>'Consommation mensuel énergie'!F13</f>
        <v>134</v>
      </c>
      <c r="J5" s="134">
        <v>11.4</v>
      </c>
      <c r="K5" s="137">
        <f>'Consommation mensuel énergie'!D13</f>
        <v>84</v>
      </c>
      <c r="L5" s="137">
        <f>'Consommation mensuel énergie'!E13</f>
        <v>136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submetering!E6+submetering!F6+submetering!G6</f>
        <v>9994</v>
      </c>
      <c r="F6" s="134">
        <v>1.05</v>
      </c>
      <c r="G6" s="134">
        <f>'Consommation mensuel énergie'!V14</f>
        <v>415.98973000000001</v>
      </c>
      <c r="H6" s="134">
        <v>9.9649999999999999</v>
      </c>
      <c r="I6" s="134">
        <f>'Consommation mensuel énergie'!F14</f>
        <v>63.899999999994179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100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submetering!E7+submetering!F7+submetering!G7</f>
        <v>10231</v>
      </c>
      <c r="F7" s="134">
        <v>1.05</v>
      </c>
      <c r="G7" s="134">
        <f>'Consommation mensuel énergie'!V15</f>
        <v>479.98815000000002</v>
      </c>
      <c r="H7" s="134">
        <v>9.9649999999999999</v>
      </c>
      <c r="I7" s="134">
        <f>'Consommation mensuel énergie'!F15</f>
        <v>124.5</v>
      </c>
      <c r="J7" s="134">
        <v>11.4</v>
      </c>
      <c r="K7" s="137">
        <f>'Consommation mensuel énergie'!D15</f>
        <v>81</v>
      </c>
      <c r="L7" s="137">
        <f>'Consommation mensuel énergie'!E15</f>
        <v>128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submetering!E8+submetering!F8+submetering!G8</f>
        <v>10266</v>
      </c>
      <c r="F8" s="134">
        <v>1.05</v>
      </c>
      <c r="G8" s="134">
        <f>'Consommation mensuel énergie'!V16</f>
        <v>415.98973000000001</v>
      </c>
      <c r="H8" s="134">
        <v>9.9649999999999999</v>
      </c>
      <c r="I8" s="134">
        <f>'Consommation mensuel énergie'!F16</f>
        <v>99</v>
      </c>
      <c r="J8" s="134">
        <v>11.4</v>
      </c>
      <c r="K8" s="137">
        <f>'Consommation mensuel énergie'!D16</f>
        <v>76</v>
      </c>
      <c r="L8" s="137">
        <f>'Consommation mensuel énergie'!E16</f>
        <v>122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submetering!E9+submetering!F9+submetering!G9</f>
        <v>10611</v>
      </c>
      <c r="F9" s="134">
        <v>1.05</v>
      </c>
      <c r="G9" s="134">
        <f>'Consommation mensuel énergie'!V17</f>
        <v>895.97788000000003</v>
      </c>
      <c r="H9" s="134">
        <v>9.9649999999999999</v>
      </c>
      <c r="I9" s="134">
        <f>'Consommation mensuel énergie'!F17</f>
        <v>104</v>
      </c>
      <c r="J9" s="134">
        <v>11.4</v>
      </c>
      <c r="K9" s="137">
        <f>'Consommation mensuel énergie'!D17</f>
        <v>70</v>
      </c>
      <c r="L9" s="137">
        <f>'Consommation mensuel énergie'!E17</f>
        <v>115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submetering!E10+submetering!F10+submetering!G10</f>
        <v>10700</v>
      </c>
      <c r="F10" s="134">
        <v>1.05</v>
      </c>
      <c r="G10" s="134">
        <f>'Consommation mensuel énergie'!V19</f>
        <v>223.99447000000001</v>
      </c>
      <c r="H10" s="134">
        <v>9.9649999999999999</v>
      </c>
      <c r="I10" s="134">
        <f>'Consommation mensuel énergie'!F18</f>
        <v>136.80000000001746</v>
      </c>
      <c r="J10" s="134">
        <v>11.4</v>
      </c>
      <c r="K10" s="137">
        <f>'Consommation mensuel énergie'!D18</f>
        <v>90</v>
      </c>
      <c r="L10" s="137">
        <f>'Consommation mensuel énergie'!E18</f>
        <v>160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submetering!E11+submetering!F11+submetering!G11</f>
        <v>11098</v>
      </c>
      <c r="F11" s="134">
        <v>1.05</v>
      </c>
      <c r="G11" s="134">
        <f>'Consommation mensuel énergie'!V20</f>
        <v>479.98815000000002</v>
      </c>
      <c r="H11" s="134">
        <v>9.9649999999999999</v>
      </c>
      <c r="I11" s="134">
        <f>'Consommation mensuel énergie'!F19</f>
        <v>131.79999999998836</v>
      </c>
      <c r="J11" s="134">
        <v>11.4</v>
      </c>
      <c r="K11" s="137">
        <f>'Consommation mensuel énergie'!D19</f>
        <v>80</v>
      </c>
      <c r="L11" s="137">
        <f>'Consommation mensuel énergie'!E19</f>
        <v>135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submetering!E12+submetering!F12+submetering!G12</f>
        <v>10739</v>
      </c>
      <c r="F12" s="134">
        <v>1.05</v>
      </c>
      <c r="G12" s="134">
        <f>'Consommation mensuel énergie'!V21</f>
        <v>543.98657000000003</v>
      </c>
      <c r="H12" s="134">
        <v>9.9649999999999999</v>
      </c>
      <c r="I12" s="134">
        <f>'Consommation mensuel énergie'!F20</f>
        <v>88</v>
      </c>
      <c r="J12" s="134">
        <v>11.4</v>
      </c>
      <c r="K12" s="137">
        <f>'Consommation mensuel énergie'!D20</f>
        <v>100</v>
      </c>
      <c r="L12" s="137">
        <f>'Consommation mensuel énergie'!E20</f>
        <v>172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submetering!E13+submetering!F13+submetering!G13</f>
        <v>11114</v>
      </c>
      <c r="F13" s="134">
        <v>1.05</v>
      </c>
      <c r="G13" s="134">
        <f>'Consommation mensuel énergie'!V22</f>
        <v>511.98736000000002</v>
      </c>
      <c r="H13" s="134">
        <v>9.9649999999999999</v>
      </c>
      <c r="I13" s="134">
        <f>'Consommation mensuel énergie'!F21</f>
        <v>104</v>
      </c>
      <c r="J13" s="134">
        <v>11.4</v>
      </c>
      <c r="K13" s="137">
        <f>'Consommation mensuel énergie'!D21</f>
        <v>106</v>
      </c>
      <c r="L13" s="137">
        <f>'Consommation mensuel énergie'!E21</f>
        <v>170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submetering!E14+submetering!F14+submetering!G14</f>
        <v>12522</v>
      </c>
      <c r="F14" s="134">
        <v>1.05</v>
      </c>
      <c r="G14" s="134">
        <f>'Consommation mensuel énergie'!V23</f>
        <v>479.98815000000002</v>
      </c>
      <c r="H14" s="134">
        <v>9.9649999999999999</v>
      </c>
      <c r="I14" s="134">
        <f>'Consommation mensuel énergie'!F22</f>
        <v>143</v>
      </c>
      <c r="J14" s="134">
        <v>11.4</v>
      </c>
      <c r="K14" s="137">
        <f>'Consommation mensuel énergie'!D22</f>
        <v>89</v>
      </c>
      <c r="L14" s="137">
        <f>'Consommation mensuel énergie'!E22</f>
        <v>152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submetering!E15+submetering!F15+submetering!G15</f>
        <v>11487</v>
      </c>
      <c r="F15" s="134">
        <v>1.05</v>
      </c>
      <c r="G15" s="134">
        <f>'Consommation mensuel énergie'!V24</f>
        <v>479.98815000000002</v>
      </c>
      <c r="H15" s="134">
        <v>9.9649999999999999</v>
      </c>
      <c r="I15" s="134">
        <f>'Consommation mensuel énergie'!F23</f>
        <v>109</v>
      </c>
      <c r="J15" s="134">
        <v>11.4</v>
      </c>
      <c r="K15" s="137">
        <f>'Consommation mensuel énergie'!D23</f>
        <v>99</v>
      </c>
      <c r="L15" s="137">
        <f>'Consommation mensuel énergie'!E23</f>
        <v>183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submetering!E16+submetering!F16+submetering!G16</f>
        <v>11153</v>
      </c>
      <c r="F16" s="134">
        <v>1.05</v>
      </c>
      <c r="G16" s="134">
        <f>'Consommation mensuel énergie'!V25</f>
        <v>639.98419999999999</v>
      </c>
      <c r="H16" s="134">
        <v>9.9649999999999999</v>
      </c>
      <c r="I16" s="134">
        <f>'Consommation mensuel énergie'!F24</f>
        <v>108.5</v>
      </c>
      <c r="J16" s="134">
        <v>11.4</v>
      </c>
      <c r="K16" s="137">
        <f>'Consommation mensuel énergie'!D24</f>
        <v>84</v>
      </c>
      <c r="L16" s="137">
        <f>'Consommation mensuel énergie'!E24</f>
        <v>156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submetering!E17+submetering!F17+submetering!G17</f>
        <v>12151</v>
      </c>
      <c r="F17" s="134">
        <v>1.05</v>
      </c>
      <c r="G17" s="134">
        <f>'Consommation mensuel énergie'!V26</f>
        <v>511.98736000000002</v>
      </c>
      <c r="H17" s="134">
        <v>9.9649999999999999</v>
      </c>
      <c r="I17" s="134">
        <f>'Consommation mensuel énergie'!F25</f>
        <v>156.5</v>
      </c>
      <c r="J17" s="134">
        <v>11.4</v>
      </c>
      <c r="K17" s="137">
        <f>'Consommation mensuel énergie'!D25</f>
        <v>93</v>
      </c>
      <c r="L17" s="137">
        <f>'Consommation mensuel énergie'!E25</f>
        <v>177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submetering!E18+submetering!F18+submetering!G18</f>
        <v>11477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126</v>
      </c>
      <c r="J18" s="134">
        <v>11.4</v>
      </c>
      <c r="K18" s="137">
        <f>'Consommation mensuel énergie'!D26</f>
        <v>80</v>
      </c>
      <c r="L18" s="137">
        <f>'Consommation mensuel énergie'!E26</f>
        <v>138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submetering!E19+submetering!F19+submetering!G19</f>
        <v>11687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91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submetering!E31+submetering!F31+submetering!G31</f>
        <v>0</v>
      </c>
      <c r="F31" s="134">
        <v>1.05</v>
      </c>
      <c r="G31" s="134" t="e">
        <f>'Consommation mensuel énergie'!#REF!</f>
        <v>#REF!</v>
      </c>
      <c r="H31" s="134">
        <v>9.9649999999999999</v>
      </c>
      <c r="I31" s="134">
        <f>'Consommation mensuel énergie'!F38</f>
        <v>0</v>
      </c>
      <c r="J31" s="134">
        <v>11.4</v>
      </c>
      <c r="K31" s="137">
        <f>'Consommation mensuel énergie'!D38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2022</v>
      </c>
      <c r="E2" s="137">
        <f>'Consommation mensuel énergie'!L10</f>
        <v>3872</v>
      </c>
      <c r="F2" s="137">
        <f>'Consommation mensuel énergie'!M10</f>
        <v>5571</v>
      </c>
      <c r="G2" s="137">
        <f>'Consommation mensuel énergie'!N10</f>
        <v>2678</v>
      </c>
      <c r="H2" s="137">
        <f>'Consommation mensuel énergie'!D10</f>
        <v>84</v>
      </c>
      <c r="I2" s="137">
        <f>'Consommation mensuel énergie'!E10</f>
        <v>145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'Consommation mensuel énergie'!L11</f>
        <v>2925</v>
      </c>
      <c r="F3" s="137">
        <f>'Consommation mensuel énergie'!M11</f>
        <v>5835</v>
      </c>
      <c r="G3" s="137">
        <f>'Consommation mensuel énergie'!N14</f>
        <v>2339</v>
      </c>
      <c r="H3" s="137">
        <f>'Consommation mensuel énergie'!D11</f>
        <v>86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'Consommation mensuel énergie'!L12</f>
        <v>2848</v>
      </c>
      <c r="F4" s="137">
        <f>'Consommation mensuel énergie'!M12</f>
        <v>5402</v>
      </c>
      <c r="G4" s="137">
        <f>'Consommation mensuel énergie'!N12</f>
        <v>2333</v>
      </c>
      <c r="H4" s="137">
        <f>'Consommation mensuel énergie'!D12</f>
        <v>52</v>
      </c>
      <c r="I4" s="137">
        <f>'Consommation mensuel énergie'!E12</f>
        <v>86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'Consommation mensuel énergie'!L13</f>
        <v>2993</v>
      </c>
      <c r="F5" s="137">
        <f>'Consommation mensuel énergie'!M13</f>
        <v>5079</v>
      </c>
      <c r="G5" s="137">
        <f>'Consommation mensuel énergie'!N13</f>
        <v>2389</v>
      </c>
      <c r="H5" s="137">
        <f>'Consommation mensuel énergie'!D13</f>
        <v>84</v>
      </c>
      <c r="I5" s="137">
        <f>'Consommation mensuel énergie'!E13</f>
        <v>136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'Consommation mensuel énergie'!L14</f>
        <v>3095</v>
      </c>
      <c r="F6" s="137">
        <f>'Consommation mensuel énergie'!M14</f>
        <v>4560</v>
      </c>
      <c r="G6" s="137">
        <f>'Consommation mensuel énergie'!N14</f>
        <v>2339</v>
      </c>
      <c r="H6" s="137">
        <f>'Consommation mensuel énergie'!D14</f>
        <v>66</v>
      </c>
      <c r="I6" s="137">
        <f>'Consommation mensuel énergie'!E14</f>
        <v>100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'Consommation mensuel énergie'!L15</f>
        <v>2998</v>
      </c>
      <c r="F7" s="137">
        <f>'Consommation mensuel énergie'!M15</f>
        <v>5103</v>
      </c>
      <c r="G7" s="137">
        <f>'Consommation mensuel énergie'!N15</f>
        <v>2130</v>
      </c>
      <c r="H7" s="137">
        <f>'Consommation mensuel énergie'!D15</f>
        <v>81</v>
      </c>
      <c r="I7" s="137">
        <f>'Consommation mensuel énergie'!E15</f>
        <v>128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'Consommation mensuel énergie'!L16</f>
        <v>2968</v>
      </c>
      <c r="F8" s="137">
        <f>'Consommation mensuel énergie'!M16</f>
        <v>5120</v>
      </c>
      <c r="G8" s="137">
        <f>'Consommation mensuel énergie'!N16</f>
        <v>2178</v>
      </c>
      <c r="H8" s="137">
        <f>'Consommation mensuel énergie'!D16</f>
        <v>76</v>
      </c>
      <c r="I8" s="137">
        <f>'Consommation mensuel énergie'!E16</f>
        <v>122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'Consommation mensuel énergie'!L17</f>
        <v>2732</v>
      </c>
      <c r="F9" s="137">
        <f>'Consommation mensuel énergie'!M17</f>
        <v>5401</v>
      </c>
      <c r="G9" s="137">
        <f>'Consommation mensuel énergie'!N17</f>
        <v>2478</v>
      </c>
      <c r="H9" s="137">
        <f>'Consommation mensuel énergie'!D17</f>
        <v>70</v>
      </c>
      <c r="I9" s="137">
        <f>'Consommation mensuel énergie'!E17</f>
        <v>115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'Consommation mensuel énergie'!L18</f>
        <v>2858</v>
      </c>
      <c r="F10" s="137">
        <f>'Consommation mensuel énergie'!M18</f>
        <v>5414</v>
      </c>
      <c r="G10" s="137">
        <f>'Consommation mensuel énergie'!N18</f>
        <v>2428</v>
      </c>
      <c r="H10" s="137">
        <f>'Consommation mensuel énergie'!D18</f>
        <v>90</v>
      </c>
      <c r="I10" s="137">
        <f>'Consommation mensuel énergie'!E18</f>
        <v>160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'Consommation mensuel énergie'!L19</f>
        <v>3317</v>
      </c>
      <c r="F11" s="137">
        <f>'Consommation mensuel énergie'!M19</f>
        <v>5290</v>
      </c>
      <c r="G11" s="137">
        <f>'Consommation mensuel énergie'!N19</f>
        <v>2491</v>
      </c>
      <c r="H11" s="137">
        <f>'Consommation mensuel énergie'!D19</f>
        <v>80</v>
      </c>
      <c r="I11" s="137">
        <f>'Consommation mensuel énergie'!E19</f>
        <v>135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'Consommation mensuel énergie'!L20</f>
        <v>2959</v>
      </c>
      <c r="F12" s="137">
        <f>'Consommation mensuel énergie'!M20</f>
        <v>5314</v>
      </c>
      <c r="G12" s="137">
        <f>'Consommation mensuel énergie'!N20</f>
        <v>2466</v>
      </c>
      <c r="H12" s="137">
        <f>'Consommation mensuel énergie'!D20</f>
        <v>100</v>
      </c>
      <c r="I12" s="137">
        <f>'Consommation mensuel énergie'!E20</f>
        <v>172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'Consommation mensuel énergie'!L21</f>
        <v>3117</v>
      </c>
      <c r="F13" s="137">
        <f>'Consommation mensuel énergie'!M21</f>
        <v>5458</v>
      </c>
      <c r="G13" s="137">
        <f>'Consommation mensuel énergie'!N21</f>
        <v>2539</v>
      </c>
      <c r="H13" s="137">
        <f>'Consommation mensuel énergie'!D21</f>
        <v>106</v>
      </c>
      <c r="I13" s="137">
        <f>'Consommation mensuel énergie'!E21</f>
        <v>170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'Consommation mensuel énergie'!L22</f>
        <v>3569</v>
      </c>
      <c r="F14" s="137">
        <f>'Consommation mensuel énergie'!M22</f>
        <v>5987</v>
      </c>
      <c r="G14" s="137">
        <f>'Consommation mensuel énergie'!N22</f>
        <v>2966</v>
      </c>
      <c r="H14" s="137">
        <f>'Consommation mensuel énergie'!D22</f>
        <v>89</v>
      </c>
      <c r="I14" s="137">
        <f>'Consommation mensuel énergie'!E22</f>
        <v>152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'Consommation mensuel énergie'!L23</f>
        <v>3005</v>
      </c>
      <c r="F15" s="137">
        <f>'Consommation mensuel énergie'!M23</f>
        <v>5960</v>
      </c>
      <c r="G15" s="137">
        <f>'Consommation mensuel énergie'!N23</f>
        <v>2522</v>
      </c>
      <c r="H15" s="137">
        <f>'Consommation mensuel énergie'!D23</f>
        <v>99</v>
      </c>
      <c r="I15" s="137">
        <f>'Consommation mensuel énergie'!E23</f>
        <v>183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'Consommation mensuel énergie'!L24</f>
        <v>2878</v>
      </c>
      <c r="F16" s="137">
        <f>'Consommation mensuel énergie'!M24</f>
        <v>5738</v>
      </c>
      <c r="G16" s="137">
        <f>'Consommation mensuel énergie'!N24</f>
        <v>2537</v>
      </c>
      <c r="H16" s="137">
        <f>'Consommation mensuel énergie'!D24</f>
        <v>84</v>
      </c>
      <c r="I16" s="137">
        <f>'Consommation mensuel énergie'!E24</f>
        <v>156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'Consommation mensuel énergie'!L25</f>
        <v>3637</v>
      </c>
      <c r="F17" s="137">
        <f>'Consommation mensuel énergie'!M25</f>
        <v>5811</v>
      </c>
      <c r="G17" s="137">
        <f>'Consommation mensuel énergie'!N25</f>
        <v>2703</v>
      </c>
      <c r="H17" s="137">
        <f>'Consommation mensuel énergie'!D25</f>
        <v>93</v>
      </c>
      <c r="I17" s="137">
        <f>'Consommation mensuel énergie'!E25</f>
        <v>177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'Consommation mensuel énergie'!L26</f>
        <v>3222</v>
      </c>
      <c r="F18" s="137">
        <f>'Consommation mensuel énergie'!M26</f>
        <v>5842</v>
      </c>
      <c r="G18" s="137">
        <f>'Consommation mensuel énergie'!N26</f>
        <v>2413</v>
      </c>
      <c r="H18" s="137">
        <f>'Consommation mensuel énergie'!D26</f>
        <v>80</v>
      </c>
      <c r="I18" s="137">
        <f>'Consommation mensuel énergie'!E26</f>
        <v>138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'Consommation mensuel énergie'!L27</f>
        <v>3398</v>
      </c>
      <c r="F19" s="137">
        <f>'Consommation mensuel énergie'!M27</f>
        <v>5729</v>
      </c>
      <c r="G19" s="137">
        <f>'Consommation mensuel énergie'!N27</f>
        <v>2560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23" activePane="bottomRight" state="frozen"/>
      <selection pane="bottomRight" activeCell="E27" sqref="E2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44652</v>
      </c>
      <c r="C10" s="7"/>
      <c r="D10" s="143">
        <v>84</v>
      </c>
      <c r="E10" s="143">
        <v>145</v>
      </c>
      <c r="F10" s="13">
        <f>'Suivi EAU-ELEC'!E9</f>
        <v>118.89999999999418</v>
      </c>
      <c r="G10" s="11"/>
      <c r="H10" s="168">
        <f>F10*8.79</f>
        <v>1045.1309999999487</v>
      </c>
      <c r="I10" s="169"/>
      <c r="J10" s="169"/>
      <c r="K10" s="60">
        <v>42278</v>
      </c>
      <c r="L10" s="90">
        <f>'Suivi EAU-ELEC'!G9</f>
        <v>3872</v>
      </c>
      <c r="M10" s="91">
        <f>'Suivi EAU-ELEC'!I9</f>
        <v>5571</v>
      </c>
      <c r="N10" s="91">
        <f>'Suivi EAU-ELEC'!K9</f>
        <v>2678</v>
      </c>
      <c r="O10" s="91">
        <f>L10+M10+N10</f>
        <v>12121</v>
      </c>
      <c r="P10" s="11"/>
      <c r="Q10" s="34">
        <f>L10*0.6985+M10*0.9514+N10*1.3304</f>
        <v>11567.652599999999</v>
      </c>
      <c r="R10" s="11"/>
      <c r="S10" s="28"/>
      <c r="T10" s="11"/>
      <c r="U10" s="28"/>
      <c r="V10" s="146">
        <f>'Suvi Gaz'!O4</f>
        <v>575.98577999999998</v>
      </c>
      <c r="W10" s="11"/>
      <c r="X10" s="34">
        <f>V10*12.64</f>
        <v>7280.4602592000001</v>
      </c>
    </row>
    <row r="11" spans="1:24" ht="32.25" customHeight="1">
      <c r="A11" s="2"/>
      <c r="B11" s="6">
        <v>44653</v>
      </c>
      <c r="C11" s="7"/>
      <c r="D11" s="143">
        <v>86</v>
      </c>
      <c r="E11" s="143">
        <v>148</v>
      </c>
      <c r="F11" s="13">
        <f>'Suivi EAU-ELEC'!E10</f>
        <v>143</v>
      </c>
      <c r="G11" s="11"/>
      <c r="H11" s="168">
        <f t="shared" ref="H11:H21" si="0">F11*8.79</f>
        <v>1256.9699999999998</v>
      </c>
      <c r="I11" s="169"/>
      <c r="J11" s="169"/>
      <c r="K11" s="60">
        <v>42279</v>
      </c>
      <c r="L11" s="90">
        <f>'Suivi EAU-ELEC'!G10</f>
        <v>2925</v>
      </c>
      <c r="M11" s="91">
        <f>'Suivi EAU-ELEC'!I10</f>
        <v>5835</v>
      </c>
      <c r="N11" s="91">
        <f>'Suivi EAU-ELEC'!K10</f>
        <v>2283</v>
      </c>
      <c r="O11" s="91">
        <f>L11+M11+N11</f>
        <v>11043</v>
      </c>
      <c r="P11" s="11"/>
      <c r="Q11" s="34">
        <f>L11*0.6985+M11*0.9514+N14*1.3304</f>
        <v>10706.337100000001</v>
      </c>
      <c r="R11" s="11"/>
      <c r="S11" s="28"/>
      <c r="T11" s="11"/>
      <c r="U11" s="28"/>
      <c r="V11" s="146">
        <f>'Suvi Gaz'!O5</f>
        <v>703.98262</v>
      </c>
      <c r="W11" s="11"/>
      <c r="X11" s="34">
        <f t="shared" ref="X11:X39" si="1">V11*12.64</f>
        <v>8898.3403168000004</v>
      </c>
    </row>
    <row r="12" spans="1:24" ht="32.25" customHeight="1">
      <c r="A12" s="2"/>
      <c r="B12" s="6">
        <v>44654</v>
      </c>
      <c r="C12" s="7"/>
      <c r="D12" s="143">
        <v>52</v>
      </c>
      <c r="E12" s="143">
        <v>86</v>
      </c>
      <c r="F12" s="13">
        <f>'Suivi EAU-ELEC'!E11</f>
        <v>137</v>
      </c>
      <c r="G12" s="11"/>
      <c r="H12" s="168">
        <f t="shared" si="0"/>
        <v>1204.2299999999998</v>
      </c>
      <c r="I12" s="169"/>
      <c r="J12" s="169"/>
      <c r="K12" s="60">
        <v>42280</v>
      </c>
      <c r="L12" s="90">
        <f>'Suivi EAU-ELEC'!G11</f>
        <v>2848</v>
      </c>
      <c r="M12" s="91">
        <f>'Suivi EAU-ELEC'!I11</f>
        <v>5402</v>
      </c>
      <c r="N12" s="91">
        <f>'Suivi EAU-ELEC'!K11</f>
        <v>2333</v>
      </c>
      <c r="O12" s="91">
        <f>L12+M12+N12</f>
        <v>10583</v>
      </c>
      <c r="P12" s="11"/>
      <c r="Q12" s="34">
        <f>L12*0.6985+M12*0.9514+N12*1.3304</f>
        <v>10232.614000000001</v>
      </c>
      <c r="R12" s="11"/>
      <c r="S12" s="28"/>
      <c r="T12" s="11"/>
      <c r="U12" s="28"/>
      <c r="V12" s="146">
        <f>'Suvi Gaz'!O6</f>
        <v>671.98341000000005</v>
      </c>
      <c r="W12" s="11"/>
      <c r="X12" s="34">
        <f t="shared" si="1"/>
        <v>8493.8703024000006</v>
      </c>
    </row>
    <row r="13" spans="1:24" ht="32.25" customHeight="1">
      <c r="A13" s="2"/>
      <c r="B13" s="6">
        <v>44655</v>
      </c>
      <c r="C13" s="7"/>
      <c r="D13" s="143">
        <v>84</v>
      </c>
      <c r="E13" s="143">
        <v>136</v>
      </c>
      <c r="F13" s="13">
        <f>'Suivi EAU-ELEC'!E12</f>
        <v>134</v>
      </c>
      <c r="G13" s="11"/>
      <c r="H13" s="168">
        <f t="shared" si="0"/>
        <v>1177.8599999999999</v>
      </c>
      <c r="I13" s="169"/>
      <c r="J13" s="169"/>
      <c r="K13" s="60">
        <v>42281</v>
      </c>
      <c r="L13" s="90">
        <f>'Suivi EAU-ELEC'!G12</f>
        <v>2993</v>
      </c>
      <c r="M13" s="91">
        <f>'Suivi EAU-ELEC'!I12</f>
        <v>5079</v>
      </c>
      <c r="N13" s="91">
        <f>'Suivi EAU-ELEC'!K12</f>
        <v>2389</v>
      </c>
      <c r="O13" s="91">
        <f t="shared" ref="O13:O39" si="2">L13+M13+N13</f>
        <v>10461</v>
      </c>
      <c r="P13" s="11"/>
      <c r="Q13" s="34">
        <f t="shared" ref="Q13:Q39" si="3">L13*0.6985+M13*0.9514+N13*1.3304</f>
        <v>10101.0967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2431.4076480000003</v>
      </c>
    </row>
    <row r="14" spans="1:24" ht="32.25" customHeight="1">
      <c r="A14" s="2"/>
      <c r="B14" s="6">
        <v>44656</v>
      </c>
      <c r="C14" s="7"/>
      <c r="D14" s="143">
        <v>66</v>
      </c>
      <c r="E14" s="143">
        <v>100</v>
      </c>
      <c r="F14" s="13">
        <f>'Suivi EAU-ELEC'!E13</f>
        <v>63.899999999994179</v>
      </c>
      <c r="G14" s="12"/>
      <c r="H14" s="168">
        <f t="shared" si="0"/>
        <v>561.68099999994877</v>
      </c>
      <c r="I14" s="169"/>
      <c r="J14" s="169"/>
      <c r="K14" s="60">
        <v>42282</v>
      </c>
      <c r="L14" s="90">
        <f>'Suivi EAU-ELEC'!G13</f>
        <v>3095</v>
      </c>
      <c r="M14" s="91">
        <f>'Suivi EAU-ELEC'!I13</f>
        <v>4560</v>
      </c>
      <c r="N14" s="91">
        <f>'Suivi EAU-ELEC'!K13</f>
        <v>2339</v>
      </c>
      <c r="O14" s="91">
        <f t="shared" si="2"/>
        <v>9994</v>
      </c>
      <c r="P14" s="12"/>
      <c r="Q14" s="34">
        <f t="shared" si="3"/>
        <v>9612.0470999999998</v>
      </c>
      <c r="R14" s="12"/>
      <c r="S14" s="28"/>
      <c r="T14" s="12"/>
      <c r="U14" s="28"/>
      <c r="V14" s="146">
        <f>'Suvi Gaz'!O8</f>
        <v>415.98973000000001</v>
      </c>
      <c r="W14" s="11"/>
      <c r="X14" s="34">
        <f t="shared" si="1"/>
        <v>5258.1101871999999</v>
      </c>
    </row>
    <row r="15" spans="1:24" ht="32.25" customHeight="1">
      <c r="A15" s="5"/>
      <c r="B15" s="6">
        <v>44657</v>
      </c>
      <c r="C15" s="7"/>
      <c r="D15" s="143">
        <v>81</v>
      </c>
      <c r="E15" s="143">
        <v>128</v>
      </c>
      <c r="F15" s="13">
        <f>'Suivi EAU-ELEC'!E14</f>
        <v>124.5</v>
      </c>
      <c r="G15" s="11"/>
      <c r="H15" s="168">
        <f t="shared" si="0"/>
        <v>1094.3549999999998</v>
      </c>
      <c r="I15" s="169"/>
      <c r="J15" s="169"/>
      <c r="K15" s="60">
        <v>42283</v>
      </c>
      <c r="L15" s="90">
        <f>'Suivi EAU-ELEC'!G14</f>
        <v>2998</v>
      </c>
      <c r="M15" s="91">
        <f>'Suivi EAU-ELEC'!I14</f>
        <v>5103</v>
      </c>
      <c r="N15" s="91">
        <f>'Suivi EAU-ELEC'!K14</f>
        <v>2130</v>
      </c>
      <c r="O15" s="91">
        <f t="shared" si="2"/>
        <v>10231</v>
      </c>
      <c r="P15" s="12"/>
      <c r="Q15" s="34">
        <f>L15*0.6985+M15*0.9514+N15*1.3304</f>
        <v>9782.8492000000006</v>
      </c>
      <c r="R15" s="12"/>
      <c r="S15" s="28"/>
      <c r="T15" s="12"/>
      <c r="U15" s="28"/>
      <c r="V15" s="146">
        <f>'Suvi Gaz'!O9</f>
        <v>479.98815000000002</v>
      </c>
      <c r="W15" s="11"/>
      <c r="X15" s="34">
        <f t="shared" si="1"/>
        <v>6067.0502160000005</v>
      </c>
    </row>
    <row r="16" spans="1:24" ht="32.25" customHeight="1">
      <c r="A16" s="5"/>
      <c r="B16" s="6">
        <v>44658</v>
      </c>
      <c r="C16" s="7"/>
      <c r="D16" s="143">
        <v>76</v>
      </c>
      <c r="E16" s="143">
        <v>122</v>
      </c>
      <c r="F16" s="13">
        <f>'Suivi EAU-ELEC'!E15</f>
        <v>99</v>
      </c>
      <c r="G16" s="11"/>
      <c r="H16" s="168">
        <f t="shared" si="0"/>
        <v>870.20999999999992</v>
      </c>
      <c r="I16" s="169"/>
      <c r="J16" s="169"/>
      <c r="K16" s="60">
        <v>42284</v>
      </c>
      <c r="L16" s="90">
        <f>'Suivi EAU-ELEC'!G15</f>
        <v>2968</v>
      </c>
      <c r="M16" s="91">
        <f>'Suivi EAU-ELEC'!I15</f>
        <v>5120</v>
      </c>
      <c r="N16" s="91">
        <f>'Suivi EAU-ELEC'!K15</f>
        <v>2178</v>
      </c>
      <c r="O16" s="91">
        <f t="shared" si="2"/>
        <v>10266</v>
      </c>
      <c r="P16" s="11"/>
      <c r="Q16" s="34">
        <f t="shared" si="3"/>
        <v>9841.9272000000001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5258.1101871999999</v>
      </c>
    </row>
    <row r="17" spans="1:24" s="5" customFormat="1" ht="32.25" customHeight="1">
      <c r="A17" s="2"/>
      <c r="B17" s="6">
        <v>44659</v>
      </c>
      <c r="C17" s="7"/>
      <c r="D17" s="143">
        <v>70</v>
      </c>
      <c r="E17" s="143">
        <v>115</v>
      </c>
      <c r="F17" s="13">
        <f>'Suivi EAU-ELEC'!E16</f>
        <v>104</v>
      </c>
      <c r="G17" s="11"/>
      <c r="H17" s="168">
        <f t="shared" si="0"/>
        <v>914.15999999999985</v>
      </c>
      <c r="I17" s="169"/>
      <c r="J17" s="169"/>
      <c r="K17" s="60">
        <v>42285</v>
      </c>
      <c r="L17" s="90">
        <f>'Suivi EAU-ELEC'!G16</f>
        <v>2732</v>
      </c>
      <c r="M17" s="91">
        <f>'Suivi EAU-ELEC'!I16</f>
        <v>5401</v>
      </c>
      <c r="N17" s="91">
        <f>'Suivi EAU-ELEC'!K16</f>
        <v>2478</v>
      </c>
      <c r="O17" s="91">
        <f t="shared" si="2"/>
        <v>10611</v>
      </c>
      <c r="P17" s="12"/>
      <c r="Q17" s="34">
        <f t="shared" si="3"/>
        <v>10343.544600000001</v>
      </c>
      <c r="R17" s="12"/>
      <c r="S17" s="28"/>
      <c r="T17" s="12"/>
      <c r="U17" s="28"/>
      <c r="V17" s="146">
        <f>'Suvi Gaz'!O11</f>
        <v>895.97788000000003</v>
      </c>
      <c r="W17" s="11"/>
      <c r="X17" s="34">
        <f t="shared" si="1"/>
        <v>11325.160403200001</v>
      </c>
    </row>
    <row r="18" spans="1:24" ht="32.25" customHeight="1">
      <c r="A18" s="2"/>
      <c r="B18" s="6">
        <v>44660</v>
      </c>
      <c r="C18" s="7"/>
      <c r="D18" s="143">
        <v>90</v>
      </c>
      <c r="E18" s="143">
        <v>160</v>
      </c>
      <c r="F18" s="13">
        <f>'Suivi EAU-ELEC'!E17</f>
        <v>136.80000000001746</v>
      </c>
      <c r="G18" s="11"/>
      <c r="H18" s="168">
        <f t="shared" si="0"/>
        <v>1202.4720000001535</v>
      </c>
      <c r="I18" s="169"/>
      <c r="J18" s="169"/>
      <c r="K18" s="60">
        <v>42286</v>
      </c>
      <c r="L18" s="90">
        <f>'Suivi EAU-ELEC'!G17</f>
        <v>2858</v>
      </c>
      <c r="M18" s="91">
        <f>'Suivi EAU-ELEC'!I17</f>
        <v>5414</v>
      </c>
      <c r="N18" s="91">
        <f>'Suivi EAU-ELEC'!K17</f>
        <v>2428</v>
      </c>
      <c r="O18" s="91">
        <f t="shared" si="2"/>
        <v>10700</v>
      </c>
      <c r="P18" s="12"/>
      <c r="Q18" s="34">
        <f t="shared" si="3"/>
        <v>10377.4038</v>
      </c>
      <c r="R18" s="12"/>
      <c r="S18" s="28"/>
      <c r="T18" s="12"/>
      <c r="U18" s="28"/>
      <c r="V18" s="146">
        <f>'Suvi Gaz'!O12</f>
        <v>415.98973000000001</v>
      </c>
      <c r="W18" s="11"/>
      <c r="X18" s="34">
        <f t="shared" si="1"/>
        <v>5258.1101871999999</v>
      </c>
    </row>
    <row r="19" spans="1:24" ht="32.25" customHeight="1">
      <c r="A19" s="2"/>
      <c r="B19" s="6">
        <v>44661</v>
      </c>
      <c r="C19" s="7"/>
      <c r="D19" s="143">
        <v>80</v>
      </c>
      <c r="E19" s="143">
        <v>135</v>
      </c>
      <c r="F19" s="13">
        <f>'Suivi EAU-ELEC'!E18</f>
        <v>131.79999999998836</v>
      </c>
      <c r="G19" s="12"/>
      <c r="H19" s="168">
        <f t="shared" si="0"/>
        <v>1158.5219999998976</v>
      </c>
      <c r="I19" s="169"/>
      <c r="J19" s="169"/>
      <c r="K19" s="60">
        <v>42287</v>
      </c>
      <c r="L19" s="90">
        <f>'Suivi EAU-ELEC'!G18</f>
        <v>3317</v>
      </c>
      <c r="M19" s="91">
        <f>'Suivi EAU-ELEC'!I18</f>
        <v>5290</v>
      </c>
      <c r="N19" s="91">
        <f>'Suivi EAU-ELEC'!K18</f>
        <v>2491</v>
      </c>
      <c r="O19" s="91">
        <f t="shared" si="2"/>
        <v>11098</v>
      </c>
      <c r="P19" s="12"/>
      <c r="Q19" s="34">
        <f t="shared" si="3"/>
        <v>10663.856900000001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2831.2901008000003</v>
      </c>
    </row>
    <row r="20" spans="1:24" ht="32.25" customHeight="1">
      <c r="A20" s="2"/>
      <c r="B20" s="6">
        <v>44662</v>
      </c>
      <c r="C20" s="7"/>
      <c r="D20" s="143">
        <v>100</v>
      </c>
      <c r="E20" s="143">
        <v>172</v>
      </c>
      <c r="F20" s="13">
        <f>'Suivi EAU-ELEC'!E19</f>
        <v>88</v>
      </c>
      <c r="G20" s="12"/>
      <c r="H20" s="168">
        <f t="shared" si="0"/>
        <v>773.52</v>
      </c>
      <c r="I20" s="169"/>
      <c r="J20" s="169"/>
      <c r="K20" s="60">
        <v>42288</v>
      </c>
      <c r="L20" s="90">
        <f>'Suivi EAU-ELEC'!G19</f>
        <v>2959</v>
      </c>
      <c r="M20" s="91">
        <f>'Suivi EAU-ELEC'!I19</f>
        <v>5314</v>
      </c>
      <c r="N20" s="91">
        <f>'Suivi EAU-ELEC'!K19</f>
        <v>2466</v>
      </c>
      <c r="O20" s="91">
        <f t="shared" si="2"/>
        <v>10739</v>
      </c>
      <c r="P20" s="12"/>
      <c r="Q20" s="34">
        <f t="shared" si="3"/>
        <v>10403.3675</v>
      </c>
      <c r="R20" s="12"/>
      <c r="S20" s="28"/>
      <c r="T20" s="12"/>
      <c r="U20" s="28"/>
      <c r="V20" s="146">
        <f>'Suvi Gaz'!O14</f>
        <v>479.98815000000002</v>
      </c>
      <c r="W20" s="11"/>
      <c r="X20" s="34">
        <f t="shared" si="1"/>
        <v>6067.0502160000005</v>
      </c>
    </row>
    <row r="21" spans="1:24" ht="32.25" customHeight="1">
      <c r="A21" s="2"/>
      <c r="B21" s="6">
        <v>44663</v>
      </c>
      <c r="C21" s="7"/>
      <c r="D21" s="143">
        <v>106</v>
      </c>
      <c r="E21" s="143">
        <v>170</v>
      </c>
      <c r="F21" s="13">
        <f>'Suivi EAU-ELEC'!E20</f>
        <v>104</v>
      </c>
      <c r="G21" s="12"/>
      <c r="H21" s="168">
        <f t="shared" si="0"/>
        <v>914.15999999999985</v>
      </c>
      <c r="I21" s="169"/>
      <c r="J21" s="169"/>
      <c r="K21" s="60">
        <v>42289</v>
      </c>
      <c r="L21" s="90">
        <f>'Suivi EAU-ELEC'!G20</f>
        <v>3117</v>
      </c>
      <c r="M21" s="91">
        <f>'Suivi EAU-ELEC'!I20</f>
        <v>5458</v>
      </c>
      <c r="N21" s="91">
        <f>'Suivi EAU-ELEC'!K20</f>
        <v>2539</v>
      </c>
      <c r="O21" s="91">
        <f>L21+M21+N21</f>
        <v>11114</v>
      </c>
      <c r="P21" s="12"/>
      <c r="Q21" s="34">
        <f t="shared" si="3"/>
        <v>10747.8513</v>
      </c>
      <c r="R21" s="12"/>
      <c r="S21" s="28"/>
      <c r="T21" s="12"/>
      <c r="U21" s="28"/>
      <c r="V21" s="146">
        <f>'Suvi Gaz'!O15</f>
        <v>543.98657000000003</v>
      </c>
      <c r="W21" s="11"/>
      <c r="X21" s="34">
        <f t="shared" si="1"/>
        <v>6875.9902448000003</v>
      </c>
    </row>
    <row r="22" spans="1:24" ht="32.25" customHeight="1">
      <c r="A22" s="2"/>
      <c r="B22" s="6">
        <v>44664</v>
      </c>
      <c r="C22" s="7"/>
      <c r="D22" s="143">
        <v>89</v>
      </c>
      <c r="E22" s="143">
        <v>152</v>
      </c>
      <c r="F22" s="13">
        <f>'Suivi EAU-ELEC'!E21</f>
        <v>143</v>
      </c>
      <c r="G22" s="12"/>
      <c r="H22" s="168">
        <f t="shared" ref="H22:H35" si="4">F22*8.79</f>
        <v>1256.9699999999998</v>
      </c>
      <c r="I22" s="169"/>
      <c r="J22" s="169"/>
      <c r="K22" s="60">
        <v>42290</v>
      </c>
      <c r="L22" s="90">
        <f>'Suivi EAU-ELEC'!G21</f>
        <v>3569</v>
      </c>
      <c r="M22" s="91">
        <f>'Suivi EAU-ELEC'!I21</f>
        <v>5987</v>
      </c>
      <c r="N22" s="91">
        <f>'Suivi EAU-ELEC'!K21</f>
        <v>2966</v>
      </c>
      <c r="O22" s="91">
        <f t="shared" si="2"/>
        <v>12522</v>
      </c>
      <c r="P22" s="12"/>
      <c r="Q22" s="34">
        <f t="shared" si="3"/>
        <v>12134.9447</v>
      </c>
      <c r="R22" s="12"/>
      <c r="S22" s="28"/>
      <c r="T22" s="12"/>
      <c r="U22" s="28"/>
      <c r="V22" s="146">
        <f>'Suvi Gaz'!O16</f>
        <v>511.98736000000002</v>
      </c>
      <c r="W22" s="11"/>
      <c r="X22" s="34">
        <f t="shared" si="1"/>
        <v>6471.5202304000004</v>
      </c>
    </row>
    <row r="23" spans="1:24" ht="32.25" customHeight="1">
      <c r="A23" s="2"/>
      <c r="B23" s="6">
        <v>44665</v>
      </c>
      <c r="C23" s="7"/>
      <c r="D23" s="143">
        <v>99</v>
      </c>
      <c r="E23" s="143">
        <v>183</v>
      </c>
      <c r="F23" s="13">
        <f>'Suivi EAU-ELEC'!E22</f>
        <v>109</v>
      </c>
      <c r="G23" s="14"/>
      <c r="H23" s="168">
        <f t="shared" si="4"/>
        <v>958.1099999999999</v>
      </c>
      <c r="I23" s="169"/>
      <c r="J23" s="169"/>
      <c r="K23" s="60">
        <v>42291</v>
      </c>
      <c r="L23" s="90">
        <f>'Suivi EAU-ELEC'!G22</f>
        <v>3005</v>
      </c>
      <c r="M23" s="91">
        <f>'Suivi EAU-ELEC'!I22</f>
        <v>5960</v>
      </c>
      <c r="N23" s="91">
        <f>'Suivi EAU-ELEC'!K22</f>
        <v>2522</v>
      </c>
      <c r="O23" s="91">
        <f>L23+M23+N23</f>
        <v>11487</v>
      </c>
      <c r="P23" s="12"/>
      <c r="Q23" s="34">
        <f>L23*0.6985+M23*0.9514+N23*1.3304</f>
        <v>11124.605299999999</v>
      </c>
      <c r="R23" s="12"/>
      <c r="S23" s="28"/>
      <c r="T23" s="14"/>
      <c r="U23" s="28"/>
      <c r="V23" s="146">
        <f>'Suvi Gaz'!O17</f>
        <v>479.98815000000002</v>
      </c>
      <c r="W23" s="11"/>
      <c r="X23" s="34">
        <f t="shared" si="1"/>
        <v>6067.0502160000005</v>
      </c>
    </row>
    <row r="24" spans="1:24" ht="32.25" customHeight="1">
      <c r="A24" s="2"/>
      <c r="B24" s="6">
        <v>44666</v>
      </c>
      <c r="C24" s="7"/>
      <c r="D24" s="143">
        <v>84</v>
      </c>
      <c r="E24" s="143">
        <v>156</v>
      </c>
      <c r="F24" s="13">
        <f>'Suivi EAU-ELEC'!E23</f>
        <v>108.5</v>
      </c>
      <c r="G24" s="14"/>
      <c r="H24" s="168">
        <f t="shared" si="4"/>
        <v>953.71499999999992</v>
      </c>
      <c r="I24" s="169"/>
      <c r="J24" s="169"/>
      <c r="K24" s="60">
        <v>42292</v>
      </c>
      <c r="L24" s="90">
        <f>'Suivi EAU-ELEC'!G23</f>
        <v>2878</v>
      </c>
      <c r="M24" s="91">
        <f>'Suivi EAU-ELEC'!I23</f>
        <v>5738</v>
      </c>
      <c r="N24" s="91">
        <f>'Suivi EAU-ELEC'!K23</f>
        <v>2537</v>
      </c>
      <c r="O24" s="91">
        <f>L24+M24+N24</f>
        <v>11153</v>
      </c>
      <c r="P24" s="12"/>
      <c r="Q24" s="34">
        <f>L24*0.6985+M24*0.9514+N24*1.3304</f>
        <v>10844.641</v>
      </c>
      <c r="R24" s="12"/>
      <c r="S24" s="28"/>
      <c r="T24" s="14"/>
      <c r="U24" s="28"/>
      <c r="V24" s="146">
        <f>'Suvi Gaz'!O18</f>
        <v>479.98815000000002</v>
      </c>
      <c r="W24" s="11"/>
      <c r="X24" s="34">
        <f t="shared" si="1"/>
        <v>6067.0502160000005</v>
      </c>
    </row>
    <row r="25" spans="1:24" ht="32.25" customHeight="1">
      <c r="A25" s="2"/>
      <c r="B25" s="6">
        <v>44667</v>
      </c>
      <c r="C25" s="7"/>
      <c r="D25" s="143">
        <v>93</v>
      </c>
      <c r="E25" s="143">
        <v>177</v>
      </c>
      <c r="F25" s="13">
        <f>'Suivi EAU-ELEC'!E24</f>
        <v>156.5</v>
      </c>
      <c r="G25" s="14"/>
      <c r="H25" s="168">
        <f t="shared" si="4"/>
        <v>1375.6349999999998</v>
      </c>
      <c r="I25" s="169"/>
      <c r="J25" s="169"/>
      <c r="K25" s="60">
        <v>42293</v>
      </c>
      <c r="L25" s="90">
        <f>'Suivi EAU-ELEC'!G24</f>
        <v>3637</v>
      </c>
      <c r="M25" s="91">
        <f>'Suivi EAU-ELEC'!I24</f>
        <v>5811</v>
      </c>
      <c r="N25" s="91">
        <f>'Suivi EAU-ELEC'!K24</f>
        <v>2703</v>
      </c>
      <c r="O25" s="91">
        <f>L25+M25+N25</f>
        <v>12151</v>
      </c>
      <c r="P25" s="12"/>
      <c r="Q25" s="34">
        <f>L25*0.6985+M25*0.9514+N25*1.3304</f>
        <v>11665.1011</v>
      </c>
      <c r="R25" s="12"/>
      <c r="S25" s="28"/>
      <c r="T25" s="14"/>
      <c r="U25" s="28"/>
      <c r="V25" s="146">
        <f>'Suvi Gaz'!O19</f>
        <v>639.98419999999999</v>
      </c>
      <c r="W25" s="11"/>
      <c r="X25" s="34">
        <f t="shared" si="1"/>
        <v>8089.4002879999998</v>
      </c>
    </row>
    <row r="26" spans="1:24" ht="32.25" customHeight="1">
      <c r="A26" s="2"/>
      <c r="B26" s="6">
        <v>44668</v>
      </c>
      <c r="C26" s="7"/>
      <c r="D26" s="143">
        <v>80</v>
      </c>
      <c r="E26" s="143">
        <v>138</v>
      </c>
      <c r="F26" s="13">
        <f>'Suivi EAU-ELEC'!E25</f>
        <v>126</v>
      </c>
      <c r="G26" s="14"/>
      <c r="H26" s="168">
        <f t="shared" si="4"/>
        <v>1107.54</v>
      </c>
      <c r="I26" s="169"/>
      <c r="J26" s="169"/>
      <c r="K26" s="60">
        <v>42294</v>
      </c>
      <c r="L26" s="90">
        <f>'Suivi EAU-ELEC'!G25</f>
        <v>3222</v>
      </c>
      <c r="M26" s="91">
        <f>'Suivi EAU-ELEC'!I25</f>
        <v>5842</v>
      </c>
      <c r="N26" s="91">
        <f>'Suivi EAU-ELEC'!K25</f>
        <v>2413</v>
      </c>
      <c r="O26" s="91">
        <f>L26+M26+N26</f>
        <v>11477</v>
      </c>
      <c r="P26" s="14"/>
      <c r="Q26" s="34">
        <f>L26*0.6985+M26*0.9514+N26*1.3304</f>
        <v>11018.901</v>
      </c>
      <c r="R26" s="14"/>
      <c r="S26" s="28"/>
      <c r="T26" s="14"/>
      <c r="U26" s="28"/>
      <c r="V26" s="146">
        <f>'Suvi Gaz'!O20</f>
        <v>511.98736000000002</v>
      </c>
      <c r="W26" s="11"/>
      <c r="X26" s="34">
        <f t="shared" si="1"/>
        <v>6471.5202304000004</v>
      </c>
    </row>
    <row r="27" spans="1:24" ht="32.25" customHeight="1">
      <c r="A27" s="2"/>
      <c r="B27" s="6">
        <v>44669</v>
      </c>
      <c r="C27" s="7"/>
      <c r="D27" s="143"/>
      <c r="E27" s="143"/>
      <c r="F27" s="13">
        <f>'Suivi EAU-ELEC'!E26</f>
        <v>91</v>
      </c>
      <c r="G27" s="14"/>
      <c r="H27" s="168">
        <f t="shared" si="4"/>
        <v>799.88999999999987</v>
      </c>
      <c r="I27" s="169"/>
      <c r="J27" s="169"/>
      <c r="K27" s="60">
        <v>42295</v>
      </c>
      <c r="L27" s="90">
        <f>'Suivi EAU-ELEC'!G26</f>
        <v>3398</v>
      </c>
      <c r="M27" s="91">
        <f>'Suivi EAU-ELEC'!I26</f>
        <v>5729</v>
      </c>
      <c r="N27" s="91">
        <f>'Suivi EAU-ELEC'!K26</f>
        <v>2560</v>
      </c>
      <c r="O27" s="91">
        <f t="shared" si="2"/>
        <v>11687</v>
      </c>
      <c r="P27" s="14"/>
      <c r="Q27" s="34">
        <f t="shared" si="3"/>
        <v>11229.8976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44670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44671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44672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44673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44674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44675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44676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44677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44678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44679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44680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44681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1420</v>
      </c>
      <c r="E40" s="8">
        <f>SUM(E10:E39)</f>
        <v>2423</v>
      </c>
      <c r="F40" s="152">
        <f>SUM(F10:F39)</f>
        <v>2118.8999999999942</v>
      </c>
      <c r="G40" s="1"/>
      <c r="H40" s="206">
        <f>SUM(H10:H39)</f>
        <v>18625.130999999947</v>
      </c>
      <c r="I40" s="207"/>
      <c r="J40" s="208"/>
      <c r="K40" s="1"/>
      <c r="L40" s="53">
        <f>SUM(L10:L39)</f>
        <v>56391</v>
      </c>
      <c r="M40" s="53">
        <f>SUM(M10:M39)</f>
        <v>98614</v>
      </c>
      <c r="N40" s="54">
        <f>SUM(N10:N39)</f>
        <v>44433</v>
      </c>
      <c r="O40" s="55">
        <f>SUM(O10:O39)</f>
        <v>199438</v>
      </c>
      <c r="P40" s="31"/>
      <c r="Q40" s="32">
        <f>SUM(Q10:Q39)</f>
        <v>192398.63870000001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8640.1496400000015</v>
      </c>
      <c r="W40" s="31"/>
      <c r="X40" s="32">
        <f>SUM(X10:X39)</f>
        <v>109211.49144960001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56391</v>
      </c>
      <c r="J43" s="221"/>
      <c r="K43" s="222"/>
      <c r="L43" s="204">
        <f>I43*H43</f>
        <v>39389.113499999999</v>
      </c>
      <c r="M43" s="205"/>
      <c r="N43" s="177">
        <f>L43+L44+L45</f>
        <v>192324.13630000001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98614</v>
      </c>
      <c r="J44" s="221"/>
      <c r="K44" s="222"/>
      <c r="L44" s="204">
        <f>I44*H44</f>
        <v>93821.359599999996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44433</v>
      </c>
      <c r="J45" s="196"/>
      <c r="K45" s="197"/>
      <c r="L45" s="204">
        <f>I45*H45</f>
        <v>59113.663200000003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250021.37719000003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2118.8999999999942</v>
      </c>
      <c r="J47" s="216"/>
      <c r="K47" s="217"/>
      <c r="L47" s="218">
        <f>I47*H47</f>
        <v>18625.130999999947</v>
      </c>
      <c r="M47" s="219"/>
      <c r="N47" s="174">
        <f>L47</f>
        <v>18625.130999999947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12.64</v>
      </c>
      <c r="I48" s="192">
        <f>V40</f>
        <v>8640.1496400000015</v>
      </c>
      <c r="J48" s="193"/>
      <c r="K48" s="194"/>
      <c r="L48" s="192">
        <f>I48*H48</f>
        <v>109211.49144960003</v>
      </c>
      <c r="M48" s="194"/>
      <c r="N48" s="171">
        <f>L48</f>
        <v>109211.49144960003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23" activePane="bottomRight" state="frozen"/>
      <selection pane="bottomRight" activeCell="K25" sqref="K25:K2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44652</v>
      </c>
      <c r="B9" s="116">
        <v>2560</v>
      </c>
      <c r="C9" s="115">
        <v>0</v>
      </c>
      <c r="D9" s="57">
        <v>140352</v>
      </c>
      <c r="E9" s="50">
        <v>118.89999999999418</v>
      </c>
      <c r="F9" s="51">
        <v>11621823</v>
      </c>
      <c r="G9" s="50">
        <v>3872</v>
      </c>
      <c r="H9" s="51">
        <v>19679373</v>
      </c>
      <c r="I9" s="50">
        <v>5571</v>
      </c>
      <c r="J9" s="51">
        <v>8651499</v>
      </c>
      <c r="K9" s="50">
        <v>2678</v>
      </c>
    </row>
    <row r="10" spans="1:12" ht="19.5">
      <c r="A10" s="59">
        <v>44653</v>
      </c>
      <c r="B10" s="116">
        <v>2560</v>
      </c>
      <c r="C10" s="115">
        <f>B10-B9</f>
        <v>0</v>
      </c>
      <c r="D10" s="57">
        <v>140495</v>
      </c>
      <c r="E10" s="50">
        <f>D10-D9</f>
        <v>143</v>
      </c>
      <c r="F10" s="51">
        <v>11624748</v>
      </c>
      <c r="G10" s="50">
        <f>F10-F9</f>
        <v>2925</v>
      </c>
      <c r="H10" s="51">
        <v>19685208</v>
      </c>
      <c r="I10" s="50">
        <f>H10-H9</f>
        <v>5835</v>
      </c>
      <c r="J10" s="51">
        <v>8653782</v>
      </c>
      <c r="K10" s="50">
        <f>J10-J9</f>
        <v>2283</v>
      </c>
    </row>
    <row r="11" spans="1:12" ht="19.5">
      <c r="A11" s="59">
        <v>44654</v>
      </c>
      <c r="B11" s="116">
        <v>2560</v>
      </c>
      <c r="C11" s="115">
        <f>B11-B10</f>
        <v>0</v>
      </c>
      <c r="D11" s="57">
        <v>140632</v>
      </c>
      <c r="E11" s="50">
        <f>D11-D10</f>
        <v>137</v>
      </c>
      <c r="F11" s="51">
        <v>11627596</v>
      </c>
      <c r="G11" s="50">
        <f>F11-F10</f>
        <v>2848</v>
      </c>
      <c r="H11" s="51">
        <v>19690610</v>
      </c>
      <c r="I11" s="50">
        <f>H11-H10</f>
        <v>5402</v>
      </c>
      <c r="J11" s="51">
        <v>8656115</v>
      </c>
      <c r="K11" s="50">
        <f>J11-J10</f>
        <v>2333</v>
      </c>
    </row>
    <row r="12" spans="1:12" ht="19.5">
      <c r="A12" s="59">
        <v>44655</v>
      </c>
      <c r="B12" s="116">
        <v>2560</v>
      </c>
      <c r="C12" s="115">
        <f t="shared" ref="C12:C26" si="0">B12-B11</f>
        <v>0</v>
      </c>
      <c r="D12" s="57">
        <v>140766</v>
      </c>
      <c r="E12" s="50">
        <f>D12-D11</f>
        <v>134</v>
      </c>
      <c r="F12" s="51">
        <v>11630589</v>
      </c>
      <c r="G12" s="50">
        <f>F12-F11</f>
        <v>2993</v>
      </c>
      <c r="H12" s="51">
        <v>19695689</v>
      </c>
      <c r="I12" s="50">
        <f>H12-H11</f>
        <v>5079</v>
      </c>
      <c r="J12" s="51">
        <v>8658504</v>
      </c>
      <c r="K12" s="50">
        <f>J12-J11</f>
        <v>2389</v>
      </c>
    </row>
    <row r="13" spans="1:12" ht="19.5">
      <c r="A13" s="59">
        <v>44656</v>
      </c>
      <c r="B13" s="116">
        <v>2560</v>
      </c>
      <c r="C13" s="115">
        <f t="shared" si="0"/>
        <v>0</v>
      </c>
      <c r="D13" s="57">
        <v>140829.9</v>
      </c>
      <c r="E13" s="50">
        <f>D13-D12</f>
        <v>63.899999999994179</v>
      </c>
      <c r="F13" s="51">
        <v>11633684</v>
      </c>
      <c r="G13" s="50">
        <f>F13-F12</f>
        <v>3095</v>
      </c>
      <c r="H13" s="51">
        <v>19700249</v>
      </c>
      <c r="I13" s="50">
        <f>H13-H12</f>
        <v>4560</v>
      </c>
      <c r="J13" s="51">
        <v>8660843</v>
      </c>
      <c r="K13" s="50">
        <f>J13-J12</f>
        <v>2339</v>
      </c>
    </row>
    <row r="14" spans="1:12" ht="19.5">
      <c r="A14" s="59">
        <v>44657</v>
      </c>
      <c r="B14" s="116">
        <v>2560</v>
      </c>
      <c r="C14" s="115">
        <f t="shared" si="0"/>
        <v>0</v>
      </c>
      <c r="D14" s="57">
        <v>140954.4</v>
      </c>
      <c r="E14" s="50">
        <f>D14-D13</f>
        <v>124.5</v>
      </c>
      <c r="F14" s="51">
        <v>11636682</v>
      </c>
      <c r="G14" s="50">
        <f>F14-F13</f>
        <v>2998</v>
      </c>
      <c r="H14" s="51">
        <v>19705352</v>
      </c>
      <c r="I14" s="50">
        <f>H14-H13</f>
        <v>5103</v>
      </c>
      <c r="J14" s="51">
        <v>8662973</v>
      </c>
      <c r="K14" s="50">
        <f>J14-J13</f>
        <v>2130</v>
      </c>
    </row>
    <row r="15" spans="1:12" ht="19.5">
      <c r="A15" s="59">
        <v>44658</v>
      </c>
      <c r="B15" s="116">
        <v>2560</v>
      </c>
      <c r="C15" s="115">
        <f t="shared" si="0"/>
        <v>0</v>
      </c>
      <c r="D15" s="57">
        <v>141053.4</v>
      </c>
      <c r="E15" s="50">
        <f>D15-D14</f>
        <v>99</v>
      </c>
      <c r="F15" s="51">
        <v>11639650</v>
      </c>
      <c r="G15" s="50">
        <f>F15-F14</f>
        <v>2968</v>
      </c>
      <c r="H15" s="51">
        <v>19710472</v>
      </c>
      <c r="I15" s="50">
        <f>H15-H14</f>
        <v>5120</v>
      </c>
      <c r="J15" s="51">
        <v>8665151</v>
      </c>
      <c r="K15" s="50">
        <f>J15-J14</f>
        <v>2178</v>
      </c>
    </row>
    <row r="16" spans="1:12" ht="19.5">
      <c r="A16" s="59">
        <v>44659</v>
      </c>
      <c r="B16" s="116">
        <v>2560</v>
      </c>
      <c r="C16" s="115">
        <f t="shared" si="0"/>
        <v>0</v>
      </c>
      <c r="D16" s="57">
        <v>141157.4</v>
      </c>
      <c r="E16" s="50">
        <f>D16-D15</f>
        <v>104</v>
      </c>
      <c r="F16" s="51">
        <v>11642382</v>
      </c>
      <c r="G16" s="50">
        <f>F16-F15</f>
        <v>2732</v>
      </c>
      <c r="H16" s="51">
        <v>19715873</v>
      </c>
      <c r="I16" s="50">
        <f>H16-H15</f>
        <v>5401</v>
      </c>
      <c r="J16" s="51">
        <v>8667629</v>
      </c>
      <c r="K16" s="50">
        <f>J16-J15</f>
        <v>2478</v>
      </c>
    </row>
    <row r="17" spans="1:29" ht="19.5">
      <c r="A17" s="59">
        <v>44660</v>
      </c>
      <c r="B17" s="116">
        <v>2560</v>
      </c>
      <c r="C17" s="115">
        <f t="shared" si="0"/>
        <v>0</v>
      </c>
      <c r="D17" s="57">
        <v>141294.20000000001</v>
      </c>
      <c r="E17" s="50">
        <f>D17-D16</f>
        <v>136.80000000001746</v>
      </c>
      <c r="F17" s="51">
        <v>11645240</v>
      </c>
      <c r="G17" s="50">
        <f>F17-F16</f>
        <v>2858</v>
      </c>
      <c r="H17" s="51">
        <v>19721287</v>
      </c>
      <c r="I17" s="50">
        <f>H17-H16</f>
        <v>5414</v>
      </c>
      <c r="J17" s="51">
        <v>8670057</v>
      </c>
      <c r="K17" s="50">
        <f>J17-J16</f>
        <v>2428</v>
      </c>
    </row>
    <row r="18" spans="1:29" ht="19.5">
      <c r="A18" s="59">
        <v>44661</v>
      </c>
      <c r="B18" s="116">
        <v>2560</v>
      </c>
      <c r="C18" s="115">
        <f t="shared" si="0"/>
        <v>0</v>
      </c>
      <c r="D18" s="57">
        <v>141426</v>
      </c>
      <c r="E18" s="50">
        <f>D18-D17</f>
        <v>131.79999999998836</v>
      </c>
      <c r="F18" s="51">
        <v>11648557</v>
      </c>
      <c r="G18" s="50">
        <f>F18-F17</f>
        <v>3317</v>
      </c>
      <c r="H18" s="51">
        <v>19726577</v>
      </c>
      <c r="I18" s="50">
        <f>H18-H17</f>
        <v>5290</v>
      </c>
      <c r="J18" s="51">
        <v>8672548</v>
      </c>
      <c r="K18" s="50">
        <f>J18-J17</f>
        <v>2491</v>
      </c>
    </row>
    <row r="19" spans="1:29" ht="19.5">
      <c r="A19" s="59">
        <v>44662</v>
      </c>
      <c r="B19" s="116">
        <v>2560</v>
      </c>
      <c r="C19" s="115">
        <f t="shared" si="0"/>
        <v>0</v>
      </c>
      <c r="D19" s="57">
        <v>141514</v>
      </c>
      <c r="E19" s="50">
        <f>D19-D18</f>
        <v>88</v>
      </c>
      <c r="F19" s="51">
        <v>11651516</v>
      </c>
      <c r="G19" s="50">
        <f>F19-F18</f>
        <v>2959</v>
      </c>
      <c r="H19" s="51">
        <v>19731891</v>
      </c>
      <c r="I19" s="50">
        <f>H19-H18</f>
        <v>5314</v>
      </c>
      <c r="J19" s="51">
        <v>8675014</v>
      </c>
      <c r="K19" s="50">
        <f>J19-J18</f>
        <v>2466</v>
      </c>
    </row>
    <row r="20" spans="1:29" ht="25.5">
      <c r="A20" s="59">
        <v>44663</v>
      </c>
      <c r="B20" s="116">
        <v>2560</v>
      </c>
      <c r="C20" s="115">
        <f t="shared" si="0"/>
        <v>0</v>
      </c>
      <c r="D20" s="57">
        <v>141618</v>
      </c>
      <c r="E20" s="50">
        <f>D20-D19</f>
        <v>104</v>
      </c>
      <c r="F20" s="51">
        <v>11654633</v>
      </c>
      <c r="G20" s="50">
        <f t="shared" ref="G20:G26" si="1">F20-F19</f>
        <v>3117</v>
      </c>
      <c r="H20" s="51">
        <v>19737349</v>
      </c>
      <c r="I20" s="50">
        <f>H20-H19</f>
        <v>5458</v>
      </c>
      <c r="J20" s="51">
        <v>8677553</v>
      </c>
      <c r="K20" s="50">
        <f>J20-J19</f>
        <v>2539</v>
      </c>
      <c r="L20" s="117" t="s">
        <v>18</v>
      </c>
      <c r="AC20" t="s">
        <v>56</v>
      </c>
    </row>
    <row r="21" spans="1:29" ht="19.5">
      <c r="A21" s="59">
        <v>44664</v>
      </c>
      <c r="B21" s="116">
        <v>2560</v>
      </c>
      <c r="C21" s="115">
        <f t="shared" si="0"/>
        <v>0</v>
      </c>
      <c r="D21" s="57">
        <v>141761</v>
      </c>
      <c r="E21" s="50">
        <f>D21-D20</f>
        <v>143</v>
      </c>
      <c r="F21" s="51">
        <v>11658202</v>
      </c>
      <c r="G21" s="50">
        <f t="shared" si="1"/>
        <v>3569</v>
      </c>
      <c r="H21" s="51">
        <v>19743336</v>
      </c>
      <c r="I21" s="50">
        <f>H21-H20</f>
        <v>5987</v>
      </c>
      <c r="J21" s="51">
        <v>8680519</v>
      </c>
      <c r="K21" s="50">
        <f>J21-J20</f>
        <v>2966</v>
      </c>
    </row>
    <row r="22" spans="1:29" ht="19.5">
      <c r="A22" s="59">
        <v>44665</v>
      </c>
      <c r="B22" s="116">
        <v>2560</v>
      </c>
      <c r="C22" s="115">
        <f t="shared" si="0"/>
        <v>0</v>
      </c>
      <c r="D22" s="57">
        <v>141870</v>
      </c>
      <c r="E22" s="50">
        <f>D22-D21</f>
        <v>109</v>
      </c>
      <c r="F22" s="51">
        <v>11661207</v>
      </c>
      <c r="G22" s="50">
        <f t="shared" si="1"/>
        <v>3005</v>
      </c>
      <c r="H22" s="51">
        <v>19749296</v>
      </c>
      <c r="I22" s="50">
        <f>H22-H21</f>
        <v>5960</v>
      </c>
      <c r="J22" s="51">
        <v>8683041</v>
      </c>
      <c r="K22" s="50">
        <f>J22-J21</f>
        <v>2522</v>
      </c>
    </row>
    <row r="23" spans="1:29" ht="19.5">
      <c r="A23" s="59">
        <v>44666</v>
      </c>
      <c r="B23" s="116">
        <v>2560</v>
      </c>
      <c r="C23" s="115">
        <f t="shared" si="0"/>
        <v>0</v>
      </c>
      <c r="D23" s="57">
        <v>141978.5</v>
      </c>
      <c r="E23" s="50">
        <f>D23-D22</f>
        <v>108.5</v>
      </c>
      <c r="F23" s="51">
        <v>11664085</v>
      </c>
      <c r="G23" s="50">
        <f t="shared" si="1"/>
        <v>2878</v>
      </c>
      <c r="H23" s="51">
        <v>19755034</v>
      </c>
      <c r="I23" s="50">
        <f>H23-H22</f>
        <v>5738</v>
      </c>
      <c r="J23" s="51">
        <v>8685578</v>
      </c>
      <c r="K23" s="50">
        <f>J23-J22</f>
        <v>2537</v>
      </c>
    </row>
    <row r="24" spans="1:29" ht="19.5">
      <c r="A24" s="59">
        <v>44667</v>
      </c>
      <c r="B24" s="116">
        <v>2560</v>
      </c>
      <c r="C24" s="115">
        <f t="shared" si="0"/>
        <v>0</v>
      </c>
      <c r="D24" s="57">
        <v>142135</v>
      </c>
      <c r="E24" s="50">
        <f>D24-D23</f>
        <v>156.5</v>
      </c>
      <c r="F24" s="51">
        <v>11667722</v>
      </c>
      <c r="G24" s="50">
        <f t="shared" si="1"/>
        <v>3637</v>
      </c>
      <c r="H24" s="51">
        <v>19760845</v>
      </c>
      <c r="I24" s="50">
        <f>H24-H23</f>
        <v>5811</v>
      </c>
      <c r="J24" s="51">
        <v>8688281</v>
      </c>
      <c r="K24" s="50">
        <f>J24-J23</f>
        <v>2703</v>
      </c>
    </row>
    <row r="25" spans="1:29" ht="19.5">
      <c r="A25" s="59">
        <v>44668</v>
      </c>
      <c r="B25" s="116">
        <v>2560</v>
      </c>
      <c r="C25" s="115">
        <f t="shared" si="0"/>
        <v>0</v>
      </c>
      <c r="D25" s="57">
        <v>142261</v>
      </c>
      <c r="E25" s="50">
        <f>D25-D24</f>
        <v>126</v>
      </c>
      <c r="F25" s="51">
        <v>11670944</v>
      </c>
      <c r="G25" s="50">
        <f t="shared" si="1"/>
        <v>3222</v>
      </c>
      <c r="H25" s="51">
        <v>19766687</v>
      </c>
      <c r="I25" s="50">
        <f>H25-H24</f>
        <v>5842</v>
      </c>
      <c r="J25" s="51">
        <v>8690694</v>
      </c>
      <c r="K25" s="50">
        <f>J25-J24</f>
        <v>2413</v>
      </c>
    </row>
    <row r="26" spans="1:29" ht="19.5">
      <c r="A26" s="59">
        <v>44669</v>
      </c>
      <c r="B26" s="116">
        <v>2560</v>
      </c>
      <c r="C26" s="115">
        <f t="shared" si="0"/>
        <v>0</v>
      </c>
      <c r="D26" s="57">
        <v>142352</v>
      </c>
      <c r="E26" s="50">
        <f>D26-D25</f>
        <v>91</v>
      </c>
      <c r="F26" s="51">
        <v>11674342</v>
      </c>
      <c r="G26" s="50">
        <f t="shared" si="1"/>
        <v>3398</v>
      </c>
      <c r="H26" s="51">
        <v>19772416</v>
      </c>
      <c r="I26" s="50">
        <f>H26-H25</f>
        <v>5729</v>
      </c>
      <c r="J26" s="51">
        <v>8693254</v>
      </c>
      <c r="K26" s="50">
        <f>J26-J25</f>
        <v>2560</v>
      </c>
    </row>
    <row r="27" spans="1:29" ht="19.5">
      <c r="A27" s="59">
        <v>44670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44671</v>
      </c>
      <c r="B28" s="116"/>
      <c r="C28" s="115">
        <f>B28-B27</f>
        <v>0</v>
      </c>
      <c r="D28" s="57"/>
      <c r="E28" s="50">
        <f>D28-D27</f>
        <v>0</v>
      </c>
      <c r="F28" s="51"/>
      <c r="G28" s="50">
        <f>F28-F27</f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44672</v>
      </c>
      <c r="B29" s="116"/>
      <c r="C29" s="115">
        <f>B29-B28</f>
        <v>0</v>
      </c>
      <c r="D29" s="57"/>
      <c r="E29" s="50">
        <f>D29-D28</f>
        <v>0</v>
      </c>
      <c r="F29" s="51"/>
      <c r="G29" s="50">
        <f>F29-F28</f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44673</v>
      </c>
      <c r="B30" s="116"/>
      <c r="C30" s="115">
        <f>B30-B29</f>
        <v>0</v>
      </c>
      <c r="D30" s="57"/>
      <c r="E30" s="50">
        <f>D30-D29</f>
        <v>0</v>
      </c>
      <c r="F30" s="51"/>
      <c r="G30" s="50">
        <f>F30-F29</f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44674</v>
      </c>
      <c r="B31" s="116"/>
      <c r="C31" s="115">
        <f>B31-B30</f>
        <v>0</v>
      </c>
      <c r="D31" s="57"/>
      <c r="E31" s="50">
        <f>D31-D30</f>
        <v>0</v>
      </c>
      <c r="F31" s="51"/>
      <c r="G31" s="50">
        <f>F31-F30</f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44675</v>
      </c>
      <c r="B32" s="116"/>
      <c r="C32" s="115">
        <f>B32-B31</f>
        <v>0</v>
      </c>
      <c r="D32" s="57"/>
      <c r="E32" s="50">
        <f>D32-D31</f>
        <v>0</v>
      </c>
      <c r="F32" s="51"/>
      <c r="G32" s="50">
        <f>F32-F31</f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44676</v>
      </c>
      <c r="B33" s="116"/>
      <c r="C33" s="115">
        <f>B33-B32</f>
        <v>0</v>
      </c>
      <c r="D33" s="57"/>
      <c r="E33" s="50">
        <f>D33-D32</f>
        <v>0</v>
      </c>
      <c r="F33" s="51"/>
      <c r="G33" s="50">
        <f>F33-F32</f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44677</v>
      </c>
      <c r="B34" s="116"/>
      <c r="C34" s="115">
        <f>B34-B33</f>
        <v>0</v>
      </c>
      <c r="D34" s="57"/>
      <c r="E34" s="50">
        <f>D34-D33</f>
        <v>0</v>
      </c>
      <c r="F34" s="51"/>
      <c r="G34" s="50">
        <f>F34-F33</f>
        <v>0</v>
      </c>
      <c r="H34" s="51"/>
      <c r="I34" s="50">
        <f>H34-H33</f>
        <v>0</v>
      </c>
      <c r="J34" s="51"/>
      <c r="K34" s="50">
        <f t="shared" ref="K34:K39" si="2">J34-J33</f>
        <v>0</v>
      </c>
    </row>
    <row r="35" spans="1:11" ht="19.5">
      <c r="A35" s="59">
        <v>44678</v>
      </c>
      <c r="B35" s="116"/>
      <c r="C35" s="115">
        <f>B35-B34</f>
        <v>0</v>
      </c>
      <c r="D35" s="57"/>
      <c r="E35" s="50">
        <f>D35-D34</f>
        <v>0</v>
      </c>
      <c r="F35" s="51"/>
      <c r="G35" s="50">
        <f>F35-F34</f>
        <v>0</v>
      </c>
      <c r="H35" s="51"/>
      <c r="I35" s="50">
        <f>H35-H34</f>
        <v>0</v>
      </c>
      <c r="J35" s="51"/>
      <c r="K35" s="50">
        <f t="shared" si="2"/>
        <v>0</v>
      </c>
    </row>
    <row r="36" spans="1:11" ht="19.5">
      <c r="A36" s="59">
        <v>44679</v>
      </c>
      <c r="B36" s="116"/>
      <c r="C36" s="115">
        <f>B36-B35</f>
        <v>0</v>
      </c>
      <c r="D36" s="57"/>
      <c r="E36" s="50">
        <f>D36-D35</f>
        <v>0</v>
      </c>
      <c r="F36" s="51"/>
      <c r="G36" s="50">
        <f>F36-F35</f>
        <v>0</v>
      </c>
      <c r="H36" s="51"/>
      <c r="I36" s="50">
        <f>H36-H35</f>
        <v>0</v>
      </c>
      <c r="J36" s="51"/>
      <c r="K36" s="50">
        <f t="shared" si="2"/>
        <v>0</v>
      </c>
    </row>
    <row r="37" spans="1:11" ht="19.5">
      <c r="A37" s="59">
        <v>44680</v>
      </c>
      <c r="B37" s="116"/>
      <c r="C37" s="115">
        <f>B37-B36</f>
        <v>0</v>
      </c>
      <c r="D37" s="57"/>
      <c r="E37" s="50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 t="shared" si="2"/>
        <v>0</v>
      </c>
    </row>
    <row r="38" spans="1:11" ht="19.5">
      <c r="A38" s="59">
        <v>44681</v>
      </c>
      <c r="B38" s="116"/>
      <c r="C38" s="115">
        <f>B38-B37</f>
        <v>0</v>
      </c>
      <c r="D38" s="57"/>
      <c r="E38" s="50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 t="shared" si="2"/>
        <v>0</v>
      </c>
    </row>
    <row r="39" spans="1:11" ht="19.5">
      <c r="A39" s="59">
        <v>44682</v>
      </c>
      <c r="B39" s="116"/>
      <c r="C39" s="115">
        <f>B39-B38</f>
        <v>0</v>
      </c>
      <c r="D39" s="57"/>
      <c r="E39" s="50">
        <f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 t="shared" si="2"/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4" priority="61" stopIfTrue="1" operator="lessThanOrEqual">
      <formula>0</formula>
    </cfRule>
  </conditionalFormatting>
  <conditionalFormatting sqref="E10:E39">
    <cfRule type="cellIs" dxfId="3" priority="8" stopIfTrue="1" operator="lessThanOrEqual">
      <formula>0</formula>
    </cfRule>
  </conditionalFormatting>
  <conditionalFormatting sqref="E10:E39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bottomRight" activeCell="I21" sqref="I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44652</v>
      </c>
      <c r="B4" s="41">
        <v>60</v>
      </c>
      <c r="C4" s="39">
        <f t="shared" ref="C4" si="0">IF(AC4&gt;0,((B4-R4)+(S4-B5)),IF(B5=0, ,(B4-B5)))</f>
        <v>4</v>
      </c>
      <c r="D4" s="41">
        <v>65</v>
      </c>
      <c r="E4" s="39">
        <f t="shared" ref="E4" si="1">IF(AC4&gt;0,((D4-U4)+(V4-D5)),IF(D5=0, ,(D4-D5)))</f>
        <v>5</v>
      </c>
      <c r="F4" s="41">
        <v>66</v>
      </c>
      <c r="G4" s="39">
        <f t="shared" ref="G4" si="2">IF(AC4&gt;0,((F4-X4)+(Y4-F5)),IF(F5=0, ,(F4-F5)))</f>
        <v>5</v>
      </c>
      <c r="H4" s="41">
        <v>72</v>
      </c>
      <c r="I4" s="39">
        <f>IF(AC4&gt;0,((H4-AA4)+(AB4-H5)),IF(H5=0, ,(H4-H5)))</f>
        <v>4</v>
      </c>
      <c r="J4" s="39">
        <f>B4+D4+F4+H4</f>
        <v>263</v>
      </c>
      <c r="K4" s="39">
        <f>J4/4</f>
        <v>65.75</v>
      </c>
      <c r="L4" s="39">
        <f>IF(AC4&gt;0,((K4-AD4)+(AE4-K5)),IF(K5=0, ,(K4-K5)))</f>
        <v>4.5</v>
      </c>
      <c r="M4" s="149">
        <f t="shared" ref="M4:M7" si="3">6049*4</f>
        <v>24196</v>
      </c>
      <c r="N4" s="39">
        <f>L4*M4/100</f>
        <v>1088.82</v>
      </c>
      <c r="O4" s="167">
        <f>N4*0.529</f>
        <v>575.98577999999998</v>
      </c>
      <c r="P4" s="42">
        <f>O4*12.64</f>
        <v>7280.4602592000001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44653</v>
      </c>
      <c r="B5" s="41">
        <v>56</v>
      </c>
      <c r="C5" s="39">
        <f t="shared" ref="C4:C35" si="7">IF(AC5&gt;0,((B5-R5)+(S5-B6)),IF(B6=0, ,(B5-B6)))</f>
        <v>5</v>
      </c>
      <c r="D5" s="41">
        <v>60</v>
      </c>
      <c r="E5" s="39">
        <f t="shared" ref="E4:E35" si="8">IF(AC5&gt;0,((D5-U5)+(V5-D6)),IF(D6=0, ,(D5-D6)))</f>
        <v>6</v>
      </c>
      <c r="F5" s="41">
        <v>61</v>
      </c>
      <c r="G5" s="39">
        <f t="shared" ref="G4:G35" si="9">IF(AC5&gt;0,((F5-X5)+(Y5-F6)),IF(F6=0, ,(F5-F6)))</f>
        <v>5</v>
      </c>
      <c r="H5" s="41">
        <v>68</v>
      </c>
      <c r="I5" s="39">
        <f>IF(AC5&gt;0,((H5-AA5)+(AB5-H6)),IF(H6=0, ,(H5-H6)))</f>
        <v>6</v>
      </c>
      <c r="J5" s="39">
        <f>B5+D5+F5+H5</f>
        <v>245</v>
      </c>
      <c r="K5" s="39">
        <f>J5/4</f>
        <v>61.25</v>
      </c>
      <c r="L5" s="39">
        <f>IF(AC5&gt;0,((K5-AD5)+(AE5-K6)),IF(K6=0, ,(K5-K6)))</f>
        <v>5.5</v>
      </c>
      <c r="M5" s="149">
        <f t="shared" si="3"/>
        <v>24196</v>
      </c>
      <c r="N5" s="39">
        <f>L5*M5/100</f>
        <v>1330.78</v>
      </c>
      <c r="O5" s="39">
        <f>N5*0.529</f>
        <v>703.98262</v>
      </c>
      <c r="P5" s="42">
        <f t="shared" ref="P5:P37" si="10">O5*12.64</f>
        <v>8898.3403168000004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44654</v>
      </c>
      <c r="B6" s="41">
        <v>51</v>
      </c>
      <c r="C6" s="39">
        <f t="shared" si="7"/>
        <v>5</v>
      </c>
      <c r="D6" s="41">
        <v>54</v>
      </c>
      <c r="E6" s="39">
        <f t="shared" si="8"/>
        <v>6</v>
      </c>
      <c r="F6" s="41">
        <v>56</v>
      </c>
      <c r="G6" s="39">
        <f t="shared" si="9"/>
        <v>5</v>
      </c>
      <c r="H6" s="41">
        <v>62</v>
      </c>
      <c r="I6" s="39">
        <f t="shared" ref="I6:I36" si="11">IF(AC6&gt;0,((H6-AA6)+(AB6-H7)),IF(H7=0, ,(H6-H7)))</f>
        <v>5</v>
      </c>
      <c r="J6" s="39">
        <f t="shared" ref="J6:J42" si="12">B6+D6+F6+H6</f>
        <v>223</v>
      </c>
      <c r="K6" s="39">
        <f t="shared" ref="K6:K42" si="13">J6/4</f>
        <v>55.75</v>
      </c>
      <c r="L6" s="39">
        <f t="shared" ref="L6:L19" si="14">IF(AC6&gt;0,((K6-AD6)+(AE6-K7)),IF(K7=0, ,(K6-K7)))</f>
        <v>5.25</v>
      </c>
      <c r="M6" s="149">
        <f t="shared" si="3"/>
        <v>24196</v>
      </c>
      <c r="N6" s="39">
        <f t="shared" ref="N6:N42" si="15">L6*M6/100</f>
        <v>1270.29</v>
      </c>
      <c r="O6" s="39">
        <f>N6*0.529</f>
        <v>671.98341000000005</v>
      </c>
      <c r="P6" s="42">
        <f t="shared" si="10"/>
        <v>8493.8703024000006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44655</v>
      </c>
      <c r="B7" s="41">
        <v>46</v>
      </c>
      <c r="C7" s="39">
        <f t="shared" si="7"/>
        <v>3</v>
      </c>
      <c r="D7" s="41">
        <v>48</v>
      </c>
      <c r="E7" s="39">
        <f t="shared" si="8"/>
        <v>0</v>
      </c>
      <c r="F7" s="41">
        <v>51</v>
      </c>
      <c r="G7" s="39">
        <f t="shared" si="9"/>
        <v>1</v>
      </c>
      <c r="H7" s="41">
        <v>57</v>
      </c>
      <c r="I7" s="39">
        <f t="shared" si="11"/>
        <v>2</v>
      </c>
      <c r="J7" s="39">
        <f t="shared" si="12"/>
        <v>202</v>
      </c>
      <c r="K7" s="39">
        <f t="shared" si="13"/>
        <v>50.5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2431.4076480000003</v>
      </c>
      <c r="Q7" s="39">
        <v>1890</v>
      </c>
      <c r="R7" s="39">
        <v>45</v>
      </c>
      <c r="S7" s="39">
        <v>72</v>
      </c>
      <c r="T7" s="39">
        <v>1890</v>
      </c>
      <c r="U7" s="39">
        <v>48</v>
      </c>
      <c r="V7" s="39">
        <v>72</v>
      </c>
      <c r="W7" s="39">
        <v>1890</v>
      </c>
      <c r="X7" s="39">
        <v>50</v>
      </c>
      <c r="Y7" s="39">
        <v>75</v>
      </c>
      <c r="Z7" s="39">
        <v>1890</v>
      </c>
      <c r="AA7" s="39">
        <v>55</v>
      </c>
      <c r="AB7" s="39">
        <v>80</v>
      </c>
      <c r="AC7" s="39">
        <f t="shared" si="4"/>
        <v>7560</v>
      </c>
      <c r="AD7" s="38">
        <f t="shared" si="5"/>
        <v>49.5</v>
      </c>
      <c r="AE7" s="38">
        <f t="shared" si="6"/>
        <v>74.75</v>
      </c>
    </row>
    <row r="8" spans="1:31" ht="32.25" customHeight="1">
      <c r="A8" s="40">
        <v>44656</v>
      </c>
      <c r="B8" s="41">
        <v>70</v>
      </c>
      <c r="C8" s="39">
        <f t="shared" si="7"/>
        <v>2</v>
      </c>
      <c r="D8" s="41">
        <v>72</v>
      </c>
      <c r="E8" s="39">
        <f t="shared" si="8"/>
        <v>3</v>
      </c>
      <c r="F8" s="41">
        <v>75</v>
      </c>
      <c r="G8" s="39">
        <f t="shared" si="9"/>
        <v>3</v>
      </c>
      <c r="H8" s="41">
        <v>80</v>
      </c>
      <c r="I8" s="39">
        <f t="shared" si="11"/>
        <v>5</v>
      </c>
      <c r="J8" s="39">
        <f t="shared" si="12"/>
        <v>297</v>
      </c>
      <c r="K8" s="39">
        <f t="shared" si="13"/>
        <v>74.25</v>
      </c>
      <c r="L8" s="39">
        <f t="shared" si="14"/>
        <v>3.25</v>
      </c>
      <c r="M8" s="149">
        <f>6049*4</f>
        <v>24196</v>
      </c>
      <c r="N8" s="39">
        <f t="shared" si="15"/>
        <v>786.37</v>
      </c>
      <c r="O8" s="148">
        <f t="shared" ref="O8:O37" si="16">N8*0.529</f>
        <v>415.98973000000001</v>
      </c>
      <c r="P8" s="42">
        <f t="shared" si="10"/>
        <v>5258.1101871999999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44657</v>
      </c>
      <c r="B9" s="41">
        <v>68</v>
      </c>
      <c r="C9" s="39">
        <f t="shared" si="7"/>
        <v>3</v>
      </c>
      <c r="D9" s="41">
        <v>69</v>
      </c>
      <c r="E9" s="39">
        <f t="shared" si="8"/>
        <v>4</v>
      </c>
      <c r="F9" s="41">
        <v>72</v>
      </c>
      <c r="G9" s="39">
        <f t="shared" si="9"/>
        <v>3</v>
      </c>
      <c r="H9" s="41">
        <v>75</v>
      </c>
      <c r="I9" s="39">
        <f t="shared" si="11"/>
        <v>5</v>
      </c>
      <c r="J9" s="39">
        <f t="shared" si="12"/>
        <v>284</v>
      </c>
      <c r="K9" s="39">
        <f t="shared" si="13"/>
        <v>71</v>
      </c>
      <c r="L9" s="39">
        <f t="shared" si="14"/>
        <v>3.75</v>
      </c>
      <c r="M9" s="149">
        <f t="shared" ref="M9:M42" si="17">6049*4</f>
        <v>24196</v>
      </c>
      <c r="N9" s="39">
        <f t="shared" si="15"/>
        <v>907.35</v>
      </c>
      <c r="O9" s="39">
        <f t="shared" si="16"/>
        <v>479.98815000000002</v>
      </c>
      <c r="P9" s="42">
        <f t="shared" si="10"/>
        <v>6067.0502160000005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44658</v>
      </c>
      <c r="B10" s="41">
        <v>65</v>
      </c>
      <c r="C10" s="39">
        <f t="shared" si="7"/>
        <v>5</v>
      </c>
      <c r="D10" s="41">
        <v>65</v>
      </c>
      <c r="E10" s="39">
        <f t="shared" si="8"/>
        <v>4</v>
      </c>
      <c r="F10" s="41">
        <v>69</v>
      </c>
      <c r="G10" s="39">
        <f t="shared" si="9"/>
        <v>3</v>
      </c>
      <c r="H10" s="41">
        <v>70</v>
      </c>
      <c r="I10" s="39">
        <f t="shared" si="11"/>
        <v>1</v>
      </c>
      <c r="J10" s="39">
        <f t="shared" si="12"/>
        <v>269</v>
      </c>
      <c r="K10" s="39">
        <f t="shared" si="13"/>
        <v>67.25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5258.1101871999999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44659</v>
      </c>
      <c r="B11" s="41">
        <v>60</v>
      </c>
      <c r="C11" s="39">
        <f t="shared" si="7"/>
        <v>5</v>
      </c>
      <c r="D11" s="41">
        <v>61</v>
      </c>
      <c r="E11" s="39">
        <f t="shared" si="8"/>
        <v>7</v>
      </c>
      <c r="F11" s="41">
        <v>66</v>
      </c>
      <c r="G11" s="39">
        <f t="shared" si="9"/>
        <v>7</v>
      </c>
      <c r="H11" s="41">
        <v>69</v>
      </c>
      <c r="I11" s="39">
        <f t="shared" si="11"/>
        <v>9</v>
      </c>
      <c r="J11" s="39">
        <f t="shared" si="12"/>
        <v>256</v>
      </c>
      <c r="K11" s="39">
        <f t="shared" si="13"/>
        <v>64</v>
      </c>
      <c r="L11" s="39">
        <f t="shared" si="14"/>
        <v>7</v>
      </c>
      <c r="M11" s="149">
        <f t="shared" si="17"/>
        <v>24196</v>
      </c>
      <c r="N11" s="39">
        <f t="shared" si="15"/>
        <v>1693.72</v>
      </c>
      <c r="O11" s="39">
        <f t="shared" si="16"/>
        <v>895.97788000000003</v>
      </c>
      <c r="P11" s="42">
        <f t="shared" si="10"/>
        <v>11325.160403200001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44660</v>
      </c>
      <c r="B12" s="41">
        <v>55</v>
      </c>
      <c r="C12" s="39">
        <f t="shared" si="7"/>
        <v>5</v>
      </c>
      <c r="D12" s="41">
        <v>54</v>
      </c>
      <c r="E12" s="39">
        <f t="shared" si="8"/>
        <v>4</v>
      </c>
      <c r="F12" s="41">
        <v>59</v>
      </c>
      <c r="G12" s="39">
        <f t="shared" si="9"/>
        <v>4</v>
      </c>
      <c r="H12" s="41">
        <v>60</v>
      </c>
      <c r="I12" s="39">
        <f t="shared" si="11"/>
        <v>0</v>
      </c>
      <c r="J12" s="39">
        <f t="shared" si="12"/>
        <v>228</v>
      </c>
      <c r="K12" s="39">
        <f t="shared" si="13"/>
        <v>57</v>
      </c>
      <c r="L12" s="39">
        <f t="shared" si="14"/>
        <v>3.25</v>
      </c>
      <c r="M12" s="149">
        <f t="shared" si="17"/>
        <v>24196</v>
      </c>
      <c r="N12" s="39">
        <f t="shared" si="15"/>
        <v>786.37</v>
      </c>
      <c r="O12" s="39">
        <f t="shared" si="16"/>
        <v>415.98973000000001</v>
      </c>
      <c r="P12" s="42">
        <f t="shared" si="10"/>
        <v>5258.1101871999999</v>
      </c>
      <c r="Q12" s="39">
        <v>2989</v>
      </c>
      <c r="R12" s="39">
        <v>50</v>
      </c>
      <c r="S12" s="39">
        <v>85</v>
      </c>
      <c r="T12" s="39">
        <v>2994</v>
      </c>
      <c r="U12" s="39">
        <v>50</v>
      </c>
      <c r="V12" s="39">
        <v>85</v>
      </c>
      <c r="W12" s="39">
        <v>2602</v>
      </c>
      <c r="X12" s="39">
        <v>55</v>
      </c>
      <c r="Y12" s="39">
        <v>85</v>
      </c>
      <c r="Z12" s="39">
        <v>2160</v>
      </c>
      <c r="AA12" s="39">
        <v>60</v>
      </c>
      <c r="AB12" s="39">
        <v>85</v>
      </c>
      <c r="AC12" s="39">
        <f t="shared" si="4"/>
        <v>10745</v>
      </c>
      <c r="AD12" s="38">
        <f t="shared" si="5"/>
        <v>53.75</v>
      </c>
      <c r="AE12" s="38">
        <f t="shared" si="6"/>
        <v>85</v>
      </c>
    </row>
    <row r="13" spans="1:31" ht="32.25" customHeight="1">
      <c r="A13" s="40">
        <v>44661</v>
      </c>
      <c r="B13" s="41">
        <v>85</v>
      </c>
      <c r="C13" s="39">
        <f t="shared" si="7"/>
        <v>5</v>
      </c>
      <c r="D13" s="41">
        <v>85</v>
      </c>
      <c r="E13" s="39">
        <f t="shared" si="8"/>
        <v>2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2831.2901008000003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44662</v>
      </c>
      <c r="B14" s="41">
        <v>80</v>
      </c>
      <c r="C14" s="39">
        <f t="shared" si="7"/>
        <v>5</v>
      </c>
      <c r="D14" s="41">
        <v>83</v>
      </c>
      <c r="E14" s="39">
        <f t="shared" si="8"/>
        <v>3</v>
      </c>
      <c r="F14" s="41">
        <v>85</v>
      </c>
      <c r="G14" s="39">
        <f t="shared" si="9"/>
        <v>3</v>
      </c>
      <c r="H14" s="41">
        <v>85</v>
      </c>
      <c r="I14" s="39">
        <f>IF(AC14&gt;0,((H14-AA14)+(AB14-H15)),IF(H15=0, ,(H14-H15)))</f>
        <v>4</v>
      </c>
      <c r="J14" s="39">
        <f t="shared" si="12"/>
        <v>333</v>
      </c>
      <c r="K14" s="39">
        <f t="shared" si="13"/>
        <v>83.25</v>
      </c>
      <c r="L14" s="39">
        <f t="shared" si="14"/>
        <v>3.75</v>
      </c>
      <c r="M14" s="149">
        <f t="shared" si="17"/>
        <v>24196</v>
      </c>
      <c r="N14" s="39">
        <f t="shared" si="15"/>
        <v>907.35</v>
      </c>
      <c r="O14" s="39">
        <f t="shared" si="16"/>
        <v>479.98815000000002</v>
      </c>
      <c r="P14" s="42">
        <f t="shared" si="10"/>
        <v>6067.0502160000005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44663</v>
      </c>
      <c r="B15" s="41">
        <v>75</v>
      </c>
      <c r="C15" s="39">
        <f t="shared" si="7"/>
        <v>3</v>
      </c>
      <c r="D15" s="41">
        <v>80</v>
      </c>
      <c r="E15" s="39">
        <f t="shared" si="8"/>
        <v>5</v>
      </c>
      <c r="F15" s="41">
        <v>82</v>
      </c>
      <c r="G15" s="39">
        <f t="shared" si="9"/>
        <v>7</v>
      </c>
      <c r="H15" s="41">
        <v>81</v>
      </c>
      <c r="I15" s="39">
        <f>IF(AC15&gt;0,((H15-AA15)+(AB15-H16)),IF(H16=0, ,(H15-H16)))</f>
        <v>2</v>
      </c>
      <c r="J15" s="39">
        <f t="shared" si="12"/>
        <v>318</v>
      </c>
      <c r="K15" s="39">
        <f t="shared" si="13"/>
        <v>79.5</v>
      </c>
      <c r="L15" s="39">
        <f t="shared" si="14"/>
        <v>4.25</v>
      </c>
      <c r="M15" s="149">
        <f t="shared" si="17"/>
        <v>24196</v>
      </c>
      <c r="N15" s="39">
        <f t="shared" si="15"/>
        <v>1028.33</v>
      </c>
      <c r="O15" s="39">
        <f t="shared" si="16"/>
        <v>543.98657000000003</v>
      </c>
      <c r="P15" s="42">
        <f t="shared" si="10"/>
        <v>6875.9902448000003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44664</v>
      </c>
      <c r="B16" s="41">
        <v>72</v>
      </c>
      <c r="C16" s="39">
        <f t="shared" si="7"/>
        <v>5</v>
      </c>
      <c r="D16" s="41">
        <v>75</v>
      </c>
      <c r="E16" s="39">
        <f t="shared" si="8"/>
        <v>3</v>
      </c>
      <c r="F16" s="41">
        <v>75</v>
      </c>
      <c r="G16" s="39">
        <f t="shared" si="9"/>
        <v>4</v>
      </c>
      <c r="H16" s="41">
        <v>79</v>
      </c>
      <c r="I16" s="39">
        <f t="shared" si="11"/>
        <v>4</v>
      </c>
      <c r="J16" s="39">
        <f t="shared" si="12"/>
        <v>301</v>
      </c>
      <c r="K16" s="39">
        <f t="shared" si="13"/>
        <v>75.25</v>
      </c>
      <c r="L16" s="39">
        <f t="shared" si="14"/>
        <v>4</v>
      </c>
      <c r="M16" s="149">
        <f t="shared" si="17"/>
        <v>24196</v>
      </c>
      <c r="N16" s="39">
        <f t="shared" si="15"/>
        <v>967.84</v>
      </c>
      <c r="O16" s="39">
        <f t="shared" si="16"/>
        <v>511.98736000000002</v>
      </c>
      <c r="P16" s="42">
        <f t="shared" si="10"/>
        <v>6471.5202304000004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44665</v>
      </c>
      <c r="B17" s="41">
        <v>67</v>
      </c>
      <c r="C17" s="39">
        <f t="shared" si="7"/>
        <v>3</v>
      </c>
      <c r="D17" s="41">
        <v>72</v>
      </c>
      <c r="E17" s="39">
        <f t="shared" si="8"/>
        <v>6</v>
      </c>
      <c r="F17" s="41">
        <v>71</v>
      </c>
      <c r="G17" s="39">
        <f t="shared" si="9"/>
        <v>1</v>
      </c>
      <c r="H17" s="41">
        <v>75</v>
      </c>
      <c r="I17" s="39">
        <f t="shared" si="11"/>
        <v>5</v>
      </c>
      <c r="J17" s="39">
        <f t="shared" si="12"/>
        <v>285</v>
      </c>
      <c r="K17" s="39">
        <f t="shared" si="13"/>
        <v>71.25</v>
      </c>
      <c r="L17" s="39">
        <f t="shared" si="14"/>
        <v>3.75</v>
      </c>
      <c r="M17" s="149">
        <f t="shared" si="17"/>
        <v>24196</v>
      </c>
      <c r="N17" s="39">
        <f t="shared" si="15"/>
        <v>907.35</v>
      </c>
      <c r="O17" s="39">
        <f t="shared" si="16"/>
        <v>479.98815000000002</v>
      </c>
      <c r="P17" s="42">
        <f t="shared" si="10"/>
        <v>6067.0502160000005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44666</v>
      </c>
      <c r="B18" s="41">
        <v>64</v>
      </c>
      <c r="C18" s="39">
        <f t="shared" si="7"/>
        <v>4</v>
      </c>
      <c r="D18" s="41">
        <v>66</v>
      </c>
      <c r="E18" s="39">
        <f t="shared" si="8"/>
        <v>4</v>
      </c>
      <c r="F18" s="41">
        <v>70</v>
      </c>
      <c r="G18" s="39">
        <f t="shared" si="9"/>
        <v>3</v>
      </c>
      <c r="H18" s="41">
        <v>70</v>
      </c>
      <c r="I18" s="39">
        <f t="shared" si="11"/>
        <v>4</v>
      </c>
      <c r="J18" s="39">
        <f t="shared" si="12"/>
        <v>270</v>
      </c>
      <c r="K18" s="39">
        <f t="shared" si="13"/>
        <v>67.5</v>
      </c>
      <c r="L18" s="39">
        <f t="shared" si="14"/>
        <v>3.75</v>
      </c>
      <c r="M18" s="149">
        <f t="shared" si="17"/>
        <v>24196</v>
      </c>
      <c r="N18" s="39">
        <f t="shared" si="15"/>
        <v>907.35</v>
      </c>
      <c r="O18" s="39">
        <f t="shared" si="16"/>
        <v>479.98815000000002</v>
      </c>
      <c r="P18" s="42">
        <f t="shared" si="10"/>
        <v>6067.0502160000005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44667</v>
      </c>
      <c r="B19" s="41">
        <v>60</v>
      </c>
      <c r="C19" s="39">
        <f t="shared" si="7"/>
        <v>5</v>
      </c>
      <c r="D19" s="41">
        <v>62</v>
      </c>
      <c r="E19" s="39">
        <f t="shared" si="8"/>
        <v>6</v>
      </c>
      <c r="F19" s="41">
        <v>67</v>
      </c>
      <c r="G19" s="39">
        <f t="shared" si="9"/>
        <v>5</v>
      </c>
      <c r="H19" s="41">
        <v>66</v>
      </c>
      <c r="I19" s="39">
        <f t="shared" si="11"/>
        <v>4</v>
      </c>
      <c r="J19" s="39">
        <f t="shared" si="12"/>
        <v>255</v>
      </c>
      <c r="K19" s="39">
        <f t="shared" si="13"/>
        <v>63.75</v>
      </c>
      <c r="L19" s="39">
        <f t="shared" si="14"/>
        <v>5</v>
      </c>
      <c r="M19" s="149">
        <f t="shared" si="17"/>
        <v>24196</v>
      </c>
      <c r="N19" s="39">
        <f t="shared" si="15"/>
        <v>1209.8</v>
      </c>
      <c r="O19" s="39">
        <f t="shared" si="16"/>
        <v>639.98419999999999</v>
      </c>
      <c r="P19" s="42">
        <f t="shared" si="10"/>
        <v>8089.4002879999998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44668</v>
      </c>
      <c r="B20" s="41">
        <v>55</v>
      </c>
      <c r="C20" s="39">
        <f t="shared" si="7"/>
        <v>5</v>
      </c>
      <c r="D20" s="41">
        <v>56</v>
      </c>
      <c r="E20" s="39">
        <f t="shared" si="8"/>
        <v>2</v>
      </c>
      <c r="F20" s="41">
        <v>62</v>
      </c>
      <c r="G20" s="39">
        <f t="shared" si="9"/>
        <v>7</v>
      </c>
      <c r="H20" s="41">
        <v>62</v>
      </c>
      <c r="I20" s="39">
        <f t="shared" si="11"/>
        <v>2</v>
      </c>
      <c r="J20" s="39">
        <f t="shared" si="12"/>
        <v>235</v>
      </c>
      <c r="K20" s="39">
        <f t="shared" si="13"/>
        <v>58.75</v>
      </c>
      <c r="L20" s="39">
        <f t="shared" ref="L20:L42" si="18">IF(AC20&gt;0,((K20-AD20)+(AE20-K21)),IF(K21=0, ,(K20-K21)))</f>
        <v>4</v>
      </c>
      <c r="M20" s="149">
        <f t="shared" si="17"/>
        <v>24196</v>
      </c>
      <c r="N20" s="39">
        <f t="shared" si="15"/>
        <v>967.84</v>
      </c>
      <c r="O20" s="39">
        <f t="shared" si="16"/>
        <v>511.98736000000002</v>
      </c>
      <c r="P20" s="42">
        <f t="shared" si="10"/>
        <v>6471.5202304000004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44669</v>
      </c>
      <c r="B21" s="41">
        <v>50</v>
      </c>
      <c r="C21" s="39">
        <f t="shared" si="7"/>
        <v>0</v>
      </c>
      <c r="D21" s="41">
        <v>54</v>
      </c>
      <c r="E21" s="39">
        <f t="shared" si="8"/>
        <v>0</v>
      </c>
      <c r="F21" s="41">
        <v>55</v>
      </c>
      <c r="G21" s="39">
        <f t="shared" si="9"/>
        <v>0</v>
      </c>
      <c r="H21" s="41">
        <v>60</v>
      </c>
      <c r="I21" s="39">
        <f t="shared" si="11"/>
        <v>0</v>
      </c>
      <c r="J21" s="39">
        <f t="shared" si="12"/>
        <v>219</v>
      </c>
      <c r="K21" s="39">
        <f t="shared" si="13"/>
        <v>54.75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44670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44671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44672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44673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44674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44675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44676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44677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44678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44679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44680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44681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44682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44683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0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16332.300000000001</v>
      </c>
      <c r="O43" s="39">
        <f>N43*0.529</f>
        <v>8639.7867000000006</v>
      </c>
      <c r="P43" s="42">
        <f>O43*12.64</f>
        <v>109206.90388800002</v>
      </c>
      <c r="Q43" s="286">
        <f>SUM(Q4:Q42)</f>
        <v>4879</v>
      </c>
      <c r="R43" s="287"/>
      <c r="S43" s="288"/>
      <c r="T43" s="289">
        <f>SUM(T4:T42)</f>
        <v>4884</v>
      </c>
      <c r="U43" s="287"/>
      <c r="V43" s="288"/>
      <c r="W43" s="289">
        <f>SUM(W4:W42)</f>
        <v>4492</v>
      </c>
      <c r="X43" s="287"/>
      <c r="Y43" s="288"/>
      <c r="Z43" s="289">
        <f>SUM(Z4:Z42)</f>
        <v>4050</v>
      </c>
      <c r="AA43" s="287"/>
      <c r="AB43" s="288"/>
      <c r="AC43" s="39">
        <f t="shared" si="20"/>
        <v>18305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18305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18305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16332.300000000001</v>
      </c>
      <c r="L47" s="46">
        <f>O43</f>
        <v>8639.7867000000006</v>
      </c>
      <c r="M47" s="46">
        <f>P43</f>
        <v>109206.90388800002</v>
      </c>
    </row>
    <row r="48" spans="1:31" ht="54.75" customHeight="1" thickBot="1">
      <c r="H48" s="282" t="s">
        <v>86</v>
      </c>
      <c r="I48" s="283"/>
      <c r="J48" s="284"/>
      <c r="K48" s="43">
        <f>AC44</f>
        <v>18305</v>
      </c>
      <c r="L48" s="44">
        <f>K48*0.529</f>
        <v>9683.3450000000012</v>
      </c>
      <c r="M48" s="44">
        <f>L48*12.64</f>
        <v>122397.48080000002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44255</v>
      </c>
      <c r="D8" s="352"/>
      <c r="E8" s="113">
        <v>44648</v>
      </c>
      <c r="F8" s="163" t="s">
        <v>97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793</v>
      </c>
      <c r="H12" s="348"/>
      <c r="I12" s="349"/>
      <c r="J12" s="349"/>
    </row>
    <row r="13" spans="1:10">
      <c r="A13" s="350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19657009</v>
      </c>
      <c r="D17" s="66">
        <v>19508376</v>
      </c>
      <c r="E17" s="67">
        <f>MIN(C17-D17)</f>
        <v>148633</v>
      </c>
      <c r="F17" s="67">
        <f>+E17</f>
        <v>148633</v>
      </c>
      <c r="G17" s="338"/>
      <c r="H17" s="339"/>
      <c r="I17" s="338">
        <f>+E17</f>
        <v>148633</v>
      </c>
      <c r="J17" s="339"/>
    </row>
    <row r="18" spans="1:10">
      <c r="A18" s="336" t="s">
        <v>111</v>
      </c>
      <c r="B18" s="337"/>
      <c r="C18" s="66">
        <v>11604171</v>
      </c>
      <c r="D18" s="66">
        <v>11505965</v>
      </c>
      <c r="E18" s="67">
        <f>MIN(C18-D18)</f>
        <v>98206</v>
      </c>
      <c r="F18" s="67">
        <f>+E18</f>
        <v>98206</v>
      </c>
      <c r="G18" s="338"/>
      <c r="H18" s="339"/>
      <c r="I18" s="338">
        <f>+E18</f>
        <v>98206</v>
      </c>
      <c r="J18" s="339"/>
    </row>
    <row r="19" spans="1:10">
      <c r="A19" s="336" t="s">
        <v>112</v>
      </c>
      <c r="B19" s="337"/>
      <c r="C19" s="66">
        <v>8640652</v>
      </c>
      <c r="D19" s="66">
        <v>8571104</v>
      </c>
      <c r="E19" s="67">
        <f>AVERAGE(C19-D19)</f>
        <v>69548</v>
      </c>
      <c r="F19" s="67">
        <f>+E19</f>
        <v>69548</v>
      </c>
      <c r="G19" s="338"/>
      <c r="H19" s="339"/>
      <c r="I19" s="338">
        <f>+E19</f>
        <v>69548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316387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148633</v>
      </c>
      <c r="E25" s="72">
        <v>0.95140000000000002</v>
      </c>
      <c r="F25" s="73">
        <f>PRODUCT(D25*E25)</f>
        <v>141409.4362</v>
      </c>
      <c r="G25" s="151">
        <v>14</v>
      </c>
      <c r="H25" s="65">
        <f>PRODUCT(0.14,F25)</f>
        <v>19797.321068000001</v>
      </c>
      <c r="I25" s="304">
        <f>SUM(H25,F25)</f>
        <v>161206.75726799999</v>
      </c>
      <c r="J25" s="305"/>
    </row>
    <row r="26" spans="1:10" ht="15">
      <c r="A26" s="301" t="s">
        <v>124</v>
      </c>
      <c r="B26" s="302"/>
      <c r="C26" s="303"/>
      <c r="D26" s="67">
        <f>+E18</f>
        <v>98206</v>
      </c>
      <c r="E26" s="74">
        <v>0.69850000000000001</v>
      </c>
      <c r="F26" s="73">
        <f>PRODUCT(D26*E26)</f>
        <v>68596.891000000003</v>
      </c>
      <c r="G26">
        <v>14</v>
      </c>
      <c r="H26" s="67">
        <f>PRODUCT(0.14,F26)</f>
        <v>9603.5647400000016</v>
      </c>
      <c r="I26" s="304">
        <f t="shared" ref="I26:I31" si="0">SUM(H26,F26)</f>
        <v>78200.455740000005</v>
      </c>
      <c r="J26" s="305"/>
    </row>
    <row r="27" spans="1:10" ht="15">
      <c r="A27" s="301" t="s">
        <v>125</v>
      </c>
      <c r="B27" s="302"/>
      <c r="C27" s="303"/>
      <c r="D27" s="67">
        <f>+E19</f>
        <v>69548</v>
      </c>
      <c r="E27" s="74">
        <v>1.3304</v>
      </c>
      <c r="F27" s="73">
        <f>PRODUCT(D27*E27)</f>
        <v>92526.659199999995</v>
      </c>
      <c r="G27">
        <v>14</v>
      </c>
      <c r="H27" s="67">
        <f>PRODUCT(0.14,F27)</f>
        <v>12953.732288000001</v>
      </c>
      <c r="I27" s="304">
        <f>SUM(H27,F27)</f>
        <v>105480.39148799999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348747.65639999998</v>
      </c>
      <c r="G32" s="85"/>
      <c r="H32" s="86"/>
      <c r="I32" s="313">
        <f>SUM(I25:J31)</f>
        <v>397518.34829599998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44655</v>
      </c>
      <c r="D8" s="352"/>
      <c r="E8" s="113">
        <v>44685</v>
      </c>
      <c r="F8" s="163" t="s">
        <v>131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793</v>
      </c>
      <c r="H12" s="348"/>
      <c r="I12" s="349"/>
      <c r="J12" s="349"/>
    </row>
    <row r="13" spans="1:10">
      <c r="A13" s="350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8"/>
      <c r="H17" s="339"/>
      <c r="I17" s="338">
        <f>+E17</f>
        <v>6887</v>
      </c>
      <c r="J17" s="339"/>
    </row>
    <row r="18" spans="1:10">
      <c r="A18" s="336" t="s">
        <v>111</v>
      </c>
      <c r="B18" s="337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8"/>
      <c r="H18" s="339"/>
      <c r="I18" s="338">
        <f>+E18</f>
        <v>3799</v>
      </c>
      <c r="J18" s="339"/>
    </row>
    <row r="19" spans="1:10">
      <c r="A19" s="336" t="s">
        <v>112</v>
      </c>
      <c r="B19" s="337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8"/>
      <c r="H19" s="339"/>
      <c r="I19" s="338">
        <f>+E19</f>
        <v>3073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13759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4">
        <f>SUM(H25,F25)</f>
        <v>7469.6126519999998</v>
      </c>
      <c r="J25" s="305"/>
    </row>
    <row r="26" spans="1:10" ht="15">
      <c r="A26" s="301" t="s">
        <v>124</v>
      </c>
      <c r="B26" s="302"/>
      <c r="C26" s="303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4">
        <f t="shared" ref="I26:I31" si="0">SUM(H26,F26)</f>
        <v>3025.1057100000003</v>
      </c>
      <c r="J26" s="305"/>
    </row>
    <row r="27" spans="1:10" ht="15">
      <c r="A27" s="301" t="s">
        <v>125</v>
      </c>
      <c r="B27" s="302"/>
      <c r="C27" s="303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4">
        <f>SUM(H27,F27)</f>
        <v>4660.6838879999996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59508.8825</v>
      </c>
      <c r="G32" s="85"/>
      <c r="H32" s="86"/>
      <c r="I32" s="313">
        <f>SUM(I25:J31)</f>
        <v>67786.146049999996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132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136510</v>
      </c>
      <c r="D8" s="97">
        <v>44621</v>
      </c>
      <c r="E8" s="96">
        <v>140352</v>
      </c>
      <c r="F8" s="97">
        <v>44652</v>
      </c>
      <c r="G8" s="98">
        <f>E8-C8</f>
        <v>3842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3842</v>
      </c>
      <c r="C13" s="396"/>
      <c r="D13" s="396">
        <v>8.7899999999999991</v>
      </c>
      <c r="E13" s="396"/>
      <c r="F13" s="400">
        <f>PRODUCT(D13,B13)</f>
        <v>33771.18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3842</v>
      </c>
      <c r="C19" s="396"/>
      <c r="D19" s="396">
        <v>2.61</v>
      </c>
      <c r="E19" s="396"/>
      <c r="F19" s="396">
        <f>PRODUCT(D19,B19)</f>
        <v>10027.619999999999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43821.8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3067.5260000000003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3275.7860000000001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47097.586000000003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132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127985.9</v>
      </c>
      <c r="D8" s="97">
        <v>44655</v>
      </c>
      <c r="E8" s="96">
        <v>128105.7</v>
      </c>
      <c r="F8" s="97">
        <v>44686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119.80000000000291</v>
      </c>
      <c r="C13" s="396"/>
      <c r="D13" s="396">
        <v>8.5</v>
      </c>
      <c r="E13" s="396"/>
      <c r="F13" s="400">
        <f>PRODUCT(D13,B13)</f>
        <v>1018.3000000000247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1345.5920000000322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94.19144000000226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302.45144000000226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1648.0434400000345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154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44256</v>
      </c>
      <c r="E8" s="96">
        <v>2560</v>
      </c>
      <c r="F8" s="97">
        <v>44652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F15" sqref="F15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2" zoomScaleNormal="100" workbookViewId="0">
      <selection activeCell="E15" sqref="E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2022-04-18T09:49:29Z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