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7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64" documentId="11_AC6AD827F418C19A73F6EEA67DFE401D4A75C0BE" xr6:coauthVersionLast="47" xr6:coauthVersionMax="47" xr10:uidLastSave="{A7CDABF7-F233-4C8B-BDF7-71897A0C0411}"/>
  <bookViews>
    <workbookView xWindow="0" yWindow="0" windowWidth="13590" windowHeight="1155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1" l="1"/>
  <c r="J19" i="1"/>
  <c r="I33" i="3" l="1"/>
  <c r="I34" i="3"/>
  <c r="I35" i="3"/>
  <c r="I36" i="3"/>
  <c r="I37" i="3"/>
  <c r="I38" i="3"/>
  <c r="F25" i="4" l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G5" i="1" l="1"/>
  <c r="G2" i="1"/>
  <c r="G3" i="1"/>
  <c r="G4" i="1"/>
  <c r="G6" i="1"/>
  <c r="G7" i="1"/>
  <c r="G8" i="1"/>
  <c r="G9" i="1"/>
  <c r="G10" i="1"/>
  <c r="K24" i="1"/>
  <c r="K25" i="1"/>
  <c r="K26" i="1"/>
  <c r="K27" i="1"/>
  <c r="K28" i="1"/>
  <c r="K29" i="1"/>
  <c r="K30" i="1"/>
  <c r="K31" i="1"/>
  <c r="I24" i="1"/>
  <c r="I25" i="1"/>
  <c r="I26" i="1"/>
  <c r="I27" i="1"/>
  <c r="I28" i="1"/>
  <c r="I29" i="1"/>
  <c r="I30" i="1"/>
  <c r="I31" i="1"/>
  <c r="J35" i="5" l="1"/>
  <c r="H35" i="5"/>
  <c r="F35" i="5"/>
  <c r="J34" i="5"/>
  <c r="H34" i="5"/>
  <c r="F34" i="5"/>
  <c r="J33" i="5"/>
  <c r="H33" i="5"/>
  <c r="F33" i="5"/>
  <c r="G36" i="4"/>
  <c r="G35" i="4"/>
  <c r="G34" i="4"/>
  <c r="G29" i="1"/>
  <c r="G36" i="3"/>
  <c r="D36" i="3"/>
  <c r="D36" i="4" s="1"/>
  <c r="C36" i="3"/>
  <c r="C36" i="4" s="1"/>
  <c r="G28" i="1"/>
  <c r="G35" i="3"/>
  <c r="D35" i="3"/>
  <c r="D35" i="4" s="1"/>
  <c r="D35" i="5" s="1"/>
  <c r="C35" i="3"/>
  <c r="C35" i="4" s="1"/>
  <c r="C35" i="5" s="1"/>
  <c r="G27" i="1"/>
  <c r="G34" i="3"/>
  <c r="D34" i="3"/>
  <c r="D34" i="4" s="1"/>
  <c r="D34" i="5" s="1"/>
  <c r="C34" i="3"/>
  <c r="C34" i="4" s="1"/>
  <c r="C34" i="5" s="1"/>
  <c r="I35" i="2"/>
  <c r="J35" i="2" s="1"/>
  <c r="F35" i="2"/>
  <c r="I34" i="2"/>
  <c r="J34" i="2" s="1"/>
  <c r="F34" i="2"/>
  <c r="I33" i="2"/>
  <c r="J33" i="2" s="1"/>
  <c r="F33" i="2"/>
  <c r="G35" i="2" l="1"/>
  <c r="K35" i="2" s="1"/>
  <c r="L35" i="2" s="1"/>
  <c r="M35" i="2" s="1"/>
  <c r="E29" i="1"/>
  <c r="G33" i="2"/>
  <c r="K33" i="2" s="1"/>
  <c r="L33" i="2" s="1"/>
  <c r="M33" i="2" s="1"/>
  <c r="E27" i="1"/>
  <c r="G34" i="2"/>
  <c r="K34" i="2" s="1"/>
  <c r="L34" i="2" s="1"/>
  <c r="M34" i="2" s="1"/>
  <c r="E28" i="1"/>
  <c r="H34" i="4"/>
  <c r="J27" i="1"/>
  <c r="H36" i="4"/>
  <c r="H35" i="4"/>
  <c r="K34" i="5"/>
  <c r="K33" i="5"/>
  <c r="K35" i="5"/>
  <c r="L35" i="5" l="1"/>
  <c r="L28" i="1"/>
  <c r="L33" i="5"/>
  <c r="L26" i="1"/>
  <c r="L34" i="5"/>
  <c r="L27" i="1"/>
  <c r="F28" i="1"/>
  <c r="F27" i="1"/>
  <c r="F29" i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7" i="3"/>
  <c r="D38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7" i="3"/>
  <c r="C38" i="3"/>
  <c r="C9" i="3"/>
  <c r="C38" i="2" l="1"/>
  <c r="D38" i="2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F31" i="2"/>
  <c r="F32" i="2"/>
  <c r="F36" i="2"/>
  <c r="F37" i="2"/>
  <c r="I8" i="2"/>
  <c r="J8" i="2" s="1"/>
  <c r="I9" i="2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I21" i="2"/>
  <c r="I22" i="2"/>
  <c r="J22" i="2" s="1"/>
  <c r="I23" i="2"/>
  <c r="J23" i="2" s="1"/>
  <c r="I24" i="2"/>
  <c r="J24" i="2" s="1"/>
  <c r="I25" i="2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6" i="2"/>
  <c r="J36" i="2" s="1"/>
  <c r="I37" i="2"/>
  <c r="J37" i="2" s="1"/>
  <c r="J20" i="2"/>
  <c r="G33" i="4"/>
  <c r="J8" i="3"/>
  <c r="G9" i="3"/>
  <c r="G10" i="3"/>
  <c r="G11" i="3"/>
  <c r="G12" i="3"/>
  <c r="G13" i="3"/>
  <c r="G14" i="3"/>
  <c r="G15" i="3"/>
  <c r="G16" i="3"/>
  <c r="G17" i="3"/>
  <c r="I18" i="3"/>
  <c r="G18" i="3"/>
  <c r="I19" i="3"/>
  <c r="G12" i="1" s="1"/>
  <c r="G19" i="3"/>
  <c r="I20" i="3"/>
  <c r="G20" i="3"/>
  <c r="I21" i="3"/>
  <c r="G21" i="3"/>
  <c r="I22" i="3"/>
  <c r="G15" i="1" s="1"/>
  <c r="G22" i="3"/>
  <c r="I23" i="3"/>
  <c r="G16" i="1" s="1"/>
  <c r="G23" i="3"/>
  <c r="I24" i="3"/>
  <c r="G17" i="1" s="1"/>
  <c r="G24" i="3"/>
  <c r="I25" i="3"/>
  <c r="G18" i="1" s="1"/>
  <c r="G25" i="3"/>
  <c r="I26" i="3"/>
  <c r="G26" i="3"/>
  <c r="I27" i="3"/>
  <c r="G20" i="1" s="1"/>
  <c r="G27" i="3"/>
  <c r="I28" i="3"/>
  <c r="G21" i="1" s="1"/>
  <c r="G28" i="3"/>
  <c r="I29" i="3"/>
  <c r="G22" i="1" s="1"/>
  <c r="G29" i="3"/>
  <c r="I30" i="3"/>
  <c r="G23" i="1" s="1"/>
  <c r="G30" i="3"/>
  <c r="I31" i="3"/>
  <c r="G24" i="1" s="1"/>
  <c r="G31" i="3"/>
  <c r="I32" i="3"/>
  <c r="G25" i="1" s="1"/>
  <c r="G32" i="3"/>
  <c r="G26" i="1"/>
  <c r="G33" i="3"/>
  <c r="G30" i="1"/>
  <c r="G37" i="3"/>
  <c r="G31" i="1"/>
  <c r="G38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 s="1"/>
  <c r="F20" i="4"/>
  <c r="I13" i="1" s="1"/>
  <c r="F21" i="4"/>
  <c r="I14" i="1" s="1"/>
  <c r="F22" i="4"/>
  <c r="I15" i="1" s="1"/>
  <c r="F23" i="4"/>
  <c r="I16" i="1" s="1"/>
  <c r="F24" i="4"/>
  <c r="I17" i="1" s="1"/>
  <c r="I18" i="1"/>
  <c r="I19" i="1"/>
  <c r="I20" i="1"/>
  <c r="I21" i="1"/>
  <c r="I22" i="1"/>
  <c r="I23" i="1"/>
  <c r="K2" i="1"/>
  <c r="F9" i="5"/>
  <c r="H9" i="5"/>
  <c r="J9" i="5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1" i="1"/>
  <c r="F28" i="5"/>
  <c r="H28" i="5"/>
  <c r="J28" i="5"/>
  <c r="K22" i="1"/>
  <c r="F29" i="5"/>
  <c r="H29" i="5"/>
  <c r="J29" i="5"/>
  <c r="K23" i="1"/>
  <c r="F30" i="5"/>
  <c r="H30" i="5"/>
  <c r="J30" i="5"/>
  <c r="F31" i="5"/>
  <c r="H31" i="5"/>
  <c r="J31" i="5"/>
  <c r="F32" i="5"/>
  <c r="H32" i="5"/>
  <c r="J32" i="5"/>
  <c r="F36" i="5"/>
  <c r="H36" i="5"/>
  <c r="J36" i="5"/>
  <c r="F37" i="5"/>
  <c r="H37" i="5"/>
  <c r="J37" i="5"/>
  <c r="F38" i="5"/>
  <c r="H38" i="5"/>
  <c r="J38" i="5"/>
  <c r="G27" i="4"/>
  <c r="H27" i="4" s="1"/>
  <c r="G28" i="4"/>
  <c r="H28" i="4" s="1"/>
  <c r="G29" i="4"/>
  <c r="G30" i="4"/>
  <c r="H30" i="4" s="1"/>
  <c r="G31" i="4"/>
  <c r="G37" i="4"/>
  <c r="G38" i="4"/>
  <c r="G9" i="4"/>
  <c r="H32" i="4"/>
  <c r="D10" i="4"/>
  <c r="D10" i="5" s="1"/>
  <c r="D11" i="4"/>
  <c r="D11" i="5" s="1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 s="1"/>
  <c r="D30" i="4"/>
  <c r="D30" i="5" s="1"/>
  <c r="D31" i="4"/>
  <c r="D31" i="5" s="1"/>
  <c r="D32" i="4"/>
  <c r="D32" i="5" s="1"/>
  <c r="D33" i="4"/>
  <c r="D37" i="4"/>
  <c r="D37" i="5" s="1"/>
  <c r="D38" i="4"/>
  <c r="D38" i="5" s="1"/>
  <c r="D9" i="4"/>
  <c r="D9" i="5" s="1"/>
  <c r="C39" i="3"/>
  <c r="C11" i="4"/>
  <c r="C11" i="5" s="1"/>
  <c r="C12" i="4"/>
  <c r="C12" i="5" s="1"/>
  <c r="C13" i="4"/>
  <c r="C13" i="5" s="1"/>
  <c r="C14" i="4"/>
  <c r="C14" i="5" s="1"/>
  <c r="C15" i="4"/>
  <c r="C15" i="5" s="1"/>
  <c r="C16" i="4"/>
  <c r="C16" i="5" s="1"/>
  <c r="C17" i="4"/>
  <c r="C17" i="5" s="1"/>
  <c r="C18" i="4"/>
  <c r="C18" i="5" s="1"/>
  <c r="C19" i="4"/>
  <c r="C19" i="5" s="1"/>
  <c r="C20" i="4"/>
  <c r="C20" i="5" s="1"/>
  <c r="C21" i="4"/>
  <c r="C21" i="5" s="1"/>
  <c r="C22" i="4"/>
  <c r="C22" i="5" s="1"/>
  <c r="C23" i="4"/>
  <c r="C23" i="5" s="1"/>
  <c r="C24" i="4"/>
  <c r="C24" i="5" s="1"/>
  <c r="C25" i="4"/>
  <c r="C25" i="5" s="1"/>
  <c r="C26" i="4"/>
  <c r="C26" i="5" s="1"/>
  <c r="C27" i="4"/>
  <c r="C27" i="5" s="1"/>
  <c r="C28" i="4"/>
  <c r="C28" i="5" s="1"/>
  <c r="C29" i="4"/>
  <c r="C29" i="5" s="1"/>
  <c r="C30" i="4"/>
  <c r="C30" i="5" s="1"/>
  <c r="C31" i="4"/>
  <c r="C31" i="5" s="1"/>
  <c r="C32" i="4"/>
  <c r="C32" i="5" s="1"/>
  <c r="C33" i="4"/>
  <c r="C37" i="4"/>
  <c r="C37" i="5" s="1"/>
  <c r="C38" i="4"/>
  <c r="C38" i="5" s="1"/>
  <c r="C9" i="4"/>
  <c r="I39" i="5"/>
  <c r="G39" i="5"/>
  <c r="I40" i="5" s="1"/>
  <c r="O39" i="3"/>
  <c r="F39" i="3"/>
  <c r="U8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39" i="3"/>
  <c r="C10" i="4"/>
  <c r="C10" i="5" s="1"/>
  <c r="I39" i="3" l="1"/>
  <c r="O40" i="3" s="1"/>
  <c r="M8" i="3"/>
  <c r="M14" i="3" s="1"/>
  <c r="J38" i="3"/>
  <c r="J12" i="3"/>
  <c r="E26" i="1"/>
  <c r="G23" i="4"/>
  <c r="G15" i="4"/>
  <c r="J20" i="3"/>
  <c r="G13" i="1"/>
  <c r="J15" i="3"/>
  <c r="J21" i="3"/>
  <c r="G14" i="1"/>
  <c r="J23" i="3"/>
  <c r="J26" i="3"/>
  <c r="G19" i="1"/>
  <c r="J18" i="3"/>
  <c r="G11" i="1"/>
  <c r="G37" i="2"/>
  <c r="K37" i="2" s="1"/>
  <c r="L37" i="2" s="1"/>
  <c r="M37" i="2" s="1"/>
  <c r="E31" i="1"/>
  <c r="E12" i="1"/>
  <c r="E5" i="1"/>
  <c r="E30" i="1"/>
  <c r="G31" i="2"/>
  <c r="K31" i="2" s="1"/>
  <c r="L31" i="2" s="1"/>
  <c r="E25" i="1"/>
  <c r="G30" i="2"/>
  <c r="K30" i="2" s="1"/>
  <c r="L30" i="2" s="1"/>
  <c r="E24" i="1"/>
  <c r="H38" i="4"/>
  <c r="H31" i="4"/>
  <c r="M26" i="3"/>
  <c r="M34" i="3"/>
  <c r="M35" i="3"/>
  <c r="M36" i="3"/>
  <c r="E13" i="1"/>
  <c r="M22" i="3"/>
  <c r="J13" i="3"/>
  <c r="J36" i="3"/>
  <c r="J35" i="3"/>
  <c r="J34" i="3"/>
  <c r="M38" i="3"/>
  <c r="H33" i="4"/>
  <c r="M16" i="3"/>
  <c r="E21" i="1"/>
  <c r="H29" i="4"/>
  <c r="M24" i="3"/>
  <c r="M37" i="3"/>
  <c r="M15" i="3"/>
  <c r="J11" i="3"/>
  <c r="E6" i="1"/>
  <c r="G21" i="4"/>
  <c r="J19" i="3"/>
  <c r="M28" i="3"/>
  <c r="G17" i="4"/>
  <c r="M23" i="3"/>
  <c r="J10" i="3"/>
  <c r="K36" i="5"/>
  <c r="L29" i="1" s="1"/>
  <c r="K27" i="5"/>
  <c r="L20" i="1" s="1"/>
  <c r="K21" i="5"/>
  <c r="L21" i="5" s="1"/>
  <c r="K15" i="5"/>
  <c r="L15" i="5" s="1"/>
  <c r="K9" i="5"/>
  <c r="L9" i="5" s="1"/>
  <c r="G25" i="4"/>
  <c r="G11" i="4"/>
  <c r="H11" i="4" s="1"/>
  <c r="G19" i="4"/>
  <c r="E9" i="1"/>
  <c r="K11" i="2"/>
  <c r="L11" i="2" s="1"/>
  <c r="M11" i="2" s="1"/>
  <c r="E18" i="1"/>
  <c r="E2" i="1"/>
  <c r="E17" i="1"/>
  <c r="K17" i="2"/>
  <c r="L17" i="2" s="1"/>
  <c r="M17" i="2" s="1"/>
  <c r="E10" i="1"/>
  <c r="K14" i="2"/>
  <c r="L14" i="2" s="1"/>
  <c r="M14" i="2" s="1"/>
  <c r="E19" i="1"/>
  <c r="E3" i="1"/>
  <c r="E8" i="1"/>
  <c r="G36" i="2"/>
  <c r="K36" i="2" s="1"/>
  <c r="L36" i="2" s="1"/>
  <c r="M36" i="2" s="1"/>
  <c r="D36" i="5"/>
  <c r="D33" i="5"/>
  <c r="C36" i="5"/>
  <c r="C33" i="5"/>
  <c r="G18" i="4"/>
  <c r="G22" i="4"/>
  <c r="G13" i="4"/>
  <c r="H13" i="4" s="1"/>
  <c r="J33" i="3"/>
  <c r="J29" i="3"/>
  <c r="K27" i="2"/>
  <c r="L27" i="2" s="1"/>
  <c r="M27" i="2" s="1"/>
  <c r="E7" i="1"/>
  <c r="K24" i="2"/>
  <c r="L24" i="2" s="1"/>
  <c r="M24" i="2" s="1"/>
  <c r="E15" i="1"/>
  <c r="K15" i="2"/>
  <c r="L15" i="2" s="1"/>
  <c r="M15" i="2" s="1"/>
  <c r="J9" i="2"/>
  <c r="K9" i="2" s="1"/>
  <c r="L9" i="2" s="1"/>
  <c r="G10" i="4"/>
  <c r="H10" i="4" s="1"/>
  <c r="G26" i="4"/>
  <c r="J30" i="3"/>
  <c r="M25" i="3"/>
  <c r="M20" i="3"/>
  <c r="K13" i="2"/>
  <c r="L13" i="2" s="1"/>
  <c r="M13" i="2" s="1"/>
  <c r="E11" i="1"/>
  <c r="J25" i="3"/>
  <c r="K8" i="2"/>
  <c r="L8" i="2" s="1"/>
  <c r="K16" i="2"/>
  <c r="L16" i="2" s="1"/>
  <c r="M16" i="2" s="1"/>
  <c r="K18" i="5"/>
  <c r="L11" i="1" s="1"/>
  <c r="K12" i="5"/>
  <c r="L12" i="5" s="1"/>
  <c r="K19" i="2"/>
  <c r="L19" i="2" s="1"/>
  <c r="K18" i="2"/>
  <c r="L18" i="2" s="1"/>
  <c r="M18" i="2" s="1"/>
  <c r="K12" i="2"/>
  <c r="L12" i="2" s="1"/>
  <c r="K10" i="2"/>
  <c r="L10" i="2" s="1"/>
  <c r="M10" i="2" s="1"/>
  <c r="K23" i="2"/>
  <c r="L23" i="2" s="1"/>
  <c r="M23" i="2" s="1"/>
  <c r="K38" i="5"/>
  <c r="K26" i="5"/>
  <c r="L19" i="1" s="1"/>
  <c r="K23" i="5"/>
  <c r="L16" i="1" s="1"/>
  <c r="K20" i="5"/>
  <c r="L20" i="5" s="1"/>
  <c r="K17" i="5"/>
  <c r="L10" i="1" s="1"/>
  <c r="K14" i="5"/>
  <c r="L14" i="5" s="1"/>
  <c r="K11" i="5"/>
  <c r="L11" i="5" s="1"/>
  <c r="M31" i="3"/>
  <c r="M11" i="3"/>
  <c r="M9" i="3"/>
  <c r="K29" i="2"/>
  <c r="L29" i="2" s="1"/>
  <c r="J31" i="3"/>
  <c r="E23" i="1"/>
  <c r="E4" i="1"/>
  <c r="M29" i="3"/>
  <c r="J24" i="3"/>
  <c r="M19" i="3"/>
  <c r="J16" i="3"/>
  <c r="J9" i="3"/>
  <c r="H9" i="4"/>
  <c r="K37" i="5"/>
  <c r="L30" i="1" s="1"/>
  <c r="K28" i="5"/>
  <c r="L21" i="1" s="1"/>
  <c r="K25" i="5"/>
  <c r="L25" i="5" s="1"/>
  <c r="K22" i="5"/>
  <c r="L22" i="5" s="1"/>
  <c r="K19" i="5"/>
  <c r="L12" i="1" s="1"/>
  <c r="K16" i="5"/>
  <c r="L16" i="5" s="1"/>
  <c r="K13" i="5"/>
  <c r="L6" i="1" s="1"/>
  <c r="K10" i="5"/>
  <c r="L3" i="1" s="1"/>
  <c r="J37" i="3"/>
  <c r="M27" i="3"/>
  <c r="J22" i="3"/>
  <c r="J14" i="3"/>
  <c r="I38" i="2"/>
  <c r="M32" i="3"/>
  <c r="J27" i="3"/>
  <c r="M12" i="3"/>
  <c r="P8" i="3"/>
  <c r="J32" i="3"/>
  <c r="M17" i="3"/>
  <c r="H37" i="4"/>
  <c r="M30" i="3"/>
  <c r="J17" i="3"/>
  <c r="M10" i="3"/>
  <c r="D39" i="4"/>
  <c r="C39" i="4"/>
  <c r="M33" i="3"/>
  <c r="J28" i="3"/>
  <c r="M21" i="3"/>
  <c r="M18" i="3"/>
  <c r="M13" i="3"/>
  <c r="G32" i="2"/>
  <c r="K32" i="2" s="1"/>
  <c r="L32" i="2" s="1"/>
  <c r="M32" i="2" s="1"/>
  <c r="G14" i="4"/>
  <c r="K32" i="5"/>
  <c r="L25" i="1" s="1"/>
  <c r="K30" i="5"/>
  <c r="L30" i="5" s="1"/>
  <c r="L8" i="1"/>
  <c r="K31" i="5"/>
  <c r="L24" i="1" s="1"/>
  <c r="K29" i="5"/>
  <c r="L29" i="5" s="1"/>
  <c r="K24" i="5"/>
  <c r="L24" i="5" s="1"/>
  <c r="D12" i="5"/>
  <c r="C9" i="5"/>
  <c r="J39" i="5"/>
  <c r="F39" i="4"/>
  <c r="G24" i="4"/>
  <c r="G20" i="4"/>
  <c r="G16" i="4"/>
  <c r="G12" i="4"/>
  <c r="K26" i="2"/>
  <c r="L26" i="2" s="1"/>
  <c r="M26" i="2" s="1"/>
  <c r="K28" i="2"/>
  <c r="L28" i="2" s="1"/>
  <c r="M28" i="2" s="1"/>
  <c r="K20" i="2"/>
  <c r="L20" i="2" s="1"/>
  <c r="M20" i="2" s="1"/>
  <c r="J25" i="2"/>
  <c r="K25" i="2" s="1"/>
  <c r="L25" i="2" s="1"/>
  <c r="M25" i="2" s="1"/>
  <c r="J21" i="2"/>
  <c r="K21" i="2" s="1"/>
  <c r="L21" i="2" s="1"/>
  <c r="E20" i="1"/>
  <c r="K22" i="2"/>
  <c r="L22" i="2" s="1"/>
  <c r="E16" i="1"/>
  <c r="F38" i="2"/>
  <c r="E22" i="1"/>
  <c r="E14" i="1"/>
  <c r="F2" i="1" l="1"/>
  <c r="L2" i="1"/>
  <c r="F9" i="1"/>
  <c r="L14" i="1"/>
  <c r="L17" i="5"/>
  <c r="L27" i="5"/>
  <c r="F13" i="1"/>
  <c r="F8" i="1"/>
  <c r="F18" i="1"/>
  <c r="F5" i="1"/>
  <c r="L38" i="5"/>
  <c r="L31" i="1"/>
  <c r="L15" i="1"/>
  <c r="L19" i="5"/>
  <c r="H15" i="4"/>
  <c r="C39" i="5"/>
  <c r="H18" i="4"/>
  <c r="H23" i="4"/>
  <c r="F26" i="1"/>
  <c r="M8" i="2"/>
  <c r="F25" i="1"/>
  <c r="D39" i="5"/>
  <c r="F30" i="1"/>
  <c r="M19" i="2"/>
  <c r="F24" i="1"/>
  <c r="F31" i="1"/>
  <c r="P36" i="3"/>
  <c r="P34" i="3"/>
  <c r="Q34" i="3" s="1"/>
  <c r="P35" i="3"/>
  <c r="H21" i="4"/>
  <c r="Q35" i="3"/>
  <c r="M31" i="2"/>
  <c r="L7" i="1"/>
  <c r="Q36" i="3"/>
  <c r="F6" i="1"/>
  <c r="F17" i="1"/>
  <c r="L13" i="1"/>
  <c r="F4" i="1"/>
  <c r="H17" i="4"/>
  <c r="L10" i="5"/>
  <c r="L36" i="5"/>
  <c r="L37" i="5"/>
  <c r="L9" i="1"/>
  <c r="L13" i="5"/>
  <c r="L5" i="1"/>
  <c r="L18" i="1"/>
  <c r="L4" i="1"/>
  <c r="H19" i="4"/>
  <c r="H25" i="4"/>
  <c r="F3" i="1"/>
  <c r="M9" i="2"/>
  <c r="I40" i="2"/>
  <c r="F11" i="1"/>
  <c r="M12" i="2"/>
  <c r="F21" i="1"/>
  <c r="H22" i="4"/>
  <c r="F23" i="1"/>
  <c r="H26" i="4"/>
  <c r="M30" i="2"/>
  <c r="F20" i="1"/>
  <c r="L18" i="5"/>
  <c r="F12" i="1"/>
  <c r="F7" i="1"/>
  <c r="F10" i="1"/>
  <c r="F22" i="1"/>
  <c r="L28" i="5"/>
  <c r="L17" i="1"/>
  <c r="M29" i="2"/>
  <c r="L23" i="1"/>
  <c r="L22" i="1"/>
  <c r="L26" i="5"/>
  <c r="H14" i="4"/>
  <c r="P16" i="3"/>
  <c r="Q16" i="3" s="1"/>
  <c r="P24" i="3"/>
  <c r="Q24" i="3" s="1"/>
  <c r="P11" i="3"/>
  <c r="Q11" i="3" s="1"/>
  <c r="P31" i="3"/>
  <c r="Q31" i="3" s="1"/>
  <c r="H24" i="1" s="1"/>
  <c r="P26" i="3"/>
  <c r="Q26" i="3" s="1"/>
  <c r="P13" i="3"/>
  <c r="Q13" i="3" s="1"/>
  <c r="P18" i="3"/>
  <c r="Q18" i="3" s="1"/>
  <c r="P21" i="3"/>
  <c r="Q21" i="3" s="1"/>
  <c r="P33" i="3"/>
  <c r="Q33" i="3" s="1"/>
  <c r="H26" i="1" s="1"/>
  <c r="P28" i="3"/>
  <c r="Q28" i="3" s="1"/>
  <c r="P15" i="3"/>
  <c r="Q15" i="3" s="1"/>
  <c r="P23" i="3"/>
  <c r="Q23" i="3" s="1"/>
  <c r="P38" i="3"/>
  <c r="Q38" i="3" s="1"/>
  <c r="H31" i="1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H25" i="1" s="1"/>
  <c r="P12" i="3"/>
  <c r="Q12" i="3" s="1"/>
  <c r="P27" i="3"/>
  <c r="Q27" i="3" s="1"/>
  <c r="P14" i="3"/>
  <c r="Q14" i="3" s="1"/>
  <c r="P22" i="3"/>
  <c r="Q22" i="3" s="1"/>
  <c r="P37" i="3"/>
  <c r="Q37" i="3" s="1"/>
  <c r="H30" i="1" s="1"/>
  <c r="P19" i="3"/>
  <c r="Q19" i="3" s="1"/>
  <c r="P29" i="3"/>
  <c r="Q29" i="3" s="1"/>
  <c r="F16" i="1"/>
  <c r="L23" i="5"/>
  <c r="F14" i="1"/>
  <c r="L31" i="5"/>
  <c r="L32" i="5"/>
  <c r="H20" i="4"/>
  <c r="J13" i="1"/>
  <c r="J5" i="1"/>
  <c r="H12" i="4"/>
  <c r="H24" i="4"/>
  <c r="H16" i="4"/>
  <c r="L38" i="2"/>
  <c r="M21" i="2"/>
  <c r="F15" i="1"/>
  <c r="M22" i="2"/>
  <c r="F19" i="1"/>
  <c r="R35" i="3" l="1"/>
  <c r="H28" i="1"/>
  <c r="R34" i="3"/>
  <c r="H27" i="1"/>
  <c r="R36" i="3"/>
  <c r="H29" i="1"/>
  <c r="M38" i="2"/>
  <c r="H6" i="1"/>
  <c r="R13" i="3"/>
  <c r="R33" i="3"/>
  <c r="R30" i="3"/>
  <c r="H23" i="1"/>
  <c r="H7" i="1"/>
  <c r="R14" i="3"/>
  <c r="R27" i="3"/>
  <c r="H20" i="1"/>
  <c r="R28" i="3"/>
  <c r="H21" i="1"/>
  <c r="H5" i="1"/>
  <c r="R12" i="3"/>
  <c r="R32" i="3"/>
  <c r="H10" i="1"/>
  <c r="R17" i="3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R38" i="3"/>
  <c r="H9" i="1"/>
  <c r="R16" i="3"/>
  <c r="R37" i="3"/>
  <c r="R31" i="3"/>
  <c r="R18" i="3"/>
  <c r="H11" i="1"/>
  <c r="H2" i="1"/>
  <c r="R9" i="3"/>
  <c r="H12" i="1"/>
  <c r="R19" i="3"/>
  <c r="H4" i="1"/>
  <c r="R11" i="3"/>
  <c r="L39" i="5"/>
  <c r="H16" i="1"/>
  <c r="R23" i="3"/>
  <c r="H39" i="4"/>
  <c r="R39" i="3" l="1"/>
</calcChain>
</file>

<file path=xl/sharedStrings.xml><?xml version="1.0" encoding="utf-8"?>
<sst xmlns="http://schemas.openxmlformats.org/spreadsheetml/2006/main" count="115" uniqueCount="61">
  <si>
    <t>Site Name</t>
  </si>
  <si>
    <t>Day</t>
  </si>
  <si>
    <t>Month</t>
  </si>
  <si>
    <t>Year</t>
  </si>
  <si>
    <t>Total Electricity KWh</t>
  </si>
  <si>
    <t>Electricity Tariff (IDR/KWh)</t>
  </si>
  <si>
    <t xml:space="preserve">LPG (Kgs) </t>
  </si>
  <si>
    <t>LPG IDR/Kgs</t>
  </si>
  <si>
    <t>Total Fuel Oil (Liters)</t>
  </si>
  <si>
    <t>Fuel Oil IDR/Liters</t>
  </si>
  <si>
    <t>Water Utility Supply (m3) m3</t>
  </si>
  <si>
    <t>Water Utility Supply (m3) IDR/m3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</si>
  <si>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</si>
  <si>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</si>
  <si>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</si>
  <si>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</si>
  <si>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</si>
  <si>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</si>
  <si>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</si>
  <si>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</si>
  <si>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</si>
  <si>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</si>
  <si>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</si>
  <si>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</si>
  <si>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</si>
  <si>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</si>
  <si>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</si>
  <si>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</si>
  <si>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</si>
  <si>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</si>
  <si>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</si>
  <si>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</si>
  <si>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</si>
  <si>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</si>
  <si>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</si>
  <si>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</si>
  <si>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</si>
  <si>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</si>
  <si>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</si>
  <si>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</si>
  <si>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</si>
  <si>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</si>
  <si>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</si>
  <si>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Re open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</si>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</sst>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1"/>
      <color theme="1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indexed="8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7" fillId="0" borderId="1" xfId="1" applyFont="1" applyFill="1" applyBorder="1" applyAlignment="1">
      <alignment horizontal="center" shrinkToFit="1"/>
    </xf>
    <xf numFmtId="167" fontId="7" fillId="0" borderId="1" xfId="1" applyNumberFormat="1" applyFont="1" applyFill="1" applyBorder="1" applyAlignment="1">
      <alignment horizontal="center" shrinkToFit="1"/>
    </xf>
    <xf numFmtId="166" fontId="6" fillId="0" borderId="1" xfId="1" applyFont="1" applyFill="1" applyBorder="1" applyAlignment="1">
      <alignment horizontal="center" shrinkToFit="1"/>
    </xf>
    <xf numFmtId="166" fontId="6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5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5" fillId="0" borderId="0" xfId="2" applyNumberFormat="1" applyFont="1" applyFill="1" applyBorder="1" applyAlignment="1">
      <alignment shrinkToFit="1"/>
    </xf>
    <xf numFmtId="168" fontId="8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7" fillId="0" borderId="0" xfId="0" applyFont="1" applyAlignment="1">
      <alignment horizontal="center" shrinkToFit="1"/>
    </xf>
    <xf numFmtId="166" fontId="6" fillId="0" borderId="0" xfId="1" applyFont="1" applyFill="1" applyBorder="1" applyAlignment="1">
      <alignment horizontal="center" shrinkToFit="1"/>
    </xf>
    <xf numFmtId="167" fontId="6" fillId="0" borderId="0" xfId="1" applyNumberFormat="1" applyFont="1" applyFill="1" applyBorder="1" applyAlignment="1">
      <alignment horizontal="center" shrinkToFit="1"/>
    </xf>
    <xf numFmtId="166" fontId="6" fillId="0" borderId="0" xfId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shrinkToFit="1"/>
    </xf>
    <xf numFmtId="167" fontId="6" fillId="0" borderId="1" xfId="1" applyNumberFormat="1" applyFont="1" applyFill="1" applyBorder="1" applyAlignment="1">
      <alignment horizontal="center" shrinkToFit="1"/>
    </xf>
    <xf numFmtId="43" fontId="7" fillId="0" borderId="1" xfId="1" applyNumberFormat="1" applyFont="1" applyFill="1" applyBorder="1" applyAlignment="1">
      <alignment horizontal="center" shrinkToFit="1"/>
    </xf>
    <xf numFmtId="164" fontId="7" fillId="0" borderId="1" xfId="2" applyFont="1" applyFill="1" applyBorder="1" applyAlignment="1">
      <alignment horizontal="center" vertical="center" shrinkToFit="1"/>
    </xf>
    <xf numFmtId="44" fontId="7" fillId="0" borderId="1" xfId="1" applyNumberFormat="1" applyFont="1" applyFill="1" applyBorder="1" applyAlignment="1">
      <alignment horizontal="center" shrinkToFit="1"/>
    </xf>
    <xf numFmtId="164" fontId="5" fillId="0" borderId="0" xfId="2" applyFont="1" applyFill="1" applyBorder="1" applyAlignment="1">
      <alignment horizontal="center" shrinkToFit="1"/>
    </xf>
    <xf numFmtId="2" fontId="7" fillId="0" borderId="0" xfId="0" applyNumberFormat="1" applyFont="1" applyAlignment="1">
      <alignment horizontal="center" shrinkToFit="1"/>
    </xf>
    <xf numFmtId="166" fontId="7" fillId="0" borderId="0" xfId="1" applyFont="1" applyFill="1" applyBorder="1" applyAlignment="1">
      <alignment horizontal="center" shrinkToFit="1"/>
    </xf>
    <xf numFmtId="167" fontId="7" fillId="0" borderId="0" xfId="1" applyNumberFormat="1" applyFont="1" applyFill="1" applyBorder="1" applyAlignment="1">
      <alignment horizontal="center" shrinkToFit="1"/>
    </xf>
    <xf numFmtId="0" fontId="3" fillId="0" borderId="0" xfId="0" applyFont="1"/>
    <xf numFmtId="4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67" fontId="3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 shrinkToFit="1"/>
    </xf>
    <xf numFmtId="166" fontId="3" fillId="2" borderId="0" xfId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5" fillId="4" borderId="1" xfId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0" fillId="0" borderId="1" xfId="0" applyBorder="1"/>
    <xf numFmtId="0" fontId="9" fillId="0" borderId="1" xfId="0" applyFont="1" applyBorder="1"/>
    <xf numFmtId="166" fontId="9" fillId="0" borderId="1" xfId="1" applyFont="1" applyBorder="1"/>
    <xf numFmtId="0" fontId="10" fillId="0" borderId="1" xfId="0" applyFont="1" applyBorder="1"/>
    <xf numFmtId="171" fontId="5" fillId="0" borderId="0" xfId="2" applyNumberFormat="1" applyFont="1" applyFill="1" applyBorder="1" applyAlignment="1">
      <alignment shrinkToFit="1"/>
    </xf>
    <xf numFmtId="166" fontId="5" fillId="0" borderId="0" xfId="1" applyFont="1" applyFill="1" applyBorder="1" applyAlignment="1">
      <alignment shrinkToFit="1"/>
    </xf>
    <xf numFmtId="166" fontId="3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5" fillId="0" borderId="0" xfId="1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170" fontId="7" fillId="3" borderId="1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 shrinkToFit="1"/>
    </xf>
    <xf numFmtId="7" fontId="7" fillId="0" borderId="1" xfId="1" applyNumberFormat="1" applyFont="1" applyFill="1" applyBorder="1" applyAlignment="1">
      <alignment horizontal="center" shrinkToFit="1"/>
    </xf>
    <xf numFmtId="171" fontId="4" fillId="0" borderId="0" xfId="2" applyNumberFormat="1" applyFont="1" applyFill="1" applyBorder="1" applyAlignment="1">
      <alignment shrinkToFi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2" fillId="0" borderId="0" xfId="1" applyNumberFormat="1" applyFont="1" applyFill="1" applyBorder="1" applyAlignment="1">
      <alignment horizontal="center" shrinkToFit="1"/>
    </xf>
    <xf numFmtId="44" fontId="4" fillId="0" borderId="0" xfId="2" applyNumberFormat="1" applyFont="1" applyFill="1" applyBorder="1" applyAlignment="1">
      <alignment shrinkToFit="1"/>
    </xf>
    <xf numFmtId="164" fontId="4" fillId="0" borderId="0" xfId="2" applyFont="1" applyFill="1" applyBorder="1" applyAlignment="1">
      <alignment shrinkToFi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0" xfId="0" applyFont="1"/>
    <xf numFmtId="0" fontId="1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4" fillId="0" borderId="0" xfId="0" applyFont="1"/>
    <xf numFmtId="1" fontId="17" fillId="0" borderId="0" xfId="0" applyNumberFormat="1" applyFont="1"/>
    <xf numFmtId="1" fontId="14" fillId="0" borderId="0" xfId="0" applyNumberFormat="1" applyFont="1"/>
    <xf numFmtId="1" fontId="19" fillId="0" borderId="0" xfId="0" applyNumberFormat="1" applyFont="1"/>
    <xf numFmtId="0" fontId="14" fillId="0" borderId="0" xfId="1" applyNumberFormat="1" applyFont="1"/>
    <xf numFmtId="0" fontId="19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7" fontId="4" fillId="2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7" fontId="4" fillId="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6" fontId="5" fillId="4" borderId="1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pane xSplit="1" ySplit="1" topLeftCell="B17" activePane="bottomRight" state="frozen"/>
      <selection pane="bottomRight" activeCell="G12" sqref="G12"/>
      <selection pane="bottomLeft" activeCell="A2" sqref="A2"/>
      <selection pane="topRight" activeCell="B1" sqref="B1"/>
    </sheetView>
  </sheetViews>
  <sheetFormatPr defaultRowHeight="15"/>
  <cols>
    <col min="1" max="1" width="12.7109375" style="88" bestFit="1" customWidth="1"/>
    <col min="2" max="2" width="6.7109375" style="88" customWidth="1"/>
    <col min="3" max="3" width="7" style="95" bestFit="1" customWidth="1"/>
    <col min="4" max="4" width="8.5703125" style="88" customWidth="1"/>
    <col min="5" max="5" width="10.7109375" style="88" customWidth="1"/>
    <col min="6" max="6" width="12.140625" style="95" customWidth="1"/>
    <col min="7" max="7" width="8.42578125" style="100" bestFit="1" customWidth="1"/>
    <col min="8" max="8" width="11.5703125" style="95" bestFit="1" customWidth="1"/>
    <col min="9" max="9" width="9.140625" style="100"/>
    <col min="10" max="10" width="9.140625" style="95"/>
    <col min="11" max="11" width="10.85546875" style="100" customWidth="1"/>
    <col min="12" max="12" width="11.28515625" style="95" customWidth="1"/>
    <col min="13" max="13" width="6.7109375" style="100" bestFit="1" customWidth="1"/>
    <col min="14" max="14" width="7" style="88" bestFit="1" customWidth="1"/>
    <col min="15" max="16384" width="9.140625" style="88"/>
  </cols>
  <sheetData>
    <row r="1" spans="1:14" ht="76.5">
      <c r="A1" s="82" t="s">
        <v>0</v>
      </c>
      <c r="B1" s="82" t="s">
        <v>1</v>
      </c>
      <c r="C1" s="83" t="s">
        <v>2</v>
      </c>
      <c r="D1" s="82" t="s">
        <v>3</v>
      </c>
      <c r="E1" s="84" t="s">
        <v>4</v>
      </c>
      <c r="F1" s="85" t="s">
        <v>5</v>
      </c>
      <c r="G1" s="86" t="s">
        <v>6</v>
      </c>
      <c r="H1" s="85" t="s">
        <v>7</v>
      </c>
      <c r="I1" s="86" t="s">
        <v>8</v>
      </c>
      <c r="J1" s="85" t="s">
        <v>9</v>
      </c>
      <c r="K1" s="86" t="s">
        <v>10</v>
      </c>
      <c r="L1" s="87" t="s">
        <v>11</v>
      </c>
      <c r="M1" s="86" t="s">
        <v>12</v>
      </c>
      <c r="N1" s="84" t="s">
        <v>13</v>
      </c>
    </row>
    <row r="2" spans="1:14">
      <c r="A2" s="89" t="s">
        <v>14</v>
      </c>
      <c r="B2" s="90">
        <v>1</v>
      </c>
      <c r="C2" s="91">
        <v>4</v>
      </c>
      <c r="D2" s="90">
        <v>2022</v>
      </c>
      <c r="E2" s="92">
        <f>Electricity!F8+Electricity!I8</f>
        <v>7779.9999999999727</v>
      </c>
      <c r="F2" s="93">
        <f>Electricity!L8/TOTAL!E2</f>
        <v>1232.7507712082245</v>
      </c>
      <c r="G2" s="94">
        <f>Gas!F9+Gas!I9+Gas!L9+Gas!O9</f>
        <v>59.101199999998528</v>
      </c>
      <c r="H2" s="93">
        <f>Gas!Q9/TOTAL!G2</f>
        <v>15840</v>
      </c>
      <c r="I2" s="94">
        <f>'Fuel Diesel'!F9</f>
        <v>0</v>
      </c>
      <c r="J2" s="91">
        <v>0</v>
      </c>
      <c r="K2" s="94">
        <f>Water!E9+Water!G9+Water!I9</f>
        <v>121</v>
      </c>
      <c r="L2" s="93">
        <f>Water!K9/TOTAL!K2</f>
        <v>4000</v>
      </c>
      <c r="M2" s="94">
        <v>5</v>
      </c>
      <c r="N2" s="92">
        <v>38</v>
      </c>
    </row>
    <row r="3" spans="1:14">
      <c r="A3" s="89" t="s">
        <v>14</v>
      </c>
      <c r="B3" s="90">
        <f>B2+1</f>
        <v>2</v>
      </c>
      <c r="C3" s="91">
        <v>4</v>
      </c>
      <c r="D3" s="90">
        <v>2022</v>
      </c>
      <c r="E3" s="92">
        <f>Electricity!F9+Electricity!I9</f>
        <v>7479.9999999997908</v>
      </c>
      <c r="F3" s="93">
        <f>Electricity!L9/TOTAL!E3</f>
        <v>1230.4176470588297</v>
      </c>
      <c r="G3" s="94">
        <f>Gas!F10+Gas!I10+Gas!L10+Gas!O10</f>
        <v>48.265880000003804</v>
      </c>
      <c r="H3" s="93">
        <f>Gas!Q10/TOTAL!G3</f>
        <v>15839.999999999998</v>
      </c>
      <c r="I3" s="94">
        <f>'Fuel Diesel'!F10</f>
        <v>0</v>
      </c>
      <c r="J3" s="91">
        <v>0</v>
      </c>
      <c r="K3" s="94">
        <f>Water!E10+Water!G10+Water!I10</f>
        <v>100</v>
      </c>
      <c r="L3" s="93">
        <f>Water!K10/TOTAL!K3</f>
        <v>4000</v>
      </c>
      <c r="M3" s="94">
        <v>4</v>
      </c>
      <c r="N3" s="92">
        <v>24</v>
      </c>
    </row>
    <row r="4" spans="1:14">
      <c r="A4" s="89" t="s">
        <v>14</v>
      </c>
      <c r="B4" s="90">
        <f t="shared" ref="B4:B31" si="0">B3+1</f>
        <v>3</v>
      </c>
      <c r="C4" s="91">
        <v>4</v>
      </c>
      <c r="D4" s="90">
        <v>2022</v>
      </c>
      <c r="E4" s="92">
        <f>Electricity!F10+Electricity!I10</f>
        <v>7060.0000000000591</v>
      </c>
      <c r="F4" s="93">
        <f>Electricity!L10/TOTAL!E4</f>
        <v>1229.3995750708214</v>
      </c>
      <c r="G4" s="94">
        <f>Gas!F11+Gas!I11+Gas!L11+Gas!O11</f>
        <v>49.474280000000874</v>
      </c>
      <c r="H4" s="93">
        <f>Gas!Q11/TOTAL!G4</f>
        <v>15840</v>
      </c>
      <c r="I4" s="94">
        <f>'Fuel Diesel'!F11</f>
        <v>0</v>
      </c>
      <c r="J4" s="91">
        <v>0</v>
      </c>
      <c r="K4" s="94">
        <f>Water!E11+Water!G11+Water!I11</f>
        <v>103</v>
      </c>
      <c r="L4" s="93">
        <f>Water!K11/TOTAL!K4</f>
        <v>4000</v>
      </c>
      <c r="M4" s="94">
        <v>3</v>
      </c>
      <c r="N4" s="92">
        <v>50</v>
      </c>
    </row>
    <row r="5" spans="1:14">
      <c r="A5" s="89" t="s">
        <v>14</v>
      </c>
      <c r="B5" s="90">
        <f t="shared" si="0"/>
        <v>4</v>
      </c>
      <c r="C5" s="91">
        <v>4</v>
      </c>
      <c r="D5" s="90">
        <v>2022</v>
      </c>
      <c r="E5" s="92">
        <f>Electricity!F11+Electricity!I11</f>
        <v>7420.0000000003001</v>
      </c>
      <c r="F5" s="93">
        <f>Electricity!L11/TOTAL!E5</f>
        <v>1231.1564690026953</v>
      </c>
      <c r="G5" s="94">
        <f>Gas!F12+Gas!I12+Gas!L12+Gas!O12</f>
        <v>46.493560000001757</v>
      </c>
      <c r="H5" s="93">
        <f>Gas!Q12/TOTAL!G5</f>
        <v>15840</v>
      </c>
      <c r="I5" s="94">
        <f>'Fuel Diesel'!F12</f>
        <v>24</v>
      </c>
      <c r="J5" s="91">
        <f>'Fuel Diesel'!G12/'Fuel Diesel'!F12</f>
        <v>10700</v>
      </c>
      <c r="K5" s="94">
        <f>Water!E12+Water!G12+Water!I12</f>
        <v>128</v>
      </c>
      <c r="L5" s="93">
        <f>Water!K12/TOTAL!K5</f>
        <v>4000</v>
      </c>
      <c r="M5" s="94">
        <v>5</v>
      </c>
      <c r="N5" s="92">
        <v>32</v>
      </c>
    </row>
    <row r="6" spans="1:14">
      <c r="A6" s="89" t="s">
        <v>14</v>
      </c>
      <c r="B6" s="90">
        <f t="shared" si="0"/>
        <v>5</v>
      </c>
      <c r="C6" s="91">
        <v>4</v>
      </c>
      <c r="D6" s="90">
        <v>2022</v>
      </c>
      <c r="E6" s="92">
        <f>Electricity!F12+Electricity!I12</f>
        <v>7700.0000000000455</v>
      </c>
      <c r="F6" s="93">
        <f>Electricity!L12/TOTAL!E6</f>
        <v>1232.244999999999</v>
      </c>
      <c r="G6" s="94">
        <f>Gas!F13+Gas!I13+Gas!L13+Gas!O13</f>
        <v>48.91035999999589</v>
      </c>
      <c r="H6" s="93">
        <f>Gas!Q13/TOTAL!G6</f>
        <v>15840</v>
      </c>
      <c r="I6" s="94">
        <f>'Fuel Diesel'!F13</f>
        <v>0</v>
      </c>
      <c r="J6" s="91">
        <v>0</v>
      </c>
      <c r="K6" s="94">
        <f>Water!E13+Water!G13+Water!I13</f>
        <v>144</v>
      </c>
      <c r="L6" s="93">
        <f>Water!K13/TOTAL!K6</f>
        <v>4000</v>
      </c>
      <c r="M6" s="94">
        <v>6</v>
      </c>
      <c r="N6" s="92">
        <v>35</v>
      </c>
    </row>
    <row r="7" spans="1:14">
      <c r="A7" s="89" t="s">
        <v>14</v>
      </c>
      <c r="B7" s="90">
        <f t="shared" si="0"/>
        <v>6</v>
      </c>
      <c r="C7" s="91">
        <v>4</v>
      </c>
      <c r="D7" s="90">
        <v>2022</v>
      </c>
      <c r="E7" s="92">
        <f>Electricity!F13+Electricity!I13</f>
        <v>7999.9999999997726</v>
      </c>
      <c r="F7" s="93">
        <f>Electricity!L13/TOTAL!E7</f>
        <v>1230.1740000000007</v>
      </c>
      <c r="G7" s="94">
        <f>Gas!F14+Gas!I14+Gas!L14+Gas!O14</f>
        <v>47.057479999999408</v>
      </c>
      <c r="H7" s="93">
        <f>Gas!Q14/TOTAL!G7</f>
        <v>15840</v>
      </c>
      <c r="I7" s="94">
        <f>'Fuel Diesel'!F14</f>
        <v>0</v>
      </c>
      <c r="J7" s="91">
        <v>0</v>
      </c>
      <c r="K7" s="94">
        <f>Water!E14+Water!G14+Water!I14</f>
        <v>120</v>
      </c>
      <c r="L7" s="93">
        <f>Water!K14/TOTAL!K7</f>
        <v>4000</v>
      </c>
      <c r="M7" s="94">
        <v>9</v>
      </c>
      <c r="N7" s="92">
        <v>30</v>
      </c>
    </row>
    <row r="8" spans="1:14">
      <c r="A8" s="89" t="s">
        <v>14</v>
      </c>
      <c r="B8" s="90">
        <f t="shared" si="0"/>
        <v>7</v>
      </c>
      <c r="C8" s="91">
        <v>4</v>
      </c>
      <c r="D8" s="90">
        <v>2022</v>
      </c>
      <c r="E8" s="92">
        <f>Electricity!F14+Electricity!I14</f>
        <v>7339.9999999999181</v>
      </c>
      <c r="F8" s="93">
        <f>Electricity!L14/TOTAL!E8</f>
        <v>1236.8158719346054</v>
      </c>
      <c r="G8" s="94">
        <f>Gas!F15+Gas!I15+Gas!L15+Gas!O15</f>
        <v>59.181760000000288</v>
      </c>
      <c r="H8" s="93">
        <f>Gas!Q15/TOTAL!G8</f>
        <v>15840</v>
      </c>
      <c r="I8" s="94">
        <f>'Fuel Diesel'!F15</f>
        <v>0</v>
      </c>
      <c r="J8" s="91">
        <v>0</v>
      </c>
      <c r="K8" s="94">
        <f>Water!E15+Water!G15+Water!I15</f>
        <v>125</v>
      </c>
      <c r="L8" s="93">
        <f>Water!K15/TOTAL!K8</f>
        <v>4000</v>
      </c>
      <c r="M8" s="94">
        <v>6</v>
      </c>
      <c r="N8" s="92">
        <v>30</v>
      </c>
    </row>
    <row r="9" spans="1:14">
      <c r="A9" s="89" t="s">
        <v>14</v>
      </c>
      <c r="B9" s="90">
        <f t="shared" si="0"/>
        <v>8</v>
      </c>
      <c r="C9" s="91">
        <v>4</v>
      </c>
      <c r="D9" s="90">
        <v>2022</v>
      </c>
      <c r="E9" s="92">
        <f>Electricity!F15+Electricity!I15</f>
        <v>7100.0000000000227</v>
      </c>
      <c r="F9" s="93">
        <f>Electricity!L15/TOTAL!E9</f>
        <v>1227.2862676056354</v>
      </c>
      <c r="G9" s="94">
        <f>Gas!F16+Gas!I16+Gas!L16+Gas!O16</f>
        <v>52.334160000004687</v>
      </c>
      <c r="H9" s="93">
        <f>Gas!Q16/TOTAL!G9</f>
        <v>15840</v>
      </c>
      <c r="I9" s="94">
        <f>'Fuel Diesel'!F16</f>
        <v>0</v>
      </c>
      <c r="J9" s="91">
        <v>0</v>
      </c>
      <c r="K9" s="94">
        <f>Water!E16+Water!G16+Water!I16</f>
        <v>133</v>
      </c>
      <c r="L9" s="93">
        <f>Water!K16/TOTAL!K9</f>
        <v>4000</v>
      </c>
      <c r="M9" s="94">
        <v>4</v>
      </c>
      <c r="N9" s="92">
        <v>33</v>
      </c>
    </row>
    <row r="10" spans="1:14">
      <c r="A10" s="89" t="s">
        <v>14</v>
      </c>
      <c r="B10" s="90">
        <f t="shared" si="0"/>
        <v>9</v>
      </c>
      <c r="C10" s="91">
        <v>4</v>
      </c>
      <c r="D10" s="90">
        <v>2022</v>
      </c>
      <c r="E10" s="92">
        <f>Electricity!F16+Electricity!I16</f>
        <v>6920.0000000001864</v>
      </c>
      <c r="F10" s="93">
        <f>Electricity!L16/TOTAL!E10</f>
        <v>1232.8734826589559</v>
      </c>
      <c r="G10" s="94">
        <f>Gas!F17+Gas!I17+Gas!L17+Gas!O17</f>
        <v>52.857799999994135</v>
      </c>
      <c r="H10" s="93">
        <f>Gas!Q17/TOTAL!G10</f>
        <v>15840</v>
      </c>
      <c r="I10" s="94">
        <f>'Fuel Diesel'!F17</f>
        <v>0</v>
      </c>
      <c r="J10" s="91">
        <v>0</v>
      </c>
      <c r="K10" s="94">
        <f>Water!E17+Water!G17+Water!I17</f>
        <v>145</v>
      </c>
      <c r="L10" s="93">
        <f>Water!K17/TOTAL!K10</f>
        <v>4000</v>
      </c>
      <c r="M10" s="94">
        <v>7</v>
      </c>
      <c r="N10" s="92">
        <v>34</v>
      </c>
    </row>
    <row r="11" spans="1:14">
      <c r="A11" s="89" t="s">
        <v>14</v>
      </c>
      <c r="B11" s="90">
        <f t="shared" si="0"/>
        <v>10</v>
      </c>
      <c r="C11" s="91">
        <v>4</v>
      </c>
      <c r="D11" s="90">
        <v>2022</v>
      </c>
      <c r="E11" s="92">
        <f>Electricity!F17+Electricity!I17</f>
        <v>7199.9999999999318</v>
      </c>
      <c r="F11" s="93">
        <f>Electricity!L17/TOTAL!E11</f>
        <v>1232.3888194444414</v>
      </c>
      <c r="G11" s="94">
        <f>Gas!F18+Gas!I18+Gas!L18+Gas!O18</f>
        <v>51.447999999999993</v>
      </c>
      <c r="H11" s="93">
        <f>Gas!Q18/TOTAL!G11</f>
        <v>15839.999999999998</v>
      </c>
      <c r="I11" s="94">
        <f>'Fuel Diesel'!F18</f>
        <v>0</v>
      </c>
      <c r="J11" s="91">
        <v>0</v>
      </c>
      <c r="K11" s="94">
        <f>Water!E18+Water!G18+Water!I18</f>
        <v>148</v>
      </c>
      <c r="L11" s="93">
        <f>Water!K18/TOTAL!K11</f>
        <v>4000</v>
      </c>
      <c r="M11" s="94">
        <v>9</v>
      </c>
      <c r="N11" s="92">
        <v>55</v>
      </c>
    </row>
    <row r="12" spans="1:14">
      <c r="A12" s="89" t="s">
        <v>14</v>
      </c>
      <c r="B12" s="90">
        <f t="shared" si="0"/>
        <v>11</v>
      </c>
      <c r="C12" s="91">
        <v>4</v>
      </c>
      <c r="D12" s="90">
        <v>2022</v>
      </c>
      <c r="E12" s="92">
        <f>Electricity!F18+Electricity!I18</f>
        <v>7579.9999999998136</v>
      </c>
      <c r="F12" s="93">
        <f>Electricity!L18/TOTAL!E12</f>
        <v>1235.2230870712488</v>
      </c>
      <c r="G12" s="94">
        <f>Gas!F19+Gas!I19+Gas!L19+Gas!O19</f>
        <v>55.637120000003513</v>
      </c>
      <c r="H12" s="93">
        <f>Gas!Q19/TOTAL!G12</f>
        <v>15840</v>
      </c>
      <c r="I12" s="94">
        <f>'Fuel Diesel'!F19</f>
        <v>0</v>
      </c>
      <c r="J12" s="91">
        <v>0</v>
      </c>
      <c r="K12" s="94">
        <f>Water!E19+Water!G19+Water!I19</f>
        <v>155</v>
      </c>
      <c r="L12" s="93">
        <f>Water!K19/TOTAL!K12</f>
        <v>4000</v>
      </c>
      <c r="M12" s="94">
        <v>10</v>
      </c>
      <c r="N12" s="92">
        <v>61</v>
      </c>
    </row>
    <row r="13" spans="1:14">
      <c r="A13" s="89" t="s">
        <v>14</v>
      </c>
      <c r="B13" s="90">
        <f t="shared" si="0"/>
        <v>12</v>
      </c>
      <c r="C13" s="91">
        <v>4</v>
      </c>
      <c r="D13" s="90">
        <v>2022</v>
      </c>
      <c r="E13" s="92">
        <f>Electricity!F19+Electricity!I19</f>
        <v>7660.0000000000819</v>
      </c>
      <c r="F13" s="93">
        <f>Electricity!L19/TOTAL!E13</f>
        <v>1234.2186684073076</v>
      </c>
      <c r="G13" s="94">
        <f>Gas!F20+Gas!I20+Gas!L20+Gas!O20</f>
        <v>53.542560000001757</v>
      </c>
      <c r="H13" s="93">
        <f>Gas!Q20/TOTAL!G13</f>
        <v>15839.999999999998</v>
      </c>
      <c r="I13" s="94">
        <f>'Fuel Diesel'!F20</f>
        <v>80</v>
      </c>
      <c r="J13" s="91">
        <f>'Fuel Diesel'!G20/'Fuel Diesel'!F20</f>
        <v>10700</v>
      </c>
      <c r="K13" s="94">
        <f>Water!E20+Water!G20+Water!I20</f>
        <v>153</v>
      </c>
      <c r="L13" s="93">
        <f>Water!K20/TOTAL!K13</f>
        <v>4000</v>
      </c>
      <c r="M13" s="94">
        <v>12</v>
      </c>
      <c r="N13" s="92">
        <v>43</v>
      </c>
    </row>
    <row r="14" spans="1:14">
      <c r="A14" s="89" t="s">
        <v>14</v>
      </c>
      <c r="B14" s="90">
        <f t="shared" si="0"/>
        <v>13</v>
      </c>
      <c r="C14" s="91">
        <v>4</v>
      </c>
      <c r="D14" s="90">
        <v>2022</v>
      </c>
      <c r="E14" s="92">
        <f>Electricity!F20+Electricity!I20</f>
        <v>7640.0000000001</v>
      </c>
      <c r="F14" s="93">
        <f>Electricity!L20/TOTAL!E14</f>
        <v>1231.4859947643974</v>
      </c>
      <c r="G14" s="94">
        <f>Gas!F21+Gas!I21+Gas!L21+Gas!O21</f>
        <v>56.321879999996476</v>
      </c>
      <c r="H14" s="93">
        <f>Gas!Q21/TOTAL!G14</f>
        <v>15840</v>
      </c>
      <c r="I14" s="94">
        <f>'Fuel Diesel'!F21</f>
        <v>0</v>
      </c>
      <c r="J14" s="91">
        <v>0</v>
      </c>
      <c r="K14" s="94">
        <f>Water!E21+Water!G21+Water!I21</f>
        <v>151</v>
      </c>
      <c r="L14" s="93">
        <f>Water!K21/TOTAL!K14</f>
        <v>4000</v>
      </c>
      <c r="M14" s="94">
        <v>14</v>
      </c>
      <c r="N14" s="92">
        <v>62</v>
      </c>
    </row>
    <row r="15" spans="1:14">
      <c r="A15" s="89" t="s">
        <v>14</v>
      </c>
      <c r="B15" s="90">
        <f t="shared" si="0"/>
        <v>14</v>
      </c>
      <c r="C15" s="91">
        <v>4</v>
      </c>
      <c r="D15" s="90">
        <v>2022</v>
      </c>
      <c r="E15" s="92">
        <f>Electricity!F21+Electricity!I21</f>
        <v>8179.9999999997226</v>
      </c>
      <c r="F15" s="93">
        <f>Electricity!L21/TOTAL!E15</f>
        <v>1239.3086797066007</v>
      </c>
      <c r="G15" s="94">
        <f>Gas!F22+Gas!I22+Gas!L22+Gas!O22</f>
        <v>72.594999999999999</v>
      </c>
      <c r="H15" s="93">
        <f>Gas!Q22/TOTAL!G15</f>
        <v>15840</v>
      </c>
      <c r="I15" s="94">
        <f>'Fuel Diesel'!F22</f>
        <v>0</v>
      </c>
      <c r="J15" s="91">
        <v>0</v>
      </c>
      <c r="K15" s="94">
        <f>Water!E22+Water!G22+Water!I22</f>
        <v>186</v>
      </c>
      <c r="L15" s="93">
        <f>Water!K22/TOTAL!K15</f>
        <v>4000</v>
      </c>
      <c r="M15" s="94">
        <v>22</v>
      </c>
      <c r="N15" s="92">
        <v>88</v>
      </c>
    </row>
    <row r="16" spans="1:14">
      <c r="A16" s="89" t="s">
        <v>14</v>
      </c>
      <c r="B16" s="90">
        <f t="shared" si="0"/>
        <v>15</v>
      </c>
      <c r="C16" s="91">
        <v>4</v>
      </c>
      <c r="D16" s="90">
        <v>2022</v>
      </c>
      <c r="E16" s="92">
        <f>Electricity!F22+Electricity!I22</f>
        <v>8840.0000000001455</v>
      </c>
      <c r="F16" s="93">
        <f>Electricity!L22/TOTAL!E16</f>
        <v>1230.5347850678766</v>
      </c>
      <c r="G16" s="94">
        <f>Gas!F23+Gas!I23+Gas!L23+Gas!O23</f>
        <v>79.200919999997652</v>
      </c>
      <c r="H16" s="93">
        <f>Gas!Q23/TOTAL!G16</f>
        <v>15840.000000000002</v>
      </c>
      <c r="I16" s="94">
        <f>'Fuel Diesel'!F23</f>
        <v>0</v>
      </c>
      <c r="J16" s="91">
        <v>0</v>
      </c>
      <c r="K16" s="94">
        <f>Water!E23+Water!G23+Water!I23</f>
        <v>146</v>
      </c>
      <c r="L16" s="93">
        <f>Water!K23/TOTAL!K16</f>
        <v>4000</v>
      </c>
      <c r="M16" s="94">
        <v>23</v>
      </c>
      <c r="N16" s="92">
        <v>98</v>
      </c>
    </row>
    <row r="17" spans="1:14">
      <c r="A17" s="89" t="s">
        <v>14</v>
      </c>
      <c r="B17" s="90">
        <f t="shared" si="0"/>
        <v>16</v>
      </c>
      <c r="C17" s="91">
        <v>4</v>
      </c>
      <c r="D17" s="90">
        <v>2022</v>
      </c>
      <c r="E17" s="92">
        <f>Electricity!F23+Electricity!I23</f>
        <v>8640.0000000002146</v>
      </c>
      <c r="F17" s="93">
        <f>Electricity!L23/TOTAL!E17</f>
        <v>1232.6524884259206</v>
      </c>
      <c r="G17" s="94">
        <f>Gas!F24+Gas!I24+Gas!L24+Gas!O24</f>
        <v>71.990800000001457</v>
      </c>
      <c r="H17" s="93">
        <f>Gas!Q24/TOTAL!G17</f>
        <v>15840.000000000002</v>
      </c>
      <c r="I17" s="94">
        <f>'Fuel Diesel'!F24</f>
        <v>0</v>
      </c>
      <c r="J17" s="91">
        <v>0</v>
      </c>
      <c r="K17" s="94">
        <f>Water!E24+Water!G24+Water!I24</f>
        <v>187</v>
      </c>
      <c r="L17" s="93">
        <f>Water!K24/TOTAL!K17</f>
        <v>4000</v>
      </c>
      <c r="M17" s="94">
        <v>22</v>
      </c>
      <c r="N17" s="92">
        <v>111</v>
      </c>
    </row>
    <row r="18" spans="1:14">
      <c r="A18" s="89" t="s">
        <v>14</v>
      </c>
      <c r="B18" s="90">
        <f t="shared" si="0"/>
        <v>17</v>
      </c>
      <c r="C18" s="91">
        <v>4</v>
      </c>
      <c r="D18" s="90">
        <v>2022</v>
      </c>
      <c r="E18" s="92">
        <f>Electricity!F24+Electricity!I24</f>
        <v>8539.9999999998508</v>
      </c>
      <c r="F18" s="93">
        <f>Electricity!L24/TOTAL!E18</f>
        <v>1232.4147540983606</v>
      </c>
      <c r="G18" s="94">
        <f>Gas!F25+Gas!I25+Gas!L25+Gas!O25</f>
        <v>78.475880000003798</v>
      </c>
      <c r="H18" s="93">
        <f>Gas!Q25/TOTAL!G18</f>
        <v>15840</v>
      </c>
      <c r="I18" s="94">
        <f>'Fuel Diesel'!F25</f>
        <v>0</v>
      </c>
      <c r="J18" s="91">
        <v>0</v>
      </c>
      <c r="K18" s="94">
        <f>Water!E25+Water!G25+Water!I25</f>
        <v>178</v>
      </c>
      <c r="L18" s="93">
        <f>Water!K25/TOTAL!K18</f>
        <v>4000</v>
      </c>
      <c r="M18" s="94">
        <v>13</v>
      </c>
      <c r="N18" s="92">
        <v>102</v>
      </c>
    </row>
    <row r="19" spans="1:14">
      <c r="A19" s="89" t="s">
        <v>14</v>
      </c>
      <c r="B19" s="90">
        <f t="shared" si="0"/>
        <v>18</v>
      </c>
      <c r="C19" s="91">
        <v>4</v>
      </c>
      <c r="D19" s="90">
        <v>2022</v>
      </c>
      <c r="E19" s="92">
        <f>Electricity!F25+Electricity!I25</f>
        <v>8379.9999999999964</v>
      </c>
      <c r="F19" s="93">
        <f>Electricity!L25/TOTAL!E19</f>
        <v>1231.478878281624</v>
      </c>
      <c r="G19" s="94">
        <f>Gas!F26+Gas!I26+Gas!L26+Gas!O26</f>
        <v>75.535439999998232</v>
      </c>
      <c r="H19" s="93">
        <f>Gas!Q26/TOTAL!G19</f>
        <v>15840.000000000002</v>
      </c>
      <c r="I19" s="94">
        <f>'Fuel Diesel'!F26</f>
        <v>14</v>
      </c>
      <c r="J19" s="91">
        <f>'Fuel Diesel'!G26/'Fuel Diesel'!F26</f>
        <v>10700</v>
      </c>
      <c r="K19" s="94">
        <f>Water!E26+Water!G26+Water!I26</f>
        <v>204</v>
      </c>
      <c r="L19" s="93">
        <f>Water!K26/TOTAL!K19</f>
        <v>4000</v>
      </c>
      <c r="M19" s="94">
        <v>7</v>
      </c>
      <c r="N19" s="92">
        <v>62</v>
      </c>
    </row>
    <row r="20" spans="1:14">
      <c r="A20" s="89" t="s">
        <v>14</v>
      </c>
      <c r="B20" s="90">
        <f t="shared" si="0"/>
        <v>19</v>
      </c>
      <c r="C20" s="91">
        <v>4</v>
      </c>
      <c r="D20" s="90">
        <v>2022</v>
      </c>
      <c r="E20" s="92">
        <f>Electricity!F26+Electricity!I26</f>
        <v>8160.0000000001955</v>
      </c>
      <c r="F20" s="93">
        <f>Electricity!L26/TOTAL!E20</f>
        <v>1233.9708333333322</v>
      </c>
      <c r="G20" s="94">
        <f>Gas!F27+Gas!I27+Gas!L27+Gas!O27</f>
        <v>56.603840000002634</v>
      </c>
      <c r="H20" s="93">
        <f>Gas!Q27/TOTAL!G20</f>
        <v>15839.999999999998</v>
      </c>
      <c r="I20" s="94">
        <f>'Fuel Diesel'!F27</f>
        <v>0</v>
      </c>
      <c r="J20" s="91">
        <v>0</v>
      </c>
      <c r="K20" s="94">
        <f>Water!E27+Water!G27+Water!I27</f>
        <v>160</v>
      </c>
      <c r="L20" s="93">
        <f>Water!K27/TOTAL!K20</f>
        <v>4000</v>
      </c>
      <c r="M20" s="94">
        <v>11</v>
      </c>
      <c r="N20" s="92">
        <v>71</v>
      </c>
    </row>
    <row r="21" spans="1:14">
      <c r="A21" s="89" t="s">
        <v>14</v>
      </c>
      <c r="B21" s="90">
        <f t="shared" si="0"/>
        <v>20</v>
      </c>
      <c r="C21" s="91">
        <v>4</v>
      </c>
      <c r="D21" s="90">
        <v>2022</v>
      </c>
      <c r="E21" s="92">
        <f>Electricity!F27+Electricity!I27</f>
        <v>7959.999999999809</v>
      </c>
      <c r="F21" s="93">
        <f>Electricity!L27/TOTAL!E21</f>
        <v>1233.4938442211032</v>
      </c>
      <c r="G21" s="94">
        <f>Gas!F28+Gas!I28+Gas!L28+Gas!O28</f>
        <v>53.018919999997649</v>
      </c>
      <c r="H21" s="93">
        <f>Gas!Q28/TOTAL!G21</f>
        <v>15839.999999999998</v>
      </c>
      <c r="I21" s="94">
        <f>'Fuel Diesel'!F28</f>
        <v>0</v>
      </c>
      <c r="J21" s="91">
        <v>0</v>
      </c>
      <c r="K21" s="94">
        <f>Water!E28+Water!G28+Water!I28</f>
        <v>138</v>
      </c>
      <c r="L21" s="93">
        <f>Water!K28/TOTAL!K21</f>
        <v>4000</v>
      </c>
      <c r="M21" s="94">
        <v>14</v>
      </c>
      <c r="N21" s="92">
        <v>76</v>
      </c>
    </row>
    <row r="22" spans="1:14">
      <c r="A22" s="89" t="s">
        <v>14</v>
      </c>
      <c r="B22" s="90">
        <f t="shared" si="0"/>
        <v>21</v>
      </c>
      <c r="C22" s="91">
        <v>4</v>
      </c>
      <c r="D22" s="90">
        <v>2022</v>
      </c>
      <c r="E22" s="92">
        <f>Electricity!F28+Electricity!I28</f>
        <v>5760.0000000002183</v>
      </c>
      <c r="F22" s="93">
        <f>Electricity!L28/TOTAL!E22</f>
        <v>1281.4312500000001</v>
      </c>
      <c r="G22" s="94">
        <f>Gas!F29+Gas!I29+Gas!L29+Gas!O29</f>
        <v>59.584560000001751</v>
      </c>
      <c r="H22" s="93">
        <f>Gas!Q29/TOTAL!G22</f>
        <v>15839.999999999998</v>
      </c>
      <c r="I22" s="94">
        <f>'Fuel Diesel'!F29</f>
        <v>1141</v>
      </c>
      <c r="J22" s="91">
        <f>'Fuel Diesel'!G29/'Fuel Diesel'!F29</f>
        <v>10700</v>
      </c>
      <c r="K22" s="94">
        <f>Water!E29+Water!G29+Water!I29</f>
        <v>153</v>
      </c>
      <c r="L22" s="93">
        <f>Water!K29/TOTAL!K22</f>
        <v>4000</v>
      </c>
      <c r="M22" s="94">
        <v>18</v>
      </c>
      <c r="N22" s="92">
        <v>100</v>
      </c>
    </row>
    <row r="23" spans="1:14">
      <c r="A23" s="89" t="s">
        <v>14</v>
      </c>
      <c r="B23" s="90">
        <f t="shared" si="0"/>
        <v>22</v>
      </c>
      <c r="C23" s="91">
        <v>4</v>
      </c>
      <c r="D23" s="90">
        <v>2022</v>
      </c>
      <c r="E23" s="92">
        <f>Electricity!F29+Electricity!I29</f>
        <v>8859.9999999996726</v>
      </c>
      <c r="F23" s="93">
        <f>Electricity!L29/TOTAL!E23</f>
        <v>1238.0419300225747</v>
      </c>
      <c r="G23" s="94">
        <f>Gas!F30+Gas!I30+Gas!L30+Gas!O30</f>
        <v>63.290319999994722</v>
      </c>
      <c r="H23" s="93">
        <f>Gas!Q30/TOTAL!G23</f>
        <v>15840</v>
      </c>
      <c r="I23" s="94">
        <f>'Fuel Diesel'!F30</f>
        <v>0</v>
      </c>
      <c r="J23" s="91">
        <v>0</v>
      </c>
      <c r="K23" s="94">
        <f>Water!E30+Water!G30+Water!I30</f>
        <v>133</v>
      </c>
      <c r="L23" s="93">
        <f>Water!K30/TOTAL!K23</f>
        <v>4000</v>
      </c>
      <c r="M23" s="94">
        <v>16</v>
      </c>
      <c r="N23" s="92">
        <v>85</v>
      </c>
    </row>
    <row r="24" spans="1:14">
      <c r="A24" s="89" t="s">
        <v>14</v>
      </c>
      <c r="B24" s="90">
        <f t="shared" si="0"/>
        <v>23</v>
      </c>
      <c r="C24" s="91">
        <v>4</v>
      </c>
      <c r="D24" s="90">
        <v>2022</v>
      </c>
      <c r="E24" s="92">
        <f>Electricity!F30+Electricity!I30</f>
        <v>9040.0000000000764</v>
      </c>
      <c r="F24" s="93">
        <f>Electricity!L30/TOTAL!E24</f>
        <v>1236.0708517699156</v>
      </c>
      <c r="G24" s="94">
        <f>Gas!F31+Gas!I31+Gas!L31+Gas!O31</f>
        <v>55.395440000005564</v>
      </c>
      <c r="H24" s="93">
        <f>Gas!Q31/TOTAL!G24</f>
        <v>15840</v>
      </c>
      <c r="I24" s="94">
        <f>'Fuel Diesel'!F31</f>
        <v>0</v>
      </c>
      <c r="J24" s="91">
        <v>0</v>
      </c>
      <c r="K24" s="94">
        <f>Water!E31+Water!G31+Water!I31</f>
        <v>161</v>
      </c>
      <c r="L24" s="93">
        <f>Water!K31/TOTAL!K24</f>
        <v>4000</v>
      </c>
      <c r="M24" s="94">
        <v>17</v>
      </c>
      <c r="N24" s="92">
        <v>93</v>
      </c>
    </row>
    <row r="25" spans="1:14">
      <c r="A25" s="89" t="s">
        <v>14</v>
      </c>
      <c r="B25" s="90">
        <f t="shared" si="0"/>
        <v>24</v>
      </c>
      <c r="C25" s="91">
        <v>4</v>
      </c>
      <c r="D25" s="90">
        <v>2022</v>
      </c>
      <c r="E25" s="92">
        <f>Electricity!F31+Electricity!I31</f>
        <v>8760.0000000001055</v>
      </c>
      <c r="F25" s="93">
        <f>Electricity!L31/TOTAL!E25</f>
        <v>1232.6705479452007</v>
      </c>
      <c r="G25" s="94">
        <f>Gas!F32+Gas!I32+Gas!L32+Gas!O32</f>
        <v>81.798119999996189</v>
      </c>
      <c r="H25" s="93">
        <f>Gas!Q32/TOTAL!G25</f>
        <v>15840.000000000002</v>
      </c>
      <c r="I25" s="94">
        <f>'Fuel Diesel'!F32</f>
        <v>0</v>
      </c>
      <c r="J25" s="91">
        <v>0</v>
      </c>
      <c r="K25" s="94">
        <f>Water!E32+Water!G32+Water!I32</f>
        <v>200</v>
      </c>
      <c r="L25" s="93">
        <f>Water!K32/TOTAL!K25</f>
        <v>4000</v>
      </c>
      <c r="M25" s="94">
        <v>13</v>
      </c>
      <c r="N25" s="92">
        <v>96</v>
      </c>
    </row>
    <row r="26" spans="1:14">
      <c r="A26" s="89" t="s">
        <v>14</v>
      </c>
      <c r="B26" s="90">
        <f t="shared" si="0"/>
        <v>25</v>
      </c>
      <c r="C26" s="91">
        <v>4</v>
      </c>
      <c r="D26" s="90">
        <v>2022</v>
      </c>
      <c r="E26" s="92">
        <f>Electricity!F32+Electricity!I32</f>
        <v>8920.0000000000728</v>
      </c>
      <c r="F26" s="93">
        <f>Electricity!L32/TOTAL!E26</f>
        <v>1233.5451793721979</v>
      </c>
      <c r="G26" s="94">
        <f>Gas!F33+Gas!I33+Gas!L33+Gas!O33</f>
        <v>85.705280000000869</v>
      </c>
      <c r="H26" s="93">
        <f>Gas!Q33/TOTAL!G26</f>
        <v>15840.000000000002</v>
      </c>
      <c r="I26" s="94">
        <f>'Fuel Diesel'!F33</f>
        <v>0</v>
      </c>
      <c r="J26" s="91">
        <v>0</v>
      </c>
      <c r="K26" s="94">
        <f>Water!E33+Water!G33+Water!I33</f>
        <v>221</v>
      </c>
      <c r="L26" s="93">
        <f>Water!K33/TOTAL!K26</f>
        <v>4000</v>
      </c>
      <c r="M26" s="94">
        <v>13</v>
      </c>
      <c r="N26" s="92">
        <v>74</v>
      </c>
    </row>
    <row r="27" spans="1:14">
      <c r="A27" s="89" t="s">
        <v>14</v>
      </c>
      <c r="B27" s="90">
        <f t="shared" si="0"/>
        <v>26</v>
      </c>
      <c r="C27" s="91">
        <v>4</v>
      </c>
      <c r="D27" s="90">
        <v>2022</v>
      </c>
      <c r="E27" s="92">
        <f>Electricity!F33+Electricity!I33</f>
        <v>8739.9999999997817</v>
      </c>
      <c r="F27" s="93">
        <f>Electricity!L33/TOTAL!E27</f>
        <v>1235.4913043478298</v>
      </c>
      <c r="G27" s="94">
        <f>Gas!F34+Gas!I34+Gas!L34+Gas!O34</f>
        <v>86.167639999996766</v>
      </c>
      <c r="H27" s="93">
        <f>Gas!Q34/TOTAL!G27</f>
        <v>15840</v>
      </c>
      <c r="I27" s="94">
        <f>'Fuel Diesel'!F34</f>
        <v>13</v>
      </c>
      <c r="J27" s="91">
        <f>'Fuel Diesel'!G34/'Fuel Diesel'!F34</f>
        <v>10700</v>
      </c>
      <c r="K27" s="94">
        <f>Water!E34+Water!G34+Water!I34</f>
        <v>178</v>
      </c>
      <c r="L27" s="93">
        <f>Water!K34/TOTAL!K27</f>
        <v>4000</v>
      </c>
      <c r="M27" s="94">
        <v>16</v>
      </c>
      <c r="N27" s="92">
        <v>53</v>
      </c>
    </row>
    <row r="28" spans="1:14">
      <c r="A28" s="89" t="s">
        <v>14</v>
      </c>
      <c r="B28" s="90">
        <f t="shared" si="0"/>
        <v>27</v>
      </c>
      <c r="C28" s="91">
        <v>4</v>
      </c>
      <c r="D28" s="90">
        <v>2022</v>
      </c>
      <c r="E28" s="92">
        <f>Electricity!F34+Electricity!I34</f>
        <v>8539.9999999999636</v>
      </c>
      <c r="F28" s="93">
        <f>Electricity!L34/TOTAL!E28</f>
        <v>1237.749882903983</v>
      </c>
      <c r="G28" s="94">
        <f>Gas!F35+Gas!I35+Gas!L35+Gas!O35</f>
        <v>61.75796000000615</v>
      </c>
      <c r="H28" s="93">
        <f>Gas!Q35/TOTAL!G28</f>
        <v>15839.999999999998</v>
      </c>
      <c r="I28" s="94">
        <f>'Fuel Diesel'!F35</f>
        <v>0</v>
      </c>
      <c r="J28" s="91">
        <v>0</v>
      </c>
      <c r="K28" s="94">
        <f>Water!E35+Water!G35+Water!I35</f>
        <v>130</v>
      </c>
      <c r="L28" s="93">
        <f>Water!K35/TOTAL!K28</f>
        <v>4000</v>
      </c>
      <c r="M28" s="94">
        <v>17</v>
      </c>
      <c r="N28" s="92">
        <v>91</v>
      </c>
    </row>
    <row r="29" spans="1:14">
      <c r="A29" s="89" t="s">
        <v>14</v>
      </c>
      <c r="B29" s="90">
        <f t="shared" si="0"/>
        <v>28</v>
      </c>
      <c r="C29" s="91">
        <v>4</v>
      </c>
      <c r="D29" s="90">
        <v>2022</v>
      </c>
      <c r="E29" s="92">
        <f>Electricity!F35+Electricity!I35</f>
        <v>9079.9999999999272</v>
      </c>
      <c r="F29" s="93">
        <f>Electricity!L35/TOTAL!E29</f>
        <v>1239.4068281938278</v>
      </c>
      <c r="G29" s="94">
        <f>Gas!F36+Gas!I36+Gas!L36+Gas!O36</f>
        <v>61.395439999998239</v>
      </c>
      <c r="H29" s="93">
        <f>Gas!Q36/TOTAL!G29</f>
        <v>15840</v>
      </c>
      <c r="I29" s="94">
        <f>'Fuel Diesel'!F36</f>
        <v>0</v>
      </c>
      <c r="J29" s="91">
        <v>0</v>
      </c>
      <c r="K29" s="94">
        <f>Water!E36+Water!G36+Water!I36</f>
        <v>154</v>
      </c>
      <c r="L29" s="93">
        <f>Water!K36/TOTAL!K29</f>
        <v>4000</v>
      </c>
      <c r="M29" s="94">
        <v>22</v>
      </c>
      <c r="N29" s="92">
        <v>103</v>
      </c>
    </row>
    <row r="30" spans="1:14">
      <c r="A30" s="89" t="s">
        <v>14</v>
      </c>
      <c r="B30" s="90">
        <f t="shared" si="0"/>
        <v>29</v>
      </c>
      <c r="C30" s="91">
        <v>4</v>
      </c>
      <c r="D30" s="90">
        <v>2022</v>
      </c>
      <c r="E30" s="92">
        <f>Electricity!F36+Electricity!I36</f>
        <v>9280.0000000004275</v>
      </c>
      <c r="F30" s="93">
        <f>Electricity!L36/TOTAL!E30</f>
        <v>1240.9262392241383</v>
      </c>
      <c r="G30" s="94">
        <f>Gas!F37+Gas!I37+Gas!L37+Gas!O37</f>
        <v>81.495159999997355</v>
      </c>
      <c r="H30" s="93">
        <f>Gas!Q37/TOTAL!G30</f>
        <v>15840</v>
      </c>
      <c r="I30" s="94">
        <f>'Fuel Diesel'!F37</f>
        <v>0</v>
      </c>
      <c r="J30" s="91">
        <v>0</v>
      </c>
      <c r="K30" s="94">
        <f>Water!E37+Water!G37+Water!I37</f>
        <v>158</v>
      </c>
      <c r="L30" s="93">
        <f>Water!K37/TOTAL!K30</f>
        <v>4000</v>
      </c>
      <c r="M30" s="94">
        <v>34</v>
      </c>
      <c r="N30" s="92">
        <v>106</v>
      </c>
    </row>
    <row r="31" spans="1:14">
      <c r="A31" s="89" t="s">
        <v>14</v>
      </c>
      <c r="B31" s="90">
        <f t="shared" si="0"/>
        <v>30</v>
      </c>
      <c r="C31" s="91">
        <v>4</v>
      </c>
      <c r="D31" s="90">
        <v>2022</v>
      </c>
      <c r="E31" s="92">
        <f>Electricity!F37+Electricity!I37</f>
        <v>9699.9999999995907</v>
      </c>
      <c r="F31" s="93">
        <f>Electricity!L37/TOTAL!E31</f>
        <v>1243.5607731958792</v>
      </c>
      <c r="G31" s="94">
        <f>Gas!F38+Gas!I38+Gas!L38+Gas!O38</f>
        <v>83.663280000000867</v>
      </c>
      <c r="H31" s="93">
        <f>Gas!Q38/TOTAL!G31</f>
        <v>15840.000000000002</v>
      </c>
      <c r="I31" s="94">
        <f>'Fuel Diesel'!F38</f>
        <v>0</v>
      </c>
      <c r="J31" s="91">
        <v>0</v>
      </c>
      <c r="K31" s="94">
        <f>Water!E38+Water!G38+Water!I38</f>
        <v>188</v>
      </c>
      <c r="L31" s="93">
        <f>Water!K38/TOTAL!K31</f>
        <v>4000</v>
      </c>
      <c r="M31" s="94">
        <v>41</v>
      </c>
      <c r="N31" s="92">
        <v>194</v>
      </c>
    </row>
    <row r="32" spans="1:14">
      <c r="E32" s="96"/>
      <c r="F32" s="97"/>
      <c r="G32" s="98"/>
      <c r="H32" s="99"/>
      <c r="I32" s="98"/>
      <c r="J32" s="99"/>
      <c r="K32" s="98"/>
      <c r="L32" s="99"/>
      <c r="M32" s="98"/>
      <c r="N32" s="9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0" workbookViewId="0">
      <selection activeCell="I40" sqref="I40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8" customWidth="1"/>
    <col min="5" max="5" width="9.42578125" style="20" customWidth="1"/>
    <col min="6" max="6" width="11.28515625" style="20" customWidth="1"/>
    <col min="7" max="7" width="16.5703125" style="20" customWidth="1"/>
    <col min="8" max="8" width="10.28515625" style="20" customWidth="1"/>
    <col min="9" max="9" width="11.140625" style="20" customWidth="1"/>
    <col min="10" max="10" width="16.7109375" style="20" customWidth="1"/>
    <col min="11" max="11" width="16.28515625" style="20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102" t="s">
        <v>15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"/>
      <c r="N1" s="1"/>
    </row>
    <row r="2" spans="1:14" ht="15.75">
      <c r="B2" s="102" t="s">
        <v>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"/>
      <c r="N2" s="1"/>
    </row>
    <row r="3" spans="1:14">
      <c r="B3" s="2"/>
      <c r="C3" s="3"/>
      <c r="D3" s="4"/>
      <c r="E3" s="3"/>
      <c r="F3" s="3"/>
      <c r="G3" s="3"/>
      <c r="H3" s="3"/>
      <c r="I3" s="3"/>
      <c r="J3" s="3"/>
      <c r="K3" s="3"/>
      <c r="L3" s="3"/>
      <c r="M3" s="1"/>
      <c r="N3" s="1"/>
    </row>
    <row r="4" spans="1:14">
      <c r="A4" s="5"/>
      <c r="B4" s="103">
        <v>44652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5"/>
    </row>
    <row r="5" spans="1:14">
      <c r="A5" s="6"/>
      <c r="B5" s="101" t="s">
        <v>17</v>
      </c>
      <c r="C5" s="101" t="s">
        <v>18</v>
      </c>
      <c r="D5" s="101" t="s">
        <v>13</v>
      </c>
      <c r="E5" s="104" t="s">
        <v>19</v>
      </c>
      <c r="F5" s="104"/>
      <c r="G5" s="104"/>
      <c r="H5" s="105" t="s">
        <v>20</v>
      </c>
      <c r="I5" s="105"/>
      <c r="J5" s="105"/>
      <c r="K5" s="101" t="s">
        <v>21</v>
      </c>
      <c r="L5" s="101" t="s">
        <v>22</v>
      </c>
      <c r="M5" s="101" t="s">
        <v>23</v>
      </c>
      <c r="N5" s="7"/>
    </row>
    <row r="6" spans="1:14" s="8" customFormat="1">
      <c r="A6" s="6"/>
      <c r="B6" s="101"/>
      <c r="C6" s="101"/>
      <c r="D6" s="101"/>
      <c r="E6" s="101" t="s">
        <v>24</v>
      </c>
      <c r="F6" s="101" t="s">
        <v>25</v>
      </c>
      <c r="G6" s="101" t="s">
        <v>26</v>
      </c>
      <c r="H6" s="101" t="s">
        <v>24</v>
      </c>
      <c r="I6" s="101" t="s">
        <v>25</v>
      </c>
      <c r="J6" s="101" t="s">
        <v>27</v>
      </c>
      <c r="K6" s="101"/>
      <c r="L6" s="101"/>
      <c r="M6" s="101"/>
      <c r="N6" s="7"/>
    </row>
    <row r="7" spans="1:14">
      <c r="A7" s="9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"/>
    </row>
    <row r="8" spans="1:14">
      <c r="A8" s="9"/>
      <c r="B8" s="11">
        <v>1</v>
      </c>
      <c r="C8" s="12"/>
      <c r="D8" s="12"/>
      <c r="E8" s="13">
        <v>3.25</v>
      </c>
      <c r="F8" s="14">
        <f t="shared" ref="F8:F37" si="0">E8*2000</f>
        <v>6500</v>
      </c>
      <c r="G8" s="15">
        <f t="shared" ref="G8:G37" si="1">F8*1035.5</f>
        <v>6730750</v>
      </c>
      <c r="H8" s="13">
        <v>0.63999999999998636</v>
      </c>
      <c r="I8" s="14">
        <f t="shared" ref="I8:I37" si="2">H8*2000</f>
        <v>1279.9999999999727</v>
      </c>
      <c r="J8" s="15">
        <f t="shared" ref="J8:J37" si="3">I8*1553.25</f>
        <v>1988159.9999999576</v>
      </c>
      <c r="K8" s="13">
        <f t="shared" ref="K8:K37" si="4">G8+J8</f>
        <v>8718909.9999999572</v>
      </c>
      <c r="L8" s="16">
        <f t="shared" ref="L8:L37" si="5">K8*1.1</f>
        <v>9590800.9999999534</v>
      </c>
      <c r="M8" s="17">
        <f>L8/14381</f>
        <v>666.90779500729809</v>
      </c>
      <c r="N8" s="18"/>
    </row>
    <row r="9" spans="1:14">
      <c r="A9" s="9"/>
      <c r="B9" s="11">
        <v>2</v>
      </c>
      <c r="C9" s="12"/>
      <c r="D9" s="12"/>
      <c r="E9" s="13">
        <v>3.1399999999998727</v>
      </c>
      <c r="F9" s="14">
        <f t="shared" si="0"/>
        <v>6279.9999999997453</v>
      </c>
      <c r="G9" s="15">
        <f t="shared" si="1"/>
        <v>6502939.9999997364</v>
      </c>
      <c r="H9" s="13">
        <v>0.60000000000002274</v>
      </c>
      <c r="I9" s="14">
        <f t="shared" si="2"/>
        <v>1200.0000000000455</v>
      </c>
      <c r="J9" s="15">
        <f t="shared" si="3"/>
        <v>1863900.0000000705</v>
      </c>
      <c r="K9" s="13">
        <f t="shared" si="4"/>
        <v>8366839.9999998072</v>
      </c>
      <c r="L9" s="16">
        <f t="shared" si="5"/>
        <v>9203523.9999997895</v>
      </c>
      <c r="M9" s="17">
        <f t="shared" ref="M9:M37" si="6">L9/14381</f>
        <v>639.97802656281135</v>
      </c>
      <c r="N9" s="18"/>
    </row>
    <row r="10" spans="1:14">
      <c r="A10" s="9"/>
      <c r="B10" s="11">
        <v>3</v>
      </c>
      <c r="C10" s="12"/>
      <c r="D10" s="12"/>
      <c r="E10" s="13">
        <v>2.9700000000000273</v>
      </c>
      <c r="F10" s="14">
        <f t="shared" si="0"/>
        <v>5940.0000000000546</v>
      </c>
      <c r="G10" s="15">
        <f t="shared" si="1"/>
        <v>6150870.0000000568</v>
      </c>
      <c r="H10" s="13">
        <v>0.56000000000000227</v>
      </c>
      <c r="I10" s="14">
        <f t="shared" si="2"/>
        <v>1120.0000000000045</v>
      </c>
      <c r="J10" s="15">
        <f t="shared" si="3"/>
        <v>1739640.000000007</v>
      </c>
      <c r="K10" s="13">
        <f t="shared" si="4"/>
        <v>7890510.0000000633</v>
      </c>
      <c r="L10" s="16">
        <f t="shared" si="5"/>
        <v>8679561.0000000708</v>
      </c>
      <c r="M10" s="17">
        <f t="shared" si="6"/>
        <v>603.54363396148187</v>
      </c>
      <c r="N10" s="18"/>
    </row>
    <row r="11" spans="1:14">
      <c r="A11" s="9"/>
      <c r="B11" s="11">
        <v>4</v>
      </c>
      <c r="C11" s="12"/>
      <c r="D11" s="12"/>
      <c r="E11" s="13">
        <v>3.1100000000001273</v>
      </c>
      <c r="F11" s="14">
        <f t="shared" si="0"/>
        <v>6220.0000000002547</v>
      </c>
      <c r="G11" s="15">
        <f t="shared" si="1"/>
        <v>6440810.0000002636</v>
      </c>
      <c r="H11" s="13">
        <v>0.60000000000002274</v>
      </c>
      <c r="I11" s="14">
        <f t="shared" si="2"/>
        <v>1200.0000000000455</v>
      </c>
      <c r="J11" s="15">
        <f t="shared" si="3"/>
        <v>1863900.0000000705</v>
      </c>
      <c r="K11" s="13">
        <f t="shared" si="4"/>
        <v>8304710.0000003343</v>
      </c>
      <c r="L11" s="16">
        <f t="shared" si="5"/>
        <v>9135181.0000003688</v>
      </c>
      <c r="M11" s="17">
        <f t="shared" si="6"/>
        <v>635.22571448441477</v>
      </c>
      <c r="N11" s="18"/>
    </row>
    <row r="12" spans="1:14">
      <c r="A12" s="9"/>
      <c r="B12" s="11">
        <v>5</v>
      </c>
      <c r="C12" s="12"/>
      <c r="D12" s="12"/>
      <c r="E12" s="13">
        <v>3.2200000000000273</v>
      </c>
      <c r="F12" s="14">
        <f t="shared" si="0"/>
        <v>6440.0000000000546</v>
      </c>
      <c r="G12" s="15">
        <f t="shared" si="1"/>
        <v>6668620.0000000568</v>
      </c>
      <c r="H12" s="13">
        <v>0.62999999999999545</v>
      </c>
      <c r="I12" s="14">
        <f t="shared" si="2"/>
        <v>1259.9999999999909</v>
      </c>
      <c r="J12" s="15">
        <f t="shared" si="3"/>
        <v>1957094.9999999858</v>
      </c>
      <c r="K12" s="13">
        <f t="shared" si="4"/>
        <v>8625715.0000000428</v>
      </c>
      <c r="L12" s="16">
        <f t="shared" si="5"/>
        <v>9488286.5000000484</v>
      </c>
      <c r="M12" s="17">
        <f t="shared" si="6"/>
        <v>659.77932688964938</v>
      </c>
      <c r="N12" s="18"/>
    </row>
    <row r="13" spans="1:14">
      <c r="A13" s="9"/>
      <c r="B13" s="11">
        <v>6</v>
      </c>
      <c r="C13" s="12"/>
      <c r="D13" s="12"/>
      <c r="E13" s="13">
        <v>3.3599999999999</v>
      </c>
      <c r="F13" s="14">
        <f t="shared" si="0"/>
        <v>6719.9999999997999</v>
      </c>
      <c r="G13" s="15">
        <f t="shared" si="1"/>
        <v>6958559.9999997932</v>
      </c>
      <c r="H13" s="13">
        <v>0.63999999999998636</v>
      </c>
      <c r="I13" s="14">
        <f t="shared" si="2"/>
        <v>1279.9999999999727</v>
      </c>
      <c r="J13" s="15">
        <f t="shared" si="3"/>
        <v>1988159.9999999576</v>
      </c>
      <c r="K13" s="13">
        <f t="shared" si="4"/>
        <v>8946719.9999997504</v>
      </c>
      <c r="L13" s="16">
        <f t="shared" si="5"/>
        <v>9841391.9999997262</v>
      </c>
      <c r="M13" s="17">
        <f t="shared" si="6"/>
        <v>684.332939294884</v>
      </c>
      <c r="N13" s="18"/>
    </row>
    <row r="14" spans="1:14">
      <c r="A14" s="9"/>
      <c r="B14" s="11">
        <v>7</v>
      </c>
      <c r="C14" s="12"/>
      <c r="D14" s="12"/>
      <c r="E14" s="13">
        <v>3.0399999999999636</v>
      </c>
      <c r="F14" s="14">
        <f t="shared" si="0"/>
        <v>6079.9999999999272</v>
      </c>
      <c r="G14" s="15">
        <f t="shared" si="1"/>
        <v>6295839.9999999246</v>
      </c>
      <c r="H14" s="13">
        <v>0.62999999999999545</v>
      </c>
      <c r="I14" s="14">
        <f t="shared" si="2"/>
        <v>1259.9999999999909</v>
      </c>
      <c r="J14" s="15">
        <f t="shared" si="3"/>
        <v>1957094.9999999858</v>
      </c>
      <c r="K14" s="13">
        <f t="shared" si="4"/>
        <v>8252934.9999999106</v>
      </c>
      <c r="L14" s="16">
        <f t="shared" si="5"/>
        <v>9078228.4999999031</v>
      </c>
      <c r="M14" s="17">
        <f t="shared" si="6"/>
        <v>631.2654544190184</v>
      </c>
      <c r="N14" s="18"/>
    </row>
    <row r="15" spans="1:14">
      <c r="A15" s="9"/>
      <c r="B15" s="11">
        <v>8</v>
      </c>
      <c r="C15" s="12"/>
      <c r="D15" s="12"/>
      <c r="E15" s="13">
        <v>3</v>
      </c>
      <c r="F15" s="14">
        <f t="shared" si="0"/>
        <v>6000</v>
      </c>
      <c r="G15" s="15">
        <f t="shared" si="1"/>
        <v>6213000</v>
      </c>
      <c r="H15" s="13">
        <v>0.55000000000001137</v>
      </c>
      <c r="I15" s="14">
        <f t="shared" si="2"/>
        <v>1100.0000000000227</v>
      </c>
      <c r="J15" s="15">
        <f t="shared" si="3"/>
        <v>1708575.0000000354</v>
      </c>
      <c r="K15" s="13">
        <f t="shared" si="4"/>
        <v>7921575.0000000354</v>
      </c>
      <c r="L15" s="16">
        <f t="shared" si="5"/>
        <v>8713732.5000000391</v>
      </c>
      <c r="M15" s="17">
        <f t="shared" si="6"/>
        <v>605.91979000069807</v>
      </c>
      <c r="N15" s="18"/>
    </row>
    <row r="16" spans="1:14">
      <c r="A16" s="9"/>
      <c r="B16" s="11">
        <v>9</v>
      </c>
      <c r="C16" s="12"/>
      <c r="D16" s="12"/>
      <c r="E16" s="13">
        <v>2.8900000000001</v>
      </c>
      <c r="F16" s="14">
        <f t="shared" si="0"/>
        <v>5780.0000000002001</v>
      </c>
      <c r="G16" s="15">
        <f t="shared" si="1"/>
        <v>5985190.0000002068</v>
      </c>
      <c r="H16" s="13">
        <v>0.56999999999999318</v>
      </c>
      <c r="I16" s="14">
        <f t="shared" si="2"/>
        <v>1139.9999999999864</v>
      </c>
      <c r="J16" s="15">
        <f t="shared" si="3"/>
        <v>1770704.9999999788</v>
      </c>
      <c r="K16" s="13">
        <f t="shared" si="4"/>
        <v>7755895.0000001853</v>
      </c>
      <c r="L16" s="16">
        <f t="shared" si="5"/>
        <v>8531484.5000002049</v>
      </c>
      <c r="M16" s="17">
        <f t="shared" si="6"/>
        <v>593.24695779154479</v>
      </c>
      <c r="N16" s="18"/>
    </row>
    <row r="17" spans="1:14">
      <c r="A17" s="9"/>
      <c r="B17" s="11">
        <v>10</v>
      </c>
      <c r="C17" s="12"/>
      <c r="D17" s="12"/>
      <c r="E17" s="13">
        <v>3.0099999999999909</v>
      </c>
      <c r="F17" s="14">
        <f t="shared" si="0"/>
        <v>6019.9999999999818</v>
      </c>
      <c r="G17" s="15">
        <f t="shared" si="1"/>
        <v>6233709.9999999814</v>
      </c>
      <c r="H17" s="13">
        <v>0.58999999999997499</v>
      </c>
      <c r="I17" s="14">
        <f t="shared" si="2"/>
        <v>1179.99999999995</v>
      </c>
      <c r="J17" s="15">
        <f t="shared" si="3"/>
        <v>1832834.9999999222</v>
      </c>
      <c r="K17" s="13">
        <f t="shared" si="4"/>
        <v>8066544.9999999031</v>
      </c>
      <c r="L17" s="16">
        <f t="shared" si="5"/>
        <v>8873199.4999998938</v>
      </c>
      <c r="M17" s="17">
        <f t="shared" si="6"/>
        <v>617.00851818370722</v>
      </c>
      <c r="N17" s="18"/>
    </row>
    <row r="18" spans="1:14">
      <c r="A18" s="9"/>
      <c r="B18" s="11">
        <v>11</v>
      </c>
      <c r="C18" s="12"/>
      <c r="D18" s="12"/>
      <c r="E18" s="13">
        <v>3.1499999999998636</v>
      </c>
      <c r="F18" s="14">
        <f t="shared" si="0"/>
        <v>6299.9999999997272</v>
      </c>
      <c r="G18" s="15">
        <f t="shared" si="1"/>
        <v>6523649.9999997178</v>
      </c>
      <c r="H18" s="13">
        <v>0.6400000000000432</v>
      </c>
      <c r="I18" s="14">
        <f t="shared" si="2"/>
        <v>1280.0000000000864</v>
      </c>
      <c r="J18" s="15">
        <f t="shared" si="3"/>
        <v>1988160.0000001341</v>
      </c>
      <c r="K18" s="13">
        <f t="shared" si="4"/>
        <v>8511809.999999851</v>
      </c>
      <c r="L18" s="16">
        <f t="shared" si="5"/>
        <v>9362990.9999998361</v>
      </c>
      <c r="M18" s="17">
        <f t="shared" si="6"/>
        <v>651.0667547458338</v>
      </c>
      <c r="N18" s="18"/>
    </row>
    <row r="19" spans="1:14">
      <c r="A19" s="9"/>
      <c r="B19" s="11">
        <v>12</v>
      </c>
      <c r="C19" s="12"/>
      <c r="D19" s="12"/>
      <c r="E19" s="13">
        <v>3.1900000000000546</v>
      </c>
      <c r="F19" s="14">
        <f t="shared" si="0"/>
        <v>6380.0000000001091</v>
      </c>
      <c r="G19" s="15">
        <f t="shared" si="1"/>
        <v>6606490.0000001127</v>
      </c>
      <c r="H19" s="13">
        <v>0.63999999999998636</v>
      </c>
      <c r="I19" s="14">
        <f t="shared" si="2"/>
        <v>1279.9999999999727</v>
      </c>
      <c r="J19" s="15">
        <f t="shared" si="3"/>
        <v>1988159.9999999576</v>
      </c>
      <c r="K19" s="13">
        <f t="shared" si="4"/>
        <v>8594650.0000000708</v>
      </c>
      <c r="L19" s="16">
        <f t="shared" si="5"/>
        <v>9454115.0000000782</v>
      </c>
      <c r="M19" s="17">
        <f t="shared" si="6"/>
        <v>657.40317085043307</v>
      </c>
      <c r="N19" s="18"/>
    </row>
    <row r="20" spans="1:14">
      <c r="A20" s="9"/>
      <c r="B20" s="11">
        <v>13</v>
      </c>
      <c r="C20" s="12"/>
      <c r="D20" s="12"/>
      <c r="E20" s="13">
        <v>3.2000000000000455</v>
      </c>
      <c r="F20" s="14">
        <f t="shared" si="0"/>
        <v>6400.0000000000909</v>
      </c>
      <c r="G20" s="15">
        <f t="shared" si="1"/>
        <v>6627200.0000000941</v>
      </c>
      <c r="H20" s="13">
        <v>0.62000000000000455</v>
      </c>
      <c r="I20" s="14">
        <f t="shared" si="2"/>
        <v>1240.0000000000091</v>
      </c>
      <c r="J20" s="15">
        <f t="shared" si="3"/>
        <v>1926030.0000000142</v>
      </c>
      <c r="K20" s="13">
        <f t="shared" si="4"/>
        <v>8553230.000000108</v>
      </c>
      <c r="L20" s="16">
        <f t="shared" si="5"/>
        <v>9408553.0000001192</v>
      </c>
      <c r="M20" s="17">
        <f t="shared" si="6"/>
        <v>654.23496279814469</v>
      </c>
      <c r="N20" s="18"/>
    </row>
    <row r="21" spans="1:14">
      <c r="A21" s="9"/>
      <c r="B21" s="11">
        <v>14</v>
      </c>
      <c r="C21" s="12"/>
      <c r="D21" s="12"/>
      <c r="E21" s="13">
        <v>3.3699999999998909</v>
      </c>
      <c r="F21" s="14">
        <f t="shared" si="0"/>
        <v>6739.9999999997817</v>
      </c>
      <c r="G21" s="15">
        <f t="shared" si="1"/>
        <v>6979269.9999997737</v>
      </c>
      <c r="H21" s="13">
        <v>0.71999999999997044</v>
      </c>
      <c r="I21" s="14">
        <f t="shared" si="2"/>
        <v>1439.9999999999409</v>
      </c>
      <c r="J21" s="15">
        <f t="shared" si="3"/>
        <v>2236679.9999999083</v>
      </c>
      <c r="K21" s="13">
        <f t="shared" si="4"/>
        <v>9215949.9999996815</v>
      </c>
      <c r="L21" s="16">
        <f t="shared" si="5"/>
        <v>10137544.99999965</v>
      </c>
      <c r="M21" s="17">
        <f t="shared" si="6"/>
        <v>704.92629163477159</v>
      </c>
      <c r="N21" s="18"/>
    </row>
    <row r="22" spans="1:14">
      <c r="A22" s="9"/>
      <c r="B22" s="11">
        <v>15</v>
      </c>
      <c r="C22" s="12"/>
      <c r="D22" s="12"/>
      <c r="E22" s="13">
        <v>3.7100000000000364</v>
      </c>
      <c r="F22" s="14">
        <f t="shared" si="0"/>
        <v>7420.0000000000728</v>
      </c>
      <c r="G22" s="15">
        <f t="shared" si="1"/>
        <v>7683410.0000000754</v>
      </c>
      <c r="H22" s="13">
        <v>0.71000000000003638</v>
      </c>
      <c r="I22" s="14">
        <f t="shared" si="2"/>
        <v>1420.0000000000728</v>
      </c>
      <c r="J22" s="15">
        <f t="shared" si="3"/>
        <v>2205615.0000001132</v>
      </c>
      <c r="K22" s="13">
        <f t="shared" si="4"/>
        <v>9889025.0000001881</v>
      </c>
      <c r="L22" s="16">
        <f t="shared" si="5"/>
        <v>10877927.500000209</v>
      </c>
      <c r="M22" s="17">
        <f t="shared" si="6"/>
        <v>756.40967248454274</v>
      </c>
      <c r="N22" s="18"/>
    </row>
    <row r="23" spans="1:14">
      <c r="A23" s="9"/>
      <c r="B23" s="11">
        <v>16</v>
      </c>
      <c r="C23" s="12"/>
      <c r="D23" s="12"/>
      <c r="E23" s="13">
        <v>3.6100000000001273</v>
      </c>
      <c r="F23" s="14">
        <f t="shared" si="0"/>
        <v>7220.0000000002547</v>
      </c>
      <c r="G23" s="15">
        <f t="shared" si="1"/>
        <v>7476310.0000002636</v>
      </c>
      <c r="H23" s="13">
        <v>0.70999999999997954</v>
      </c>
      <c r="I23" s="14">
        <f t="shared" si="2"/>
        <v>1419.9999999999591</v>
      </c>
      <c r="J23" s="15">
        <f t="shared" si="3"/>
        <v>2205614.9999999362</v>
      </c>
      <c r="K23" s="13">
        <f t="shared" si="4"/>
        <v>9681925.0000001993</v>
      </c>
      <c r="L23" s="16">
        <f t="shared" si="5"/>
        <v>10650117.50000022</v>
      </c>
      <c r="M23" s="17">
        <f t="shared" si="6"/>
        <v>740.56863222308743</v>
      </c>
      <c r="N23" s="18"/>
    </row>
    <row r="24" spans="1:14">
      <c r="A24" s="9"/>
      <c r="B24" s="11">
        <v>17</v>
      </c>
      <c r="C24" s="12"/>
      <c r="D24" s="12"/>
      <c r="E24" s="13">
        <v>3.5699999999999363</v>
      </c>
      <c r="F24" s="14">
        <f t="shared" si="0"/>
        <v>7139.9999999998727</v>
      </c>
      <c r="G24" s="15">
        <f t="shared" si="1"/>
        <v>7393469.9999998678</v>
      </c>
      <c r="H24" s="13">
        <v>0.69999999999998863</v>
      </c>
      <c r="I24" s="14">
        <f t="shared" si="2"/>
        <v>1399.9999999999773</v>
      </c>
      <c r="J24" s="15">
        <f t="shared" si="3"/>
        <v>2174549.9999999646</v>
      </c>
      <c r="K24" s="13">
        <f t="shared" si="4"/>
        <v>9568019.9999998324</v>
      </c>
      <c r="L24" s="16">
        <f t="shared" si="5"/>
        <v>10524821.999999816</v>
      </c>
      <c r="M24" s="17">
        <f t="shared" si="6"/>
        <v>731.85606007925844</v>
      </c>
      <c r="N24" s="18"/>
    </row>
    <row r="25" spans="1:14">
      <c r="A25" s="9"/>
      <c r="B25" s="11">
        <v>18</v>
      </c>
      <c r="C25" s="12"/>
      <c r="D25" s="12"/>
      <c r="E25" s="13">
        <v>3.5099999999999909</v>
      </c>
      <c r="F25" s="14">
        <f t="shared" si="0"/>
        <v>7019.9999999999818</v>
      </c>
      <c r="G25" s="15">
        <f t="shared" si="1"/>
        <v>7269209.9999999814</v>
      </c>
      <c r="H25" s="13">
        <v>0.68000000000000682</v>
      </c>
      <c r="I25" s="14">
        <f t="shared" si="2"/>
        <v>1360.0000000000136</v>
      </c>
      <c r="J25" s="15">
        <f t="shared" si="3"/>
        <v>2112420.0000000214</v>
      </c>
      <c r="K25" s="13">
        <f t="shared" si="4"/>
        <v>9381630.0000000037</v>
      </c>
      <c r="L25" s="16">
        <f t="shared" si="5"/>
        <v>10319793.000000006</v>
      </c>
      <c r="M25" s="17">
        <f t="shared" si="6"/>
        <v>717.59912384396114</v>
      </c>
      <c r="N25" s="18"/>
    </row>
    <row r="26" spans="1:14">
      <c r="A26" s="9"/>
      <c r="B26" s="11">
        <v>19</v>
      </c>
      <c r="C26" s="12"/>
      <c r="D26" s="12"/>
      <c r="E26" s="13">
        <v>3.4000000000000909</v>
      </c>
      <c r="F26" s="14">
        <f t="shared" si="0"/>
        <v>6800.0000000001819</v>
      </c>
      <c r="G26" s="15">
        <f t="shared" si="1"/>
        <v>7041400.0000001881</v>
      </c>
      <c r="H26" s="13">
        <v>0.68000000000000682</v>
      </c>
      <c r="I26" s="14">
        <f t="shared" si="2"/>
        <v>1360.0000000000136</v>
      </c>
      <c r="J26" s="15">
        <f t="shared" si="3"/>
        <v>2112420.0000000214</v>
      </c>
      <c r="K26" s="13">
        <f t="shared" si="4"/>
        <v>9153820.0000002086</v>
      </c>
      <c r="L26" s="16">
        <f t="shared" si="5"/>
        <v>10069202.000000231</v>
      </c>
      <c r="M26" s="17">
        <f t="shared" si="6"/>
        <v>700.17397955637512</v>
      </c>
      <c r="N26" s="18"/>
    </row>
    <row r="27" spans="1:14">
      <c r="A27" s="9"/>
      <c r="B27" s="11">
        <v>20</v>
      </c>
      <c r="C27" s="12"/>
      <c r="D27" s="12"/>
      <c r="E27" s="13">
        <v>3.3199999999999363</v>
      </c>
      <c r="F27" s="14">
        <f t="shared" si="0"/>
        <v>6639.9999999998727</v>
      </c>
      <c r="G27" s="15">
        <f t="shared" si="1"/>
        <v>6875719.9999998678</v>
      </c>
      <c r="H27" s="13">
        <v>0.65999999999996817</v>
      </c>
      <c r="I27" s="14">
        <f t="shared" si="2"/>
        <v>1319.9999999999363</v>
      </c>
      <c r="J27" s="15">
        <f t="shared" si="3"/>
        <v>2050289.999999901</v>
      </c>
      <c r="K27" s="13">
        <f t="shared" si="4"/>
        <v>8926009.999999769</v>
      </c>
      <c r="L27" s="16">
        <f t="shared" si="5"/>
        <v>9818610.9999997467</v>
      </c>
      <c r="M27" s="17">
        <f t="shared" si="6"/>
        <v>682.74883526873975</v>
      </c>
      <c r="N27" s="18"/>
    </row>
    <row r="28" spans="1:14">
      <c r="A28" s="9"/>
      <c r="B28" s="11">
        <v>21</v>
      </c>
      <c r="C28" s="12"/>
      <c r="D28" s="12"/>
      <c r="E28" s="13">
        <v>2.1600000000000819</v>
      </c>
      <c r="F28" s="14">
        <f t="shared" si="0"/>
        <v>4320.0000000001637</v>
      </c>
      <c r="G28" s="15">
        <f t="shared" si="1"/>
        <v>4473360.0000001695</v>
      </c>
      <c r="H28" s="13">
        <v>0.72000000000002728</v>
      </c>
      <c r="I28" s="14">
        <f t="shared" si="2"/>
        <v>1440.0000000000546</v>
      </c>
      <c r="J28" s="15">
        <f t="shared" si="3"/>
        <v>2236680.0000000848</v>
      </c>
      <c r="K28" s="13">
        <f t="shared" si="4"/>
        <v>6710040.0000002543</v>
      </c>
      <c r="L28" s="16">
        <f t="shared" si="5"/>
        <v>7381044.0000002803</v>
      </c>
      <c r="M28" s="17">
        <f t="shared" si="6"/>
        <v>513.24970447119676</v>
      </c>
      <c r="N28" s="18"/>
    </row>
    <row r="29" spans="1:14">
      <c r="A29" s="9"/>
      <c r="B29" s="11">
        <v>22</v>
      </c>
      <c r="C29" s="12"/>
      <c r="D29" s="12"/>
      <c r="E29" s="13">
        <v>3.6599999999998545</v>
      </c>
      <c r="F29" s="14">
        <f t="shared" si="0"/>
        <v>7319.999999999709</v>
      </c>
      <c r="G29" s="15">
        <f t="shared" si="1"/>
        <v>7579859.9999996983</v>
      </c>
      <c r="H29" s="13">
        <v>0.76999999999998181</v>
      </c>
      <c r="I29" s="14">
        <f t="shared" si="2"/>
        <v>1539.9999999999636</v>
      </c>
      <c r="J29" s="15">
        <f t="shared" si="3"/>
        <v>2392004.9999999437</v>
      </c>
      <c r="K29" s="13">
        <f t="shared" si="4"/>
        <v>9971864.9999996424</v>
      </c>
      <c r="L29" s="16">
        <f t="shared" si="5"/>
        <v>10969051.499999607</v>
      </c>
      <c r="M29" s="17">
        <f t="shared" si="6"/>
        <v>762.74608858908334</v>
      </c>
      <c r="N29" s="18"/>
    </row>
    <row r="30" spans="1:14">
      <c r="A30" s="9"/>
      <c r="B30" s="11">
        <v>23</v>
      </c>
      <c r="C30" s="12"/>
      <c r="D30" s="12"/>
      <c r="E30" s="13">
        <v>3.75</v>
      </c>
      <c r="F30" s="14">
        <f t="shared" si="0"/>
        <v>7500</v>
      </c>
      <c r="G30" s="15">
        <f t="shared" si="1"/>
        <v>7766250</v>
      </c>
      <c r="H30" s="13">
        <v>0.77000000000003865</v>
      </c>
      <c r="I30" s="14">
        <f t="shared" si="2"/>
        <v>1540.0000000000773</v>
      </c>
      <c r="J30" s="15">
        <f t="shared" si="3"/>
        <v>2392005.0000001201</v>
      </c>
      <c r="K30" s="13">
        <f t="shared" si="4"/>
        <v>10158255.000000119</v>
      </c>
      <c r="L30" s="16">
        <f t="shared" si="5"/>
        <v>11174080.500000132</v>
      </c>
      <c r="M30" s="17">
        <f t="shared" si="6"/>
        <v>777.00302482443033</v>
      </c>
      <c r="N30" s="18"/>
    </row>
    <row r="31" spans="1:14">
      <c r="A31" s="9"/>
      <c r="B31" s="11">
        <v>24</v>
      </c>
      <c r="C31" s="12"/>
      <c r="D31" s="12"/>
      <c r="E31" s="13">
        <v>3.6600000000000819</v>
      </c>
      <c r="F31" s="14">
        <f t="shared" si="0"/>
        <v>7320.0000000001637</v>
      </c>
      <c r="G31" s="15">
        <f t="shared" si="1"/>
        <v>7579860.0000001695</v>
      </c>
      <c r="H31" s="13">
        <v>0.71999999999997044</v>
      </c>
      <c r="I31" s="14">
        <f t="shared" si="2"/>
        <v>1439.9999999999409</v>
      </c>
      <c r="J31" s="15">
        <f t="shared" si="3"/>
        <v>2236679.9999999083</v>
      </c>
      <c r="K31" s="13">
        <f t="shared" si="4"/>
        <v>9816540.0000000782</v>
      </c>
      <c r="L31" s="16">
        <f t="shared" si="5"/>
        <v>10798194.000000088</v>
      </c>
      <c r="M31" s="17">
        <f t="shared" si="6"/>
        <v>750.86530839302463</v>
      </c>
      <c r="N31" s="18"/>
    </row>
    <row r="32" spans="1:14">
      <c r="A32" s="9"/>
      <c r="B32" s="11">
        <v>25</v>
      </c>
      <c r="C32" s="12"/>
      <c r="D32" s="12"/>
      <c r="E32" s="13">
        <v>3.7200000000000273</v>
      </c>
      <c r="F32" s="14">
        <f t="shared" si="0"/>
        <v>7440.0000000000546</v>
      </c>
      <c r="G32" s="15">
        <f t="shared" si="1"/>
        <v>7704120.0000000568</v>
      </c>
      <c r="H32" s="13">
        <v>0.74000000000000909</v>
      </c>
      <c r="I32" s="14">
        <f t="shared" si="2"/>
        <v>1480.0000000000182</v>
      </c>
      <c r="J32" s="15">
        <f t="shared" si="3"/>
        <v>2298810.0000000284</v>
      </c>
      <c r="K32" s="13">
        <f t="shared" si="4"/>
        <v>10002930.000000086</v>
      </c>
      <c r="L32" s="16">
        <f t="shared" si="5"/>
        <v>11003223.000000095</v>
      </c>
      <c r="M32" s="17">
        <f t="shared" si="6"/>
        <v>765.12224462833569</v>
      </c>
      <c r="N32" s="18"/>
    </row>
    <row r="33" spans="1:16">
      <c r="A33" s="9"/>
      <c r="B33" s="11">
        <v>26</v>
      </c>
      <c r="C33" s="12"/>
      <c r="D33" s="12"/>
      <c r="E33" s="13">
        <v>3.6299999999998818</v>
      </c>
      <c r="F33" s="14">
        <f t="shared" ref="F33:F35" si="7">E33*2000</f>
        <v>7259.9999999997635</v>
      </c>
      <c r="G33" s="15">
        <f t="shared" ref="G33:G35" si="8">F33*1035.5</f>
        <v>7517729.9999997551</v>
      </c>
      <c r="H33" s="13">
        <v>0.74000000000000909</v>
      </c>
      <c r="I33" s="14">
        <f t="shared" ref="I33:I35" si="9">H33*2000</f>
        <v>1480.0000000000182</v>
      </c>
      <c r="J33" s="15">
        <f t="shared" ref="J33:J35" si="10">I33*1553.25</f>
        <v>2298810.0000000284</v>
      </c>
      <c r="K33" s="13">
        <f t="shared" ref="K33:K35" si="11">G33+J33</f>
        <v>9816539.9999997839</v>
      </c>
      <c r="L33" s="16">
        <f t="shared" ref="L33:L35" si="12">K33*1.1</f>
        <v>10798193.999999763</v>
      </c>
      <c r="M33" s="17">
        <f t="shared" ref="M33:M35" si="13">L33/14381</f>
        <v>750.86530839300212</v>
      </c>
      <c r="N33" s="18"/>
    </row>
    <row r="34" spans="1:16">
      <c r="A34" s="9"/>
      <c r="B34" s="11">
        <v>27</v>
      </c>
      <c r="C34" s="12"/>
      <c r="D34" s="12"/>
      <c r="E34" s="13">
        <v>3.5299999999999727</v>
      </c>
      <c r="F34" s="14">
        <f t="shared" si="7"/>
        <v>7059.9999999999454</v>
      </c>
      <c r="G34" s="15">
        <f t="shared" si="8"/>
        <v>7310629.9999999432</v>
      </c>
      <c r="H34" s="13">
        <v>0.74000000000000909</v>
      </c>
      <c r="I34" s="14">
        <f t="shared" si="9"/>
        <v>1480.0000000000182</v>
      </c>
      <c r="J34" s="15">
        <f t="shared" si="10"/>
        <v>2298810.0000000284</v>
      </c>
      <c r="K34" s="13">
        <f t="shared" si="11"/>
        <v>9609439.9999999721</v>
      </c>
      <c r="L34" s="16">
        <f t="shared" si="12"/>
        <v>10570383.99999997</v>
      </c>
      <c r="M34" s="17">
        <f t="shared" si="13"/>
        <v>735.02426813156046</v>
      </c>
      <c r="N34" s="18"/>
    </row>
    <row r="35" spans="1:16">
      <c r="A35" s="9"/>
      <c r="B35" s="11">
        <v>28</v>
      </c>
      <c r="C35" s="12"/>
      <c r="D35" s="12"/>
      <c r="E35" s="13">
        <v>3.7400000000000091</v>
      </c>
      <c r="F35" s="14">
        <f t="shared" si="7"/>
        <v>7480.0000000000182</v>
      </c>
      <c r="G35" s="15">
        <f t="shared" si="8"/>
        <v>7745540.0000000186</v>
      </c>
      <c r="H35" s="13">
        <v>0.79999999999995453</v>
      </c>
      <c r="I35" s="14">
        <f t="shared" si="9"/>
        <v>1599.9999999999091</v>
      </c>
      <c r="J35" s="15">
        <f t="shared" si="10"/>
        <v>2485199.9999998589</v>
      </c>
      <c r="K35" s="13">
        <f t="shared" si="11"/>
        <v>10230739.999999877</v>
      </c>
      <c r="L35" s="16">
        <f t="shared" si="12"/>
        <v>11253813.999999866</v>
      </c>
      <c r="M35" s="17">
        <f t="shared" si="13"/>
        <v>782.54738891592137</v>
      </c>
      <c r="N35" s="18"/>
    </row>
    <row r="36" spans="1:16">
      <c r="A36" s="9"/>
      <c r="B36" s="11">
        <v>29</v>
      </c>
      <c r="C36" s="12"/>
      <c r="D36" s="12"/>
      <c r="E36" s="13">
        <v>3.8100000000001728</v>
      </c>
      <c r="F36" s="14">
        <f t="shared" si="0"/>
        <v>7620.0000000003456</v>
      </c>
      <c r="G36" s="15">
        <f t="shared" si="1"/>
        <v>7890510.0000003576</v>
      </c>
      <c r="H36" s="13">
        <v>0.83000000000004093</v>
      </c>
      <c r="I36" s="14">
        <f t="shared" si="2"/>
        <v>1660.0000000000819</v>
      </c>
      <c r="J36" s="15">
        <f t="shared" si="3"/>
        <v>2578395.0000001271</v>
      </c>
      <c r="K36" s="13">
        <f t="shared" si="4"/>
        <v>10468905.000000484</v>
      </c>
      <c r="L36" s="16">
        <f t="shared" si="5"/>
        <v>11515795.500000533</v>
      </c>
      <c r="M36" s="17">
        <f t="shared" si="6"/>
        <v>800.76458521664233</v>
      </c>
      <c r="N36" s="18"/>
    </row>
    <row r="37" spans="1:16">
      <c r="A37" s="9"/>
      <c r="B37" s="11">
        <v>30</v>
      </c>
      <c r="C37" s="12"/>
      <c r="D37" s="12"/>
      <c r="E37" s="13">
        <v>3.959999999999809</v>
      </c>
      <c r="F37" s="14">
        <f t="shared" si="0"/>
        <v>7919.999999999618</v>
      </c>
      <c r="G37" s="15">
        <f t="shared" si="1"/>
        <v>8201159.9999996042</v>
      </c>
      <c r="H37" s="13">
        <v>0.88999999999998636</v>
      </c>
      <c r="I37" s="14">
        <f t="shared" si="2"/>
        <v>1779.9999999999727</v>
      </c>
      <c r="J37" s="15">
        <f t="shared" si="3"/>
        <v>2764784.9999999576</v>
      </c>
      <c r="K37" s="13">
        <f t="shared" si="4"/>
        <v>10965944.999999562</v>
      </c>
      <c r="L37" s="16">
        <f t="shared" si="5"/>
        <v>12062539.499999519</v>
      </c>
      <c r="M37" s="17">
        <f t="shared" si="6"/>
        <v>838.78308184406649</v>
      </c>
      <c r="N37" s="18"/>
    </row>
    <row r="38" spans="1:16">
      <c r="C38" s="19">
        <f>SUM(C8:C37)</f>
        <v>0</v>
      </c>
      <c r="D38" s="19">
        <f>SUM(D8:D37)</f>
        <v>0</v>
      </c>
      <c r="E38" s="20">
        <v>3.2799999999999727</v>
      </c>
      <c r="F38" s="19">
        <f>SUM(F8:F37)</f>
        <v>201279.99999999977</v>
      </c>
      <c r="I38" s="19">
        <f>SUM(I8:I37)</f>
        <v>40980.000000000007</v>
      </c>
      <c r="L38" s="21">
        <f>SUM(L8:L37)</f>
        <v>299285387.4999997</v>
      </c>
      <c r="M38" s="22">
        <f>SUM(M8:M37)</f>
        <v>20811.166643487923</v>
      </c>
      <c r="N38" s="23"/>
      <c r="P38" s="24"/>
    </row>
    <row r="40" spans="1:16">
      <c r="G40" s="74" t="s">
        <v>28</v>
      </c>
      <c r="H40" s="75"/>
      <c r="I40" s="76">
        <f>F38+I38</f>
        <v>242259.99999999977</v>
      </c>
      <c r="M40" s="25"/>
      <c r="P40" s="26"/>
    </row>
    <row r="41" spans="1:16">
      <c r="M41" s="27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2" zoomScale="90" zoomScaleNormal="90" workbookViewId="0">
      <selection activeCell="V26" sqref="V26"/>
    </sheetView>
  </sheetViews>
  <sheetFormatPr defaultRowHeight="15"/>
  <cols>
    <col min="1" max="1" width="2.5703125" customWidth="1"/>
    <col min="2" max="2" width="5.42578125" customWidth="1"/>
    <col min="3" max="3" width="6.42578125" style="20" customWidth="1"/>
    <col min="4" max="4" width="8.42578125" style="8" customWidth="1"/>
    <col min="5" max="5" width="11" style="20" customWidth="1"/>
    <col min="6" max="6" width="9.5703125" style="20" customWidth="1"/>
    <col min="7" max="7" width="11.140625" style="20" customWidth="1"/>
    <col min="8" max="8" width="9.42578125" style="20" customWidth="1"/>
    <col min="9" max="9" width="7.7109375" style="20" customWidth="1"/>
    <col min="10" max="10" width="13.7109375" style="20" customWidth="1"/>
    <col min="11" max="11" width="11.140625" style="20" customWidth="1"/>
    <col min="12" max="12" width="7.7109375" style="20" customWidth="1"/>
    <col min="13" max="13" width="13.7109375" style="51" customWidth="1"/>
    <col min="14" max="14" width="8.7109375" style="20" customWidth="1"/>
    <col min="15" max="15" width="6.42578125" style="20" customWidth="1"/>
    <col min="16" max="16" width="11.140625" style="20" customWidth="1"/>
    <col min="17" max="17" width="15" style="8" customWidth="1"/>
    <col min="18" max="18" width="16.28515625" style="20" customWidth="1"/>
    <col min="19" max="19" width="2.5703125" customWidth="1"/>
    <col min="21" max="21" width="21.5703125" customWidth="1"/>
  </cols>
  <sheetData>
    <row r="1" spans="1:21" ht="15.75">
      <c r="B1" s="102" t="s">
        <v>29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21" ht="15.75">
      <c r="B2" s="102" t="s">
        <v>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21">
      <c r="E3" s="28"/>
      <c r="F3" s="29"/>
      <c r="G3" s="29"/>
      <c r="H3" s="29"/>
      <c r="I3" s="29"/>
      <c r="J3" s="29"/>
      <c r="K3" s="29"/>
      <c r="L3" s="29"/>
      <c r="M3" s="30"/>
      <c r="N3" s="28"/>
      <c r="O3" s="29"/>
      <c r="P3" s="29"/>
      <c r="Q3" s="31"/>
    </row>
    <row r="4" spans="1:21">
      <c r="A4" s="5"/>
      <c r="B4" s="108">
        <v>44652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5"/>
    </row>
    <row r="5" spans="1:21">
      <c r="A5" s="6"/>
      <c r="B5" s="101" t="s">
        <v>17</v>
      </c>
      <c r="C5" s="101" t="s">
        <v>18</v>
      </c>
      <c r="D5" s="101" t="s">
        <v>13</v>
      </c>
      <c r="E5" s="109" t="s">
        <v>30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 t="s">
        <v>31</v>
      </c>
      <c r="R5" s="110"/>
      <c r="S5" s="7"/>
    </row>
    <row r="6" spans="1:21" s="8" customFormat="1">
      <c r="A6" s="6"/>
      <c r="B6" s="101"/>
      <c r="C6" s="101"/>
      <c r="D6" s="101"/>
      <c r="E6" s="109" t="s">
        <v>32</v>
      </c>
      <c r="F6" s="109"/>
      <c r="G6" s="109"/>
      <c r="H6" s="109" t="s">
        <v>33</v>
      </c>
      <c r="I6" s="109"/>
      <c r="J6" s="109"/>
      <c r="K6" s="109" t="s">
        <v>34</v>
      </c>
      <c r="L6" s="109"/>
      <c r="M6" s="109"/>
      <c r="N6" s="111" t="s">
        <v>35</v>
      </c>
      <c r="O6" s="111"/>
      <c r="P6" s="111"/>
      <c r="Q6" s="110"/>
      <c r="R6" s="110"/>
      <c r="S6" s="7"/>
    </row>
    <row r="7" spans="1:21" ht="22.5">
      <c r="A7" s="9"/>
      <c r="B7" s="101"/>
      <c r="C7" s="101"/>
      <c r="D7" s="101"/>
      <c r="E7" s="101" t="s">
        <v>36</v>
      </c>
      <c r="F7" s="106" t="s">
        <v>37</v>
      </c>
      <c r="G7" s="32" t="s">
        <v>38</v>
      </c>
      <c r="H7" s="101" t="s">
        <v>39</v>
      </c>
      <c r="I7" s="101" t="s">
        <v>37</v>
      </c>
      <c r="J7" s="32" t="s">
        <v>38</v>
      </c>
      <c r="K7" s="101" t="s">
        <v>36</v>
      </c>
      <c r="L7" s="101" t="s">
        <v>37</v>
      </c>
      <c r="M7" s="32" t="s">
        <v>40</v>
      </c>
      <c r="N7" s="101" t="s">
        <v>41</v>
      </c>
      <c r="O7" s="101" t="s">
        <v>37</v>
      </c>
      <c r="P7" s="32" t="s">
        <v>40</v>
      </c>
      <c r="Q7" s="110"/>
      <c r="R7" s="110"/>
      <c r="S7" s="10"/>
    </row>
    <row r="8" spans="1:21">
      <c r="A8" s="9"/>
      <c r="B8" s="101"/>
      <c r="C8" s="101"/>
      <c r="D8" s="101"/>
      <c r="E8" s="101"/>
      <c r="F8" s="107"/>
      <c r="G8" s="33">
        <v>15840</v>
      </c>
      <c r="H8" s="101"/>
      <c r="I8" s="101"/>
      <c r="J8" s="33">
        <f>G8</f>
        <v>15840</v>
      </c>
      <c r="K8" s="101"/>
      <c r="L8" s="101"/>
      <c r="M8" s="33">
        <f>J8</f>
        <v>15840</v>
      </c>
      <c r="N8" s="101"/>
      <c r="O8" s="101"/>
      <c r="P8" s="33">
        <f>J8</f>
        <v>15840</v>
      </c>
      <c r="Q8" s="34" t="s">
        <v>42</v>
      </c>
      <c r="R8" s="32" t="s">
        <v>23</v>
      </c>
      <c r="S8" s="10"/>
      <c r="U8">
        <f>792000/50</f>
        <v>15840</v>
      </c>
    </row>
    <row r="9" spans="1:21">
      <c r="A9" s="9"/>
      <c r="B9" s="11">
        <v>1</v>
      </c>
      <c r="C9" s="35">
        <f>Electricity!C8</f>
        <v>0</v>
      </c>
      <c r="D9" s="36">
        <f>Electricity!D8</f>
        <v>0</v>
      </c>
      <c r="E9" s="70">
        <v>9136.8799999999992</v>
      </c>
      <c r="F9" s="13">
        <v>51.961199999998527</v>
      </c>
      <c r="G9" s="38">
        <f>F9*$G$8</f>
        <v>823065.40799997665</v>
      </c>
      <c r="H9" s="37">
        <v>638</v>
      </c>
      <c r="I9" s="38">
        <v>0</v>
      </c>
      <c r="J9" s="38">
        <f>I9*$J$8</f>
        <v>0</v>
      </c>
      <c r="K9" s="37"/>
      <c r="L9" s="13">
        <v>0</v>
      </c>
      <c r="M9" s="14">
        <f>L9*$M$8</f>
        <v>0</v>
      </c>
      <c r="N9" s="37"/>
      <c r="O9" s="13">
        <v>7.14</v>
      </c>
      <c r="P9" s="39">
        <f>O9*$P$8</f>
        <v>113097.59999999999</v>
      </c>
      <c r="Q9" s="40">
        <f>P9+G9+J9+M9</f>
        <v>936163.00799997663</v>
      </c>
      <c r="R9" s="41">
        <f>Q9/14381</f>
        <v>65.097212154925018</v>
      </c>
      <c r="S9" s="10"/>
    </row>
    <row r="10" spans="1:21">
      <c r="A10" s="9"/>
      <c r="B10" s="11">
        <v>2</v>
      </c>
      <c r="C10" s="35">
        <f>Electricity!C9</f>
        <v>0</v>
      </c>
      <c r="D10" s="36">
        <f>Electricity!D9</f>
        <v>0</v>
      </c>
      <c r="E10" s="70">
        <v>9147.09</v>
      </c>
      <c r="F10" s="13">
        <v>41.125880000003804</v>
      </c>
      <c r="G10" s="38">
        <f>F10*$G$8</f>
        <v>651433.93920006021</v>
      </c>
      <c r="H10" s="37">
        <v>638</v>
      </c>
      <c r="I10" s="38">
        <v>0</v>
      </c>
      <c r="J10" s="38">
        <f>I10*$J$8</f>
        <v>0</v>
      </c>
      <c r="K10" s="37"/>
      <c r="L10" s="13">
        <v>0</v>
      </c>
      <c r="M10" s="14">
        <f t="shared" ref="M10:M38" si="0">L10*$M$8</f>
        <v>0</v>
      </c>
      <c r="N10" s="37"/>
      <c r="O10" s="13">
        <v>7.14</v>
      </c>
      <c r="P10" s="39">
        <f>O10*$P$8</f>
        <v>113097.59999999999</v>
      </c>
      <c r="Q10" s="40">
        <f>J10+M10+G10+P10</f>
        <v>764531.53920006019</v>
      </c>
      <c r="R10" s="41">
        <f t="shared" ref="R10:R38" si="1">Q10/14381</f>
        <v>53.162613114530295</v>
      </c>
      <c r="S10" s="10"/>
    </row>
    <row r="11" spans="1:21">
      <c r="A11" s="9"/>
      <c r="B11" s="11">
        <v>3</v>
      </c>
      <c r="C11" s="35">
        <f>Electricity!C10</f>
        <v>0</v>
      </c>
      <c r="D11" s="36">
        <f>Electricity!D10</f>
        <v>0</v>
      </c>
      <c r="E11" s="70">
        <v>9157.6</v>
      </c>
      <c r="F11" s="13">
        <v>42.334280000000874</v>
      </c>
      <c r="G11" s="38">
        <f t="shared" ref="G11:G38" si="2">F11*$G$8</f>
        <v>670574.99520001386</v>
      </c>
      <c r="H11" s="37">
        <v>638</v>
      </c>
      <c r="I11" s="38">
        <v>0</v>
      </c>
      <c r="J11" s="38">
        <f t="shared" ref="J11:J37" si="3">I11*$J$8</f>
        <v>0</v>
      </c>
      <c r="K11" s="37"/>
      <c r="L11" s="13">
        <v>0</v>
      </c>
      <c r="M11" s="14">
        <f t="shared" si="0"/>
        <v>0</v>
      </c>
      <c r="N11" s="37"/>
      <c r="O11" s="13">
        <v>7.14</v>
      </c>
      <c r="P11" s="39">
        <f t="shared" ref="P11:P38" si="4">O11*$P$8</f>
        <v>113097.59999999999</v>
      </c>
      <c r="Q11" s="40">
        <f t="shared" ref="Q11:Q38" si="5">J11+M11+G11+P11</f>
        <v>783672.59520001383</v>
      </c>
      <c r="R11" s="41">
        <f t="shared" si="1"/>
        <v>54.493609290036424</v>
      </c>
      <c r="S11" s="10"/>
    </row>
    <row r="12" spans="1:21">
      <c r="A12" s="9"/>
      <c r="B12" s="11">
        <v>4</v>
      </c>
      <c r="C12" s="35">
        <f>Electricity!C11</f>
        <v>0</v>
      </c>
      <c r="D12" s="36">
        <f>Electricity!D11</f>
        <v>0</v>
      </c>
      <c r="E12" s="70">
        <v>9167.3700000000008</v>
      </c>
      <c r="F12" s="13">
        <v>39.353560000001757</v>
      </c>
      <c r="G12" s="38">
        <f t="shared" si="2"/>
        <v>623360.39040002786</v>
      </c>
      <c r="H12" s="37">
        <v>638</v>
      </c>
      <c r="I12" s="38">
        <v>0</v>
      </c>
      <c r="J12" s="38">
        <f t="shared" si="3"/>
        <v>0</v>
      </c>
      <c r="K12" s="37"/>
      <c r="L12" s="13">
        <v>0</v>
      </c>
      <c r="M12" s="14">
        <f t="shared" si="0"/>
        <v>0</v>
      </c>
      <c r="N12" s="37"/>
      <c r="O12" s="13">
        <v>7.14</v>
      </c>
      <c r="P12" s="39">
        <f t="shared" si="4"/>
        <v>113097.59999999999</v>
      </c>
      <c r="Q12" s="40">
        <f t="shared" si="5"/>
        <v>736457.99040002783</v>
      </c>
      <c r="R12" s="41">
        <f t="shared" si="1"/>
        <v>51.210485390447666</v>
      </c>
      <c r="S12" s="10"/>
    </row>
    <row r="13" spans="1:21">
      <c r="A13" s="9"/>
      <c r="B13" s="11">
        <v>5</v>
      </c>
      <c r="C13" s="35">
        <f>Electricity!C12</f>
        <v>0</v>
      </c>
      <c r="D13" s="36">
        <f>Electricity!D12</f>
        <v>0</v>
      </c>
      <c r="E13" s="70">
        <v>9177.74</v>
      </c>
      <c r="F13" s="13">
        <v>41.77035999999589</v>
      </c>
      <c r="G13" s="38">
        <f t="shared" si="2"/>
        <v>661642.50239993492</v>
      </c>
      <c r="H13" s="37">
        <v>638</v>
      </c>
      <c r="I13" s="38">
        <v>0</v>
      </c>
      <c r="J13" s="38">
        <f t="shared" si="3"/>
        <v>0</v>
      </c>
      <c r="K13" s="37"/>
      <c r="L13" s="13">
        <v>0</v>
      </c>
      <c r="M13" s="14">
        <f t="shared" si="0"/>
        <v>0</v>
      </c>
      <c r="N13" s="37"/>
      <c r="O13" s="13">
        <v>7.14</v>
      </c>
      <c r="P13" s="39">
        <f t="shared" si="4"/>
        <v>113097.59999999999</v>
      </c>
      <c r="Q13" s="40">
        <f t="shared" si="5"/>
        <v>774740.1023999349</v>
      </c>
      <c r="R13" s="41">
        <f t="shared" si="1"/>
        <v>53.872477741459903</v>
      </c>
      <c r="S13" s="10"/>
    </row>
    <row r="14" spans="1:21">
      <c r="A14" s="9"/>
      <c r="B14" s="11">
        <v>6</v>
      </c>
      <c r="C14" s="35">
        <f>Electricity!C13</f>
        <v>0</v>
      </c>
      <c r="D14" s="36">
        <f>Electricity!D13</f>
        <v>0</v>
      </c>
      <c r="E14" s="70">
        <v>9187.65</v>
      </c>
      <c r="F14" s="13">
        <v>39.917479999999408</v>
      </c>
      <c r="G14" s="38">
        <f t="shared" si="2"/>
        <v>632292.88319999061</v>
      </c>
      <c r="H14" s="37">
        <v>638</v>
      </c>
      <c r="I14" s="38">
        <v>0</v>
      </c>
      <c r="J14" s="38">
        <f t="shared" si="3"/>
        <v>0</v>
      </c>
      <c r="K14" s="37"/>
      <c r="L14" s="13">
        <v>0</v>
      </c>
      <c r="M14" s="14">
        <f t="shared" si="0"/>
        <v>0</v>
      </c>
      <c r="N14" s="37"/>
      <c r="O14" s="13">
        <v>7.14</v>
      </c>
      <c r="P14" s="39">
        <f t="shared" si="4"/>
        <v>113097.59999999999</v>
      </c>
      <c r="Q14" s="40">
        <f t="shared" si="5"/>
        <v>745390.48319999059</v>
      </c>
      <c r="R14" s="41">
        <f t="shared" si="1"/>
        <v>51.831616939016101</v>
      </c>
      <c r="S14" s="10"/>
    </row>
    <row r="15" spans="1:21">
      <c r="A15" s="9"/>
      <c r="B15" s="11">
        <v>7</v>
      </c>
      <c r="C15" s="35">
        <f>Electricity!C14</f>
        <v>0</v>
      </c>
      <c r="D15" s="36">
        <f>Electricity!D14</f>
        <v>0</v>
      </c>
      <c r="E15" s="70">
        <v>9200.57</v>
      </c>
      <c r="F15" s="13">
        <v>52.041760000000288</v>
      </c>
      <c r="G15" s="38">
        <f t="shared" si="2"/>
        <v>824341.47840000456</v>
      </c>
      <c r="H15" s="37">
        <v>638</v>
      </c>
      <c r="I15" s="38">
        <v>0</v>
      </c>
      <c r="J15" s="38">
        <f t="shared" si="3"/>
        <v>0</v>
      </c>
      <c r="K15" s="37"/>
      <c r="L15" s="13">
        <v>0</v>
      </c>
      <c r="M15" s="14">
        <f t="shared" si="0"/>
        <v>0</v>
      </c>
      <c r="N15" s="37"/>
      <c r="O15" s="13">
        <v>7.14</v>
      </c>
      <c r="P15" s="39">
        <f t="shared" si="4"/>
        <v>113097.59999999999</v>
      </c>
      <c r="Q15" s="40">
        <f t="shared" si="5"/>
        <v>937439.07840000454</v>
      </c>
      <c r="R15" s="41">
        <f t="shared" si="1"/>
        <v>65.185945233294248</v>
      </c>
      <c r="S15" s="10"/>
    </row>
    <row r="16" spans="1:21">
      <c r="A16" s="9"/>
      <c r="B16" s="11">
        <v>8</v>
      </c>
      <c r="C16" s="35">
        <f>Electricity!C15</f>
        <v>0</v>
      </c>
      <c r="D16" s="36">
        <f>Electricity!D15</f>
        <v>0</v>
      </c>
      <c r="E16" s="70">
        <v>9211.7900000000009</v>
      </c>
      <c r="F16" s="13">
        <v>45.194160000004686</v>
      </c>
      <c r="G16" s="38">
        <f t="shared" si="2"/>
        <v>715875.49440007424</v>
      </c>
      <c r="H16" s="37">
        <v>638</v>
      </c>
      <c r="I16" s="38">
        <v>0</v>
      </c>
      <c r="J16" s="38">
        <f t="shared" si="3"/>
        <v>0</v>
      </c>
      <c r="K16" s="37"/>
      <c r="L16" s="13">
        <v>0</v>
      </c>
      <c r="M16" s="14">
        <f t="shared" si="0"/>
        <v>0</v>
      </c>
      <c r="N16" s="37"/>
      <c r="O16" s="13">
        <v>7.14</v>
      </c>
      <c r="P16" s="39">
        <f t="shared" si="4"/>
        <v>113097.59999999999</v>
      </c>
      <c r="Q16" s="40">
        <f t="shared" si="5"/>
        <v>828973.09440007422</v>
      </c>
      <c r="R16" s="41">
        <f t="shared" si="1"/>
        <v>57.643633572079423</v>
      </c>
      <c r="S16" s="10"/>
    </row>
    <row r="17" spans="1:19">
      <c r="A17" s="9"/>
      <c r="B17" s="11">
        <v>9</v>
      </c>
      <c r="C17" s="35">
        <f>Electricity!C16</f>
        <v>0</v>
      </c>
      <c r="D17" s="36">
        <f>Electricity!D16</f>
        <v>0</v>
      </c>
      <c r="E17" s="71">
        <v>9223.14</v>
      </c>
      <c r="F17" s="13">
        <v>45.717799999994135</v>
      </c>
      <c r="G17" s="38">
        <f t="shared" si="2"/>
        <v>724169.95199990715</v>
      </c>
      <c r="H17" s="37">
        <v>638</v>
      </c>
      <c r="I17" s="38">
        <v>0</v>
      </c>
      <c r="J17" s="38">
        <f t="shared" si="3"/>
        <v>0</v>
      </c>
      <c r="K17" s="37"/>
      <c r="L17" s="13">
        <v>0</v>
      </c>
      <c r="M17" s="14">
        <f t="shared" si="0"/>
        <v>0</v>
      </c>
      <c r="N17" s="37"/>
      <c r="O17" s="13">
        <v>7.14</v>
      </c>
      <c r="P17" s="39">
        <f t="shared" si="4"/>
        <v>113097.59999999999</v>
      </c>
      <c r="Q17" s="40">
        <f t="shared" si="5"/>
        <v>837267.55199990713</v>
      </c>
      <c r="R17" s="41">
        <f t="shared" si="1"/>
        <v>58.220398581455193</v>
      </c>
      <c r="S17" s="10"/>
    </row>
    <row r="18" spans="1:19">
      <c r="A18" s="9"/>
      <c r="B18" s="11">
        <v>10</v>
      </c>
      <c r="C18" s="35">
        <f>Electricity!C17</f>
        <v>0</v>
      </c>
      <c r="D18" s="36">
        <f>Electricity!D17</f>
        <v>0</v>
      </c>
      <c r="E18" s="70">
        <v>9234.14</v>
      </c>
      <c r="F18" s="13">
        <v>44.307999999999993</v>
      </c>
      <c r="G18" s="38">
        <f t="shared" si="2"/>
        <v>701838.71999999986</v>
      </c>
      <c r="H18" s="37">
        <v>638</v>
      </c>
      <c r="I18" s="38">
        <f t="shared" ref="I18:I38" si="6">H18-H17</f>
        <v>0</v>
      </c>
      <c r="J18" s="38">
        <f t="shared" si="3"/>
        <v>0</v>
      </c>
      <c r="K18" s="37"/>
      <c r="L18" s="13">
        <v>0</v>
      </c>
      <c r="M18" s="14">
        <f t="shared" si="0"/>
        <v>0</v>
      </c>
      <c r="N18" s="37"/>
      <c r="O18" s="13">
        <v>7.14</v>
      </c>
      <c r="P18" s="39">
        <f t="shared" si="4"/>
        <v>113097.59999999999</v>
      </c>
      <c r="Q18" s="40">
        <f t="shared" si="5"/>
        <v>814936.31999999983</v>
      </c>
      <c r="R18" s="41">
        <f t="shared" si="1"/>
        <v>56.667569710034059</v>
      </c>
      <c r="S18" s="10"/>
    </row>
    <row r="19" spans="1:19">
      <c r="A19" s="9"/>
      <c r="B19" s="11">
        <v>11</v>
      </c>
      <c r="C19" s="35">
        <f>Electricity!C18</f>
        <v>0</v>
      </c>
      <c r="D19" s="36">
        <f>Electricity!D18</f>
        <v>0</v>
      </c>
      <c r="E19" s="70">
        <v>9246.18</v>
      </c>
      <c r="F19" s="13">
        <v>48.497120000003513</v>
      </c>
      <c r="G19" s="38">
        <f t="shared" si="2"/>
        <v>768194.38080005569</v>
      </c>
      <c r="H19" s="37">
        <v>638</v>
      </c>
      <c r="I19" s="38">
        <f t="shared" si="6"/>
        <v>0</v>
      </c>
      <c r="J19" s="38">
        <f t="shared" si="3"/>
        <v>0</v>
      </c>
      <c r="K19" s="37"/>
      <c r="L19" s="13">
        <v>0</v>
      </c>
      <c r="M19" s="14">
        <f t="shared" si="0"/>
        <v>0</v>
      </c>
      <c r="N19" s="37"/>
      <c r="O19" s="13">
        <v>7.14</v>
      </c>
      <c r="P19" s="39">
        <f t="shared" si="4"/>
        <v>113097.59999999999</v>
      </c>
      <c r="Q19" s="40">
        <f t="shared" si="5"/>
        <v>881291.98080005567</v>
      </c>
      <c r="R19" s="41">
        <f t="shared" si="1"/>
        <v>61.281689785137033</v>
      </c>
      <c r="S19" s="10"/>
    </row>
    <row r="20" spans="1:19">
      <c r="A20" s="9"/>
      <c r="B20" s="11">
        <v>12</v>
      </c>
      <c r="C20" s="35">
        <f>Electricity!C19</f>
        <v>0</v>
      </c>
      <c r="D20" s="36">
        <f>Electricity!D19</f>
        <v>0</v>
      </c>
      <c r="E20" s="70">
        <v>9257.7000000000007</v>
      </c>
      <c r="F20" s="13">
        <v>46.402560000001756</v>
      </c>
      <c r="G20" s="38">
        <f t="shared" si="2"/>
        <v>735016.55040002777</v>
      </c>
      <c r="H20" s="37">
        <v>638</v>
      </c>
      <c r="I20" s="38">
        <f t="shared" si="6"/>
        <v>0</v>
      </c>
      <c r="J20" s="38">
        <f t="shared" si="3"/>
        <v>0</v>
      </c>
      <c r="K20" s="37"/>
      <c r="L20" s="13">
        <v>0</v>
      </c>
      <c r="M20" s="14">
        <f t="shared" si="0"/>
        <v>0</v>
      </c>
      <c r="N20" s="37"/>
      <c r="O20" s="13">
        <v>7.14</v>
      </c>
      <c r="P20" s="39">
        <f t="shared" si="4"/>
        <v>113097.59999999999</v>
      </c>
      <c r="Q20" s="40">
        <f t="shared" si="5"/>
        <v>848114.15040002775</v>
      </c>
      <c r="R20" s="41">
        <f t="shared" si="1"/>
        <v>58.974629747585546</v>
      </c>
      <c r="S20" s="10"/>
    </row>
    <row r="21" spans="1:19">
      <c r="A21" s="9"/>
      <c r="B21" s="11">
        <v>13</v>
      </c>
      <c r="C21" s="35">
        <f>Electricity!C20</f>
        <v>0</v>
      </c>
      <c r="D21" s="36">
        <f>Electricity!D20</f>
        <v>0</v>
      </c>
      <c r="E21" s="70">
        <v>9269.91</v>
      </c>
      <c r="F21" s="13">
        <v>49.181879999996475</v>
      </c>
      <c r="G21" s="38">
        <f t="shared" si="2"/>
        <v>779040.97919994418</v>
      </c>
      <c r="H21" s="37">
        <v>638</v>
      </c>
      <c r="I21" s="38">
        <f t="shared" si="6"/>
        <v>0</v>
      </c>
      <c r="J21" s="38">
        <f t="shared" si="3"/>
        <v>0</v>
      </c>
      <c r="K21" s="37"/>
      <c r="L21" s="13">
        <v>0</v>
      </c>
      <c r="M21" s="14">
        <f t="shared" si="0"/>
        <v>0</v>
      </c>
      <c r="N21" s="37"/>
      <c r="O21" s="13">
        <v>7.14</v>
      </c>
      <c r="P21" s="39">
        <f t="shared" si="4"/>
        <v>113097.59999999999</v>
      </c>
      <c r="Q21" s="40">
        <f t="shared" si="5"/>
        <v>892138.57919994416</v>
      </c>
      <c r="R21" s="41">
        <f t="shared" si="1"/>
        <v>62.035920951251242</v>
      </c>
      <c r="S21" s="10"/>
    </row>
    <row r="22" spans="1:19">
      <c r="A22" s="9"/>
      <c r="B22" s="11">
        <v>14</v>
      </c>
      <c r="C22" s="35">
        <f>Electricity!C21</f>
        <v>0</v>
      </c>
      <c r="D22" s="36">
        <f>Electricity!D21</f>
        <v>0</v>
      </c>
      <c r="E22" s="70">
        <v>9286.16</v>
      </c>
      <c r="F22" s="13">
        <v>65.454999999999998</v>
      </c>
      <c r="G22" s="38">
        <f t="shared" si="2"/>
        <v>1036807.2</v>
      </c>
      <c r="H22" s="37">
        <v>638</v>
      </c>
      <c r="I22" s="38">
        <f t="shared" si="6"/>
        <v>0</v>
      </c>
      <c r="J22" s="38">
        <f t="shared" si="3"/>
        <v>0</v>
      </c>
      <c r="K22" s="37"/>
      <c r="L22" s="13">
        <v>0</v>
      </c>
      <c r="M22" s="14">
        <f t="shared" si="0"/>
        <v>0</v>
      </c>
      <c r="N22" s="37"/>
      <c r="O22" s="13">
        <v>7.14</v>
      </c>
      <c r="P22" s="39">
        <f t="shared" si="4"/>
        <v>113097.59999999999</v>
      </c>
      <c r="Q22" s="40">
        <f t="shared" si="5"/>
        <v>1149904.8</v>
      </c>
      <c r="R22" s="41">
        <f t="shared" si="1"/>
        <v>79.960002781447741</v>
      </c>
      <c r="S22" s="10"/>
    </row>
    <row r="23" spans="1:19">
      <c r="A23" s="9"/>
      <c r="B23" s="11">
        <v>15</v>
      </c>
      <c r="C23" s="35">
        <f>Electricity!C22</f>
        <v>0</v>
      </c>
      <c r="D23" s="36">
        <f>Electricity!D22</f>
        <v>0</v>
      </c>
      <c r="E23" s="70">
        <v>9304.0499999999993</v>
      </c>
      <c r="F23" s="13">
        <v>72.060919999997651</v>
      </c>
      <c r="G23" s="38">
        <f t="shared" si="2"/>
        <v>1141444.9727999629</v>
      </c>
      <c r="H23" s="37">
        <v>638</v>
      </c>
      <c r="I23" s="38">
        <f t="shared" si="6"/>
        <v>0</v>
      </c>
      <c r="J23" s="38">
        <f t="shared" si="3"/>
        <v>0</v>
      </c>
      <c r="K23" s="37"/>
      <c r="L23" s="13">
        <v>0</v>
      </c>
      <c r="M23" s="14">
        <f t="shared" si="0"/>
        <v>0</v>
      </c>
      <c r="N23" s="37"/>
      <c r="O23" s="13">
        <v>7.14</v>
      </c>
      <c r="P23" s="39">
        <f t="shared" si="4"/>
        <v>113097.59999999999</v>
      </c>
      <c r="Q23" s="40">
        <f t="shared" si="5"/>
        <v>1254542.5727999629</v>
      </c>
      <c r="R23" s="41">
        <f t="shared" si="1"/>
        <v>87.23611520756296</v>
      </c>
      <c r="S23" s="10"/>
    </row>
    <row r="24" spans="1:19">
      <c r="A24" s="9"/>
      <c r="B24" s="11">
        <v>16</v>
      </c>
      <c r="C24" s="35">
        <f>Electricity!C23</f>
        <v>0</v>
      </c>
      <c r="D24" s="36">
        <f>Electricity!D23</f>
        <v>0</v>
      </c>
      <c r="E24" s="70">
        <v>9320.15</v>
      </c>
      <c r="F24" s="13">
        <v>64.850800000001456</v>
      </c>
      <c r="G24" s="38">
        <f t="shared" si="2"/>
        <v>1027236.6720000231</v>
      </c>
      <c r="H24" s="37">
        <v>638</v>
      </c>
      <c r="I24" s="38">
        <f t="shared" si="6"/>
        <v>0</v>
      </c>
      <c r="J24" s="38">
        <f t="shared" si="3"/>
        <v>0</v>
      </c>
      <c r="K24" s="37"/>
      <c r="L24" s="13">
        <v>0</v>
      </c>
      <c r="M24" s="14">
        <f t="shared" si="0"/>
        <v>0</v>
      </c>
      <c r="N24" s="37"/>
      <c r="O24" s="13">
        <v>7.14</v>
      </c>
      <c r="P24" s="39">
        <f t="shared" si="4"/>
        <v>113097.59999999999</v>
      </c>
      <c r="Q24" s="40">
        <f t="shared" si="5"/>
        <v>1140334.2720000232</v>
      </c>
      <c r="R24" s="41">
        <f t="shared" si="1"/>
        <v>79.294504693694677</v>
      </c>
      <c r="S24" s="10"/>
    </row>
    <row r="25" spans="1:19">
      <c r="A25" s="9"/>
      <c r="B25" s="11">
        <v>17</v>
      </c>
      <c r="C25" s="35">
        <f>Electricity!C24</f>
        <v>0</v>
      </c>
      <c r="D25" s="36">
        <f>Electricity!D24</f>
        <v>0</v>
      </c>
      <c r="E25" s="70">
        <v>9337.86</v>
      </c>
      <c r="F25" s="13">
        <v>71.335880000003797</v>
      </c>
      <c r="G25" s="38">
        <f t="shared" si="2"/>
        <v>1129960.3392000601</v>
      </c>
      <c r="H25" s="37">
        <v>638</v>
      </c>
      <c r="I25" s="38">
        <f t="shared" si="6"/>
        <v>0</v>
      </c>
      <c r="J25" s="38">
        <f t="shared" si="3"/>
        <v>0</v>
      </c>
      <c r="K25" s="37"/>
      <c r="L25" s="13">
        <v>0</v>
      </c>
      <c r="M25" s="14">
        <f t="shared" si="0"/>
        <v>0</v>
      </c>
      <c r="N25" s="37"/>
      <c r="O25" s="13">
        <v>7.14</v>
      </c>
      <c r="P25" s="39">
        <f t="shared" si="4"/>
        <v>113097.59999999999</v>
      </c>
      <c r="Q25" s="40">
        <f t="shared" si="5"/>
        <v>1243057.9392000602</v>
      </c>
      <c r="R25" s="41">
        <f t="shared" si="1"/>
        <v>86.437517502264114</v>
      </c>
      <c r="S25" s="10"/>
    </row>
    <row r="26" spans="1:19">
      <c r="A26" s="9"/>
      <c r="B26" s="11">
        <v>18</v>
      </c>
      <c r="C26" s="35">
        <f>Electricity!C25</f>
        <v>0</v>
      </c>
      <c r="D26" s="36">
        <f>Electricity!D25</f>
        <v>0</v>
      </c>
      <c r="E26" s="70">
        <v>9354.84</v>
      </c>
      <c r="F26" s="13">
        <v>68.395439999998231</v>
      </c>
      <c r="G26" s="38">
        <f t="shared" si="2"/>
        <v>1083383.7695999721</v>
      </c>
      <c r="H26" s="37">
        <v>638</v>
      </c>
      <c r="I26" s="38">
        <f t="shared" si="6"/>
        <v>0</v>
      </c>
      <c r="J26" s="38">
        <f t="shared" si="3"/>
        <v>0</v>
      </c>
      <c r="K26" s="37"/>
      <c r="L26" s="13">
        <v>0</v>
      </c>
      <c r="M26" s="14">
        <f t="shared" si="0"/>
        <v>0</v>
      </c>
      <c r="N26" s="37"/>
      <c r="O26" s="13">
        <v>7.14</v>
      </c>
      <c r="P26" s="39">
        <f t="shared" si="4"/>
        <v>113097.59999999999</v>
      </c>
      <c r="Q26" s="40">
        <f t="shared" si="5"/>
        <v>1196481.3695999722</v>
      </c>
      <c r="R26" s="41">
        <f t="shared" si="1"/>
        <v>83.198760141851892</v>
      </c>
      <c r="S26" s="10"/>
    </row>
    <row r="27" spans="1:19">
      <c r="A27" s="9"/>
      <c r="B27" s="11">
        <v>19</v>
      </c>
      <c r="C27" s="35">
        <f>Electricity!C26</f>
        <v>0</v>
      </c>
      <c r="D27" s="36">
        <f>Electricity!D26</f>
        <v>0</v>
      </c>
      <c r="E27" s="70">
        <v>9367.1200000000008</v>
      </c>
      <c r="F27" s="13">
        <v>49.463840000002634</v>
      </c>
      <c r="G27" s="38">
        <f t="shared" si="2"/>
        <v>783507.22560004168</v>
      </c>
      <c r="H27" s="37">
        <v>638</v>
      </c>
      <c r="I27" s="38">
        <f t="shared" si="6"/>
        <v>0</v>
      </c>
      <c r="J27" s="38">
        <f t="shared" si="3"/>
        <v>0</v>
      </c>
      <c r="K27" s="37"/>
      <c r="L27" s="13">
        <v>0</v>
      </c>
      <c r="M27" s="14">
        <f t="shared" si="0"/>
        <v>0</v>
      </c>
      <c r="N27" s="37"/>
      <c r="O27" s="13">
        <v>7.14</v>
      </c>
      <c r="P27" s="39">
        <f t="shared" si="4"/>
        <v>113097.59999999999</v>
      </c>
      <c r="Q27" s="40">
        <f t="shared" si="5"/>
        <v>896604.82560004166</v>
      </c>
      <c r="R27" s="41">
        <f t="shared" si="1"/>
        <v>62.346486725543542</v>
      </c>
      <c r="S27" s="10"/>
    </row>
    <row r="28" spans="1:19">
      <c r="A28" s="9"/>
      <c r="B28" s="11">
        <v>20</v>
      </c>
      <c r="C28" s="35">
        <f>Electricity!C27</f>
        <v>0</v>
      </c>
      <c r="D28" s="36">
        <f>Electricity!D27</f>
        <v>0</v>
      </c>
      <c r="E28" s="70">
        <v>9378.51</v>
      </c>
      <c r="F28" s="13">
        <v>45.878919999997649</v>
      </c>
      <c r="G28" s="38">
        <f t="shared" si="2"/>
        <v>726722.09279996273</v>
      </c>
      <c r="H28" s="37">
        <v>638</v>
      </c>
      <c r="I28" s="38">
        <f t="shared" si="6"/>
        <v>0</v>
      </c>
      <c r="J28" s="38">
        <f t="shared" si="3"/>
        <v>0</v>
      </c>
      <c r="K28" s="37"/>
      <c r="L28" s="13">
        <v>0</v>
      </c>
      <c r="M28" s="14">
        <f t="shared" si="0"/>
        <v>0</v>
      </c>
      <c r="N28" s="37"/>
      <c r="O28" s="13">
        <v>7.14</v>
      </c>
      <c r="P28" s="39">
        <f t="shared" si="4"/>
        <v>113097.59999999999</v>
      </c>
      <c r="Q28" s="40">
        <f t="shared" si="5"/>
        <v>839819.69279996271</v>
      </c>
      <c r="R28" s="41">
        <f t="shared" si="1"/>
        <v>58.39786473819364</v>
      </c>
      <c r="S28" s="10"/>
    </row>
    <row r="29" spans="1:19">
      <c r="A29" s="9"/>
      <c r="B29" s="11">
        <v>21</v>
      </c>
      <c r="C29" s="35">
        <f>Electricity!C28</f>
        <v>0</v>
      </c>
      <c r="D29" s="36">
        <f>Electricity!D28</f>
        <v>0</v>
      </c>
      <c r="E29" s="70">
        <v>9391.5300000000007</v>
      </c>
      <c r="F29" s="13">
        <v>52.444560000001751</v>
      </c>
      <c r="G29" s="38">
        <f t="shared" si="2"/>
        <v>830721.83040002768</v>
      </c>
      <c r="H29" s="37">
        <v>638</v>
      </c>
      <c r="I29" s="38">
        <f t="shared" si="6"/>
        <v>0</v>
      </c>
      <c r="J29" s="38">
        <f t="shared" si="3"/>
        <v>0</v>
      </c>
      <c r="K29" s="37"/>
      <c r="L29" s="13">
        <v>0</v>
      </c>
      <c r="M29" s="14">
        <f t="shared" si="0"/>
        <v>0</v>
      </c>
      <c r="N29" s="37"/>
      <c r="O29" s="13">
        <v>7.14</v>
      </c>
      <c r="P29" s="39">
        <f t="shared" si="4"/>
        <v>113097.59999999999</v>
      </c>
      <c r="Q29" s="40">
        <f t="shared" si="5"/>
        <v>943819.43040002766</v>
      </c>
      <c r="R29" s="41">
        <f t="shared" si="1"/>
        <v>65.629610625132301</v>
      </c>
      <c r="S29" s="10"/>
    </row>
    <row r="30" spans="1:19">
      <c r="A30" s="9"/>
      <c r="B30" s="11">
        <v>22</v>
      </c>
      <c r="C30" s="35">
        <f>Electricity!C29</f>
        <v>0</v>
      </c>
      <c r="D30" s="36">
        <f>Electricity!D29</f>
        <v>0</v>
      </c>
      <c r="E30" s="70">
        <v>9405.4699999999993</v>
      </c>
      <c r="F30" s="13">
        <v>56.150319999994721</v>
      </c>
      <c r="G30" s="38">
        <f t="shared" si="2"/>
        <v>889421.06879991642</v>
      </c>
      <c r="H30" s="37">
        <v>638</v>
      </c>
      <c r="I30" s="38">
        <f t="shared" si="6"/>
        <v>0</v>
      </c>
      <c r="J30" s="38">
        <f t="shared" si="3"/>
        <v>0</v>
      </c>
      <c r="K30" s="37"/>
      <c r="L30" s="13">
        <v>0</v>
      </c>
      <c r="M30" s="14">
        <f t="shared" si="0"/>
        <v>0</v>
      </c>
      <c r="N30" s="37"/>
      <c r="O30" s="13">
        <v>7.14</v>
      </c>
      <c r="P30" s="39">
        <f t="shared" si="4"/>
        <v>113097.59999999999</v>
      </c>
      <c r="Q30" s="40">
        <f t="shared" si="5"/>
        <v>1002518.6687999164</v>
      </c>
      <c r="R30" s="41">
        <f t="shared" si="1"/>
        <v>69.71133223001992</v>
      </c>
      <c r="S30" s="10"/>
    </row>
    <row r="31" spans="1:19">
      <c r="A31" s="9"/>
      <c r="B31" s="11">
        <v>23</v>
      </c>
      <c r="C31" s="35">
        <f>Electricity!C30</f>
        <v>0</v>
      </c>
      <c r="D31" s="36">
        <f>Electricity!D30</f>
        <v>0</v>
      </c>
      <c r="E31" s="70">
        <v>9417.4500000000007</v>
      </c>
      <c r="F31" s="13">
        <v>48.255440000005564</v>
      </c>
      <c r="G31" s="38">
        <f t="shared" si="2"/>
        <v>764366.16960008815</v>
      </c>
      <c r="H31" s="37">
        <v>638</v>
      </c>
      <c r="I31" s="38">
        <f t="shared" si="6"/>
        <v>0</v>
      </c>
      <c r="J31" s="38">
        <f t="shared" si="3"/>
        <v>0</v>
      </c>
      <c r="K31" s="37"/>
      <c r="L31" s="13">
        <v>0</v>
      </c>
      <c r="M31" s="14">
        <f t="shared" si="0"/>
        <v>0</v>
      </c>
      <c r="N31" s="37"/>
      <c r="O31" s="13">
        <v>7.14</v>
      </c>
      <c r="P31" s="39">
        <f t="shared" si="4"/>
        <v>113097.59999999999</v>
      </c>
      <c r="Q31" s="40">
        <f t="shared" si="5"/>
        <v>877463.76960008813</v>
      </c>
      <c r="R31" s="41">
        <f t="shared" si="1"/>
        <v>61.01549055003742</v>
      </c>
      <c r="S31" s="10"/>
    </row>
    <row r="32" spans="1:19">
      <c r="A32" s="9"/>
      <c r="B32" s="11">
        <v>24</v>
      </c>
      <c r="C32" s="35">
        <f>Electricity!C31</f>
        <v>0</v>
      </c>
      <c r="D32" s="36">
        <f>Electricity!D31</f>
        <v>0</v>
      </c>
      <c r="E32" s="70">
        <v>9435.24</v>
      </c>
      <c r="F32" s="69">
        <v>71.658119999996188</v>
      </c>
      <c r="G32" s="38">
        <f t="shared" si="2"/>
        <v>1135064.6207999396</v>
      </c>
      <c r="H32" s="37">
        <v>641</v>
      </c>
      <c r="I32" s="38">
        <f t="shared" si="6"/>
        <v>3</v>
      </c>
      <c r="J32" s="38">
        <f t="shared" si="3"/>
        <v>47520</v>
      </c>
      <c r="K32" s="37"/>
      <c r="L32" s="13">
        <v>0</v>
      </c>
      <c r="M32" s="14">
        <f t="shared" si="0"/>
        <v>0</v>
      </c>
      <c r="N32" s="37"/>
      <c r="O32" s="13">
        <v>7.14</v>
      </c>
      <c r="P32" s="39">
        <f t="shared" si="4"/>
        <v>113097.59999999999</v>
      </c>
      <c r="Q32" s="40">
        <f t="shared" si="5"/>
        <v>1295682.2207999397</v>
      </c>
      <c r="R32" s="41">
        <f t="shared" si="1"/>
        <v>90.096809735062905</v>
      </c>
      <c r="S32" s="10"/>
    </row>
    <row r="33" spans="1:21">
      <c r="A33" s="9"/>
      <c r="B33" s="11">
        <v>25</v>
      </c>
      <c r="C33" s="35">
        <f>Electricity!C32</f>
        <v>0</v>
      </c>
      <c r="D33" s="36">
        <f>Electricity!D32</f>
        <v>0</v>
      </c>
      <c r="E33" s="70">
        <v>9454</v>
      </c>
      <c r="F33" s="69">
        <v>75.565280000000868</v>
      </c>
      <c r="G33" s="38">
        <f t="shared" si="2"/>
        <v>1196954.0352000138</v>
      </c>
      <c r="H33" s="37">
        <v>644</v>
      </c>
      <c r="I33" s="38">
        <f t="shared" si="6"/>
        <v>3</v>
      </c>
      <c r="J33" s="38">
        <f t="shared" si="3"/>
        <v>47520</v>
      </c>
      <c r="K33" s="37"/>
      <c r="L33" s="13">
        <v>0</v>
      </c>
      <c r="M33" s="14">
        <f t="shared" si="0"/>
        <v>0</v>
      </c>
      <c r="N33" s="37"/>
      <c r="O33" s="13">
        <v>7.14</v>
      </c>
      <c r="P33" s="39">
        <f t="shared" si="4"/>
        <v>113097.59999999999</v>
      </c>
      <c r="Q33" s="40">
        <f t="shared" si="5"/>
        <v>1357571.6352000139</v>
      </c>
      <c r="R33" s="41">
        <f t="shared" si="1"/>
        <v>94.400364035881637</v>
      </c>
      <c r="S33" s="10"/>
    </row>
    <row r="34" spans="1:21">
      <c r="A34" s="9"/>
      <c r="B34" s="11">
        <v>26</v>
      </c>
      <c r="C34" s="35">
        <f>Electricity!C33</f>
        <v>0</v>
      </c>
      <c r="D34" s="36">
        <f>Electricity!D33</f>
        <v>0</v>
      </c>
      <c r="E34" s="70">
        <v>9472.1299999999992</v>
      </c>
      <c r="F34" s="69">
        <v>73.027639999996765</v>
      </c>
      <c r="G34" s="38">
        <f t="shared" ref="G34:G36" si="7">F34*$G$8</f>
        <v>1156757.8175999487</v>
      </c>
      <c r="H34" s="37">
        <v>650</v>
      </c>
      <c r="I34" s="38">
        <f t="shared" si="6"/>
        <v>6</v>
      </c>
      <c r="J34" s="38">
        <f t="shared" ref="J34:J36" si="8">I34*$J$8</f>
        <v>95040</v>
      </c>
      <c r="K34" s="37"/>
      <c r="L34" s="13">
        <v>0</v>
      </c>
      <c r="M34" s="14">
        <f t="shared" ref="M34:M36" si="9">L34*$M$8</f>
        <v>0</v>
      </c>
      <c r="N34" s="37"/>
      <c r="O34" s="13">
        <v>7.14</v>
      </c>
      <c r="P34" s="39">
        <f t="shared" ref="P34:P36" si="10">O34*$P$8</f>
        <v>113097.59999999999</v>
      </c>
      <c r="Q34" s="40">
        <f t="shared" ref="Q34:Q36" si="11">J34+M34+G34+P34</f>
        <v>1364895.4175999488</v>
      </c>
      <c r="R34" s="41">
        <f t="shared" ref="R34:R36" si="12">Q34/14381</f>
        <v>94.909631986645493</v>
      </c>
      <c r="S34" s="10"/>
    </row>
    <row r="35" spans="1:21">
      <c r="A35" s="9"/>
      <c r="B35" s="11">
        <v>27</v>
      </c>
      <c r="C35" s="35">
        <f>Electricity!C34</f>
        <v>0</v>
      </c>
      <c r="D35" s="36">
        <f>Electricity!D34</f>
        <v>0</v>
      </c>
      <c r="E35" s="70">
        <v>9484.2000000000007</v>
      </c>
      <c r="F35" s="69">
        <v>48.61796000000615</v>
      </c>
      <c r="G35" s="38">
        <f t="shared" si="7"/>
        <v>770108.48640009738</v>
      </c>
      <c r="H35" s="37">
        <v>656</v>
      </c>
      <c r="I35" s="38">
        <f t="shared" si="6"/>
        <v>6</v>
      </c>
      <c r="J35" s="38">
        <f t="shared" si="8"/>
        <v>95040</v>
      </c>
      <c r="K35" s="37"/>
      <c r="L35" s="13">
        <v>0</v>
      </c>
      <c r="M35" s="14">
        <f t="shared" si="9"/>
        <v>0</v>
      </c>
      <c r="N35" s="37"/>
      <c r="O35" s="13">
        <v>7.14</v>
      </c>
      <c r="P35" s="39">
        <f t="shared" si="10"/>
        <v>113097.59999999999</v>
      </c>
      <c r="Q35" s="40">
        <f t="shared" si="11"/>
        <v>978246.08640009735</v>
      </c>
      <c r="R35" s="41">
        <f t="shared" si="12"/>
        <v>68.023509241366895</v>
      </c>
      <c r="S35" s="10"/>
    </row>
    <row r="36" spans="1:21">
      <c r="A36" s="9"/>
      <c r="B36" s="11">
        <v>28</v>
      </c>
      <c r="C36" s="35">
        <f>Electricity!C35</f>
        <v>0</v>
      </c>
      <c r="D36" s="36">
        <f>Electricity!D35</f>
        <v>0</v>
      </c>
      <c r="E36" s="70">
        <v>9496.18</v>
      </c>
      <c r="F36" s="69">
        <v>48.255439999998238</v>
      </c>
      <c r="G36" s="38">
        <f t="shared" si="7"/>
        <v>764366.16959997208</v>
      </c>
      <c r="H36" s="37">
        <v>662</v>
      </c>
      <c r="I36" s="38">
        <f t="shared" si="6"/>
        <v>6</v>
      </c>
      <c r="J36" s="38">
        <f t="shared" si="8"/>
        <v>95040</v>
      </c>
      <c r="K36" s="37"/>
      <c r="L36" s="13">
        <v>0</v>
      </c>
      <c r="M36" s="14">
        <f t="shared" si="9"/>
        <v>0</v>
      </c>
      <c r="N36" s="37"/>
      <c r="O36" s="13">
        <v>7.14</v>
      </c>
      <c r="P36" s="39">
        <f t="shared" si="10"/>
        <v>113097.59999999999</v>
      </c>
      <c r="Q36" s="40">
        <f t="shared" si="11"/>
        <v>972503.76959997206</v>
      </c>
      <c r="R36" s="41">
        <f t="shared" si="12"/>
        <v>67.624210388705379</v>
      </c>
      <c r="S36" s="10"/>
    </row>
    <row r="37" spans="1:21">
      <c r="A37" s="9"/>
      <c r="B37" s="11">
        <v>29</v>
      </c>
      <c r="C37" s="35">
        <f>Electricity!C36</f>
        <v>0</v>
      </c>
      <c r="D37" s="36">
        <f>Electricity!D36</f>
        <v>0</v>
      </c>
      <c r="E37" s="70">
        <v>9513.15</v>
      </c>
      <c r="F37" s="69">
        <v>68.355159999997355</v>
      </c>
      <c r="G37" s="38">
        <f t="shared" si="2"/>
        <v>1082745.734399958</v>
      </c>
      <c r="H37" s="37">
        <v>668</v>
      </c>
      <c r="I37" s="38">
        <f t="shared" si="6"/>
        <v>6</v>
      </c>
      <c r="J37" s="38">
        <f t="shared" si="3"/>
        <v>95040</v>
      </c>
      <c r="K37" s="37"/>
      <c r="L37" s="13">
        <v>0</v>
      </c>
      <c r="M37" s="14">
        <f t="shared" si="0"/>
        <v>0</v>
      </c>
      <c r="N37" s="37"/>
      <c r="O37" s="13">
        <v>7.14</v>
      </c>
      <c r="P37" s="39">
        <f t="shared" si="4"/>
        <v>113097.59999999999</v>
      </c>
      <c r="Q37" s="40">
        <f t="shared" si="5"/>
        <v>1290883.3343999581</v>
      </c>
      <c r="R37" s="41">
        <f t="shared" si="1"/>
        <v>89.763113441343307</v>
      </c>
      <c r="S37" s="10"/>
    </row>
    <row r="38" spans="1:21">
      <c r="A38" s="9"/>
      <c r="B38" s="11">
        <v>30</v>
      </c>
      <c r="C38" s="35">
        <f>Electricity!C37</f>
        <v>0</v>
      </c>
      <c r="D38" s="36">
        <f>Electricity!D37</f>
        <v>0</v>
      </c>
      <c r="E38" s="70">
        <v>9530.41</v>
      </c>
      <c r="F38" s="69">
        <v>69.523280000000867</v>
      </c>
      <c r="G38" s="38">
        <f t="shared" si="2"/>
        <v>1101248.7552000138</v>
      </c>
      <c r="H38" s="37">
        <v>675</v>
      </c>
      <c r="I38" s="38">
        <f t="shared" si="6"/>
        <v>7</v>
      </c>
      <c r="J38" s="38">
        <f>I38*$J$8</f>
        <v>110880</v>
      </c>
      <c r="K38" s="37"/>
      <c r="L38" s="13">
        <v>0</v>
      </c>
      <c r="M38" s="14">
        <f t="shared" si="0"/>
        <v>0</v>
      </c>
      <c r="N38" s="37"/>
      <c r="O38" s="13">
        <v>7.14</v>
      </c>
      <c r="P38" s="39">
        <f t="shared" si="4"/>
        <v>113097.59999999999</v>
      </c>
      <c r="Q38" s="40">
        <f t="shared" si="5"/>
        <v>1325226.3552000138</v>
      </c>
      <c r="R38" s="41">
        <f t="shared" si="1"/>
        <v>92.15119638411889</v>
      </c>
      <c r="S38" s="10"/>
    </row>
    <row r="39" spans="1:21">
      <c r="C39" s="42">
        <f>SUM(C9:C38)</f>
        <v>0</v>
      </c>
      <c r="D39" s="42">
        <f>SUM(D9:D38)</f>
        <v>0</v>
      </c>
      <c r="E39" s="19"/>
      <c r="F39" s="19">
        <f>SUM(F9:F38)</f>
        <v>1637.1000400000012</v>
      </c>
      <c r="G39" s="29"/>
      <c r="H39" s="29"/>
      <c r="I39" s="81">
        <f>SUM(I9:I38)</f>
        <v>37</v>
      </c>
      <c r="J39" s="29"/>
      <c r="K39" s="29"/>
      <c r="L39" s="19"/>
      <c r="M39" s="29"/>
      <c r="N39" s="28"/>
      <c r="O39" s="19">
        <f>SUM(O9:O38)</f>
        <v>214.19999999999982</v>
      </c>
      <c r="P39" s="29"/>
      <c r="Q39"/>
      <c r="R39" s="80">
        <f>SUM(R9:R38)</f>
        <v>2079.874322620125</v>
      </c>
      <c r="U39" s="24"/>
    </row>
    <row r="40" spans="1:21">
      <c r="E40" s="43"/>
      <c r="F40" s="44"/>
      <c r="G40" s="30"/>
      <c r="H40" s="30"/>
      <c r="I40" s="30" t="s">
        <v>43</v>
      </c>
      <c r="J40" s="30"/>
      <c r="K40" s="30"/>
      <c r="L40" s="19" t="s">
        <v>44</v>
      </c>
      <c r="M40" s="30"/>
      <c r="N40" s="48" t="s">
        <v>45</v>
      </c>
      <c r="O40" s="52">
        <f>F39+I39+O39</f>
        <v>1888.300040000001</v>
      </c>
      <c r="P40" s="45"/>
      <c r="Q40" s="19"/>
      <c r="R40" s="30"/>
      <c r="U40" s="26"/>
    </row>
    <row r="41" spans="1:21">
      <c r="B41" s="46"/>
      <c r="E41" s="28"/>
      <c r="F41" s="29"/>
      <c r="G41" s="29"/>
      <c r="H41" s="29"/>
      <c r="I41" s="29"/>
      <c r="J41" s="29"/>
      <c r="K41" s="29"/>
      <c r="L41" s="29"/>
      <c r="M41" s="30"/>
      <c r="N41" s="28"/>
      <c r="O41" s="29"/>
      <c r="P41" s="29"/>
      <c r="Q41" s="31"/>
      <c r="R41" s="47"/>
    </row>
    <row r="42" spans="1:21">
      <c r="E42" s="48"/>
      <c r="F42" s="48"/>
      <c r="G42" s="48"/>
      <c r="H42" s="48"/>
      <c r="I42" s="48"/>
      <c r="J42" s="48"/>
      <c r="K42" s="48"/>
      <c r="L42" s="48"/>
      <c r="M42" s="49"/>
      <c r="N42" s="48"/>
      <c r="O42" s="48"/>
      <c r="Q42" s="48"/>
      <c r="R42" s="50"/>
    </row>
    <row r="43" spans="1:21">
      <c r="R43" s="50"/>
    </row>
  </sheetData>
  <mergeCells count="20"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selection activeCell="O32" sqref="O32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8" customWidth="1"/>
    <col min="5" max="5" width="9.85546875" style="8" customWidth="1"/>
    <col min="6" max="6" width="8" style="65" bestFit="1" customWidth="1"/>
    <col min="7" max="7" width="14.28515625" style="65" bestFit="1" customWidth="1"/>
    <col min="8" max="8" width="16.28515625" style="20" customWidth="1"/>
    <col min="9" max="9" width="2.5703125" customWidth="1"/>
    <col min="11" max="11" width="21.5703125" customWidth="1"/>
  </cols>
  <sheetData>
    <row r="1" spans="1:9" ht="15.75">
      <c r="B1" s="102" t="s">
        <v>46</v>
      </c>
      <c r="C1" s="102"/>
      <c r="D1" s="102"/>
      <c r="E1" s="102"/>
      <c r="F1" s="102"/>
      <c r="G1" s="102"/>
      <c r="H1" s="102"/>
    </row>
    <row r="2" spans="1:9" ht="15.75">
      <c r="B2" s="102" t="s">
        <v>16</v>
      </c>
      <c r="C2" s="102"/>
      <c r="D2" s="102"/>
      <c r="E2" s="102"/>
      <c r="F2" s="102"/>
      <c r="G2" s="102"/>
      <c r="H2" s="102"/>
    </row>
    <row r="3" spans="1:9">
      <c r="B3" s="2"/>
      <c r="C3" s="3"/>
      <c r="D3" s="4"/>
      <c r="E3" s="4"/>
      <c r="F3" s="53"/>
      <c r="G3" s="53"/>
      <c r="H3" s="3"/>
    </row>
    <row r="4" spans="1:9">
      <c r="A4" s="54"/>
      <c r="B4" s="108">
        <v>44652</v>
      </c>
      <c r="C4" s="108"/>
      <c r="D4" s="108"/>
      <c r="E4" s="108"/>
      <c r="F4" s="108"/>
      <c r="G4" s="108"/>
      <c r="H4" s="108"/>
      <c r="I4" s="5"/>
    </row>
    <row r="5" spans="1:9">
      <c r="A5" s="55"/>
      <c r="B5" s="101" t="s">
        <v>47</v>
      </c>
      <c r="C5" s="101" t="s">
        <v>18</v>
      </c>
      <c r="D5" s="101" t="s">
        <v>13</v>
      </c>
      <c r="E5" s="101" t="s">
        <v>48</v>
      </c>
      <c r="F5" s="101"/>
      <c r="G5" s="101"/>
      <c r="H5" s="101" t="s">
        <v>23</v>
      </c>
      <c r="I5" s="7"/>
    </row>
    <row r="6" spans="1:9">
      <c r="A6" s="55"/>
      <c r="B6" s="101"/>
      <c r="C6" s="101"/>
      <c r="D6" s="101"/>
      <c r="E6" s="101"/>
      <c r="F6" s="101"/>
      <c r="G6" s="101"/>
      <c r="H6" s="101"/>
      <c r="I6" s="7"/>
    </row>
    <row r="7" spans="1:9" s="8" customFormat="1" ht="22.5">
      <c r="A7" s="55"/>
      <c r="B7" s="101"/>
      <c r="C7" s="101"/>
      <c r="D7" s="101"/>
      <c r="E7" s="32" t="s">
        <v>36</v>
      </c>
      <c r="F7" s="112" t="s">
        <v>49</v>
      </c>
      <c r="G7" s="56" t="s">
        <v>40</v>
      </c>
      <c r="H7" s="101"/>
      <c r="I7" s="7"/>
    </row>
    <row r="8" spans="1:9" s="8" customFormat="1">
      <c r="A8" s="55"/>
      <c r="B8" s="101"/>
      <c r="C8" s="101"/>
      <c r="D8" s="101"/>
      <c r="E8" s="57"/>
      <c r="F8" s="112"/>
      <c r="G8" s="56">
        <v>10700</v>
      </c>
      <c r="H8" s="101"/>
      <c r="I8" s="7"/>
    </row>
    <row r="9" spans="1:9">
      <c r="A9" s="58"/>
      <c r="B9" s="11">
        <v>1</v>
      </c>
      <c r="C9" s="12">
        <f>Gas!C9</f>
        <v>0</v>
      </c>
      <c r="D9" s="12">
        <f>Gas!D9</f>
        <v>0</v>
      </c>
      <c r="E9" s="59">
        <v>3170</v>
      </c>
      <c r="F9" s="60">
        <v>0</v>
      </c>
      <c r="G9" s="60">
        <f t="shared" ref="G9:G38" si="0">F9*$G$8</f>
        <v>0</v>
      </c>
      <c r="H9" s="72">
        <f>G9/14381</f>
        <v>0</v>
      </c>
      <c r="I9" s="10"/>
    </row>
    <row r="10" spans="1:9">
      <c r="A10" s="58"/>
      <c r="B10" s="11">
        <v>2</v>
      </c>
      <c r="C10" s="12">
        <f>Gas!C10</f>
        <v>0</v>
      </c>
      <c r="D10" s="12">
        <f>Gas!D10</f>
        <v>0</v>
      </c>
      <c r="E10" s="59">
        <v>3170</v>
      </c>
      <c r="F10" s="61">
        <f t="shared" ref="F10:F38" si="1">E10-E9</f>
        <v>0</v>
      </c>
      <c r="G10" s="60">
        <f>F10*$G$8</f>
        <v>0</v>
      </c>
      <c r="H10" s="72">
        <f t="shared" ref="H10:H38" si="2">G10/14381</f>
        <v>0</v>
      </c>
      <c r="I10" s="10"/>
    </row>
    <row r="11" spans="1:9">
      <c r="A11" s="58"/>
      <c r="B11" s="11">
        <v>3</v>
      </c>
      <c r="C11" s="12">
        <f>Gas!C11</f>
        <v>0</v>
      </c>
      <c r="D11" s="12">
        <f>Gas!D11</f>
        <v>0</v>
      </c>
      <c r="E11" s="59">
        <v>3170</v>
      </c>
      <c r="F11" s="61">
        <f t="shared" si="1"/>
        <v>0</v>
      </c>
      <c r="G11" s="60">
        <f t="shared" si="0"/>
        <v>0</v>
      </c>
      <c r="H11" s="72">
        <f t="shared" si="2"/>
        <v>0</v>
      </c>
      <c r="I11" s="10"/>
    </row>
    <row r="12" spans="1:9">
      <c r="A12" s="58"/>
      <c r="B12" s="11">
        <v>4</v>
      </c>
      <c r="C12" s="12">
        <f>Gas!C12</f>
        <v>0</v>
      </c>
      <c r="D12" s="12">
        <f>Gas!D12</f>
        <v>0</v>
      </c>
      <c r="E12" s="59">
        <v>3194</v>
      </c>
      <c r="F12" s="61">
        <f t="shared" si="1"/>
        <v>24</v>
      </c>
      <c r="G12" s="60">
        <f t="shared" si="0"/>
        <v>256800</v>
      </c>
      <c r="H12" s="72">
        <f t="shared" si="2"/>
        <v>17.856894513594327</v>
      </c>
      <c r="I12" s="10"/>
    </row>
    <row r="13" spans="1:9">
      <c r="A13" s="58"/>
      <c r="B13" s="11">
        <v>5</v>
      </c>
      <c r="C13" s="12">
        <f>Gas!C13</f>
        <v>0</v>
      </c>
      <c r="D13" s="12">
        <f>Gas!D13</f>
        <v>0</v>
      </c>
      <c r="E13" s="59">
        <v>3194</v>
      </c>
      <c r="F13" s="61">
        <f t="shared" si="1"/>
        <v>0</v>
      </c>
      <c r="G13" s="60">
        <f t="shared" si="0"/>
        <v>0</v>
      </c>
      <c r="H13" s="72">
        <f t="shared" si="2"/>
        <v>0</v>
      </c>
      <c r="I13" s="10"/>
    </row>
    <row r="14" spans="1:9">
      <c r="A14" s="58"/>
      <c r="B14" s="11">
        <v>6</v>
      </c>
      <c r="C14" s="12">
        <f>Gas!C14</f>
        <v>0</v>
      </c>
      <c r="D14" s="12">
        <f>Gas!D14</f>
        <v>0</v>
      </c>
      <c r="E14" s="59">
        <v>3194</v>
      </c>
      <c r="F14" s="61">
        <f t="shared" si="1"/>
        <v>0</v>
      </c>
      <c r="G14" s="60">
        <f t="shared" si="0"/>
        <v>0</v>
      </c>
      <c r="H14" s="72">
        <f t="shared" si="2"/>
        <v>0</v>
      </c>
      <c r="I14" s="10"/>
    </row>
    <row r="15" spans="1:9">
      <c r="A15" s="58"/>
      <c r="B15" s="11">
        <v>7</v>
      </c>
      <c r="C15" s="12">
        <f>Gas!C15</f>
        <v>0</v>
      </c>
      <c r="D15" s="12">
        <f>Gas!D15</f>
        <v>0</v>
      </c>
      <c r="E15" s="59">
        <v>3194</v>
      </c>
      <c r="F15" s="61">
        <f t="shared" si="1"/>
        <v>0</v>
      </c>
      <c r="G15" s="60">
        <f t="shared" si="0"/>
        <v>0</v>
      </c>
      <c r="H15" s="72">
        <f t="shared" si="2"/>
        <v>0</v>
      </c>
      <c r="I15" s="10"/>
    </row>
    <row r="16" spans="1:9">
      <c r="A16" s="58"/>
      <c r="B16" s="11">
        <v>8</v>
      </c>
      <c r="C16" s="12">
        <f>Gas!C16</f>
        <v>0</v>
      </c>
      <c r="D16" s="12">
        <f>Gas!D16</f>
        <v>0</v>
      </c>
      <c r="E16" s="59">
        <v>3194</v>
      </c>
      <c r="F16" s="61">
        <f t="shared" si="1"/>
        <v>0</v>
      </c>
      <c r="G16" s="60">
        <f t="shared" si="0"/>
        <v>0</v>
      </c>
      <c r="H16" s="72">
        <f t="shared" si="2"/>
        <v>0</v>
      </c>
      <c r="I16" s="10"/>
    </row>
    <row r="17" spans="1:9">
      <c r="A17" s="58"/>
      <c r="B17" s="11">
        <v>9</v>
      </c>
      <c r="C17" s="12">
        <f>Gas!C17</f>
        <v>0</v>
      </c>
      <c r="D17" s="12">
        <f>Gas!D17</f>
        <v>0</v>
      </c>
      <c r="E17" s="59">
        <v>3194</v>
      </c>
      <c r="F17" s="61">
        <f t="shared" si="1"/>
        <v>0</v>
      </c>
      <c r="G17" s="60">
        <f t="shared" si="0"/>
        <v>0</v>
      </c>
      <c r="H17" s="72">
        <f t="shared" si="2"/>
        <v>0</v>
      </c>
      <c r="I17" s="10"/>
    </row>
    <row r="18" spans="1:9">
      <c r="A18" s="58"/>
      <c r="B18" s="11">
        <v>10</v>
      </c>
      <c r="C18" s="12">
        <f>Gas!C18</f>
        <v>0</v>
      </c>
      <c r="D18" s="12">
        <f>Gas!D18</f>
        <v>0</v>
      </c>
      <c r="E18" s="59">
        <v>3194</v>
      </c>
      <c r="F18" s="61">
        <f t="shared" si="1"/>
        <v>0</v>
      </c>
      <c r="G18" s="60">
        <f t="shared" si="0"/>
        <v>0</v>
      </c>
      <c r="H18" s="72">
        <f t="shared" si="2"/>
        <v>0</v>
      </c>
      <c r="I18" s="10"/>
    </row>
    <row r="19" spans="1:9">
      <c r="A19" s="58"/>
      <c r="B19" s="11">
        <v>11</v>
      </c>
      <c r="C19" s="12">
        <f>Gas!C19</f>
        <v>0</v>
      </c>
      <c r="D19" s="12">
        <f>Gas!D19</f>
        <v>0</v>
      </c>
      <c r="E19" s="59">
        <v>3194</v>
      </c>
      <c r="F19" s="61">
        <f t="shared" si="1"/>
        <v>0</v>
      </c>
      <c r="G19" s="60">
        <f t="shared" si="0"/>
        <v>0</v>
      </c>
      <c r="H19" s="72">
        <f t="shared" si="2"/>
        <v>0</v>
      </c>
      <c r="I19" s="10"/>
    </row>
    <row r="20" spans="1:9">
      <c r="A20" s="58"/>
      <c r="B20" s="11">
        <v>12</v>
      </c>
      <c r="C20" s="12">
        <f>Gas!C20</f>
        <v>0</v>
      </c>
      <c r="D20" s="12">
        <f>Gas!D20</f>
        <v>0</v>
      </c>
      <c r="E20" s="59">
        <v>3274</v>
      </c>
      <c r="F20" s="61">
        <f t="shared" si="1"/>
        <v>80</v>
      </c>
      <c r="G20" s="60">
        <f t="shared" si="0"/>
        <v>856000</v>
      </c>
      <c r="H20" s="72">
        <f t="shared" si="2"/>
        <v>59.522981711981089</v>
      </c>
      <c r="I20" s="10"/>
    </row>
    <row r="21" spans="1:9">
      <c r="A21" s="58"/>
      <c r="B21" s="11">
        <v>13</v>
      </c>
      <c r="C21" s="12">
        <f>Gas!C21</f>
        <v>0</v>
      </c>
      <c r="D21" s="12">
        <f>Gas!D21</f>
        <v>0</v>
      </c>
      <c r="E21" s="59">
        <v>3274</v>
      </c>
      <c r="F21" s="61">
        <f t="shared" si="1"/>
        <v>0</v>
      </c>
      <c r="G21" s="60">
        <f t="shared" si="0"/>
        <v>0</v>
      </c>
      <c r="H21" s="72">
        <f t="shared" si="2"/>
        <v>0</v>
      </c>
      <c r="I21" s="10"/>
    </row>
    <row r="22" spans="1:9">
      <c r="A22" s="58"/>
      <c r="B22" s="11">
        <v>14</v>
      </c>
      <c r="C22" s="12">
        <f>Gas!C22</f>
        <v>0</v>
      </c>
      <c r="D22" s="12">
        <f>Gas!D22</f>
        <v>0</v>
      </c>
      <c r="E22" s="59">
        <v>3274</v>
      </c>
      <c r="F22" s="61">
        <f t="shared" si="1"/>
        <v>0</v>
      </c>
      <c r="G22" s="60">
        <f t="shared" si="0"/>
        <v>0</v>
      </c>
      <c r="H22" s="72">
        <f t="shared" si="2"/>
        <v>0</v>
      </c>
      <c r="I22" s="10"/>
    </row>
    <row r="23" spans="1:9">
      <c r="A23" s="58"/>
      <c r="B23" s="11">
        <v>15</v>
      </c>
      <c r="C23" s="12">
        <f>Gas!C23</f>
        <v>0</v>
      </c>
      <c r="D23" s="12">
        <f>Gas!D23</f>
        <v>0</v>
      </c>
      <c r="E23" s="59">
        <v>3274</v>
      </c>
      <c r="F23" s="61">
        <f t="shared" si="1"/>
        <v>0</v>
      </c>
      <c r="G23" s="60">
        <f t="shared" si="0"/>
        <v>0</v>
      </c>
      <c r="H23" s="72">
        <f t="shared" si="2"/>
        <v>0</v>
      </c>
      <c r="I23" s="10"/>
    </row>
    <row r="24" spans="1:9">
      <c r="A24" s="58"/>
      <c r="B24" s="11">
        <v>16</v>
      </c>
      <c r="C24" s="12">
        <f>Gas!C24</f>
        <v>0</v>
      </c>
      <c r="D24" s="12">
        <f>Gas!D24</f>
        <v>0</v>
      </c>
      <c r="E24" s="59">
        <v>3274</v>
      </c>
      <c r="F24" s="61">
        <f t="shared" si="1"/>
        <v>0</v>
      </c>
      <c r="G24" s="60">
        <f t="shared" si="0"/>
        <v>0</v>
      </c>
      <c r="H24" s="72">
        <f t="shared" si="2"/>
        <v>0</v>
      </c>
      <c r="I24" s="10"/>
    </row>
    <row r="25" spans="1:9">
      <c r="A25" s="58"/>
      <c r="B25" s="11">
        <v>17</v>
      </c>
      <c r="C25" s="12">
        <f>Gas!C25</f>
        <v>0</v>
      </c>
      <c r="D25" s="12">
        <f>Gas!D25</f>
        <v>0</v>
      </c>
      <c r="E25" s="59">
        <v>3274</v>
      </c>
      <c r="F25" s="61">
        <f t="shared" si="1"/>
        <v>0</v>
      </c>
      <c r="G25" s="60">
        <f t="shared" si="0"/>
        <v>0</v>
      </c>
      <c r="H25" s="72">
        <f t="shared" si="2"/>
        <v>0</v>
      </c>
      <c r="I25" s="10"/>
    </row>
    <row r="26" spans="1:9">
      <c r="A26" s="58"/>
      <c r="B26" s="11">
        <v>18</v>
      </c>
      <c r="C26" s="12">
        <f>Gas!C26</f>
        <v>0</v>
      </c>
      <c r="D26" s="12">
        <f>Gas!D26</f>
        <v>0</v>
      </c>
      <c r="E26" s="59">
        <v>3288</v>
      </c>
      <c r="F26" s="61">
        <f t="shared" si="1"/>
        <v>14</v>
      </c>
      <c r="G26" s="60">
        <f t="shared" si="0"/>
        <v>149800</v>
      </c>
      <c r="H26" s="72">
        <f t="shared" si="2"/>
        <v>10.416521799596691</v>
      </c>
      <c r="I26" s="10"/>
    </row>
    <row r="27" spans="1:9">
      <c r="A27" s="58"/>
      <c r="B27" s="11">
        <v>19</v>
      </c>
      <c r="C27" s="12">
        <f>Gas!C27</f>
        <v>0</v>
      </c>
      <c r="D27" s="12">
        <f>Gas!D27</f>
        <v>0</v>
      </c>
      <c r="E27" s="59">
        <v>3288</v>
      </c>
      <c r="F27" s="61">
        <f t="shared" si="1"/>
        <v>0</v>
      </c>
      <c r="G27" s="60">
        <f t="shared" si="0"/>
        <v>0</v>
      </c>
      <c r="H27" s="72">
        <f t="shared" si="2"/>
        <v>0</v>
      </c>
      <c r="I27" s="10"/>
    </row>
    <row r="28" spans="1:9">
      <c r="A28" s="58"/>
      <c r="B28" s="11">
        <v>20</v>
      </c>
      <c r="C28" s="12">
        <f>Gas!C28</f>
        <v>0</v>
      </c>
      <c r="D28" s="12">
        <f>Gas!D28</f>
        <v>0</v>
      </c>
      <c r="E28" s="59">
        <v>3288</v>
      </c>
      <c r="F28" s="61">
        <f t="shared" si="1"/>
        <v>0</v>
      </c>
      <c r="G28" s="60">
        <f t="shared" si="0"/>
        <v>0</v>
      </c>
      <c r="H28" s="72">
        <f t="shared" si="2"/>
        <v>0</v>
      </c>
      <c r="I28" s="10"/>
    </row>
    <row r="29" spans="1:9">
      <c r="A29" s="58"/>
      <c r="B29" s="11">
        <v>21</v>
      </c>
      <c r="C29" s="12">
        <f>Gas!C29</f>
        <v>0</v>
      </c>
      <c r="D29" s="12">
        <f>Gas!D29</f>
        <v>0</v>
      </c>
      <c r="E29" s="59">
        <v>4429</v>
      </c>
      <c r="F29" s="61">
        <f t="shared" si="1"/>
        <v>1141</v>
      </c>
      <c r="G29" s="60">
        <f t="shared" si="0"/>
        <v>12208700</v>
      </c>
      <c r="H29" s="72">
        <f t="shared" si="2"/>
        <v>848.94652666713023</v>
      </c>
      <c r="I29" s="10"/>
    </row>
    <row r="30" spans="1:9">
      <c r="A30" s="58"/>
      <c r="B30" s="11">
        <v>22</v>
      </c>
      <c r="C30" s="12">
        <f>Gas!C30</f>
        <v>0</v>
      </c>
      <c r="D30" s="12">
        <f>Gas!D30</f>
        <v>0</v>
      </c>
      <c r="E30" s="59">
        <v>4429</v>
      </c>
      <c r="F30" s="61">
        <f t="shared" si="1"/>
        <v>0</v>
      </c>
      <c r="G30" s="60">
        <f t="shared" si="0"/>
        <v>0</v>
      </c>
      <c r="H30" s="72">
        <f t="shared" si="2"/>
        <v>0</v>
      </c>
      <c r="I30" s="10"/>
    </row>
    <row r="31" spans="1:9">
      <c r="A31" s="58"/>
      <c r="B31" s="11">
        <v>23</v>
      </c>
      <c r="C31" s="12">
        <f>Gas!C31</f>
        <v>0</v>
      </c>
      <c r="D31" s="12">
        <f>Gas!D31</f>
        <v>0</v>
      </c>
      <c r="E31" s="59">
        <v>4429</v>
      </c>
      <c r="F31" s="61">
        <f t="shared" si="1"/>
        <v>0</v>
      </c>
      <c r="G31" s="60">
        <f t="shared" si="0"/>
        <v>0</v>
      </c>
      <c r="H31" s="72">
        <f t="shared" si="2"/>
        <v>0</v>
      </c>
      <c r="I31" s="10"/>
    </row>
    <row r="32" spans="1:9">
      <c r="A32" s="58"/>
      <c r="B32" s="11">
        <v>24</v>
      </c>
      <c r="C32" s="12">
        <f>Gas!C32</f>
        <v>0</v>
      </c>
      <c r="D32" s="12">
        <f>Gas!D32</f>
        <v>0</v>
      </c>
      <c r="E32" s="59">
        <v>4429</v>
      </c>
      <c r="F32" s="61">
        <f t="shared" si="1"/>
        <v>0</v>
      </c>
      <c r="G32" s="60"/>
      <c r="H32" s="72">
        <f t="shared" si="2"/>
        <v>0</v>
      </c>
      <c r="I32" s="10"/>
    </row>
    <row r="33" spans="1:11">
      <c r="A33" s="58"/>
      <c r="B33" s="11">
        <v>25</v>
      </c>
      <c r="C33" s="12">
        <f>Gas!C33</f>
        <v>0</v>
      </c>
      <c r="D33" s="12">
        <f>Gas!D33</f>
        <v>0</v>
      </c>
      <c r="E33" s="59">
        <v>4429</v>
      </c>
      <c r="F33" s="61">
        <f t="shared" si="1"/>
        <v>0</v>
      </c>
      <c r="G33" s="60">
        <f t="shared" si="0"/>
        <v>0</v>
      </c>
      <c r="H33" s="72">
        <f t="shared" si="2"/>
        <v>0</v>
      </c>
      <c r="I33" s="10"/>
    </row>
    <row r="34" spans="1:11">
      <c r="A34" s="58"/>
      <c r="B34" s="11">
        <v>26</v>
      </c>
      <c r="C34" s="12">
        <f>Gas!C34</f>
        <v>0</v>
      </c>
      <c r="D34" s="12">
        <f>Gas!D34</f>
        <v>0</v>
      </c>
      <c r="E34" s="59">
        <v>4442</v>
      </c>
      <c r="F34" s="61">
        <f t="shared" si="1"/>
        <v>13</v>
      </c>
      <c r="G34" s="60">
        <f t="shared" ref="G34:G36" si="3">F34*$G$8</f>
        <v>139100</v>
      </c>
      <c r="H34" s="72">
        <f t="shared" ref="H34:H36" si="4">G34/14381</f>
        <v>9.6724845281969269</v>
      </c>
      <c r="I34" s="10"/>
    </row>
    <row r="35" spans="1:11">
      <c r="A35" s="58"/>
      <c r="B35" s="11">
        <v>27</v>
      </c>
      <c r="C35" s="12">
        <f>Gas!C35</f>
        <v>0</v>
      </c>
      <c r="D35" s="12">
        <f>Gas!D35</f>
        <v>0</v>
      </c>
      <c r="E35" s="59">
        <v>4442</v>
      </c>
      <c r="F35" s="61">
        <f t="shared" si="1"/>
        <v>0</v>
      </c>
      <c r="G35" s="60">
        <f t="shared" si="3"/>
        <v>0</v>
      </c>
      <c r="H35" s="72">
        <f t="shared" si="4"/>
        <v>0</v>
      </c>
      <c r="I35" s="10"/>
    </row>
    <row r="36" spans="1:11">
      <c r="A36" s="58"/>
      <c r="B36" s="11">
        <v>28</v>
      </c>
      <c r="C36" s="12">
        <f>Gas!C36</f>
        <v>0</v>
      </c>
      <c r="D36" s="12">
        <f>Gas!D36</f>
        <v>0</v>
      </c>
      <c r="E36" s="59">
        <v>4442</v>
      </c>
      <c r="F36" s="61">
        <f t="shared" si="1"/>
        <v>0</v>
      </c>
      <c r="G36" s="60">
        <f t="shared" si="3"/>
        <v>0</v>
      </c>
      <c r="H36" s="72">
        <f t="shared" si="4"/>
        <v>0</v>
      </c>
      <c r="I36" s="10"/>
    </row>
    <row r="37" spans="1:11">
      <c r="A37" s="58"/>
      <c r="B37" s="11">
        <v>29</v>
      </c>
      <c r="C37" s="12">
        <f>Gas!C37</f>
        <v>0</v>
      </c>
      <c r="D37" s="12">
        <f>Gas!D37</f>
        <v>0</v>
      </c>
      <c r="E37" s="59">
        <v>4442</v>
      </c>
      <c r="F37" s="61">
        <f t="shared" si="1"/>
        <v>0</v>
      </c>
      <c r="G37" s="60">
        <f t="shared" si="0"/>
        <v>0</v>
      </c>
      <c r="H37" s="72">
        <f t="shared" si="2"/>
        <v>0</v>
      </c>
      <c r="I37" s="10"/>
    </row>
    <row r="38" spans="1:11">
      <c r="A38" s="58"/>
      <c r="B38" s="11">
        <v>30</v>
      </c>
      <c r="C38" s="12">
        <f>Gas!C38</f>
        <v>0</v>
      </c>
      <c r="D38" s="12">
        <f>Gas!D38</f>
        <v>0</v>
      </c>
      <c r="E38" s="59">
        <v>4442</v>
      </c>
      <c r="F38" s="61">
        <f t="shared" si="1"/>
        <v>0</v>
      </c>
      <c r="G38" s="60">
        <f t="shared" si="0"/>
        <v>0</v>
      </c>
      <c r="H38" s="72">
        <f t="shared" si="2"/>
        <v>0</v>
      </c>
      <c r="I38" s="10"/>
    </row>
    <row r="39" spans="1:11">
      <c r="C39" s="19">
        <f>SUM(C9:C38)</f>
        <v>0</v>
      </c>
      <c r="D39" s="19">
        <f>SUM(D9:D38)</f>
        <v>0</v>
      </c>
      <c r="E39" s="19"/>
      <c r="F39" s="19">
        <f>SUM(F9:F38)</f>
        <v>1272</v>
      </c>
      <c r="G39" s="19"/>
      <c r="H39" s="62">
        <f>SUM(H9:H38)</f>
        <v>946.41540922049933</v>
      </c>
      <c r="K39" s="24"/>
    </row>
    <row r="40" spans="1:11">
      <c r="E40" s="19"/>
      <c r="F40" s="63"/>
      <c r="G40" s="63"/>
      <c r="H40" s="30"/>
    </row>
    <row r="41" spans="1:11">
      <c r="E41" s="48"/>
      <c r="F41" s="64"/>
      <c r="G41" s="64"/>
    </row>
    <row r="42" spans="1:11">
      <c r="E42" s="48"/>
      <c r="F42" s="64"/>
      <c r="G42" s="64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4" workbookViewId="0">
      <selection activeCell="K45" sqref="K45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8" customWidth="1"/>
    <col min="5" max="5" width="9.42578125" style="20" customWidth="1"/>
    <col min="6" max="6" width="16.5703125" style="20" customWidth="1"/>
    <col min="7" max="7" width="10.28515625" style="20" customWidth="1"/>
    <col min="8" max="8" width="16.7109375" style="20" customWidth="1"/>
    <col min="9" max="9" width="10.28515625" style="20" customWidth="1"/>
    <col min="10" max="10" width="16.7109375" style="20" customWidth="1"/>
    <col min="11" max="11" width="16.28515625" style="20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102" t="s">
        <v>50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3" ht="15.75">
      <c r="B3" s="102" t="s">
        <v>16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3" ht="8.25" customHeight="1">
      <c r="B4" s="2"/>
      <c r="C4" s="3"/>
      <c r="D4" s="4"/>
      <c r="E4" s="3"/>
      <c r="F4" s="3"/>
      <c r="G4" s="3"/>
      <c r="H4" s="3"/>
      <c r="I4" s="3"/>
      <c r="J4" s="3"/>
      <c r="K4" s="3"/>
    </row>
    <row r="5" spans="1:13">
      <c r="A5" s="5"/>
      <c r="B5" s="103">
        <v>44652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5"/>
    </row>
    <row r="6" spans="1:13">
      <c r="A6" s="6"/>
      <c r="B6" s="101" t="s">
        <v>17</v>
      </c>
      <c r="C6" s="101" t="s">
        <v>51</v>
      </c>
      <c r="D6" s="101" t="s">
        <v>13</v>
      </c>
      <c r="E6" s="109" t="s">
        <v>52</v>
      </c>
      <c r="F6" s="109"/>
      <c r="G6" s="111" t="s">
        <v>53</v>
      </c>
      <c r="H6" s="111"/>
      <c r="I6" s="111"/>
      <c r="J6" s="111"/>
      <c r="K6" s="101" t="s">
        <v>54</v>
      </c>
      <c r="L6" s="101" t="s">
        <v>55</v>
      </c>
      <c r="M6" s="7"/>
    </row>
    <row r="7" spans="1:13" s="8" customFormat="1">
      <c r="A7" s="6"/>
      <c r="B7" s="101"/>
      <c r="C7" s="101"/>
      <c r="D7" s="101"/>
      <c r="E7" s="101" t="s">
        <v>56</v>
      </c>
      <c r="F7" s="101" t="s">
        <v>57</v>
      </c>
      <c r="G7" s="101" t="s">
        <v>56</v>
      </c>
      <c r="H7" s="101" t="s">
        <v>58</v>
      </c>
      <c r="I7" s="101" t="s">
        <v>56</v>
      </c>
      <c r="J7" s="101" t="s">
        <v>59</v>
      </c>
      <c r="K7" s="101"/>
      <c r="L7" s="101"/>
      <c r="M7" s="7"/>
    </row>
    <row r="8" spans="1:13">
      <c r="A8" s="9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"/>
    </row>
    <row r="9" spans="1:13">
      <c r="A9" s="9"/>
      <c r="B9" s="11">
        <v>1</v>
      </c>
      <c r="C9" s="12">
        <f>'Fuel Diesel'!C9</f>
        <v>0</v>
      </c>
      <c r="D9" s="12">
        <f>'Fuel Diesel'!D9</f>
        <v>0</v>
      </c>
      <c r="E9" s="13">
        <v>0</v>
      </c>
      <c r="F9" s="15">
        <f>E9*13582</f>
        <v>0</v>
      </c>
      <c r="G9" s="13">
        <v>46</v>
      </c>
      <c r="H9" s="15">
        <f>G9*4000</f>
        <v>184000</v>
      </c>
      <c r="I9" s="13">
        <v>75</v>
      </c>
      <c r="J9" s="15">
        <f>I9*4000</f>
        <v>300000</v>
      </c>
      <c r="K9" s="13">
        <f t="shared" ref="K9:K38" si="0">F9+H9+J9</f>
        <v>484000</v>
      </c>
      <c r="L9" s="66">
        <f>K9/14381</f>
        <v>33.655517696961269</v>
      </c>
      <c r="M9" s="10"/>
    </row>
    <row r="10" spans="1:13">
      <c r="A10" s="9"/>
      <c r="B10" s="11">
        <v>2</v>
      </c>
      <c r="C10" s="12">
        <f>'Fuel Diesel'!C10</f>
        <v>0</v>
      </c>
      <c r="D10" s="12">
        <f>'Fuel Diesel'!D10</f>
        <v>0</v>
      </c>
      <c r="E10" s="13">
        <v>0</v>
      </c>
      <c r="F10" s="15">
        <f>E10*13582</f>
        <v>0</v>
      </c>
      <c r="G10" s="13">
        <v>37</v>
      </c>
      <c r="H10" s="15">
        <f>G10*4000</f>
        <v>148000</v>
      </c>
      <c r="I10" s="13">
        <v>63</v>
      </c>
      <c r="J10" s="15">
        <f>I10*4000</f>
        <v>252000</v>
      </c>
      <c r="K10" s="13">
        <f t="shared" si="0"/>
        <v>400000</v>
      </c>
      <c r="L10" s="66">
        <f t="shared" ref="L10:L38" si="1">K10/14381</f>
        <v>27.814477435505179</v>
      </c>
      <c r="M10" s="10"/>
    </row>
    <row r="11" spans="1:13">
      <c r="A11" s="9"/>
      <c r="B11" s="11">
        <v>3</v>
      </c>
      <c r="C11" s="12">
        <f>'Fuel Diesel'!C11</f>
        <v>0</v>
      </c>
      <c r="D11" s="12">
        <f>'Fuel Diesel'!D11</f>
        <v>0</v>
      </c>
      <c r="E11" s="13">
        <v>0</v>
      </c>
      <c r="F11" s="15">
        <f t="shared" ref="F11:F38" si="2">E11*13582</f>
        <v>0</v>
      </c>
      <c r="G11" s="13">
        <v>39</v>
      </c>
      <c r="H11" s="15">
        <f t="shared" ref="H11:H38" si="3">G11*4000</f>
        <v>156000</v>
      </c>
      <c r="I11" s="13">
        <v>64</v>
      </c>
      <c r="J11" s="15">
        <f t="shared" ref="J11:J38" si="4">I11*4000</f>
        <v>256000</v>
      </c>
      <c r="K11" s="13">
        <f t="shared" si="0"/>
        <v>412000</v>
      </c>
      <c r="L11" s="66">
        <f t="shared" si="1"/>
        <v>28.648911758570335</v>
      </c>
      <c r="M11" s="10"/>
    </row>
    <row r="12" spans="1:13">
      <c r="A12" s="9"/>
      <c r="B12" s="11">
        <v>4</v>
      </c>
      <c r="C12" s="12">
        <f>'Fuel Diesel'!C12</f>
        <v>0</v>
      </c>
      <c r="D12" s="12">
        <f>'Fuel Diesel'!D12</f>
        <v>0</v>
      </c>
      <c r="E12" s="13">
        <v>0</v>
      </c>
      <c r="F12" s="15">
        <f t="shared" si="2"/>
        <v>0</v>
      </c>
      <c r="G12" s="13">
        <v>48</v>
      </c>
      <c r="H12" s="15">
        <f t="shared" si="3"/>
        <v>192000</v>
      </c>
      <c r="I12" s="13">
        <v>80</v>
      </c>
      <c r="J12" s="15">
        <f t="shared" si="4"/>
        <v>320000</v>
      </c>
      <c r="K12" s="13">
        <f t="shared" si="0"/>
        <v>512000</v>
      </c>
      <c r="L12" s="66">
        <f t="shared" si="1"/>
        <v>35.602531117446631</v>
      </c>
      <c r="M12" s="10"/>
    </row>
    <row r="13" spans="1:13">
      <c r="A13" s="9"/>
      <c r="B13" s="11">
        <v>5</v>
      </c>
      <c r="C13" s="12">
        <f>'Fuel Diesel'!C13</f>
        <v>0</v>
      </c>
      <c r="D13" s="12">
        <f>'Fuel Diesel'!D13</f>
        <v>0</v>
      </c>
      <c r="E13" s="13">
        <v>0</v>
      </c>
      <c r="F13" s="15">
        <f t="shared" si="2"/>
        <v>0</v>
      </c>
      <c r="G13" s="13">
        <v>54</v>
      </c>
      <c r="H13" s="15">
        <f t="shared" si="3"/>
        <v>216000</v>
      </c>
      <c r="I13" s="13">
        <v>90</v>
      </c>
      <c r="J13" s="15">
        <f t="shared" si="4"/>
        <v>360000</v>
      </c>
      <c r="K13" s="13">
        <f t="shared" si="0"/>
        <v>576000</v>
      </c>
      <c r="L13" s="66">
        <f t="shared" si="1"/>
        <v>40.05284750712746</v>
      </c>
      <c r="M13" s="10"/>
    </row>
    <row r="14" spans="1:13">
      <c r="A14" s="9"/>
      <c r="B14" s="11">
        <v>6</v>
      </c>
      <c r="C14" s="12">
        <f>'Fuel Diesel'!C14</f>
        <v>0</v>
      </c>
      <c r="D14" s="12">
        <f>'Fuel Diesel'!D14</f>
        <v>0</v>
      </c>
      <c r="E14" s="13">
        <v>0</v>
      </c>
      <c r="F14" s="15">
        <f t="shared" si="2"/>
        <v>0</v>
      </c>
      <c r="G14" s="13">
        <v>45</v>
      </c>
      <c r="H14" s="15">
        <f t="shared" si="3"/>
        <v>180000</v>
      </c>
      <c r="I14" s="13">
        <v>75</v>
      </c>
      <c r="J14" s="15">
        <f t="shared" si="4"/>
        <v>300000</v>
      </c>
      <c r="K14" s="13">
        <f t="shared" si="0"/>
        <v>480000</v>
      </c>
      <c r="L14" s="66">
        <f t="shared" si="1"/>
        <v>33.377372922606213</v>
      </c>
      <c r="M14" s="10"/>
    </row>
    <row r="15" spans="1:13">
      <c r="A15" s="9"/>
      <c r="B15" s="11">
        <v>7</v>
      </c>
      <c r="C15" s="12">
        <f>'Fuel Diesel'!C15</f>
        <v>0</v>
      </c>
      <c r="D15" s="12">
        <f>'Fuel Diesel'!D15</f>
        <v>0</v>
      </c>
      <c r="E15" s="13">
        <v>0</v>
      </c>
      <c r="F15" s="15">
        <f t="shared" si="2"/>
        <v>0</v>
      </c>
      <c r="G15" s="13">
        <v>47</v>
      </c>
      <c r="H15" s="15">
        <f t="shared" si="3"/>
        <v>188000</v>
      </c>
      <c r="I15" s="13">
        <v>78</v>
      </c>
      <c r="J15" s="15">
        <f t="shared" si="4"/>
        <v>312000</v>
      </c>
      <c r="K15" s="13">
        <f t="shared" si="0"/>
        <v>500000</v>
      </c>
      <c r="L15" s="66">
        <f t="shared" si="1"/>
        <v>34.768096794381478</v>
      </c>
      <c r="M15" s="10"/>
    </row>
    <row r="16" spans="1:13">
      <c r="A16" s="9"/>
      <c r="B16" s="11">
        <v>8</v>
      </c>
      <c r="C16" s="12">
        <f>'Fuel Diesel'!C16</f>
        <v>0</v>
      </c>
      <c r="D16" s="12">
        <f>'Fuel Diesel'!D16</f>
        <v>0</v>
      </c>
      <c r="E16" s="13">
        <v>0</v>
      </c>
      <c r="F16" s="15">
        <f t="shared" si="2"/>
        <v>0</v>
      </c>
      <c r="G16" s="13">
        <v>50</v>
      </c>
      <c r="H16" s="15">
        <f t="shared" si="3"/>
        <v>200000</v>
      </c>
      <c r="I16" s="13">
        <v>83</v>
      </c>
      <c r="J16" s="15">
        <f t="shared" si="4"/>
        <v>332000</v>
      </c>
      <c r="K16" s="13">
        <f t="shared" si="0"/>
        <v>532000</v>
      </c>
      <c r="L16" s="66">
        <f t="shared" si="1"/>
        <v>36.993254989221889</v>
      </c>
      <c r="M16" s="10"/>
    </row>
    <row r="17" spans="1:13">
      <c r="A17" s="9"/>
      <c r="B17" s="11">
        <v>9</v>
      </c>
      <c r="C17" s="12">
        <f>'Fuel Diesel'!C17</f>
        <v>0</v>
      </c>
      <c r="D17" s="12">
        <f>'Fuel Diesel'!D17</f>
        <v>0</v>
      </c>
      <c r="E17" s="13">
        <v>0</v>
      </c>
      <c r="F17" s="15">
        <f t="shared" si="2"/>
        <v>0</v>
      </c>
      <c r="G17" s="13">
        <v>55</v>
      </c>
      <c r="H17" s="15">
        <f t="shared" si="3"/>
        <v>220000</v>
      </c>
      <c r="I17" s="13">
        <v>90</v>
      </c>
      <c r="J17" s="15">
        <f t="shared" si="4"/>
        <v>360000</v>
      </c>
      <c r="K17" s="13">
        <f t="shared" si="0"/>
        <v>580000</v>
      </c>
      <c r="L17" s="66">
        <f t="shared" si="1"/>
        <v>40.330992281482509</v>
      </c>
      <c r="M17" s="10"/>
    </row>
    <row r="18" spans="1:13">
      <c r="A18" s="9"/>
      <c r="B18" s="11">
        <v>10</v>
      </c>
      <c r="C18" s="12">
        <f>'Fuel Diesel'!C18</f>
        <v>0</v>
      </c>
      <c r="D18" s="12">
        <f>'Fuel Diesel'!D18</f>
        <v>0</v>
      </c>
      <c r="E18" s="13">
        <v>0</v>
      </c>
      <c r="F18" s="15">
        <f t="shared" si="2"/>
        <v>0</v>
      </c>
      <c r="G18" s="13">
        <v>55</v>
      </c>
      <c r="H18" s="15">
        <f t="shared" si="3"/>
        <v>220000</v>
      </c>
      <c r="I18" s="13">
        <v>93</v>
      </c>
      <c r="J18" s="15">
        <f t="shared" si="4"/>
        <v>372000</v>
      </c>
      <c r="K18" s="13">
        <f t="shared" si="0"/>
        <v>592000</v>
      </c>
      <c r="L18" s="66">
        <f t="shared" si="1"/>
        <v>41.165426604547669</v>
      </c>
      <c r="M18" s="10"/>
    </row>
    <row r="19" spans="1:13">
      <c r="A19" s="9"/>
      <c r="B19" s="11">
        <v>11</v>
      </c>
      <c r="C19" s="12">
        <f>'Fuel Diesel'!C19</f>
        <v>0</v>
      </c>
      <c r="D19" s="12">
        <f>'Fuel Diesel'!D19</f>
        <v>0</v>
      </c>
      <c r="E19" s="13">
        <v>0</v>
      </c>
      <c r="F19" s="15">
        <f t="shared" si="2"/>
        <v>0</v>
      </c>
      <c r="G19" s="13">
        <v>59</v>
      </c>
      <c r="H19" s="15">
        <f t="shared" si="3"/>
        <v>236000</v>
      </c>
      <c r="I19" s="13">
        <v>96</v>
      </c>
      <c r="J19" s="15">
        <f t="shared" si="4"/>
        <v>384000</v>
      </c>
      <c r="K19" s="13">
        <f t="shared" si="0"/>
        <v>620000</v>
      </c>
      <c r="L19" s="66">
        <f t="shared" si="1"/>
        <v>43.112440025033031</v>
      </c>
      <c r="M19" s="10"/>
    </row>
    <row r="20" spans="1:13">
      <c r="A20" s="9"/>
      <c r="B20" s="11">
        <v>12</v>
      </c>
      <c r="C20" s="12">
        <f>'Fuel Diesel'!C20</f>
        <v>0</v>
      </c>
      <c r="D20" s="12">
        <f>'Fuel Diesel'!D20</f>
        <v>0</v>
      </c>
      <c r="E20" s="13">
        <v>0</v>
      </c>
      <c r="F20" s="15">
        <f t="shared" si="2"/>
        <v>0</v>
      </c>
      <c r="G20" s="13">
        <v>58</v>
      </c>
      <c r="H20" s="15">
        <f>G20*4000</f>
        <v>232000</v>
      </c>
      <c r="I20" s="13">
        <v>95</v>
      </c>
      <c r="J20" s="15">
        <f t="shared" si="4"/>
        <v>380000</v>
      </c>
      <c r="K20" s="13">
        <f t="shared" si="0"/>
        <v>612000</v>
      </c>
      <c r="L20" s="66">
        <f t="shared" si="1"/>
        <v>42.556150476322927</v>
      </c>
      <c r="M20" s="10"/>
    </row>
    <row r="21" spans="1:13">
      <c r="A21" s="9"/>
      <c r="B21" s="11">
        <v>13</v>
      </c>
      <c r="C21" s="12">
        <f>'Fuel Diesel'!C21</f>
        <v>0</v>
      </c>
      <c r="D21" s="12">
        <f>'Fuel Diesel'!D21</f>
        <v>0</v>
      </c>
      <c r="E21" s="13">
        <v>0</v>
      </c>
      <c r="F21" s="15">
        <f t="shared" si="2"/>
        <v>0</v>
      </c>
      <c r="G21" s="13">
        <v>57</v>
      </c>
      <c r="H21" s="15">
        <f t="shared" si="3"/>
        <v>228000</v>
      </c>
      <c r="I21" s="13">
        <v>94</v>
      </c>
      <c r="J21" s="15">
        <f t="shared" si="4"/>
        <v>376000</v>
      </c>
      <c r="K21" s="13">
        <f t="shared" si="0"/>
        <v>604000</v>
      </c>
      <c r="L21" s="66">
        <f t="shared" si="1"/>
        <v>41.999860927612822</v>
      </c>
      <c r="M21" s="10"/>
    </row>
    <row r="22" spans="1:13">
      <c r="A22" s="9"/>
      <c r="B22" s="11">
        <v>14</v>
      </c>
      <c r="C22" s="12">
        <f>'Fuel Diesel'!C22</f>
        <v>0</v>
      </c>
      <c r="D22" s="12">
        <f>'Fuel Diesel'!D22</f>
        <v>0</v>
      </c>
      <c r="E22" s="13">
        <v>0</v>
      </c>
      <c r="F22" s="15">
        <f t="shared" si="2"/>
        <v>0</v>
      </c>
      <c r="G22" s="13">
        <v>70</v>
      </c>
      <c r="H22" s="15">
        <f t="shared" si="3"/>
        <v>280000</v>
      </c>
      <c r="I22" s="13">
        <v>116</v>
      </c>
      <c r="J22" s="15">
        <f t="shared" si="4"/>
        <v>464000</v>
      </c>
      <c r="K22" s="13">
        <f t="shared" si="0"/>
        <v>744000</v>
      </c>
      <c r="L22" s="66">
        <f t="shared" si="1"/>
        <v>51.734928030039633</v>
      </c>
      <c r="M22" s="10"/>
    </row>
    <row r="23" spans="1:13">
      <c r="A23" s="9"/>
      <c r="B23" s="11">
        <v>15</v>
      </c>
      <c r="C23" s="12">
        <f>'Fuel Diesel'!C23</f>
        <v>0</v>
      </c>
      <c r="D23" s="12">
        <f>'Fuel Diesel'!D23</f>
        <v>0</v>
      </c>
      <c r="E23" s="13">
        <v>0</v>
      </c>
      <c r="F23" s="15">
        <f t="shared" si="2"/>
        <v>0</v>
      </c>
      <c r="G23" s="13">
        <v>56</v>
      </c>
      <c r="H23" s="15">
        <f t="shared" si="3"/>
        <v>224000</v>
      </c>
      <c r="I23" s="13">
        <v>90</v>
      </c>
      <c r="J23" s="15">
        <f t="shared" si="4"/>
        <v>360000</v>
      </c>
      <c r="K23" s="13">
        <f t="shared" si="0"/>
        <v>584000</v>
      </c>
      <c r="L23" s="66">
        <f t="shared" si="1"/>
        <v>40.609137055837564</v>
      </c>
      <c r="M23" s="10"/>
    </row>
    <row r="24" spans="1:13">
      <c r="A24" s="9"/>
      <c r="B24" s="11">
        <v>16</v>
      </c>
      <c r="C24" s="12">
        <f>'Fuel Diesel'!C24</f>
        <v>0</v>
      </c>
      <c r="D24" s="12">
        <f>'Fuel Diesel'!D24</f>
        <v>0</v>
      </c>
      <c r="E24" s="13">
        <v>0</v>
      </c>
      <c r="F24" s="15">
        <f t="shared" si="2"/>
        <v>0</v>
      </c>
      <c r="G24" s="13">
        <v>70</v>
      </c>
      <c r="H24" s="15">
        <f t="shared" si="3"/>
        <v>280000</v>
      </c>
      <c r="I24" s="13">
        <v>117</v>
      </c>
      <c r="J24" s="15">
        <f t="shared" si="4"/>
        <v>468000</v>
      </c>
      <c r="K24" s="13">
        <f t="shared" si="0"/>
        <v>748000</v>
      </c>
      <c r="L24" s="66">
        <f t="shared" si="1"/>
        <v>52.013072804394689</v>
      </c>
      <c r="M24" s="10"/>
    </row>
    <row r="25" spans="1:13">
      <c r="A25" s="9"/>
      <c r="B25" s="11">
        <v>17</v>
      </c>
      <c r="C25" s="12">
        <f>'Fuel Diesel'!C25</f>
        <v>0</v>
      </c>
      <c r="D25" s="12">
        <f>'Fuel Diesel'!D25</f>
        <v>0</v>
      </c>
      <c r="E25" s="13">
        <v>0</v>
      </c>
      <c r="F25" s="15">
        <f t="shared" si="2"/>
        <v>0</v>
      </c>
      <c r="G25" s="13">
        <v>66</v>
      </c>
      <c r="H25" s="15">
        <f t="shared" si="3"/>
        <v>264000</v>
      </c>
      <c r="I25" s="13">
        <v>112</v>
      </c>
      <c r="J25" s="15">
        <f t="shared" si="4"/>
        <v>448000</v>
      </c>
      <c r="K25" s="13">
        <f t="shared" si="0"/>
        <v>712000</v>
      </c>
      <c r="L25" s="66">
        <f t="shared" si="1"/>
        <v>49.509769835199222</v>
      </c>
      <c r="M25" s="10"/>
    </row>
    <row r="26" spans="1:13">
      <c r="A26" s="9"/>
      <c r="B26" s="11">
        <v>18</v>
      </c>
      <c r="C26" s="12">
        <f>'Fuel Diesel'!C26</f>
        <v>0</v>
      </c>
      <c r="D26" s="12">
        <f>'Fuel Diesel'!D26</f>
        <v>0</v>
      </c>
      <c r="E26" s="13">
        <v>0</v>
      </c>
      <c r="F26" s="15">
        <f t="shared" si="2"/>
        <v>0</v>
      </c>
      <c r="G26" s="13">
        <v>78</v>
      </c>
      <c r="H26" s="15">
        <f t="shared" si="3"/>
        <v>312000</v>
      </c>
      <c r="I26" s="13">
        <v>126</v>
      </c>
      <c r="J26" s="15">
        <f t="shared" si="4"/>
        <v>504000</v>
      </c>
      <c r="K26" s="13">
        <f t="shared" si="0"/>
        <v>816000</v>
      </c>
      <c r="L26" s="66">
        <f t="shared" si="1"/>
        <v>56.741533968430566</v>
      </c>
      <c r="M26" s="10"/>
    </row>
    <row r="27" spans="1:13">
      <c r="A27" s="9"/>
      <c r="B27" s="11">
        <v>19</v>
      </c>
      <c r="C27" s="12">
        <f>'Fuel Diesel'!C27</f>
        <v>0</v>
      </c>
      <c r="D27" s="12">
        <f>'Fuel Diesel'!D27</f>
        <v>0</v>
      </c>
      <c r="E27" s="13">
        <v>0</v>
      </c>
      <c r="F27" s="15">
        <f t="shared" si="2"/>
        <v>0</v>
      </c>
      <c r="G27" s="13">
        <v>61</v>
      </c>
      <c r="H27" s="15">
        <f t="shared" si="3"/>
        <v>244000</v>
      </c>
      <c r="I27" s="13">
        <v>99</v>
      </c>
      <c r="J27" s="15">
        <f t="shared" si="4"/>
        <v>396000</v>
      </c>
      <c r="K27" s="13">
        <f t="shared" si="0"/>
        <v>640000</v>
      </c>
      <c r="L27" s="66">
        <f t="shared" si="1"/>
        <v>44.503163896808289</v>
      </c>
      <c r="M27" s="10"/>
    </row>
    <row r="28" spans="1:13">
      <c r="A28" s="9"/>
      <c r="B28" s="11">
        <v>20</v>
      </c>
      <c r="C28" s="12">
        <f>'Fuel Diesel'!C28</f>
        <v>0</v>
      </c>
      <c r="D28" s="12">
        <f>'Fuel Diesel'!D28</f>
        <v>0</v>
      </c>
      <c r="E28" s="13">
        <v>0</v>
      </c>
      <c r="F28" s="15">
        <f t="shared" si="2"/>
        <v>0</v>
      </c>
      <c r="G28" s="13">
        <v>51</v>
      </c>
      <c r="H28" s="15">
        <f t="shared" si="3"/>
        <v>204000</v>
      </c>
      <c r="I28" s="13">
        <v>87</v>
      </c>
      <c r="J28" s="15">
        <f t="shared" si="4"/>
        <v>348000</v>
      </c>
      <c r="K28" s="13">
        <f t="shared" si="0"/>
        <v>552000</v>
      </c>
      <c r="L28" s="66">
        <f t="shared" si="1"/>
        <v>38.383978860997146</v>
      </c>
      <c r="M28" s="10"/>
    </row>
    <row r="29" spans="1:13">
      <c r="A29" s="9"/>
      <c r="B29" s="11">
        <v>21</v>
      </c>
      <c r="C29" s="12">
        <f>'Fuel Diesel'!C29</f>
        <v>0</v>
      </c>
      <c r="D29" s="12">
        <f>'Fuel Diesel'!D29</f>
        <v>0</v>
      </c>
      <c r="E29" s="13">
        <v>0</v>
      </c>
      <c r="F29" s="15">
        <f t="shared" si="2"/>
        <v>0</v>
      </c>
      <c r="G29" s="13">
        <v>64</v>
      </c>
      <c r="H29" s="15">
        <f t="shared" si="3"/>
        <v>256000</v>
      </c>
      <c r="I29" s="13">
        <v>89</v>
      </c>
      <c r="J29" s="15">
        <f t="shared" si="4"/>
        <v>356000</v>
      </c>
      <c r="K29" s="13">
        <f t="shared" si="0"/>
        <v>612000</v>
      </c>
      <c r="L29" s="66">
        <f t="shared" si="1"/>
        <v>42.556150476322927</v>
      </c>
      <c r="M29" s="10"/>
    </row>
    <row r="30" spans="1:13">
      <c r="A30" s="9"/>
      <c r="B30" s="11">
        <v>22</v>
      </c>
      <c r="C30" s="12">
        <f>'Fuel Diesel'!C30</f>
        <v>0</v>
      </c>
      <c r="D30" s="12">
        <f>'Fuel Diesel'!D30</f>
        <v>0</v>
      </c>
      <c r="E30" s="13">
        <v>0</v>
      </c>
      <c r="F30" s="15">
        <f t="shared" si="2"/>
        <v>0</v>
      </c>
      <c r="G30" s="13">
        <v>44</v>
      </c>
      <c r="H30" s="15">
        <f t="shared" si="3"/>
        <v>176000</v>
      </c>
      <c r="I30" s="13">
        <v>89</v>
      </c>
      <c r="J30" s="15">
        <f t="shared" si="4"/>
        <v>356000</v>
      </c>
      <c r="K30" s="13">
        <f t="shared" si="0"/>
        <v>532000</v>
      </c>
      <c r="L30" s="66">
        <f t="shared" si="1"/>
        <v>36.993254989221889</v>
      </c>
      <c r="M30" s="10"/>
    </row>
    <row r="31" spans="1:13">
      <c r="A31" s="9"/>
      <c r="B31" s="11">
        <v>23</v>
      </c>
      <c r="C31" s="12">
        <f>'Fuel Diesel'!C31</f>
        <v>0</v>
      </c>
      <c r="D31" s="12">
        <f>'Fuel Diesel'!D31</f>
        <v>0</v>
      </c>
      <c r="E31" s="13">
        <v>0</v>
      </c>
      <c r="F31" s="15">
        <f t="shared" si="2"/>
        <v>0</v>
      </c>
      <c r="G31" s="13">
        <v>60</v>
      </c>
      <c r="H31" s="15">
        <f t="shared" si="3"/>
        <v>240000</v>
      </c>
      <c r="I31" s="13">
        <v>101</v>
      </c>
      <c r="J31" s="15">
        <f t="shared" si="4"/>
        <v>404000</v>
      </c>
      <c r="K31" s="13">
        <f t="shared" si="0"/>
        <v>644000</v>
      </c>
      <c r="L31" s="66">
        <f t="shared" si="1"/>
        <v>44.781308671163337</v>
      </c>
      <c r="M31" s="10"/>
    </row>
    <row r="32" spans="1:13">
      <c r="A32" s="9"/>
      <c r="B32" s="11">
        <v>24</v>
      </c>
      <c r="C32" s="12">
        <f>'Fuel Diesel'!C32</f>
        <v>0</v>
      </c>
      <c r="D32" s="12">
        <f>'Fuel Diesel'!D32</f>
        <v>0</v>
      </c>
      <c r="E32" s="13">
        <v>0</v>
      </c>
      <c r="F32" s="15">
        <f t="shared" si="2"/>
        <v>0</v>
      </c>
      <c r="G32" s="13">
        <v>74</v>
      </c>
      <c r="H32" s="15">
        <f t="shared" si="3"/>
        <v>296000</v>
      </c>
      <c r="I32" s="13">
        <v>126</v>
      </c>
      <c r="J32" s="15">
        <f t="shared" si="4"/>
        <v>504000</v>
      </c>
      <c r="K32" s="13">
        <f t="shared" si="0"/>
        <v>800000</v>
      </c>
      <c r="L32" s="66">
        <f t="shared" si="1"/>
        <v>55.628954871010357</v>
      </c>
      <c r="M32" s="10"/>
    </row>
    <row r="33" spans="1:15">
      <c r="A33" s="9"/>
      <c r="B33" s="11">
        <v>25</v>
      </c>
      <c r="C33" s="12">
        <f>'Fuel Diesel'!C33</f>
        <v>0</v>
      </c>
      <c r="D33" s="12">
        <f>'Fuel Diesel'!D33</f>
        <v>0</v>
      </c>
      <c r="E33" s="13">
        <v>0</v>
      </c>
      <c r="F33" s="15">
        <f t="shared" ref="F33:F35" si="5">E33*13582</f>
        <v>0</v>
      </c>
      <c r="G33" s="13">
        <v>84</v>
      </c>
      <c r="H33" s="15">
        <f t="shared" ref="H33:H35" si="6">G33*4000</f>
        <v>336000</v>
      </c>
      <c r="I33" s="13">
        <v>137</v>
      </c>
      <c r="J33" s="15">
        <f t="shared" ref="J33:J35" si="7">I33*4000</f>
        <v>548000</v>
      </c>
      <c r="K33" s="13">
        <f t="shared" ref="K33:K35" si="8">F33+H33+J33</f>
        <v>884000</v>
      </c>
      <c r="L33" s="66">
        <f t="shared" ref="L33:L35" si="9">K33/14381</f>
        <v>61.469995132466451</v>
      </c>
      <c r="M33" s="10"/>
    </row>
    <row r="34" spans="1:15">
      <c r="A34" s="9"/>
      <c r="B34" s="11">
        <v>26</v>
      </c>
      <c r="C34" s="12">
        <f>'Fuel Diesel'!C34</f>
        <v>0</v>
      </c>
      <c r="D34" s="12">
        <f>'Fuel Diesel'!D34</f>
        <v>0</v>
      </c>
      <c r="E34" s="13">
        <v>0</v>
      </c>
      <c r="F34" s="15">
        <f t="shared" si="5"/>
        <v>0</v>
      </c>
      <c r="G34" s="13">
        <v>67</v>
      </c>
      <c r="H34" s="15">
        <f t="shared" si="6"/>
        <v>268000</v>
      </c>
      <c r="I34" s="13">
        <v>111</v>
      </c>
      <c r="J34" s="15">
        <f t="shared" si="7"/>
        <v>444000</v>
      </c>
      <c r="K34" s="13">
        <f t="shared" si="8"/>
        <v>712000</v>
      </c>
      <c r="L34" s="66">
        <f t="shared" si="9"/>
        <v>49.509769835199222</v>
      </c>
      <c r="M34" s="10"/>
    </row>
    <row r="35" spans="1:15">
      <c r="A35" s="9"/>
      <c r="B35" s="11">
        <v>27</v>
      </c>
      <c r="C35" s="12">
        <f>'Fuel Diesel'!C35</f>
        <v>0</v>
      </c>
      <c r="D35" s="12">
        <f>'Fuel Diesel'!D35</f>
        <v>0</v>
      </c>
      <c r="E35" s="13">
        <v>0</v>
      </c>
      <c r="F35" s="15">
        <f t="shared" si="5"/>
        <v>0</v>
      </c>
      <c r="G35" s="13">
        <v>50</v>
      </c>
      <c r="H35" s="15">
        <f t="shared" si="6"/>
        <v>200000</v>
      </c>
      <c r="I35" s="13">
        <v>80</v>
      </c>
      <c r="J35" s="15">
        <f t="shared" si="7"/>
        <v>320000</v>
      </c>
      <c r="K35" s="13">
        <f t="shared" si="8"/>
        <v>520000</v>
      </c>
      <c r="L35" s="66">
        <f t="shared" si="9"/>
        <v>36.158820666156736</v>
      </c>
      <c r="M35" s="10"/>
    </row>
    <row r="36" spans="1:15">
      <c r="A36" s="9"/>
      <c r="B36" s="11">
        <v>28</v>
      </c>
      <c r="C36" s="12">
        <f>'Fuel Diesel'!C33</f>
        <v>0</v>
      </c>
      <c r="D36" s="12">
        <f>'Fuel Diesel'!D33</f>
        <v>0</v>
      </c>
      <c r="E36" s="13">
        <v>0</v>
      </c>
      <c r="F36" s="15">
        <f t="shared" si="2"/>
        <v>0</v>
      </c>
      <c r="G36" s="13">
        <v>57</v>
      </c>
      <c r="H36" s="15">
        <f t="shared" si="3"/>
        <v>228000</v>
      </c>
      <c r="I36" s="13">
        <v>97</v>
      </c>
      <c r="J36" s="15">
        <f t="shared" si="4"/>
        <v>388000</v>
      </c>
      <c r="K36" s="13">
        <f t="shared" si="0"/>
        <v>616000</v>
      </c>
      <c r="L36" s="66">
        <f t="shared" si="1"/>
        <v>42.834295250677975</v>
      </c>
      <c r="M36" s="10"/>
    </row>
    <row r="37" spans="1:15">
      <c r="A37" s="9"/>
      <c r="B37" s="11">
        <v>29</v>
      </c>
      <c r="C37" s="12">
        <f>'Fuel Diesel'!C37</f>
        <v>0</v>
      </c>
      <c r="D37" s="12">
        <f>'Fuel Diesel'!D37</f>
        <v>0</v>
      </c>
      <c r="E37" s="13">
        <v>0</v>
      </c>
      <c r="F37" s="15">
        <f t="shared" si="2"/>
        <v>0</v>
      </c>
      <c r="G37" s="13">
        <v>59</v>
      </c>
      <c r="H37" s="15">
        <f t="shared" si="3"/>
        <v>236000</v>
      </c>
      <c r="I37" s="13">
        <v>99</v>
      </c>
      <c r="J37" s="15">
        <f t="shared" si="4"/>
        <v>396000</v>
      </c>
      <c r="K37" s="13">
        <f t="shared" si="0"/>
        <v>632000</v>
      </c>
      <c r="L37" s="66">
        <f t="shared" si="1"/>
        <v>43.946874348098184</v>
      </c>
      <c r="M37" s="10"/>
    </row>
    <row r="38" spans="1:15">
      <c r="A38" s="9"/>
      <c r="B38" s="11">
        <v>30</v>
      </c>
      <c r="C38" s="12">
        <f>'Fuel Diesel'!C38</f>
        <v>0</v>
      </c>
      <c r="D38" s="12">
        <f>'Fuel Diesel'!D38</f>
        <v>0</v>
      </c>
      <c r="E38" s="13">
        <v>0</v>
      </c>
      <c r="F38" s="15">
        <f t="shared" si="2"/>
        <v>0</v>
      </c>
      <c r="G38" s="13">
        <v>70</v>
      </c>
      <c r="H38" s="15">
        <f t="shared" si="3"/>
        <v>280000</v>
      </c>
      <c r="I38" s="13">
        <v>118</v>
      </c>
      <c r="J38" s="15">
        <f t="shared" si="4"/>
        <v>472000</v>
      </c>
      <c r="K38" s="13">
        <f t="shared" si="0"/>
        <v>752000</v>
      </c>
      <c r="L38" s="66">
        <f t="shared" si="1"/>
        <v>52.291217578749738</v>
      </c>
      <c r="M38" s="10"/>
    </row>
    <row r="39" spans="1:15">
      <c r="C39" s="19">
        <f>SUM(C9:C38)</f>
        <v>0</v>
      </c>
      <c r="D39" s="19">
        <f>SUM(D9:D38)</f>
        <v>0</v>
      </c>
      <c r="E39" s="19">
        <v>0</v>
      </c>
      <c r="G39" s="19">
        <f>SUM(G9:G38)</f>
        <v>1731</v>
      </c>
      <c r="I39" s="19">
        <f>SUM(I9:I38)</f>
        <v>2870</v>
      </c>
      <c r="J39" s="79">
        <f>G39+I39</f>
        <v>4601</v>
      </c>
      <c r="K39" s="67"/>
      <c r="L39" s="73">
        <f>SUM(L9:L38)</f>
        <v>1279.7441068075932</v>
      </c>
      <c r="O39" s="24"/>
    </row>
    <row r="40" spans="1:15">
      <c r="H40" s="78" t="s">
        <v>60</v>
      </c>
      <c r="I40" s="77">
        <f>G39+I39</f>
        <v>4601</v>
      </c>
      <c r="L40" s="25"/>
    </row>
    <row r="41" spans="1:15">
      <c r="E41" s="8"/>
      <c r="F41" s="8"/>
      <c r="G41" s="8"/>
      <c r="H41" s="8"/>
      <c r="I41" s="68"/>
      <c r="J41" s="68"/>
      <c r="L41" s="27"/>
    </row>
    <row r="42" spans="1:15">
      <c r="E42" s="8"/>
      <c r="F42" s="8"/>
      <c r="G42" s="8"/>
      <c r="H42" s="8"/>
      <c r="I42" s="68"/>
      <c r="J42" s="68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08135afc2224114b86e0415bfa6655e1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17117c55fc9be0b1d5908b20207ced9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F86A3E-952B-4031-922E-291A0BF62F6F}"/>
</file>

<file path=customXml/itemProps2.xml><?xml version="1.0" encoding="utf-8"?>
<ds:datastoreItem xmlns:ds="http://schemas.openxmlformats.org/officeDocument/2006/customXml" ds:itemID="{3BDF9816-30E3-4D67-B9C2-48C26573135E}"/>
</file>

<file path=customXml/itemProps3.xml><?xml version="1.0" encoding="utf-8"?>
<ds:datastoreItem xmlns:ds="http://schemas.openxmlformats.org/officeDocument/2006/customXml" ds:itemID="{DC79ED1E-B0A6-4895-9E47-1BE9859D3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 Safitri</cp:lastModifiedBy>
  <cp:revision/>
  <dcterms:created xsi:type="dcterms:W3CDTF">2022-01-19T02:48:06Z</dcterms:created>
  <dcterms:modified xsi:type="dcterms:W3CDTF">2022-05-09T08:16:54Z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