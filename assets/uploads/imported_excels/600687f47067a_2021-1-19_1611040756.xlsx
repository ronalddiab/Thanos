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093840D7-D2E3-4B4D-91D1-C2827AC54502}" xr6:coauthVersionLast="36" xr6:coauthVersionMax="36" xr10:uidLastSave="{00000000-0000-0000-0000-000000000000}"/>
  <bookViews>
    <workbookView xWindow="0" yWindow="0" windowWidth="19440" windowHeight="754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V20" i="2" l="1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R23" i="8" s="1"/>
  <c r="O23" i="8"/>
  <c r="M23" i="8"/>
  <c r="K23" i="8"/>
  <c r="I23" i="8"/>
  <c r="J23" i="8" s="1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22" i="8" l="1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<sst xmlns="http://schemas.openxmlformats.org/spreadsheetml/2006/main" count="201" uniqueCount="128">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</sst>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-31068</c:v>
                </c:pt>
                <c:pt idx="7">
                  <c:v>0.13523819473464271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7" sqref="M17:O1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19020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22270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20044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22080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21480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19420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19700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20080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20620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329670</v>
      </c>
      <c r="F33" s="104">
        <v>0</v>
      </c>
      <c r="G33" s="101">
        <f>SUM(G2:G32)</f>
        <v>91051</v>
      </c>
      <c r="H33" s="102">
        <v>0</v>
      </c>
      <c r="I33" s="103">
        <f>SUM(I2:I32)</f>
        <v>4556</v>
      </c>
      <c r="J33" s="104">
        <v>0</v>
      </c>
      <c r="K33" s="105">
        <v>0</v>
      </c>
      <c r="L33" s="102">
        <v>0</v>
      </c>
      <c r="M33" s="106">
        <f t="shared" ref="M33:O33" si="1">SUM(M2:M32)</f>
        <v>887</v>
      </c>
      <c r="N33" s="106">
        <f t="shared" si="1"/>
        <v>2376</v>
      </c>
      <c r="O33" s="106">
        <f t="shared" si="1"/>
        <v>6650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7" zoomScale="78" zoomScaleNormal="78" workbookViewId="0">
      <selection activeCell="A20" sqref="A20:XFD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/>
      <c r="W21" s="71"/>
      <c r="X21" s="71"/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197.8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/>
      <c r="W22" s="71"/>
      <c r="X22" s="71"/>
      <c r="Y22" s="17"/>
    </row>
    <row r="23" spans="1:25" ht="21" customHeight="1" x14ac:dyDescent="0.25">
      <c r="A23" s="8">
        <v>44216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887</v>
      </c>
      <c r="W35" s="78">
        <f>SUM(W4:W34)</f>
        <v>2376</v>
      </c>
      <c r="X35" s="78">
        <f>SUM(X4:X34)</f>
        <v>6650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V21" sqref="V2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19020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4864.5099999997674</v>
      </c>
    </row>
    <row r="5" spans="1:22" x14ac:dyDescent="0.25">
      <c r="A5" s="3">
        <f>'Kwh Reading'!A5</f>
        <v>44198</v>
      </c>
      <c r="B5" s="26">
        <f>TOTAL!E3</f>
        <v>22270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6656.9699999996283</v>
      </c>
    </row>
    <row r="6" spans="1:22" x14ac:dyDescent="0.25">
      <c r="A6" s="3">
        <f>'Kwh Reading'!A6</f>
        <v>44199</v>
      </c>
      <c r="B6" s="26">
        <f>TOTAL!E4</f>
        <v>23276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6631.5000000009786</v>
      </c>
    </row>
    <row r="7" spans="1:22" x14ac:dyDescent="0.25">
      <c r="A7" s="3">
        <f>'Kwh Reading'!A7</f>
        <v>44200</v>
      </c>
      <c r="B7" s="26">
        <f>TOTAL!E5</f>
        <v>20044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5819.4899999992667</v>
      </c>
    </row>
    <row r="8" spans="1:22" x14ac:dyDescent="0.25">
      <c r="A8" s="3">
        <f>'Kwh Reading'!A8</f>
        <v>44201</v>
      </c>
      <c r="B8" s="26">
        <f>TOTAL!E6</f>
        <v>19110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4977.5700000004108</v>
      </c>
    </row>
    <row r="9" spans="1:22" x14ac:dyDescent="0.25">
      <c r="A9" s="3">
        <f>'Kwh Reading'!A9</f>
        <v>44202</v>
      </c>
      <c r="B9" s="26">
        <f>TOTAL!E7</f>
        <v>18760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4788.4799999992938</v>
      </c>
    </row>
    <row r="10" spans="1:22" x14ac:dyDescent="0.25">
      <c r="A10" s="3">
        <f>'Kwh Reading'!A10</f>
        <v>44203</v>
      </c>
      <c r="B10" s="26">
        <f>TOTAL!E8</f>
        <v>22080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5376.3200000004144</v>
      </c>
    </row>
    <row r="11" spans="1:22" x14ac:dyDescent="0.25">
      <c r="A11" s="3">
        <f>'Kwh Reading'!A11</f>
        <v>44204</v>
      </c>
      <c r="B11" s="26">
        <f>TOTAL!E9</f>
        <v>19940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4249.3199999995213</v>
      </c>
    </row>
    <row r="12" spans="1:22" x14ac:dyDescent="0.25">
      <c r="A12" s="3">
        <f>'Kwh Reading'!A12</f>
        <v>44205</v>
      </c>
      <c r="B12" s="26">
        <f>TOTAL!E10</f>
        <v>20900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6472.7200000007069</v>
      </c>
    </row>
    <row r="13" spans="1:22" x14ac:dyDescent="0.25">
      <c r="A13" s="3">
        <f>'Kwh Reading'!A13</f>
        <v>44206</v>
      </c>
      <c r="B13" s="26">
        <f>TOTAL!E11</f>
        <v>21480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5913.7099999995371</v>
      </c>
    </row>
    <row r="14" spans="1:22" x14ac:dyDescent="0.25">
      <c r="A14" s="3">
        <f>'Kwh Reading'!A14</f>
        <v>44207</v>
      </c>
      <c r="B14" s="26">
        <f>TOTAL!E12</f>
        <v>20740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5216.150000000549</v>
      </c>
    </row>
    <row r="15" spans="1:22" x14ac:dyDescent="0.25">
      <c r="A15" s="3">
        <f>'Kwh Reading'!A15</f>
        <v>44208</v>
      </c>
      <c r="B15" s="26">
        <f>TOTAL!E13</f>
        <v>19420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4409.7199999998938</v>
      </c>
    </row>
    <row r="16" spans="1:22" x14ac:dyDescent="0.25">
      <c r="A16" s="3">
        <f>'Kwh Reading'!A16</f>
        <v>44209</v>
      </c>
      <c r="B16" s="26">
        <f>TOTAL!E14</f>
        <v>19700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6050.0899999998692</v>
      </c>
    </row>
    <row r="17" spans="1:22" x14ac:dyDescent="0.25">
      <c r="A17" s="3">
        <f>'Kwh Reading'!A17</f>
        <v>44210</v>
      </c>
      <c r="B17" s="26">
        <f>TOTAL!E15</f>
        <v>22230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6822.7899999998026</v>
      </c>
    </row>
    <row r="18" spans="1:22" x14ac:dyDescent="0.25">
      <c r="A18" s="3">
        <f>'Kwh Reading'!A18</f>
        <v>44211</v>
      </c>
      <c r="B18" s="26">
        <f>TOTAL!E16</f>
        <v>20080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4982.6500000005017</v>
      </c>
    </row>
    <row r="19" spans="1:22" x14ac:dyDescent="0.25">
      <c r="A19" s="3">
        <f>'Kwh Reading'!A19</f>
        <v>44212</v>
      </c>
      <c r="B19" s="26">
        <f>TOTAL!E17</f>
        <v>20620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5652.0200000004897</v>
      </c>
    </row>
    <row r="20" spans="1:22" x14ac:dyDescent="0.25">
      <c r="A20" s="3">
        <f>'Kwh Reading'!A20</f>
        <v>44213</v>
      </c>
      <c r="B20" s="26">
        <f>TOTAL!E18</f>
        <v>0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-15335.560000000463</v>
      </c>
    </row>
    <row r="21" spans="1:22" ht="16.5" customHeight="1" x14ac:dyDescent="0.25">
      <c r="A21" s="3">
        <f>'Kwh Reading'!A21</f>
        <v>44214</v>
      </c>
      <c r="B21" s="26">
        <f>TOTAL!E19</f>
        <v>0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-1719.9999999999989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-14773.570000000462</v>
      </c>
    </row>
    <row r="22" spans="1:22" x14ac:dyDescent="0.25">
      <c r="A22" s="3">
        <f>'Kwh Reading'!A22</f>
        <v>44215</v>
      </c>
      <c r="B22" s="26">
        <f>TOTAL!E20</f>
        <v>0</v>
      </c>
      <c r="C22" s="4">
        <f>('Kwh Reading'!T23-'Kwh Reading'!T22)*1000</f>
        <v>-344200</v>
      </c>
      <c r="D22" s="2">
        <f>('Kwh Reading'!F23-'Kwh Reading'!F22)*1000000</f>
        <v>-1981000</v>
      </c>
      <c r="E22" s="2">
        <f>('Kwh Reading'!C23-'Kwh Reading'!C22)*1000</f>
        <v>-192190</v>
      </c>
      <c r="F22" s="2">
        <f>('Kwh Reading'!J23-'Kwh Reading'!J22)*1000</f>
        <v>-278350</v>
      </c>
      <c r="G22" s="2">
        <f>('Kwh Reading'!K23-'Kwh Reading'!K22)*1000</f>
        <v>-290890</v>
      </c>
      <c r="H22" s="2">
        <f>('Kwh Reading'!L23-'Kwh Reading'!L22)*1000</f>
        <v>-197800</v>
      </c>
      <c r="I22" s="2">
        <f>('Kwh Reading'!R23-'Kwh Reading'!R22)*1000</f>
        <v>-117380</v>
      </c>
      <c r="J22" s="2">
        <f>('Kwh Reading'!S23-'Kwh Reading'!S22)*1000</f>
        <v>-93711</v>
      </c>
      <c r="K22" s="2">
        <f>('Kwh Reading'!I23-'Kwh Reading'!I22)*1000</f>
        <v>-185820</v>
      </c>
      <c r="L22" s="2">
        <f>('Kwh Reading'!B23-'Kwh Reading'!B22)*1000</f>
        <v>-775100</v>
      </c>
      <c r="M22" s="2">
        <f>('Kwh Reading'!M23-'Kwh Reading'!M22)*1000</f>
        <v>-398610</v>
      </c>
      <c r="N22" s="2">
        <f>('Kwh Reading'!H23-'Kwh Reading'!H22)*1000</f>
        <v>-495980</v>
      </c>
      <c r="O22" s="2">
        <f>('Kwh Reading'!P23-'Kwh Reading'!P22)*1000</f>
        <v>-461280</v>
      </c>
      <c r="P22" s="2">
        <f>('Kwh Reading'!G23-'Kwh Reading'!G22)*1000</f>
        <v>-597930</v>
      </c>
      <c r="Q22" s="2">
        <f>('Kwh Reading'!Q23-'Kwh Reading'!Q22)*1000</f>
        <v>-342160</v>
      </c>
      <c r="R22" s="2">
        <f>('Kwh Reading'!N23-'Kwh Reading'!N22)*1000</f>
        <v>-343470</v>
      </c>
      <c r="S22" s="34">
        <f>'Kwh Reading'!E23-'Kwh Reading'!E22</f>
        <v>-7694084.4500000002</v>
      </c>
      <c r="T22" s="34">
        <f>'Kwh Reading'!D23-'Kwh Reading'!D22</f>
        <v>-7100653.5499999998</v>
      </c>
      <c r="U22" s="27">
        <f>('Kwh Reading'!O23-'Kwh Reading'!O22)*1000</f>
        <v>-112060</v>
      </c>
      <c r="V22" s="16">
        <f t="shared" si="0"/>
        <v>22002669</v>
      </c>
    </row>
    <row r="23" spans="1:22" x14ac:dyDescent="0.25">
      <c r="A23" s="3">
        <f>'Kwh Reading'!A23</f>
        <v>44216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44217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329670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-272089.99999999994</v>
      </c>
      <c r="G35" s="75">
        <f t="shared" ref="G35:U35" si="5">SUM(G4:G34)</f>
        <v>-283610</v>
      </c>
      <c r="H35" s="75">
        <f t="shared" si="5"/>
        <v>-194770</v>
      </c>
      <c r="I35" s="75">
        <f t="shared" si="5"/>
        <v>-114300</v>
      </c>
      <c r="J35" s="75">
        <f t="shared" si="5"/>
        <v>-91218</v>
      </c>
      <c r="K35" s="75">
        <f t="shared" si="5"/>
        <v>-181590</v>
      </c>
      <c r="L35" s="75">
        <f t="shared" si="5"/>
        <v>-754530</v>
      </c>
      <c r="M35" s="75">
        <f t="shared" si="5"/>
        <v>-387459.99999999994</v>
      </c>
      <c r="N35" s="75">
        <f t="shared" si="5"/>
        <v>-482029.99999999994</v>
      </c>
      <c r="O35" s="75">
        <f t="shared" si="5"/>
        <v>-447390</v>
      </c>
      <c r="P35" s="75">
        <f t="shared" si="5"/>
        <v>-583600.00000000012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22061443.879999999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19020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4864.5099999997692</v>
      </c>
    </row>
    <row r="4" spans="1:12" x14ac:dyDescent="0.25">
      <c r="A4" s="14">
        <f>'Kwh Reading'!A5</f>
        <v>44198</v>
      </c>
      <c r="B4" s="83">
        <f>TOTAL!E3</f>
        <v>22270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6656.9699999996283</v>
      </c>
    </row>
    <row r="5" spans="1:12" x14ac:dyDescent="0.25">
      <c r="A5" s="14">
        <f>'Kwh Reading'!A6</f>
        <v>44199</v>
      </c>
      <c r="B5" s="83">
        <f>TOTAL!E4</f>
        <v>23276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6631.500000000975</v>
      </c>
    </row>
    <row r="6" spans="1:12" x14ac:dyDescent="0.25">
      <c r="A6" s="14">
        <f>'Kwh Reading'!A7</f>
        <v>44200</v>
      </c>
      <c r="B6" s="83">
        <f>TOTAL!E5</f>
        <v>20044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5819.4899999992649</v>
      </c>
    </row>
    <row r="7" spans="1:12" x14ac:dyDescent="0.25">
      <c r="A7" s="14">
        <f>'Kwh Reading'!A8</f>
        <v>44201</v>
      </c>
      <c r="B7" s="83">
        <f>TOTAL!E6</f>
        <v>19110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4977.5700000004117</v>
      </c>
    </row>
    <row r="8" spans="1:12" x14ac:dyDescent="0.25">
      <c r="A8" s="14">
        <f>'Kwh Reading'!A9</f>
        <v>44202</v>
      </c>
      <c r="B8" s="83">
        <f>TOTAL!E7</f>
        <v>18760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4788.4799999992929</v>
      </c>
    </row>
    <row r="9" spans="1:12" x14ac:dyDescent="0.25">
      <c r="A9" s="14">
        <f>'Kwh Reading'!A10</f>
        <v>44203</v>
      </c>
      <c r="B9" s="83">
        <f>TOTAL!E8</f>
        <v>22080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5376.3200000004181</v>
      </c>
    </row>
    <row r="10" spans="1:12" x14ac:dyDescent="0.25">
      <c r="A10" s="14">
        <f>'Kwh Reading'!A11</f>
        <v>44204</v>
      </c>
      <c r="B10" s="83">
        <f>TOTAL!E9</f>
        <v>19940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4249.3199999995231</v>
      </c>
    </row>
    <row r="11" spans="1:12" x14ac:dyDescent="0.25">
      <c r="A11" s="14">
        <f>'Kwh Reading'!A12</f>
        <v>44205</v>
      </c>
      <c r="B11" s="83">
        <f>TOTAL!E10</f>
        <v>20900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6472.7200000007042</v>
      </c>
    </row>
    <row r="12" spans="1:12" x14ac:dyDescent="0.25">
      <c r="A12" s="14">
        <f>'Kwh Reading'!A13</f>
        <v>44206</v>
      </c>
      <c r="B12" s="83">
        <f>TOTAL!E11</f>
        <v>21480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5913.7099999995426</v>
      </c>
    </row>
    <row r="13" spans="1:12" x14ac:dyDescent="0.25">
      <c r="A13" s="14">
        <f>'Kwh Reading'!A14</f>
        <v>44207</v>
      </c>
      <c r="B13" s="83">
        <f>TOTAL!E12</f>
        <v>20740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5216.150000000549</v>
      </c>
    </row>
    <row r="14" spans="1:12" x14ac:dyDescent="0.25">
      <c r="A14" s="14">
        <f>'Kwh Reading'!A15</f>
        <v>44208</v>
      </c>
      <c r="B14" s="83">
        <f>TOTAL!E13</f>
        <v>19420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4409.7199999998938</v>
      </c>
    </row>
    <row r="15" spans="1:12" x14ac:dyDescent="0.25">
      <c r="A15" s="14">
        <f>'Kwh Reading'!A16</f>
        <v>44209</v>
      </c>
      <c r="B15" s="83">
        <f>TOTAL!E14</f>
        <v>19700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6050.0899999998674</v>
      </c>
    </row>
    <row r="16" spans="1:12" x14ac:dyDescent="0.25">
      <c r="A16" s="14">
        <f>'Kwh Reading'!A17</f>
        <v>44210</v>
      </c>
      <c r="B16" s="83">
        <f>TOTAL!E15</f>
        <v>22230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6822.7899999998044</v>
      </c>
    </row>
    <row r="17" spans="1:12" x14ac:dyDescent="0.25">
      <c r="A17" s="14">
        <f>'Kwh Reading'!A18</f>
        <v>44211</v>
      </c>
      <c r="B17" s="83">
        <f>TOTAL!E16</f>
        <v>20080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4982.6500000005035</v>
      </c>
    </row>
    <row r="18" spans="1:12" x14ac:dyDescent="0.25">
      <c r="A18" s="14">
        <f>'Kwh Reading'!A19</f>
        <v>44212</v>
      </c>
      <c r="B18" s="83">
        <f>TOTAL!E17</f>
        <v>20620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5652.0200000004943</v>
      </c>
    </row>
    <row r="19" spans="1:12" x14ac:dyDescent="0.25">
      <c r="A19" s="14">
        <f>'Kwh Reading'!A20</f>
        <v>44213</v>
      </c>
      <c r="B19" s="83">
        <f>TOTAL!E18</f>
        <v>0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-15335.560000000462</v>
      </c>
    </row>
    <row r="20" spans="1:12" x14ac:dyDescent="0.25">
      <c r="A20" s="14">
        <f>'Kwh Reading'!A21</f>
        <v>44214</v>
      </c>
      <c r="B20" s="83">
        <f>TOTAL!E19</f>
        <v>0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-809.99999999997385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-14773.570000000464</v>
      </c>
    </row>
    <row r="21" spans="1:12" x14ac:dyDescent="0.25">
      <c r="A21" s="14">
        <f>'Kwh Reading'!A22</f>
        <v>44215</v>
      </c>
      <c r="B21" s="83">
        <f>TOTAL!E20</f>
        <v>0</v>
      </c>
      <c r="C21" s="1">
        <f>'Kwh Consumption'!C22</f>
        <v>-344200</v>
      </c>
      <c r="D21" s="1">
        <f>'Kwh Consumption'!D22</f>
        <v>-1981000</v>
      </c>
      <c r="E21" s="1">
        <f>'Kwh Consumption'!E22</f>
        <v>-192190</v>
      </c>
      <c r="F21" s="1">
        <f>('Kwh Consumption'!F22+'Kwh Consumption'!G22+'Kwh Consumption'!H22)</f>
        <v>-767040</v>
      </c>
      <c r="G21" s="16">
        <f>('Kwh Consumption'!I22+'Kwh Consumption'!J22)</f>
        <v>-211091</v>
      </c>
      <c r="H21" s="1">
        <f>('Kwh Consumption'!K22+'Kwh Consumption'!L22)</f>
        <v>-960920</v>
      </c>
      <c r="I21" s="1">
        <f>('Kwh Consumption'!M22+'Kwh Consumption'!N22+'Kwh Consumption'!O22+'Kwh Consumption'!P22+'Kwh Consumption'!Q22+'Kwh Consumption'!R22)</f>
        <v>-2639430</v>
      </c>
      <c r="J21" s="1">
        <f>('Kwh Consumption'!S22+'Kwh Consumption'!T22)</f>
        <v>-14794738</v>
      </c>
      <c r="K21" s="1">
        <f>'Kwh Consumption'!U22</f>
        <v>-112060</v>
      </c>
      <c r="L21" s="32">
        <f t="shared" si="0"/>
        <v>22002669</v>
      </c>
    </row>
    <row r="22" spans="1:12" x14ac:dyDescent="0.25">
      <c r="A22" s="14">
        <f>'Kwh Reading'!A23</f>
        <v>44216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44217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44218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329670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22061443.879999999</v>
      </c>
      <c r="M34" s="84">
        <f>C34+D34+E34+F34+G34+H34+I34+J34+K34+L34</f>
        <v>329670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3088602.1432000003</v>
      </c>
      <c r="M36" s="84">
        <f>C36+D36+E36+F36+G36+H36+I36+J36+K36+L36</f>
        <v>46153.800000000279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2662.8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681.03139999996745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3117.8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931.97579999994809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3258.6400000000003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928.41000000013707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2806.1600000000003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814.72859999989737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696.85980000005759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670.38719999990121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3091.2000000000003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752.68480000005809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2791.6000000000004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594.90479999993306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2926.0000000000005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906.18080000009911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3007.2000000000003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827.91939999993531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2903.6000000000004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730.26100000007693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2718.8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617.36079999998515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2758.0000000000005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847.01259999998172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3112.2000000000003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955.19059999997251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2811.2000000000003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697.57100000007028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2886.8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791.28280000006862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-2146.978400000065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-113.39999999999635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-2068.2998000000648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-48188.000000000007</v>
      </c>
      <c r="E21" s="1">
        <f>'Kwh Consumption'!D22*' Kwh area wise $ '!B21</f>
        <v>-277340</v>
      </c>
      <c r="F21" s="1">
        <f>'Kwh Consumption'!E22*' Kwh area wise $ '!B21</f>
        <v>-26906.600000000002</v>
      </c>
      <c r="G21" s="1">
        <f>('Kwh Consumption'!F22+'Kwh Consumption'!G22+'Kwh Consumption'!H22)*' Kwh area wise $ '!B21</f>
        <v>-107385.60000000001</v>
      </c>
      <c r="H21" s="16">
        <f>('Kwh Consumption'!I22+'Kwh Consumption'!J22)*' Kwh area wise $ '!B21</f>
        <v>-29552.74</v>
      </c>
      <c r="I21" s="1">
        <f>('Kwh Consumption'!K22+'Kwh Consumption'!L22)*' Kwh area wise $ '!B21</f>
        <v>-134528.80000000002</v>
      </c>
      <c r="J21" s="1">
        <f>('Kwh Consumption'!M22+'Kwh Consumption'!N22+'Kwh Consumption'!O22+'Kwh Consumption'!P22+'Kwh Consumption'!Q22+'Kwh Consumption'!R22)*' Kwh area wise $ '!B21</f>
        <v>-369520.2</v>
      </c>
      <c r="K21" s="1">
        <f>('Kwh Consumption'!S22+'Kwh Consumption'!T22)*' Kwh area wise $ '!B21</f>
        <v>-2071263.3200000003</v>
      </c>
      <c r="L21" s="1">
        <f>'Kwh Consumption'!U22*' Kwh area wise $ '!B21</f>
        <v>-15688.400000000001</v>
      </c>
      <c r="M21" s="1">
        <f>'Kwh Consumption'!V22*' Kwh area wise $ '!B21</f>
        <v>3080373.66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46153.8</v>
      </c>
      <c r="D34" s="75">
        <f t="shared" si="0"/>
        <v>-46863.600000000013</v>
      </c>
      <c r="E34" s="75">
        <f t="shared" si="0"/>
        <v>-270970</v>
      </c>
      <c r="F34" s="75">
        <f t="shared" si="0"/>
        <v>-26243</v>
      </c>
      <c r="G34" s="75">
        <f t="shared" si="0"/>
        <v>-105065.8</v>
      </c>
      <c r="H34" s="75">
        <f t="shared" si="0"/>
        <v>-28772.520000000004</v>
      </c>
      <c r="I34" s="75">
        <f t="shared" si="0"/>
        <v>-131056.80000000002</v>
      </c>
      <c r="J34" s="75">
        <f t="shared" si="0"/>
        <v>-358904</v>
      </c>
      <c r="K34" s="75">
        <f t="shared" si="0"/>
        <v>-2059542.2232000004</v>
      </c>
      <c r="L34" s="75">
        <f t="shared" si="0"/>
        <v>-15030.400000000001</v>
      </c>
      <c r="M34" s="75">
        <f>SUM(M3:M33)</f>
        <v>3088602.1432000003</v>
      </c>
      <c r="N34" s="84">
        <f>D34+E34+F34+G34+H34+I34+J34+K34+L34+M34</f>
        <v>46153.799999999814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1" sqref="R2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44217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44218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44219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G1" zoomScale="70" zoomScaleNormal="70" workbookViewId="0">
      <pane ySplit="3" topLeftCell="A4" activePane="bottomLeft" state="frozen"/>
      <selection activeCell="C25" sqref="C25"/>
      <selection pane="bottomLeft" activeCell="R39" sqref="R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0</v>
      </c>
      <c r="C20" s="66">
        <f>('Water Reading'!B20-'Water Reading'!B19)+('Water Reading'!C20-'Water Reading'!C19)</f>
        <v>255</v>
      </c>
      <c r="D20" s="67" t="e">
        <f t="shared" si="2"/>
        <v>#DIV/0!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 t="e">
        <f t="shared" si="1"/>
        <v>#DIV/0!</v>
      </c>
    </row>
    <row r="21" spans="1:26" x14ac:dyDescent="0.25">
      <c r="A21" s="8">
        <f>'Water Reading'!A20</f>
        <v>44214</v>
      </c>
      <c r="B21" s="65">
        <f>TOTAL!I19</f>
        <v>0</v>
      </c>
      <c r="C21" s="66">
        <f>('Water Reading'!B21-'Water Reading'!B20)+('Water Reading'!C21-'Water Reading'!C20)</f>
        <v>388</v>
      </c>
      <c r="D21" s="67" t="e">
        <f t="shared" si="2"/>
        <v>#DIV/0!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 t="e">
        <f t="shared" si="1"/>
        <v>#DIV/0!</v>
      </c>
    </row>
    <row r="22" spans="1:26" x14ac:dyDescent="0.25">
      <c r="A22" s="8">
        <f>'Water Reading'!A21</f>
        <v>44215</v>
      </c>
      <c r="B22" s="65">
        <f>TOTAL!I20</f>
        <v>0</v>
      </c>
      <c r="C22" s="66">
        <f>('Water Reading'!B22-'Water Reading'!B21)+('Water Reading'!C22-'Water Reading'!C21)</f>
        <v>-235914</v>
      </c>
      <c r="D22" s="67" t="e">
        <f t="shared" si="2"/>
        <v>#DIV/0!</v>
      </c>
      <c r="E22" s="87">
        <f>'Water Reading'!H22-'Water Reading'!H21</f>
        <v>-45048</v>
      </c>
      <c r="F22" s="89">
        <f t="shared" si="3"/>
        <v>0.19095093974923066</v>
      </c>
      <c r="G22" s="93">
        <f>('Water Reading'!D22-'Water Reading'!D21)-('Water Reading'!R22-'Water Reading'!R21)-('Water Reading'!Q22-'Water Reading'!Q21)</f>
        <v>-180522</v>
      </c>
      <c r="H22" s="89">
        <f t="shared" si="4"/>
        <v>0.76520257381927315</v>
      </c>
      <c r="I22" s="90">
        <f>'Water Reading'!P22-'Water Reading'!P21</f>
        <v>-25754</v>
      </c>
      <c r="J22" s="68">
        <f t="shared" si="5"/>
        <v>0.10916689980247039</v>
      </c>
      <c r="K22" s="90">
        <f>('Water Reading'!I22-'Water Reading'!I21)-('Water Reading'!P22-'Water Reading'!P21)</f>
        <v>-31540</v>
      </c>
      <c r="L22" s="68">
        <f t="shared" si="6"/>
        <v>0.13369278635434947</v>
      </c>
      <c r="M22" s="90">
        <f>'Water Reading'!R22-'Water Reading'!R21</f>
        <v>-5387</v>
      </c>
      <c r="N22" s="92">
        <f t="shared" si="7"/>
        <v>2.2834592266673448E-2</v>
      </c>
      <c r="O22" s="90">
        <f>'Water Reading'!Q22-'Water Reading'!Q21</f>
        <v>-18</v>
      </c>
      <c r="P22" s="99">
        <f t="shared" si="8"/>
        <v>7.629899031002823E-5</v>
      </c>
      <c r="Q22" s="91">
        <f>'Water Reading'!F22-'Water Reading'!F21</f>
        <v>-66838</v>
      </c>
      <c r="R22" s="100">
        <f t="shared" si="9"/>
        <v>0.28331510635231483</v>
      </c>
      <c r="S22" s="94">
        <f>'Water Reading'!E22-'Water Reading'!E21</f>
        <v>-238156</v>
      </c>
      <c r="T22" s="100">
        <f t="shared" si="10"/>
        <v>1.0095034631263935</v>
      </c>
      <c r="U22" s="90">
        <f>'Water Reading'!G22-'Water Reading'!G21</f>
        <v>-108491</v>
      </c>
      <c r="V22" s="100">
        <f t="shared" si="11"/>
        <v>0.45987520876251514</v>
      </c>
      <c r="W22" s="90">
        <f>'Water Reading'!J22-'Water Reading'!J21</f>
        <v>-18184</v>
      </c>
      <c r="X22" s="100">
        <f t="shared" si="12"/>
        <v>7.7078935544308516E-2</v>
      </c>
      <c r="Y22" s="66">
        <f t="shared" si="0"/>
        <v>-719938</v>
      </c>
      <c r="Z22" s="67" t="e">
        <f t="shared" si="1"/>
        <v>#DIV/0!</v>
      </c>
    </row>
    <row r="23" spans="1:26" x14ac:dyDescent="0.25">
      <c r="A23" s="8">
        <f>'Water Reading'!A22</f>
        <v>44216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44217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44218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4556</v>
      </c>
      <c r="C35" s="75">
        <f>SUM(C4:C34)</f>
        <v>-229728</v>
      </c>
      <c r="D35" s="96">
        <f>C35/B35</f>
        <v>-50.423178226514487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-31068</v>
      </c>
      <c r="L35" s="95">
        <f>K35/C35</f>
        <v>0.13523819473464271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-714069</v>
      </c>
      <c r="Z35" s="95">
        <f t="shared" si="1"/>
        <v>-156.73156277436348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2021-01-19T07:05:05Z</dcterms:modified>
  <cp:category/>
  <cp:contentStatus/>
</cp:coreProperties>
</file>