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8" i="3" l="1"/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<sst xmlns="http://schemas.openxmlformats.org/spreadsheetml/2006/main" count="606" uniqueCount="76">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</sst>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8" borderId="9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43" workbookViewId="0">
      <selection activeCell="W160" sqref="W16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32">
        <v>2.4300000000000002</v>
      </c>
      <c r="G167" s="4">
        <f>'Gas Water'!M170</f>
        <v>1988</v>
      </c>
      <c r="H167" s="132">
        <v>16.5</v>
      </c>
      <c r="I167" s="2">
        <f>'Gas Water'!L170</f>
        <v>307</v>
      </c>
      <c r="J167" s="132">
        <v>22.4</v>
      </c>
      <c r="K167" s="5">
        <v>119</v>
      </c>
      <c r="L167" s="5">
        <v>235</v>
      </c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32">
        <v>2.4300000000000002</v>
      </c>
      <c r="G168" s="4">
        <f>'Gas Water'!M171</f>
        <v>1889</v>
      </c>
      <c r="H168" s="132">
        <v>16.5</v>
      </c>
      <c r="I168" s="2">
        <f>'Gas Water'!L171</f>
        <v>327</v>
      </c>
      <c r="J168" s="132">
        <v>22.4</v>
      </c>
      <c r="K168" s="5">
        <v>118</v>
      </c>
      <c r="L168" s="5">
        <v>203</v>
      </c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32">
        <v>2.4300000000000002</v>
      </c>
      <c r="G169" s="4">
        <f>'Gas Water'!M172</f>
        <v>2461</v>
      </c>
      <c r="H169" s="132">
        <v>16.5</v>
      </c>
      <c r="I169" s="2">
        <f>'Gas Water'!L172</f>
        <v>378</v>
      </c>
      <c r="J169" s="132">
        <v>22.4</v>
      </c>
      <c r="K169" s="5">
        <v>145</v>
      </c>
      <c r="L169" s="5">
        <v>245</v>
      </c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32">
        <v>2.4300000000000002</v>
      </c>
      <c r="G170" s="4">
        <f>'Gas Water'!M173</f>
        <v>1893</v>
      </c>
      <c r="H170" s="132">
        <v>16.5</v>
      </c>
      <c r="I170" s="2">
        <f>'Gas Water'!L173</f>
        <v>313</v>
      </c>
      <c r="J170" s="132">
        <v>22.4</v>
      </c>
      <c r="K170" s="5">
        <v>161</v>
      </c>
      <c r="L170" s="5">
        <v>288</v>
      </c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32">
        <v>2.4300000000000002</v>
      </c>
      <c r="G171" s="4">
        <f>'Gas Water'!M174</f>
        <v>1983</v>
      </c>
      <c r="H171" s="132">
        <v>16.5</v>
      </c>
      <c r="I171" s="2">
        <f>'Gas Water'!L174</f>
        <v>319</v>
      </c>
      <c r="J171" s="132">
        <v>22.4</v>
      </c>
      <c r="K171" s="5">
        <v>145</v>
      </c>
      <c r="L171" s="5">
        <v>253</v>
      </c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32">
        <v>2.4300000000000002</v>
      </c>
      <c r="G172" s="4">
        <f>'Gas Water'!M175</f>
        <v>1814</v>
      </c>
      <c r="H172" s="132">
        <v>16.5</v>
      </c>
      <c r="I172" s="2">
        <f>'Gas Water'!L175</f>
        <v>294</v>
      </c>
      <c r="J172" s="132">
        <v>22.4</v>
      </c>
      <c r="K172" s="5">
        <v>156</v>
      </c>
      <c r="L172" s="5">
        <v>267</v>
      </c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45" workbookViewId="0">
      <selection activeCell="U162" sqref="U162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5" t="s">
        <v>50</v>
      </c>
      <c r="Q21" s="166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7"/>
      <c r="Q22" s="168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5" t="s">
        <v>62</v>
      </c>
      <c r="Q49" s="166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7"/>
      <c r="Q50" s="168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5" t="s">
        <v>65</v>
      </c>
      <c r="Q81" s="166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7"/>
      <c r="Q82" s="168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5" t="s">
        <v>66</v>
      </c>
      <c r="Q111" s="166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7"/>
      <c r="Q112" s="168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5" t="s">
        <v>67</v>
      </c>
      <c r="Q142" s="166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7"/>
      <c r="Q143" s="168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>
        <v>0.14199999999999999</v>
      </c>
      <c r="E169" s="137">
        <v>2866.732</v>
      </c>
      <c r="F169" s="138">
        <v>83.033000000000001</v>
      </c>
      <c r="G169" s="56"/>
      <c r="H169" s="56">
        <v>4140</v>
      </c>
      <c r="I169" s="56">
        <f t="shared" si="76"/>
        <v>31832.459999999381</v>
      </c>
      <c r="J169" s="56">
        <f t="shared" si="77"/>
        <v>935.63999999999623</v>
      </c>
      <c r="K169" s="57">
        <f t="shared" si="72"/>
        <v>2.9392638834699374E-2</v>
      </c>
      <c r="L169" s="56">
        <f t="shared" si="73"/>
        <v>935.63999999999623</v>
      </c>
      <c r="M169" s="57">
        <f t="shared" si="74"/>
        <v>2.9392638834699374E-2</v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>
        <v>0.14199999999999999</v>
      </c>
      <c r="E170" s="137">
        <v>2874.681</v>
      </c>
      <c r="F170" s="138">
        <v>83.248999999999995</v>
      </c>
      <c r="G170" s="56"/>
      <c r="H170" s="56">
        <v>4140</v>
      </c>
      <c r="I170" s="56">
        <f t="shared" si="76"/>
        <v>32908.860000000284</v>
      </c>
      <c r="J170" s="56">
        <f t="shared" si="77"/>
        <v>894.239999999975</v>
      </c>
      <c r="K170" s="57">
        <f t="shared" si="72"/>
        <v>2.7173229337022532E-2</v>
      </c>
      <c r="L170" s="56">
        <f t="shared" si="73"/>
        <v>894.239999999975</v>
      </c>
      <c r="M170" s="57">
        <f t="shared" si="74"/>
        <v>2.7173229337022532E-2</v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>
        <v>0.14199999999999999</v>
      </c>
      <c r="E171" s="137">
        <v>2882.0630000000001</v>
      </c>
      <c r="F171" s="138">
        <v>83.548000000000002</v>
      </c>
      <c r="G171" s="56"/>
      <c r="H171" s="56">
        <v>4140</v>
      </c>
      <c r="I171" s="56">
        <f t="shared" si="76"/>
        <v>30561.480000000258</v>
      </c>
      <c r="J171" s="56">
        <f t="shared" si="77"/>
        <v>1237.8600000000274</v>
      </c>
      <c r="K171" s="57">
        <f t="shared" si="72"/>
        <v>4.0503928474668667E-2</v>
      </c>
      <c r="L171" s="56">
        <f t="shared" si="73"/>
        <v>1237.8600000000274</v>
      </c>
      <c r="M171" s="57">
        <f t="shared" si="74"/>
        <v>4.0503928474668667E-2</v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>
        <v>0.14199999999999999</v>
      </c>
      <c r="E172" s="137">
        <v>2890.6060000000002</v>
      </c>
      <c r="F172" s="138">
        <v>83.825000000000003</v>
      </c>
      <c r="G172" s="56"/>
      <c r="H172" s="56">
        <v>4140</v>
      </c>
      <c r="I172" s="56">
        <f t="shared" si="76"/>
        <v>35368.020000000499</v>
      </c>
      <c r="J172" s="56">
        <f t="shared" si="77"/>
        <v>1146.7800000000043</v>
      </c>
      <c r="K172" s="57">
        <f t="shared" si="72"/>
        <v>3.2424206953060648E-2</v>
      </c>
      <c r="L172" s="56">
        <f t="shared" si="73"/>
        <v>1146.7800000000043</v>
      </c>
      <c r="M172" s="57">
        <f t="shared" si="74"/>
        <v>3.2424206953060648E-2</v>
      </c>
      <c r="N172" s="58">
        <v>66068309</v>
      </c>
      <c r="O172" s="58">
        <f t="shared" si="70"/>
        <v>0</v>
      </c>
      <c r="P172" s="165" t="s">
        <v>68</v>
      </c>
      <c r="Q172" s="166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>
        <v>0.14199999999999999</v>
      </c>
      <c r="E173" s="137">
        <v>2898.6410000000001</v>
      </c>
      <c r="F173" s="138">
        <v>84.055999999999997</v>
      </c>
      <c r="G173" s="56"/>
      <c r="H173" s="56">
        <v>4140</v>
      </c>
      <c r="I173" s="56">
        <f t="shared" si="76"/>
        <v>33264.899999999398</v>
      </c>
      <c r="J173" s="56">
        <f t="shared" si="77"/>
        <v>956.33999999997741</v>
      </c>
      <c r="K173" s="57">
        <f t="shared" si="72"/>
        <v>2.8749222153080116E-2</v>
      </c>
      <c r="L173" s="56">
        <f t="shared" si="73"/>
        <v>956.33999999997741</v>
      </c>
      <c r="M173" s="57">
        <f t="shared" si="74"/>
        <v>2.8749222153080116E-2</v>
      </c>
      <c r="N173" s="58">
        <v>66068309</v>
      </c>
      <c r="O173" s="58">
        <f t="shared" si="70"/>
        <v>0</v>
      </c>
      <c r="P173" s="167"/>
      <c r="Q173" s="168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>
        <v>0.14199999999999999</v>
      </c>
      <c r="E174" s="137">
        <v>2906.7130000000002</v>
      </c>
      <c r="F174" s="138">
        <v>84.356999999999999</v>
      </c>
      <c r="G174" s="56"/>
      <c r="H174" s="56">
        <v>4140</v>
      </c>
      <c r="I174" s="56">
        <f t="shared" si="76"/>
        <v>33418.080000000482</v>
      </c>
      <c r="J174" s="56">
        <f t="shared" si="77"/>
        <v>1246.1400000000081</v>
      </c>
      <c r="K174" s="57">
        <f t="shared" si="72"/>
        <v>3.7289395441030423E-2</v>
      </c>
      <c r="L174" s="56">
        <f t="shared" si="73"/>
        <v>1246.1400000000081</v>
      </c>
      <c r="M174" s="57">
        <f t="shared" si="74"/>
        <v>3.7289395441030423E-2</v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3.2806053111647006E-2</v>
      </c>
      <c r="Q175" s="66">
        <f>IF(L155="",0,+SUM(L155:L184)/SUM(I155:I184))</f>
        <v>3.2806053111647006E-2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69" t="s">
        <v>69</v>
      </c>
      <c r="Q203" s="170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67"/>
      <c r="Q204" s="168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69" t="s">
        <v>70</v>
      </c>
      <c r="Q234" s="170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67"/>
      <c r="Q235" s="168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5" t="s">
        <v>71</v>
      </c>
      <c r="Q264" s="166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67"/>
      <c r="Q265" s="168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5" t="s">
        <v>73</v>
      </c>
      <c r="Q295" s="166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67"/>
      <c r="Q296" s="168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5" t="s">
        <v>74</v>
      </c>
      <c r="Q325" s="166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67"/>
      <c r="Q326" s="168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5" t="s">
        <v>75</v>
      </c>
      <c r="Q356" s="166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67"/>
      <c r="Q357" s="168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B139" workbookViewId="0">
      <selection activeCell="P166" sqref="P16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4"/>
      <c r="C1" s="174"/>
      <c r="D1" s="174"/>
      <c r="E1" s="174"/>
      <c r="F1" s="174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1" t="s">
        <v>25</v>
      </c>
      <c r="O25" s="171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2"/>
      <c r="O26" s="17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3"/>
      <c r="O27" s="17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1" t="s">
        <v>27</v>
      </c>
      <c r="O29" s="171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3"/>
      <c r="O30" s="17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1" t="s">
        <v>25</v>
      </c>
      <c r="O53" s="171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2"/>
      <c r="O54" s="172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3"/>
      <c r="O55" s="173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1" t="s">
        <v>27</v>
      </c>
      <c r="O57" s="171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3"/>
      <c r="O58" s="173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1" t="s">
        <v>29</v>
      </c>
      <c r="O60" s="171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3"/>
      <c r="O61" s="173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1" t="s">
        <v>25</v>
      </c>
      <c r="O84" s="171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2"/>
      <c r="O85" s="172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3"/>
      <c r="O86" s="173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1" t="s">
        <v>27</v>
      </c>
      <c r="O88" s="171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3"/>
      <c r="O89" s="173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1" t="s">
        <v>29</v>
      </c>
      <c r="O91" s="171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3"/>
      <c r="O92" s="173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1" t="s">
        <v>25</v>
      </c>
      <c r="O114" s="171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2"/>
      <c r="O115" s="172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3"/>
      <c r="O116" s="173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1" t="s">
        <v>27</v>
      </c>
      <c r="O118" s="171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3"/>
      <c r="O119" s="173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1" t="s">
        <v>25</v>
      </c>
      <c r="O145" s="171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2"/>
      <c r="O146" s="172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3"/>
      <c r="O147" s="173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1" t="s">
        <v>27</v>
      </c>
      <c r="O149" s="171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3"/>
      <c r="O150" s="173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64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 x14ac:dyDescent="0.2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 x14ac:dyDescent="0.2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 x14ac:dyDescent="0.2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 x14ac:dyDescent="0.25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 x14ac:dyDescent="0.2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71" t="s">
        <v>25</v>
      </c>
      <c r="O175" s="171" t="s">
        <v>26</v>
      </c>
      <c r="Q175" s="19">
        <f t="shared" si="90"/>
        <v>0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72"/>
      <c r="O176" s="172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73"/>
      <c r="O177" s="173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6400</v>
      </c>
      <c r="O178" s="30">
        <f>SUM(M156:M185)</f>
        <v>40205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71" t="s">
        <v>27</v>
      </c>
      <c r="O179" s="171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73"/>
      <c r="O180" s="173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>
        <f>AVERAGE(L156:L185)</f>
        <v>320</v>
      </c>
      <c r="O181" s="30">
        <f>AVERAGE(M156:M185)</f>
        <v>2010.25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1" t="s">
        <v>25</v>
      </c>
      <c r="O206" s="171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2"/>
      <c r="O207" s="172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3"/>
      <c r="O208" s="173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1" t="s">
        <v>27</v>
      </c>
      <c r="O210" s="171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3"/>
      <c r="O211" s="173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1" t="s">
        <v>25</v>
      </c>
      <c r="O237" s="171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2"/>
      <c r="O238" s="172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3"/>
      <c r="O239" s="173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1" t="s">
        <v>27</v>
      </c>
      <c r="O241" s="171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3"/>
      <c r="O242" s="173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1" t="s">
        <v>25</v>
      </c>
      <c r="O267" s="171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2"/>
      <c r="O268" s="172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3"/>
      <c r="O269" s="173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1" t="s">
        <v>27</v>
      </c>
      <c r="O271" s="171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3"/>
      <c r="O272" s="173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1" t="s">
        <v>25</v>
      </c>
      <c r="O298" s="171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2"/>
      <c r="O299" s="172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3"/>
      <c r="O300" s="173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1" t="s">
        <v>27</v>
      </c>
      <c r="O302" s="171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3"/>
      <c r="O303" s="173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1" t="s">
        <v>25</v>
      </c>
      <c r="O328" s="171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2"/>
      <c r="O329" s="172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3"/>
      <c r="O330" s="173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1" t="s">
        <v>27</v>
      </c>
      <c r="O332" s="171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3"/>
      <c r="O333" s="173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1" t="s">
        <v>25</v>
      </c>
      <c r="O359" s="171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2"/>
      <c r="O360" s="172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3"/>
      <c r="O361" s="173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1" t="s">
        <v>27</v>
      </c>
      <c r="O363" s="171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3"/>
      <c r="O364" s="173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2022-06-21T06:24:37Z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