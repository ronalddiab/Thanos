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537" documentId="8_{722EA937-C075-44E3-AE1E-2699536DFD5C}" xr6:coauthVersionLast="47" xr6:coauthVersionMax="47" xr10:uidLastSave="{F709307B-C8DA-4729-AA77-3B0605F5853A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5" i="6" l="1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O40" i="5"/>
  <c r="AP40" i="5"/>
  <c r="AQ40" i="5"/>
  <c r="AO41" i="5"/>
  <c r="AP41" i="5"/>
  <c r="AQ41" i="5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I36" i="1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I37" i="1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8" i="1"/>
  <c r="I32" i="1"/>
  <c r="I41" i="1"/>
  <c r="I39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37" i="1"/>
  <c r="F37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8" i="1"/>
  <c r="AX39" i="3"/>
  <c r="J36" i="1"/>
  <c r="AX35" i="3"/>
  <c r="G34" i="1"/>
  <c r="J29" i="1"/>
  <c r="J17" i="1"/>
  <c r="J13" i="1"/>
  <c r="J5" i="1"/>
  <c r="AX40" i="3"/>
  <c r="J39" i="1"/>
  <c r="E38" i="1"/>
  <c r="F38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<sst xmlns="http://schemas.openxmlformats.org/spreadsheetml/2006/main" count="1161" uniqueCount="218">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</sst>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1827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2298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2078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2400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1293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1043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1820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1865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2140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2194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 t="str">
        <f>IF('Wtr-Gas'!E36&lt;0,"0",('Wtr-Gas'!E36)*0.0038)</f>
        <v>0</v>
      </c>
      <c r="AG34" s="74" t="str">
        <f>IF('Wtr-Gas'!H36&lt;0,"0",('Wtr-Gas'!H36)*0.0038)</f>
        <v>0</v>
      </c>
      <c r="AH34" s="74" t="str">
        <f>IF('Wtr-Gas'!K36&lt;0,"0",('Wtr-Gas'!K36)*0.0038)</f>
        <v>0</v>
      </c>
      <c r="AI34" s="74" t="str">
        <f>IF('Wtr-Gas'!N36&lt;0,"0",('Wtr-Gas'!N36)*0.0038)</f>
        <v>0</v>
      </c>
      <c r="AJ34" s="74" t="str">
        <f>IF('Wtr-Gas'!Q36&lt;0,"0",('Wtr-Gas'!Q36)*0.0038)</f>
        <v>0</v>
      </c>
      <c r="AK34" s="75" t="str">
        <f>IF('Wtr-Gas'!U36&lt;0,"0",('Wtr-Gas'!U36)*0.0038)</f>
        <v>0</v>
      </c>
      <c r="AL34" s="75" t="str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IF('Wtr-Gas'!AH36&lt;0,"0",('Wtr-Gas'!AH36)*0.0038)</f>
        <v>0</v>
      </c>
      <c r="AP34" s="74">
        <f>IF('Wtr-Gas'!AJ36&lt;0,"0",('Wtr-Gas'!AJ36)*0.0038)</f>
        <v>0</v>
      </c>
      <c r="AQ34" s="74">
        <f>IF('Wtr-Gas'!AL36&lt;0,"0",('Wtr-Gas'!AL36)*0.0038)</f>
        <v>0</v>
      </c>
      <c r="AR34" s="74">
        <f>IF('Wtr-Gas'!AN36&lt;0,"0",('Wtr-Gas'!AN36)*0.0038)</f>
        <v>0</v>
      </c>
      <c r="AS34" s="74">
        <f>IF('Wtr-Gas'!AP36&lt;0,"0",('Wtr-Gas'!AP36)*0.0038)</f>
        <v>0</v>
      </c>
      <c r="AT34" s="74">
        <f>IF('Wtr-Gas'!AR36&lt;0,"0",('Wtr-Gas'!AR36)*0.0038)</f>
        <v>0</v>
      </c>
      <c r="AU34" s="87">
        <f>IF('Wtr-Gas'!AV36&lt;0,"0",('Wtr-Gas'!AV36)*0.0038)</f>
        <v>0</v>
      </c>
      <c r="AV34" s="74">
        <f>IF('Wtr-Gas'!AY36&lt;0,"0",('Wtr-Gas'!AY36)*0.0038)</f>
        <v>0</v>
      </c>
      <c r="AW34" s="74">
        <f>IF('Wtr-Gas'!BA36&lt;0,"0",('Wtr-Gas'!BA36)*0.0038)</f>
        <v>0</v>
      </c>
      <c r="AX34" s="74">
        <f>IF('Wtr-Gas'!BB36&lt;0,"0",('Wtr-Gas'!BB36)*0.0038)</f>
        <v>0</v>
      </c>
      <c r="AY34" s="74">
        <f>IF('Wtr-Gas'!BD36&lt;0,"0",('Wtr-Gas'!BD36)*0.0038)</f>
        <v>0</v>
      </c>
      <c r="AZ34" s="74">
        <f>IF('Wtr-Gas'!BF36&lt;0,"0",('Wtr-Gas'!BF36)*0.0038)</f>
        <v>0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IF('Wtr-Gas'!AH37&lt;0,"0",('Wtr-Gas'!AH37)*0.0038)</f>
        <v>0</v>
      </c>
      <c r="AP35" s="74">
        <f>IF('Wtr-Gas'!AJ37&lt;0,"0",('Wtr-Gas'!AJ37)*0.0038)</f>
        <v>0</v>
      </c>
      <c r="AQ35" s="74">
        <f>IF('Wtr-Gas'!AL37&lt;0,"0",('Wtr-Gas'!AL37)*0.0038)</f>
        <v>0</v>
      </c>
      <c r="AR35" s="74">
        <f>IF('Wtr-Gas'!AN37&lt;0,"0",('Wtr-Gas'!AN37)*0.0038)</f>
        <v>0</v>
      </c>
      <c r="AS35" s="74">
        <f>IF('Wtr-Gas'!AP37&lt;0,"0",('Wtr-Gas'!AP37)*0.0038)</f>
        <v>0</v>
      </c>
      <c r="AT35" s="74">
        <f>IF('Wtr-Gas'!AR37&lt;0,"0",('Wtr-Gas'!AR37)*0.0038)</f>
        <v>0</v>
      </c>
      <c r="AU35" s="87">
        <f>IF('Wtr-Gas'!AV37&lt;0,"0",('Wtr-Gas'!AV37)*0.0038)</f>
        <v>0</v>
      </c>
      <c r="AV35" s="74">
        <f>IF('Wtr-Gas'!AY37&lt;0,"0",('Wtr-Gas'!AY37)*0.0038)</f>
        <v>0</v>
      </c>
      <c r="AW35" s="74">
        <f>IF('Wtr-Gas'!BA37&lt;0,"0",('Wtr-Gas'!BA37)*0.0038)</f>
        <v>0</v>
      </c>
      <c r="AX35" s="74">
        <f>IF('Wtr-Gas'!BB37&lt;0,"0",('Wtr-Gas'!BB37)*0.0038)</f>
        <v>0</v>
      </c>
      <c r="AY35" s="74">
        <f>IF('Wtr-Gas'!BD37&lt;0,"0",('Wtr-Gas'!BD37)*0.0038)</f>
        <v>0</v>
      </c>
      <c r="AZ35" s="74">
        <f>IF('Wtr-Gas'!BF37&lt;0,"0",('Wtr-Gas'!BF37)*0.0038)</f>
        <v>0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IF('Wtr-Gas'!AH38&lt;0,"0",('Wtr-Gas'!AH38)*0.0038)</f>
        <v>0</v>
      </c>
      <c r="AP36" s="74">
        <f>IF('Wtr-Gas'!AJ38&lt;0,"0",('Wtr-Gas'!AJ38)*0.0038)</f>
        <v>0</v>
      </c>
      <c r="AQ36" s="74">
        <f>IF('Wtr-Gas'!AL38&lt;0,"0",('Wtr-Gas'!AL38)*0.0038)</f>
        <v>0</v>
      </c>
      <c r="AR36" s="74">
        <f>IF('Wtr-Gas'!AN38&lt;0,"0",('Wtr-Gas'!AN38)*0.0038)</f>
        <v>0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</v>
      </c>
      <c r="AV36" s="74">
        <f>IF('Wtr-Gas'!AY38&lt;0,"0",('Wtr-Gas'!AY38)*0.0038)</f>
        <v>0</v>
      </c>
      <c r="AW36" s="74">
        <f>IF('Wtr-Gas'!BA38&lt;0,"0",('Wtr-Gas'!BA38)*0.0038)</f>
        <v>0</v>
      </c>
      <c r="AX36" s="74">
        <f>IF('Wtr-Gas'!BB38&lt;0,"0",('Wtr-Gas'!BB38)*0.0038)</f>
        <v>0</v>
      </c>
      <c r="AY36" s="74">
        <f>IF('Wtr-Gas'!BD38&lt;0,"0",('Wtr-Gas'!BD38)*0.0038)</f>
        <v>0</v>
      </c>
      <c r="AZ36" s="74">
        <f>IF('Wtr-Gas'!BF38&lt;0,"0",('Wtr-Gas'!BF38)*0.0038)</f>
        <v>0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IF('Wtr-Gas'!AH39&lt;0,"0",('Wtr-Gas'!AH39)*0.0038)</f>
        <v>0</v>
      </c>
      <c r="AP37" s="74">
        <f>IF('Wtr-Gas'!AJ39&lt;0,"0",('Wtr-Gas'!AJ39)*0.0038)</f>
        <v>0</v>
      </c>
      <c r="AQ37" s="74">
        <f>IF('Wtr-Gas'!AL39&lt;0,"0",('Wtr-Gas'!AL39)*0.0038)</f>
        <v>0</v>
      </c>
      <c r="AR37" s="74">
        <f>IF('Wtr-Gas'!AN39&lt;0,"0",('Wtr-Gas'!AN39)*0.0038)</f>
        <v>0</v>
      </c>
      <c r="AS37" s="74">
        <f>IF('Wtr-Gas'!AP39&lt;0,"0",('Wtr-Gas'!AP39)*0.0038)</f>
        <v>0</v>
      </c>
      <c r="AT37" s="74">
        <f>IF('Wtr-Gas'!AR39&lt;0,"0",('Wtr-Gas'!AR39)*0.0038)</f>
        <v>0</v>
      </c>
      <c r="AU37" s="87">
        <f>IF('Wtr-Gas'!AV39&lt;0,"0",('Wtr-Gas'!AV39)*0.0038)</f>
        <v>0</v>
      </c>
      <c r="AV37" s="74">
        <f>IF('Wtr-Gas'!AY39&lt;0,"0",('Wtr-Gas'!AY39)*0.0038)</f>
        <v>0</v>
      </c>
      <c r="AW37" s="74">
        <f>IF('Wtr-Gas'!BA39&lt;0,"0",('Wtr-Gas'!BA39)*0.0038)</f>
        <v>0</v>
      </c>
      <c r="AX37" s="74">
        <f>IF('Wtr-Gas'!BB39&lt;0,"0",('Wtr-Gas'!BB39)*0.0038)</f>
        <v>0</v>
      </c>
      <c r="AY37" s="74">
        <f>IF('Wtr-Gas'!BD39&lt;0,"0",('Wtr-Gas'!BD39)*0.0038)</f>
        <v>0</v>
      </c>
      <c r="AZ37" s="74">
        <f>IF('Wtr-Gas'!BF39&lt;0,"0",('Wtr-Gas'!BF39)*0.0038)</f>
        <v>0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B1" zoomScale="115" zoomScaleNormal="115" workbookViewId="0">
      <selection activeCell="AU34" sqref="AU34:BB35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4" t="s">
        <v>63</v>
      </c>
      <c r="E1" s="125"/>
      <c r="F1" s="125"/>
      <c r="G1" s="124" t="s">
        <v>66</v>
      </c>
      <c r="H1" s="125"/>
      <c r="I1" s="125"/>
      <c r="J1" s="124" t="s">
        <v>69</v>
      </c>
      <c r="K1" s="125"/>
      <c r="L1" s="125"/>
      <c r="M1" s="124" t="s">
        <v>72</v>
      </c>
      <c r="N1" s="125"/>
      <c r="O1" s="125"/>
      <c r="P1" s="124" t="s">
        <v>75</v>
      </c>
      <c r="Q1" s="125"/>
      <c r="R1" s="125"/>
      <c r="S1" s="124" t="s">
        <v>78</v>
      </c>
      <c r="T1" s="125"/>
      <c r="U1" s="125"/>
      <c r="V1" s="124" t="s">
        <v>81</v>
      </c>
      <c r="W1" s="125"/>
      <c r="X1" s="125"/>
      <c r="Y1" s="124" t="s">
        <v>84</v>
      </c>
      <c r="Z1" s="125"/>
      <c r="AA1" s="125"/>
      <c r="AB1" s="124" t="s">
        <v>87</v>
      </c>
      <c r="AC1" s="125"/>
      <c r="AD1" s="125"/>
      <c r="AE1" s="124" t="s">
        <v>90</v>
      </c>
      <c r="AF1" s="125"/>
      <c r="AG1" s="125"/>
      <c r="AH1" s="124" t="s">
        <v>93</v>
      </c>
      <c r="AI1" s="125"/>
      <c r="AJ1" s="125"/>
      <c r="AK1" s="124" t="s">
        <v>95</v>
      </c>
      <c r="AL1" s="125"/>
      <c r="AM1" s="125"/>
      <c r="AN1" s="51"/>
      <c r="AO1" s="51"/>
      <c r="AP1" s="52" t="s">
        <v>162</v>
      </c>
      <c r="AQ1" s="52" t="s">
        <v>163</v>
      </c>
      <c r="AR1" s="52"/>
      <c r="AS1" s="51"/>
      <c r="AT1" s="51"/>
      <c r="AU1" s="124" t="s">
        <v>97</v>
      </c>
      <c r="AV1" s="125"/>
      <c r="AW1" s="124" t="s">
        <v>96</v>
      </c>
      <c r="AX1" s="125"/>
      <c r="AY1" s="124" t="s">
        <v>98</v>
      </c>
      <c r="AZ1" s="125"/>
      <c r="BA1" s="124" t="s">
        <v>164</v>
      </c>
      <c r="BB1" s="125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2" t="s">
        <v>94</v>
      </c>
      <c r="AL2" s="123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2" t="s">
        <v>109</v>
      </c>
      <c r="AL3" s="123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35" si="1">SUM(G5-G4)*160</f>
        <v>14560</v>
      </c>
      <c r="J5" s="17">
        <v>12296</v>
      </c>
      <c r="K5" s="17">
        <v>3.65</v>
      </c>
      <c r="L5" s="33">
        <f t="shared" ref="L5:L35" si="2">SUM(J5-J4)*400</f>
        <v>3600</v>
      </c>
      <c r="M5" s="17">
        <v>12104</v>
      </c>
      <c r="N5" s="17">
        <v>3.73</v>
      </c>
      <c r="O5" s="33">
        <f t="shared" ref="O5:O35" si="3">SUM(M5-M4)*400</f>
        <v>3200</v>
      </c>
      <c r="P5" s="17">
        <v>12731</v>
      </c>
      <c r="Q5" s="17">
        <v>3.73</v>
      </c>
      <c r="R5" s="33">
        <f t="shared" ref="R5:R35" si="4">SUM(P5-P4)*400</f>
        <v>3200</v>
      </c>
      <c r="S5" s="17">
        <v>87232</v>
      </c>
      <c r="T5" s="17">
        <v>2.2490000000000001</v>
      </c>
      <c r="U5" s="33">
        <f t="shared" ref="U5:U35" si="5">SUM(S5-S4)*300</f>
        <v>18300</v>
      </c>
      <c r="V5" s="17">
        <v>83905</v>
      </c>
      <c r="W5" s="17">
        <v>1.8380000000000001</v>
      </c>
      <c r="X5" s="33">
        <f t="shared" ref="X5:X35" si="6">SUM(V5-V4)*300</f>
        <v>17700</v>
      </c>
      <c r="Y5" s="17">
        <v>19769</v>
      </c>
      <c r="Z5" s="17">
        <v>2.75</v>
      </c>
      <c r="AA5" s="33">
        <f t="shared" ref="AA5:AA35" si="7">SUM(Y5-Y4)*160</f>
        <v>1440</v>
      </c>
      <c r="AB5" s="17">
        <v>12892</v>
      </c>
      <c r="AC5" s="17">
        <v>2.31</v>
      </c>
      <c r="AD5" s="33">
        <f t="shared" ref="AD5:AD35" si="8">SUM(AB5-AB4)*160</f>
        <v>960</v>
      </c>
      <c r="AE5" s="17">
        <v>6693</v>
      </c>
      <c r="AF5" s="17">
        <v>2.1659999999999999</v>
      </c>
      <c r="AG5" s="33">
        <f t="shared" ref="AG5:AG35" si="9">SUM(AE5-AE4)*200</f>
        <v>15200</v>
      </c>
      <c r="AH5" s="17">
        <v>19437</v>
      </c>
      <c r="AI5" s="17">
        <v>0.29699999999999999</v>
      </c>
      <c r="AJ5" s="33">
        <f t="shared" ref="AJ5:AJ35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35" si="16">SUM(AU5-AU4)*100</f>
        <v>6200</v>
      </c>
      <c r="AW5" s="17">
        <v>9010</v>
      </c>
      <c r="AX5" s="33">
        <f t="shared" ref="AX5:AX35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35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35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1827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2298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8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9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2078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8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9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2400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8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9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1293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8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9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1043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8">
        <v>11237</v>
      </c>
      <c r="AL35" s="33">
        <f t="shared" si="61"/>
        <v>310</v>
      </c>
      <c r="AM35" s="33"/>
      <c r="AO35" s="33">
        <f t="shared" si="28"/>
        <v>202570</v>
      </c>
      <c r="AP35" s="119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1820</v>
      </c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4"/>
        <v>0</v>
      </c>
      <c r="BE36" s="17"/>
      <c r="BF36" s="17"/>
    </row>
    <row r="37" spans="2:58" x14ac:dyDescent="0.25">
      <c r="B37" s="45">
        <v>44760</v>
      </c>
      <c r="C37" s="70">
        <f>SUM(Occupancy!K201:K207)</f>
        <v>1865</v>
      </c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4"/>
        <v>0</v>
      </c>
      <c r="BE37" s="17"/>
      <c r="BF37" s="17"/>
    </row>
    <row r="38" spans="2:58" x14ac:dyDescent="0.25">
      <c r="B38" s="45">
        <v>44767</v>
      </c>
      <c r="C38" s="70">
        <f>SUM(Occupancy!K208:K214)</f>
        <v>2140</v>
      </c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4"/>
        <v>0</v>
      </c>
      <c r="BE38" s="17"/>
      <c r="BF38" s="17"/>
    </row>
    <row r="39" spans="2:58" x14ac:dyDescent="0.25">
      <c r="B39" s="45">
        <v>44774</v>
      </c>
      <c r="C39" s="70">
        <f>SUM(Occupancy!K215:K221)</f>
        <v>2194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4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2"/>
      <c r="AL64" s="123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7" zoomScale="85" zoomScaleNormal="85" workbookViewId="0">
      <selection activeCell="AU34" sqref="AU34:BH3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1">
        <v>74860172</v>
      </c>
      <c r="D1" s="133"/>
      <c r="E1" s="132"/>
      <c r="F1" s="131">
        <v>74860173</v>
      </c>
      <c r="G1" s="133"/>
      <c r="H1" s="132"/>
      <c r="I1" s="131">
        <v>44553004</v>
      </c>
      <c r="J1" s="133"/>
      <c r="K1" s="132"/>
      <c r="L1" s="131">
        <v>70275191</v>
      </c>
      <c r="M1" s="133"/>
      <c r="N1" s="132"/>
      <c r="O1" s="131">
        <v>2130521</v>
      </c>
      <c r="P1" s="133"/>
      <c r="Q1" s="132"/>
      <c r="R1" s="16"/>
      <c r="S1" s="134" t="s">
        <v>104</v>
      </c>
      <c r="T1" s="133"/>
      <c r="U1" s="132"/>
      <c r="V1" s="135">
        <v>93477704</v>
      </c>
      <c r="W1" s="136"/>
      <c r="X1" s="137"/>
      <c r="Y1" s="21" t="s">
        <v>180</v>
      </c>
      <c r="Z1" s="16"/>
      <c r="AA1" s="138">
        <v>79177804</v>
      </c>
      <c r="AB1" s="139"/>
      <c r="AC1" s="138">
        <v>79305675</v>
      </c>
      <c r="AD1" s="139"/>
      <c r="AE1" s="140">
        <v>19000406</v>
      </c>
      <c r="AF1" s="141"/>
      <c r="AG1" s="138">
        <v>79190041</v>
      </c>
      <c r="AH1" s="139"/>
      <c r="AI1" s="138" t="s">
        <v>49</v>
      </c>
      <c r="AJ1" s="139"/>
      <c r="AK1" s="138">
        <v>79190039</v>
      </c>
      <c r="AL1" s="139"/>
      <c r="AM1" s="138">
        <v>79324776</v>
      </c>
      <c r="AN1" s="139"/>
      <c r="AO1" s="138" t="s">
        <v>102</v>
      </c>
      <c r="AP1" s="139"/>
      <c r="AQ1" s="138" t="s">
        <v>103</v>
      </c>
      <c r="AR1" s="139"/>
      <c r="AS1" s="14"/>
      <c r="AU1" s="131" t="s">
        <v>115</v>
      </c>
      <c r="AV1" s="132"/>
      <c r="AW1" s="14"/>
      <c r="AX1" s="131" t="s">
        <v>55</v>
      </c>
      <c r="AY1" s="132"/>
      <c r="AZ1" s="131">
        <v>65956268</v>
      </c>
      <c r="BA1" s="132"/>
      <c r="BB1" s="22" t="s">
        <v>57</v>
      </c>
      <c r="BC1" s="131">
        <v>1334021</v>
      </c>
      <c r="BD1" s="132"/>
      <c r="BE1" s="131">
        <v>63265094</v>
      </c>
      <c r="BF1" s="132"/>
      <c r="BG1" s="131" t="s">
        <v>181</v>
      </c>
      <c r="BH1" s="132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4" t="s">
        <v>100</v>
      </c>
      <c r="P2" s="145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2" t="s">
        <v>184</v>
      </c>
      <c r="AB2" s="143"/>
      <c r="AC2" s="142" t="s">
        <v>185</v>
      </c>
      <c r="AD2" s="143"/>
      <c r="AE2" s="142" t="s">
        <v>217</v>
      </c>
      <c r="AF2" s="143"/>
      <c r="AG2" s="142" t="s">
        <v>186</v>
      </c>
      <c r="AH2" s="143"/>
      <c r="AI2" s="142" t="s">
        <v>187</v>
      </c>
      <c r="AJ2" s="143"/>
      <c r="AK2" s="142" t="s">
        <v>118</v>
      </c>
      <c r="AL2" s="143"/>
      <c r="AM2" s="142" t="s">
        <v>188</v>
      </c>
      <c r="AN2" s="143"/>
      <c r="AO2" s="142" t="s">
        <v>189</v>
      </c>
      <c r="AP2" s="143"/>
      <c r="AQ2" s="142" t="s">
        <v>190</v>
      </c>
      <c r="AR2" s="143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42" t="s">
        <v>105</v>
      </c>
      <c r="D3" s="143"/>
      <c r="E3" s="18" t="s">
        <v>192</v>
      </c>
      <c r="F3" s="142" t="s">
        <v>106</v>
      </c>
      <c r="G3" s="143"/>
      <c r="H3" s="18" t="s">
        <v>192</v>
      </c>
      <c r="I3" s="142" t="s">
        <v>107</v>
      </c>
      <c r="J3" s="143"/>
      <c r="K3" s="18"/>
      <c r="L3" s="142" t="s">
        <v>193</v>
      </c>
      <c r="M3" s="143"/>
      <c r="N3" s="18"/>
      <c r="O3" s="142" t="s">
        <v>108</v>
      </c>
      <c r="P3" s="143"/>
      <c r="Q3" s="18" t="s">
        <v>192</v>
      </c>
      <c r="R3" s="28"/>
      <c r="S3" s="142" t="s">
        <v>194</v>
      </c>
      <c r="T3" s="143"/>
      <c r="U3" s="19"/>
      <c r="V3" s="142" t="s">
        <v>194</v>
      </c>
      <c r="W3" s="143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2">
        <v>805268</v>
      </c>
      <c r="T5" s="123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35" si="8">SUM(AA5-AA4)*10000</f>
        <v>650000</v>
      </c>
      <c r="AC5" s="17">
        <v>701086300</v>
      </c>
      <c r="AD5" s="33">
        <f t="shared" ref="AD5:AD35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35" si="12">SUM(AK5-AK4)</f>
        <v>2757</v>
      </c>
      <c r="AM5" s="17">
        <v>25501</v>
      </c>
      <c r="AN5" s="33">
        <f t="shared" ref="AN5:AN35" si="13">SUM(AM5-AM4)*1000</f>
        <v>51000</v>
      </c>
      <c r="AO5" s="17">
        <v>1295</v>
      </c>
      <c r="AP5" s="33">
        <f t="shared" ref="AP5:AP35" si="14">SUM(AO5-AO4)</f>
        <v>3</v>
      </c>
      <c r="AQ5" s="17">
        <v>13377</v>
      </c>
      <c r="AR5" s="33">
        <f t="shared" ref="AR5:AR35" si="15">SUM(AQ5-AQ4)*100</f>
        <v>900</v>
      </c>
      <c r="AS5" s="31"/>
      <c r="AT5" s="57">
        <f>B5</f>
        <v>44564</v>
      </c>
      <c r="AU5" s="17">
        <v>4100</v>
      </c>
      <c r="AV5" s="33">
        <f t="shared" ref="AV5:AV35" si="16">SUM(AU5-AU4)</f>
        <v>54</v>
      </c>
      <c r="AW5" s="14"/>
      <c r="AX5" s="17">
        <v>2131903</v>
      </c>
      <c r="AY5" s="33">
        <f t="shared" ref="AY5:AY35" si="17">SUM(AX5-AX4)</f>
        <v>23245</v>
      </c>
      <c r="AZ5" s="17">
        <v>654316702</v>
      </c>
      <c r="BA5" s="34">
        <f t="shared" ref="BA5:BA35" si="18">SUM(AZ5-AZ4)/100</f>
        <v>16869.72</v>
      </c>
      <c r="BB5" s="33">
        <f t="shared" ref="BB5:BB35" si="19">SUM(AY5-BA5)</f>
        <v>6375.2799999999988</v>
      </c>
      <c r="BC5" s="17">
        <v>7133400</v>
      </c>
      <c r="BD5" s="89">
        <f t="shared" ref="BD5:BD35" si="20">SUM(BC5-BC4)</f>
        <v>400</v>
      </c>
      <c r="BE5" s="53">
        <v>3791400</v>
      </c>
      <c r="BF5" s="54">
        <f t="shared" ref="BF5:BF35" si="21">SUM(BE5-BE4)</f>
        <v>200</v>
      </c>
      <c r="BG5" s="17">
        <v>1133187</v>
      </c>
      <c r="BH5" s="33">
        <f t="shared" ref="BH5:BH35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2">
        <v>807780</v>
      </c>
      <c r="T6" s="123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2">
        <v>810263</v>
      </c>
      <c r="T7" s="123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2">
        <v>812966</v>
      </c>
      <c r="T8" s="123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2">
        <v>815475</v>
      </c>
      <c r="T9" s="123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2">
        <v>817983</v>
      </c>
      <c r="T10" s="123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2">
        <v>820428</v>
      </c>
      <c r="T11" s="123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2">
        <v>24008</v>
      </c>
      <c r="P12" s="123"/>
      <c r="Q12" s="33">
        <f t="shared" si="4"/>
        <v>28600</v>
      </c>
      <c r="R12" s="29"/>
      <c r="S12" s="122">
        <v>823082</v>
      </c>
      <c r="T12" s="123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2">
        <v>24271</v>
      </c>
      <c r="P13" s="123"/>
      <c r="Q13" s="33">
        <f t="shared" si="4"/>
        <v>26300</v>
      </c>
      <c r="R13" s="29"/>
      <c r="S13" s="122">
        <v>825621</v>
      </c>
      <c r="T13" s="123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2">
        <v>24331</v>
      </c>
      <c r="P14" s="123"/>
      <c r="Q14" s="33">
        <f t="shared" si="4"/>
        <v>6000</v>
      </c>
      <c r="R14" s="29"/>
      <c r="S14" s="122">
        <v>828132</v>
      </c>
      <c r="T14" s="123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2">
        <v>24899</v>
      </c>
      <c r="P15" s="123"/>
      <c r="Q15" s="33">
        <f t="shared" si="4"/>
        <v>56800</v>
      </c>
      <c r="R15" s="29"/>
      <c r="S15" s="122">
        <v>830742</v>
      </c>
      <c r="T15" s="123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2">
        <v>25185</v>
      </c>
      <c r="P16" s="123"/>
      <c r="Q16" s="33">
        <f t="shared" si="4"/>
        <v>28600</v>
      </c>
      <c r="R16" s="29"/>
      <c r="S16" s="122">
        <v>833299</v>
      </c>
      <c r="T16" s="123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2">
        <v>25487</v>
      </c>
      <c r="P17" s="123"/>
      <c r="Q17" s="33">
        <f t="shared" si="4"/>
        <v>30200</v>
      </c>
      <c r="R17" s="29"/>
      <c r="S17" s="122">
        <v>835892</v>
      </c>
      <c r="T17" s="123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2">
        <v>25689</v>
      </c>
      <c r="P18" s="123"/>
      <c r="Q18" s="33">
        <f t="shared" si="4"/>
        <v>20200</v>
      </c>
      <c r="R18" s="29"/>
      <c r="S18" s="122">
        <v>837470</v>
      </c>
      <c r="T18" s="123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2">
        <v>25806</v>
      </c>
      <c r="P19" s="123"/>
      <c r="Q19" s="33">
        <f t="shared" si="4"/>
        <v>11700</v>
      </c>
      <c r="R19" s="29"/>
      <c r="S19" s="122">
        <v>838450</v>
      </c>
      <c r="T19" s="123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2">
        <v>26102</v>
      </c>
      <c r="P20" s="123"/>
      <c r="Q20" s="33">
        <f t="shared" si="4"/>
        <v>29600</v>
      </c>
      <c r="R20" s="29"/>
      <c r="S20" s="122">
        <v>840781</v>
      </c>
      <c r="T20" s="123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2">
        <v>26412</v>
      </c>
      <c r="P21" s="123"/>
      <c r="Q21" s="33">
        <f t="shared" si="4"/>
        <v>31000</v>
      </c>
      <c r="R21" s="29"/>
      <c r="S21" s="122">
        <v>843226</v>
      </c>
      <c r="T21" s="123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2">
        <v>26762</v>
      </c>
      <c r="P22" s="123"/>
      <c r="Q22" s="33">
        <f t="shared" si="4"/>
        <v>35000</v>
      </c>
      <c r="R22" s="29"/>
      <c r="S22" s="122">
        <v>845742</v>
      </c>
      <c r="T22" s="123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2">
        <v>27083</v>
      </c>
      <c r="P23" s="123"/>
      <c r="Q23" s="33">
        <f t="shared" si="4"/>
        <v>32100</v>
      </c>
      <c r="R23" s="29"/>
      <c r="S23" s="122">
        <v>848113</v>
      </c>
      <c r="T23" s="123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2">
        <v>27083</v>
      </c>
      <c r="P24" s="123"/>
      <c r="Q24" s="33">
        <f t="shared" si="4"/>
        <v>0</v>
      </c>
      <c r="R24" s="29"/>
      <c r="S24" s="122">
        <v>848113</v>
      </c>
      <c r="T24" s="123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2">
        <v>27442</v>
      </c>
      <c r="P25" s="123"/>
      <c r="Q25" s="33">
        <f t="shared" si="4"/>
        <v>35900</v>
      </c>
      <c r="R25" s="29"/>
      <c r="S25" s="122">
        <v>850480</v>
      </c>
      <c r="T25" s="123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2">
        <v>27763</v>
      </c>
      <c r="P26" s="123"/>
      <c r="Q26" s="33">
        <f t="shared" si="4"/>
        <v>32100</v>
      </c>
      <c r="R26" s="29"/>
      <c r="S26" s="122">
        <v>852778</v>
      </c>
      <c r="T26" s="123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2">
        <v>28094</v>
      </c>
      <c r="P27" s="123"/>
      <c r="Q27" s="33">
        <f t="shared" si="4"/>
        <v>33100</v>
      </c>
      <c r="R27" s="29"/>
      <c r="S27" s="122">
        <v>855089</v>
      </c>
      <c r="T27" s="123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35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6">
        <v>50004722</v>
      </c>
      <c r="D28" s="126"/>
      <c r="E28" s="33">
        <f t="shared" si="0"/>
        <v>1463540</v>
      </c>
      <c r="F28" s="126">
        <v>5960957</v>
      </c>
      <c r="G28" s="126"/>
      <c r="H28" s="33">
        <f t="shared" si="1"/>
        <v>193450</v>
      </c>
      <c r="I28" s="126">
        <v>18910</v>
      </c>
      <c r="J28" s="126"/>
      <c r="K28" s="33">
        <f t="shared" si="2"/>
        <v>800</v>
      </c>
      <c r="L28" s="126">
        <v>363759</v>
      </c>
      <c r="M28" s="126"/>
      <c r="N28" s="33">
        <f t="shared" si="3"/>
        <v>1131000</v>
      </c>
      <c r="O28" s="122">
        <v>28467</v>
      </c>
      <c r="P28" s="123"/>
      <c r="Q28" s="33">
        <f t="shared" si="4"/>
        <v>37300</v>
      </c>
      <c r="R28" s="29"/>
      <c r="S28" s="122">
        <v>857448</v>
      </c>
      <c r="T28" s="123"/>
      <c r="U28" s="33">
        <f t="shared" si="5"/>
        <v>235900</v>
      </c>
      <c r="V28" s="126">
        <v>8827</v>
      </c>
      <c r="W28" s="126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6">
        <v>50036144</v>
      </c>
      <c r="D29" s="126"/>
      <c r="E29" s="33">
        <f t="shared" si="0"/>
        <v>314220</v>
      </c>
      <c r="F29" s="126">
        <v>5971709</v>
      </c>
      <c r="G29" s="126"/>
      <c r="H29" s="33">
        <f t="shared" si="1"/>
        <v>107520</v>
      </c>
      <c r="I29" s="126">
        <v>18944</v>
      </c>
      <c r="J29" s="126"/>
      <c r="K29" s="33">
        <f t="shared" si="2"/>
        <v>340</v>
      </c>
      <c r="L29" s="126">
        <v>363995</v>
      </c>
      <c r="M29" s="126"/>
      <c r="N29" s="33">
        <f t="shared" si="3"/>
        <v>236000</v>
      </c>
      <c r="O29" s="122">
        <v>28565</v>
      </c>
      <c r="P29" s="123"/>
      <c r="Q29" s="33">
        <f t="shared" si="4"/>
        <v>9800</v>
      </c>
      <c r="R29" s="29"/>
      <c r="S29" s="122">
        <v>857967</v>
      </c>
      <c r="T29" s="123"/>
      <c r="U29" s="33">
        <f t="shared" si="5"/>
        <v>51900</v>
      </c>
      <c r="V29" s="126">
        <v>8889</v>
      </c>
      <c r="W29" s="126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6">
        <v>50141738</v>
      </c>
      <c r="D30" s="126"/>
      <c r="E30" s="33">
        <f t="shared" si="0"/>
        <v>1055940</v>
      </c>
      <c r="F30" s="126">
        <v>5984785</v>
      </c>
      <c r="G30" s="126"/>
      <c r="H30" s="33">
        <f t="shared" si="1"/>
        <v>130760</v>
      </c>
      <c r="I30" s="126">
        <v>19040</v>
      </c>
      <c r="J30" s="126"/>
      <c r="K30" s="33">
        <f t="shared" si="2"/>
        <v>960</v>
      </c>
      <c r="L30" s="126">
        <v>364819</v>
      </c>
      <c r="M30" s="126"/>
      <c r="N30" s="33">
        <f t="shared" si="3"/>
        <v>824000</v>
      </c>
      <c r="O30" s="122">
        <v>28825</v>
      </c>
      <c r="P30" s="123"/>
      <c r="Q30" s="33">
        <f t="shared" si="4"/>
        <v>26000</v>
      </c>
      <c r="R30" s="29"/>
      <c r="S30" s="122">
        <v>859604</v>
      </c>
      <c r="T30" s="123"/>
      <c r="U30" s="33">
        <f t="shared" si="5"/>
        <v>163700</v>
      </c>
      <c r="V30" s="126">
        <v>9213</v>
      </c>
      <c r="W30" s="126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6">
        <v>50277523</v>
      </c>
      <c r="D31" s="126"/>
      <c r="E31" s="33">
        <f t="shared" si="0"/>
        <v>1357850</v>
      </c>
      <c r="F31" s="126">
        <v>5994218</v>
      </c>
      <c r="G31" s="126"/>
      <c r="H31" s="33">
        <f t="shared" si="1"/>
        <v>94330</v>
      </c>
      <c r="I31" s="126">
        <v>19103</v>
      </c>
      <c r="J31" s="126"/>
      <c r="K31" s="33">
        <f t="shared" si="2"/>
        <v>630</v>
      </c>
      <c r="L31" s="126">
        <v>365888</v>
      </c>
      <c r="M31" s="126"/>
      <c r="N31" s="33">
        <f t="shared" si="3"/>
        <v>1069000</v>
      </c>
      <c r="O31" s="122">
        <v>29172</v>
      </c>
      <c r="P31" s="123"/>
      <c r="Q31" s="33">
        <f t="shared" si="4"/>
        <v>34700</v>
      </c>
      <c r="R31" s="29"/>
      <c r="S31" s="122">
        <v>861742</v>
      </c>
      <c r="T31" s="123"/>
      <c r="U31" s="33">
        <f t="shared" si="5"/>
        <v>213800</v>
      </c>
      <c r="V31" s="126">
        <v>9457</v>
      </c>
      <c r="W31" s="126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6">
        <v>50423734</v>
      </c>
      <c r="D32" s="126"/>
      <c r="E32" s="33">
        <f t="shared" si="0"/>
        <v>1462110</v>
      </c>
      <c r="F32" s="126">
        <v>6014791</v>
      </c>
      <c r="G32" s="126"/>
      <c r="H32" s="33">
        <f t="shared" si="1"/>
        <v>205730</v>
      </c>
      <c r="I32" s="126">
        <v>19131</v>
      </c>
      <c r="J32" s="126"/>
      <c r="K32" s="33">
        <f t="shared" si="2"/>
        <v>280</v>
      </c>
      <c r="L32" s="126">
        <v>367059</v>
      </c>
      <c r="M32" s="126"/>
      <c r="N32" s="33">
        <f t="shared" si="3"/>
        <v>1171000</v>
      </c>
      <c r="O32" s="122">
        <v>29584</v>
      </c>
      <c r="P32" s="123"/>
      <c r="Q32" s="33">
        <f t="shared" si="4"/>
        <v>41200</v>
      </c>
      <c r="R32" s="29"/>
      <c r="S32" s="122">
        <v>864087</v>
      </c>
      <c r="T32" s="123"/>
      <c r="U32" s="33">
        <f t="shared" si="5"/>
        <v>234500</v>
      </c>
      <c r="V32" s="126">
        <v>9616</v>
      </c>
      <c r="W32" s="126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6">
        <v>50562401</v>
      </c>
      <c r="D33" s="126"/>
      <c r="E33" s="33">
        <f t="shared" si="0"/>
        <v>1386670</v>
      </c>
      <c r="F33" s="126">
        <v>6037383</v>
      </c>
      <c r="G33" s="126"/>
      <c r="H33" s="33">
        <f t="shared" si="1"/>
        <v>225920</v>
      </c>
      <c r="I33" s="126">
        <v>19147</v>
      </c>
      <c r="J33" s="126"/>
      <c r="K33" s="33">
        <f t="shared" si="2"/>
        <v>160</v>
      </c>
      <c r="L33" s="126">
        <v>368203</v>
      </c>
      <c r="M33" s="126"/>
      <c r="N33" s="33">
        <f t="shared" si="3"/>
        <v>1144000</v>
      </c>
      <c r="O33" s="122">
        <v>29904</v>
      </c>
      <c r="P33" s="123"/>
      <c r="Q33" s="33">
        <f t="shared" si="4"/>
        <v>32000</v>
      </c>
      <c r="R33" s="29"/>
      <c r="S33" s="122">
        <v>866300</v>
      </c>
      <c r="T33" s="123"/>
      <c r="U33" s="33">
        <f t="shared" si="5"/>
        <v>221300</v>
      </c>
      <c r="V33" s="126">
        <v>9874</v>
      </c>
      <c r="W33" s="126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6">
        <v>50620610</v>
      </c>
      <c r="D34" s="126"/>
      <c r="E34" s="33">
        <f t="shared" si="0"/>
        <v>582090</v>
      </c>
      <c r="F34" s="126">
        <v>6044180</v>
      </c>
      <c r="G34" s="126"/>
      <c r="H34" s="33">
        <f t="shared" si="1"/>
        <v>67970</v>
      </c>
      <c r="I34" s="126">
        <v>19173</v>
      </c>
      <c r="J34" s="126"/>
      <c r="K34" s="33">
        <f t="shared" si="2"/>
        <v>260</v>
      </c>
      <c r="L34" s="126">
        <v>368666</v>
      </c>
      <c r="M34" s="126"/>
      <c r="N34" s="33">
        <f t="shared" si="3"/>
        <v>463000</v>
      </c>
      <c r="O34" s="122">
        <v>30013</v>
      </c>
      <c r="P34" s="123"/>
      <c r="Q34" s="33">
        <f t="shared" si="4"/>
        <v>10900</v>
      </c>
      <c r="R34" s="29"/>
      <c r="S34" s="122">
        <v>867145</v>
      </c>
      <c r="T34" s="123"/>
      <c r="U34" s="33">
        <f t="shared" si="5"/>
        <v>84500</v>
      </c>
      <c r="V34" s="126">
        <v>9954</v>
      </c>
      <c r="W34" s="126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6">
        <v>50688559</v>
      </c>
      <c r="D35" s="126"/>
      <c r="E35" s="33">
        <f t="shared" si="0"/>
        <v>679490</v>
      </c>
      <c r="F35" s="126">
        <v>6055102</v>
      </c>
      <c r="G35" s="126"/>
      <c r="H35" s="33">
        <f t="shared" si="1"/>
        <v>109220</v>
      </c>
      <c r="I35" s="126">
        <v>19193</v>
      </c>
      <c r="J35" s="126"/>
      <c r="K35" s="33">
        <f t="shared" si="2"/>
        <v>200</v>
      </c>
      <c r="L35" s="126">
        <v>369229</v>
      </c>
      <c r="M35" s="126"/>
      <c r="N35" s="33">
        <f t="shared" si="3"/>
        <v>563000</v>
      </c>
      <c r="O35" s="122">
        <v>30154</v>
      </c>
      <c r="P35" s="123"/>
      <c r="Q35" s="33">
        <f t="shared" si="4"/>
        <v>14100</v>
      </c>
      <c r="R35" s="29"/>
      <c r="S35" s="122">
        <v>868278</v>
      </c>
      <c r="T35" s="123"/>
      <c r="U35" s="33">
        <f t="shared" si="5"/>
        <v>113300</v>
      </c>
      <c r="V35" s="126">
        <v>10095</v>
      </c>
      <c r="W35" s="126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7"/>
      <c r="D36" s="128"/>
      <c r="E36" s="33">
        <f t="shared" si="0"/>
        <v>-506885590</v>
      </c>
      <c r="F36" s="127"/>
      <c r="G36" s="128"/>
      <c r="H36" s="33">
        <f t="shared" si="1"/>
        <v>-60551020</v>
      </c>
      <c r="I36" s="127"/>
      <c r="J36" s="128"/>
      <c r="K36" s="33">
        <f t="shared" si="2"/>
        <v>-191930</v>
      </c>
      <c r="L36" s="127"/>
      <c r="M36" s="128"/>
      <c r="N36" s="33">
        <f t="shared" si="3"/>
        <v>-369229000</v>
      </c>
      <c r="O36" s="127"/>
      <c r="P36" s="128"/>
      <c r="Q36" s="33">
        <f t="shared" si="4"/>
        <v>-3015400</v>
      </c>
      <c r="R36" s="29"/>
      <c r="S36" s="127"/>
      <c r="T36" s="128"/>
      <c r="U36" s="33">
        <f t="shared" si="5"/>
        <v>-86827800</v>
      </c>
      <c r="V36" s="127"/>
      <c r="W36" s="128"/>
      <c r="X36" s="33">
        <f t="shared" si="23"/>
        <v>-1009500</v>
      </c>
      <c r="Y36" s="32">
        <f t="shared" si="24"/>
        <v>-87837300</v>
      </c>
      <c r="Z36" s="30"/>
      <c r="AA36" s="59"/>
      <c r="AB36" s="61"/>
      <c r="AC36" s="59"/>
      <c r="AD36" s="61"/>
      <c r="AE36" s="61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59"/>
      <c r="AR36" s="61"/>
      <c r="AS36" s="31"/>
      <c r="AT36" s="57">
        <f t="shared" si="25"/>
        <v>44753</v>
      </c>
      <c r="AU36" s="59"/>
      <c r="AV36" s="61"/>
      <c r="AW36" s="62"/>
      <c r="AX36" s="59"/>
      <c r="AY36" s="61"/>
      <c r="AZ36" s="59"/>
      <c r="BA36" s="61"/>
      <c r="BB36" s="61"/>
      <c r="BC36" s="59"/>
      <c r="BD36" s="63"/>
      <c r="BE36" s="60"/>
      <c r="BF36" s="64"/>
      <c r="BG36" s="59"/>
      <c r="BH36" s="61"/>
    </row>
    <row r="37" spans="2:60" s="58" customFormat="1" x14ac:dyDescent="0.25">
      <c r="B37" s="45">
        <v>44760</v>
      </c>
      <c r="C37" s="127"/>
      <c r="D37" s="128"/>
      <c r="E37" s="33">
        <f t="shared" si="0"/>
        <v>0</v>
      </c>
      <c r="F37" s="127"/>
      <c r="G37" s="128"/>
      <c r="H37" s="33">
        <f t="shared" si="1"/>
        <v>0</v>
      </c>
      <c r="I37" s="127"/>
      <c r="J37" s="128"/>
      <c r="K37" s="33">
        <f t="shared" si="2"/>
        <v>0</v>
      </c>
      <c r="L37" s="127"/>
      <c r="M37" s="128"/>
      <c r="N37" s="33">
        <f t="shared" si="3"/>
        <v>0</v>
      </c>
      <c r="O37" s="127"/>
      <c r="P37" s="128"/>
      <c r="Q37" s="33">
        <f t="shared" si="4"/>
        <v>0</v>
      </c>
      <c r="R37" s="29"/>
      <c r="S37" s="127"/>
      <c r="T37" s="128"/>
      <c r="U37" s="33">
        <f t="shared" si="5"/>
        <v>0</v>
      </c>
      <c r="V37" s="127"/>
      <c r="W37" s="128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61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59"/>
      <c r="AR37" s="61"/>
      <c r="AS37" s="31"/>
      <c r="AT37" s="57">
        <f t="shared" si="25"/>
        <v>44760</v>
      </c>
      <c r="AU37" s="59"/>
      <c r="AV37" s="61"/>
      <c r="AW37" s="62"/>
      <c r="AX37" s="59"/>
      <c r="AY37" s="61"/>
      <c r="AZ37" s="59"/>
      <c r="BA37" s="61"/>
      <c r="BB37" s="61"/>
      <c r="BC37" s="59"/>
      <c r="BD37" s="63"/>
      <c r="BE37" s="60"/>
      <c r="BF37" s="64"/>
      <c r="BG37" s="59"/>
      <c r="BH37" s="61"/>
    </row>
    <row r="38" spans="2:60" s="58" customFormat="1" x14ac:dyDescent="0.25">
      <c r="B38" s="45">
        <v>44767</v>
      </c>
      <c r="C38" s="127"/>
      <c r="D38" s="128"/>
      <c r="E38" s="33">
        <f t="shared" si="0"/>
        <v>0</v>
      </c>
      <c r="F38" s="127"/>
      <c r="G38" s="128"/>
      <c r="H38" s="33">
        <f t="shared" si="1"/>
        <v>0</v>
      </c>
      <c r="I38" s="127"/>
      <c r="J38" s="128"/>
      <c r="K38" s="33">
        <f t="shared" si="2"/>
        <v>0</v>
      </c>
      <c r="L38" s="127"/>
      <c r="M38" s="128"/>
      <c r="N38" s="33">
        <f t="shared" si="3"/>
        <v>0</v>
      </c>
      <c r="O38" s="127"/>
      <c r="P38" s="128"/>
      <c r="Q38" s="33">
        <f t="shared" si="4"/>
        <v>0</v>
      </c>
      <c r="R38" s="29"/>
      <c r="S38" s="127"/>
      <c r="T38" s="128"/>
      <c r="U38" s="33">
        <f t="shared" si="5"/>
        <v>0</v>
      </c>
      <c r="V38" s="127"/>
      <c r="W38" s="128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61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59"/>
      <c r="AR38" s="61"/>
      <c r="AS38" s="31"/>
      <c r="AT38" s="57">
        <f t="shared" si="25"/>
        <v>44767</v>
      </c>
      <c r="AU38" s="59"/>
      <c r="AV38" s="61"/>
      <c r="AW38" s="62"/>
      <c r="AX38" s="59"/>
      <c r="AY38" s="61"/>
      <c r="AZ38" s="59"/>
      <c r="BA38" s="61"/>
      <c r="BB38" s="61"/>
      <c r="BC38" s="59"/>
      <c r="BD38" s="63"/>
      <c r="BE38" s="60"/>
      <c r="BF38" s="64"/>
      <c r="BG38" s="59"/>
      <c r="BH38" s="61"/>
    </row>
    <row r="39" spans="2:60" s="58" customFormat="1" x14ac:dyDescent="0.25">
      <c r="B39" s="45">
        <v>44774</v>
      </c>
      <c r="C39" s="127"/>
      <c r="D39" s="128"/>
      <c r="E39" s="33">
        <f t="shared" si="0"/>
        <v>0</v>
      </c>
      <c r="F39" s="127"/>
      <c r="G39" s="128"/>
      <c r="H39" s="33">
        <f t="shared" si="1"/>
        <v>0</v>
      </c>
      <c r="I39" s="127"/>
      <c r="J39" s="128"/>
      <c r="K39" s="33">
        <f t="shared" si="2"/>
        <v>0</v>
      </c>
      <c r="L39" s="127"/>
      <c r="M39" s="128"/>
      <c r="N39" s="33">
        <f t="shared" si="3"/>
        <v>0</v>
      </c>
      <c r="O39" s="127"/>
      <c r="P39" s="128"/>
      <c r="Q39" s="33">
        <f t="shared" si="4"/>
        <v>0</v>
      </c>
      <c r="R39" s="29"/>
      <c r="S39" s="127"/>
      <c r="T39" s="128"/>
      <c r="U39" s="33">
        <f t="shared" si="5"/>
        <v>0</v>
      </c>
      <c r="V39" s="127"/>
      <c r="W39" s="128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61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59"/>
      <c r="AR39" s="61"/>
      <c r="AS39" s="31"/>
      <c r="AT39" s="57">
        <f t="shared" si="25"/>
        <v>44774</v>
      </c>
      <c r="AU39" s="59"/>
      <c r="AV39" s="61"/>
      <c r="AW39" s="62"/>
      <c r="AX39" s="59"/>
      <c r="AY39" s="61"/>
      <c r="AZ39" s="59"/>
      <c r="BA39" s="61"/>
      <c r="BB39" s="61"/>
      <c r="BC39" s="59"/>
      <c r="BD39" s="63"/>
      <c r="BE39" s="60"/>
      <c r="BF39" s="64"/>
      <c r="BG39" s="59"/>
      <c r="BH39" s="61"/>
    </row>
    <row r="40" spans="2:60" s="58" customFormat="1" x14ac:dyDescent="0.25">
      <c r="B40" s="45">
        <v>44781</v>
      </c>
      <c r="C40" s="127"/>
      <c r="D40" s="128"/>
      <c r="E40" s="33">
        <f t="shared" si="0"/>
        <v>0</v>
      </c>
      <c r="F40" s="127"/>
      <c r="G40" s="128"/>
      <c r="H40" s="33">
        <f t="shared" si="1"/>
        <v>0</v>
      </c>
      <c r="I40" s="127"/>
      <c r="J40" s="128"/>
      <c r="K40" s="33">
        <f t="shared" si="2"/>
        <v>0</v>
      </c>
      <c r="L40" s="127"/>
      <c r="M40" s="128"/>
      <c r="N40" s="33">
        <f t="shared" si="3"/>
        <v>0</v>
      </c>
      <c r="O40" s="127"/>
      <c r="P40" s="128"/>
      <c r="Q40" s="33">
        <f t="shared" si="4"/>
        <v>0</v>
      </c>
      <c r="R40" s="29"/>
      <c r="S40" s="127"/>
      <c r="T40" s="128"/>
      <c r="U40" s="33">
        <f t="shared" si="5"/>
        <v>0</v>
      </c>
      <c r="V40" s="127"/>
      <c r="W40" s="128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7"/>
      <c r="D41" s="128"/>
      <c r="E41" s="33">
        <f t="shared" si="0"/>
        <v>0</v>
      </c>
      <c r="F41" s="127"/>
      <c r="G41" s="128"/>
      <c r="H41" s="33">
        <f t="shared" si="1"/>
        <v>0</v>
      </c>
      <c r="I41" s="127"/>
      <c r="J41" s="128"/>
      <c r="K41" s="33">
        <f t="shared" si="2"/>
        <v>0</v>
      </c>
      <c r="L41" s="127"/>
      <c r="M41" s="128"/>
      <c r="N41" s="33">
        <f t="shared" si="3"/>
        <v>0</v>
      </c>
      <c r="O41" s="127"/>
      <c r="P41" s="128"/>
      <c r="Q41" s="33">
        <f t="shared" si="4"/>
        <v>0</v>
      </c>
      <c r="R41" s="29"/>
      <c r="S41" s="127"/>
      <c r="T41" s="128"/>
      <c r="U41" s="33">
        <f t="shared" si="5"/>
        <v>0</v>
      </c>
      <c r="V41" s="127"/>
      <c r="W41" s="128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7"/>
      <c r="D42" s="128"/>
      <c r="E42" s="33">
        <f t="shared" si="0"/>
        <v>0</v>
      </c>
      <c r="F42" s="127"/>
      <c r="G42" s="128"/>
      <c r="H42" s="33">
        <f t="shared" si="1"/>
        <v>0</v>
      </c>
      <c r="I42" s="127"/>
      <c r="J42" s="128"/>
      <c r="K42" s="33">
        <f t="shared" si="2"/>
        <v>0</v>
      </c>
      <c r="L42" s="127"/>
      <c r="M42" s="128"/>
      <c r="N42" s="33">
        <f t="shared" si="3"/>
        <v>0</v>
      </c>
      <c r="O42" s="127"/>
      <c r="P42" s="128"/>
      <c r="Q42" s="33">
        <f t="shared" si="4"/>
        <v>0</v>
      </c>
      <c r="R42" s="29"/>
      <c r="S42" s="127"/>
      <c r="T42" s="128"/>
      <c r="U42" s="33">
        <f t="shared" si="5"/>
        <v>0</v>
      </c>
      <c r="V42" s="127"/>
      <c r="W42" s="128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6"/>
      <c r="D43" s="126"/>
      <c r="E43" s="33">
        <f t="shared" si="0"/>
        <v>0</v>
      </c>
      <c r="F43" s="126"/>
      <c r="G43" s="126"/>
      <c r="H43" s="33">
        <f t="shared" si="1"/>
        <v>0</v>
      </c>
      <c r="I43" s="126"/>
      <c r="J43" s="126"/>
      <c r="K43" s="33">
        <f t="shared" si="2"/>
        <v>0</v>
      </c>
      <c r="L43" s="126"/>
      <c r="M43" s="126"/>
      <c r="N43" s="33">
        <f t="shared" si="3"/>
        <v>0</v>
      </c>
      <c r="O43" s="126"/>
      <c r="P43" s="126"/>
      <c r="Q43" s="33">
        <f t="shared" si="4"/>
        <v>0</v>
      </c>
      <c r="R43" s="29"/>
      <c r="S43" s="126"/>
      <c r="T43" s="126"/>
      <c r="U43" s="33">
        <f t="shared" si="5"/>
        <v>0</v>
      </c>
      <c r="V43" s="126"/>
      <c r="W43" s="126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6"/>
      <c r="D44" s="126"/>
      <c r="E44" s="33">
        <f t="shared" si="0"/>
        <v>0</v>
      </c>
      <c r="F44" s="126"/>
      <c r="G44" s="126"/>
      <c r="H44" s="33">
        <f t="shared" si="1"/>
        <v>0</v>
      </c>
      <c r="I44" s="126"/>
      <c r="J44" s="126"/>
      <c r="K44" s="33">
        <f t="shared" si="2"/>
        <v>0</v>
      </c>
      <c r="L44" s="126"/>
      <c r="M44" s="126"/>
      <c r="N44" s="33">
        <f t="shared" si="3"/>
        <v>0</v>
      </c>
      <c r="O44" s="126"/>
      <c r="P44" s="126"/>
      <c r="Q44" s="33">
        <f t="shared" si="4"/>
        <v>0</v>
      </c>
      <c r="R44" s="29"/>
      <c r="S44" s="126"/>
      <c r="T44" s="126"/>
      <c r="U44" s="33">
        <f t="shared" si="5"/>
        <v>0</v>
      </c>
      <c r="V44" s="126"/>
      <c r="W44" s="126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2"/>
      <c r="T55" s="123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2"/>
      <c r="T56" s="123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2"/>
      <c r="T57" s="123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2"/>
      <c r="T58" s="123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2"/>
      <c r="T59" s="123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2"/>
      <c r="T60" s="123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2"/>
      <c r="T61" s="123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2"/>
      <c r="T62" s="123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2"/>
      <c r="T63" s="123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2"/>
      <c r="T64" s="123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2022-07-05T11:48:32Z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