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any.Chang\Documents\2023\HEP 2023\"/>
    </mc:Choice>
  </mc:AlternateContent>
  <xr:revisionPtr revIDLastSave="0" documentId="13_ncr:1_{5A8B50E6-A6FC-49A3-8E23-7237DD4F2468}" xr6:coauthVersionLast="36" xr6:coauthVersionMax="47" xr10:uidLastSave="{00000000-0000-0000-0000-000000000000}"/>
  <bookViews>
    <workbookView xWindow="0" yWindow="0" windowWidth="24240" windowHeight="12435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" sheetId="7" r:id="rId6"/>
  </sheets>
  <externalReferences>
    <externalReference r:id="rId7"/>
  </externalReferences>
  <calcPr calcId="191028"/>
</workbook>
</file>

<file path=xl/calcChain.xml><?xml version="1.0" encoding="utf-8"?>
<calcChain xmlns="http://schemas.openxmlformats.org/spreadsheetml/2006/main">
  <c r="Q28" i="7" l="1"/>
  <c r="Q8" i="7"/>
  <c r="H21" i="7"/>
  <c r="E4" i="1"/>
  <c r="E5" i="1"/>
  <c r="E6" i="1"/>
  <c r="E7" i="1"/>
  <c r="E8" i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Q32" i="7"/>
  <c r="Q33" i="7"/>
  <c r="Q34" i="7"/>
  <c r="Q35" i="7"/>
  <c r="Q5" i="7"/>
  <c r="Q6" i="7"/>
  <c r="Q7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9" i="7"/>
  <c r="Q30" i="7"/>
  <c r="Q31" i="7"/>
  <c r="Q4" i="7"/>
  <c r="Q36" i="7"/>
  <c r="R36" i="7" s="1"/>
  <c r="H9" i="7"/>
  <c r="I9" i="7"/>
  <c r="E9" i="7"/>
  <c r="C34" i="9"/>
  <c r="C33" i="9"/>
  <c r="I33" i="9" s="1"/>
  <c r="C32" i="9"/>
  <c r="H35" i="7"/>
  <c r="H4" i="7"/>
  <c r="I4" i="7" s="1"/>
  <c r="H2" i="6" s="1"/>
  <c r="G2" i="6"/>
  <c r="H16" i="7"/>
  <c r="G13" i="6"/>
  <c r="H15" i="7"/>
  <c r="G12" i="6"/>
  <c r="H10" i="7"/>
  <c r="G7" i="6"/>
  <c r="H25" i="7"/>
  <c r="G22" i="6"/>
  <c r="H29" i="7"/>
  <c r="G26" i="6"/>
  <c r="H31" i="7"/>
  <c r="G28" i="6"/>
  <c r="H33" i="7"/>
  <c r="H34" i="7"/>
  <c r="L34" i="9"/>
  <c r="E14" i="7"/>
  <c r="I34" i="7"/>
  <c r="E34" i="7"/>
  <c r="E33" i="7"/>
  <c r="E31" i="7"/>
  <c r="E30" i="7"/>
  <c r="C26" i="8"/>
  <c r="C27" i="8"/>
  <c r="J27" i="8" s="1"/>
  <c r="H24" i="7"/>
  <c r="G21" i="6"/>
  <c r="H19" i="7"/>
  <c r="G16" i="6"/>
  <c r="H20" i="7"/>
  <c r="G17" i="6"/>
  <c r="G18" i="6"/>
  <c r="I10" i="7"/>
  <c r="H7" i="6"/>
  <c r="E10" i="7"/>
  <c r="C27" i="10"/>
  <c r="C25" i="10"/>
  <c r="C24" i="10"/>
  <c r="E15" i="9"/>
  <c r="E14" i="9"/>
  <c r="I33" i="7"/>
  <c r="C11" i="1"/>
  <c r="H11" i="7"/>
  <c r="G8" i="6"/>
  <c r="H12" i="7"/>
  <c r="G9" i="6"/>
  <c r="H13" i="7"/>
  <c r="G10" i="6"/>
  <c r="H14" i="7"/>
  <c r="G11" i="6"/>
  <c r="H17" i="7"/>
  <c r="G14" i="6"/>
  <c r="E34" i="1"/>
  <c r="C34" i="1"/>
  <c r="L34" i="1"/>
  <c r="I34" i="1"/>
  <c r="E33" i="1"/>
  <c r="C33" i="1"/>
  <c r="L33" i="1"/>
  <c r="I33" i="1"/>
  <c r="E32" i="1"/>
  <c r="C32" i="1"/>
  <c r="L32" i="1"/>
  <c r="I32" i="1"/>
  <c r="L31" i="1"/>
  <c r="K29" i="6" s="1"/>
  <c r="I31" i="1"/>
  <c r="E30" i="1"/>
  <c r="C30" i="1"/>
  <c r="L30" i="1"/>
  <c r="K28" i="6"/>
  <c r="I30" i="1"/>
  <c r="E29" i="1"/>
  <c r="C29" i="1"/>
  <c r="L29" i="1"/>
  <c r="K27" i="6"/>
  <c r="I29" i="1"/>
  <c r="E28" i="1"/>
  <c r="C28" i="1"/>
  <c r="L28" i="1"/>
  <c r="K26" i="6"/>
  <c r="I28" i="1"/>
  <c r="E27" i="1"/>
  <c r="C27" i="1"/>
  <c r="L27" i="1"/>
  <c r="K25" i="6"/>
  <c r="I27" i="1"/>
  <c r="E26" i="1"/>
  <c r="C26" i="1"/>
  <c r="L26" i="1"/>
  <c r="K24" i="6"/>
  <c r="I26" i="1"/>
  <c r="E25" i="1"/>
  <c r="C25" i="1"/>
  <c r="L25" i="1"/>
  <c r="K23" i="6"/>
  <c r="I25" i="1"/>
  <c r="E24" i="1"/>
  <c r="C24" i="1"/>
  <c r="L24" i="1"/>
  <c r="K22" i="6"/>
  <c r="I24" i="1"/>
  <c r="E23" i="1"/>
  <c r="C23" i="1"/>
  <c r="L23" i="1"/>
  <c r="K21" i="6"/>
  <c r="I23" i="1"/>
  <c r="E22" i="1"/>
  <c r="C22" i="1"/>
  <c r="L22" i="1"/>
  <c r="K20" i="6"/>
  <c r="I22" i="1"/>
  <c r="E21" i="1"/>
  <c r="C21" i="1"/>
  <c r="L21" i="1"/>
  <c r="K19" i="6"/>
  <c r="I21" i="1"/>
  <c r="E20" i="1"/>
  <c r="C20" i="1"/>
  <c r="L20" i="1"/>
  <c r="K18" i="6"/>
  <c r="I20" i="1"/>
  <c r="E19" i="1"/>
  <c r="C19" i="1"/>
  <c r="L19" i="1"/>
  <c r="K17" i="6"/>
  <c r="I19" i="1"/>
  <c r="E18" i="1"/>
  <c r="C18" i="1"/>
  <c r="L18" i="1"/>
  <c r="K16" i="6"/>
  <c r="I18" i="1"/>
  <c r="E17" i="1"/>
  <c r="C17" i="1"/>
  <c r="L17" i="1"/>
  <c r="K15" i="6"/>
  <c r="I17" i="1"/>
  <c r="E16" i="1"/>
  <c r="C16" i="1"/>
  <c r="L16" i="1"/>
  <c r="K14" i="6"/>
  <c r="I16" i="1"/>
  <c r="E15" i="1"/>
  <c r="C15" i="1"/>
  <c r="L15" i="1"/>
  <c r="K13" i="6"/>
  <c r="I15" i="1"/>
  <c r="E14" i="1"/>
  <c r="C14" i="1"/>
  <c r="L14" i="1"/>
  <c r="K12" i="6"/>
  <c r="I14" i="1"/>
  <c r="E13" i="1"/>
  <c r="C13" i="1"/>
  <c r="L13" i="1"/>
  <c r="K11" i="6"/>
  <c r="I13" i="1"/>
  <c r="E12" i="1"/>
  <c r="C12" i="1"/>
  <c r="L12" i="1"/>
  <c r="K10" i="6"/>
  <c r="I12" i="1"/>
  <c r="E11" i="1"/>
  <c r="I11" i="1"/>
  <c r="E10" i="1"/>
  <c r="C10" i="1"/>
  <c r="L10" i="1"/>
  <c r="K8" i="6"/>
  <c r="I10" i="1"/>
  <c r="E9" i="1"/>
  <c r="C9" i="1"/>
  <c r="L9" i="1"/>
  <c r="K7" i="6"/>
  <c r="I9" i="1"/>
  <c r="C8" i="1"/>
  <c r="L8" i="1"/>
  <c r="K6" i="6"/>
  <c r="I8" i="1"/>
  <c r="C7" i="1"/>
  <c r="L7" i="1"/>
  <c r="K5" i="6"/>
  <c r="I7" i="1"/>
  <c r="C6" i="1"/>
  <c r="L6" i="1"/>
  <c r="K4" i="6"/>
  <c r="I6" i="1"/>
  <c r="C5" i="1"/>
  <c r="L5" i="1"/>
  <c r="K3" i="6"/>
  <c r="I5" i="1"/>
  <c r="C4" i="1"/>
  <c r="L4" i="1"/>
  <c r="K2" i="6"/>
  <c r="A33" i="8"/>
  <c r="F32" i="8"/>
  <c r="L31" i="8"/>
  <c r="J31" i="8"/>
  <c r="E30" i="8"/>
  <c r="I30" i="8" s="1"/>
  <c r="C30" i="8"/>
  <c r="L30" i="8" s="1"/>
  <c r="E28" i="6" s="1"/>
  <c r="E29" i="8"/>
  <c r="J29" i="8" s="1"/>
  <c r="C29" i="8"/>
  <c r="L29" i="8" s="1"/>
  <c r="E27" i="6" s="1"/>
  <c r="E28" i="8"/>
  <c r="J28" i="8" s="1"/>
  <c r="F26" i="6" s="1"/>
  <c r="C28" i="8"/>
  <c r="L28" i="8" s="1"/>
  <c r="E26" i="6" s="1"/>
  <c r="E27" i="8"/>
  <c r="I27" i="8" s="1"/>
  <c r="E26" i="8"/>
  <c r="J26" i="8"/>
  <c r="E25" i="8"/>
  <c r="J25" i="8" s="1"/>
  <c r="C25" i="8"/>
  <c r="L25" i="8" s="1"/>
  <c r="E23" i="6" s="1"/>
  <c r="E24" i="8"/>
  <c r="J24" i="8" s="1"/>
  <c r="C24" i="8"/>
  <c r="L24" i="8" s="1"/>
  <c r="E22" i="6" s="1"/>
  <c r="E23" i="8"/>
  <c r="I23" i="8" s="1"/>
  <c r="C23" i="8"/>
  <c r="L23" i="8" s="1"/>
  <c r="E21" i="6" s="1"/>
  <c r="E22" i="8"/>
  <c r="I22" i="8" s="1"/>
  <c r="C22" i="8"/>
  <c r="L22" i="8" s="1"/>
  <c r="E20" i="6" s="1"/>
  <c r="E21" i="8"/>
  <c r="J21" i="8" s="1"/>
  <c r="C21" i="8"/>
  <c r="L21" i="8" s="1"/>
  <c r="E19" i="6" s="1"/>
  <c r="E20" i="8"/>
  <c r="J20" i="8" s="1"/>
  <c r="C20" i="8"/>
  <c r="L20" i="8" s="1"/>
  <c r="E18" i="6" s="1"/>
  <c r="E19" i="8"/>
  <c r="I19" i="8" s="1"/>
  <c r="C19" i="8"/>
  <c r="L19" i="8" s="1"/>
  <c r="E17" i="6" s="1"/>
  <c r="E18" i="8"/>
  <c r="I18" i="8" s="1"/>
  <c r="C18" i="8"/>
  <c r="L18" i="8" s="1"/>
  <c r="E16" i="6" s="1"/>
  <c r="E17" i="8"/>
  <c r="J17" i="8" s="1"/>
  <c r="C17" i="8"/>
  <c r="L17" i="8" s="1"/>
  <c r="E15" i="6" s="1"/>
  <c r="E16" i="8"/>
  <c r="J16" i="8" s="1"/>
  <c r="C16" i="8"/>
  <c r="L16" i="8" s="1"/>
  <c r="E14" i="6" s="1"/>
  <c r="E15" i="8"/>
  <c r="I15" i="8" s="1"/>
  <c r="C15" i="8"/>
  <c r="L15" i="8" s="1"/>
  <c r="E13" i="6" s="1"/>
  <c r="E14" i="8"/>
  <c r="I14" i="8" s="1"/>
  <c r="C14" i="8"/>
  <c r="L14" i="8" s="1"/>
  <c r="E12" i="6" s="1"/>
  <c r="E13" i="8"/>
  <c r="J13" i="8" s="1"/>
  <c r="C13" i="8"/>
  <c r="L13" i="8" s="1"/>
  <c r="E11" i="6" s="1"/>
  <c r="E12" i="8"/>
  <c r="J12" i="8" s="1"/>
  <c r="C12" i="8"/>
  <c r="L12" i="8" s="1"/>
  <c r="E10" i="6" s="1"/>
  <c r="E11" i="8"/>
  <c r="I11" i="8" s="1"/>
  <c r="C11" i="8"/>
  <c r="L11" i="8" s="1"/>
  <c r="E9" i="6" s="1"/>
  <c r="E10" i="8"/>
  <c r="I10" i="8" s="1"/>
  <c r="C10" i="8"/>
  <c r="L10" i="8" s="1"/>
  <c r="E8" i="6" s="1"/>
  <c r="E9" i="8"/>
  <c r="J9" i="8" s="1"/>
  <c r="C9" i="8"/>
  <c r="L9" i="8" s="1"/>
  <c r="E7" i="6" s="1"/>
  <c r="E8" i="8"/>
  <c r="J8" i="8" s="1"/>
  <c r="C8" i="8"/>
  <c r="L8" i="8" s="1"/>
  <c r="E6" i="6" s="1"/>
  <c r="E7" i="8"/>
  <c r="I7" i="8" s="1"/>
  <c r="C7" i="8"/>
  <c r="L7" i="8" s="1"/>
  <c r="E5" i="6" s="1"/>
  <c r="E6" i="8"/>
  <c r="I6" i="8" s="1"/>
  <c r="C6" i="8"/>
  <c r="L6" i="8" s="1"/>
  <c r="E4" i="6" s="1"/>
  <c r="E5" i="8"/>
  <c r="J5" i="8" s="1"/>
  <c r="C5" i="8"/>
  <c r="L5" i="8" s="1"/>
  <c r="E3" i="6" s="1"/>
  <c r="E4" i="8"/>
  <c r="C4" i="8"/>
  <c r="L4" i="8" s="1"/>
  <c r="E2" i="6" s="1"/>
  <c r="A37" i="9"/>
  <c r="F36" i="9"/>
  <c r="J35" i="9"/>
  <c r="I35" i="9"/>
  <c r="J34" i="9"/>
  <c r="I34" i="9"/>
  <c r="E33" i="9"/>
  <c r="J33" i="9"/>
  <c r="E32" i="9"/>
  <c r="L32" i="9" s="1"/>
  <c r="E31" i="9"/>
  <c r="E36" i="9" s="1"/>
  <c r="C31" i="9"/>
  <c r="E30" i="9"/>
  <c r="C30" i="9"/>
  <c r="L30" i="9"/>
  <c r="J30" i="9"/>
  <c r="E29" i="9"/>
  <c r="C29" i="9"/>
  <c r="L29" i="9"/>
  <c r="J29" i="9"/>
  <c r="E28" i="9"/>
  <c r="C28" i="9"/>
  <c r="L28" i="9"/>
  <c r="J28" i="9"/>
  <c r="E27" i="9"/>
  <c r="C27" i="9"/>
  <c r="L27" i="9"/>
  <c r="J27" i="9"/>
  <c r="E26" i="9"/>
  <c r="C26" i="9"/>
  <c r="L26" i="9"/>
  <c r="J26" i="9"/>
  <c r="E25" i="9"/>
  <c r="C25" i="9"/>
  <c r="L25" i="9"/>
  <c r="J25" i="9"/>
  <c r="E24" i="9"/>
  <c r="C24" i="9"/>
  <c r="L24" i="9"/>
  <c r="J24" i="9"/>
  <c r="E23" i="9"/>
  <c r="C23" i="9"/>
  <c r="L23" i="9"/>
  <c r="J23" i="9"/>
  <c r="E22" i="9"/>
  <c r="C22" i="9"/>
  <c r="L22" i="9"/>
  <c r="J22" i="9"/>
  <c r="E21" i="9"/>
  <c r="C21" i="9"/>
  <c r="L21" i="9"/>
  <c r="J21" i="9"/>
  <c r="E20" i="9"/>
  <c r="C20" i="9"/>
  <c r="L20" i="9"/>
  <c r="J20" i="9"/>
  <c r="E19" i="9"/>
  <c r="C19" i="9"/>
  <c r="L19" i="9"/>
  <c r="J19" i="9"/>
  <c r="E18" i="9"/>
  <c r="C18" i="9"/>
  <c r="L18" i="9"/>
  <c r="J18" i="9"/>
  <c r="E17" i="9"/>
  <c r="C17" i="9"/>
  <c r="L17" i="9"/>
  <c r="J17" i="9"/>
  <c r="E16" i="9"/>
  <c r="C16" i="9"/>
  <c r="L16" i="9"/>
  <c r="J16" i="9"/>
  <c r="C15" i="9"/>
  <c r="L15" i="9"/>
  <c r="J15" i="9"/>
  <c r="C14" i="9"/>
  <c r="L14" i="9"/>
  <c r="J14" i="9"/>
  <c r="E13" i="9"/>
  <c r="C13" i="9"/>
  <c r="L13" i="9"/>
  <c r="J13" i="9"/>
  <c r="E12" i="9"/>
  <c r="C12" i="9"/>
  <c r="L12" i="9"/>
  <c r="J12" i="9"/>
  <c r="E11" i="9"/>
  <c r="C11" i="9"/>
  <c r="L11" i="9"/>
  <c r="J11" i="9"/>
  <c r="E10" i="9"/>
  <c r="C10" i="9"/>
  <c r="L10" i="9"/>
  <c r="J10" i="9"/>
  <c r="E9" i="9"/>
  <c r="C9" i="9"/>
  <c r="L9" i="9"/>
  <c r="J9" i="9"/>
  <c r="E8" i="9"/>
  <c r="C8" i="9"/>
  <c r="L8" i="9"/>
  <c r="J8" i="9"/>
  <c r="E7" i="9"/>
  <c r="C7" i="9"/>
  <c r="L7" i="9"/>
  <c r="J7" i="9"/>
  <c r="E6" i="9"/>
  <c r="C6" i="9"/>
  <c r="L6" i="9"/>
  <c r="J6" i="9"/>
  <c r="E5" i="9"/>
  <c r="C5" i="9"/>
  <c r="L5" i="9"/>
  <c r="J5" i="9"/>
  <c r="E4" i="9"/>
  <c r="C4" i="9"/>
  <c r="L4" i="9"/>
  <c r="A37" i="10"/>
  <c r="F36" i="10"/>
  <c r="J35" i="10"/>
  <c r="I35" i="10"/>
  <c r="E34" i="10"/>
  <c r="I34" i="10" s="1"/>
  <c r="C34" i="10"/>
  <c r="L34" i="10" s="1"/>
  <c r="E33" i="10"/>
  <c r="I33" i="10" s="1"/>
  <c r="C33" i="10"/>
  <c r="L33" i="10" s="1"/>
  <c r="E32" i="10"/>
  <c r="E36" i="10" s="1"/>
  <c r="C32" i="10"/>
  <c r="E31" i="10"/>
  <c r="C31" i="10"/>
  <c r="L31" i="10" s="1"/>
  <c r="E30" i="10"/>
  <c r="C30" i="10"/>
  <c r="L30" i="10"/>
  <c r="J30" i="10"/>
  <c r="E29" i="10"/>
  <c r="C29" i="10"/>
  <c r="L29" i="10"/>
  <c r="J29" i="10"/>
  <c r="E28" i="10"/>
  <c r="C28" i="10"/>
  <c r="L28" i="10"/>
  <c r="J28" i="10"/>
  <c r="E27" i="10"/>
  <c r="J27" i="10"/>
  <c r="E26" i="10"/>
  <c r="C26" i="10"/>
  <c r="L26" i="10"/>
  <c r="J26" i="10"/>
  <c r="E25" i="10"/>
  <c r="J25" i="10"/>
  <c r="E24" i="10"/>
  <c r="J24" i="10"/>
  <c r="E23" i="10"/>
  <c r="C23" i="10"/>
  <c r="L23" i="10"/>
  <c r="J23" i="10"/>
  <c r="E22" i="10"/>
  <c r="C22" i="10"/>
  <c r="L22" i="10"/>
  <c r="J22" i="10"/>
  <c r="E21" i="10"/>
  <c r="C21" i="10"/>
  <c r="L21" i="10"/>
  <c r="J21" i="10"/>
  <c r="E20" i="10"/>
  <c r="C20" i="10"/>
  <c r="L20" i="10"/>
  <c r="J20" i="10"/>
  <c r="C19" i="10"/>
  <c r="L19" i="10"/>
  <c r="J19" i="10"/>
  <c r="C18" i="10"/>
  <c r="L18" i="10"/>
  <c r="J18" i="10"/>
  <c r="C17" i="10"/>
  <c r="L17" i="10"/>
  <c r="J17" i="10"/>
  <c r="C16" i="10"/>
  <c r="L16" i="10"/>
  <c r="J16" i="10"/>
  <c r="C15" i="10"/>
  <c r="L15" i="10"/>
  <c r="J15" i="10"/>
  <c r="C14" i="10"/>
  <c r="L14" i="10"/>
  <c r="J14" i="10"/>
  <c r="C13" i="10"/>
  <c r="L13" i="10"/>
  <c r="J13" i="10"/>
  <c r="C12" i="10"/>
  <c r="L12" i="10"/>
  <c r="J12" i="10"/>
  <c r="C11" i="10"/>
  <c r="L11" i="10"/>
  <c r="J11" i="10"/>
  <c r="C10" i="10"/>
  <c r="L10" i="10"/>
  <c r="J10" i="10"/>
  <c r="C9" i="10"/>
  <c r="L9" i="10"/>
  <c r="J9" i="10"/>
  <c r="C8" i="10"/>
  <c r="L8" i="10"/>
  <c r="J8" i="10"/>
  <c r="C7" i="10"/>
  <c r="L7" i="10"/>
  <c r="J7" i="10"/>
  <c r="C6" i="10"/>
  <c r="L6" i="10"/>
  <c r="J6" i="10"/>
  <c r="C5" i="10"/>
  <c r="L5" i="10"/>
  <c r="J5" i="10"/>
  <c r="C4" i="10"/>
  <c r="L4" i="10"/>
  <c r="H6" i="7"/>
  <c r="G4" i="6"/>
  <c r="H7" i="7"/>
  <c r="G5" i="6"/>
  <c r="H8" i="7"/>
  <c r="G6" i="6"/>
  <c r="I6" i="7"/>
  <c r="H4" i="6" s="1"/>
  <c r="I7" i="7"/>
  <c r="I8" i="7"/>
  <c r="I11" i="7"/>
  <c r="H8" i="6" s="1"/>
  <c r="I12" i="7"/>
  <c r="I13" i="7"/>
  <c r="I14" i="7"/>
  <c r="H11" i="6" s="1"/>
  <c r="I15" i="7"/>
  <c r="H12" i="6" s="1"/>
  <c r="I16" i="7"/>
  <c r="I17" i="7"/>
  <c r="I35" i="7"/>
  <c r="E35" i="7"/>
  <c r="H32" i="7"/>
  <c r="I32" i="7"/>
  <c r="E32" i="7"/>
  <c r="I31" i="7"/>
  <c r="H28" i="6" s="1"/>
  <c r="H30" i="7"/>
  <c r="G27" i="6"/>
  <c r="I30" i="7"/>
  <c r="H27" i="6" s="1"/>
  <c r="I29" i="7"/>
  <c r="H26" i="6" s="1"/>
  <c r="E29" i="7"/>
  <c r="H28" i="7"/>
  <c r="G25" i="6"/>
  <c r="I28" i="7"/>
  <c r="E28" i="7"/>
  <c r="H27" i="7"/>
  <c r="G24" i="6"/>
  <c r="I27" i="7"/>
  <c r="H24" i="6" s="1"/>
  <c r="E27" i="7"/>
  <c r="H26" i="7"/>
  <c r="G23" i="6"/>
  <c r="I26" i="7"/>
  <c r="H23" i="6" s="1"/>
  <c r="E26" i="7"/>
  <c r="I25" i="7"/>
  <c r="E25" i="7"/>
  <c r="I24" i="7"/>
  <c r="H21" i="6" s="1"/>
  <c r="E24" i="7"/>
  <c r="H23" i="7"/>
  <c r="G20" i="6"/>
  <c r="I23" i="7"/>
  <c r="H20" i="6" s="1"/>
  <c r="E23" i="7"/>
  <c r="H22" i="7"/>
  <c r="G19" i="6"/>
  <c r="I22" i="7"/>
  <c r="H19" i="6" s="1"/>
  <c r="E22" i="7"/>
  <c r="I21" i="7"/>
  <c r="E21" i="7"/>
  <c r="I20" i="7"/>
  <c r="E20" i="7"/>
  <c r="I19" i="7"/>
  <c r="E19" i="7"/>
  <c r="H18" i="7"/>
  <c r="G15" i="6"/>
  <c r="I18" i="7"/>
  <c r="E18" i="7"/>
  <c r="E17" i="7"/>
  <c r="E16" i="7"/>
  <c r="E15" i="7"/>
  <c r="E13" i="7"/>
  <c r="E12" i="7"/>
  <c r="E11" i="7"/>
  <c r="E8" i="7"/>
  <c r="E7" i="7"/>
  <c r="E6" i="7"/>
  <c r="H5" i="7"/>
  <c r="I5" i="7" s="1"/>
  <c r="H3" i="6" s="1"/>
  <c r="G3" i="6"/>
  <c r="E5" i="7"/>
  <c r="E4" i="7"/>
  <c r="H25" i="6"/>
  <c r="H22" i="6"/>
  <c r="H18" i="6"/>
  <c r="H17" i="6"/>
  <c r="H16" i="6"/>
  <c r="H15" i="6"/>
  <c r="H14" i="6"/>
  <c r="H13" i="6"/>
  <c r="H10" i="6"/>
  <c r="H9" i="6"/>
  <c r="H6" i="6"/>
  <c r="H5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3" i="8"/>
  <c r="C32" i="8"/>
  <c r="E32" i="8"/>
  <c r="I4" i="8"/>
  <c r="I5" i="8"/>
  <c r="I8" i="8"/>
  <c r="I9" i="8"/>
  <c r="I12" i="8"/>
  <c r="I13" i="8"/>
  <c r="I16" i="8"/>
  <c r="I17" i="8"/>
  <c r="I20" i="8"/>
  <c r="I21" i="8"/>
  <c r="I24" i="8"/>
  <c r="I25" i="8"/>
  <c r="I26" i="8"/>
  <c r="I28" i="8"/>
  <c r="I29" i="8"/>
  <c r="I31" i="8"/>
  <c r="J4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2" i="9"/>
  <c r="J4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L28" i="6"/>
  <c r="L27" i="6"/>
  <c r="L26" i="6"/>
  <c r="L25" i="6"/>
  <c r="L24" i="6"/>
  <c r="L23" i="6"/>
  <c r="L22" i="6"/>
  <c r="L21" i="6"/>
  <c r="L20" i="6"/>
  <c r="L18" i="6"/>
  <c r="L17" i="6"/>
  <c r="L16" i="6"/>
  <c r="L15" i="6"/>
  <c r="L14" i="6"/>
  <c r="L13" i="6"/>
  <c r="L12" i="6"/>
  <c r="L11" i="6"/>
  <c r="L10" i="6"/>
  <c r="L9" i="6"/>
  <c r="L8" i="6"/>
  <c r="L6" i="6"/>
  <c r="L5" i="6"/>
  <c r="L4" i="6"/>
  <c r="L3" i="6"/>
  <c r="H35" i="1"/>
  <c r="I35" i="1"/>
  <c r="L2" i="6"/>
  <c r="L27" i="10"/>
  <c r="L25" i="10"/>
  <c r="L24" i="10"/>
  <c r="L27" i="8"/>
  <c r="E25" i="6" s="1"/>
  <c r="L26" i="8"/>
  <c r="E24" i="6" s="1"/>
  <c r="F24" i="6" s="1"/>
  <c r="L11" i="1"/>
  <c r="K9" i="6"/>
  <c r="H36" i="7"/>
  <c r="J36" i="7" s="1"/>
  <c r="J33" i="10" l="1"/>
  <c r="J34" i="10"/>
  <c r="I32" i="10"/>
  <c r="L32" i="10"/>
  <c r="C36" i="10"/>
  <c r="I31" i="10"/>
  <c r="J31" i="10"/>
  <c r="J32" i="10"/>
  <c r="I31" i="9"/>
  <c r="J32" i="9"/>
  <c r="L33" i="9"/>
  <c r="L31" i="9"/>
  <c r="C36" i="9"/>
  <c r="J31" i="9"/>
  <c r="E29" i="6"/>
  <c r="F3" i="6"/>
  <c r="F7" i="6"/>
  <c r="F11" i="6"/>
  <c r="F15" i="6"/>
  <c r="F19" i="6"/>
  <c r="F23" i="6"/>
  <c r="F25" i="6"/>
  <c r="F6" i="6"/>
  <c r="F10" i="6"/>
  <c r="F14" i="6"/>
  <c r="F18" i="6"/>
  <c r="F22" i="6"/>
  <c r="F27" i="6"/>
  <c r="J6" i="8"/>
  <c r="F4" i="6" s="1"/>
  <c r="J7" i="8"/>
  <c r="F5" i="6" s="1"/>
  <c r="J10" i="8"/>
  <c r="F8" i="6" s="1"/>
  <c r="J11" i="8"/>
  <c r="F9" i="6" s="1"/>
  <c r="J14" i="8"/>
  <c r="F12" i="6" s="1"/>
  <c r="J15" i="8"/>
  <c r="F13" i="6" s="1"/>
  <c r="J18" i="8"/>
  <c r="F16" i="6" s="1"/>
  <c r="J19" i="8"/>
  <c r="F17" i="6" s="1"/>
  <c r="J22" i="8"/>
  <c r="F20" i="6" s="1"/>
  <c r="J23" i="8"/>
  <c r="F21" i="6" s="1"/>
  <c r="J30" i="8"/>
  <c r="F28" i="6" s="1"/>
  <c r="J4" i="8"/>
  <c r="F2" i="6" s="1"/>
  <c r="I36" i="7"/>
  <c r="J32" i="8"/>
  <c r="I32" i="8"/>
  <c r="L7" i="6"/>
  <c r="J36" i="10" l="1"/>
  <c r="I36" i="10"/>
  <c r="I36" i="9"/>
  <c r="J36" i="9"/>
</calcChain>
</file>

<file path=xl/sharedStrings.xml><?xml version="1.0" encoding="utf-8"?>
<sst xmlns="http://schemas.openxmlformats.org/spreadsheetml/2006/main" count="282" uniqueCount="77">
  <si>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</si>
  <si>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</si>
  <si>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</si>
  <si>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</si>
  <si>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</si>
  <si>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</si>
  <si>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</si>
  <si>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</si>
  <si>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</si>
  <si>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</si>
  <si>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</si>
  <si>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</si>
  <si>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</si>
  <si>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</si>
  <si>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</si>
  <si>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</si>
  <si>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</si>
  <si>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</si>
  <si>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</si>
  <si>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</si>
  <si>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</si>
  <si>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</si>
  <si>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</si>
  <si>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</si>
  <si>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</si>
  <si>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</si>
  <si>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 Rain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</si>
  <si>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</si>
  <si>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</si>
  <si>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</si>
  <si>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</si>
  <si>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</si>
  <si>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</si>
  <si>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</si>
  <si>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</si>
  <si>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</si>
  <si>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</si>
  <si>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Remarks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</si>
  <si>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</si>
  <si>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</si>
  <si>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</si>
  <si>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</si>
  <si>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</si>
  <si>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</si>
  <si>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</si>
  <si>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MAIN METER READING</t>
  </si>
  <si>
    <t>NO</t>
  </si>
  <si>
    <t>START</t>
  </si>
  <si>
    <t>STOP</t>
  </si>
  <si>
    <t>HRS</t>
  </si>
  <si>
    <t>(L)</t>
  </si>
  <si>
    <t xml:space="preserve">Date </t>
  </si>
  <si>
    <t>Before</t>
  </si>
  <si>
    <t>After</t>
  </si>
  <si>
    <t>Total Usage</t>
  </si>
  <si>
    <t>Balance Litre</t>
  </si>
  <si>
    <t>CF Last Month</t>
  </si>
  <si>
    <t>Diesel In</t>
  </si>
  <si>
    <t>Watersport</t>
  </si>
  <si>
    <t>Balance (Litre)</t>
  </si>
  <si>
    <t>Date : 01/1/2023</t>
  </si>
  <si>
    <t xml:space="preserve"> Outside tank</t>
  </si>
  <si>
    <t>length        :  452 cm</t>
  </si>
  <si>
    <t>Diameter   :  196 cm</t>
  </si>
  <si>
    <t>Fill Depth   :   75 cm</t>
  </si>
  <si>
    <t>Total           :  4800  Litre</t>
  </si>
  <si>
    <t>Inside Tank</t>
  </si>
  <si>
    <t>Length       :  121.5 cm</t>
  </si>
  <si>
    <t xml:space="preserve">  Inside Tank</t>
  </si>
  <si>
    <t>Width         :  121.5 cm</t>
  </si>
  <si>
    <t>Width         :  121 cm</t>
  </si>
  <si>
    <t>Height        :  122.5 cm</t>
  </si>
  <si>
    <t>Fill Depth   :   70 cm</t>
  </si>
  <si>
    <t xml:space="preserve">Total           :  </t>
  </si>
  <si>
    <t xml:space="preserve">Room Night </t>
  </si>
  <si>
    <t>Food Cover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</si>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</sst>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  <font>
      <sz val="11"/>
      <color rgb="FF444444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51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0" fillId="6" borderId="0" xfId="0" applyNumberFormat="1" applyFill="1" applyAlignment="1">
      <alignment horizontal="center"/>
    </xf>
    <xf numFmtId="0" fontId="0" fillId="6" borderId="0" xfId="0" applyFill="1"/>
    <xf numFmtId="0" fontId="2" fillId="0" borderId="6" xfId="0" applyFont="1" applyBorder="1" applyAlignment="1">
      <alignment horizontal="center"/>
    </xf>
    <xf numFmtId="39" fontId="2" fillId="0" borderId="6" xfId="1" applyNumberFormat="1" applyFont="1" applyBorder="1" applyAlignment="1">
      <alignment horizontal="center"/>
    </xf>
    <xf numFmtId="39" fontId="2" fillId="0" borderId="6" xfId="1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 applyProtection="1">
      <alignment horizontal="center"/>
      <protection locked="0"/>
    </xf>
    <xf numFmtId="165" fontId="1" fillId="0" borderId="6" xfId="0" applyNumberFormat="1" applyFont="1" applyBorder="1" applyAlignment="1">
      <alignment horizontal="center"/>
    </xf>
    <xf numFmtId="39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4" fontId="3" fillId="0" borderId="7" xfId="0" applyNumberFormat="1" applyFont="1" applyBorder="1"/>
    <xf numFmtId="0" fontId="2" fillId="0" borderId="8" xfId="0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5" fontId="2" fillId="0" borderId="9" xfId="0" applyNumberFormat="1" applyFont="1" applyBorder="1" applyAlignment="1">
      <alignment horizontal="center" wrapText="1"/>
    </xf>
    <xf numFmtId="164" fontId="0" fillId="0" borderId="10" xfId="0" applyNumberFormat="1" applyBorder="1"/>
    <xf numFmtId="165" fontId="2" fillId="0" borderId="11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1" fillId="6" borderId="11" xfId="0" applyNumberFormat="1" applyFont="1" applyFill="1" applyBorder="1" applyAlignment="1" applyProtection="1">
      <alignment horizontal="center"/>
      <protection locked="0"/>
    </xf>
    <xf numFmtId="165" fontId="1" fillId="4" borderId="11" xfId="0" applyNumberFormat="1" applyFont="1" applyFill="1" applyBorder="1" applyAlignment="1" applyProtection="1">
      <alignment horizontal="center"/>
      <protection locked="0"/>
    </xf>
    <xf numFmtId="165" fontId="1" fillId="0" borderId="11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0" fillId="0" borderId="13" xfId="0" applyBorder="1"/>
    <xf numFmtId="39" fontId="2" fillId="0" borderId="13" xfId="1" applyNumberFormat="1" applyFont="1" applyBorder="1" applyAlignment="1">
      <alignment horizontal="center"/>
    </xf>
    <xf numFmtId="165" fontId="10" fillId="5" borderId="14" xfId="0" quotePrefix="1" applyNumberFormat="1" applyFont="1" applyFill="1" applyBorder="1" applyAlignment="1">
      <alignment horizontal="center"/>
    </xf>
    <xf numFmtId="0" fontId="11" fillId="0" borderId="15" xfId="0" applyFont="1" applyBorder="1"/>
    <xf numFmtId="0" fontId="11" fillId="0" borderId="18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39" fontId="2" fillId="0" borderId="2" xfId="1" applyNumberFormat="1" applyFont="1" applyFill="1" applyBorder="1" applyAlignment="1">
      <alignment horizontal="center"/>
    </xf>
    <xf numFmtId="0" fontId="0" fillId="0" borderId="6" xfId="0" applyBorder="1"/>
    <xf numFmtId="39" fontId="0" fillId="0" borderId="2" xfId="1" applyNumberFormat="1" applyFont="1" applyBorder="1" applyAlignment="1">
      <alignment horizontal="center"/>
    </xf>
    <xf numFmtId="0" fontId="11" fillId="0" borderId="0" xfId="0" applyFont="1"/>
    <xf numFmtId="0" fontId="11" fillId="0" borderId="16" xfId="0" applyFont="1" applyBorder="1"/>
    <xf numFmtId="3" fontId="0" fillId="0" borderId="0" xfId="0" applyNumberFormat="1"/>
    <xf numFmtId="0" fontId="11" fillId="0" borderId="19" xfId="0" applyFont="1" applyBorder="1"/>
    <xf numFmtId="1" fontId="2" fillId="0" borderId="2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0" fillId="2" borderId="23" xfId="0" applyNumberFormat="1" applyFill="1" applyBorder="1" applyAlignment="1" applyProtection="1">
      <alignment horizontal="center"/>
      <protection locked="0"/>
    </xf>
    <xf numFmtId="165" fontId="0" fillId="6" borderId="18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8" borderId="32" xfId="0" applyFill="1" applyBorder="1"/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6" borderId="24" xfId="0" applyNumberFormat="1" applyFont="1" applyFill="1" applyBorder="1" applyAlignment="1" applyProtection="1">
      <alignment horizontal="center"/>
      <protection locked="0"/>
    </xf>
    <xf numFmtId="165" fontId="1" fillId="6" borderId="28" xfId="0" applyNumberFormat="1" applyFont="1" applyFill="1" applyBorder="1" applyAlignment="1">
      <alignment horizontal="center"/>
    </xf>
    <xf numFmtId="165" fontId="1" fillId="6" borderId="6" xfId="0" applyNumberFormat="1" applyFont="1" applyFill="1" applyBorder="1" applyAlignment="1" applyProtection="1">
      <alignment horizontal="center"/>
      <protection locked="0"/>
    </xf>
    <xf numFmtId="165" fontId="1" fillId="6" borderId="11" xfId="0" applyNumberFormat="1" applyFont="1" applyFill="1" applyBorder="1" applyAlignment="1">
      <alignment horizontal="center"/>
    </xf>
    <xf numFmtId="165" fontId="1" fillId="6" borderId="25" xfId="0" applyNumberFormat="1" applyFont="1" applyFill="1" applyBorder="1" applyAlignment="1" applyProtection="1">
      <alignment horizontal="center"/>
      <protection locked="0"/>
    </xf>
    <xf numFmtId="165" fontId="1" fillId="6" borderId="13" xfId="0" applyNumberFormat="1" applyFont="1" applyFill="1" applyBorder="1" applyAlignment="1" applyProtection="1">
      <alignment horizontal="center"/>
      <protection locked="0"/>
    </xf>
    <xf numFmtId="165" fontId="1" fillId="6" borderId="14" xfId="0" applyNumberFormat="1" applyFont="1" applyFill="1" applyBorder="1" applyAlignment="1">
      <alignment horizontal="center"/>
    </xf>
    <xf numFmtId="165" fontId="1" fillId="3" borderId="29" xfId="0" applyNumberFormat="1" applyFont="1" applyFill="1" applyBorder="1" applyAlignment="1">
      <alignment horizontal="center"/>
    </xf>
    <xf numFmtId="165" fontId="1" fillId="3" borderId="30" xfId="0" applyNumberFormat="1" applyFont="1" applyFill="1" applyBorder="1" applyAlignment="1">
      <alignment horizontal="center"/>
    </xf>
    <xf numFmtId="165" fontId="1" fillId="3" borderId="31" xfId="0" applyNumberFormat="1" applyFont="1" applyFill="1" applyBorder="1" applyAlignment="1">
      <alignment horizontal="center"/>
    </xf>
    <xf numFmtId="165" fontId="12" fillId="8" borderId="4" xfId="0" quotePrefix="1" applyNumberFormat="1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30" xfId="0" applyBorder="1" applyAlignment="1">
      <alignment horizontal="center"/>
    </xf>
    <xf numFmtId="165" fontId="12" fillId="5" borderId="36" xfId="0" quotePrefix="1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26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1" fillId="3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9" borderId="37" xfId="0" applyNumberFormat="1" applyFill="1" applyBorder="1" applyAlignment="1" applyProtection="1">
      <alignment horizontal="center"/>
      <protection locked="0"/>
    </xf>
    <xf numFmtId="165" fontId="11" fillId="6" borderId="37" xfId="0" applyNumberFormat="1" applyFont="1" applyFill="1" applyBorder="1" applyAlignment="1" applyProtection="1">
      <alignment horizontal="center"/>
      <protection locked="0"/>
    </xf>
    <xf numFmtId="165" fontId="0" fillId="7" borderId="37" xfId="0" applyNumberFormat="1" applyFill="1" applyBorder="1" applyAlignment="1" applyProtection="1">
      <alignment horizontal="center"/>
      <protection locked="0"/>
    </xf>
    <xf numFmtId="165" fontId="0" fillId="6" borderId="37" xfId="0" applyNumberFormat="1" applyFill="1" applyBorder="1" applyAlignment="1" applyProtection="1">
      <alignment horizontal="center"/>
      <protection locked="0"/>
    </xf>
    <xf numFmtId="165" fontId="1" fillId="6" borderId="37" xfId="0" applyNumberFormat="1" applyFont="1" applyFill="1" applyBorder="1" applyAlignment="1" applyProtection="1">
      <alignment horizontal="center"/>
      <protection locked="0"/>
    </xf>
    <xf numFmtId="165" fontId="11" fillId="6" borderId="19" xfId="0" applyNumberFormat="1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13" fillId="0" borderId="3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0" fillId="3" borderId="1" xfId="0" applyNumberForma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0" fillId="9" borderId="1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0" xfId="0" applyFill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9" borderId="18" xfId="0" applyNumberFormat="1" applyFill="1" applyBorder="1" applyAlignment="1">
      <alignment horizontal="center"/>
    </xf>
    <xf numFmtId="165" fontId="0" fillId="9" borderId="0" xfId="0" applyNumberFormat="1" applyFill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0" fillId="7" borderId="18" xfId="0" applyNumberFormat="1" applyFill="1" applyBorder="1" applyAlignment="1">
      <alignment horizontal="center"/>
    </xf>
    <xf numFmtId="165" fontId="0" fillId="7" borderId="0" xfId="0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4" workbookViewId="0">
      <selection activeCell="G2" sqref="G2"/>
    </sheetView>
  </sheetViews>
  <sheetFormatPr defaultColWidth="9.140625" defaultRowHeight="12.75" x14ac:dyDescent="0.2"/>
  <cols>
    <col min="1" max="1" width="12.7109375" style="23" bestFit="1" customWidth="1"/>
    <col min="2" max="4" width="9.140625" style="23"/>
    <col min="5" max="5" width="14.28515625" style="23" customWidth="1"/>
    <col min="6" max="6" width="12.140625" style="23" customWidth="1"/>
    <col min="7" max="7" width="9.140625" style="23"/>
    <col min="8" max="10" width="19.28515625" style="23" customWidth="1"/>
    <col min="11" max="11" width="13.5703125" style="23" customWidth="1"/>
    <col min="12" max="12" width="11.28515625" style="23" customWidth="1"/>
    <col min="13" max="16384" width="9.140625" style="23"/>
  </cols>
  <sheetData>
    <row r="1" spans="1:14" ht="60" x14ac:dyDescent="0.2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76</v>
      </c>
      <c r="H1" s="21" t="s">
        <v>6</v>
      </c>
      <c r="I1" s="134" t="s">
        <v>7</v>
      </c>
      <c r="J1" s="135" t="s">
        <v>8</v>
      </c>
      <c r="K1" s="20" t="s">
        <v>9</v>
      </c>
      <c r="L1" s="22" t="s">
        <v>10</v>
      </c>
      <c r="M1" s="20" t="s">
        <v>74</v>
      </c>
      <c r="N1" s="20" t="s">
        <v>75</v>
      </c>
    </row>
    <row r="2" spans="1:14" ht="15" x14ac:dyDescent="0.25">
      <c r="A2" s="24" t="s">
        <v>11</v>
      </c>
      <c r="B2" s="25">
        <v>1</v>
      </c>
      <c r="C2" s="26">
        <v>2</v>
      </c>
      <c r="D2" s="25">
        <v>2023</v>
      </c>
      <c r="E2" s="27">
        <f>'B16'!L4+'B16 ext'!L4+'B17'!L4</f>
        <v>18496</v>
      </c>
      <c r="F2" s="29">
        <f>('B16'!J4+'B16 ext'!J4+'B17'!J4)/TOTAL!E2</f>
        <v>0.24903357482698962</v>
      </c>
      <c r="G2" s="27">
        <f>'Diesel Reading '!H4</f>
        <v>297.69999999995343</v>
      </c>
      <c r="H2" s="28">
        <f>'Diesel Reading '!I4/'Diesel Reading '!H4</f>
        <v>2.84</v>
      </c>
      <c r="I2" s="28">
        <v>161.78</v>
      </c>
      <c r="J2" s="28">
        <v>6.76</v>
      </c>
      <c r="K2" s="27">
        <f>'Water Reading'!L4</f>
        <v>12</v>
      </c>
      <c r="L2" s="29">
        <f>'Water Reading'!I4/'Water Reading'!H4</f>
        <v>1.3500000000000003</v>
      </c>
      <c r="M2" s="27">
        <v>54</v>
      </c>
      <c r="N2" s="27"/>
    </row>
    <row r="3" spans="1:14" ht="15" x14ac:dyDescent="0.25">
      <c r="A3" s="24" t="s">
        <v>11</v>
      </c>
      <c r="B3" s="25">
        <f>B2+1</f>
        <v>2</v>
      </c>
      <c r="C3" s="26">
        <v>2</v>
      </c>
      <c r="D3" s="25">
        <v>2023</v>
      </c>
      <c r="E3" s="27">
        <f>'B16'!L5+'B16 ext'!L5+'B17'!L5</f>
        <v>16981</v>
      </c>
      <c r="F3" s="29">
        <f>('B16'!J5+'B16 ext'!J5+'B17'!J5)/TOTAL!E3</f>
        <v>0.253950238501855</v>
      </c>
      <c r="G3" s="27">
        <f>'Diesel Reading '!H5</f>
        <v>246.80000000004657</v>
      </c>
      <c r="H3" s="28">
        <f>'Diesel Reading '!I5/'Diesel Reading '!H5</f>
        <v>2.84</v>
      </c>
      <c r="I3" s="28">
        <v>161.78</v>
      </c>
      <c r="J3" s="28">
        <v>6.76</v>
      </c>
      <c r="K3" s="27">
        <f>'Water Reading'!L5</f>
        <v>21</v>
      </c>
      <c r="L3" s="29">
        <f>'Water Reading'!I5/'Water Reading'!H5</f>
        <v>1.35</v>
      </c>
      <c r="M3" s="27">
        <v>55</v>
      </c>
      <c r="N3" s="27"/>
    </row>
    <row r="4" spans="1:14" ht="15" x14ac:dyDescent="0.25">
      <c r="A4" s="24" t="s">
        <v>11</v>
      </c>
      <c r="B4" s="25">
        <f t="shared" ref="B4:B29" si="0">B3+1</f>
        <v>3</v>
      </c>
      <c r="C4" s="26">
        <v>2</v>
      </c>
      <c r="D4" s="25">
        <v>2023</v>
      </c>
      <c r="E4" s="27">
        <f>'B16'!L6+'B16 ext'!L6+'B17'!L6</f>
        <v>19372</v>
      </c>
      <c r="F4" s="29">
        <f>('B16'!J6+'B16 ext'!J6+'B17'!J6)/TOTAL!E4</f>
        <v>0.25273807557299199</v>
      </c>
      <c r="G4" s="27">
        <f>'Diesel Reading '!H6</f>
        <v>297.10000000009313</v>
      </c>
      <c r="H4" s="28">
        <f>'Diesel Reading '!I6/'Diesel Reading '!H6</f>
        <v>2.84</v>
      </c>
      <c r="I4" s="28">
        <v>161.78</v>
      </c>
      <c r="J4" s="28">
        <v>6.76</v>
      </c>
      <c r="K4" s="27">
        <f>'Water Reading'!L6</f>
        <v>25</v>
      </c>
      <c r="L4" s="29">
        <f>'Water Reading'!I6/'Water Reading'!H6</f>
        <v>1.35</v>
      </c>
      <c r="M4" s="27">
        <v>66</v>
      </c>
      <c r="N4" s="27"/>
    </row>
    <row r="5" spans="1:14" ht="15" x14ac:dyDescent="0.25">
      <c r="A5" s="24" t="s">
        <v>11</v>
      </c>
      <c r="B5" s="25">
        <f t="shared" si="0"/>
        <v>4</v>
      </c>
      <c r="C5" s="26">
        <v>2</v>
      </c>
      <c r="D5" s="25">
        <v>2023</v>
      </c>
      <c r="E5" s="27">
        <f>'B16'!L7+'B16 ext'!L7+'B17'!L7</f>
        <v>19613</v>
      </c>
      <c r="F5" s="29">
        <f>('B16'!J7+'B16 ext'!J7+'B17'!J7)/TOTAL!E5</f>
        <v>0.24966246877071327</v>
      </c>
      <c r="G5" s="27">
        <f>'Diesel Reading '!H7</f>
        <v>278.80000000004657</v>
      </c>
      <c r="H5" s="28">
        <f>'Diesel Reading '!I7/'Diesel Reading '!H7</f>
        <v>2.84</v>
      </c>
      <c r="I5" s="28">
        <v>161.78</v>
      </c>
      <c r="J5" s="28">
        <v>6.76</v>
      </c>
      <c r="K5" s="27">
        <f>'Water Reading'!L7</f>
        <v>32</v>
      </c>
      <c r="L5" s="29">
        <f>'Water Reading'!I7/'Water Reading'!H7</f>
        <v>1.35</v>
      </c>
      <c r="M5" s="27">
        <v>68</v>
      </c>
      <c r="N5" s="27"/>
    </row>
    <row r="6" spans="1:14" ht="15" x14ac:dyDescent="0.25">
      <c r="A6" s="24" t="s">
        <v>11</v>
      </c>
      <c r="B6" s="25">
        <f t="shared" si="0"/>
        <v>5</v>
      </c>
      <c r="C6" s="26">
        <v>2</v>
      </c>
      <c r="D6" s="25">
        <v>2023</v>
      </c>
      <c r="E6" s="27">
        <f>'B16'!L8+'B16 ext'!L8+'B17'!L8</f>
        <v>19699</v>
      </c>
      <c r="F6" s="29">
        <f>('B16'!J8+'B16 ext'!J8+'B17'!J8)/TOTAL!E6</f>
        <v>0.24693918473018936</v>
      </c>
      <c r="G6" s="27">
        <f>'Diesel Reading '!H8</f>
        <v>259</v>
      </c>
      <c r="H6" s="28">
        <f>'Diesel Reading '!I8/'Diesel Reading '!H8</f>
        <v>2.84</v>
      </c>
      <c r="I6" s="28">
        <v>161.78</v>
      </c>
      <c r="J6" s="28">
        <v>6.76</v>
      </c>
      <c r="K6" s="27">
        <f>'Water Reading'!L8</f>
        <v>29</v>
      </c>
      <c r="L6" s="29">
        <f>'Water Reading'!I8/'Water Reading'!H8</f>
        <v>1.35</v>
      </c>
      <c r="M6" s="27">
        <v>51</v>
      </c>
      <c r="N6" s="27"/>
    </row>
    <row r="7" spans="1:14" ht="15" x14ac:dyDescent="0.25">
      <c r="A7" s="24" t="s">
        <v>11</v>
      </c>
      <c r="B7" s="25">
        <f t="shared" si="0"/>
        <v>6</v>
      </c>
      <c r="C7" s="26">
        <v>2</v>
      </c>
      <c r="D7" s="25">
        <v>2023</v>
      </c>
      <c r="E7" s="27">
        <f>'B16'!L9+'B16 ext'!L9+'B17'!L9</f>
        <v>19251</v>
      </c>
      <c r="F7" s="29">
        <f>('B16'!J9+'B16 ext'!J9+'B17'!J9)/TOTAL!E7</f>
        <v>0.25043493844475612</v>
      </c>
      <c r="G7" s="27">
        <f>'Diesel Reading '!H10</f>
        <v>379.60000000009313</v>
      </c>
      <c r="H7" s="28">
        <f>'Diesel Reading '!I10/'Diesel Reading '!H10</f>
        <v>2.84</v>
      </c>
      <c r="I7" s="28">
        <v>161.78</v>
      </c>
      <c r="J7" s="28">
        <v>6.76</v>
      </c>
      <c r="K7" s="27">
        <f>'Water Reading'!L9</f>
        <v>37</v>
      </c>
      <c r="L7" s="29">
        <f>'Water Reading'!I9/'Water Reading'!H9</f>
        <v>1.35</v>
      </c>
      <c r="M7" s="27">
        <v>38</v>
      </c>
      <c r="N7" s="27"/>
    </row>
    <row r="8" spans="1:14" ht="15" x14ac:dyDescent="0.25">
      <c r="A8" s="24" t="s">
        <v>11</v>
      </c>
      <c r="B8" s="25">
        <f t="shared" si="0"/>
        <v>7</v>
      </c>
      <c r="C8" s="26">
        <v>2</v>
      </c>
      <c r="D8" s="25">
        <v>2023</v>
      </c>
      <c r="E8" s="27">
        <f>'B16'!L10+'B16 ext'!L10+'B17'!L10</f>
        <v>23440</v>
      </c>
      <c r="F8" s="29">
        <f>('B16'!J10+'B16 ext'!J10+'B17'!J10)/TOTAL!E8</f>
        <v>0.23638784129692827</v>
      </c>
      <c r="G8" s="27">
        <f>'Diesel Reading '!H11</f>
        <v>386</v>
      </c>
      <c r="H8" s="28">
        <f>'Diesel Reading '!I11/'Diesel Reading '!H11</f>
        <v>2.84</v>
      </c>
      <c r="I8" s="28">
        <v>161.78</v>
      </c>
      <c r="J8" s="28">
        <v>6.76</v>
      </c>
      <c r="K8" s="27">
        <f>'Water Reading'!L10</f>
        <v>41</v>
      </c>
      <c r="L8" s="29">
        <f>'Water Reading'!I10/'Water Reading'!H10</f>
        <v>1.35</v>
      </c>
      <c r="M8" s="27">
        <v>35</v>
      </c>
      <c r="N8" s="27"/>
    </row>
    <row r="9" spans="1:14" ht="15" x14ac:dyDescent="0.25">
      <c r="A9" s="24" t="s">
        <v>11</v>
      </c>
      <c r="B9" s="25">
        <f t="shared" si="0"/>
        <v>8</v>
      </c>
      <c r="C9" s="26">
        <v>2</v>
      </c>
      <c r="D9" s="25">
        <v>2023</v>
      </c>
      <c r="E9" s="27">
        <f>'B16'!L11+'B16 ext'!L11+'B17'!L11</f>
        <v>18471</v>
      </c>
      <c r="F9" s="29">
        <f>('B16'!J11+'B16 ext'!J11+'B17'!J11)/TOTAL!E9</f>
        <v>0.25185333766444695</v>
      </c>
      <c r="G9" s="27">
        <f>'Diesel Reading '!H12</f>
        <v>412.4000000001397</v>
      </c>
      <c r="H9" s="28">
        <f>'Diesel Reading '!I12/'Diesel Reading '!H12</f>
        <v>2.84</v>
      </c>
      <c r="I9" s="28">
        <v>161.78</v>
      </c>
      <c r="J9" s="28">
        <v>6.76</v>
      </c>
      <c r="K9" s="27">
        <f>'Water Reading'!L11</f>
        <v>37</v>
      </c>
      <c r="L9" s="29">
        <f>'Water Reading'!I11/'Water Reading'!H11</f>
        <v>1.35</v>
      </c>
      <c r="M9" s="27">
        <v>37</v>
      </c>
      <c r="N9" s="27"/>
    </row>
    <row r="10" spans="1:14" ht="15" x14ac:dyDescent="0.25">
      <c r="A10" s="24" t="s">
        <v>11</v>
      </c>
      <c r="B10" s="25">
        <f t="shared" si="0"/>
        <v>9</v>
      </c>
      <c r="C10" s="26">
        <v>2</v>
      </c>
      <c r="D10" s="25">
        <v>2023</v>
      </c>
      <c r="E10" s="27">
        <f>'B16'!L12+'B16 ext'!L12+'B17'!L12</f>
        <v>16052</v>
      </c>
      <c r="F10" s="29">
        <f>('B16'!J12+'B16 ext'!J12+'B17'!J12)/TOTAL!E10</f>
        <v>0.26780812359830547</v>
      </c>
      <c r="G10" s="27">
        <f>'Diesel Reading '!H13</f>
        <v>398.19999999995343</v>
      </c>
      <c r="H10" s="28">
        <f>'Diesel Reading '!I13/'Diesel Reading '!H13</f>
        <v>2.8399999999999994</v>
      </c>
      <c r="I10" s="28">
        <v>161.78</v>
      </c>
      <c r="J10" s="28">
        <v>6.76</v>
      </c>
      <c r="K10" s="27">
        <f>'Water Reading'!L12</f>
        <v>28</v>
      </c>
      <c r="L10" s="29">
        <f>'Water Reading'!I12/'Water Reading'!H12</f>
        <v>1.35</v>
      </c>
      <c r="M10" s="27">
        <v>38</v>
      </c>
      <c r="N10" s="27"/>
    </row>
    <row r="11" spans="1:14" ht="15" x14ac:dyDescent="0.25">
      <c r="A11" s="24" t="s">
        <v>11</v>
      </c>
      <c r="B11" s="25">
        <f t="shared" si="0"/>
        <v>10</v>
      </c>
      <c r="C11" s="26">
        <v>2</v>
      </c>
      <c r="D11" s="25">
        <v>2023</v>
      </c>
      <c r="E11" s="27">
        <f>'B16'!L13+'B16 ext'!L13+'B17'!L13</f>
        <v>20948</v>
      </c>
      <c r="F11" s="29">
        <f>('B16'!J13+'B16 ext'!J13+'B17'!J13)/TOTAL!E11</f>
        <v>0.24899527401183882</v>
      </c>
      <c r="G11" s="27">
        <f>'Diesel Reading '!H14</f>
        <v>360.60000000009313</v>
      </c>
      <c r="H11" s="28">
        <f>'Diesel Reading '!I14/'Diesel Reading '!H14</f>
        <v>2.84</v>
      </c>
      <c r="I11" s="28">
        <v>161.78</v>
      </c>
      <c r="J11" s="28">
        <v>6.76</v>
      </c>
      <c r="K11" s="27">
        <f>'Water Reading'!L13</f>
        <v>21</v>
      </c>
      <c r="L11" s="29">
        <f>'Water Reading'!I13/'Water Reading'!H13</f>
        <v>1.35</v>
      </c>
      <c r="M11" s="27">
        <v>46</v>
      </c>
      <c r="N11" s="27"/>
    </row>
    <row r="12" spans="1:14" ht="15" x14ac:dyDescent="0.25">
      <c r="A12" s="24" t="s">
        <v>11</v>
      </c>
      <c r="B12" s="25">
        <f t="shared" si="0"/>
        <v>11</v>
      </c>
      <c r="C12" s="26">
        <v>2</v>
      </c>
      <c r="D12" s="25">
        <v>2023</v>
      </c>
      <c r="E12" s="27">
        <f>'B16'!L14+'B16 ext'!L14+'B17'!L14</f>
        <v>18081</v>
      </c>
      <c r="F12" s="29">
        <f>('B16'!J14+'B16 ext'!J14+'B17'!J14)/TOTAL!E12</f>
        <v>0.24578795420607266</v>
      </c>
      <c r="G12" s="27">
        <f>'Diesel Reading '!H15</f>
        <v>380.60000000009313</v>
      </c>
      <c r="H12" s="28">
        <f>'Diesel Reading '!I15/'Diesel Reading '!H15</f>
        <v>2.84</v>
      </c>
      <c r="I12" s="28">
        <v>161.78</v>
      </c>
      <c r="J12" s="28">
        <v>6.76</v>
      </c>
      <c r="K12" s="27">
        <f>'Water Reading'!L14</f>
        <v>47</v>
      </c>
      <c r="L12" s="29">
        <f>'Water Reading'!I14/'Water Reading'!H14</f>
        <v>1.35</v>
      </c>
      <c r="M12" s="27">
        <v>46</v>
      </c>
      <c r="N12" s="27"/>
    </row>
    <row r="13" spans="1:14" ht="15" x14ac:dyDescent="0.25">
      <c r="A13" s="24" t="s">
        <v>11</v>
      </c>
      <c r="B13" s="25">
        <f t="shared" si="0"/>
        <v>12</v>
      </c>
      <c r="C13" s="26">
        <v>2</v>
      </c>
      <c r="D13" s="25">
        <v>2023</v>
      </c>
      <c r="E13" s="27">
        <f>'B16'!L15+'B16 ext'!L15+'B17'!L15</f>
        <v>25897</v>
      </c>
      <c r="F13" s="29">
        <f>('B16'!J15+'B16 ext'!J15+'B17'!J15)/TOTAL!E13</f>
        <v>0.24287477313974593</v>
      </c>
      <c r="G13" s="27">
        <f>'Diesel Reading '!H16</f>
        <v>413.0999999998603</v>
      </c>
      <c r="H13" s="28">
        <f>'Diesel Reading '!I16/'Diesel Reading '!H16</f>
        <v>2.84</v>
      </c>
      <c r="I13" s="28">
        <v>161.78</v>
      </c>
      <c r="J13" s="28">
        <v>6.76</v>
      </c>
      <c r="K13" s="27">
        <f>'Water Reading'!L15</f>
        <v>8</v>
      </c>
      <c r="L13" s="29">
        <f>'Water Reading'!I15/'Water Reading'!H15</f>
        <v>1.35</v>
      </c>
      <c r="M13" s="27">
        <v>47</v>
      </c>
      <c r="N13" s="27"/>
    </row>
    <row r="14" spans="1:14" ht="15" x14ac:dyDescent="0.25">
      <c r="A14" s="24" t="s">
        <v>11</v>
      </c>
      <c r="B14" s="25">
        <f t="shared" si="0"/>
        <v>13</v>
      </c>
      <c r="C14" s="26">
        <v>2</v>
      </c>
      <c r="D14" s="25">
        <v>2023</v>
      </c>
      <c r="E14" s="27">
        <f>'B16'!L16+'B16 ext'!L16+'B17'!L16</f>
        <v>20239</v>
      </c>
      <c r="F14" s="29">
        <f>('B16'!J16+'B16 ext'!J16+'B17'!J16)/TOTAL!E14</f>
        <v>0.25060694698354657</v>
      </c>
      <c r="G14" s="27">
        <f>'Diesel Reading '!H17</f>
        <v>503.89999999990687</v>
      </c>
      <c r="H14" s="28">
        <f>'Diesel Reading '!I17/'Diesel Reading '!H17</f>
        <v>2.84</v>
      </c>
      <c r="I14" s="28">
        <v>161.78</v>
      </c>
      <c r="J14" s="28">
        <v>6.76</v>
      </c>
      <c r="K14" s="27">
        <f>'Water Reading'!L16</f>
        <v>20</v>
      </c>
      <c r="L14" s="29">
        <f>'Water Reading'!I16/'Water Reading'!H16</f>
        <v>1.35</v>
      </c>
      <c r="M14" s="27">
        <v>48</v>
      </c>
      <c r="N14" s="27"/>
    </row>
    <row r="15" spans="1:14" ht="15" x14ac:dyDescent="0.25">
      <c r="A15" s="24" t="s">
        <v>11</v>
      </c>
      <c r="B15" s="25">
        <f t="shared" si="0"/>
        <v>14</v>
      </c>
      <c r="C15" s="26">
        <v>2</v>
      </c>
      <c r="D15" s="25">
        <v>2023</v>
      </c>
      <c r="E15" s="27">
        <f>'B16'!L17+'B16 ext'!L17+'B17'!L17</f>
        <v>20796</v>
      </c>
      <c r="F15" s="29">
        <f>('B16'!J17+'B16 ext'!J17+'B17'!J17)/TOTAL!E15</f>
        <v>0.24844330640507786</v>
      </c>
      <c r="G15" s="27">
        <f>'Diesel Reading '!H18</f>
        <v>437.5</v>
      </c>
      <c r="H15" s="28">
        <f>'Diesel Reading '!I18/'Diesel Reading '!H18</f>
        <v>2.84</v>
      </c>
      <c r="I15" s="28">
        <v>161.78</v>
      </c>
      <c r="J15" s="28">
        <v>6.76</v>
      </c>
      <c r="K15" s="27">
        <f>'Water Reading'!L17</f>
        <v>23</v>
      </c>
      <c r="L15" s="29">
        <f>'Water Reading'!I17/'Water Reading'!H17</f>
        <v>1.35</v>
      </c>
      <c r="M15" s="27">
        <v>46</v>
      </c>
      <c r="N15" s="27"/>
    </row>
    <row r="16" spans="1:14" ht="15" x14ac:dyDescent="0.25">
      <c r="A16" s="24" t="s">
        <v>11</v>
      </c>
      <c r="B16" s="25">
        <f t="shared" si="0"/>
        <v>15</v>
      </c>
      <c r="C16" s="26">
        <v>2</v>
      </c>
      <c r="D16" s="25">
        <v>2023</v>
      </c>
      <c r="E16" s="27">
        <f>'B16'!L18+'B16 ext'!L18+'B17'!L18</f>
        <v>19487</v>
      </c>
      <c r="F16" s="29">
        <f>('B16'!J18+'B16 ext'!J18+'B17'!J18)/TOTAL!E16</f>
        <v>0.24989305690973471</v>
      </c>
      <c r="G16" s="27">
        <f>'Diesel Reading '!H19</f>
        <v>420.19999999995343</v>
      </c>
      <c r="H16" s="28">
        <f>'Diesel Reading '!I19/'Diesel Reading '!H19</f>
        <v>2.84</v>
      </c>
      <c r="I16" s="28">
        <v>161.78</v>
      </c>
      <c r="J16" s="28">
        <v>6.76</v>
      </c>
      <c r="K16" s="27">
        <f>'Water Reading'!L18</f>
        <v>137</v>
      </c>
      <c r="L16" s="29">
        <f>'Water Reading'!I18/'Water Reading'!H18</f>
        <v>1.3499999999999999</v>
      </c>
      <c r="M16" s="27">
        <v>49</v>
      </c>
      <c r="N16" s="27"/>
    </row>
    <row r="17" spans="1:14" ht="15" x14ac:dyDescent="0.25">
      <c r="A17" s="24" t="s">
        <v>11</v>
      </c>
      <c r="B17" s="25">
        <f t="shared" si="0"/>
        <v>16</v>
      </c>
      <c r="C17" s="26">
        <v>2</v>
      </c>
      <c r="D17" s="25">
        <v>2023</v>
      </c>
      <c r="E17" s="27">
        <f>'B16'!L19+'B16 ext'!L19+'B17'!L19</f>
        <v>16999</v>
      </c>
      <c r="F17" s="29">
        <f>('B16'!J19+'B16 ext'!J19+'B17'!J19)/TOTAL!E17</f>
        <v>0.26835184422613095</v>
      </c>
      <c r="G17" s="27">
        <f>'Diesel Reading '!H20</f>
        <v>499.80000000004657</v>
      </c>
      <c r="H17" s="28">
        <f>'Diesel Reading '!I20/'Diesel Reading '!H20</f>
        <v>2.84</v>
      </c>
      <c r="I17" s="28">
        <v>161.78</v>
      </c>
      <c r="J17" s="28">
        <v>6.76</v>
      </c>
      <c r="K17" s="27">
        <f>'Water Reading'!L19</f>
        <v>96</v>
      </c>
      <c r="L17" s="29">
        <f>'Water Reading'!I19/'Water Reading'!H19</f>
        <v>1.3499999999999999</v>
      </c>
      <c r="M17" s="27">
        <v>53</v>
      </c>
      <c r="N17" s="27"/>
    </row>
    <row r="18" spans="1:14" ht="15" x14ac:dyDescent="0.25">
      <c r="A18" s="24" t="s">
        <v>11</v>
      </c>
      <c r="B18" s="25">
        <f t="shared" si="0"/>
        <v>17</v>
      </c>
      <c r="C18" s="26">
        <v>2</v>
      </c>
      <c r="D18" s="25">
        <v>2023</v>
      </c>
      <c r="E18" s="27">
        <f>'B16'!L20+'B16 ext'!L20+'B17'!L20</f>
        <v>21664</v>
      </c>
      <c r="F18" s="29">
        <f>('B16'!J20+'B16 ext'!J20+'B17'!J20)/TOTAL!E18</f>
        <v>0.24840398818316101</v>
      </c>
      <c r="G18" s="27">
        <f>'Diesel Reading '!H21</f>
        <v>543.80000000004657</v>
      </c>
      <c r="H18" s="28">
        <f>'Diesel Reading '!I21/'Diesel Reading '!H21</f>
        <v>2.84</v>
      </c>
      <c r="I18" s="28">
        <v>161.78</v>
      </c>
      <c r="J18" s="28">
        <v>6.76</v>
      </c>
      <c r="K18" s="27">
        <f>'Water Reading'!L20</f>
        <v>75</v>
      </c>
      <c r="L18" s="29">
        <f>'Water Reading'!I20/'Water Reading'!H20</f>
        <v>1.35</v>
      </c>
      <c r="M18" s="27">
        <v>73</v>
      </c>
      <c r="N18" s="27"/>
    </row>
    <row r="19" spans="1:14" ht="15" x14ac:dyDescent="0.25">
      <c r="A19" s="24" t="s">
        <v>11</v>
      </c>
      <c r="B19" s="25">
        <f t="shared" si="0"/>
        <v>18</v>
      </c>
      <c r="C19" s="26">
        <v>2</v>
      </c>
      <c r="D19" s="25">
        <v>2023</v>
      </c>
      <c r="E19" s="27">
        <f>'B16'!L21+'B16 ext'!L21+'B17'!L21</f>
        <v>21187</v>
      </c>
      <c r="F19" s="29">
        <f>('B16'!J21+'B16 ext'!J21+'B17'!J21)/TOTAL!E19</f>
        <v>0.24686812668145555</v>
      </c>
      <c r="G19" s="27">
        <f>'Diesel Reading '!H22</f>
        <v>445</v>
      </c>
      <c r="H19" s="28">
        <f>'Diesel Reading '!I22/'Diesel Reading '!H22</f>
        <v>2.84</v>
      </c>
      <c r="I19" s="28">
        <v>161.78</v>
      </c>
      <c r="J19" s="28">
        <v>6.76</v>
      </c>
      <c r="K19" s="27">
        <f>'Water Reading'!L21</f>
        <v>0</v>
      </c>
      <c r="L19" s="29">
        <v>1.35</v>
      </c>
      <c r="M19" s="27">
        <v>74</v>
      </c>
      <c r="N19" s="27"/>
    </row>
    <row r="20" spans="1:14" ht="15" x14ac:dyDescent="0.25">
      <c r="A20" s="24" t="s">
        <v>11</v>
      </c>
      <c r="B20" s="25">
        <f t="shared" si="0"/>
        <v>19</v>
      </c>
      <c r="C20" s="26">
        <v>2</v>
      </c>
      <c r="D20" s="25">
        <v>2023</v>
      </c>
      <c r="E20" s="27">
        <f>'B16'!L22+'B16 ext'!L22+'B17'!L22</f>
        <v>19272</v>
      </c>
      <c r="F20" s="29">
        <f>('B16'!J22+'B16 ext'!J22+'B17'!J22)/TOTAL!E20</f>
        <v>0.25627008094645076</v>
      </c>
      <c r="G20" s="27">
        <f>'Diesel Reading '!H23</f>
        <v>487.5</v>
      </c>
      <c r="H20" s="28">
        <f>'Diesel Reading '!I23/'Diesel Reading '!H23</f>
        <v>2.84</v>
      </c>
      <c r="I20" s="28">
        <v>161.78</v>
      </c>
      <c r="J20" s="28">
        <v>6.76</v>
      </c>
      <c r="K20" s="27">
        <f>'Water Reading'!L22</f>
        <v>27</v>
      </c>
      <c r="L20" s="29">
        <f>'Water Reading'!I22/'Water Reading'!H22</f>
        <v>1.35</v>
      </c>
      <c r="M20" s="27">
        <v>52</v>
      </c>
      <c r="N20" s="27"/>
    </row>
    <row r="21" spans="1:14" ht="15" x14ac:dyDescent="0.25">
      <c r="A21" s="24" t="s">
        <v>11</v>
      </c>
      <c r="B21" s="25">
        <f t="shared" si="0"/>
        <v>20</v>
      </c>
      <c r="C21" s="26">
        <v>2</v>
      </c>
      <c r="D21" s="25">
        <v>2023</v>
      </c>
      <c r="E21" s="27">
        <f>'B16'!L23+'B16 ext'!L23+'B17'!L23</f>
        <v>20686</v>
      </c>
      <c r="F21" s="29">
        <f>('B16'!J23+'B16 ext'!J23+'B17'!J23)/TOTAL!E21</f>
        <v>0.2504973895388185</v>
      </c>
      <c r="G21" s="27">
        <f>'Diesel Reading '!H24</f>
        <v>465.0999999998603</v>
      </c>
      <c r="H21" s="28">
        <f>'Diesel Reading '!I24/'Diesel Reading '!H24</f>
        <v>2.84</v>
      </c>
      <c r="I21" s="28">
        <v>161.78</v>
      </c>
      <c r="J21" s="28">
        <v>6.76</v>
      </c>
      <c r="K21" s="27">
        <f>'Water Reading'!L23</f>
        <v>21</v>
      </c>
      <c r="L21" s="29">
        <f>'Water Reading'!I23/'Water Reading'!H23</f>
        <v>1.35</v>
      </c>
      <c r="M21" s="27">
        <v>51</v>
      </c>
      <c r="N21" s="27"/>
    </row>
    <row r="22" spans="1:14" ht="15" x14ac:dyDescent="0.25">
      <c r="A22" s="24" t="s">
        <v>11</v>
      </c>
      <c r="B22" s="25">
        <f t="shared" si="0"/>
        <v>21</v>
      </c>
      <c r="C22" s="26">
        <v>2</v>
      </c>
      <c r="D22" s="25">
        <v>2023</v>
      </c>
      <c r="E22" s="27">
        <f>'B16'!L24+'B16 ext'!L24+'B17'!L24</f>
        <v>20538</v>
      </c>
      <c r="F22" s="29">
        <f>('B16'!J24+'B16 ext'!J24+'B17'!J24)/TOTAL!E22</f>
        <v>0.25066491381828804</v>
      </c>
      <c r="G22" s="27">
        <f>'Diesel Reading '!H25</f>
        <v>450.5</v>
      </c>
      <c r="H22" s="28">
        <f>'Diesel Reading '!I25/'Diesel Reading '!H25</f>
        <v>2.84</v>
      </c>
      <c r="I22" s="28">
        <v>161.78</v>
      </c>
      <c r="J22" s="28">
        <v>6.76</v>
      </c>
      <c r="K22" s="27">
        <f>'Water Reading'!L24</f>
        <v>21</v>
      </c>
      <c r="L22" s="29">
        <f>'Water Reading'!I24/'Water Reading'!H24</f>
        <v>1.35</v>
      </c>
      <c r="M22" s="27">
        <v>56</v>
      </c>
      <c r="N22" s="27"/>
    </row>
    <row r="23" spans="1:14" ht="15" x14ac:dyDescent="0.25">
      <c r="A23" s="24" t="s">
        <v>11</v>
      </c>
      <c r="B23" s="25">
        <f t="shared" si="0"/>
        <v>22</v>
      </c>
      <c r="C23" s="26">
        <v>2</v>
      </c>
      <c r="D23" s="25">
        <v>2023</v>
      </c>
      <c r="E23" s="27">
        <f>'B16'!L25+'B16 ext'!L25+'B17'!L25</f>
        <v>24036</v>
      </c>
      <c r="F23" s="29">
        <f>('B16'!J25+'B16 ext'!J25+'B17'!J25)/TOTAL!E23</f>
        <v>0.23717348976535194</v>
      </c>
      <c r="G23" s="27">
        <f>'Diesel Reading '!H26</f>
        <v>407.4000000001397</v>
      </c>
      <c r="H23" s="28">
        <f>'Diesel Reading '!I26/'Diesel Reading '!H26</f>
        <v>2.84</v>
      </c>
      <c r="I23" s="28">
        <v>161.78</v>
      </c>
      <c r="J23" s="28">
        <v>6.76</v>
      </c>
      <c r="K23" s="27">
        <f>'Water Reading'!L25</f>
        <v>26</v>
      </c>
      <c r="L23" s="29">
        <f>'Water Reading'!I25/'Water Reading'!H25</f>
        <v>1.35</v>
      </c>
      <c r="M23" s="27">
        <v>53</v>
      </c>
      <c r="N23" s="27"/>
    </row>
    <row r="24" spans="1:14" ht="15" x14ac:dyDescent="0.25">
      <c r="A24" s="24" t="s">
        <v>11</v>
      </c>
      <c r="B24" s="25">
        <f t="shared" si="0"/>
        <v>23</v>
      </c>
      <c r="C24" s="26">
        <v>2</v>
      </c>
      <c r="D24" s="25">
        <v>2023</v>
      </c>
      <c r="E24" s="27">
        <f>'B16'!L26+'B16 ext'!L26+'B17'!L26</f>
        <v>16293</v>
      </c>
      <c r="F24" s="29">
        <f>('B16'!J26+'B16 ext'!J26+'B17'!J26)/TOTAL!E24</f>
        <v>0.27104989872951574</v>
      </c>
      <c r="G24" s="27">
        <f>'Diesel Reading '!H27</f>
        <v>405.69999999995343</v>
      </c>
      <c r="H24" s="28">
        <f>'Diesel Reading '!I27/'Diesel Reading '!H27</f>
        <v>2.84</v>
      </c>
      <c r="I24" s="28">
        <v>161.78</v>
      </c>
      <c r="J24" s="28">
        <v>6.76</v>
      </c>
      <c r="K24" s="27">
        <f>'Water Reading'!L26</f>
        <v>33</v>
      </c>
      <c r="L24" s="29">
        <f>'Water Reading'!I26/'Water Reading'!H26</f>
        <v>1.3499999999999999</v>
      </c>
      <c r="M24" s="27">
        <v>45</v>
      </c>
      <c r="N24" s="27"/>
    </row>
    <row r="25" spans="1:14" ht="15" x14ac:dyDescent="0.25">
      <c r="A25" s="24" t="s">
        <v>11</v>
      </c>
      <c r="B25" s="25">
        <f t="shared" si="0"/>
        <v>24</v>
      </c>
      <c r="C25" s="26">
        <v>2</v>
      </c>
      <c r="D25" s="25">
        <v>2023</v>
      </c>
      <c r="E25" s="27">
        <f>'B16'!L27+'B16 ext'!L27+'B17'!L27</f>
        <v>20695</v>
      </c>
      <c r="F25" s="29">
        <f>('B16'!J27+'B16 ext'!J27+'B17'!J27)/TOTAL!E25</f>
        <v>0.24636226141580089</v>
      </c>
      <c r="G25" s="27">
        <f>'Diesel Reading '!H28</f>
        <v>445.0999999998603</v>
      </c>
      <c r="H25" s="28">
        <f>'Diesel Reading '!I28/'Diesel Reading '!H28</f>
        <v>2.8400000000000003</v>
      </c>
      <c r="I25" s="28">
        <v>161.78</v>
      </c>
      <c r="J25" s="28">
        <v>6.76</v>
      </c>
      <c r="K25" s="27">
        <f>'Water Reading'!L27</f>
        <v>30</v>
      </c>
      <c r="L25" s="29">
        <f>'Water Reading'!I27/'Water Reading'!H27</f>
        <v>1.3500000000000003</v>
      </c>
      <c r="M25" s="27">
        <v>51</v>
      </c>
      <c r="N25" s="27"/>
    </row>
    <row r="26" spans="1:14" ht="15" x14ac:dyDescent="0.25">
      <c r="A26" s="24" t="s">
        <v>11</v>
      </c>
      <c r="B26" s="25">
        <f>B25+1</f>
        <v>25</v>
      </c>
      <c r="C26" s="26">
        <v>2</v>
      </c>
      <c r="D26" s="25">
        <v>2023</v>
      </c>
      <c r="E26" s="27">
        <f>'B16'!L28+'B16 ext'!L28+'B17'!L28</f>
        <v>19017</v>
      </c>
      <c r="F26" s="29">
        <f>('B16'!J28+'B16 ext'!J28+'B17'!J28)/TOTAL!E26</f>
        <v>0.25162454645843191</v>
      </c>
      <c r="G26" s="27">
        <f>'Diesel Reading '!H29</f>
        <v>375.30000000004657</v>
      </c>
      <c r="H26" s="28">
        <f>'Diesel Reading '!I29/'Diesel Reading '!H29</f>
        <v>2.84</v>
      </c>
      <c r="I26" s="28">
        <v>161.78</v>
      </c>
      <c r="J26" s="28">
        <v>6.76</v>
      </c>
      <c r="K26" s="27">
        <f>'Water Reading'!L28</f>
        <v>20</v>
      </c>
      <c r="L26" s="29">
        <f>'Water Reading'!I28/'Water Reading'!H28</f>
        <v>1.35</v>
      </c>
      <c r="M26" s="27">
        <v>53</v>
      </c>
      <c r="N26" s="27"/>
    </row>
    <row r="27" spans="1:14" ht="15" x14ac:dyDescent="0.25">
      <c r="A27" s="24" t="s">
        <v>11</v>
      </c>
      <c r="B27" s="25">
        <f t="shared" si="0"/>
        <v>26</v>
      </c>
      <c r="C27" s="26">
        <v>2</v>
      </c>
      <c r="D27" s="25">
        <v>2023</v>
      </c>
      <c r="E27" s="27">
        <f>'B16'!L29+'B16 ext'!L29+'B17'!L29</f>
        <v>19481</v>
      </c>
      <c r="F27" s="29">
        <f>('B16'!J29+'B16 ext'!J29+'B17'!J29)/TOTAL!E27</f>
        <v>0.25141404445357013</v>
      </c>
      <c r="G27" s="27">
        <f>'Diesel Reading '!H30</f>
        <v>390.80000000004657</v>
      </c>
      <c r="H27" s="28">
        <f>'Diesel Reading '!I30/'Diesel Reading '!H30</f>
        <v>2.84</v>
      </c>
      <c r="I27" s="28">
        <v>161.78</v>
      </c>
      <c r="J27" s="28">
        <v>6.76</v>
      </c>
      <c r="K27" s="27">
        <f>'Water Reading'!L29</f>
        <v>28</v>
      </c>
      <c r="L27" s="29">
        <f>'Water Reading'!I29/'Water Reading'!H29</f>
        <v>1.35</v>
      </c>
      <c r="M27" s="27">
        <v>33</v>
      </c>
      <c r="N27" s="27"/>
    </row>
    <row r="28" spans="1:14" ht="15" x14ac:dyDescent="0.25">
      <c r="A28" s="24" t="s">
        <v>11</v>
      </c>
      <c r="B28" s="25">
        <f t="shared" si="0"/>
        <v>27</v>
      </c>
      <c r="C28" s="26">
        <v>2</v>
      </c>
      <c r="D28" s="25">
        <v>2023</v>
      </c>
      <c r="E28" s="27">
        <f>'B16'!L30+'B16 ext'!L30+'B17'!L30</f>
        <v>19690</v>
      </c>
      <c r="F28" s="29">
        <f>('B16'!J30+'B16 ext'!J30+'B17'!J30)/TOTAL!E28</f>
        <v>0.24789004570848147</v>
      </c>
      <c r="G28" s="27">
        <f>'Diesel Reading '!H31</f>
        <v>390.0999999998603</v>
      </c>
      <c r="H28" s="28">
        <f>'Diesel Reading '!I31/'Diesel Reading '!H31</f>
        <v>2.84</v>
      </c>
      <c r="I28" s="28">
        <v>161.78</v>
      </c>
      <c r="J28" s="28">
        <v>6.76</v>
      </c>
      <c r="K28" s="27">
        <f>'Water Reading'!L30</f>
        <v>24</v>
      </c>
      <c r="L28" s="29">
        <f>'Water Reading'!I30/'Water Reading'!H30</f>
        <v>1.3500000000000003</v>
      </c>
      <c r="M28" s="27">
        <v>39</v>
      </c>
      <c r="N28" s="27"/>
    </row>
    <row r="29" spans="1:14" ht="15" x14ac:dyDescent="0.25">
      <c r="A29" s="24" t="s">
        <v>11</v>
      </c>
      <c r="B29" s="25">
        <f t="shared" si="0"/>
        <v>28</v>
      </c>
      <c r="C29" s="26">
        <v>2</v>
      </c>
      <c r="D29" s="25">
        <v>2023</v>
      </c>
      <c r="E29" s="27">
        <f>'B16'!L31+'B16 ext'!L31+'B17'!L31</f>
        <v>10715</v>
      </c>
      <c r="F29" s="29">
        <v>0.25</v>
      </c>
      <c r="G29" s="27">
        <v>380</v>
      </c>
      <c r="H29" s="28">
        <v>2.84</v>
      </c>
      <c r="I29" s="28">
        <v>161.78</v>
      </c>
      <c r="J29" s="28">
        <v>6.76</v>
      </c>
      <c r="K29" s="27">
        <f>'Water Reading'!L31</f>
        <v>29</v>
      </c>
      <c r="L29" s="29">
        <v>1.35</v>
      </c>
      <c r="M29" s="27">
        <v>42</v>
      </c>
      <c r="N29" s="27"/>
    </row>
    <row r="30" spans="1:14" ht="15" x14ac:dyDescent="0.25">
      <c r="A30" s="24"/>
      <c r="B30" s="25"/>
      <c r="C30" s="26"/>
      <c r="D30" s="25"/>
      <c r="E30" s="27"/>
      <c r="F30" s="29"/>
      <c r="G30" s="27"/>
      <c r="H30" s="28"/>
      <c r="I30" s="28"/>
      <c r="J30" s="28"/>
      <c r="K30" s="27"/>
      <c r="L30" s="29"/>
      <c r="M30" s="27"/>
      <c r="N30" s="27"/>
    </row>
    <row r="31" spans="1:14" ht="15" x14ac:dyDescent="0.25">
      <c r="A31" s="24"/>
      <c r="B31" s="25"/>
      <c r="C31" s="26"/>
      <c r="D31" s="25"/>
      <c r="E31" s="27"/>
      <c r="F31" s="29"/>
      <c r="G31" s="27"/>
      <c r="H31" s="28"/>
      <c r="I31" s="28"/>
      <c r="J31" s="28"/>
      <c r="K31" s="27"/>
      <c r="L31" s="29"/>
      <c r="M31" s="27"/>
      <c r="N31" s="27"/>
    </row>
    <row r="32" spans="1:14" ht="15" x14ac:dyDescent="0.25">
      <c r="A32" s="24"/>
      <c r="B32" s="25"/>
      <c r="C32" s="26"/>
      <c r="D32" s="25"/>
      <c r="E32" s="27"/>
      <c r="F32" s="29"/>
      <c r="G32" s="27"/>
      <c r="H32" s="28"/>
      <c r="I32" s="28"/>
      <c r="J32" s="28"/>
      <c r="K32" s="27"/>
      <c r="L32" s="29"/>
      <c r="M32" s="27"/>
      <c r="N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5"/>
  <sheetViews>
    <sheetView topLeftCell="A10" zoomScaleNormal="100" workbookViewId="0">
      <selection activeCell="E26" sqref="E26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12</v>
      </c>
    </row>
    <row r="2" spans="1:12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34" t="s">
        <v>20</v>
      </c>
      <c r="G3" s="7" t="s">
        <v>22</v>
      </c>
      <c r="H3" s="11"/>
      <c r="I3" s="7" t="s">
        <v>23</v>
      </c>
      <c r="J3" s="15" t="s">
        <v>24</v>
      </c>
    </row>
    <row r="4" spans="1:12" x14ac:dyDescent="0.2">
      <c r="A4" s="5">
        <v>44958</v>
      </c>
      <c r="B4" s="10">
        <v>5441</v>
      </c>
      <c r="C4" s="8">
        <f>IF(B5-B4 &lt; 0,0,B5-B4)</f>
        <v>5639</v>
      </c>
      <c r="D4" s="10">
        <v>2952</v>
      </c>
      <c r="E4" s="8">
        <f>IF(D5-D4 &lt; 0,0,D5-D4)</f>
        <v>3120</v>
      </c>
      <c r="F4" s="10">
        <v>446</v>
      </c>
      <c r="G4" s="37">
        <v>0.59</v>
      </c>
      <c r="H4" s="12" t="s">
        <v>25</v>
      </c>
      <c r="I4" s="8">
        <f>+E4+C4</f>
        <v>8759</v>
      </c>
      <c r="J4" s="16">
        <f>(C4*0.288)+(E4*0.177)</f>
        <v>2176.2719999999999</v>
      </c>
      <c r="L4" s="88">
        <f>C4+E4</f>
        <v>8759</v>
      </c>
    </row>
    <row r="5" spans="1:12" x14ac:dyDescent="0.2">
      <c r="A5" s="5">
        <v>44959</v>
      </c>
      <c r="B5" s="10">
        <v>11080</v>
      </c>
      <c r="C5" s="8">
        <f t="shared" ref="C5:C30" si="0">IF(B6-B5 &lt; 0,0,B6-B5)</f>
        <v>5403</v>
      </c>
      <c r="D5" s="10">
        <v>6072</v>
      </c>
      <c r="E5" s="8">
        <f t="shared" ref="E5:E30" si="1">IF(D6-D5 &lt; 0,0,D6-D5)</f>
        <v>2577</v>
      </c>
      <c r="F5" s="10">
        <v>458</v>
      </c>
      <c r="G5" s="37">
        <v>0.6</v>
      </c>
      <c r="H5" s="12" t="s">
        <v>25</v>
      </c>
      <c r="I5" s="8">
        <f t="shared" ref="I5:I31" si="2">+E5+C5</f>
        <v>7980</v>
      </c>
      <c r="J5" s="16">
        <f t="shared" ref="J5:J31" si="3">(C5*0.288)+(E5*0.177)</f>
        <v>2012.1929999999998</v>
      </c>
      <c r="L5" s="88">
        <f t="shared" ref="L5:L31" si="4">C5+E5</f>
        <v>7980</v>
      </c>
    </row>
    <row r="6" spans="1:12" x14ac:dyDescent="0.2">
      <c r="A6" s="5">
        <v>44960</v>
      </c>
      <c r="B6" s="10">
        <v>16483</v>
      </c>
      <c r="C6" s="8">
        <f t="shared" si="0"/>
        <v>6059</v>
      </c>
      <c r="D6" s="10">
        <v>8649</v>
      </c>
      <c r="E6" s="8">
        <f t="shared" si="1"/>
        <v>3000</v>
      </c>
      <c r="F6" s="10">
        <v>458</v>
      </c>
      <c r="G6" s="37">
        <v>0.72</v>
      </c>
      <c r="H6" s="12" t="s">
        <v>26</v>
      </c>
      <c r="I6" s="8">
        <f t="shared" si="2"/>
        <v>9059</v>
      </c>
      <c r="J6" s="16">
        <f t="shared" si="3"/>
        <v>2275.9920000000002</v>
      </c>
      <c r="L6" s="88">
        <f t="shared" si="4"/>
        <v>9059</v>
      </c>
    </row>
    <row r="7" spans="1:12" x14ac:dyDescent="0.2">
      <c r="A7" s="5">
        <v>44961</v>
      </c>
      <c r="B7" s="10">
        <v>22542</v>
      </c>
      <c r="C7" s="8">
        <f t="shared" si="0"/>
        <v>5782</v>
      </c>
      <c r="D7" s="10">
        <v>11649</v>
      </c>
      <c r="E7" s="8">
        <f t="shared" si="1"/>
        <v>3297</v>
      </c>
      <c r="F7" s="10">
        <v>526</v>
      </c>
      <c r="G7" s="37">
        <v>0.74</v>
      </c>
      <c r="H7" s="12" t="s">
        <v>25</v>
      </c>
      <c r="I7" s="8">
        <f t="shared" si="2"/>
        <v>9079</v>
      </c>
      <c r="J7" s="16">
        <f t="shared" si="3"/>
        <v>2248.7849999999999</v>
      </c>
      <c r="L7" s="88">
        <f t="shared" si="4"/>
        <v>9079</v>
      </c>
    </row>
    <row r="8" spans="1:12" x14ac:dyDescent="0.2">
      <c r="A8" s="5">
        <v>44962</v>
      </c>
      <c r="B8" s="10">
        <v>28324</v>
      </c>
      <c r="C8" s="8">
        <f t="shared" si="0"/>
        <v>5438</v>
      </c>
      <c r="D8" s="10">
        <v>14946</v>
      </c>
      <c r="E8" s="8">
        <f t="shared" si="1"/>
        <v>3401</v>
      </c>
      <c r="F8" s="10">
        <v>526</v>
      </c>
      <c r="G8" s="37">
        <v>0.55000000000000004</v>
      </c>
      <c r="H8" s="12" t="s">
        <v>25</v>
      </c>
      <c r="I8" s="8">
        <f t="shared" si="2"/>
        <v>8839</v>
      </c>
      <c r="J8" s="16">
        <f t="shared" si="3"/>
        <v>2168.1209999999996</v>
      </c>
      <c r="L8" s="88">
        <f t="shared" si="4"/>
        <v>8839</v>
      </c>
    </row>
    <row r="9" spans="1:12" x14ac:dyDescent="0.2">
      <c r="A9" s="5">
        <v>44963</v>
      </c>
      <c r="B9" s="10">
        <v>33762</v>
      </c>
      <c r="C9" s="8">
        <f t="shared" si="0"/>
        <v>5803</v>
      </c>
      <c r="D9" s="10">
        <v>18347</v>
      </c>
      <c r="E9" s="8">
        <f t="shared" si="1"/>
        <v>3100</v>
      </c>
      <c r="F9" s="10">
        <v>526</v>
      </c>
      <c r="G9" s="37">
        <v>0.41</v>
      </c>
      <c r="H9" s="12" t="s">
        <v>25</v>
      </c>
      <c r="I9" s="8">
        <f t="shared" si="2"/>
        <v>8903</v>
      </c>
      <c r="J9" s="16">
        <f t="shared" si="3"/>
        <v>2219.9639999999999</v>
      </c>
      <c r="L9" s="88">
        <f t="shared" si="4"/>
        <v>8903</v>
      </c>
    </row>
    <row r="10" spans="1:12" x14ac:dyDescent="0.2">
      <c r="A10" s="5">
        <v>44964</v>
      </c>
      <c r="B10" s="10">
        <v>39565</v>
      </c>
      <c r="C10" s="8">
        <f t="shared" si="0"/>
        <v>5749</v>
      </c>
      <c r="D10" s="10">
        <v>21447</v>
      </c>
      <c r="E10" s="8">
        <f t="shared" si="1"/>
        <v>5903</v>
      </c>
      <c r="F10" s="10">
        <v>526</v>
      </c>
      <c r="G10" s="38">
        <v>0.38</v>
      </c>
      <c r="H10" s="12" t="s">
        <v>25</v>
      </c>
      <c r="I10" s="8">
        <f t="shared" si="2"/>
        <v>11652</v>
      </c>
      <c r="J10" s="16">
        <f t="shared" si="3"/>
        <v>2700.5429999999997</v>
      </c>
      <c r="L10" s="88">
        <f t="shared" si="4"/>
        <v>11652</v>
      </c>
    </row>
    <row r="11" spans="1:12" x14ac:dyDescent="0.2">
      <c r="A11" s="5">
        <v>44965</v>
      </c>
      <c r="B11" s="10">
        <v>45314</v>
      </c>
      <c r="C11" s="8">
        <f t="shared" si="0"/>
        <v>5673</v>
      </c>
      <c r="D11" s="10">
        <v>27350</v>
      </c>
      <c r="E11" s="8">
        <f t="shared" si="1"/>
        <v>2909</v>
      </c>
      <c r="F11" s="10">
        <v>526</v>
      </c>
      <c r="G11" s="37">
        <v>0.4</v>
      </c>
      <c r="H11" s="12" t="s">
        <v>25</v>
      </c>
      <c r="I11" s="8">
        <f t="shared" si="2"/>
        <v>8582</v>
      </c>
      <c r="J11" s="16">
        <f t="shared" si="3"/>
        <v>2148.7169999999996</v>
      </c>
      <c r="L11" s="88">
        <f t="shared" si="4"/>
        <v>8582</v>
      </c>
    </row>
    <row r="12" spans="1:12" x14ac:dyDescent="0.2">
      <c r="A12" s="5">
        <v>44966</v>
      </c>
      <c r="B12" s="10">
        <v>50987</v>
      </c>
      <c r="C12" s="8">
        <f t="shared" si="0"/>
        <v>5565</v>
      </c>
      <c r="D12" s="10">
        <v>30259</v>
      </c>
      <c r="E12" s="8">
        <f t="shared" si="1"/>
        <v>504</v>
      </c>
      <c r="F12" s="10">
        <v>526</v>
      </c>
      <c r="G12" s="37">
        <v>0.41</v>
      </c>
      <c r="H12" s="12" t="s">
        <v>25</v>
      </c>
      <c r="I12" s="8">
        <f t="shared" si="2"/>
        <v>6069</v>
      </c>
      <c r="J12" s="16">
        <f t="shared" si="3"/>
        <v>1691.9279999999999</v>
      </c>
      <c r="L12" s="88">
        <f t="shared" si="4"/>
        <v>6069</v>
      </c>
    </row>
    <row r="13" spans="1:12" x14ac:dyDescent="0.2">
      <c r="A13" s="5">
        <v>44967</v>
      </c>
      <c r="B13" s="10">
        <v>56552</v>
      </c>
      <c r="C13" s="8">
        <f t="shared" si="0"/>
        <v>5824</v>
      </c>
      <c r="D13" s="10">
        <v>30763</v>
      </c>
      <c r="E13" s="8">
        <f t="shared" si="1"/>
        <v>3141</v>
      </c>
      <c r="F13" s="10">
        <v>526</v>
      </c>
      <c r="G13" s="37">
        <v>0.5</v>
      </c>
      <c r="H13" s="12" t="s">
        <v>25</v>
      </c>
      <c r="I13" s="8">
        <f t="shared" si="2"/>
        <v>8965</v>
      </c>
      <c r="J13" s="16">
        <f t="shared" si="3"/>
        <v>2233.2689999999998</v>
      </c>
      <c r="L13" s="88">
        <f t="shared" si="4"/>
        <v>8965</v>
      </c>
    </row>
    <row r="14" spans="1:12" x14ac:dyDescent="0.2">
      <c r="A14" s="5">
        <v>44968</v>
      </c>
      <c r="B14" s="10">
        <v>62376</v>
      </c>
      <c r="C14" s="8">
        <f t="shared" si="0"/>
        <v>3792</v>
      </c>
      <c r="D14" s="10">
        <v>33904</v>
      </c>
      <c r="E14" s="8">
        <f t="shared" si="1"/>
        <v>3097</v>
      </c>
      <c r="F14" s="10">
        <v>526</v>
      </c>
      <c r="G14" s="37">
        <v>0.5</v>
      </c>
      <c r="H14" s="12" t="s">
        <v>25</v>
      </c>
      <c r="I14" s="8">
        <f t="shared" si="2"/>
        <v>6889</v>
      </c>
      <c r="J14" s="16">
        <f t="shared" si="3"/>
        <v>1640.2649999999999</v>
      </c>
      <c r="L14" s="88">
        <f t="shared" si="4"/>
        <v>6889</v>
      </c>
    </row>
    <row r="15" spans="1:12" x14ac:dyDescent="0.2">
      <c r="A15" s="5">
        <v>44969</v>
      </c>
      <c r="B15" s="10">
        <v>66168</v>
      </c>
      <c r="C15" s="8">
        <f t="shared" si="0"/>
        <v>7942</v>
      </c>
      <c r="D15" s="10">
        <v>37001</v>
      </c>
      <c r="E15" s="8">
        <f t="shared" si="1"/>
        <v>5930</v>
      </c>
      <c r="F15" s="10">
        <v>526</v>
      </c>
      <c r="G15" s="37">
        <v>0.51</v>
      </c>
      <c r="H15" s="12" t="s">
        <v>25</v>
      </c>
      <c r="I15" s="8">
        <f t="shared" si="2"/>
        <v>13872</v>
      </c>
      <c r="J15" s="16">
        <f t="shared" si="3"/>
        <v>3336.9059999999999</v>
      </c>
      <c r="L15" s="88">
        <f t="shared" si="4"/>
        <v>13872</v>
      </c>
    </row>
    <row r="16" spans="1:12" x14ac:dyDescent="0.2">
      <c r="A16" s="5">
        <v>44970</v>
      </c>
      <c r="B16" s="10">
        <v>74110</v>
      </c>
      <c r="C16" s="8">
        <f t="shared" si="0"/>
        <v>5844</v>
      </c>
      <c r="D16" s="10">
        <v>42931</v>
      </c>
      <c r="E16" s="8">
        <f t="shared" si="1"/>
        <v>3179</v>
      </c>
      <c r="F16" s="10">
        <v>521</v>
      </c>
      <c r="G16" s="37">
        <v>0.52</v>
      </c>
      <c r="H16" s="12" t="s">
        <v>25</v>
      </c>
      <c r="I16" s="8">
        <f t="shared" si="2"/>
        <v>9023</v>
      </c>
      <c r="J16" s="16">
        <f t="shared" si="3"/>
        <v>2245.7550000000001</v>
      </c>
      <c r="L16" s="88">
        <f t="shared" si="4"/>
        <v>9023</v>
      </c>
    </row>
    <row r="17" spans="1:16" x14ac:dyDescent="0.2">
      <c r="A17" s="5">
        <v>44971</v>
      </c>
      <c r="B17" s="10">
        <v>79954</v>
      </c>
      <c r="C17" s="8">
        <f t="shared" si="0"/>
        <v>5902</v>
      </c>
      <c r="D17" s="10">
        <v>46110</v>
      </c>
      <c r="E17" s="8">
        <f t="shared" si="1"/>
        <v>3360</v>
      </c>
      <c r="F17" s="10">
        <v>521</v>
      </c>
      <c r="G17" s="37">
        <v>0.5</v>
      </c>
      <c r="H17" s="12" t="s">
        <v>25</v>
      </c>
      <c r="I17" s="8">
        <f t="shared" si="2"/>
        <v>9262</v>
      </c>
      <c r="J17" s="16">
        <f t="shared" si="3"/>
        <v>2294.4959999999996</v>
      </c>
      <c r="L17" s="88">
        <f t="shared" si="4"/>
        <v>9262</v>
      </c>
    </row>
    <row r="18" spans="1:16" x14ac:dyDescent="0.2">
      <c r="A18" s="5">
        <v>44972</v>
      </c>
      <c r="B18" s="10">
        <v>85856</v>
      </c>
      <c r="C18" s="8">
        <f t="shared" si="0"/>
        <v>5927</v>
      </c>
      <c r="D18" s="10">
        <v>49470</v>
      </c>
      <c r="E18" s="8">
        <f t="shared" si="1"/>
        <v>3208</v>
      </c>
      <c r="F18" s="10">
        <v>521</v>
      </c>
      <c r="G18" s="37">
        <v>0.53</v>
      </c>
      <c r="H18" s="12" t="s">
        <v>25</v>
      </c>
      <c r="I18" s="8">
        <f t="shared" si="2"/>
        <v>9135</v>
      </c>
      <c r="J18" s="16">
        <f t="shared" si="3"/>
        <v>2274.7919999999999</v>
      </c>
      <c r="L18" s="88">
        <f t="shared" si="4"/>
        <v>9135</v>
      </c>
    </row>
    <row r="19" spans="1:16" x14ac:dyDescent="0.2">
      <c r="A19" s="5">
        <v>44973</v>
      </c>
      <c r="B19" s="10">
        <v>91783</v>
      </c>
      <c r="C19" s="8">
        <f t="shared" si="0"/>
        <v>6326</v>
      </c>
      <c r="D19" s="10">
        <v>52678</v>
      </c>
      <c r="E19" s="8">
        <f t="shared" si="1"/>
        <v>622</v>
      </c>
      <c r="F19" s="10">
        <v>521</v>
      </c>
      <c r="G19" s="37">
        <v>0.57999999999999996</v>
      </c>
      <c r="H19" s="12" t="s">
        <v>25</v>
      </c>
      <c r="I19" s="8">
        <f t="shared" si="2"/>
        <v>6948</v>
      </c>
      <c r="J19" s="16">
        <f t="shared" si="3"/>
        <v>1931.982</v>
      </c>
      <c r="L19" s="88">
        <f t="shared" si="4"/>
        <v>6948</v>
      </c>
    </row>
    <row r="20" spans="1:16" x14ac:dyDescent="0.2">
      <c r="A20" s="5">
        <v>44974</v>
      </c>
      <c r="B20" s="10">
        <v>98109</v>
      </c>
      <c r="C20" s="8">
        <f t="shared" si="0"/>
        <v>6289</v>
      </c>
      <c r="D20" s="10">
        <v>53300</v>
      </c>
      <c r="E20" s="8">
        <f t="shared" si="1"/>
        <v>3865</v>
      </c>
      <c r="F20" s="12">
        <v>528</v>
      </c>
      <c r="G20" s="37">
        <v>0.79</v>
      </c>
      <c r="H20" s="12" t="s">
        <v>25</v>
      </c>
      <c r="I20" s="8">
        <f t="shared" si="2"/>
        <v>10154</v>
      </c>
      <c r="J20" s="16">
        <f t="shared" si="3"/>
        <v>2495.337</v>
      </c>
      <c r="L20" s="88">
        <f t="shared" si="4"/>
        <v>10154</v>
      </c>
    </row>
    <row r="21" spans="1:16" x14ac:dyDescent="0.2">
      <c r="A21" s="5">
        <v>44975</v>
      </c>
      <c r="B21" s="10">
        <v>104398</v>
      </c>
      <c r="C21" s="8">
        <f t="shared" si="0"/>
        <v>5761</v>
      </c>
      <c r="D21" s="10">
        <v>57165</v>
      </c>
      <c r="E21" s="8">
        <f t="shared" si="1"/>
        <v>3855</v>
      </c>
      <c r="F21" s="12">
        <v>556</v>
      </c>
      <c r="G21" s="37">
        <v>0.8</v>
      </c>
      <c r="H21" s="12" t="s">
        <v>25</v>
      </c>
      <c r="I21" s="8">
        <f t="shared" si="2"/>
        <v>9616</v>
      </c>
      <c r="J21" s="16">
        <f t="shared" si="3"/>
        <v>2341.5029999999997</v>
      </c>
      <c r="L21" s="88">
        <f t="shared" si="4"/>
        <v>9616</v>
      </c>
    </row>
    <row r="22" spans="1:16" x14ac:dyDescent="0.2">
      <c r="A22" s="5">
        <v>44976</v>
      </c>
      <c r="B22" s="10">
        <v>110159</v>
      </c>
      <c r="C22" s="8">
        <f t="shared" si="0"/>
        <v>6300</v>
      </c>
      <c r="D22" s="10">
        <v>61020</v>
      </c>
      <c r="E22" s="8">
        <f t="shared" si="1"/>
        <v>2671</v>
      </c>
      <c r="F22" s="12">
        <v>564</v>
      </c>
      <c r="G22" s="37">
        <v>0.56999999999999995</v>
      </c>
      <c r="H22" s="12" t="s">
        <v>25</v>
      </c>
      <c r="I22" s="8">
        <f t="shared" si="2"/>
        <v>8971</v>
      </c>
      <c r="J22" s="16">
        <f t="shared" si="3"/>
        <v>2287.1669999999999</v>
      </c>
      <c r="L22" s="88">
        <f t="shared" si="4"/>
        <v>8971</v>
      </c>
    </row>
    <row r="23" spans="1:16" x14ac:dyDescent="0.2">
      <c r="A23" s="5">
        <v>44977</v>
      </c>
      <c r="B23" s="10">
        <v>116459</v>
      </c>
      <c r="C23" s="8">
        <f t="shared" si="0"/>
        <v>6031</v>
      </c>
      <c r="D23" s="10">
        <v>63691</v>
      </c>
      <c r="E23" s="8">
        <f t="shared" si="1"/>
        <v>3343</v>
      </c>
      <c r="F23" s="10">
        <v>564</v>
      </c>
      <c r="G23" s="37">
        <v>0.55000000000000004</v>
      </c>
      <c r="H23" s="12" t="s">
        <v>25</v>
      </c>
      <c r="I23" s="8">
        <f t="shared" si="2"/>
        <v>9374</v>
      </c>
      <c r="J23" s="16">
        <f t="shared" si="3"/>
        <v>2328.6390000000001</v>
      </c>
      <c r="L23" s="88">
        <f t="shared" si="4"/>
        <v>9374</v>
      </c>
    </row>
    <row r="24" spans="1:16" x14ac:dyDescent="0.2">
      <c r="A24" s="5">
        <v>44978</v>
      </c>
      <c r="B24" s="10">
        <v>122490</v>
      </c>
      <c r="C24" s="8">
        <f t="shared" si="0"/>
        <v>5922</v>
      </c>
      <c r="D24" s="10">
        <v>67034</v>
      </c>
      <c r="E24" s="8">
        <f t="shared" si="1"/>
        <v>3054</v>
      </c>
      <c r="F24" s="10">
        <v>564</v>
      </c>
      <c r="G24" s="37">
        <v>0.61</v>
      </c>
      <c r="H24" s="12" t="s">
        <v>25</v>
      </c>
      <c r="I24" s="8">
        <f t="shared" si="2"/>
        <v>8976</v>
      </c>
      <c r="J24" s="16">
        <f t="shared" si="3"/>
        <v>2246.0940000000001</v>
      </c>
      <c r="L24" s="88">
        <f t="shared" si="4"/>
        <v>8976</v>
      </c>
    </row>
    <row r="25" spans="1:16" x14ac:dyDescent="0.2">
      <c r="A25" s="5">
        <v>44979</v>
      </c>
      <c r="B25" s="10">
        <v>128412</v>
      </c>
      <c r="C25" s="8">
        <f t="shared" si="0"/>
        <v>5788</v>
      </c>
      <c r="D25" s="10">
        <v>70088</v>
      </c>
      <c r="E25" s="8">
        <f t="shared" si="1"/>
        <v>5861</v>
      </c>
      <c r="F25" s="10">
        <v>564</v>
      </c>
      <c r="G25" s="37">
        <v>0.57999999999999996</v>
      </c>
      <c r="H25" s="12" t="s">
        <v>25</v>
      </c>
      <c r="I25" s="8">
        <f t="shared" si="2"/>
        <v>11649</v>
      </c>
      <c r="J25" s="16">
        <f t="shared" si="3"/>
        <v>2704.3409999999999</v>
      </c>
      <c r="L25" s="88">
        <f t="shared" si="4"/>
        <v>11649</v>
      </c>
      <c r="P25">
        <v>2188</v>
      </c>
    </row>
    <row r="26" spans="1:16" x14ac:dyDescent="0.2">
      <c r="A26" s="5">
        <v>44980</v>
      </c>
      <c r="B26" s="10">
        <v>134200</v>
      </c>
      <c r="C26" s="8">
        <f>IF(B27-B26 &lt; 0,0,B27-B26)</f>
        <v>6184</v>
      </c>
      <c r="D26" s="10">
        <v>75949</v>
      </c>
      <c r="E26" s="8">
        <f t="shared" si="1"/>
        <v>236</v>
      </c>
      <c r="F26" s="10">
        <v>570</v>
      </c>
      <c r="G26" s="38">
        <v>0.49</v>
      </c>
      <c r="H26" s="12" t="s">
        <v>25</v>
      </c>
      <c r="I26" s="8">
        <f t="shared" si="2"/>
        <v>6420</v>
      </c>
      <c r="J26" s="16">
        <f t="shared" si="3"/>
        <v>1822.7639999999999</v>
      </c>
      <c r="L26" s="88">
        <f t="shared" si="4"/>
        <v>6420</v>
      </c>
    </row>
    <row r="27" spans="1:16" x14ac:dyDescent="0.2">
      <c r="A27" s="5">
        <v>44981</v>
      </c>
      <c r="B27" s="10">
        <v>140384</v>
      </c>
      <c r="C27" s="8">
        <f>IF(B28-B27 &lt; 0,0,B28-B27)</f>
        <v>5667</v>
      </c>
      <c r="D27" s="10">
        <v>76185</v>
      </c>
      <c r="E27" s="8">
        <f t="shared" si="1"/>
        <v>3530</v>
      </c>
      <c r="F27" s="10">
        <v>564</v>
      </c>
      <c r="G27" s="37">
        <v>0.55000000000000004</v>
      </c>
      <c r="H27" s="12" t="s">
        <v>25</v>
      </c>
      <c r="I27" s="8">
        <f t="shared" si="2"/>
        <v>9197</v>
      </c>
      <c r="J27" s="16">
        <f t="shared" si="3"/>
        <v>2256.9059999999999</v>
      </c>
      <c r="L27" s="88">
        <f t="shared" si="4"/>
        <v>9197</v>
      </c>
    </row>
    <row r="28" spans="1:16" x14ac:dyDescent="0.2">
      <c r="A28" s="5">
        <v>44982</v>
      </c>
      <c r="B28" s="10">
        <v>146051</v>
      </c>
      <c r="C28" s="8">
        <f t="shared" si="0"/>
        <v>5619</v>
      </c>
      <c r="D28" s="10">
        <v>79715</v>
      </c>
      <c r="E28" s="8">
        <f t="shared" si="1"/>
        <v>3047</v>
      </c>
      <c r="F28" s="10">
        <v>564</v>
      </c>
      <c r="G28" s="37">
        <v>0.57999999999999996</v>
      </c>
      <c r="H28" s="12" t="s">
        <v>25</v>
      </c>
      <c r="I28" s="8">
        <f t="shared" si="2"/>
        <v>8666</v>
      </c>
      <c r="J28" s="16">
        <f t="shared" si="3"/>
        <v>2157.5909999999999</v>
      </c>
      <c r="L28" s="88">
        <f t="shared" si="4"/>
        <v>8666</v>
      </c>
    </row>
    <row r="29" spans="1:16" x14ac:dyDescent="0.2">
      <c r="A29" s="5">
        <v>44983</v>
      </c>
      <c r="B29" s="10">
        <v>151670</v>
      </c>
      <c r="C29" s="8">
        <f t="shared" si="0"/>
        <v>5757</v>
      </c>
      <c r="D29" s="10">
        <v>82762</v>
      </c>
      <c r="E29" s="8">
        <f t="shared" si="1"/>
        <v>2904</v>
      </c>
      <c r="F29" s="10">
        <v>564</v>
      </c>
      <c r="G29" s="37">
        <v>0.36</v>
      </c>
      <c r="H29" s="12" t="s">
        <v>25</v>
      </c>
      <c r="I29" s="8">
        <f t="shared" si="2"/>
        <v>8661</v>
      </c>
      <c r="J29" s="16">
        <f t="shared" si="3"/>
        <v>2172.0239999999999</v>
      </c>
      <c r="L29" s="88">
        <f t="shared" si="4"/>
        <v>8661</v>
      </c>
    </row>
    <row r="30" spans="1:16" x14ac:dyDescent="0.2">
      <c r="A30" s="5">
        <v>44984</v>
      </c>
      <c r="B30" s="10">
        <v>157427</v>
      </c>
      <c r="C30" s="8">
        <f t="shared" si="0"/>
        <v>5509</v>
      </c>
      <c r="D30" s="10">
        <v>85666</v>
      </c>
      <c r="E30" s="8">
        <f t="shared" si="1"/>
        <v>3299</v>
      </c>
      <c r="F30" s="10">
        <v>564</v>
      </c>
      <c r="G30" s="37">
        <v>0.42</v>
      </c>
      <c r="H30" s="12" t="s">
        <v>25</v>
      </c>
      <c r="I30" s="8">
        <f t="shared" si="2"/>
        <v>8808</v>
      </c>
      <c r="J30" s="16">
        <f t="shared" si="3"/>
        <v>2170.5149999999999</v>
      </c>
      <c r="L30" s="88">
        <f t="shared" si="4"/>
        <v>8808</v>
      </c>
    </row>
    <row r="31" spans="1:16" x14ac:dyDescent="0.2">
      <c r="A31" s="5">
        <v>44985</v>
      </c>
      <c r="B31" s="10">
        <v>162936</v>
      </c>
      <c r="C31" s="8">
        <v>3133</v>
      </c>
      <c r="D31" s="10">
        <v>88965</v>
      </c>
      <c r="E31" s="136">
        <v>2188</v>
      </c>
      <c r="F31" s="10">
        <v>564</v>
      </c>
      <c r="G31" s="37">
        <v>0.46</v>
      </c>
      <c r="H31" s="12" t="s">
        <v>25</v>
      </c>
      <c r="I31" s="8">
        <f t="shared" si="2"/>
        <v>5321</v>
      </c>
      <c r="J31" s="16">
        <f t="shared" si="3"/>
        <v>1289.58</v>
      </c>
      <c r="L31" s="88">
        <f t="shared" si="4"/>
        <v>5321</v>
      </c>
    </row>
    <row r="32" spans="1:16" x14ac:dyDescent="0.2">
      <c r="A32" s="137" t="s">
        <v>27</v>
      </c>
      <c r="B32" s="138"/>
      <c r="C32" s="9">
        <f>SUM(C4:C31)</f>
        <v>160628</v>
      </c>
      <c r="D32" s="9"/>
      <c r="E32" s="9">
        <f>SUM(E4:E31)</f>
        <v>88201</v>
      </c>
      <c r="F32" s="9">
        <f>MAX(F4:F31)</f>
        <v>570</v>
      </c>
      <c r="G32" s="11"/>
      <c r="H32" s="11"/>
      <c r="I32" s="8">
        <f>+E32+C32</f>
        <v>248829</v>
      </c>
      <c r="J32" s="16">
        <f>(C32*0.288)+(E32*0.177)</f>
        <v>61872.440999999992</v>
      </c>
    </row>
    <row r="33" spans="1:7" x14ac:dyDescent="0.2">
      <c r="A33" s="17">
        <f>COUNT(A4:A31)</f>
        <v>28</v>
      </c>
      <c r="C33" s="1">
        <f>COUNTIF(C4:C31,"&gt;0")</f>
        <v>28</v>
      </c>
      <c r="G33" s="1"/>
    </row>
    <row r="35" spans="1:7" ht="15.75" x14ac:dyDescent="0.25">
      <c r="A35" s="13" t="s">
        <v>28</v>
      </c>
    </row>
  </sheetData>
  <mergeCells count="1">
    <mergeCell ref="A32:B32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0"/>
  <sheetViews>
    <sheetView topLeftCell="A4" zoomScaleNormal="100" workbookViewId="0">
      <selection activeCell="N30" sqref="N30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12</v>
      </c>
    </row>
    <row r="2" spans="1:12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34" t="s">
        <v>20</v>
      </c>
      <c r="G3" s="7" t="s">
        <v>22</v>
      </c>
      <c r="H3" s="11"/>
      <c r="I3" s="7" t="s">
        <v>23</v>
      </c>
      <c r="J3" s="15" t="s">
        <v>24</v>
      </c>
    </row>
    <row r="4" spans="1:12" x14ac:dyDescent="0.2">
      <c r="A4" s="5">
        <v>44958</v>
      </c>
      <c r="B4" s="10">
        <v>2500</v>
      </c>
      <c r="C4" s="8">
        <f>IF(B5-B4 &lt; 0,0,B5-B4)</f>
        <v>2355</v>
      </c>
      <c r="D4" s="10">
        <v>817</v>
      </c>
      <c r="E4" s="8">
        <f t="shared" ref="E4:E33" si="0">IF(D5-D4 &lt; 0,0,D5-D4)</f>
        <v>887</v>
      </c>
      <c r="F4" s="10">
        <v>228</v>
      </c>
      <c r="G4" s="37">
        <v>0.59</v>
      </c>
      <c r="H4" s="12" t="s">
        <v>25</v>
      </c>
      <c r="I4" s="8">
        <f>+E4+C4</f>
        <v>3242</v>
      </c>
      <c r="J4" s="16">
        <f>(C4*0.288)+(E4*0.177)</f>
        <v>835.23899999999992</v>
      </c>
      <c r="L4" s="88">
        <f>C4+E4</f>
        <v>3242</v>
      </c>
    </row>
    <row r="5" spans="1:12" x14ac:dyDescent="0.2">
      <c r="A5" s="5">
        <v>44959</v>
      </c>
      <c r="B5" s="10">
        <v>4855</v>
      </c>
      <c r="C5" s="8">
        <f t="shared" ref="C5:C31" si="1">IF(B6-B5 &lt; 0,0,B6-B5)</f>
        <v>2390</v>
      </c>
      <c r="D5" s="10">
        <v>1704</v>
      </c>
      <c r="E5" s="8">
        <f t="shared" si="0"/>
        <v>623</v>
      </c>
      <c r="F5" s="10">
        <v>228</v>
      </c>
      <c r="G5" s="37">
        <v>0.6</v>
      </c>
      <c r="H5" s="12" t="s">
        <v>25</v>
      </c>
      <c r="I5" s="8">
        <f t="shared" ref="I5:I35" si="2">+E5+C5</f>
        <v>3013</v>
      </c>
      <c r="J5" s="16">
        <f t="shared" ref="J5:J35" si="3">(C5*0.288)+(E5*0.177)</f>
        <v>798.59099999999989</v>
      </c>
      <c r="L5" s="88">
        <f t="shared" ref="L5:L34" si="4">C5+E5</f>
        <v>3013</v>
      </c>
    </row>
    <row r="6" spans="1:12" x14ac:dyDescent="0.2">
      <c r="A6" s="5">
        <v>44960</v>
      </c>
      <c r="B6" s="10">
        <v>7245</v>
      </c>
      <c r="C6" s="8">
        <f t="shared" si="1"/>
        <v>2521</v>
      </c>
      <c r="D6" s="10">
        <v>2327</v>
      </c>
      <c r="E6" s="8">
        <f t="shared" si="0"/>
        <v>769</v>
      </c>
      <c r="F6" s="10">
        <v>228</v>
      </c>
      <c r="G6" s="37">
        <v>0.72</v>
      </c>
      <c r="H6" s="12" t="s">
        <v>26</v>
      </c>
      <c r="I6" s="8">
        <f t="shared" si="2"/>
        <v>3290</v>
      </c>
      <c r="J6" s="16">
        <f t="shared" si="3"/>
        <v>862.16100000000006</v>
      </c>
      <c r="L6" s="88">
        <f t="shared" si="4"/>
        <v>3290</v>
      </c>
    </row>
    <row r="7" spans="1:12" x14ac:dyDescent="0.2">
      <c r="A7" s="5">
        <v>44961</v>
      </c>
      <c r="B7" s="10">
        <v>9766</v>
      </c>
      <c r="C7" s="8">
        <f t="shared" si="1"/>
        <v>2390</v>
      </c>
      <c r="D7" s="10">
        <v>3096</v>
      </c>
      <c r="E7" s="8">
        <f t="shared" si="0"/>
        <v>762</v>
      </c>
      <c r="F7" s="10">
        <v>228</v>
      </c>
      <c r="G7" s="37">
        <v>0.74</v>
      </c>
      <c r="H7" s="12" t="s">
        <v>25</v>
      </c>
      <c r="I7" s="8">
        <f t="shared" si="2"/>
        <v>3152</v>
      </c>
      <c r="J7" s="16">
        <f t="shared" si="3"/>
        <v>823.19399999999996</v>
      </c>
      <c r="L7" s="88">
        <f t="shared" si="4"/>
        <v>3152</v>
      </c>
    </row>
    <row r="8" spans="1:12" x14ac:dyDescent="0.2">
      <c r="A8" s="5">
        <v>44962</v>
      </c>
      <c r="B8" s="10">
        <v>12156</v>
      </c>
      <c r="C8" s="8">
        <f t="shared" si="1"/>
        <v>2294</v>
      </c>
      <c r="D8" s="10">
        <v>3858</v>
      </c>
      <c r="E8" s="8">
        <f t="shared" si="0"/>
        <v>889</v>
      </c>
      <c r="F8" s="10">
        <v>228</v>
      </c>
      <c r="G8" s="37">
        <v>0.55000000000000004</v>
      </c>
      <c r="H8" s="12" t="s">
        <v>25</v>
      </c>
      <c r="I8" s="8">
        <f t="shared" si="2"/>
        <v>3183</v>
      </c>
      <c r="J8" s="16">
        <f t="shared" si="3"/>
        <v>818.02499999999986</v>
      </c>
      <c r="L8" s="88">
        <f t="shared" si="4"/>
        <v>3183</v>
      </c>
    </row>
    <row r="9" spans="1:12" x14ac:dyDescent="0.2">
      <c r="A9" s="5">
        <v>44963</v>
      </c>
      <c r="B9" s="10">
        <v>14450</v>
      </c>
      <c r="C9" s="8">
        <f t="shared" si="1"/>
        <v>2334</v>
      </c>
      <c r="D9" s="10">
        <v>4747</v>
      </c>
      <c r="E9" s="8">
        <f t="shared" si="0"/>
        <v>780</v>
      </c>
      <c r="F9" s="10">
        <v>228</v>
      </c>
      <c r="G9" s="37">
        <v>0.41</v>
      </c>
      <c r="H9" s="12" t="s">
        <v>25</v>
      </c>
      <c r="I9" s="8">
        <f t="shared" si="2"/>
        <v>3114</v>
      </c>
      <c r="J9" s="16">
        <f t="shared" si="3"/>
        <v>810.25199999999995</v>
      </c>
      <c r="L9" s="88">
        <f t="shared" si="4"/>
        <v>3114</v>
      </c>
    </row>
    <row r="10" spans="1:12" x14ac:dyDescent="0.2">
      <c r="A10" s="5">
        <v>44964</v>
      </c>
      <c r="B10" s="10">
        <v>16784</v>
      </c>
      <c r="C10" s="8">
        <f t="shared" si="1"/>
        <v>2373</v>
      </c>
      <c r="D10" s="10">
        <v>5527</v>
      </c>
      <c r="E10" s="8">
        <f t="shared" si="0"/>
        <v>1489</v>
      </c>
      <c r="F10" s="10">
        <v>228</v>
      </c>
      <c r="G10" s="38">
        <v>0.38</v>
      </c>
      <c r="H10" s="12" t="s">
        <v>25</v>
      </c>
      <c r="I10" s="8">
        <f t="shared" si="2"/>
        <v>3862</v>
      </c>
      <c r="J10" s="16">
        <f t="shared" si="3"/>
        <v>946.97699999999998</v>
      </c>
      <c r="L10" s="88">
        <f t="shared" si="4"/>
        <v>3862</v>
      </c>
    </row>
    <row r="11" spans="1:12" x14ac:dyDescent="0.2">
      <c r="A11" s="5">
        <v>44965</v>
      </c>
      <c r="B11" s="10">
        <v>19157</v>
      </c>
      <c r="C11" s="8">
        <f t="shared" si="1"/>
        <v>2354</v>
      </c>
      <c r="D11" s="10">
        <v>7016</v>
      </c>
      <c r="E11" s="8">
        <f t="shared" si="0"/>
        <v>785</v>
      </c>
      <c r="F11" s="10">
        <v>228</v>
      </c>
      <c r="G11" s="37">
        <v>0.4</v>
      </c>
      <c r="H11" s="12" t="s">
        <v>25</v>
      </c>
      <c r="I11" s="8">
        <f t="shared" si="2"/>
        <v>3139</v>
      </c>
      <c r="J11" s="16">
        <f t="shared" si="3"/>
        <v>816.89699999999993</v>
      </c>
      <c r="L11" s="88">
        <f t="shared" si="4"/>
        <v>3139</v>
      </c>
    </row>
    <row r="12" spans="1:12" x14ac:dyDescent="0.2">
      <c r="A12" s="5">
        <v>44966</v>
      </c>
      <c r="B12" s="10">
        <v>21511</v>
      </c>
      <c r="C12" s="8">
        <f t="shared" si="1"/>
        <v>2409</v>
      </c>
      <c r="D12" s="10">
        <v>7801</v>
      </c>
      <c r="E12" s="8">
        <f t="shared" si="0"/>
        <v>118</v>
      </c>
      <c r="F12" s="10">
        <v>228</v>
      </c>
      <c r="G12" s="37">
        <v>0.41</v>
      </c>
      <c r="H12" s="12" t="s">
        <v>25</v>
      </c>
      <c r="I12" s="8">
        <f t="shared" si="2"/>
        <v>2527</v>
      </c>
      <c r="J12" s="16">
        <f t="shared" si="3"/>
        <v>714.67799999999988</v>
      </c>
      <c r="L12" s="88">
        <f t="shared" si="4"/>
        <v>2527</v>
      </c>
    </row>
    <row r="13" spans="1:12" x14ac:dyDescent="0.2">
      <c r="A13" s="5">
        <v>44967</v>
      </c>
      <c r="B13" s="10">
        <v>23920</v>
      </c>
      <c r="C13" s="8">
        <f t="shared" si="1"/>
        <v>2464</v>
      </c>
      <c r="D13" s="10">
        <v>7919</v>
      </c>
      <c r="E13" s="8">
        <f t="shared" si="0"/>
        <v>870</v>
      </c>
      <c r="F13" s="10">
        <v>228</v>
      </c>
      <c r="G13" s="37">
        <v>0.5</v>
      </c>
      <c r="H13" s="12" t="s">
        <v>25</v>
      </c>
      <c r="I13" s="8">
        <f t="shared" si="2"/>
        <v>3334</v>
      </c>
      <c r="J13" s="16">
        <f t="shared" si="3"/>
        <v>863.62199999999996</v>
      </c>
      <c r="L13" s="88">
        <f t="shared" si="4"/>
        <v>3334</v>
      </c>
    </row>
    <row r="14" spans="1:12" x14ac:dyDescent="0.2">
      <c r="A14" s="5">
        <v>44968</v>
      </c>
      <c r="B14" s="10">
        <v>26384</v>
      </c>
      <c r="C14" s="8">
        <f t="shared" si="1"/>
        <v>2465</v>
      </c>
      <c r="D14" s="10">
        <v>8789</v>
      </c>
      <c r="E14" s="8">
        <f>IF(D15-D14 &lt; 0,0,D15-D14)</f>
        <v>743</v>
      </c>
      <c r="F14" s="10">
        <v>228</v>
      </c>
      <c r="G14" s="37">
        <v>0.5</v>
      </c>
      <c r="H14" s="12" t="s">
        <v>25</v>
      </c>
      <c r="I14" s="8">
        <f t="shared" si="2"/>
        <v>3208</v>
      </c>
      <c r="J14" s="16">
        <f t="shared" si="3"/>
        <v>841.43099999999993</v>
      </c>
      <c r="L14" s="88">
        <f t="shared" si="4"/>
        <v>3208</v>
      </c>
    </row>
    <row r="15" spans="1:12" x14ac:dyDescent="0.2">
      <c r="A15" s="5">
        <v>44969</v>
      </c>
      <c r="B15" s="10">
        <v>28849</v>
      </c>
      <c r="C15" s="8">
        <f t="shared" si="1"/>
        <v>2427</v>
      </c>
      <c r="D15" s="10">
        <v>9532</v>
      </c>
      <c r="E15" s="8">
        <f>IF(D16-D15 &lt; 0,0,D16-D15)</f>
        <v>1499</v>
      </c>
      <c r="F15" s="10">
        <v>228</v>
      </c>
      <c r="G15" s="37">
        <v>0.51</v>
      </c>
      <c r="H15" s="12" t="s">
        <v>25</v>
      </c>
      <c r="I15" s="8">
        <f t="shared" si="2"/>
        <v>3926</v>
      </c>
      <c r="J15" s="16">
        <f t="shared" si="3"/>
        <v>964.29899999999998</v>
      </c>
      <c r="L15" s="88">
        <f t="shared" si="4"/>
        <v>3926</v>
      </c>
    </row>
    <row r="16" spans="1:12" x14ac:dyDescent="0.2">
      <c r="A16" s="5">
        <v>44970</v>
      </c>
      <c r="B16" s="10">
        <v>31276</v>
      </c>
      <c r="C16" s="8">
        <f t="shared" si="1"/>
        <v>2439</v>
      </c>
      <c r="D16" s="10">
        <v>11031</v>
      </c>
      <c r="E16" s="8">
        <f t="shared" si="0"/>
        <v>786</v>
      </c>
      <c r="F16" s="10">
        <v>228</v>
      </c>
      <c r="G16" s="37">
        <v>0.52</v>
      </c>
      <c r="H16" s="12" t="s">
        <v>25</v>
      </c>
      <c r="I16" s="8">
        <f t="shared" si="2"/>
        <v>3225</v>
      </c>
      <c r="J16" s="16">
        <f t="shared" si="3"/>
        <v>841.55399999999986</v>
      </c>
      <c r="L16" s="88">
        <f t="shared" si="4"/>
        <v>3225</v>
      </c>
    </row>
    <row r="17" spans="1:12" x14ac:dyDescent="0.2">
      <c r="A17" s="5">
        <v>44971</v>
      </c>
      <c r="B17" s="10">
        <v>33715</v>
      </c>
      <c r="C17" s="8">
        <f t="shared" si="1"/>
        <v>2515</v>
      </c>
      <c r="D17" s="10">
        <v>11817</v>
      </c>
      <c r="E17" s="8">
        <f t="shared" si="0"/>
        <v>863</v>
      </c>
      <c r="F17" s="10">
        <v>228</v>
      </c>
      <c r="G17" s="37">
        <v>0.5</v>
      </c>
      <c r="H17" s="12" t="s">
        <v>25</v>
      </c>
      <c r="I17" s="8">
        <f t="shared" si="2"/>
        <v>3378</v>
      </c>
      <c r="J17" s="16">
        <f t="shared" si="3"/>
        <v>877.07099999999991</v>
      </c>
      <c r="L17" s="88">
        <f t="shared" si="4"/>
        <v>3378</v>
      </c>
    </row>
    <row r="18" spans="1:12" x14ac:dyDescent="0.2">
      <c r="A18" s="5">
        <v>44972</v>
      </c>
      <c r="B18" s="10">
        <v>36230</v>
      </c>
      <c r="C18" s="8">
        <f t="shared" si="1"/>
        <v>2481</v>
      </c>
      <c r="D18" s="10">
        <v>12680</v>
      </c>
      <c r="E18" s="8">
        <f t="shared" si="0"/>
        <v>888</v>
      </c>
      <c r="F18" s="10">
        <v>228</v>
      </c>
      <c r="G18" s="37">
        <v>0.53</v>
      </c>
      <c r="H18" s="12" t="s">
        <v>25</v>
      </c>
      <c r="I18" s="8">
        <f t="shared" si="2"/>
        <v>3369</v>
      </c>
      <c r="J18" s="16">
        <f t="shared" si="3"/>
        <v>871.70399999999995</v>
      </c>
      <c r="L18" s="88">
        <f t="shared" si="4"/>
        <v>3369</v>
      </c>
    </row>
    <row r="19" spans="1:12" x14ac:dyDescent="0.2">
      <c r="A19" s="5">
        <v>44973</v>
      </c>
      <c r="B19" s="10">
        <v>38711</v>
      </c>
      <c r="C19" s="8">
        <f t="shared" si="1"/>
        <v>2797</v>
      </c>
      <c r="D19" s="10">
        <v>13568</v>
      </c>
      <c r="E19" s="8">
        <f t="shared" si="0"/>
        <v>177</v>
      </c>
      <c r="F19" s="10">
        <v>233</v>
      </c>
      <c r="G19" s="37">
        <v>0.57999999999999996</v>
      </c>
      <c r="H19" s="12" t="s">
        <v>25</v>
      </c>
      <c r="I19" s="8">
        <f t="shared" si="2"/>
        <v>2974</v>
      </c>
      <c r="J19" s="16">
        <f t="shared" si="3"/>
        <v>836.8649999999999</v>
      </c>
      <c r="L19" s="88">
        <f t="shared" si="4"/>
        <v>2974</v>
      </c>
    </row>
    <row r="20" spans="1:12" x14ac:dyDescent="0.2">
      <c r="A20" s="5">
        <v>44974</v>
      </c>
      <c r="B20" s="10">
        <v>41508</v>
      </c>
      <c r="C20" s="8">
        <f t="shared" si="1"/>
        <v>2788</v>
      </c>
      <c r="D20" s="10">
        <v>13745</v>
      </c>
      <c r="E20" s="8">
        <f t="shared" si="0"/>
        <v>1017</v>
      </c>
      <c r="F20" s="10">
        <v>256</v>
      </c>
      <c r="G20" s="37">
        <v>0.79</v>
      </c>
      <c r="H20" s="12" t="s">
        <v>25</v>
      </c>
      <c r="I20" s="8">
        <f t="shared" si="2"/>
        <v>3805</v>
      </c>
      <c r="J20" s="16">
        <f t="shared" si="3"/>
        <v>982.95299999999997</v>
      </c>
      <c r="L20" s="88">
        <f t="shared" si="4"/>
        <v>3805</v>
      </c>
    </row>
    <row r="21" spans="1:12" x14ac:dyDescent="0.2">
      <c r="A21" s="5">
        <v>44975</v>
      </c>
      <c r="B21" s="10">
        <v>44296</v>
      </c>
      <c r="C21" s="8">
        <f t="shared" si="1"/>
        <v>2627</v>
      </c>
      <c r="D21" s="10">
        <v>14762</v>
      </c>
      <c r="E21" s="8">
        <f t="shared" si="0"/>
        <v>1038</v>
      </c>
      <c r="F21" s="10">
        <v>256</v>
      </c>
      <c r="G21" s="37">
        <v>0.8</v>
      </c>
      <c r="H21" s="12" t="s">
        <v>25</v>
      </c>
      <c r="I21" s="8">
        <f t="shared" si="2"/>
        <v>3665</v>
      </c>
      <c r="J21" s="16">
        <f t="shared" si="3"/>
        <v>940.30199999999991</v>
      </c>
      <c r="L21" s="88">
        <f t="shared" si="4"/>
        <v>3665</v>
      </c>
    </row>
    <row r="22" spans="1:12" x14ac:dyDescent="0.2">
      <c r="A22" s="5">
        <v>44976</v>
      </c>
      <c r="B22" s="10">
        <v>46923</v>
      </c>
      <c r="C22" s="8">
        <f t="shared" si="1"/>
        <v>2534</v>
      </c>
      <c r="D22" s="10">
        <v>15800</v>
      </c>
      <c r="E22" s="8">
        <f t="shared" si="0"/>
        <v>731</v>
      </c>
      <c r="F22" s="10">
        <v>256</v>
      </c>
      <c r="G22" s="37">
        <v>0.56999999999999995</v>
      </c>
      <c r="H22" s="12" t="s">
        <v>25</v>
      </c>
      <c r="I22" s="8">
        <f t="shared" si="2"/>
        <v>3265</v>
      </c>
      <c r="J22" s="16">
        <f t="shared" si="3"/>
        <v>859.17899999999986</v>
      </c>
      <c r="L22" s="88">
        <f t="shared" si="4"/>
        <v>3265</v>
      </c>
    </row>
    <row r="23" spans="1:12" x14ac:dyDescent="0.2">
      <c r="A23" s="5">
        <v>44977</v>
      </c>
      <c r="B23" s="10">
        <v>49457</v>
      </c>
      <c r="C23" s="8">
        <f t="shared" si="1"/>
        <v>2667</v>
      </c>
      <c r="D23" s="10">
        <v>16531</v>
      </c>
      <c r="E23" s="8">
        <f t="shared" si="0"/>
        <v>891</v>
      </c>
      <c r="F23" s="10">
        <v>256</v>
      </c>
      <c r="G23" s="37">
        <v>0.55000000000000004</v>
      </c>
      <c r="H23" s="12" t="s">
        <v>25</v>
      </c>
      <c r="I23" s="8">
        <f t="shared" si="2"/>
        <v>3558</v>
      </c>
      <c r="J23" s="16">
        <f t="shared" si="3"/>
        <v>925.80299999999988</v>
      </c>
      <c r="L23" s="88">
        <f t="shared" si="4"/>
        <v>3558</v>
      </c>
    </row>
    <row r="24" spans="1:12" x14ac:dyDescent="0.2">
      <c r="A24" s="5">
        <v>44978</v>
      </c>
      <c r="B24" s="10">
        <v>52124</v>
      </c>
      <c r="C24" s="8">
        <f t="shared" si="1"/>
        <v>2590</v>
      </c>
      <c r="D24" s="10">
        <v>17422</v>
      </c>
      <c r="E24" s="8">
        <f t="shared" si="0"/>
        <v>858</v>
      </c>
      <c r="F24" s="10">
        <v>256</v>
      </c>
      <c r="G24" s="37">
        <v>0.61</v>
      </c>
      <c r="H24" s="12" t="s">
        <v>25</v>
      </c>
      <c r="I24" s="8">
        <f t="shared" si="2"/>
        <v>3448</v>
      </c>
      <c r="J24" s="16">
        <f t="shared" si="3"/>
        <v>897.78599999999994</v>
      </c>
      <c r="L24" s="88">
        <f t="shared" si="4"/>
        <v>3448</v>
      </c>
    </row>
    <row r="25" spans="1:12" x14ac:dyDescent="0.2">
      <c r="A25" s="5">
        <v>44979</v>
      </c>
      <c r="B25" s="10">
        <v>54714</v>
      </c>
      <c r="C25" s="8">
        <f t="shared" si="1"/>
        <v>2503</v>
      </c>
      <c r="D25" s="10">
        <v>18280</v>
      </c>
      <c r="E25" s="8">
        <f t="shared" si="0"/>
        <v>1531</v>
      </c>
      <c r="F25" s="10">
        <v>256</v>
      </c>
      <c r="G25" s="37">
        <v>0.57999999999999996</v>
      </c>
      <c r="H25" s="12" t="s">
        <v>25</v>
      </c>
      <c r="I25" s="8">
        <f t="shared" si="2"/>
        <v>4034</v>
      </c>
      <c r="J25" s="16">
        <f t="shared" si="3"/>
        <v>991.85099999999989</v>
      </c>
      <c r="L25" s="88">
        <f t="shared" si="4"/>
        <v>4034</v>
      </c>
    </row>
    <row r="26" spans="1:12" x14ac:dyDescent="0.2">
      <c r="A26" s="5">
        <v>44980</v>
      </c>
      <c r="B26" s="10">
        <v>57217</v>
      </c>
      <c r="C26" s="8">
        <f t="shared" si="1"/>
        <v>2553</v>
      </c>
      <c r="D26" s="10">
        <v>19811</v>
      </c>
      <c r="E26" s="8">
        <f t="shared" si="0"/>
        <v>106</v>
      </c>
      <c r="F26" s="10">
        <v>257</v>
      </c>
      <c r="G26" s="38">
        <v>0.49</v>
      </c>
      <c r="H26" s="12" t="s">
        <v>25</v>
      </c>
      <c r="I26" s="8">
        <f t="shared" si="2"/>
        <v>2659</v>
      </c>
      <c r="J26" s="16">
        <f t="shared" si="3"/>
        <v>754.02599999999984</v>
      </c>
      <c r="L26" s="88">
        <f t="shared" si="4"/>
        <v>2659</v>
      </c>
    </row>
    <row r="27" spans="1:12" x14ac:dyDescent="0.2">
      <c r="A27" s="5">
        <v>44981</v>
      </c>
      <c r="B27" s="10">
        <v>59770</v>
      </c>
      <c r="C27" s="8">
        <f t="shared" si="1"/>
        <v>2597</v>
      </c>
      <c r="D27" s="10">
        <v>19917</v>
      </c>
      <c r="E27" s="8">
        <f t="shared" si="0"/>
        <v>1013</v>
      </c>
      <c r="F27" s="10">
        <v>256</v>
      </c>
      <c r="G27" s="37">
        <v>0.55000000000000004</v>
      </c>
      <c r="H27" s="12" t="s">
        <v>25</v>
      </c>
      <c r="I27" s="8">
        <f t="shared" si="2"/>
        <v>3610</v>
      </c>
      <c r="J27" s="16">
        <f t="shared" si="3"/>
        <v>927.23699999999985</v>
      </c>
      <c r="L27" s="88">
        <f t="shared" si="4"/>
        <v>3610</v>
      </c>
    </row>
    <row r="28" spans="1:12" x14ac:dyDescent="0.2">
      <c r="A28" s="5">
        <v>44982</v>
      </c>
      <c r="B28" s="10">
        <v>62367</v>
      </c>
      <c r="C28" s="8">
        <f t="shared" si="1"/>
        <v>2368</v>
      </c>
      <c r="D28" s="10">
        <v>20930</v>
      </c>
      <c r="E28" s="8">
        <f t="shared" si="0"/>
        <v>854</v>
      </c>
      <c r="F28" s="10">
        <v>256</v>
      </c>
      <c r="G28" s="37">
        <v>0.57999999999999996</v>
      </c>
      <c r="H28" s="12" t="s">
        <v>25</v>
      </c>
      <c r="I28" s="8">
        <f t="shared" si="2"/>
        <v>3222</v>
      </c>
      <c r="J28" s="16">
        <f t="shared" si="3"/>
        <v>833.14199999999994</v>
      </c>
      <c r="L28" s="88">
        <f t="shared" si="4"/>
        <v>3222</v>
      </c>
    </row>
    <row r="29" spans="1:12" x14ac:dyDescent="0.2">
      <c r="A29" s="5">
        <v>44983</v>
      </c>
      <c r="B29" s="10">
        <v>64735</v>
      </c>
      <c r="C29" s="8">
        <f t="shared" si="1"/>
        <v>2214</v>
      </c>
      <c r="D29" s="10">
        <v>21784</v>
      </c>
      <c r="E29" s="8">
        <f t="shared" si="0"/>
        <v>672</v>
      </c>
      <c r="F29" s="10">
        <v>256</v>
      </c>
      <c r="G29" s="37">
        <v>0.36</v>
      </c>
      <c r="H29" s="12" t="s">
        <v>25</v>
      </c>
      <c r="I29" s="8">
        <f t="shared" si="2"/>
        <v>2886</v>
      </c>
      <c r="J29" s="16">
        <f t="shared" si="3"/>
        <v>756.57599999999991</v>
      </c>
      <c r="L29" s="88">
        <f t="shared" si="4"/>
        <v>2886</v>
      </c>
    </row>
    <row r="30" spans="1:12" x14ac:dyDescent="0.2">
      <c r="A30" s="5">
        <v>44984</v>
      </c>
      <c r="B30" s="10">
        <v>66949</v>
      </c>
      <c r="C30" s="8">
        <f t="shared" si="1"/>
        <v>2247</v>
      </c>
      <c r="D30" s="10">
        <v>22456</v>
      </c>
      <c r="E30" s="8">
        <f t="shared" si="0"/>
        <v>751</v>
      </c>
      <c r="F30" s="10">
        <v>256</v>
      </c>
      <c r="G30" s="37">
        <v>0.42</v>
      </c>
      <c r="H30" s="12" t="s">
        <v>25</v>
      </c>
      <c r="I30" s="8">
        <f t="shared" si="2"/>
        <v>2998</v>
      </c>
      <c r="J30" s="16">
        <f t="shared" si="3"/>
        <v>780.06299999999999</v>
      </c>
      <c r="L30" s="88">
        <f t="shared" si="4"/>
        <v>2998</v>
      </c>
    </row>
    <row r="31" spans="1:12" x14ac:dyDescent="0.2">
      <c r="A31" s="5">
        <v>44985</v>
      </c>
      <c r="B31" s="10">
        <v>69196</v>
      </c>
      <c r="C31" s="8">
        <f t="shared" si="1"/>
        <v>2137</v>
      </c>
      <c r="D31" s="10">
        <v>23207</v>
      </c>
      <c r="E31" s="8">
        <f t="shared" si="0"/>
        <v>0</v>
      </c>
      <c r="F31" s="10">
        <v>256</v>
      </c>
      <c r="G31" s="37">
        <v>0.46</v>
      </c>
      <c r="H31" s="12" t="s">
        <v>25</v>
      </c>
      <c r="I31" s="8">
        <f t="shared" si="2"/>
        <v>2137</v>
      </c>
      <c r="J31" s="16">
        <f t="shared" si="3"/>
        <v>615.4559999999999</v>
      </c>
      <c r="L31" s="88">
        <f t="shared" si="4"/>
        <v>2137</v>
      </c>
    </row>
    <row r="32" spans="1:12" hidden="1" x14ac:dyDescent="0.2">
      <c r="A32" s="5"/>
      <c r="B32" s="10">
        <v>71333</v>
      </c>
      <c r="C32" s="8">
        <f>IF(B33-B32 &lt; 0,0,B33-B32)</f>
        <v>0</v>
      </c>
      <c r="D32" s="10"/>
      <c r="E32" s="8">
        <f t="shared" si="0"/>
        <v>0</v>
      </c>
      <c r="F32" s="10"/>
      <c r="G32" s="37"/>
      <c r="H32" s="12"/>
      <c r="I32" s="8">
        <f t="shared" si="2"/>
        <v>0</v>
      </c>
      <c r="J32" s="16">
        <f t="shared" si="3"/>
        <v>0</v>
      </c>
      <c r="L32" s="88">
        <f t="shared" si="4"/>
        <v>0</v>
      </c>
    </row>
    <row r="33" spans="1:12" hidden="1" x14ac:dyDescent="0.2">
      <c r="A33" s="5"/>
      <c r="B33" s="10"/>
      <c r="C33" s="8">
        <f>IF(B34-B33 &lt; 0,0,B34-B33)</f>
        <v>0</v>
      </c>
      <c r="D33" s="10"/>
      <c r="E33" s="8">
        <f t="shared" si="0"/>
        <v>0</v>
      </c>
      <c r="F33" s="10"/>
      <c r="G33" s="37"/>
      <c r="H33" s="12"/>
      <c r="I33" s="8">
        <f t="shared" si="2"/>
        <v>0</v>
      </c>
      <c r="J33" s="16">
        <f t="shared" si="3"/>
        <v>0</v>
      </c>
      <c r="L33" s="88">
        <f t="shared" si="4"/>
        <v>0</v>
      </c>
    </row>
    <row r="34" spans="1:12" hidden="1" x14ac:dyDescent="0.2">
      <c r="A34" s="5"/>
      <c r="B34" s="10"/>
      <c r="C34" s="8">
        <f>IF(B35-B34 &lt; 0,0,B35-B34)</f>
        <v>0</v>
      </c>
      <c r="D34" s="10"/>
      <c r="E34" s="8">
        <v>0</v>
      </c>
      <c r="F34" s="10"/>
      <c r="G34" s="37"/>
      <c r="H34" s="12"/>
      <c r="I34" s="8">
        <f t="shared" si="2"/>
        <v>0</v>
      </c>
      <c r="J34" s="16">
        <f t="shared" si="3"/>
        <v>0</v>
      </c>
      <c r="L34" s="88">
        <f t="shared" si="4"/>
        <v>0</v>
      </c>
    </row>
    <row r="35" spans="1:12" hidden="1" x14ac:dyDescent="0.2">
      <c r="A35" s="5"/>
      <c r="B35" s="36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ht="13.5" customHeight="1" x14ac:dyDescent="0.2">
      <c r="A36" s="137"/>
      <c r="B36" s="138"/>
      <c r="C36" s="9">
        <f>SUM(C4:C35)</f>
        <v>68833</v>
      </c>
      <c r="D36" s="9"/>
      <c r="E36" s="9">
        <f>SUM(E4:E35)</f>
        <v>22390</v>
      </c>
      <c r="F36" s="9">
        <f>MAX(F4:F34)</f>
        <v>257</v>
      </c>
      <c r="G36" s="11"/>
      <c r="H36" s="11"/>
      <c r="I36" s="8">
        <f>+E36+C36</f>
        <v>91223</v>
      </c>
      <c r="J36" s="16">
        <f>(C36*0.288)+(E36*0.177)</f>
        <v>23786.933999999997</v>
      </c>
    </row>
    <row r="37" spans="1:12" x14ac:dyDescent="0.2">
      <c r="A37" s="4">
        <f>COUNT(A4:A34)</f>
        <v>28</v>
      </c>
      <c r="G37" s="1"/>
      <c r="H37" t="s">
        <v>29</v>
      </c>
    </row>
    <row r="38" spans="1:12" x14ac:dyDescent="0.2">
      <c r="H38" t="s">
        <v>30</v>
      </c>
    </row>
    <row r="39" spans="1:12" ht="15.75" x14ac:dyDescent="0.25">
      <c r="A39" s="13" t="s">
        <v>28</v>
      </c>
      <c r="H39" t="s">
        <v>31</v>
      </c>
    </row>
    <row r="40" spans="1:12" x14ac:dyDescent="0.2">
      <c r="H40" t="s">
        <v>32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topLeftCell="A10" zoomScaleNormal="100" workbookViewId="0">
      <selection activeCell="D40" sqref="D40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39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12</v>
      </c>
    </row>
    <row r="2" spans="1:12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2" x14ac:dyDescent="0.2">
      <c r="A3" s="3"/>
      <c r="B3" s="7" t="s">
        <v>20</v>
      </c>
      <c r="C3" s="7" t="s">
        <v>20</v>
      </c>
      <c r="D3" s="7"/>
      <c r="E3" s="7" t="s">
        <v>21</v>
      </c>
      <c r="F3" s="34" t="s">
        <v>20</v>
      </c>
      <c r="G3" s="7" t="s">
        <v>22</v>
      </c>
      <c r="H3" s="40"/>
      <c r="I3" s="7" t="s">
        <v>23</v>
      </c>
      <c r="J3" s="15" t="s">
        <v>24</v>
      </c>
    </row>
    <row r="4" spans="1:12" x14ac:dyDescent="0.2">
      <c r="A4" s="5">
        <v>44958</v>
      </c>
      <c r="B4" s="10">
        <v>4178</v>
      </c>
      <c r="C4" s="8">
        <f>IF(B5-B4 &lt; 0,0,B5-B4)</f>
        <v>4009</v>
      </c>
      <c r="D4" s="10">
        <v>2404</v>
      </c>
      <c r="E4" s="8">
        <f>IF(D5-D4 &lt; 0,0,D5-D4)</f>
        <v>2486</v>
      </c>
      <c r="F4" s="10">
        <v>344</v>
      </c>
      <c r="G4" s="37">
        <v>0.59</v>
      </c>
      <c r="H4" s="12" t="s">
        <v>25</v>
      </c>
      <c r="I4" s="8">
        <f>+E4+C4</f>
        <v>6495</v>
      </c>
      <c r="J4" s="16">
        <f>(C4*0.288)+(E4*0.177)</f>
        <v>1594.6139999999998</v>
      </c>
      <c r="L4" s="88">
        <f>C4+E4</f>
        <v>6495</v>
      </c>
    </row>
    <row r="5" spans="1:12" x14ac:dyDescent="0.2">
      <c r="A5" s="5">
        <v>44959</v>
      </c>
      <c r="B5" s="10">
        <v>8187</v>
      </c>
      <c r="C5" s="8">
        <f t="shared" ref="C5:C34" si="0">IF(B6-B5 &lt; 0,0,B6-B5)</f>
        <v>3979</v>
      </c>
      <c r="D5" s="10">
        <v>4890</v>
      </c>
      <c r="E5" s="8">
        <f t="shared" ref="E5:E34" si="1">IF(D6-D5 &lt; 0,0,D6-D5)</f>
        <v>2009</v>
      </c>
      <c r="F5" s="10">
        <v>344</v>
      </c>
      <c r="G5" s="37">
        <v>0.6</v>
      </c>
      <c r="H5" s="12" t="s">
        <v>25</v>
      </c>
      <c r="I5" s="8">
        <f>+E5+C5</f>
        <v>5988</v>
      </c>
      <c r="J5" s="16">
        <f t="shared" ref="J5:J35" si="2">(C5*0.288)+(E5*0.177)</f>
        <v>1501.5450000000001</v>
      </c>
      <c r="L5" s="88">
        <f t="shared" ref="L5:L34" si="3">C5+E5</f>
        <v>5988</v>
      </c>
    </row>
    <row r="6" spans="1:12" s="45" customFormat="1" ht="11.25" customHeight="1" x14ac:dyDescent="0.2">
      <c r="A6" s="5">
        <v>44960</v>
      </c>
      <c r="B6" s="42">
        <v>12166</v>
      </c>
      <c r="C6" s="43">
        <f t="shared" si="0"/>
        <v>4638</v>
      </c>
      <c r="D6" s="42">
        <v>6899</v>
      </c>
      <c r="E6" s="43">
        <f t="shared" si="1"/>
        <v>2385</v>
      </c>
      <c r="F6" s="42">
        <v>344</v>
      </c>
      <c r="G6" s="37">
        <v>0.72</v>
      </c>
      <c r="H6" s="12" t="s">
        <v>26</v>
      </c>
      <c r="I6" s="43">
        <f>+E6+C6</f>
        <v>7023</v>
      </c>
      <c r="J6" s="44">
        <f t="shared" si="2"/>
        <v>1757.8889999999999</v>
      </c>
      <c r="L6" s="88">
        <f t="shared" si="3"/>
        <v>7023</v>
      </c>
    </row>
    <row r="7" spans="1:12" x14ac:dyDescent="0.2">
      <c r="A7" s="5">
        <v>44961</v>
      </c>
      <c r="B7" s="10">
        <v>16804</v>
      </c>
      <c r="C7" s="8">
        <f t="shared" si="0"/>
        <v>4667</v>
      </c>
      <c r="D7" s="10">
        <v>9284</v>
      </c>
      <c r="E7" s="8">
        <f t="shared" si="1"/>
        <v>2715</v>
      </c>
      <c r="F7" s="12">
        <v>383</v>
      </c>
      <c r="G7" s="37">
        <v>0.74</v>
      </c>
      <c r="H7" s="12" t="s">
        <v>25</v>
      </c>
      <c r="I7" s="8">
        <f t="shared" ref="I7:I35" si="4">+E7+C7</f>
        <v>7382</v>
      </c>
      <c r="J7" s="16">
        <f t="shared" si="2"/>
        <v>1824.6509999999998</v>
      </c>
      <c r="L7" s="88">
        <f t="shared" si="3"/>
        <v>7382</v>
      </c>
    </row>
    <row r="8" spans="1:12" x14ac:dyDescent="0.2">
      <c r="A8" s="5">
        <v>44962</v>
      </c>
      <c r="B8" s="10">
        <v>21471</v>
      </c>
      <c r="C8" s="8">
        <f t="shared" si="0"/>
        <v>4680</v>
      </c>
      <c r="D8" s="10">
        <v>11999</v>
      </c>
      <c r="E8" s="8">
        <f t="shared" si="1"/>
        <v>2997</v>
      </c>
      <c r="F8" s="12">
        <v>383</v>
      </c>
      <c r="G8" s="37">
        <v>0.55000000000000004</v>
      </c>
      <c r="H8" s="12" t="s">
        <v>25</v>
      </c>
      <c r="I8" s="8">
        <f t="shared" si="4"/>
        <v>7677</v>
      </c>
      <c r="J8" s="16">
        <f t="shared" si="2"/>
        <v>1878.3089999999997</v>
      </c>
      <c r="L8" s="88">
        <f t="shared" si="3"/>
        <v>7677</v>
      </c>
    </row>
    <row r="9" spans="1:12" x14ac:dyDescent="0.2">
      <c r="A9" s="5">
        <v>44963</v>
      </c>
      <c r="B9" s="10">
        <v>26151</v>
      </c>
      <c r="C9" s="8">
        <f t="shared" si="0"/>
        <v>4599</v>
      </c>
      <c r="D9" s="10">
        <v>14996</v>
      </c>
      <c r="E9" s="8">
        <f t="shared" si="1"/>
        <v>2635</v>
      </c>
      <c r="F9" s="10">
        <v>383</v>
      </c>
      <c r="G9" s="37">
        <v>0.41</v>
      </c>
      <c r="H9" s="12" t="s">
        <v>25</v>
      </c>
      <c r="I9" s="8">
        <f t="shared" si="4"/>
        <v>7234</v>
      </c>
      <c r="J9" s="16">
        <f t="shared" si="2"/>
        <v>1790.9069999999999</v>
      </c>
      <c r="L9" s="88">
        <f t="shared" si="3"/>
        <v>7234</v>
      </c>
    </row>
    <row r="10" spans="1:12" x14ac:dyDescent="0.2">
      <c r="A10" s="5">
        <v>44964</v>
      </c>
      <c r="B10" s="10">
        <v>30750</v>
      </c>
      <c r="C10" s="8">
        <f t="shared" si="0"/>
        <v>4419</v>
      </c>
      <c r="D10" s="10">
        <v>17631</v>
      </c>
      <c r="E10" s="8">
        <f t="shared" si="1"/>
        <v>3507</v>
      </c>
      <c r="F10" s="10">
        <v>404</v>
      </c>
      <c r="G10" s="38">
        <v>0.38</v>
      </c>
      <c r="H10" s="12" t="s">
        <v>25</v>
      </c>
      <c r="I10" s="8">
        <f t="shared" si="4"/>
        <v>7926</v>
      </c>
      <c r="J10" s="16">
        <f t="shared" si="2"/>
        <v>1893.4109999999996</v>
      </c>
      <c r="L10" s="88">
        <f t="shared" si="3"/>
        <v>7926</v>
      </c>
    </row>
    <row r="11" spans="1:12" x14ac:dyDescent="0.2">
      <c r="A11" s="5">
        <v>44965</v>
      </c>
      <c r="B11" s="10">
        <v>35169</v>
      </c>
      <c r="C11" s="8">
        <f t="shared" si="0"/>
        <v>4429</v>
      </c>
      <c r="D11" s="10">
        <v>21138</v>
      </c>
      <c r="E11" s="8">
        <f t="shared" si="1"/>
        <v>2321</v>
      </c>
      <c r="F11" s="10">
        <v>404</v>
      </c>
      <c r="G11" s="37">
        <v>0.4</v>
      </c>
      <c r="H11" s="12" t="s">
        <v>25</v>
      </c>
      <c r="I11" s="8">
        <f t="shared" si="4"/>
        <v>6750</v>
      </c>
      <c r="J11" s="16">
        <f t="shared" si="2"/>
        <v>1686.3689999999999</v>
      </c>
      <c r="L11" s="88">
        <f t="shared" si="3"/>
        <v>6750</v>
      </c>
    </row>
    <row r="12" spans="1:12" x14ac:dyDescent="0.2">
      <c r="A12" s="5">
        <v>44966</v>
      </c>
      <c r="B12" s="10">
        <v>39598</v>
      </c>
      <c r="C12" s="8">
        <f t="shared" si="0"/>
        <v>5158</v>
      </c>
      <c r="D12" s="10">
        <v>23459</v>
      </c>
      <c r="E12" s="8">
        <f t="shared" si="1"/>
        <v>2298</v>
      </c>
      <c r="F12" s="10">
        <v>404</v>
      </c>
      <c r="G12" s="37">
        <v>0.41</v>
      </c>
      <c r="H12" s="12" t="s">
        <v>25</v>
      </c>
      <c r="I12" s="8">
        <f t="shared" si="4"/>
        <v>7456</v>
      </c>
      <c r="J12" s="16">
        <f t="shared" si="2"/>
        <v>1892.25</v>
      </c>
      <c r="L12" s="88">
        <f t="shared" si="3"/>
        <v>7456</v>
      </c>
    </row>
    <row r="13" spans="1:12" x14ac:dyDescent="0.2">
      <c r="A13" s="5">
        <v>44967</v>
      </c>
      <c r="B13" s="10">
        <v>44756</v>
      </c>
      <c r="C13" s="8">
        <f t="shared" si="0"/>
        <v>5299</v>
      </c>
      <c r="D13" s="10">
        <v>25757</v>
      </c>
      <c r="E13" s="8">
        <f t="shared" si="1"/>
        <v>3350</v>
      </c>
      <c r="F13" s="10">
        <v>444</v>
      </c>
      <c r="G13" s="37">
        <v>0.5</v>
      </c>
      <c r="H13" s="12" t="s">
        <v>25</v>
      </c>
      <c r="I13" s="8">
        <f t="shared" si="4"/>
        <v>8649</v>
      </c>
      <c r="J13" s="16">
        <f t="shared" si="2"/>
        <v>2119.0619999999999</v>
      </c>
      <c r="L13" s="88">
        <f t="shared" si="3"/>
        <v>8649</v>
      </c>
    </row>
    <row r="14" spans="1:12" x14ac:dyDescent="0.2">
      <c r="A14" s="5">
        <v>44968</v>
      </c>
      <c r="B14" s="10">
        <v>50055</v>
      </c>
      <c r="C14" s="8">
        <f t="shared" si="0"/>
        <v>4948</v>
      </c>
      <c r="D14" s="10">
        <v>29107</v>
      </c>
      <c r="E14" s="8">
        <f t="shared" si="1"/>
        <v>3036</v>
      </c>
      <c r="F14" s="10">
        <v>444</v>
      </c>
      <c r="G14" s="37">
        <v>0.5</v>
      </c>
      <c r="H14" s="12" t="s">
        <v>25</v>
      </c>
      <c r="I14" s="8">
        <f t="shared" si="4"/>
        <v>7984</v>
      </c>
      <c r="J14" s="16">
        <f t="shared" si="2"/>
        <v>1962.3959999999997</v>
      </c>
      <c r="L14" s="88">
        <f t="shared" si="3"/>
        <v>7984</v>
      </c>
    </row>
    <row r="15" spans="1:12" x14ac:dyDescent="0.2">
      <c r="A15" s="5">
        <v>44969</v>
      </c>
      <c r="B15" s="10">
        <v>55003</v>
      </c>
      <c r="C15" s="8">
        <f t="shared" si="0"/>
        <v>5000</v>
      </c>
      <c r="D15" s="10">
        <v>32143</v>
      </c>
      <c r="E15" s="8">
        <f t="shared" si="1"/>
        <v>3099</v>
      </c>
      <c r="F15" s="10">
        <v>444</v>
      </c>
      <c r="G15" s="37">
        <v>0.51</v>
      </c>
      <c r="H15" s="12" t="s">
        <v>25</v>
      </c>
      <c r="I15" s="8">
        <f t="shared" si="4"/>
        <v>8099</v>
      </c>
      <c r="J15" s="16">
        <f t="shared" si="2"/>
        <v>1988.5230000000001</v>
      </c>
      <c r="L15" s="88">
        <f t="shared" si="3"/>
        <v>8099</v>
      </c>
    </row>
    <row r="16" spans="1:12" x14ac:dyDescent="0.2">
      <c r="A16" s="5">
        <v>44970</v>
      </c>
      <c r="B16" s="10">
        <v>60003</v>
      </c>
      <c r="C16" s="8">
        <f t="shared" si="0"/>
        <v>5138</v>
      </c>
      <c r="D16" s="10">
        <v>35242</v>
      </c>
      <c r="E16" s="8">
        <f t="shared" si="1"/>
        <v>2853</v>
      </c>
      <c r="F16" s="10">
        <v>444</v>
      </c>
      <c r="G16" s="37">
        <v>0.52</v>
      </c>
      <c r="H16" s="12" t="s">
        <v>25</v>
      </c>
      <c r="I16" s="8">
        <f t="shared" si="4"/>
        <v>7991</v>
      </c>
      <c r="J16" s="16">
        <f t="shared" si="2"/>
        <v>1984.7249999999999</v>
      </c>
      <c r="L16" s="88">
        <f t="shared" si="3"/>
        <v>7991</v>
      </c>
    </row>
    <row r="17" spans="1:12" x14ac:dyDescent="0.2">
      <c r="A17" s="5">
        <v>44971</v>
      </c>
      <c r="B17" s="10">
        <v>65141</v>
      </c>
      <c r="C17" s="8">
        <f t="shared" si="0"/>
        <v>4968</v>
      </c>
      <c r="D17" s="10">
        <v>38095</v>
      </c>
      <c r="E17" s="8">
        <f t="shared" si="1"/>
        <v>3188</v>
      </c>
      <c r="F17" s="10">
        <v>444</v>
      </c>
      <c r="G17" s="37">
        <v>0.5</v>
      </c>
      <c r="H17" s="12" t="s">
        <v>25</v>
      </c>
      <c r="I17" s="8">
        <f t="shared" si="4"/>
        <v>8156</v>
      </c>
      <c r="J17" s="16">
        <f t="shared" si="2"/>
        <v>1995.06</v>
      </c>
      <c r="L17" s="88">
        <f t="shared" si="3"/>
        <v>8156</v>
      </c>
    </row>
    <row r="18" spans="1:12" x14ac:dyDescent="0.2">
      <c r="A18" s="5">
        <v>44972</v>
      </c>
      <c r="B18" s="10">
        <v>70109</v>
      </c>
      <c r="C18" s="8">
        <f t="shared" si="0"/>
        <v>4389</v>
      </c>
      <c r="D18" s="10">
        <v>41283</v>
      </c>
      <c r="E18" s="8">
        <f t="shared" si="1"/>
        <v>2594</v>
      </c>
      <c r="F18" s="10">
        <v>444</v>
      </c>
      <c r="G18" s="37">
        <v>0.53</v>
      </c>
      <c r="H18" s="12" t="s">
        <v>25</v>
      </c>
      <c r="I18" s="8">
        <f t="shared" si="4"/>
        <v>6983</v>
      </c>
      <c r="J18" s="16">
        <f t="shared" si="2"/>
        <v>1723.1699999999998</v>
      </c>
      <c r="L18" s="88">
        <f t="shared" si="3"/>
        <v>6983</v>
      </c>
    </row>
    <row r="19" spans="1:12" x14ac:dyDescent="0.2">
      <c r="A19" s="5">
        <v>44973</v>
      </c>
      <c r="B19" s="10">
        <v>74498</v>
      </c>
      <c r="C19" s="8">
        <f t="shared" si="0"/>
        <v>4867</v>
      </c>
      <c r="D19" s="10">
        <v>43877</v>
      </c>
      <c r="E19" s="8">
        <f t="shared" si="1"/>
        <v>2210</v>
      </c>
      <c r="F19" s="10">
        <v>444</v>
      </c>
      <c r="G19" s="37">
        <v>0.57999999999999996</v>
      </c>
      <c r="H19" s="12" t="s">
        <v>25</v>
      </c>
      <c r="I19" s="8">
        <f t="shared" si="4"/>
        <v>7077</v>
      </c>
      <c r="J19" s="16">
        <f t="shared" si="2"/>
        <v>1792.866</v>
      </c>
      <c r="L19" s="88">
        <f t="shared" si="3"/>
        <v>7077</v>
      </c>
    </row>
    <row r="20" spans="1:12" x14ac:dyDescent="0.2">
      <c r="A20" s="5">
        <v>44974</v>
      </c>
      <c r="B20" s="10">
        <v>79365</v>
      </c>
      <c r="C20" s="8">
        <f t="shared" si="0"/>
        <v>4859</v>
      </c>
      <c r="D20" s="10">
        <v>46087</v>
      </c>
      <c r="E20" s="8">
        <f t="shared" si="1"/>
        <v>2846</v>
      </c>
      <c r="F20" s="10">
        <v>444</v>
      </c>
      <c r="G20" s="37">
        <v>0.79</v>
      </c>
      <c r="H20" s="12" t="s">
        <v>25</v>
      </c>
      <c r="I20" s="8">
        <f t="shared" si="4"/>
        <v>7705</v>
      </c>
      <c r="J20" s="16">
        <f t="shared" si="2"/>
        <v>1903.1339999999998</v>
      </c>
      <c r="L20" s="88">
        <f t="shared" si="3"/>
        <v>7705</v>
      </c>
    </row>
    <row r="21" spans="1:12" x14ac:dyDescent="0.2">
      <c r="A21" s="5">
        <v>44975</v>
      </c>
      <c r="B21" s="10">
        <v>84224</v>
      </c>
      <c r="C21" s="8">
        <f t="shared" si="0"/>
        <v>4948</v>
      </c>
      <c r="D21" s="10">
        <v>48933</v>
      </c>
      <c r="E21" s="8">
        <f t="shared" si="1"/>
        <v>2958</v>
      </c>
      <c r="F21" s="10">
        <v>444</v>
      </c>
      <c r="G21" s="37">
        <v>0.8</v>
      </c>
      <c r="H21" s="12" t="s">
        <v>25</v>
      </c>
      <c r="I21" s="8">
        <f t="shared" si="4"/>
        <v>7906</v>
      </c>
      <c r="J21" s="16">
        <f t="shared" si="2"/>
        <v>1948.5899999999997</v>
      </c>
      <c r="L21" s="88">
        <f t="shared" si="3"/>
        <v>7906</v>
      </c>
    </row>
    <row r="22" spans="1:12" x14ac:dyDescent="0.2">
      <c r="A22" s="5">
        <v>44976</v>
      </c>
      <c r="B22" s="10">
        <v>89172</v>
      </c>
      <c r="C22" s="8">
        <f t="shared" si="0"/>
        <v>4929</v>
      </c>
      <c r="D22" s="10">
        <v>51891</v>
      </c>
      <c r="E22" s="8">
        <f t="shared" si="1"/>
        <v>2107</v>
      </c>
      <c r="F22" s="10">
        <v>444</v>
      </c>
      <c r="G22" s="37">
        <v>0.56999999999999995</v>
      </c>
      <c r="H22" s="12" t="s">
        <v>25</v>
      </c>
      <c r="I22" s="8">
        <f t="shared" si="4"/>
        <v>7036</v>
      </c>
      <c r="J22" s="16">
        <f t="shared" si="2"/>
        <v>1792.491</v>
      </c>
      <c r="L22" s="88">
        <f t="shared" si="3"/>
        <v>7036</v>
      </c>
    </row>
    <row r="23" spans="1:12" x14ac:dyDescent="0.2">
      <c r="A23" s="5">
        <v>44977</v>
      </c>
      <c r="B23" s="10">
        <v>94101</v>
      </c>
      <c r="C23" s="8">
        <f t="shared" si="0"/>
        <v>4999</v>
      </c>
      <c r="D23" s="10">
        <v>53998</v>
      </c>
      <c r="E23" s="8">
        <f t="shared" si="1"/>
        <v>2755</v>
      </c>
      <c r="F23" s="10">
        <v>444</v>
      </c>
      <c r="G23" s="37">
        <v>0.55000000000000004</v>
      </c>
      <c r="H23" s="12" t="s">
        <v>25</v>
      </c>
      <c r="I23" s="8">
        <f t="shared" si="4"/>
        <v>7754</v>
      </c>
      <c r="J23" s="16">
        <f t="shared" si="2"/>
        <v>1927.347</v>
      </c>
      <c r="L23" s="88">
        <f t="shared" si="3"/>
        <v>7754</v>
      </c>
    </row>
    <row r="24" spans="1:12" x14ac:dyDescent="0.2">
      <c r="A24" s="5">
        <v>44978</v>
      </c>
      <c r="B24" s="10">
        <v>99100</v>
      </c>
      <c r="C24" s="8">
        <f>IF(B25-B24 &lt; 0,0,B25-B24)</f>
        <v>5118</v>
      </c>
      <c r="D24" s="10">
        <v>56753</v>
      </c>
      <c r="E24" s="8">
        <f t="shared" si="1"/>
        <v>2996</v>
      </c>
      <c r="F24" s="10">
        <v>444</v>
      </c>
      <c r="G24" s="37">
        <v>0.61</v>
      </c>
      <c r="H24" s="12" t="s">
        <v>25</v>
      </c>
      <c r="I24" s="8">
        <f t="shared" si="4"/>
        <v>8114</v>
      </c>
      <c r="J24" s="16">
        <f t="shared" si="2"/>
        <v>2004.2759999999998</v>
      </c>
      <c r="L24" s="88">
        <f t="shared" si="3"/>
        <v>8114</v>
      </c>
    </row>
    <row r="25" spans="1:12" x14ac:dyDescent="0.2">
      <c r="A25" s="5">
        <v>44979</v>
      </c>
      <c r="B25" s="35">
        <v>104218</v>
      </c>
      <c r="C25" s="8">
        <f>IF(B26-B25 &lt; 0,0,B26-B25)</f>
        <v>4739</v>
      </c>
      <c r="D25" s="10">
        <v>59749</v>
      </c>
      <c r="E25" s="8">
        <f t="shared" si="1"/>
        <v>3614</v>
      </c>
      <c r="F25" s="10">
        <v>444</v>
      </c>
      <c r="G25" s="37">
        <v>0.57999999999999996</v>
      </c>
      <c r="H25" s="12" t="s">
        <v>25</v>
      </c>
      <c r="I25" s="8">
        <f t="shared" si="4"/>
        <v>8353</v>
      </c>
      <c r="J25" s="16">
        <f t="shared" si="2"/>
        <v>2004.5099999999998</v>
      </c>
      <c r="L25" s="88">
        <f t="shared" si="3"/>
        <v>8353</v>
      </c>
    </row>
    <row r="26" spans="1:12" x14ac:dyDescent="0.2">
      <c r="A26" s="5">
        <v>44980</v>
      </c>
      <c r="B26" s="10">
        <v>108957</v>
      </c>
      <c r="C26" s="8">
        <f t="shared" si="0"/>
        <v>5068</v>
      </c>
      <c r="D26" s="10">
        <v>63363</v>
      </c>
      <c r="E26" s="8">
        <f t="shared" si="1"/>
        <v>2146</v>
      </c>
      <c r="F26" s="10">
        <v>444</v>
      </c>
      <c r="G26" s="38">
        <v>0.49</v>
      </c>
      <c r="H26" s="12" t="s">
        <v>25</v>
      </c>
      <c r="I26" s="8">
        <f t="shared" si="4"/>
        <v>7214</v>
      </c>
      <c r="J26" s="16">
        <f t="shared" si="2"/>
        <v>1839.4259999999999</v>
      </c>
      <c r="L26" s="88">
        <f t="shared" si="3"/>
        <v>7214</v>
      </c>
    </row>
    <row r="27" spans="1:12" x14ac:dyDescent="0.2">
      <c r="A27" s="5">
        <v>44981</v>
      </c>
      <c r="B27" s="10">
        <v>114025</v>
      </c>
      <c r="C27" s="8">
        <f>IF(B28-B27 &lt; 0,0,B28-B27)</f>
        <v>4668</v>
      </c>
      <c r="D27" s="10">
        <v>65509</v>
      </c>
      <c r="E27" s="8">
        <f t="shared" si="1"/>
        <v>3220</v>
      </c>
      <c r="F27" s="10">
        <v>444</v>
      </c>
      <c r="G27" s="37">
        <v>0.55000000000000004</v>
      </c>
      <c r="H27" s="12" t="s">
        <v>25</v>
      </c>
      <c r="I27" s="8">
        <f t="shared" si="4"/>
        <v>7888</v>
      </c>
      <c r="J27" s="16">
        <f t="shared" si="2"/>
        <v>1914.3239999999996</v>
      </c>
      <c r="L27" s="88">
        <f t="shared" si="3"/>
        <v>7888</v>
      </c>
    </row>
    <row r="28" spans="1:12" x14ac:dyDescent="0.2">
      <c r="A28" s="5">
        <v>44982</v>
      </c>
      <c r="B28" s="10">
        <v>118693</v>
      </c>
      <c r="C28" s="8">
        <f t="shared" si="0"/>
        <v>4798</v>
      </c>
      <c r="D28" s="10">
        <v>68729</v>
      </c>
      <c r="E28" s="8">
        <f t="shared" si="1"/>
        <v>2331</v>
      </c>
      <c r="F28" s="10">
        <v>444</v>
      </c>
      <c r="G28" s="37">
        <v>0.57999999999999996</v>
      </c>
      <c r="H28" s="12" t="s">
        <v>25</v>
      </c>
      <c r="I28" s="8">
        <f t="shared" si="4"/>
        <v>7129</v>
      </c>
      <c r="J28" s="16">
        <f t="shared" si="2"/>
        <v>1794.4109999999998</v>
      </c>
      <c r="L28" s="88">
        <f t="shared" si="3"/>
        <v>7129</v>
      </c>
    </row>
    <row r="29" spans="1:12" x14ac:dyDescent="0.2">
      <c r="A29" s="5">
        <v>44983</v>
      </c>
      <c r="B29" s="10">
        <v>123491</v>
      </c>
      <c r="C29" s="8">
        <f t="shared" si="0"/>
        <v>5089</v>
      </c>
      <c r="D29" s="10">
        <v>71060</v>
      </c>
      <c r="E29" s="8">
        <f t="shared" si="1"/>
        <v>2845</v>
      </c>
      <c r="F29" s="10">
        <v>444</v>
      </c>
      <c r="G29" s="37">
        <v>0.36</v>
      </c>
      <c r="H29" s="12" t="s">
        <v>25</v>
      </c>
      <c r="I29" s="8">
        <f t="shared" si="4"/>
        <v>7934</v>
      </c>
      <c r="J29" s="16">
        <f t="shared" si="2"/>
        <v>1969.1969999999999</v>
      </c>
      <c r="L29" s="88">
        <f t="shared" si="3"/>
        <v>7934</v>
      </c>
    </row>
    <row r="30" spans="1:12" x14ac:dyDescent="0.2">
      <c r="A30" s="5">
        <v>44984</v>
      </c>
      <c r="B30" s="10">
        <v>128580</v>
      </c>
      <c r="C30" s="8">
        <f t="shared" si="0"/>
        <v>4819</v>
      </c>
      <c r="D30" s="10">
        <v>73905</v>
      </c>
      <c r="E30" s="8">
        <f t="shared" si="1"/>
        <v>3065</v>
      </c>
      <c r="F30" s="10">
        <v>444</v>
      </c>
      <c r="G30" s="37">
        <v>0.42</v>
      </c>
      <c r="H30" s="12" t="s">
        <v>25</v>
      </c>
      <c r="I30" s="8">
        <f t="shared" si="4"/>
        <v>7884</v>
      </c>
      <c r="J30" s="16">
        <f t="shared" si="2"/>
        <v>1930.377</v>
      </c>
      <c r="L30" s="88">
        <f t="shared" si="3"/>
        <v>7884</v>
      </c>
    </row>
    <row r="31" spans="1:12" x14ac:dyDescent="0.2">
      <c r="A31" s="5">
        <v>44985</v>
      </c>
      <c r="B31" s="10">
        <v>133399</v>
      </c>
      <c r="C31" s="8">
        <f t="shared" si="0"/>
        <v>3257</v>
      </c>
      <c r="D31" s="10">
        <v>76970</v>
      </c>
      <c r="E31" s="8">
        <f t="shared" si="1"/>
        <v>0</v>
      </c>
      <c r="F31" s="10">
        <v>444</v>
      </c>
      <c r="G31" s="37">
        <v>0.46</v>
      </c>
      <c r="H31" s="12" t="s">
        <v>25</v>
      </c>
      <c r="I31" s="8">
        <f t="shared" si="4"/>
        <v>3257</v>
      </c>
      <c r="J31" s="16">
        <f t="shared" si="2"/>
        <v>938.01599999999996</v>
      </c>
      <c r="L31" s="88">
        <f t="shared" si="3"/>
        <v>3257</v>
      </c>
    </row>
    <row r="32" spans="1:12" hidden="1" x14ac:dyDescent="0.2">
      <c r="A32" s="5"/>
      <c r="B32" s="10">
        <v>136656</v>
      </c>
      <c r="C32" s="8">
        <f t="shared" si="0"/>
        <v>0</v>
      </c>
      <c r="D32" s="10"/>
      <c r="E32" s="8">
        <f t="shared" si="1"/>
        <v>0</v>
      </c>
      <c r="F32" s="10"/>
      <c r="G32" s="37"/>
      <c r="H32" s="12"/>
      <c r="I32" s="8">
        <f t="shared" si="4"/>
        <v>0</v>
      </c>
      <c r="J32" s="16">
        <f t="shared" si="2"/>
        <v>0</v>
      </c>
      <c r="L32" s="88">
        <f t="shared" si="3"/>
        <v>0</v>
      </c>
    </row>
    <row r="33" spans="1:12" hidden="1" x14ac:dyDescent="0.2">
      <c r="A33" s="5"/>
      <c r="B33" s="10"/>
      <c r="C33" s="8">
        <f t="shared" si="0"/>
        <v>0</v>
      </c>
      <c r="D33" s="10"/>
      <c r="E33" s="8">
        <f t="shared" si="1"/>
        <v>0</v>
      </c>
      <c r="F33" s="10"/>
      <c r="G33" s="37"/>
      <c r="H33" s="12"/>
      <c r="I33" s="8">
        <f t="shared" si="4"/>
        <v>0</v>
      </c>
      <c r="J33" s="16">
        <f t="shared" si="2"/>
        <v>0</v>
      </c>
      <c r="L33" s="88">
        <f t="shared" si="3"/>
        <v>0</v>
      </c>
    </row>
    <row r="34" spans="1:12" hidden="1" x14ac:dyDescent="0.2">
      <c r="A34" s="5"/>
      <c r="B34" s="10"/>
      <c r="C34" s="8">
        <f t="shared" si="0"/>
        <v>0</v>
      </c>
      <c r="D34" s="10"/>
      <c r="E34" s="8">
        <f t="shared" si="1"/>
        <v>0</v>
      </c>
      <c r="F34" s="10"/>
      <c r="G34" s="37"/>
      <c r="H34" s="12"/>
      <c r="I34" s="8">
        <f t="shared" si="4"/>
        <v>0</v>
      </c>
      <c r="J34" s="16">
        <f t="shared" si="2"/>
        <v>0</v>
      </c>
      <c r="L34" s="88">
        <f t="shared" si="3"/>
        <v>0</v>
      </c>
    </row>
    <row r="35" spans="1:12" hidden="1" x14ac:dyDescent="0.2">
      <c r="A35" s="5"/>
      <c r="B35" s="36"/>
      <c r="C35" s="8"/>
      <c r="D35" s="10"/>
      <c r="E35" s="8"/>
      <c r="F35" s="10"/>
      <c r="G35" s="12"/>
      <c r="H35" s="41"/>
      <c r="I35" s="8">
        <f t="shared" si="4"/>
        <v>0</v>
      </c>
      <c r="J35" s="16">
        <f t="shared" si="2"/>
        <v>0</v>
      </c>
    </row>
    <row r="36" spans="1:12" x14ac:dyDescent="0.2">
      <c r="A36" s="137"/>
      <c r="B36" s="138"/>
      <c r="C36" s="9">
        <f>SUM(C4:C35)</f>
        <v>132478</v>
      </c>
      <c r="D36" s="9"/>
      <c r="E36" s="9">
        <f>SUM(E4:E35)</f>
        <v>74566</v>
      </c>
      <c r="F36" s="9">
        <f>MAX(F4:F34)</f>
        <v>444</v>
      </c>
      <c r="G36" s="11"/>
      <c r="H36" s="40"/>
      <c r="I36" s="8">
        <f>+E36+C36</f>
        <v>207044</v>
      </c>
      <c r="J36" s="16">
        <f>(C36*0.288)+(E36*0.177)</f>
        <v>51351.845999999998</v>
      </c>
    </row>
    <row r="37" spans="1:12" x14ac:dyDescent="0.2">
      <c r="A37" s="4">
        <f>COUNT(A4:A34)</f>
        <v>28</v>
      </c>
      <c r="G37" s="1"/>
    </row>
    <row r="38" spans="1:12" x14ac:dyDescent="0.2">
      <c r="H38" s="39" t="s">
        <v>30</v>
      </c>
    </row>
    <row r="39" spans="1:12" ht="15.75" x14ac:dyDescent="0.25">
      <c r="A39" s="13" t="s">
        <v>28</v>
      </c>
      <c r="H39" s="39" t="s">
        <v>31</v>
      </c>
    </row>
    <row r="40" spans="1:12" x14ac:dyDescent="0.2">
      <c r="H40" s="39" t="s">
        <v>32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8"/>
  <sheetViews>
    <sheetView topLeftCell="A4" zoomScale="90" zoomScaleNormal="90" workbookViewId="0">
      <selection activeCell="A31" sqref="A31:XFD3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  <col min="10" max="10" width="15.140625" bestFit="1" customWidth="1"/>
  </cols>
  <sheetData>
    <row r="1" spans="1:12" ht="18" x14ac:dyDescent="0.25">
      <c r="A1" s="6" t="s">
        <v>33</v>
      </c>
    </row>
    <row r="2" spans="1:12" ht="18" x14ac:dyDescent="0.25">
      <c r="A2" s="2"/>
      <c r="B2" s="7" t="s">
        <v>34</v>
      </c>
      <c r="C2" s="7" t="s">
        <v>35</v>
      </c>
      <c r="D2" s="7" t="s">
        <v>36</v>
      </c>
      <c r="E2" s="7" t="s">
        <v>35</v>
      </c>
      <c r="F2" s="7" t="s">
        <v>16</v>
      </c>
      <c r="G2" s="7" t="s">
        <v>17</v>
      </c>
      <c r="H2" s="7" t="s">
        <v>18</v>
      </c>
      <c r="I2" s="83" t="s">
        <v>19</v>
      </c>
      <c r="J2" s="139" t="s">
        <v>37</v>
      </c>
    </row>
    <row r="3" spans="1:12" x14ac:dyDescent="0.2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22</v>
      </c>
      <c r="G3" s="11"/>
      <c r="H3" s="7" t="s">
        <v>38</v>
      </c>
      <c r="I3" s="83" t="s">
        <v>24</v>
      </c>
      <c r="J3" s="139"/>
    </row>
    <row r="4" spans="1:12" x14ac:dyDescent="0.2">
      <c r="A4" s="5">
        <v>44958</v>
      </c>
      <c r="B4" s="10">
        <v>526007</v>
      </c>
      <c r="C4" s="8">
        <f t="shared" ref="C4:C6" si="0">IF(B5-B4&lt;0,0,B5-B4)</f>
        <v>0</v>
      </c>
      <c r="D4" s="10">
        <v>4236</v>
      </c>
      <c r="E4" s="8">
        <f t="shared" ref="E4:E6" si="1">IF(D5-D4&lt;0,0,D5-D4)</f>
        <v>12</v>
      </c>
      <c r="F4" s="37">
        <v>0.59</v>
      </c>
      <c r="G4" s="12" t="s">
        <v>25</v>
      </c>
      <c r="H4" s="8">
        <f>+E4+C4</f>
        <v>12</v>
      </c>
      <c r="I4" s="85">
        <f>(C4*1.35)+(E4*1.35)</f>
        <v>16.200000000000003</v>
      </c>
      <c r="J4" s="84"/>
      <c r="L4" s="88">
        <f>C4+E4</f>
        <v>12</v>
      </c>
    </row>
    <row r="5" spans="1:12" x14ac:dyDescent="0.2">
      <c r="A5" s="5">
        <v>44959</v>
      </c>
      <c r="B5" s="10">
        <v>526007</v>
      </c>
      <c r="C5" s="8">
        <f t="shared" si="0"/>
        <v>1</v>
      </c>
      <c r="D5" s="10">
        <v>4248</v>
      </c>
      <c r="E5" s="8">
        <f t="shared" si="1"/>
        <v>20</v>
      </c>
      <c r="F5" s="37">
        <v>0.6</v>
      </c>
      <c r="G5" s="12" t="s">
        <v>25</v>
      </c>
      <c r="H5" s="8">
        <f t="shared" ref="H5:H34" si="2">+E5+C5</f>
        <v>21</v>
      </c>
      <c r="I5" s="85">
        <f t="shared" ref="I5:I34" si="3">(C5*1.35)+(E5*1.35)</f>
        <v>28.35</v>
      </c>
      <c r="J5" s="84"/>
      <c r="L5" s="88">
        <f t="shared" ref="L5:L34" si="4">C5+E5</f>
        <v>21</v>
      </c>
    </row>
    <row r="6" spans="1:12" x14ac:dyDescent="0.2">
      <c r="A6" s="5">
        <v>44960</v>
      </c>
      <c r="B6" s="10">
        <v>526008</v>
      </c>
      <c r="C6" s="8">
        <f t="shared" si="0"/>
        <v>2</v>
      </c>
      <c r="D6" s="10">
        <v>4268</v>
      </c>
      <c r="E6" s="8">
        <f t="shared" si="1"/>
        <v>23</v>
      </c>
      <c r="F6" s="37">
        <v>0.72</v>
      </c>
      <c r="G6" s="12" t="s">
        <v>26</v>
      </c>
      <c r="H6" s="8">
        <f t="shared" si="2"/>
        <v>25</v>
      </c>
      <c r="I6" s="85">
        <f>(C6*1.35)+(E6*1.35)</f>
        <v>33.75</v>
      </c>
      <c r="J6" s="84"/>
      <c r="L6" s="88">
        <f t="shared" si="4"/>
        <v>25</v>
      </c>
    </row>
    <row r="7" spans="1:12" x14ac:dyDescent="0.2">
      <c r="A7" s="5">
        <v>44961</v>
      </c>
      <c r="B7" s="10">
        <v>526010</v>
      </c>
      <c r="C7" s="8">
        <f>IF(B8-B7&lt;0,0,B8-B7)</f>
        <v>10</v>
      </c>
      <c r="D7" s="10">
        <v>4291</v>
      </c>
      <c r="E7" s="8">
        <f>IF(D8-D7&lt;0,0,D8-D7)</f>
        <v>22</v>
      </c>
      <c r="F7" s="37">
        <v>0.74</v>
      </c>
      <c r="G7" s="12" t="s">
        <v>25</v>
      </c>
      <c r="H7" s="8">
        <f t="shared" si="2"/>
        <v>32</v>
      </c>
      <c r="I7" s="85">
        <f t="shared" si="3"/>
        <v>43.2</v>
      </c>
      <c r="J7" s="84"/>
      <c r="L7" s="88">
        <f t="shared" si="4"/>
        <v>32</v>
      </c>
    </row>
    <row r="8" spans="1:12" x14ac:dyDescent="0.2">
      <c r="A8" s="5">
        <v>44962</v>
      </c>
      <c r="B8" s="10">
        <v>526020</v>
      </c>
      <c r="C8" s="8">
        <f>IF(B9-B8&lt;0,0,B9-B8)</f>
        <v>0</v>
      </c>
      <c r="D8" s="10">
        <v>4313</v>
      </c>
      <c r="E8" s="8">
        <f>IF(D9-D8&lt;0,0,D9-D8)</f>
        <v>29</v>
      </c>
      <c r="F8" s="37">
        <v>0.55000000000000004</v>
      </c>
      <c r="G8" s="12" t="s">
        <v>25</v>
      </c>
      <c r="H8" s="8">
        <f t="shared" si="2"/>
        <v>29</v>
      </c>
      <c r="I8" s="85">
        <f t="shared" si="3"/>
        <v>39.150000000000006</v>
      </c>
      <c r="J8" s="84"/>
      <c r="L8" s="88">
        <f t="shared" si="4"/>
        <v>29</v>
      </c>
    </row>
    <row r="9" spans="1:12" x14ac:dyDescent="0.2">
      <c r="A9" s="5">
        <v>44963</v>
      </c>
      <c r="B9" s="10">
        <v>526020</v>
      </c>
      <c r="C9" s="8">
        <f t="shared" ref="C9:C34" si="5">IF(B10-B9&lt;0,0,B10-B9)</f>
        <v>0</v>
      </c>
      <c r="D9" s="10">
        <v>4342</v>
      </c>
      <c r="E9" s="8">
        <f t="shared" ref="E9:E34" si="6">IF(D10-D9&lt;0,0,D10-D9)</f>
        <v>37</v>
      </c>
      <c r="F9" s="37">
        <v>0.41</v>
      </c>
      <c r="G9" s="12" t="s">
        <v>25</v>
      </c>
      <c r="H9" s="8">
        <f t="shared" si="2"/>
        <v>37</v>
      </c>
      <c r="I9" s="85">
        <f t="shared" si="3"/>
        <v>49.95</v>
      </c>
      <c r="J9" s="84"/>
      <c r="L9" s="88">
        <f t="shared" si="4"/>
        <v>37</v>
      </c>
    </row>
    <row r="10" spans="1:12" x14ac:dyDescent="0.2">
      <c r="A10" s="5">
        <v>44964</v>
      </c>
      <c r="B10" s="10">
        <v>526020</v>
      </c>
      <c r="C10" s="8">
        <f t="shared" si="5"/>
        <v>0</v>
      </c>
      <c r="D10" s="10">
        <v>4379</v>
      </c>
      <c r="E10" s="8">
        <f t="shared" si="6"/>
        <v>41</v>
      </c>
      <c r="F10" s="38">
        <v>0.38</v>
      </c>
      <c r="G10" s="12" t="s">
        <v>25</v>
      </c>
      <c r="H10" s="8">
        <f t="shared" si="2"/>
        <v>41</v>
      </c>
      <c r="I10" s="85">
        <f t="shared" si="3"/>
        <v>55.35</v>
      </c>
      <c r="J10" s="84"/>
      <c r="L10" s="88">
        <f t="shared" si="4"/>
        <v>41</v>
      </c>
    </row>
    <row r="11" spans="1:12" x14ac:dyDescent="0.2">
      <c r="A11" s="5">
        <v>44965</v>
      </c>
      <c r="B11" s="10">
        <v>526020</v>
      </c>
      <c r="C11" s="8">
        <f>IF(B12-B11&lt;0,0,B12-B11)</f>
        <v>0</v>
      </c>
      <c r="D11" s="10">
        <v>4420</v>
      </c>
      <c r="E11" s="8">
        <f t="shared" si="6"/>
        <v>37</v>
      </c>
      <c r="F11" s="37">
        <v>0.4</v>
      </c>
      <c r="G11" s="12" t="s">
        <v>25</v>
      </c>
      <c r="H11" s="8">
        <f t="shared" si="2"/>
        <v>37</v>
      </c>
      <c r="I11" s="85">
        <f t="shared" si="3"/>
        <v>49.95</v>
      </c>
      <c r="J11" s="84"/>
      <c r="L11" s="88">
        <f t="shared" si="4"/>
        <v>37</v>
      </c>
    </row>
    <row r="12" spans="1:12" x14ac:dyDescent="0.2">
      <c r="A12" s="5">
        <v>44966</v>
      </c>
      <c r="B12" s="10">
        <v>526020</v>
      </c>
      <c r="C12" s="8">
        <f t="shared" si="5"/>
        <v>0</v>
      </c>
      <c r="D12" s="10">
        <v>4457</v>
      </c>
      <c r="E12" s="8">
        <f t="shared" si="6"/>
        <v>28</v>
      </c>
      <c r="F12" s="37">
        <v>0.41</v>
      </c>
      <c r="G12" s="12" t="s">
        <v>25</v>
      </c>
      <c r="H12" s="8">
        <f t="shared" si="2"/>
        <v>28</v>
      </c>
      <c r="I12" s="85">
        <f t="shared" si="3"/>
        <v>37.800000000000004</v>
      </c>
      <c r="J12" s="84"/>
      <c r="L12" s="88">
        <f t="shared" si="4"/>
        <v>28</v>
      </c>
    </row>
    <row r="13" spans="1:12" x14ac:dyDescent="0.2">
      <c r="A13" s="5">
        <v>44967</v>
      </c>
      <c r="B13" s="10">
        <v>526020</v>
      </c>
      <c r="C13" s="8">
        <f t="shared" si="5"/>
        <v>0</v>
      </c>
      <c r="D13" s="10">
        <v>4485</v>
      </c>
      <c r="E13" s="8">
        <f t="shared" si="6"/>
        <v>21</v>
      </c>
      <c r="F13" s="37">
        <v>0.5</v>
      </c>
      <c r="G13" s="12" t="s">
        <v>25</v>
      </c>
      <c r="H13" s="8">
        <f t="shared" si="2"/>
        <v>21</v>
      </c>
      <c r="I13" s="85">
        <f t="shared" si="3"/>
        <v>28.35</v>
      </c>
      <c r="J13" s="84"/>
      <c r="L13" s="88">
        <f t="shared" si="4"/>
        <v>21</v>
      </c>
    </row>
    <row r="14" spans="1:12" x14ac:dyDescent="0.2">
      <c r="A14" s="5">
        <v>44968</v>
      </c>
      <c r="B14" s="10">
        <v>526020</v>
      </c>
      <c r="C14" s="8">
        <f t="shared" si="5"/>
        <v>6</v>
      </c>
      <c r="D14" s="10">
        <v>4506</v>
      </c>
      <c r="E14" s="8">
        <f t="shared" si="6"/>
        <v>41</v>
      </c>
      <c r="F14" s="37">
        <v>0.5</v>
      </c>
      <c r="G14" s="12" t="s">
        <v>25</v>
      </c>
      <c r="H14" s="8">
        <f t="shared" si="2"/>
        <v>47</v>
      </c>
      <c r="I14" s="85">
        <f t="shared" si="3"/>
        <v>63.45</v>
      </c>
      <c r="J14" s="84"/>
      <c r="L14" s="88">
        <f t="shared" si="4"/>
        <v>47</v>
      </c>
    </row>
    <row r="15" spans="1:12" x14ac:dyDescent="0.2">
      <c r="A15" s="5">
        <v>44969</v>
      </c>
      <c r="B15" s="10">
        <v>526026</v>
      </c>
      <c r="C15" s="8">
        <f t="shared" si="5"/>
        <v>4</v>
      </c>
      <c r="D15" s="10">
        <v>4547</v>
      </c>
      <c r="E15" s="8">
        <f t="shared" si="6"/>
        <v>4</v>
      </c>
      <c r="F15" s="37">
        <v>0.51</v>
      </c>
      <c r="G15" s="12" t="s">
        <v>25</v>
      </c>
      <c r="H15" s="8">
        <f t="shared" si="2"/>
        <v>8</v>
      </c>
      <c r="I15" s="85">
        <f t="shared" si="3"/>
        <v>10.8</v>
      </c>
      <c r="J15" s="84"/>
      <c r="L15" s="88">
        <f t="shared" si="4"/>
        <v>8</v>
      </c>
    </row>
    <row r="16" spans="1:12" x14ac:dyDescent="0.2">
      <c r="A16" s="5">
        <v>44970</v>
      </c>
      <c r="B16" s="10">
        <v>526030</v>
      </c>
      <c r="C16" s="8">
        <f t="shared" si="5"/>
        <v>0</v>
      </c>
      <c r="D16" s="10">
        <v>4551</v>
      </c>
      <c r="E16" s="8">
        <f t="shared" si="6"/>
        <v>20</v>
      </c>
      <c r="F16" s="37">
        <v>0.52</v>
      </c>
      <c r="G16" s="12" t="s">
        <v>25</v>
      </c>
      <c r="H16" s="8">
        <f t="shared" si="2"/>
        <v>20</v>
      </c>
      <c r="I16" s="85">
        <f t="shared" si="3"/>
        <v>27</v>
      </c>
      <c r="J16" s="84"/>
      <c r="L16" s="88">
        <f t="shared" si="4"/>
        <v>20</v>
      </c>
    </row>
    <row r="17" spans="1:12" x14ac:dyDescent="0.2">
      <c r="A17" s="5">
        <v>44971</v>
      </c>
      <c r="B17" s="10">
        <v>526030</v>
      </c>
      <c r="C17" s="8">
        <f t="shared" si="5"/>
        <v>0</v>
      </c>
      <c r="D17" s="10">
        <v>4571</v>
      </c>
      <c r="E17" s="8">
        <f t="shared" si="6"/>
        <v>23</v>
      </c>
      <c r="F17" s="37">
        <v>0.5</v>
      </c>
      <c r="G17" s="12" t="s">
        <v>25</v>
      </c>
      <c r="H17" s="8">
        <f t="shared" si="2"/>
        <v>23</v>
      </c>
      <c r="I17" s="85">
        <f t="shared" si="3"/>
        <v>31.05</v>
      </c>
      <c r="J17" s="84"/>
      <c r="L17" s="88">
        <f t="shared" si="4"/>
        <v>23</v>
      </c>
    </row>
    <row r="18" spans="1:12" x14ac:dyDescent="0.2">
      <c r="A18" s="5">
        <v>44972</v>
      </c>
      <c r="B18" s="10">
        <v>526030</v>
      </c>
      <c r="C18" s="8">
        <f t="shared" si="5"/>
        <v>110</v>
      </c>
      <c r="D18" s="10">
        <v>4594</v>
      </c>
      <c r="E18" s="8">
        <f t="shared" si="6"/>
        <v>27</v>
      </c>
      <c r="F18" s="37">
        <v>0.53</v>
      </c>
      <c r="G18" s="12" t="s">
        <v>25</v>
      </c>
      <c r="H18" s="8">
        <f t="shared" si="2"/>
        <v>137</v>
      </c>
      <c r="I18" s="85">
        <f t="shared" si="3"/>
        <v>184.95</v>
      </c>
      <c r="J18" s="84"/>
      <c r="L18" s="88">
        <f t="shared" si="4"/>
        <v>137</v>
      </c>
    </row>
    <row r="19" spans="1:12" x14ac:dyDescent="0.2">
      <c r="A19" s="5">
        <v>44973</v>
      </c>
      <c r="B19" s="10">
        <v>526140</v>
      </c>
      <c r="C19" s="8">
        <f t="shared" si="5"/>
        <v>70</v>
      </c>
      <c r="D19" s="10">
        <v>4621</v>
      </c>
      <c r="E19" s="8">
        <f t="shared" si="6"/>
        <v>26</v>
      </c>
      <c r="F19" s="37">
        <v>0.57999999999999996</v>
      </c>
      <c r="G19" s="12" t="s">
        <v>25</v>
      </c>
      <c r="H19" s="8">
        <f t="shared" si="2"/>
        <v>96</v>
      </c>
      <c r="I19" s="85">
        <f t="shared" si="3"/>
        <v>129.6</v>
      </c>
      <c r="J19" s="84"/>
      <c r="L19" s="88">
        <f t="shared" si="4"/>
        <v>96</v>
      </c>
    </row>
    <row r="20" spans="1:12" x14ac:dyDescent="0.2">
      <c r="A20" s="5">
        <v>44974</v>
      </c>
      <c r="B20" s="10">
        <v>526210</v>
      </c>
      <c r="C20" s="8">
        <f t="shared" si="5"/>
        <v>0</v>
      </c>
      <c r="D20" s="10">
        <v>4647</v>
      </c>
      <c r="E20" s="8">
        <f t="shared" si="6"/>
        <v>75</v>
      </c>
      <c r="F20" s="37">
        <v>0.79</v>
      </c>
      <c r="G20" s="12" t="s">
        <v>25</v>
      </c>
      <c r="H20" s="8">
        <f t="shared" si="2"/>
        <v>75</v>
      </c>
      <c r="I20" s="85">
        <f t="shared" si="3"/>
        <v>101.25</v>
      </c>
      <c r="J20" s="84"/>
      <c r="L20" s="88">
        <f t="shared" si="4"/>
        <v>75</v>
      </c>
    </row>
    <row r="21" spans="1:12" x14ac:dyDescent="0.2">
      <c r="A21" s="5">
        <v>44975</v>
      </c>
      <c r="B21" s="10">
        <v>526210</v>
      </c>
      <c r="C21" s="8">
        <f t="shared" si="5"/>
        <v>0</v>
      </c>
      <c r="D21" s="10">
        <v>4722</v>
      </c>
      <c r="E21" s="8">
        <f t="shared" si="6"/>
        <v>0</v>
      </c>
      <c r="F21" s="37">
        <v>0.8</v>
      </c>
      <c r="G21" s="12" t="s">
        <v>25</v>
      </c>
      <c r="H21" s="8">
        <f t="shared" si="2"/>
        <v>0</v>
      </c>
      <c r="I21" s="85">
        <f t="shared" si="3"/>
        <v>0</v>
      </c>
      <c r="J21" s="84"/>
      <c r="L21" s="88">
        <f t="shared" si="4"/>
        <v>0</v>
      </c>
    </row>
    <row r="22" spans="1:12" x14ac:dyDescent="0.2">
      <c r="A22" s="5">
        <v>44976</v>
      </c>
      <c r="B22" s="10">
        <v>526210</v>
      </c>
      <c r="C22" s="8">
        <f t="shared" si="5"/>
        <v>0</v>
      </c>
      <c r="D22" s="10">
        <v>4722</v>
      </c>
      <c r="E22" s="8">
        <f t="shared" si="6"/>
        <v>27</v>
      </c>
      <c r="F22" s="37">
        <v>0.56999999999999995</v>
      </c>
      <c r="G22" s="12" t="s">
        <v>25</v>
      </c>
      <c r="H22" s="8">
        <f t="shared" si="2"/>
        <v>27</v>
      </c>
      <c r="I22" s="85">
        <f t="shared" si="3"/>
        <v>36.450000000000003</v>
      </c>
      <c r="J22" s="84"/>
      <c r="L22" s="88">
        <f t="shared" si="4"/>
        <v>27</v>
      </c>
    </row>
    <row r="23" spans="1:12" x14ac:dyDescent="0.2">
      <c r="A23" s="5">
        <v>44977</v>
      </c>
      <c r="B23" s="10">
        <v>526210</v>
      </c>
      <c r="C23" s="8">
        <f t="shared" si="5"/>
        <v>0</v>
      </c>
      <c r="D23" s="10">
        <v>4749</v>
      </c>
      <c r="E23" s="8">
        <f t="shared" si="6"/>
        <v>21</v>
      </c>
      <c r="F23" s="37">
        <v>0.55000000000000004</v>
      </c>
      <c r="G23" s="12" t="s">
        <v>25</v>
      </c>
      <c r="H23" s="8">
        <f t="shared" si="2"/>
        <v>21</v>
      </c>
      <c r="I23" s="85">
        <f t="shared" si="3"/>
        <v>28.35</v>
      </c>
      <c r="J23" s="84"/>
      <c r="L23" s="88">
        <f t="shared" si="4"/>
        <v>21</v>
      </c>
    </row>
    <row r="24" spans="1:12" x14ac:dyDescent="0.2">
      <c r="A24" s="5">
        <v>44978</v>
      </c>
      <c r="B24" s="10">
        <v>526210</v>
      </c>
      <c r="C24" s="8">
        <f t="shared" si="5"/>
        <v>0</v>
      </c>
      <c r="D24" s="10">
        <v>4770</v>
      </c>
      <c r="E24" s="8">
        <f t="shared" si="6"/>
        <v>21</v>
      </c>
      <c r="F24" s="37">
        <v>0.61</v>
      </c>
      <c r="G24" s="12" t="s">
        <v>25</v>
      </c>
      <c r="H24" s="8">
        <f t="shared" si="2"/>
        <v>21</v>
      </c>
      <c r="I24" s="85">
        <f t="shared" si="3"/>
        <v>28.35</v>
      </c>
      <c r="J24" s="84"/>
      <c r="L24" s="88">
        <f t="shared" si="4"/>
        <v>21</v>
      </c>
    </row>
    <row r="25" spans="1:12" x14ac:dyDescent="0.2">
      <c r="A25" s="5">
        <v>44979</v>
      </c>
      <c r="B25" s="10">
        <v>526210</v>
      </c>
      <c r="C25" s="8">
        <f t="shared" si="5"/>
        <v>0</v>
      </c>
      <c r="D25" s="10">
        <v>4791</v>
      </c>
      <c r="E25" s="8">
        <f t="shared" si="6"/>
        <v>26</v>
      </c>
      <c r="F25" s="37">
        <v>0.57999999999999996</v>
      </c>
      <c r="G25" s="12" t="s">
        <v>25</v>
      </c>
      <c r="H25" s="8">
        <f t="shared" si="2"/>
        <v>26</v>
      </c>
      <c r="I25" s="85">
        <f t="shared" si="3"/>
        <v>35.1</v>
      </c>
      <c r="J25" s="84"/>
      <c r="L25" s="88">
        <f t="shared" si="4"/>
        <v>26</v>
      </c>
    </row>
    <row r="26" spans="1:12" x14ac:dyDescent="0.2">
      <c r="A26" s="5">
        <v>44980</v>
      </c>
      <c r="B26" s="10">
        <v>526210</v>
      </c>
      <c r="C26" s="8">
        <f t="shared" si="5"/>
        <v>10</v>
      </c>
      <c r="D26" s="10">
        <v>4817</v>
      </c>
      <c r="E26" s="8">
        <f t="shared" si="6"/>
        <v>23</v>
      </c>
      <c r="F26" s="38">
        <v>0.49</v>
      </c>
      <c r="G26" s="12" t="s">
        <v>25</v>
      </c>
      <c r="H26" s="8">
        <f t="shared" si="2"/>
        <v>33</v>
      </c>
      <c r="I26" s="85">
        <f t="shared" si="3"/>
        <v>44.55</v>
      </c>
      <c r="J26" s="84"/>
      <c r="L26" s="88">
        <f t="shared" si="4"/>
        <v>33</v>
      </c>
    </row>
    <row r="27" spans="1:12" x14ac:dyDescent="0.2">
      <c r="A27" s="5">
        <v>44981</v>
      </c>
      <c r="B27" s="10">
        <v>526220</v>
      </c>
      <c r="C27" s="8">
        <f t="shared" si="5"/>
        <v>2</v>
      </c>
      <c r="D27" s="10">
        <v>4840</v>
      </c>
      <c r="E27" s="8">
        <f t="shared" si="6"/>
        <v>28</v>
      </c>
      <c r="F27" s="37">
        <v>0.55000000000000004</v>
      </c>
      <c r="G27" s="12" t="s">
        <v>25</v>
      </c>
      <c r="H27" s="8">
        <f t="shared" si="2"/>
        <v>30</v>
      </c>
      <c r="I27" s="85">
        <f t="shared" si="3"/>
        <v>40.500000000000007</v>
      </c>
      <c r="J27" s="84"/>
      <c r="L27" s="88">
        <f t="shared" si="4"/>
        <v>30</v>
      </c>
    </row>
    <row r="28" spans="1:12" x14ac:dyDescent="0.2">
      <c r="A28" s="5">
        <v>44982</v>
      </c>
      <c r="B28" s="10">
        <v>526222</v>
      </c>
      <c r="C28" s="8">
        <f t="shared" si="5"/>
        <v>0</v>
      </c>
      <c r="D28" s="10">
        <v>4868</v>
      </c>
      <c r="E28" s="8">
        <f t="shared" si="6"/>
        <v>20</v>
      </c>
      <c r="F28" s="37">
        <v>0.57999999999999996</v>
      </c>
      <c r="G28" s="12" t="s">
        <v>25</v>
      </c>
      <c r="H28" s="8">
        <f t="shared" si="2"/>
        <v>20</v>
      </c>
      <c r="I28" s="85">
        <f t="shared" si="3"/>
        <v>27</v>
      </c>
      <c r="J28" s="84"/>
      <c r="L28" s="88">
        <f t="shared" si="4"/>
        <v>20</v>
      </c>
    </row>
    <row r="29" spans="1:12" x14ac:dyDescent="0.2">
      <c r="A29" s="5">
        <v>44983</v>
      </c>
      <c r="B29" s="10">
        <v>526222</v>
      </c>
      <c r="C29" s="8">
        <f t="shared" si="5"/>
        <v>0</v>
      </c>
      <c r="D29" s="10">
        <v>4888</v>
      </c>
      <c r="E29" s="8">
        <f t="shared" si="6"/>
        <v>28</v>
      </c>
      <c r="F29" s="37">
        <v>0.36</v>
      </c>
      <c r="G29" s="12" t="s">
        <v>25</v>
      </c>
      <c r="H29" s="8">
        <f t="shared" si="2"/>
        <v>28</v>
      </c>
      <c r="I29" s="85">
        <f t="shared" si="3"/>
        <v>37.800000000000004</v>
      </c>
      <c r="J29" s="84"/>
      <c r="L29" s="88">
        <f t="shared" si="4"/>
        <v>28</v>
      </c>
    </row>
    <row r="30" spans="1:12" x14ac:dyDescent="0.2">
      <c r="A30" s="5">
        <v>44984</v>
      </c>
      <c r="B30" s="10">
        <v>526222</v>
      </c>
      <c r="C30" s="8">
        <f t="shared" si="5"/>
        <v>0</v>
      </c>
      <c r="D30" s="10">
        <v>4916</v>
      </c>
      <c r="E30" s="8">
        <f t="shared" si="6"/>
        <v>24</v>
      </c>
      <c r="F30" s="37">
        <v>0.42</v>
      </c>
      <c r="G30" s="12" t="s">
        <v>25</v>
      </c>
      <c r="H30" s="8">
        <f t="shared" si="2"/>
        <v>24</v>
      </c>
      <c r="I30" s="85">
        <f t="shared" si="3"/>
        <v>32.400000000000006</v>
      </c>
      <c r="J30" s="84"/>
      <c r="L30" s="88">
        <f t="shared" si="4"/>
        <v>24</v>
      </c>
    </row>
    <row r="31" spans="1:12" x14ac:dyDescent="0.2">
      <c r="A31" s="5">
        <v>44985</v>
      </c>
      <c r="B31" s="10">
        <v>526222</v>
      </c>
      <c r="C31" s="8">
        <v>5</v>
      </c>
      <c r="D31" s="10">
        <v>4940</v>
      </c>
      <c r="E31" s="8">
        <v>24</v>
      </c>
      <c r="F31" s="37">
        <v>0.46</v>
      </c>
      <c r="G31" s="12" t="s">
        <v>25</v>
      </c>
      <c r="H31" s="8">
        <f t="shared" si="2"/>
        <v>29</v>
      </c>
      <c r="I31" s="85">
        <f t="shared" si="3"/>
        <v>39.150000000000006</v>
      </c>
      <c r="J31" s="84"/>
      <c r="L31" s="88">
        <f t="shared" si="4"/>
        <v>29</v>
      </c>
    </row>
    <row r="32" spans="1:12" x14ac:dyDescent="0.2">
      <c r="A32" s="5"/>
      <c r="B32" s="10"/>
      <c r="C32" s="8">
        <f t="shared" si="5"/>
        <v>0</v>
      </c>
      <c r="D32" s="10"/>
      <c r="E32" s="8">
        <f t="shared" si="6"/>
        <v>0</v>
      </c>
      <c r="F32" s="37"/>
      <c r="G32" s="12"/>
      <c r="H32" s="8">
        <f t="shared" si="2"/>
        <v>0</v>
      </c>
      <c r="I32" s="85">
        <f t="shared" si="3"/>
        <v>0</v>
      </c>
      <c r="J32" s="84"/>
      <c r="L32" s="88">
        <f t="shared" si="4"/>
        <v>0</v>
      </c>
    </row>
    <row r="33" spans="1:12" x14ac:dyDescent="0.2">
      <c r="A33" s="5"/>
      <c r="B33" s="10"/>
      <c r="C33" s="8">
        <f t="shared" si="5"/>
        <v>0</v>
      </c>
      <c r="D33" s="10"/>
      <c r="E33" s="8">
        <f t="shared" si="6"/>
        <v>0</v>
      </c>
      <c r="F33" s="37"/>
      <c r="G33" s="12"/>
      <c r="H33" s="8">
        <f t="shared" si="2"/>
        <v>0</v>
      </c>
      <c r="I33" s="85">
        <f t="shared" si="3"/>
        <v>0</v>
      </c>
      <c r="J33" s="84"/>
      <c r="L33" s="88">
        <f t="shared" si="4"/>
        <v>0</v>
      </c>
    </row>
    <row r="34" spans="1:12" x14ac:dyDescent="0.2">
      <c r="A34" s="5"/>
      <c r="B34" s="93"/>
      <c r="C34" s="8">
        <f t="shared" si="5"/>
        <v>0</v>
      </c>
      <c r="D34" s="10"/>
      <c r="E34" s="8">
        <f t="shared" si="6"/>
        <v>0</v>
      </c>
      <c r="F34" s="37"/>
      <c r="G34" s="12"/>
      <c r="H34" s="8">
        <f t="shared" si="2"/>
        <v>0</v>
      </c>
      <c r="I34" s="85">
        <f t="shared" si="3"/>
        <v>0</v>
      </c>
      <c r="J34" s="84"/>
      <c r="L34" s="88">
        <f t="shared" si="4"/>
        <v>0</v>
      </c>
    </row>
    <row r="35" spans="1:12" x14ac:dyDescent="0.2">
      <c r="A35" s="90"/>
      <c r="B35" s="56"/>
      <c r="C35" s="92">
        <f>SUM(C4:C34)</f>
        <v>220</v>
      </c>
      <c r="D35" s="91"/>
      <c r="E35" s="9">
        <f>SUM(E4:E34)</f>
        <v>728</v>
      </c>
      <c r="F35" s="11"/>
      <c r="G35" s="11"/>
      <c r="H35" s="8">
        <f>SUM(H4:H34)</f>
        <v>948</v>
      </c>
      <c r="I35" s="85">
        <f>SUM(I4:I34)</f>
        <v>1279.8000000000002</v>
      </c>
      <c r="J35" s="84"/>
    </row>
    <row r="36" spans="1:12" x14ac:dyDescent="0.2">
      <c r="A36" s="17"/>
      <c r="F36" s="1"/>
    </row>
    <row r="38" spans="1:12" ht="15.75" x14ac:dyDescent="0.25">
      <c r="A38" s="13" t="s">
        <v>28</v>
      </c>
    </row>
  </sheetData>
  <mergeCells count="1">
    <mergeCell ref="J2:J3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zoomScale="85" workbookViewId="0">
      <selection activeCell="I4" sqref="I4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5.5703125" style="30" customWidth="1"/>
    <col min="7" max="7" width="16.7109375" style="30" customWidth="1"/>
    <col min="8" max="8" width="13.7109375" style="30" customWidth="1"/>
    <col min="9" max="9" width="11" style="30" customWidth="1"/>
    <col min="10" max="10" width="9" style="30" customWidth="1"/>
    <col min="14" max="14" width="10.42578125" customWidth="1"/>
    <col min="15" max="17" width="12.140625" customWidth="1"/>
    <col min="18" max="18" width="12.140625" style="1" customWidth="1"/>
    <col min="19" max="19" width="11" customWidth="1"/>
  </cols>
  <sheetData>
    <row r="1" spans="1:20" ht="18" x14ac:dyDescent="0.25">
      <c r="A1" s="6" t="s">
        <v>39</v>
      </c>
    </row>
    <row r="2" spans="1:20" ht="24.75" customHeight="1" x14ac:dyDescent="0.25">
      <c r="A2" s="58"/>
      <c r="B2" s="59" t="s">
        <v>40</v>
      </c>
      <c r="C2" s="59" t="s">
        <v>41</v>
      </c>
      <c r="D2" s="59" t="s">
        <v>41</v>
      </c>
      <c r="E2" s="60" t="s">
        <v>42</v>
      </c>
      <c r="F2" s="59" t="s">
        <v>43</v>
      </c>
      <c r="G2" s="59" t="s">
        <v>43</v>
      </c>
      <c r="H2" s="59" t="s">
        <v>35</v>
      </c>
      <c r="I2" s="61" t="s">
        <v>19</v>
      </c>
      <c r="J2" s="62" t="s">
        <v>44</v>
      </c>
      <c r="K2" s="31"/>
      <c r="N2" s="148" t="s">
        <v>45</v>
      </c>
      <c r="O2" s="148"/>
      <c r="P2" s="148"/>
      <c r="Q2" s="148"/>
      <c r="R2" s="148"/>
    </row>
    <row r="3" spans="1:20" x14ac:dyDescent="0.2">
      <c r="A3" s="63"/>
      <c r="B3" s="48" t="s">
        <v>46</v>
      </c>
      <c r="C3" s="48" t="s">
        <v>47</v>
      </c>
      <c r="D3" s="48" t="s">
        <v>48</v>
      </c>
      <c r="E3" s="49" t="s">
        <v>49</v>
      </c>
      <c r="F3" s="48" t="s">
        <v>47</v>
      </c>
      <c r="G3" s="48" t="s">
        <v>48</v>
      </c>
      <c r="H3" s="48" t="s">
        <v>50</v>
      </c>
      <c r="I3" s="50" t="s">
        <v>24</v>
      </c>
      <c r="J3" s="64"/>
      <c r="K3" s="31"/>
      <c r="N3" s="97" t="s">
        <v>51</v>
      </c>
      <c r="O3" s="98" t="s">
        <v>52</v>
      </c>
      <c r="P3" s="99" t="s">
        <v>53</v>
      </c>
      <c r="Q3" s="100" t="s">
        <v>54</v>
      </c>
      <c r="R3" s="112" t="s">
        <v>55</v>
      </c>
    </row>
    <row r="4" spans="1:20" x14ac:dyDescent="0.2">
      <c r="A4" s="65">
        <v>44958</v>
      </c>
      <c r="B4" s="117">
        <v>2</v>
      </c>
      <c r="C4" s="120">
        <v>8.3000000000000007</v>
      </c>
      <c r="D4" s="120">
        <v>20</v>
      </c>
      <c r="E4" s="52">
        <f>D4-C4</f>
        <v>11.7</v>
      </c>
      <c r="F4" s="122">
        <v>1633681.7</v>
      </c>
      <c r="G4" s="124">
        <v>1633979.4</v>
      </c>
      <c r="H4" s="52">
        <f>G4-F4</f>
        <v>297.69999999995343</v>
      </c>
      <c r="I4" s="55">
        <f>(H4*[1]Summary!$C$6)</f>
        <v>845.46799999986774</v>
      </c>
      <c r="J4" s="126">
        <v>2136.1999999999998</v>
      </c>
      <c r="K4" s="146" t="s">
        <v>56</v>
      </c>
      <c r="L4" s="147"/>
      <c r="N4" s="95">
        <v>44958</v>
      </c>
      <c r="O4" s="101">
        <v>66475.8</v>
      </c>
      <c r="P4" s="102">
        <v>66925.399999999994</v>
      </c>
      <c r="Q4" s="108">
        <f>P4-O4</f>
        <v>449.59999999999127</v>
      </c>
      <c r="R4" s="132">
        <v>2853.4</v>
      </c>
      <c r="S4" s="140" t="s">
        <v>56</v>
      </c>
      <c r="T4" s="141"/>
    </row>
    <row r="5" spans="1:20" x14ac:dyDescent="0.2">
      <c r="A5" s="65">
        <v>44959</v>
      </c>
      <c r="B5" s="117">
        <v>2</v>
      </c>
      <c r="C5" s="121">
        <v>8.3000000000000007</v>
      </c>
      <c r="D5" s="121">
        <v>20</v>
      </c>
      <c r="E5" s="52">
        <f>D5-C5</f>
        <v>11.7</v>
      </c>
      <c r="F5" s="122">
        <v>1633979.4</v>
      </c>
      <c r="G5" s="124">
        <v>1634226.2</v>
      </c>
      <c r="H5" s="57">
        <f t="shared" ref="H5:H35" si="0">G5-F5</f>
        <v>246.80000000004657</v>
      </c>
      <c r="I5" s="55">
        <f>(H5*[1]Summary!$C$6)</f>
        <v>700.91200000013225</v>
      </c>
      <c r="J5" s="127"/>
      <c r="K5" s="46"/>
      <c r="L5" s="47"/>
      <c r="N5" s="95">
        <v>44959</v>
      </c>
      <c r="O5" s="103">
        <v>66925.399999999994</v>
      </c>
      <c r="P5" s="104"/>
      <c r="Q5" s="109">
        <f t="shared" ref="Q5:Q31" si="1">P5-O5</f>
        <v>-66925.399999999994</v>
      </c>
      <c r="R5" s="113"/>
    </row>
    <row r="6" spans="1:20" x14ac:dyDescent="0.2">
      <c r="A6" s="65">
        <v>44960</v>
      </c>
      <c r="B6" s="118">
        <v>2</v>
      </c>
      <c r="C6" s="121">
        <v>8.3000000000000007</v>
      </c>
      <c r="D6" s="121">
        <v>20</v>
      </c>
      <c r="E6" s="52">
        <f t="shared" ref="E6:E35" si="2">D6-C6</f>
        <v>11.7</v>
      </c>
      <c r="F6" s="123">
        <v>1634226.2</v>
      </c>
      <c r="G6" s="125">
        <v>1634523.3</v>
      </c>
      <c r="H6" s="57">
        <f t="shared" si="0"/>
        <v>297.10000000009313</v>
      </c>
      <c r="I6" s="55">
        <f>(H6*[1]Summary!$C$6)</f>
        <v>843.76400000026445</v>
      </c>
      <c r="J6" s="128">
        <v>5460</v>
      </c>
      <c r="K6" s="149" t="s">
        <v>57</v>
      </c>
      <c r="L6" s="150"/>
      <c r="N6" s="95">
        <v>44960</v>
      </c>
      <c r="O6" s="103"/>
      <c r="P6" s="104">
        <v>67842.600000000006</v>
      </c>
      <c r="Q6" s="109">
        <f t="shared" si="1"/>
        <v>67842.600000000006</v>
      </c>
      <c r="R6" s="133">
        <v>5460</v>
      </c>
      <c r="S6" s="142" t="s">
        <v>57</v>
      </c>
      <c r="T6" s="143"/>
    </row>
    <row r="7" spans="1:20" x14ac:dyDescent="0.2">
      <c r="A7" s="65">
        <v>44961</v>
      </c>
      <c r="B7" s="118">
        <v>2</v>
      </c>
      <c r="C7" s="121">
        <v>8.3000000000000007</v>
      </c>
      <c r="D7" s="121">
        <v>20</v>
      </c>
      <c r="E7" s="52">
        <f t="shared" si="2"/>
        <v>11.7</v>
      </c>
      <c r="F7" s="122">
        <v>1634523.3</v>
      </c>
      <c r="G7" s="124">
        <v>1634802.1</v>
      </c>
      <c r="H7" s="57">
        <f t="shared" si="0"/>
        <v>278.80000000004657</v>
      </c>
      <c r="I7" s="55">
        <f>(H7*[1]Summary!$C$6)</f>
        <v>791.79200000013225</v>
      </c>
      <c r="J7" s="129"/>
      <c r="K7" s="94"/>
      <c r="L7" s="46"/>
      <c r="N7" s="95">
        <v>44961</v>
      </c>
      <c r="O7" s="103">
        <v>67842.600000000006</v>
      </c>
      <c r="P7" s="104">
        <v>68292.5</v>
      </c>
      <c r="Q7" s="109">
        <f t="shared" si="1"/>
        <v>449.89999999999418</v>
      </c>
      <c r="R7" s="113"/>
    </row>
    <row r="8" spans="1:20" x14ac:dyDescent="0.2">
      <c r="A8" s="65">
        <v>44962</v>
      </c>
      <c r="B8" s="117">
        <v>2</v>
      </c>
      <c r="C8" s="120">
        <v>8.3000000000000007</v>
      </c>
      <c r="D8" s="120">
        <v>20</v>
      </c>
      <c r="E8" s="52">
        <f t="shared" si="2"/>
        <v>11.7</v>
      </c>
      <c r="F8" s="122">
        <v>1634802.1</v>
      </c>
      <c r="G8" s="124">
        <v>1635061.1</v>
      </c>
      <c r="H8" s="52">
        <f t="shared" si="0"/>
        <v>259</v>
      </c>
      <c r="I8" s="55">
        <f>(H8*[1]Summary!$C$6)</f>
        <v>735.56</v>
      </c>
      <c r="J8" s="130"/>
      <c r="K8" s="46"/>
      <c r="L8" s="47"/>
      <c r="N8" s="95">
        <v>44962</v>
      </c>
      <c r="O8" s="103">
        <v>68292.5</v>
      </c>
      <c r="P8" s="104">
        <v>68711.199999999997</v>
      </c>
      <c r="Q8" s="109">
        <f t="shared" si="1"/>
        <v>418.69999999999709</v>
      </c>
      <c r="R8" s="113"/>
    </row>
    <row r="9" spans="1:20" x14ac:dyDescent="0.2">
      <c r="A9" s="65">
        <v>44963</v>
      </c>
      <c r="B9" s="117">
        <v>1</v>
      </c>
      <c r="C9" s="120">
        <v>8.3000000000000007</v>
      </c>
      <c r="D9" s="120">
        <v>18</v>
      </c>
      <c r="E9" s="52">
        <f t="shared" ref="E9" si="3">D9-C9</f>
        <v>9.6999999999999993</v>
      </c>
      <c r="F9" s="122">
        <v>1750426.1</v>
      </c>
      <c r="G9" s="124">
        <v>1750655.9</v>
      </c>
      <c r="H9" s="52">
        <f t="shared" ref="H9" si="4">G9-F9</f>
        <v>229.79999999981374</v>
      </c>
      <c r="I9" s="55">
        <f>(H9*[1]Summary!$C$6)</f>
        <v>652.63199999947096</v>
      </c>
      <c r="J9" s="130"/>
      <c r="K9" s="46"/>
      <c r="L9" s="46"/>
      <c r="N9" s="95">
        <v>44963</v>
      </c>
      <c r="O9" s="103">
        <v>68711.199999999997</v>
      </c>
      <c r="P9" s="104">
        <v>69157.3</v>
      </c>
      <c r="Q9" s="109">
        <f t="shared" si="1"/>
        <v>446.10000000000582</v>
      </c>
      <c r="R9" s="113"/>
    </row>
    <row r="10" spans="1:20" x14ac:dyDescent="0.2">
      <c r="A10" s="65">
        <v>44964</v>
      </c>
      <c r="B10" s="117">
        <v>2</v>
      </c>
      <c r="C10" s="120">
        <v>8.3000000000000007</v>
      </c>
      <c r="D10" s="120">
        <v>18</v>
      </c>
      <c r="E10" s="52">
        <f t="shared" si="2"/>
        <v>9.6999999999999993</v>
      </c>
      <c r="F10" s="122">
        <v>1635159.2</v>
      </c>
      <c r="G10" s="124">
        <v>1635538.8</v>
      </c>
      <c r="H10" s="52">
        <f>G10-F10</f>
        <v>379.60000000009313</v>
      </c>
      <c r="I10" s="55">
        <f>(H10*[1]Summary!$C$6)</f>
        <v>1078.0640000002645</v>
      </c>
      <c r="J10" s="130"/>
      <c r="K10" s="46"/>
      <c r="L10" s="46"/>
      <c r="N10" s="95">
        <v>44964</v>
      </c>
      <c r="O10" s="103">
        <v>69157.3</v>
      </c>
      <c r="P10" s="104">
        <v>69568</v>
      </c>
      <c r="Q10" s="109">
        <f t="shared" si="1"/>
        <v>410.69999999999709</v>
      </c>
      <c r="R10" s="113"/>
    </row>
    <row r="11" spans="1:20" x14ac:dyDescent="0.2">
      <c r="A11" s="65">
        <v>44965</v>
      </c>
      <c r="B11" s="117">
        <v>1</v>
      </c>
      <c r="C11" s="120">
        <v>8.3000000000000007</v>
      </c>
      <c r="D11" s="120">
        <v>18</v>
      </c>
      <c r="E11" s="52">
        <f t="shared" si="2"/>
        <v>9.6999999999999993</v>
      </c>
      <c r="F11" s="122">
        <v>1750655.9</v>
      </c>
      <c r="G11" s="124">
        <v>1751041.9</v>
      </c>
      <c r="H11" s="52">
        <f t="shared" si="0"/>
        <v>386</v>
      </c>
      <c r="I11" s="55">
        <f>(H11*[1]Summary!$C$6)</f>
        <v>1096.24</v>
      </c>
      <c r="J11" s="130"/>
      <c r="K11" s="46"/>
      <c r="L11" s="46"/>
      <c r="N11" s="95">
        <v>44965</v>
      </c>
      <c r="O11" s="104">
        <v>69568</v>
      </c>
      <c r="P11" s="104">
        <v>69568</v>
      </c>
      <c r="Q11" s="109">
        <f t="shared" si="1"/>
        <v>0</v>
      </c>
      <c r="R11" s="113"/>
    </row>
    <row r="12" spans="1:20" x14ac:dyDescent="0.2">
      <c r="A12" s="65">
        <v>44966</v>
      </c>
      <c r="B12" s="117">
        <v>1</v>
      </c>
      <c r="C12" s="121">
        <v>8.3000000000000007</v>
      </c>
      <c r="D12" s="120">
        <v>18</v>
      </c>
      <c r="E12" s="52">
        <f t="shared" si="2"/>
        <v>9.6999999999999993</v>
      </c>
      <c r="F12" s="122">
        <v>1751041.9</v>
      </c>
      <c r="G12" s="124">
        <v>1751454.3</v>
      </c>
      <c r="H12" s="52">
        <f t="shared" si="0"/>
        <v>412.4000000001397</v>
      </c>
      <c r="I12" s="55">
        <f>(H12*[1]Summary!$C$6)</f>
        <v>1171.2160000003967</v>
      </c>
      <c r="J12" s="130"/>
      <c r="K12" s="94"/>
      <c r="L12" s="46"/>
      <c r="N12" s="95">
        <v>44966</v>
      </c>
      <c r="O12" s="104"/>
      <c r="P12" s="104"/>
      <c r="Q12" s="109">
        <f t="shared" si="1"/>
        <v>0</v>
      </c>
      <c r="R12" s="113"/>
    </row>
    <row r="13" spans="1:20" x14ac:dyDescent="0.2">
      <c r="A13" s="65">
        <v>44967</v>
      </c>
      <c r="B13" s="117">
        <v>1</v>
      </c>
      <c r="C13" s="120">
        <v>8.3000000000000007</v>
      </c>
      <c r="D13" s="120">
        <v>18</v>
      </c>
      <c r="E13" s="52">
        <f t="shared" si="2"/>
        <v>9.6999999999999993</v>
      </c>
      <c r="F13" s="122">
        <v>1751454.3</v>
      </c>
      <c r="G13" s="124">
        <v>1751852.5</v>
      </c>
      <c r="H13" s="52">
        <f t="shared" si="0"/>
        <v>398.19999999995343</v>
      </c>
      <c r="I13" s="55">
        <f>(H13*[1]Summary!$C$6)</f>
        <v>1130.8879999998676</v>
      </c>
      <c r="J13" s="130"/>
      <c r="K13" s="46"/>
      <c r="L13" s="47"/>
      <c r="N13" s="95">
        <v>44967</v>
      </c>
      <c r="O13" s="103"/>
      <c r="P13" s="104"/>
      <c r="Q13" s="109">
        <f t="shared" si="1"/>
        <v>0</v>
      </c>
      <c r="R13" s="113"/>
    </row>
    <row r="14" spans="1:20" x14ac:dyDescent="0.2">
      <c r="A14" s="65">
        <v>44968</v>
      </c>
      <c r="B14" s="117">
        <v>2</v>
      </c>
      <c r="C14" s="121">
        <v>8.4</v>
      </c>
      <c r="D14" s="120">
        <v>18</v>
      </c>
      <c r="E14" s="52">
        <f t="shared" si="2"/>
        <v>9.6</v>
      </c>
      <c r="F14" s="122">
        <v>1635538.7</v>
      </c>
      <c r="G14" s="124">
        <v>1635899.3</v>
      </c>
      <c r="H14" s="52">
        <f t="shared" si="0"/>
        <v>360.60000000009313</v>
      </c>
      <c r="I14" s="55">
        <f>(H14*[1]Summary!$C$6)</f>
        <v>1024.1040000002645</v>
      </c>
      <c r="J14" s="130"/>
      <c r="K14" s="94"/>
      <c r="L14" s="46"/>
      <c r="N14" s="95">
        <v>44968</v>
      </c>
      <c r="O14" s="104">
        <v>69568</v>
      </c>
      <c r="P14" s="104">
        <v>70729.899999999994</v>
      </c>
      <c r="Q14" s="109">
        <f t="shared" si="1"/>
        <v>1161.8999999999942</v>
      </c>
      <c r="R14" s="113"/>
    </row>
    <row r="15" spans="1:20" x14ac:dyDescent="0.2">
      <c r="A15" s="65">
        <v>44969</v>
      </c>
      <c r="B15" s="117">
        <v>1</v>
      </c>
      <c r="C15" s="121">
        <v>8.4</v>
      </c>
      <c r="D15" s="120">
        <v>18</v>
      </c>
      <c r="E15" s="52">
        <f t="shared" si="2"/>
        <v>9.6</v>
      </c>
      <c r="F15" s="122">
        <v>1751852.5</v>
      </c>
      <c r="G15" s="124">
        <v>1752233.1</v>
      </c>
      <c r="H15" s="52">
        <f>G15-F15</f>
        <v>380.60000000009313</v>
      </c>
      <c r="I15" s="55">
        <f>(H15*[1]Summary!$C$6)</f>
        <v>1080.9040000002644</v>
      </c>
      <c r="J15" s="130"/>
      <c r="K15" s="46"/>
      <c r="L15" s="47"/>
      <c r="N15" s="95">
        <v>44969</v>
      </c>
      <c r="O15" s="103">
        <v>70729.899999999994</v>
      </c>
      <c r="P15" s="104">
        <v>71129.100000000006</v>
      </c>
      <c r="Q15" s="109">
        <f t="shared" si="1"/>
        <v>399.20000000001164</v>
      </c>
      <c r="R15" s="113"/>
    </row>
    <row r="16" spans="1:20" x14ac:dyDescent="0.2">
      <c r="A16" s="65">
        <v>44970</v>
      </c>
      <c r="B16" s="117">
        <v>2</v>
      </c>
      <c r="C16" s="121">
        <v>8.3000000000000007</v>
      </c>
      <c r="D16" s="120">
        <v>20</v>
      </c>
      <c r="E16" s="52">
        <f t="shared" si="2"/>
        <v>11.7</v>
      </c>
      <c r="F16" s="122">
        <v>1635899.3</v>
      </c>
      <c r="G16" s="124">
        <v>1636312.4</v>
      </c>
      <c r="H16" s="52">
        <f>G16-F16</f>
        <v>413.0999999998603</v>
      </c>
      <c r="I16" s="55">
        <f>(H16*[1]Summary!$C$6)</f>
        <v>1173.2039999996032</v>
      </c>
      <c r="J16" s="130"/>
      <c r="K16" s="46"/>
      <c r="L16" s="47"/>
      <c r="N16" s="95">
        <v>44970</v>
      </c>
      <c r="O16" s="103">
        <v>71129.100000000006</v>
      </c>
      <c r="P16" s="104">
        <v>71486.600000000006</v>
      </c>
      <c r="Q16" s="109">
        <f t="shared" si="1"/>
        <v>357.5</v>
      </c>
      <c r="R16" s="113"/>
    </row>
    <row r="17" spans="1:18" x14ac:dyDescent="0.2">
      <c r="A17" s="65">
        <v>44971</v>
      </c>
      <c r="B17" s="117">
        <v>1</v>
      </c>
      <c r="C17" s="120">
        <v>8.3000000000000007</v>
      </c>
      <c r="D17" s="120">
        <v>20</v>
      </c>
      <c r="E17" s="52">
        <f t="shared" si="2"/>
        <v>11.7</v>
      </c>
      <c r="F17" s="122">
        <v>1752233.1</v>
      </c>
      <c r="G17" s="124">
        <v>1752737</v>
      </c>
      <c r="H17" s="52">
        <f>G17-F17</f>
        <v>503.89999999990687</v>
      </c>
      <c r="I17" s="55">
        <f>(H17*[1]Summary!$C$6)</f>
        <v>1431.0759999997354</v>
      </c>
      <c r="J17" s="130"/>
      <c r="K17" s="46"/>
      <c r="L17" s="47"/>
      <c r="N17" s="95">
        <v>44971</v>
      </c>
      <c r="O17" s="103">
        <v>71486.600000000006</v>
      </c>
      <c r="P17" s="104">
        <v>71957.899999999994</v>
      </c>
      <c r="Q17" s="109">
        <f t="shared" si="1"/>
        <v>471.29999999998836</v>
      </c>
      <c r="R17" s="113"/>
    </row>
    <row r="18" spans="1:18" x14ac:dyDescent="0.2">
      <c r="A18" s="65">
        <v>44972</v>
      </c>
      <c r="B18" s="119">
        <v>2</v>
      </c>
      <c r="C18" s="121">
        <v>8.3000000000000007</v>
      </c>
      <c r="D18" s="120">
        <v>20</v>
      </c>
      <c r="E18" s="52">
        <f t="shared" si="2"/>
        <v>11.7</v>
      </c>
      <c r="F18" s="122">
        <v>1636312.3</v>
      </c>
      <c r="G18" s="124">
        <v>1636749.8</v>
      </c>
      <c r="H18" s="52">
        <f t="shared" si="0"/>
        <v>437.5</v>
      </c>
      <c r="I18" s="55">
        <f>(H18*[1]Summary!$C$6)</f>
        <v>1242.5</v>
      </c>
      <c r="J18" s="130">
        <v>5460</v>
      </c>
      <c r="K18" s="46"/>
      <c r="L18" s="47"/>
      <c r="N18" s="95">
        <v>44972</v>
      </c>
      <c r="O18" s="103">
        <v>71957.899999999994</v>
      </c>
      <c r="P18" s="104">
        <v>72443.8</v>
      </c>
      <c r="Q18" s="109">
        <f t="shared" si="1"/>
        <v>485.90000000000873</v>
      </c>
      <c r="R18" s="113">
        <v>5460</v>
      </c>
    </row>
    <row r="19" spans="1:18" x14ac:dyDescent="0.2">
      <c r="A19" s="65">
        <v>44973</v>
      </c>
      <c r="B19" s="119">
        <v>2</v>
      </c>
      <c r="C19" s="120">
        <v>8.3000000000000007</v>
      </c>
      <c r="D19" s="120">
        <v>20</v>
      </c>
      <c r="E19" s="52">
        <f t="shared" si="2"/>
        <v>11.7</v>
      </c>
      <c r="F19" s="122">
        <v>1636749.8</v>
      </c>
      <c r="G19" s="124">
        <v>1637170</v>
      </c>
      <c r="H19" s="52">
        <f>G19-F19</f>
        <v>420.19999999995343</v>
      </c>
      <c r="I19" s="55">
        <f>(H19*[1]Summary!$C$6)</f>
        <v>1193.3679999998676</v>
      </c>
      <c r="J19" s="130"/>
      <c r="K19" s="46"/>
      <c r="L19" s="47"/>
      <c r="N19" s="95">
        <v>44973</v>
      </c>
      <c r="O19" s="103"/>
      <c r="P19" s="104"/>
      <c r="Q19" s="109">
        <f t="shared" si="1"/>
        <v>0</v>
      </c>
      <c r="R19" s="113"/>
    </row>
    <row r="20" spans="1:18" x14ac:dyDescent="0.2">
      <c r="A20" s="65">
        <v>44974</v>
      </c>
      <c r="B20" s="119">
        <v>2</v>
      </c>
      <c r="C20" s="121">
        <v>8.3000000000000007</v>
      </c>
      <c r="D20" s="120">
        <v>20</v>
      </c>
      <c r="E20" s="52">
        <f t="shared" si="2"/>
        <v>11.7</v>
      </c>
      <c r="F20" s="122">
        <v>1637170</v>
      </c>
      <c r="G20" s="124">
        <v>1637669.8</v>
      </c>
      <c r="H20" s="52">
        <f t="shared" si="0"/>
        <v>499.80000000004657</v>
      </c>
      <c r="I20" s="55">
        <f>(H20*[1]Summary!$C$6)</f>
        <v>1419.4320000001321</v>
      </c>
      <c r="J20" s="130"/>
      <c r="K20" s="94"/>
      <c r="L20" s="46"/>
      <c r="M20" s="116"/>
      <c r="N20" s="95">
        <v>44974</v>
      </c>
      <c r="O20" s="105">
        <v>72443.8</v>
      </c>
      <c r="P20" s="104">
        <v>73944.3</v>
      </c>
      <c r="Q20" s="109">
        <f t="shared" si="1"/>
        <v>1500.5</v>
      </c>
      <c r="R20" s="113"/>
    </row>
    <row r="21" spans="1:18" x14ac:dyDescent="0.2">
      <c r="A21" s="65">
        <v>44975</v>
      </c>
      <c r="B21" s="119">
        <v>1</v>
      </c>
      <c r="C21" s="121">
        <v>8.3000000000000007</v>
      </c>
      <c r="D21" s="120">
        <v>22.5</v>
      </c>
      <c r="E21" s="52">
        <f t="shared" si="2"/>
        <v>14.2</v>
      </c>
      <c r="F21" s="122">
        <v>1752737</v>
      </c>
      <c r="G21" s="124">
        <v>1753280.8</v>
      </c>
      <c r="H21" s="52">
        <f t="shared" si="0"/>
        <v>543.80000000004657</v>
      </c>
      <c r="I21" s="55">
        <f>(H21*[1]Summary!$C$6)</f>
        <v>1544.3920000001322</v>
      </c>
      <c r="J21" s="130"/>
      <c r="K21" s="46"/>
      <c r="L21" s="47"/>
      <c r="M21" s="47"/>
      <c r="N21" s="95">
        <v>44975</v>
      </c>
      <c r="O21" s="103">
        <v>73944.3</v>
      </c>
      <c r="P21" s="104">
        <v>74477.7</v>
      </c>
      <c r="Q21" s="109">
        <f t="shared" si="1"/>
        <v>533.39999999999418</v>
      </c>
      <c r="R21" s="113"/>
    </row>
    <row r="22" spans="1:18" x14ac:dyDescent="0.2">
      <c r="A22" s="65">
        <v>44976</v>
      </c>
      <c r="B22" s="119">
        <v>2</v>
      </c>
      <c r="C22" s="121">
        <v>8.3000000000000007</v>
      </c>
      <c r="D22" s="120">
        <v>18</v>
      </c>
      <c r="E22" s="52">
        <f t="shared" si="2"/>
        <v>9.6999999999999993</v>
      </c>
      <c r="F22" s="124">
        <v>1637669.8</v>
      </c>
      <c r="G22" s="124">
        <v>1638114.8</v>
      </c>
      <c r="H22" s="52">
        <f>G22-F22</f>
        <v>445</v>
      </c>
      <c r="I22" s="55">
        <f>(H22*[1]Summary!$C$6)</f>
        <v>1263.8</v>
      </c>
      <c r="J22" s="131"/>
      <c r="K22" s="46"/>
      <c r="L22" s="47"/>
      <c r="M22" s="116"/>
      <c r="N22" s="95">
        <v>44976</v>
      </c>
      <c r="O22" s="103">
        <v>74477.7</v>
      </c>
      <c r="P22" s="104">
        <v>75039.100000000006</v>
      </c>
      <c r="Q22" s="109">
        <f t="shared" si="1"/>
        <v>561.40000000000873</v>
      </c>
      <c r="R22" s="113"/>
    </row>
    <row r="23" spans="1:18" x14ac:dyDescent="0.2">
      <c r="A23" s="65">
        <v>44977</v>
      </c>
      <c r="B23" s="119">
        <v>1</v>
      </c>
      <c r="C23" s="121">
        <v>8.3000000000000007</v>
      </c>
      <c r="D23" s="120">
        <v>20</v>
      </c>
      <c r="E23" s="52">
        <f t="shared" si="2"/>
        <v>11.7</v>
      </c>
      <c r="F23" s="124">
        <v>1753280.8</v>
      </c>
      <c r="G23" s="124">
        <v>1753768.3</v>
      </c>
      <c r="H23" s="52">
        <f t="shared" si="0"/>
        <v>487.5</v>
      </c>
      <c r="I23" s="55">
        <f>(H23*[1]Summary!$C$6)</f>
        <v>1384.5</v>
      </c>
      <c r="J23" s="130"/>
      <c r="K23" s="46"/>
      <c r="L23" s="47"/>
      <c r="N23" s="95">
        <v>44977</v>
      </c>
      <c r="O23" s="103">
        <v>75039.100000000006</v>
      </c>
      <c r="P23" s="104">
        <v>75430.3</v>
      </c>
      <c r="Q23" s="109">
        <f t="shared" si="1"/>
        <v>391.19999999999709</v>
      </c>
      <c r="R23" s="113"/>
    </row>
    <row r="24" spans="1:18" x14ac:dyDescent="0.2">
      <c r="A24" s="65">
        <v>44978</v>
      </c>
      <c r="B24" s="119">
        <v>2</v>
      </c>
      <c r="C24" s="120">
        <v>8.3000000000000007</v>
      </c>
      <c r="D24" s="120">
        <v>20</v>
      </c>
      <c r="E24" s="52">
        <f t="shared" si="2"/>
        <v>11.7</v>
      </c>
      <c r="F24" s="124">
        <v>1638114.8</v>
      </c>
      <c r="G24" s="124">
        <v>1638579.9</v>
      </c>
      <c r="H24" s="52">
        <f>G24-F24</f>
        <v>465.0999999998603</v>
      </c>
      <c r="I24" s="55">
        <f>(H24*[1]Summary!$C$6)</f>
        <v>1320.8839999996032</v>
      </c>
      <c r="J24" s="130"/>
      <c r="K24" s="46"/>
      <c r="L24" s="47"/>
      <c r="N24" s="95">
        <v>44978</v>
      </c>
      <c r="O24" s="103">
        <v>75430.3</v>
      </c>
      <c r="P24" s="104">
        <v>75931</v>
      </c>
      <c r="Q24" s="109">
        <f t="shared" si="1"/>
        <v>500.69999999999709</v>
      </c>
      <c r="R24" s="113"/>
    </row>
    <row r="25" spans="1:18" x14ac:dyDescent="0.2">
      <c r="A25" s="65">
        <v>44979</v>
      </c>
      <c r="B25" s="119">
        <v>1</v>
      </c>
      <c r="C25" s="121">
        <v>8.3000000000000007</v>
      </c>
      <c r="D25" s="120">
        <v>20</v>
      </c>
      <c r="E25" s="52">
        <f t="shared" si="2"/>
        <v>11.7</v>
      </c>
      <c r="F25" s="124">
        <v>1753768.3</v>
      </c>
      <c r="G25" s="124">
        <v>1754218.8</v>
      </c>
      <c r="H25" s="52">
        <f t="shared" si="0"/>
        <v>450.5</v>
      </c>
      <c r="I25" s="55">
        <f>(H25*[1]Summary!$C$6)</f>
        <v>1279.4199999999998</v>
      </c>
      <c r="J25" s="130">
        <v>-100</v>
      </c>
      <c r="K25" s="46" t="s">
        <v>58</v>
      </c>
      <c r="L25" s="47"/>
      <c r="N25" s="95">
        <v>44979</v>
      </c>
      <c r="O25" s="103">
        <v>75931</v>
      </c>
      <c r="P25" s="104">
        <v>76367</v>
      </c>
      <c r="Q25" s="109">
        <f t="shared" si="1"/>
        <v>436</v>
      </c>
      <c r="R25" s="113"/>
    </row>
    <row r="26" spans="1:18" x14ac:dyDescent="0.2">
      <c r="A26" s="65">
        <v>44980</v>
      </c>
      <c r="B26" s="119">
        <v>2</v>
      </c>
      <c r="C26" s="120">
        <v>8.3000000000000007</v>
      </c>
      <c r="D26" s="120">
        <v>19</v>
      </c>
      <c r="E26" s="52">
        <f t="shared" si="2"/>
        <v>10.7</v>
      </c>
      <c r="F26" s="122">
        <v>1638579.9</v>
      </c>
      <c r="G26" s="124">
        <v>1638987.3</v>
      </c>
      <c r="H26" s="52">
        <f t="shared" si="0"/>
        <v>407.4000000001397</v>
      </c>
      <c r="I26" s="55">
        <f>(H26*[1]Summary!$C$6)</f>
        <v>1157.0160000003966</v>
      </c>
      <c r="J26" s="130"/>
      <c r="K26" s="46"/>
      <c r="L26" s="47"/>
      <c r="N26" s="95">
        <v>44980</v>
      </c>
      <c r="O26" s="103">
        <v>75931</v>
      </c>
      <c r="P26" s="104">
        <v>76367</v>
      </c>
      <c r="Q26" s="109">
        <f t="shared" si="1"/>
        <v>436</v>
      </c>
      <c r="R26" s="113"/>
    </row>
    <row r="27" spans="1:18" x14ac:dyDescent="0.2">
      <c r="A27" s="65">
        <v>44981</v>
      </c>
      <c r="B27" s="119">
        <v>2</v>
      </c>
      <c r="C27" s="120">
        <v>8.3000000000000007</v>
      </c>
      <c r="D27" s="120">
        <v>20</v>
      </c>
      <c r="E27" s="52">
        <f t="shared" si="2"/>
        <v>11.7</v>
      </c>
      <c r="F27" s="122">
        <v>1638987.3</v>
      </c>
      <c r="G27" s="124">
        <v>1639393</v>
      </c>
      <c r="H27" s="52">
        <f t="shared" si="0"/>
        <v>405.69999999995343</v>
      </c>
      <c r="I27" s="55">
        <f>(H27*[1]Summary!$C$6)</f>
        <v>1152.1879999998678</v>
      </c>
      <c r="J27" s="130"/>
      <c r="K27" s="46"/>
      <c r="L27" s="47"/>
      <c r="N27" s="95">
        <v>44981</v>
      </c>
      <c r="O27" s="103"/>
      <c r="P27" s="104"/>
      <c r="Q27" s="109">
        <f t="shared" si="1"/>
        <v>0</v>
      </c>
      <c r="R27" s="113"/>
    </row>
    <row r="28" spans="1:18" x14ac:dyDescent="0.2">
      <c r="A28" s="65">
        <v>44982</v>
      </c>
      <c r="B28" s="119">
        <v>1</v>
      </c>
      <c r="C28" s="120">
        <v>8.3000000000000007</v>
      </c>
      <c r="D28" s="120">
        <v>20</v>
      </c>
      <c r="E28" s="52">
        <f t="shared" si="2"/>
        <v>11.7</v>
      </c>
      <c r="F28" s="122">
        <v>1754218.8</v>
      </c>
      <c r="G28" s="124">
        <v>1754663.9</v>
      </c>
      <c r="H28" s="52">
        <f t="shared" si="0"/>
        <v>445.0999999998603</v>
      </c>
      <c r="I28" s="55">
        <f>(H28*[1]Summary!$C$6)</f>
        <v>1264.0839999996033</v>
      </c>
      <c r="J28" s="130"/>
      <c r="K28" s="46"/>
      <c r="L28" s="47"/>
      <c r="N28" s="95">
        <v>44982</v>
      </c>
      <c r="O28" s="103">
        <v>76367</v>
      </c>
      <c r="P28" s="104">
        <v>77254.899999999994</v>
      </c>
      <c r="Q28" s="109">
        <f>P28-O28</f>
        <v>887.89999999999418</v>
      </c>
      <c r="R28" s="113"/>
    </row>
    <row r="29" spans="1:18" x14ac:dyDescent="0.2">
      <c r="A29" s="65">
        <v>44983</v>
      </c>
      <c r="B29" s="119">
        <v>2</v>
      </c>
      <c r="C29" s="120">
        <v>8.3000000000000007</v>
      </c>
      <c r="D29" s="120">
        <v>18</v>
      </c>
      <c r="E29" s="52">
        <f t="shared" si="2"/>
        <v>9.6999999999999993</v>
      </c>
      <c r="F29" s="122">
        <v>1639393</v>
      </c>
      <c r="G29" s="124">
        <v>1639768.3</v>
      </c>
      <c r="H29" s="52">
        <f t="shared" si="0"/>
        <v>375.30000000004657</v>
      </c>
      <c r="I29" s="55">
        <f>(H29*[1]Summary!$C$6)</f>
        <v>1065.8520000001322</v>
      </c>
      <c r="J29" s="130"/>
      <c r="K29" s="46"/>
      <c r="L29" s="47"/>
      <c r="N29" s="95">
        <v>44983</v>
      </c>
      <c r="O29" s="103">
        <v>77254.899999999994</v>
      </c>
      <c r="P29" s="104">
        <v>77701</v>
      </c>
      <c r="Q29" s="109">
        <f t="shared" si="1"/>
        <v>446.10000000000582</v>
      </c>
      <c r="R29" s="113"/>
    </row>
    <row r="30" spans="1:18" x14ac:dyDescent="0.2">
      <c r="A30" s="65">
        <v>44984</v>
      </c>
      <c r="B30" s="119">
        <v>1</v>
      </c>
      <c r="C30" s="120">
        <v>8.3000000000000007</v>
      </c>
      <c r="D30" s="120">
        <v>18</v>
      </c>
      <c r="E30" s="52">
        <f>D30-C30</f>
        <v>9.6999999999999993</v>
      </c>
      <c r="F30" s="122">
        <v>1754663.9</v>
      </c>
      <c r="G30" s="124">
        <v>1755054.7</v>
      </c>
      <c r="H30" s="52">
        <f t="shared" si="0"/>
        <v>390.80000000004657</v>
      </c>
      <c r="I30" s="55">
        <f>(H30*[1]Summary!$C$6)</f>
        <v>1109.8720000001322</v>
      </c>
      <c r="J30" s="66"/>
      <c r="K30" s="46"/>
      <c r="L30" s="47"/>
      <c r="N30" s="95">
        <v>44984</v>
      </c>
      <c r="O30" s="103">
        <v>77701</v>
      </c>
      <c r="P30" s="104">
        <v>78118.2</v>
      </c>
      <c r="Q30" s="109">
        <f t="shared" si="1"/>
        <v>417.19999999999709</v>
      </c>
      <c r="R30" s="113"/>
    </row>
    <row r="31" spans="1:18" x14ac:dyDescent="0.2">
      <c r="A31" s="65">
        <v>44985</v>
      </c>
      <c r="B31" s="117">
        <v>2</v>
      </c>
      <c r="C31" s="120">
        <v>8.3000000000000007</v>
      </c>
      <c r="D31" s="120">
        <v>18</v>
      </c>
      <c r="E31" s="52">
        <f>D31-C31</f>
        <v>9.6999999999999993</v>
      </c>
      <c r="F31" s="122">
        <v>1639768.3</v>
      </c>
      <c r="G31" s="124">
        <v>1640158.4</v>
      </c>
      <c r="H31" s="52">
        <f>G31-F31</f>
        <v>390.0999999998603</v>
      </c>
      <c r="I31" s="55">
        <f>(H31*[1]Summary!$C$6)</f>
        <v>1107.8839999996032</v>
      </c>
      <c r="J31" s="66"/>
      <c r="K31" s="94"/>
      <c r="L31" s="46"/>
      <c r="N31" s="95">
        <v>44985</v>
      </c>
      <c r="O31" s="103">
        <v>78118.2</v>
      </c>
      <c r="P31" s="104">
        <v>78356.800000000003</v>
      </c>
      <c r="Q31" s="109">
        <f t="shared" si="1"/>
        <v>238.60000000000582</v>
      </c>
      <c r="R31" s="113"/>
    </row>
    <row r="32" spans="1:18" x14ac:dyDescent="0.2">
      <c r="A32" s="65"/>
      <c r="B32" s="51"/>
      <c r="C32" s="51"/>
      <c r="D32" s="51"/>
      <c r="E32" s="52">
        <f t="shared" si="2"/>
        <v>0</v>
      </c>
      <c r="F32" s="53"/>
      <c r="G32" s="54"/>
      <c r="H32" s="52">
        <f t="shared" si="0"/>
        <v>0</v>
      </c>
      <c r="I32" s="55">
        <f>(H32*[1]Summary!$C$6)</f>
        <v>0</v>
      </c>
      <c r="J32" s="66"/>
      <c r="K32" s="46"/>
      <c r="L32" s="47"/>
      <c r="N32" s="65"/>
      <c r="O32" s="103"/>
      <c r="P32" s="104"/>
      <c r="Q32" s="109">
        <f>P32-O32</f>
        <v>0</v>
      </c>
      <c r="R32" s="113"/>
    </row>
    <row r="33" spans="1:19" x14ac:dyDescent="0.2">
      <c r="A33" s="65"/>
      <c r="B33" s="51"/>
      <c r="C33" s="51"/>
      <c r="D33" s="51"/>
      <c r="E33" s="52">
        <f>D33-C33</f>
        <v>0</v>
      </c>
      <c r="F33" s="53"/>
      <c r="G33" s="54"/>
      <c r="H33" s="52">
        <f>G33-F33</f>
        <v>0</v>
      </c>
      <c r="I33" s="55">
        <f>(H33*[1]Summary!$C$6)</f>
        <v>0</v>
      </c>
      <c r="J33" s="66"/>
      <c r="K33" s="46"/>
      <c r="L33" s="47"/>
      <c r="N33" s="65"/>
      <c r="O33" s="103"/>
      <c r="P33" s="104"/>
      <c r="Q33" s="109">
        <f>P33-O33</f>
        <v>0</v>
      </c>
      <c r="R33" s="113"/>
    </row>
    <row r="34" spans="1:19" x14ac:dyDescent="0.2">
      <c r="A34" s="65"/>
      <c r="B34" s="51"/>
      <c r="C34" s="51"/>
      <c r="D34" s="51"/>
      <c r="E34" s="52">
        <f>D34-C34</f>
        <v>0</v>
      </c>
      <c r="F34" s="53"/>
      <c r="G34" s="54"/>
      <c r="H34" s="52">
        <f>G34-F34</f>
        <v>0</v>
      </c>
      <c r="I34" s="55">
        <f>(H34*[1]Summary!$C$6)</f>
        <v>0</v>
      </c>
      <c r="J34" s="67"/>
      <c r="K34" s="30"/>
      <c r="N34" s="65"/>
      <c r="O34" s="103"/>
      <c r="P34" s="104"/>
      <c r="Q34" s="109">
        <f>P34-O34</f>
        <v>0</v>
      </c>
      <c r="R34" s="113"/>
    </row>
    <row r="35" spans="1:19" x14ac:dyDescent="0.2">
      <c r="A35" s="65"/>
      <c r="B35" s="51"/>
      <c r="C35" s="51"/>
      <c r="D35" s="51"/>
      <c r="E35" s="52">
        <f t="shared" si="2"/>
        <v>0</v>
      </c>
      <c r="F35" s="53"/>
      <c r="G35" s="54"/>
      <c r="H35" s="52">
        <f t="shared" si="0"/>
        <v>0</v>
      </c>
      <c r="I35" s="55">
        <f>(H35*[1]Summary!$C$6)</f>
        <v>0</v>
      </c>
      <c r="J35" s="68"/>
      <c r="K35" s="30"/>
      <c r="N35" s="77"/>
      <c r="O35" s="106"/>
      <c r="P35" s="107"/>
      <c r="Q35" s="110">
        <f t="shared" ref="Q35" si="5">P35-O35</f>
        <v>0</v>
      </c>
      <c r="R35" s="113"/>
    </row>
    <row r="36" spans="1:19" ht="25.5" x14ac:dyDescent="0.25">
      <c r="A36" s="144" t="s">
        <v>27</v>
      </c>
      <c r="B36" s="145"/>
      <c r="C36" s="69"/>
      <c r="D36" s="69"/>
      <c r="E36" s="70"/>
      <c r="F36" s="71"/>
      <c r="G36" s="72"/>
      <c r="H36" s="73">
        <f>SUM(H4:H35)</f>
        <v>11007.399999999907</v>
      </c>
      <c r="I36" s="73">
        <f>SUM(I4:I35)</f>
        <v>31261.01599999973</v>
      </c>
      <c r="J36" s="74">
        <f>SUM(J4:J35)-H36</f>
        <v>1948.8000000000939</v>
      </c>
      <c r="K36" s="32" t="s">
        <v>59</v>
      </c>
      <c r="L36" s="33"/>
      <c r="N36" s="77"/>
      <c r="O36" s="78"/>
      <c r="P36" s="96" t="s">
        <v>54</v>
      </c>
      <c r="Q36" s="111">
        <f>SUM(Q4:Q35)</f>
        <v>12317</v>
      </c>
      <c r="R36" s="114">
        <f>SUM(R4:R35)-Q36</f>
        <v>1456.3999999999996</v>
      </c>
      <c r="S36" s="115"/>
    </row>
    <row r="37" spans="1:19" x14ac:dyDescent="0.2">
      <c r="A37" s="17"/>
      <c r="D37" s="1"/>
    </row>
    <row r="57" spans="1:4" x14ac:dyDescent="0.2">
      <c r="A57" s="86" t="s">
        <v>60</v>
      </c>
      <c r="B57"/>
      <c r="C57"/>
    </row>
    <row r="58" spans="1:4" x14ac:dyDescent="0.2">
      <c r="A58" s="75"/>
      <c r="B58" s="87" t="s">
        <v>61</v>
      </c>
      <c r="C58" s="87"/>
      <c r="D58" s="80"/>
    </row>
    <row r="59" spans="1:4" x14ac:dyDescent="0.2">
      <c r="A59" s="76"/>
      <c r="B59" s="86"/>
      <c r="C59" s="86" t="s">
        <v>62</v>
      </c>
      <c r="D59" s="81"/>
    </row>
    <row r="60" spans="1:4" x14ac:dyDescent="0.2">
      <c r="A60" s="76"/>
      <c r="B60" s="86"/>
      <c r="C60" s="86" t="s">
        <v>63</v>
      </c>
      <c r="D60" s="81"/>
    </row>
    <row r="61" spans="1:4" x14ac:dyDescent="0.2">
      <c r="A61" s="76"/>
      <c r="B61" s="86"/>
      <c r="C61" s="86" t="s">
        <v>64</v>
      </c>
      <c r="D61" s="81"/>
    </row>
    <row r="62" spans="1:4" x14ac:dyDescent="0.2">
      <c r="A62" s="76"/>
      <c r="B62" s="86"/>
      <c r="C62" s="86" t="s">
        <v>65</v>
      </c>
      <c r="D62" s="81"/>
    </row>
    <row r="63" spans="1:4" x14ac:dyDescent="0.2">
      <c r="A63" s="76"/>
      <c r="B63"/>
      <c r="C63"/>
      <c r="D63" s="81"/>
    </row>
    <row r="64" spans="1:4" x14ac:dyDescent="0.2">
      <c r="A64" s="76"/>
      <c r="B64" s="86" t="s">
        <v>66</v>
      </c>
      <c r="C64" s="86" t="s">
        <v>67</v>
      </c>
      <c r="D64" s="81"/>
    </row>
    <row r="65" spans="1:4" x14ac:dyDescent="0.2">
      <c r="A65" s="76"/>
      <c r="B65" s="86" t="s">
        <v>68</v>
      </c>
      <c r="C65" s="86" t="s">
        <v>69</v>
      </c>
      <c r="D65" s="81"/>
    </row>
    <row r="66" spans="1:4" x14ac:dyDescent="0.2">
      <c r="A66" s="76"/>
      <c r="B66" s="86"/>
      <c r="C66" s="86" t="s">
        <v>70</v>
      </c>
      <c r="D66" s="81"/>
    </row>
    <row r="67" spans="1:4" x14ac:dyDescent="0.2">
      <c r="A67" s="82"/>
      <c r="B67" s="86"/>
      <c r="C67" s="86" t="s">
        <v>71</v>
      </c>
      <c r="D67" s="81"/>
    </row>
    <row r="68" spans="1:4" x14ac:dyDescent="0.2">
      <c r="A68" s="82"/>
      <c r="B68" s="86"/>
      <c r="C68" s="86" t="s">
        <v>72</v>
      </c>
      <c r="D68" s="89"/>
    </row>
    <row r="69" spans="1:4" x14ac:dyDescent="0.2">
      <c r="A69" s="82"/>
      <c r="B69"/>
      <c r="C69" s="86" t="s">
        <v>73</v>
      </c>
      <c r="D69" s="81"/>
    </row>
    <row r="70" spans="1:4" x14ac:dyDescent="0.2">
      <c r="A70" s="77"/>
      <c r="B70" s="78"/>
      <c r="C70" s="78"/>
      <c r="D70" s="79"/>
    </row>
  </sheetData>
  <mergeCells count="6">
    <mergeCell ref="S4:T4"/>
    <mergeCell ref="S6:T6"/>
    <mergeCell ref="A36:B36"/>
    <mergeCell ref="K4:L4"/>
    <mergeCell ref="N2:R2"/>
    <mergeCell ref="K6:L6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Albany Chang</cp:lastModifiedBy>
  <cp:revision/>
  <dcterms:created xsi:type="dcterms:W3CDTF">2010-04-20T02:02:44Z</dcterms:created>
  <dcterms:modified xsi:type="dcterms:W3CDTF">2023-03-04T03:54:57Z</dcterms:modified>
  <cp:category/>
  <cp:contentStatus/>
</cp:coreProperties>
</file>