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xr:revisionPtr revIDLastSave="3" documentId="11_40DB857C36CC4B11353D86A5A85B1B1661DF2EB2" xr6:coauthVersionLast="47" xr6:coauthVersionMax="47" xr10:uidLastSave="{E3442297-0DE1-4FDE-BA79-6472E8E0B200}"/>
  <bookViews>
    <workbookView xWindow="0" yWindow="0" windowWidth="20400" windowHeight="7755" xr2:uid="{00000000-000D-0000-FFFF-FFFF00000000}"/>
  </bookViews>
  <sheets>
    <sheet name="TOTAL" sheetId="2" r:id="rId1"/>
    <sheet name="FSRW Meter Reading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5" i="3"/>
  <c r="L5" i="3" s="1"/>
  <c r="I3" i="2" s="1"/>
  <c r="K6" i="3"/>
  <c r="K7" i="3"/>
  <c r="K8" i="3"/>
  <c r="K9" i="3"/>
  <c r="L9" i="3" s="1"/>
  <c r="I7" i="2" s="1"/>
  <c r="K10" i="3"/>
  <c r="K11" i="3"/>
  <c r="K12" i="3"/>
  <c r="K13" i="3"/>
  <c r="L13" i="3" s="1"/>
  <c r="I11" i="2" s="1"/>
  <c r="K14" i="3"/>
  <c r="K15" i="3"/>
  <c r="K16" i="3"/>
  <c r="K17" i="3"/>
  <c r="L17" i="3" s="1"/>
  <c r="I15" i="2" s="1"/>
  <c r="K18" i="3"/>
  <c r="K19" i="3"/>
  <c r="K20" i="3"/>
  <c r="K21" i="3"/>
  <c r="L21" i="3" s="1"/>
  <c r="I19" i="2" s="1"/>
  <c r="K22" i="3"/>
  <c r="K23" i="3"/>
  <c r="K24" i="3"/>
  <c r="K25" i="3"/>
  <c r="L25" i="3" s="1"/>
  <c r="I23" i="2" s="1"/>
  <c r="K26" i="3"/>
  <c r="K27" i="3"/>
  <c r="K28" i="3"/>
  <c r="K29" i="3"/>
  <c r="K30" i="3"/>
  <c r="K31" i="3"/>
  <c r="K32" i="3"/>
  <c r="K33" i="3"/>
  <c r="K34" i="3"/>
  <c r="L34" i="3" s="1"/>
  <c r="I32" i="2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L28" i="3" l="1"/>
  <c r="I26" i="2" s="1"/>
  <c r="L22" i="3"/>
  <c r="I20" i="2" s="1"/>
  <c r="L16" i="3"/>
  <c r="I14" i="2" s="1"/>
  <c r="L10" i="3"/>
  <c r="I8" i="2" s="1"/>
  <c r="L33" i="3"/>
  <c r="I31" i="2" s="1"/>
  <c r="L27" i="3"/>
  <c r="I25" i="2" s="1"/>
  <c r="L15" i="3"/>
  <c r="I13" i="2" s="1"/>
  <c r="L32" i="3"/>
  <c r="I30" i="2" s="1"/>
  <c r="L26" i="3"/>
  <c r="I24" i="2" s="1"/>
  <c r="L20" i="3"/>
  <c r="I18" i="2" s="1"/>
  <c r="L14" i="3"/>
  <c r="I12" i="2" s="1"/>
  <c r="L8" i="3"/>
  <c r="I6" i="2" s="1"/>
  <c r="L31" i="3"/>
  <c r="I29" i="2" s="1"/>
  <c r="L19" i="3"/>
  <c r="I17" i="2" s="1"/>
  <c r="L7" i="3"/>
  <c r="I5" i="2" s="1"/>
  <c r="L30" i="3"/>
  <c r="I28" i="2" s="1"/>
  <c r="L24" i="3"/>
  <c r="I22" i="2" s="1"/>
  <c r="L18" i="3"/>
  <c r="I16" i="2" s="1"/>
  <c r="L12" i="3"/>
  <c r="I10" i="2" s="1"/>
  <c r="L6" i="3"/>
  <c r="I4" i="2" s="1"/>
  <c r="L4" i="3"/>
  <c r="I2" i="2" s="1"/>
  <c r="L29" i="3"/>
  <c r="I27" i="2" s="1"/>
  <c r="L23" i="3"/>
  <c r="I21" i="2" s="1"/>
  <c r="L11" i="3"/>
  <c r="I9" i="2" s="1"/>
  <c r="K35" i="3"/>
  <c r="E32" i="2"/>
  <c r="I35" i="3"/>
  <c r="G3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<sst xmlns="http://schemas.openxmlformats.org/spreadsheetml/2006/main" count="63" uniqueCount="28">
  <si>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</si>
  <si>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</si>
  <si>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</si>
  <si>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</si>
  <si>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</si>
  <si>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</si>
  <si>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</si>
  <si>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</si>
  <si>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</si>
  <si>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</si>
  <si>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</si>
  <si>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</si>
  <si>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</si>
  <si>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 xml:space="preserve">Date </t>
  </si>
  <si>
    <t xml:space="preserve">Room Night </t>
  </si>
  <si>
    <t>Natural Gas</t>
  </si>
  <si>
    <t>Electricity (Hydro)</t>
  </si>
  <si>
    <t xml:space="preserve">Water </t>
  </si>
  <si>
    <t>Gas (GJ)</t>
  </si>
  <si>
    <t>Daily consumption GJ</t>
  </si>
  <si>
    <t>Daily consumption m3</t>
  </si>
  <si>
    <t xml:space="preserve"> Reading KWh</t>
  </si>
  <si>
    <t>Hydro (Kw/h)</t>
  </si>
  <si>
    <t>Kw/h with multiplier</t>
  </si>
  <si>
    <t xml:space="preserve"> Reading M³</t>
  </si>
  <si>
    <t>Daily consumption M³</t>
  </si>
  <si>
    <t>Conv x 4.7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</si>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</sst>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 ;[Red]\-0\ "/>
    <numFmt numFmtId="166" formatCode="[$-809]dd\ mmmm\ yyyy;@"/>
    <numFmt numFmtId="167" formatCode="0;[Red]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19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K2" sqref="K2"/>
    </sheetView>
  </sheetViews>
  <sheetFormatPr defaultColWidth="9.140625" defaultRowHeight="12.75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3" t="s">
        <v>10</v>
      </c>
      <c r="L1" s="3" t="s">
        <v>11</v>
      </c>
    </row>
    <row r="2" spans="1:12" ht="15">
      <c r="A2" s="5" t="s">
        <v>12</v>
      </c>
      <c r="B2" s="6">
        <v>1</v>
      </c>
      <c r="C2" s="7">
        <v>3</v>
      </c>
      <c r="D2" s="6">
        <v>2022</v>
      </c>
      <c r="E2" s="8">
        <f>'FSRW Meter Readings'!I4</f>
        <v>14400</v>
      </c>
      <c r="F2" s="9">
        <v>0.06</v>
      </c>
      <c r="G2" s="8">
        <f>'FSRW Meter Readings'!F4</f>
        <v>2495.19</v>
      </c>
      <c r="H2" s="9">
        <v>0.4</v>
      </c>
      <c r="I2" s="8">
        <f>'FSRW Meter Readings'!L4</f>
        <v>70.5</v>
      </c>
      <c r="J2" s="9"/>
      <c r="K2" s="8">
        <f>'FSRW Meter Readings'!B4</f>
        <v>155</v>
      </c>
      <c r="L2" s="8">
        <f>'FSRW Meter Readings'!C4</f>
        <v>0</v>
      </c>
    </row>
    <row r="3" spans="1:12" ht="15">
      <c r="A3" s="5" t="s">
        <v>12</v>
      </c>
      <c r="B3" s="6">
        <f>B2+1</f>
        <v>2</v>
      </c>
      <c r="C3" s="7">
        <v>3</v>
      </c>
      <c r="D3" s="6">
        <v>2022</v>
      </c>
      <c r="E3" s="8">
        <f>'FSRW Meter Readings'!I5</f>
        <v>16800</v>
      </c>
      <c r="F3" s="9">
        <v>0.06</v>
      </c>
      <c r="G3" s="8">
        <f>'FSRW Meter Readings'!F5</f>
        <v>2736.66</v>
      </c>
      <c r="H3" s="9">
        <v>0.4</v>
      </c>
      <c r="I3" s="8">
        <f>'FSRW Meter Readings'!L5</f>
        <v>89.3</v>
      </c>
      <c r="J3" s="9"/>
      <c r="K3" s="8">
        <f>'FSRW Meter Readings'!B5</f>
        <v>135</v>
      </c>
      <c r="L3" s="8">
        <f>'FSRW Meter Readings'!C5</f>
        <v>0</v>
      </c>
    </row>
    <row r="4" spans="1:12" ht="15">
      <c r="A4" s="5" t="s">
        <v>12</v>
      </c>
      <c r="B4" s="6">
        <f t="shared" ref="B4:B32" si="0">B3+1</f>
        <v>3</v>
      </c>
      <c r="C4" s="7">
        <v>3</v>
      </c>
      <c r="D4" s="6">
        <v>2022</v>
      </c>
      <c r="E4" s="8">
        <f>'FSRW Meter Readings'!I6</f>
        <v>20400</v>
      </c>
      <c r="F4" s="9">
        <v>0.06</v>
      </c>
      <c r="G4" s="8">
        <f>'FSRW Meter Readings'!F6</f>
        <v>2522.02</v>
      </c>
      <c r="H4" s="9">
        <v>0.4</v>
      </c>
      <c r="I4" s="8">
        <f>'FSRW Meter Readings'!L6</f>
        <v>23.5</v>
      </c>
      <c r="J4" s="9"/>
      <c r="K4" s="8">
        <f>'FSRW Meter Readings'!B6</f>
        <v>161</v>
      </c>
      <c r="L4" s="8">
        <f>'FSRW Meter Readings'!C6</f>
        <v>0</v>
      </c>
    </row>
    <row r="5" spans="1:12" ht="15">
      <c r="A5" s="5" t="s">
        <v>12</v>
      </c>
      <c r="B5" s="6">
        <f t="shared" si="0"/>
        <v>4</v>
      </c>
      <c r="C5" s="7">
        <v>3</v>
      </c>
      <c r="D5" s="6">
        <v>2022</v>
      </c>
      <c r="E5" s="8">
        <f>'FSRW Meter Readings'!I7</f>
        <v>16800</v>
      </c>
      <c r="F5" s="9">
        <v>0.06</v>
      </c>
      <c r="G5" s="8">
        <f>'FSRW Meter Readings'!F7</f>
        <v>3165.9399999999996</v>
      </c>
      <c r="H5" s="9">
        <v>0.4</v>
      </c>
      <c r="I5" s="8">
        <f>'FSRW Meter Readings'!L7</f>
        <v>155.1</v>
      </c>
      <c r="J5" s="9"/>
      <c r="K5" s="8">
        <f>'FSRW Meter Readings'!B7</f>
        <v>192</v>
      </c>
      <c r="L5" s="8">
        <f>'FSRW Meter Readings'!C7</f>
        <v>0</v>
      </c>
    </row>
    <row r="6" spans="1:12" ht="15">
      <c r="A6" s="5" t="s">
        <v>12</v>
      </c>
      <c r="B6" s="6">
        <f t="shared" si="0"/>
        <v>5</v>
      </c>
      <c r="C6" s="7">
        <v>3</v>
      </c>
      <c r="D6" s="6">
        <v>2022</v>
      </c>
      <c r="E6" s="8">
        <f>'FSRW Meter Readings'!I8</f>
        <v>13200</v>
      </c>
      <c r="F6" s="9">
        <v>0.06</v>
      </c>
      <c r="G6" s="8">
        <f>'FSRW Meter Readings'!F8</f>
        <v>2951.2999999999997</v>
      </c>
      <c r="H6" s="9">
        <v>0.4</v>
      </c>
      <c r="I6" s="8">
        <f>'FSRW Meter Readings'!L8</f>
        <v>84.600000000000009</v>
      </c>
      <c r="J6" s="9"/>
      <c r="K6" s="8">
        <f>'FSRW Meter Readings'!B8</f>
        <v>214</v>
      </c>
      <c r="L6" s="8">
        <f>'FSRW Meter Readings'!C8</f>
        <v>0</v>
      </c>
    </row>
    <row r="7" spans="1:12" ht="15">
      <c r="A7" s="5" t="s">
        <v>12</v>
      </c>
      <c r="B7" s="6">
        <f t="shared" si="0"/>
        <v>6</v>
      </c>
      <c r="C7" s="7">
        <v>3</v>
      </c>
      <c r="D7" s="6">
        <v>2022</v>
      </c>
      <c r="E7" s="8">
        <f>'FSRW Meter Readings'!I9</f>
        <v>16800</v>
      </c>
      <c r="F7" s="9">
        <v>0.06</v>
      </c>
      <c r="G7" s="8">
        <f>'FSRW Meter Readings'!F9</f>
        <v>2790.3199999999997</v>
      </c>
      <c r="H7" s="9">
        <v>0.4</v>
      </c>
      <c r="I7" s="8">
        <f>'FSRW Meter Readings'!L9</f>
        <v>112.80000000000001</v>
      </c>
      <c r="J7" s="9"/>
      <c r="K7" s="8">
        <f>'FSRW Meter Readings'!B9</f>
        <v>174</v>
      </c>
      <c r="L7" s="8">
        <f>'FSRW Meter Readings'!C9</f>
        <v>0</v>
      </c>
    </row>
    <row r="8" spans="1:12" ht="15">
      <c r="A8" s="5" t="s">
        <v>12</v>
      </c>
      <c r="B8" s="6">
        <f t="shared" si="0"/>
        <v>7</v>
      </c>
      <c r="C8" s="7">
        <v>3</v>
      </c>
      <c r="D8" s="6">
        <v>2022</v>
      </c>
      <c r="E8" s="8">
        <f>'FSRW Meter Readings'!I10</f>
        <v>15600</v>
      </c>
      <c r="F8" s="9">
        <v>0.06</v>
      </c>
      <c r="G8" s="8">
        <f>'FSRW Meter Readings'!F10</f>
        <v>2656.1699999999996</v>
      </c>
      <c r="H8" s="9">
        <v>0.4</v>
      </c>
      <c r="I8" s="8">
        <f>'FSRW Meter Readings'!L10</f>
        <v>0</v>
      </c>
      <c r="J8" s="9"/>
      <c r="K8" s="8">
        <f>'FSRW Meter Readings'!B10</f>
        <v>172</v>
      </c>
      <c r="L8" s="8">
        <f>'FSRW Meter Readings'!C10</f>
        <v>0</v>
      </c>
    </row>
    <row r="9" spans="1:12" ht="15">
      <c r="A9" s="5" t="s">
        <v>12</v>
      </c>
      <c r="B9" s="6">
        <f t="shared" si="0"/>
        <v>8</v>
      </c>
      <c r="C9" s="7">
        <v>3</v>
      </c>
      <c r="D9" s="6">
        <v>2022</v>
      </c>
      <c r="E9" s="8">
        <f>'FSRW Meter Readings'!I11</f>
        <v>14400</v>
      </c>
      <c r="F9" s="9">
        <v>0.06</v>
      </c>
      <c r="G9" s="8">
        <f>'FSRW Meter Readings'!F11</f>
        <v>2334.21</v>
      </c>
      <c r="H9" s="9">
        <v>0.4</v>
      </c>
      <c r="I9" s="8">
        <f>'FSRW Meter Readings'!L11</f>
        <v>75.2</v>
      </c>
      <c r="J9" s="9"/>
      <c r="K9" s="8">
        <f>'FSRW Meter Readings'!B11</f>
        <v>131</v>
      </c>
      <c r="L9" s="8">
        <f>'FSRW Meter Readings'!C11</f>
        <v>0</v>
      </c>
    </row>
    <row r="10" spans="1:12" ht="15">
      <c r="A10" s="5" t="s">
        <v>12</v>
      </c>
      <c r="B10" s="6">
        <f t="shared" si="0"/>
        <v>9</v>
      </c>
      <c r="C10" s="7">
        <v>3</v>
      </c>
      <c r="D10" s="6">
        <v>2022</v>
      </c>
      <c r="E10" s="8">
        <f>'FSRW Meter Readings'!I12</f>
        <v>19200</v>
      </c>
      <c r="F10" s="9">
        <v>0.06</v>
      </c>
      <c r="G10" s="8">
        <f>'FSRW Meter Readings'!F12</f>
        <v>2790.3199999999997</v>
      </c>
      <c r="H10" s="9">
        <v>0.4</v>
      </c>
      <c r="I10" s="8">
        <f>'FSRW Meter Readings'!L12</f>
        <v>75.2</v>
      </c>
      <c r="J10" s="9"/>
      <c r="K10" s="8">
        <f>'FSRW Meter Readings'!B12</f>
        <v>136</v>
      </c>
      <c r="L10" s="8">
        <f>'FSRW Meter Readings'!C12</f>
        <v>0</v>
      </c>
    </row>
    <row r="11" spans="1:12" ht="15">
      <c r="A11" s="5" t="s">
        <v>12</v>
      </c>
      <c r="B11" s="6">
        <f t="shared" si="0"/>
        <v>10</v>
      </c>
      <c r="C11" s="7">
        <v>3</v>
      </c>
      <c r="D11" s="6">
        <v>2022</v>
      </c>
      <c r="E11" s="8">
        <f>'FSRW Meter Readings'!I13</f>
        <v>14400</v>
      </c>
      <c r="F11" s="9">
        <v>0.06</v>
      </c>
      <c r="G11" s="8">
        <f>'FSRW Meter Readings'!F13</f>
        <v>3434.24</v>
      </c>
      <c r="H11" s="9">
        <v>0.4</v>
      </c>
      <c r="I11" s="8">
        <f>'FSRW Meter Readings'!L13</f>
        <v>70.5</v>
      </c>
      <c r="J11" s="9"/>
      <c r="K11" s="8">
        <f>'FSRW Meter Readings'!B13</f>
        <v>147</v>
      </c>
      <c r="L11" s="8">
        <f>'FSRW Meter Readings'!C13</f>
        <v>0</v>
      </c>
    </row>
    <row r="12" spans="1:12" ht="15">
      <c r="A12" s="5" t="s">
        <v>12</v>
      </c>
      <c r="B12" s="6">
        <f t="shared" si="0"/>
        <v>11</v>
      </c>
      <c r="C12" s="7">
        <v>3</v>
      </c>
      <c r="D12" s="6">
        <v>2022</v>
      </c>
      <c r="E12" s="8">
        <f>'FSRW Meter Readings'!I14</f>
        <v>19200</v>
      </c>
      <c r="F12" s="9">
        <v>0.06</v>
      </c>
      <c r="G12" s="8">
        <f>'FSRW Meter Readings'!F14</f>
        <v>3622.0499999999997</v>
      </c>
      <c r="H12" s="9">
        <v>0.4</v>
      </c>
      <c r="I12" s="8">
        <f>'FSRW Meter Readings'!L14</f>
        <v>94</v>
      </c>
      <c r="J12" s="9"/>
      <c r="K12" s="8">
        <f>'FSRW Meter Readings'!B14</f>
        <v>162</v>
      </c>
      <c r="L12" s="8">
        <f>'FSRW Meter Readings'!C14</f>
        <v>0</v>
      </c>
    </row>
    <row r="13" spans="1:12" ht="15">
      <c r="A13" s="5" t="s">
        <v>12</v>
      </c>
      <c r="B13" s="6">
        <f t="shared" si="0"/>
        <v>12</v>
      </c>
      <c r="C13" s="7">
        <v>3</v>
      </c>
      <c r="D13" s="6">
        <v>2022</v>
      </c>
      <c r="E13" s="8">
        <f>'FSRW Meter Readings'!I15</f>
        <v>16800</v>
      </c>
      <c r="F13" s="9">
        <v>0.06</v>
      </c>
      <c r="G13" s="8">
        <f>'FSRW Meter Readings'!F15</f>
        <v>3165.9399999999996</v>
      </c>
      <c r="H13" s="9">
        <v>0.4</v>
      </c>
      <c r="I13" s="8">
        <f>'FSRW Meter Readings'!L15</f>
        <v>103.4</v>
      </c>
      <c r="J13" s="9"/>
      <c r="K13" s="8">
        <f>'FSRW Meter Readings'!B15</f>
        <v>166</v>
      </c>
      <c r="L13" s="8">
        <f>'FSRW Meter Readings'!C15</f>
        <v>0</v>
      </c>
    </row>
    <row r="14" spans="1:12" ht="15">
      <c r="A14" s="5" t="s">
        <v>12</v>
      </c>
      <c r="B14" s="6">
        <f t="shared" si="0"/>
        <v>13</v>
      </c>
      <c r="C14" s="7">
        <v>3</v>
      </c>
      <c r="D14" s="6">
        <v>2022</v>
      </c>
      <c r="E14" s="8">
        <f>'FSRW Meter Readings'!I16</f>
        <v>16800</v>
      </c>
      <c r="F14" s="9">
        <v>0.06</v>
      </c>
      <c r="G14" s="8">
        <f>'FSRW Meter Readings'!F16</f>
        <v>2951.2999999999997</v>
      </c>
      <c r="H14" s="9">
        <v>0.4</v>
      </c>
      <c r="I14" s="8">
        <f>'FSRW Meter Readings'!L16</f>
        <v>126.9</v>
      </c>
      <c r="J14" s="9"/>
      <c r="K14" s="8">
        <f>'FSRW Meter Readings'!B16</f>
        <v>169</v>
      </c>
      <c r="L14" s="8">
        <f>'FSRW Meter Readings'!C16</f>
        <v>0</v>
      </c>
    </row>
    <row r="15" spans="1:12" ht="15">
      <c r="A15" s="5" t="s">
        <v>12</v>
      </c>
      <c r="B15" s="6">
        <f t="shared" si="0"/>
        <v>14</v>
      </c>
      <c r="C15" s="7">
        <v>3</v>
      </c>
      <c r="D15" s="6">
        <v>2022</v>
      </c>
      <c r="E15" s="8">
        <f>'FSRW Meter Readings'!I17</f>
        <v>16800</v>
      </c>
      <c r="F15" s="9">
        <v>0.06</v>
      </c>
      <c r="G15" s="8">
        <f>'FSRW Meter Readings'!F17</f>
        <v>2656.1699999999996</v>
      </c>
      <c r="H15" s="9">
        <v>0.4</v>
      </c>
      <c r="I15" s="8">
        <f>'FSRW Meter Readings'!L17</f>
        <v>89.3</v>
      </c>
      <c r="J15" s="9"/>
      <c r="K15" s="8">
        <f>'FSRW Meter Readings'!B17</f>
        <v>170</v>
      </c>
      <c r="L15" s="8">
        <f>'FSRW Meter Readings'!C17</f>
        <v>0</v>
      </c>
    </row>
    <row r="16" spans="1:12" ht="15">
      <c r="A16" s="5" t="s">
        <v>12</v>
      </c>
      <c r="B16" s="6">
        <f t="shared" si="0"/>
        <v>15</v>
      </c>
      <c r="C16" s="7">
        <v>3</v>
      </c>
      <c r="D16" s="6">
        <v>2022</v>
      </c>
      <c r="E16" s="8">
        <f>'FSRW Meter Readings'!I18</f>
        <v>16800</v>
      </c>
      <c r="F16" s="9">
        <v>0.06</v>
      </c>
      <c r="G16" s="8">
        <f>'FSRW Meter Readings'!F18</f>
        <v>2656.1699999999996</v>
      </c>
      <c r="H16" s="9">
        <v>0.4</v>
      </c>
      <c r="I16" s="8">
        <f>'FSRW Meter Readings'!L18</f>
        <v>75.2</v>
      </c>
      <c r="J16" s="9"/>
      <c r="K16" s="8">
        <f>'FSRW Meter Readings'!B18</f>
        <v>168</v>
      </c>
      <c r="L16" s="8">
        <f>'FSRW Meter Readings'!C18</f>
        <v>0</v>
      </c>
    </row>
    <row r="17" spans="1:12" ht="15">
      <c r="A17" s="5" t="s">
        <v>12</v>
      </c>
      <c r="B17" s="6">
        <f t="shared" si="0"/>
        <v>16</v>
      </c>
      <c r="C17" s="7">
        <v>3</v>
      </c>
      <c r="D17" s="6">
        <v>2022</v>
      </c>
      <c r="E17" s="8">
        <f>'FSRW Meter Readings'!I19</f>
        <v>15600</v>
      </c>
      <c r="F17" s="9">
        <v>0.06</v>
      </c>
      <c r="G17" s="8">
        <f>'FSRW Meter Readings'!F19</f>
        <v>3863.5199999999995</v>
      </c>
      <c r="H17" s="9">
        <v>0.4</v>
      </c>
      <c r="I17" s="8">
        <f>'FSRW Meter Readings'!L19</f>
        <v>98.7</v>
      </c>
      <c r="J17" s="9"/>
      <c r="K17" s="8">
        <f>'FSRW Meter Readings'!B19</f>
        <v>181</v>
      </c>
      <c r="L17" s="8">
        <f>'FSRW Meter Readings'!C19</f>
        <v>0</v>
      </c>
    </row>
    <row r="18" spans="1:12" ht="15">
      <c r="A18" s="5" t="s">
        <v>12</v>
      </c>
      <c r="B18" s="6">
        <f t="shared" si="0"/>
        <v>17</v>
      </c>
      <c r="C18" s="7">
        <v>3</v>
      </c>
      <c r="D18" s="6">
        <v>2022</v>
      </c>
      <c r="E18" s="8">
        <f>'FSRW Meter Readings'!I20</f>
        <v>16800</v>
      </c>
      <c r="F18" s="9">
        <v>0.06</v>
      </c>
      <c r="G18" s="8">
        <f>'FSRW Meter Readings'!F20</f>
        <v>1878.1</v>
      </c>
      <c r="H18" s="9">
        <v>0.4</v>
      </c>
      <c r="I18" s="8">
        <f>'FSRW Meter Readings'!L20</f>
        <v>103.4</v>
      </c>
      <c r="J18" s="9"/>
      <c r="K18" s="8">
        <f>'FSRW Meter Readings'!B20</f>
        <v>173</v>
      </c>
      <c r="L18" s="8">
        <f>'FSRW Meter Readings'!C20</f>
        <v>0</v>
      </c>
    </row>
    <row r="19" spans="1:12" ht="15">
      <c r="A19" s="5" t="s">
        <v>12</v>
      </c>
      <c r="B19" s="6">
        <f t="shared" si="0"/>
        <v>18</v>
      </c>
      <c r="C19" s="7">
        <v>3</v>
      </c>
      <c r="D19" s="6">
        <v>2022</v>
      </c>
      <c r="E19" s="8">
        <f>'FSRW Meter Readings'!I21</f>
        <v>19200</v>
      </c>
      <c r="F19" s="9">
        <v>0.06</v>
      </c>
      <c r="G19" s="8">
        <f>'FSRW Meter Readings'!F21</f>
        <v>3246.43</v>
      </c>
      <c r="H19" s="9">
        <v>0.4</v>
      </c>
      <c r="I19" s="8">
        <f>'FSRW Meter Readings'!L21</f>
        <v>122.2</v>
      </c>
      <c r="J19" s="9"/>
      <c r="K19" s="8">
        <f>'FSRW Meter Readings'!B21</f>
        <v>164</v>
      </c>
      <c r="L19" s="8">
        <f>'FSRW Meter Readings'!C21</f>
        <v>0</v>
      </c>
    </row>
    <row r="20" spans="1:12" ht="15">
      <c r="A20" s="5" t="s">
        <v>12</v>
      </c>
      <c r="B20" s="6">
        <f t="shared" si="0"/>
        <v>19</v>
      </c>
      <c r="C20" s="7">
        <v>3</v>
      </c>
      <c r="D20" s="6">
        <v>2022</v>
      </c>
      <c r="E20" s="8">
        <f>'FSRW Meter Readings'!I22</f>
        <v>16800</v>
      </c>
      <c r="F20" s="9">
        <v>0.06</v>
      </c>
      <c r="G20" s="8">
        <f>'FSRW Meter Readings'!F22</f>
        <v>2763.49</v>
      </c>
      <c r="H20" s="9">
        <v>0.4</v>
      </c>
      <c r="I20" s="8">
        <f>'FSRW Meter Readings'!L22</f>
        <v>122.2</v>
      </c>
      <c r="J20" s="9"/>
      <c r="K20" s="8">
        <f>'FSRW Meter Readings'!B22</f>
        <v>153</v>
      </c>
      <c r="L20" s="8">
        <f>'FSRW Meter Readings'!C22</f>
        <v>0</v>
      </c>
    </row>
    <row r="21" spans="1:12" ht="15">
      <c r="A21" s="5" t="s">
        <v>12</v>
      </c>
      <c r="B21" s="6">
        <f t="shared" si="0"/>
        <v>20</v>
      </c>
      <c r="C21" s="7">
        <v>3</v>
      </c>
      <c r="D21" s="6">
        <v>2022</v>
      </c>
      <c r="E21" s="8">
        <f>'FSRW Meter Readings'!I23</f>
        <v>16800</v>
      </c>
      <c r="F21" s="9">
        <v>0.06</v>
      </c>
      <c r="G21" s="8">
        <f>'FSRW Meter Readings'!F23</f>
        <v>2924.47</v>
      </c>
      <c r="H21" s="9">
        <v>0.4</v>
      </c>
      <c r="I21" s="8">
        <f>'FSRW Meter Readings'!L23</f>
        <v>84.600000000000009</v>
      </c>
      <c r="J21" s="9"/>
      <c r="K21" s="8">
        <f>'FSRW Meter Readings'!B23</f>
        <v>155</v>
      </c>
      <c r="L21" s="8">
        <f>'FSRW Meter Readings'!C23</f>
        <v>0</v>
      </c>
    </row>
    <row r="22" spans="1:12" ht="15">
      <c r="A22" s="5" t="s">
        <v>12</v>
      </c>
      <c r="B22" s="6">
        <f t="shared" si="0"/>
        <v>21</v>
      </c>
      <c r="C22" s="7">
        <v>3</v>
      </c>
      <c r="D22" s="6">
        <v>2022</v>
      </c>
      <c r="E22" s="8">
        <f>'FSRW Meter Readings'!I24</f>
        <v>16800</v>
      </c>
      <c r="F22" s="9">
        <v>0.06</v>
      </c>
      <c r="G22" s="8">
        <f>'FSRW Meter Readings'!F24</f>
        <v>2978.1299999999997</v>
      </c>
      <c r="H22" s="9">
        <v>0.4</v>
      </c>
      <c r="I22" s="8">
        <f>'FSRW Meter Readings'!L24</f>
        <v>98.7</v>
      </c>
      <c r="J22" s="9"/>
      <c r="K22" s="8">
        <f>'FSRW Meter Readings'!B24</f>
        <v>165</v>
      </c>
      <c r="L22" s="8">
        <f>'FSRW Meter Readings'!C24</f>
        <v>0</v>
      </c>
    </row>
    <row r="23" spans="1:12" ht="15">
      <c r="A23" s="5" t="s">
        <v>12</v>
      </c>
      <c r="B23" s="6">
        <f t="shared" si="0"/>
        <v>22</v>
      </c>
      <c r="C23" s="7">
        <v>3</v>
      </c>
      <c r="D23" s="6">
        <v>2022</v>
      </c>
      <c r="E23" s="8">
        <f>'FSRW Meter Readings'!I25</f>
        <v>18000</v>
      </c>
      <c r="F23" s="9">
        <v>0.06</v>
      </c>
      <c r="G23" s="8">
        <f>'FSRW Meter Readings'!F25</f>
        <v>2414.6999999999998</v>
      </c>
      <c r="H23" s="9">
        <v>0.4</v>
      </c>
      <c r="I23" s="8">
        <f>'FSRW Meter Readings'!L25</f>
        <v>94</v>
      </c>
      <c r="J23" s="9"/>
      <c r="K23" s="8">
        <f>'FSRW Meter Readings'!B25</f>
        <v>171</v>
      </c>
      <c r="L23" s="8">
        <f>'FSRW Meter Readings'!C25</f>
        <v>0</v>
      </c>
    </row>
    <row r="24" spans="1:12" ht="15">
      <c r="A24" s="5" t="s">
        <v>12</v>
      </c>
      <c r="B24" s="6">
        <f t="shared" si="0"/>
        <v>23</v>
      </c>
      <c r="C24" s="7">
        <v>3</v>
      </c>
      <c r="D24" s="6">
        <v>2022</v>
      </c>
      <c r="E24" s="8">
        <f>'FSRW Meter Readings'!I26</f>
        <v>18000</v>
      </c>
      <c r="F24" s="9">
        <v>0.06</v>
      </c>
      <c r="G24" s="8">
        <f>'FSRW Meter Readings'!F26</f>
        <v>2200.06</v>
      </c>
      <c r="H24" s="9">
        <v>0.4</v>
      </c>
      <c r="I24" s="8">
        <f>'FSRW Meter Readings'!L26</f>
        <v>70.5</v>
      </c>
      <c r="J24" s="9"/>
      <c r="K24" s="8">
        <f>'FSRW Meter Readings'!B26</f>
        <v>167</v>
      </c>
      <c r="L24" s="8">
        <f>'FSRW Meter Readings'!C26</f>
        <v>0</v>
      </c>
    </row>
    <row r="25" spans="1:12" ht="15">
      <c r="A25" s="5" t="s">
        <v>12</v>
      </c>
      <c r="B25" s="6">
        <f t="shared" si="0"/>
        <v>24</v>
      </c>
      <c r="C25" s="7">
        <v>3</v>
      </c>
      <c r="D25" s="6">
        <v>2022</v>
      </c>
      <c r="E25" s="8">
        <f>'FSRW Meter Readings'!I27</f>
        <v>18000</v>
      </c>
      <c r="F25" s="9">
        <v>0.06</v>
      </c>
      <c r="G25" s="8">
        <f>'FSRW Meter Readings'!F27</f>
        <v>1126.8599999999999</v>
      </c>
      <c r="H25" s="9">
        <v>0.4</v>
      </c>
      <c r="I25" s="8">
        <f>'FSRW Meter Readings'!L27</f>
        <v>94</v>
      </c>
      <c r="J25" s="9"/>
      <c r="K25" s="8">
        <f>'FSRW Meter Readings'!B27</f>
        <v>160</v>
      </c>
      <c r="L25" s="8">
        <f>'FSRW Meter Readings'!C27</f>
        <v>0</v>
      </c>
    </row>
    <row r="26" spans="1:12" ht="15">
      <c r="A26" s="5" t="s">
        <v>12</v>
      </c>
      <c r="B26" s="6">
        <f>B25+1</f>
        <v>25</v>
      </c>
      <c r="C26" s="7">
        <v>3</v>
      </c>
      <c r="D26" s="6">
        <v>2022</v>
      </c>
      <c r="E26" s="8">
        <f>'FSRW Meter Readings'!I28</f>
        <v>19200</v>
      </c>
      <c r="F26" s="9">
        <v>0.06</v>
      </c>
      <c r="G26" s="8">
        <f>'FSRW Meter Readings'!F28</f>
        <v>3219.6</v>
      </c>
      <c r="H26" s="9">
        <v>0.4</v>
      </c>
      <c r="I26" s="8">
        <f>'FSRW Meter Readings'!L28</f>
        <v>94</v>
      </c>
      <c r="J26" s="9"/>
      <c r="K26" s="8">
        <f>'FSRW Meter Readings'!B28</f>
        <v>160</v>
      </c>
      <c r="L26" s="8">
        <f>'FSRW Meter Readings'!C28</f>
        <v>0</v>
      </c>
    </row>
    <row r="27" spans="1:12" ht="15">
      <c r="A27" s="5" t="s">
        <v>12</v>
      </c>
      <c r="B27" s="6">
        <f t="shared" si="0"/>
        <v>26</v>
      </c>
      <c r="C27" s="7">
        <v>3</v>
      </c>
      <c r="D27" s="6">
        <v>2022</v>
      </c>
      <c r="E27" s="8">
        <f>'FSRW Meter Readings'!I29</f>
        <v>18000</v>
      </c>
      <c r="F27" s="9">
        <v>0.06</v>
      </c>
      <c r="G27" s="8">
        <f>'FSRW Meter Readings'!F29</f>
        <v>3192.77</v>
      </c>
      <c r="H27" s="9">
        <v>0.4</v>
      </c>
      <c r="I27" s="8">
        <f>'FSRW Meter Readings'!L29</f>
        <v>94</v>
      </c>
      <c r="J27" s="9"/>
      <c r="K27" s="8">
        <f>'FSRW Meter Readings'!B29</f>
        <v>156</v>
      </c>
      <c r="L27" s="8">
        <f>'FSRW Meter Readings'!C29</f>
        <v>0</v>
      </c>
    </row>
    <row r="28" spans="1:12" ht="15">
      <c r="A28" s="5" t="s">
        <v>12</v>
      </c>
      <c r="B28" s="6">
        <f t="shared" si="0"/>
        <v>27</v>
      </c>
      <c r="C28" s="7">
        <v>3</v>
      </c>
      <c r="D28" s="6">
        <v>2022</v>
      </c>
      <c r="E28" s="8">
        <f>'FSRW Meter Readings'!I30</f>
        <v>18000</v>
      </c>
      <c r="F28" s="9">
        <v>0.06</v>
      </c>
      <c r="G28" s="8">
        <f>'FSRW Meter Readings'!F30</f>
        <v>2146.3999999999996</v>
      </c>
      <c r="H28" s="9">
        <v>0.4</v>
      </c>
      <c r="I28" s="8">
        <f>'FSRW Meter Readings'!L30</f>
        <v>75.2</v>
      </c>
      <c r="J28" s="9"/>
      <c r="K28" s="8">
        <f>'FSRW Meter Readings'!B30</f>
        <v>157</v>
      </c>
      <c r="L28" s="8">
        <f>'FSRW Meter Readings'!C30</f>
        <v>0</v>
      </c>
    </row>
    <row r="29" spans="1:12" ht="15">
      <c r="A29" s="5" t="s">
        <v>12</v>
      </c>
      <c r="B29" s="6">
        <f t="shared" si="0"/>
        <v>28</v>
      </c>
      <c r="C29" s="7">
        <v>3</v>
      </c>
      <c r="D29" s="6">
        <v>2022</v>
      </c>
      <c r="E29" s="8">
        <f>'FSRW Meter Readings'!I31</f>
        <v>19200</v>
      </c>
      <c r="F29" s="9">
        <v>0.06</v>
      </c>
      <c r="G29" s="8">
        <f>'FSRW Meter Readings'!F31</f>
        <v>2414.6999999999998</v>
      </c>
      <c r="H29" s="9">
        <v>0.4</v>
      </c>
      <c r="I29" s="8">
        <f>'FSRW Meter Readings'!L31</f>
        <v>47</v>
      </c>
      <c r="J29" s="9"/>
      <c r="K29" s="8">
        <f>'FSRW Meter Readings'!B31</f>
        <v>147</v>
      </c>
      <c r="L29" s="8">
        <f>'FSRW Meter Readings'!C31</f>
        <v>0</v>
      </c>
    </row>
    <row r="30" spans="1:12" ht="15">
      <c r="A30" s="5" t="s">
        <v>12</v>
      </c>
      <c r="B30" s="6">
        <f t="shared" si="0"/>
        <v>29</v>
      </c>
      <c r="C30" s="7">
        <v>3</v>
      </c>
      <c r="D30" s="6">
        <v>2022</v>
      </c>
      <c r="E30" s="8">
        <f>'FSRW Meter Readings'!I32</f>
        <v>15600</v>
      </c>
      <c r="F30" s="9">
        <v>0.06</v>
      </c>
      <c r="G30" s="8">
        <f>'FSRW Meter Readings'!F32</f>
        <v>1314.6699999999998</v>
      </c>
      <c r="H30" s="9">
        <v>0.4</v>
      </c>
      <c r="I30" s="8">
        <f>'FSRW Meter Readings'!L32</f>
        <v>98.7</v>
      </c>
      <c r="J30" s="9"/>
      <c r="K30" s="8">
        <f>'FSRW Meter Readings'!B32</f>
        <v>122</v>
      </c>
      <c r="L30" s="8">
        <f>'FSRW Meter Readings'!C32</f>
        <v>0</v>
      </c>
    </row>
    <row r="31" spans="1:12" ht="15">
      <c r="A31" s="5" t="s">
        <v>12</v>
      </c>
      <c r="B31" s="6">
        <f t="shared" si="0"/>
        <v>30</v>
      </c>
      <c r="C31" s="7">
        <v>3</v>
      </c>
      <c r="D31" s="6">
        <v>2022</v>
      </c>
      <c r="E31" s="8">
        <f>'FSRW Meter Readings'!I33</f>
        <v>19200</v>
      </c>
      <c r="F31" s="9">
        <v>0.06</v>
      </c>
      <c r="G31" s="8">
        <f>'FSRW Meter Readings'!F33</f>
        <v>2495.19</v>
      </c>
      <c r="H31" s="9">
        <v>0.4</v>
      </c>
      <c r="I31" s="8">
        <f>'FSRW Meter Readings'!L33</f>
        <v>56.400000000000006</v>
      </c>
      <c r="J31" s="9"/>
      <c r="K31" s="8">
        <f>'FSRW Meter Readings'!B33</f>
        <v>113</v>
      </c>
      <c r="L31" s="8">
        <f>'FSRW Meter Readings'!C33</f>
        <v>0</v>
      </c>
    </row>
    <row r="32" spans="1:12" ht="15">
      <c r="A32" s="5" t="s">
        <v>12</v>
      </c>
      <c r="B32" s="6">
        <f t="shared" si="0"/>
        <v>31</v>
      </c>
      <c r="C32" s="7">
        <v>3</v>
      </c>
      <c r="D32" s="6">
        <v>2022</v>
      </c>
      <c r="E32" s="8">
        <f>'FSRW Meter Readings'!I34</f>
        <v>20400</v>
      </c>
      <c r="F32" s="9">
        <v>0.06</v>
      </c>
      <c r="G32" s="8">
        <f>'FSRW Meter Readings'!F34</f>
        <v>1770.78</v>
      </c>
      <c r="H32" s="9">
        <v>0.4</v>
      </c>
      <c r="I32" s="8">
        <f>'FSRW Meter Readings'!L34</f>
        <v>61.1</v>
      </c>
      <c r="J32" s="9"/>
      <c r="K32" s="8">
        <f>'FSRW Meter Readings'!B34</f>
        <v>125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0"/>
  <sheetViews>
    <sheetView topLeftCell="A2" workbookViewId="0">
      <selection activeCell="B4" sqref="B4"/>
    </sheetView>
  </sheetViews>
  <sheetFormatPr defaultColWidth="8.85546875" defaultRowHeight="15"/>
  <cols>
    <col min="1" max="1" width="16.85546875" style="28" bestFit="1" customWidth="1"/>
    <col min="2" max="3" width="15.140625" style="34" customWidth="1"/>
    <col min="4" max="4" width="13.7109375" style="16" bestFit="1" customWidth="1"/>
    <col min="5" max="5" width="12.85546875" style="15" customWidth="1"/>
    <col min="6" max="6" width="12.85546875" style="16" customWidth="1"/>
    <col min="7" max="7" width="10.5703125" bestFit="1" customWidth="1"/>
    <col min="8" max="8" width="12.85546875" style="14" customWidth="1"/>
    <col min="9" max="9" width="12.85546875" style="16" customWidth="1"/>
    <col min="10" max="10" width="11" customWidth="1"/>
    <col min="11" max="11" width="12.85546875" style="14" customWidth="1"/>
    <col min="12" max="12" width="8.85546875" style="50"/>
  </cols>
  <sheetData>
    <row r="1" spans="1:12" ht="45" customHeight="1" thickBot="1">
      <c r="A1" s="54" t="s">
        <v>13</v>
      </c>
      <c r="B1" s="56" t="s">
        <v>14</v>
      </c>
      <c r="C1" s="56" t="s">
        <v>11</v>
      </c>
      <c r="D1" s="58" t="s">
        <v>15</v>
      </c>
      <c r="E1" s="59"/>
      <c r="F1" s="60"/>
      <c r="G1" s="58" t="s">
        <v>16</v>
      </c>
      <c r="H1" s="59"/>
      <c r="I1" s="61"/>
      <c r="J1" s="52" t="s">
        <v>17</v>
      </c>
      <c r="K1" s="53"/>
      <c r="L1" s="53"/>
    </row>
    <row r="2" spans="1:12" s="13" customFormat="1" ht="64.900000000000006" customHeight="1" thickBot="1">
      <c r="A2" s="55"/>
      <c r="B2" s="57"/>
      <c r="C2" s="57"/>
      <c r="D2" s="38" t="s">
        <v>18</v>
      </c>
      <c r="E2" s="39" t="s">
        <v>19</v>
      </c>
      <c r="F2" s="39" t="s">
        <v>20</v>
      </c>
      <c r="G2" s="38" t="s">
        <v>21</v>
      </c>
      <c r="H2" s="40" t="s">
        <v>22</v>
      </c>
      <c r="I2" s="44" t="s">
        <v>23</v>
      </c>
      <c r="J2" s="38" t="s">
        <v>24</v>
      </c>
      <c r="K2" s="40" t="s">
        <v>25</v>
      </c>
      <c r="L2" s="49" t="s">
        <v>26</v>
      </c>
    </row>
    <row r="3" spans="1:12" ht="30" customHeight="1">
      <c r="A3" s="37">
        <v>44620</v>
      </c>
      <c r="B3" s="31" t="s">
        <v>27</v>
      </c>
      <c r="C3" s="31" t="s">
        <v>27</v>
      </c>
      <c r="D3" s="35">
        <v>179855</v>
      </c>
      <c r="E3" s="29"/>
      <c r="F3" s="42" t="s">
        <v>27</v>
      </c>
      <c r="G3" s="36">
        <v>50011</v>
      </c>
      <c r="H3" s="29"/>
      <c r="I3" s="45" t="s">
        <v>27</v>
      </c>
      <c r="J3" s="17">
        <v>103770</v>
      </c>
      <c r="K3" s="41" t="s">
        <v>27</v>
      </c>
    </row>
    <row r="4" spans="1:12" ht="30" customHeight="1">
      <c r="A4" s="37">
        <v>44621</v>
      </c>
      <c r="B4" s="31">
        <v>155</v>
      </c>
      <c r="C4" s="31">
        <v>0</v>
      </c>
      <c r="D4" s="36">
        <v>179948</v>
      </c>
      <c r="E4" s="30">
        <f>IF(D4-D3&lt;0,"0",D4-D3)</f>
        <v>93</v>
      </c>
      <c r="F4" s="43">
        <f>E4*26.83</f>
        <v>2495.19</v>
      </c>
      <c r="G4" s="36">
        <v>50023</v>
      </c>
      <c r="H4" s="30">
        <f>IF(G4-G3&lt;0,"0",G4-G3)</f>
        <v>12</v>
      </c>
      <c r="I4" s="46">
        <f>H4*1200</f>
        <v>14400</v>
      </c>
      <c r="J4" s="18">
        <v>103785</v>
      </c>
      <c r="K4" s="30">
        <f>IF(J4-J3&lt;0,"0",J4-J3)</f>
        <v>15</v>
      </c>
      <c r="L4" s="51">
        <f>SUM(K4*4.7)</f>
        <v>70.5</v>
      </c>
    </row>
    <row r="5" spans="1:12" ht="30" customHeight="1">
      <c r="A5" s="37">
        <v>44622</v>
      </c>
      <c r="B5" s="31">
        <v>135</v>
      </c>
      <c r="C5" s="31">
        <v>0</v>
      </c>
      <c r="D5" s="36">
        <v>180050</v>
      </c>
      <c r="E5" s="30">
        <f t="shared" ref="E5:E34" si="0">IF(D5-D4&lt;0,"0",D5-D4)</f>
        <v>102</v>
      </c>
      <c r="F5" s="43">
        <f t="shared" ref="F5:F34" si="1">E5*26.83</f>
        <v>2736.66</v>
      </c>
      <c r="G5" s="36">
        <v>50037</v>
      </c>
      <c r="H5" s="30">
        <f t="shared" ref="H5:H34" si="2">IF(G5-G4&lt;0,"0",G5-G4)</f>
        <v>14</v>
      </c>
      <c r="I5" s="46">
        <f t="shared" ref="I5:I34" si="3">H5*1200</f>
        <v>16800</v>
      </c>
      <c r="J5" s="18">
        <v>103804</v>
      </c>
      <c r="K5" s="30">
        <f t="shared" ref="K5:K34" si="4">IF(J5-J4&lt;0,"0",J5-J4)</f>
        <v>19</v>
      </c>
      <c r="L5" s="51">
        <f t="shared" ref="L5:L34" si="5">SUM(K5*4.7)</f>
        <v>89.3</v>
      </c>
    </row>
    <row r="6" spans="1:12" ht="30" customHeight="1">
      <c r="A6" s="37">
        <v>44623</v>
      </c>
      <c r="B6" s="31">
        <v>161</v>
      </c>
      <c r="C6" s="31">
        <v>0</v>
      </c>
      <c r="D6" s="36">
        <v>180144</v>
      </c>
      <c r="E6" s="30">
        <f t="shared" si="0"/>
        <v>94</v>
      </c>
      <c r="F6" s="43">
        <f t="shared" si="1"/>
        <v>2522.02</v>
      </c>
      <c r="G6" s="36">
        <v>50054</v>
      </c>
      <c r="H6" s="30">
        <f t="shared" si="2"/>
        <v>17</v>
      </c>
      <c r="I6" s="46">
        <f t="shared" si="3"/>
        <v>20400</v>
      </c>
      <c r="J6" s="18">
        <v>103809</v>
      </c>
      <c r="K6" s="30">
        <f t="shared" si="4"/>
        <v>5</v>
      </c>
      <c r="L6" s="51">
        <f t="shared" si="5"/>
        <v>23.5</v>
      </c>
    </row>
    <row r="7" spans="1:12" ht="30" customHeight="1">
      <c r="A7" s="37">
        <v>44624</v>
      </c>
      <c r="B7" s="31">
        <v>192</v>
      </c>
      <c r="C7" s="31">
        <v>0</v>
      </c>
      <c r="D7" s="36">
        <v>180262</v>
      </c>
      <c r="E7" s="30">
        <f t="shared" si="0"/>
        <v>118</v>
      </c>
      <c r="F7" s="43">
        <f t="shared" si="1"/>
        <v>3165.9399999999996</v>
      </c>
      <c r="G7" s="36">
        <v>50068</v>
      </c>
      <c r="H7" s="30">
        <f t="shared" si="2"/>
        <v>14</v>
      </c>
      <c r="I7" s="46">
        <f t="shared" si="3"/>
        <v>16800</v>
      </c>
      <c r="J7" s="18">
        <v>103842</v>
      </c>
      <c r="K7" s="30">
        <f t="shared" si="4"/>
        <v>33</v>
      </c>
      <c r="L7" s="51">
        <f t="shared" si="5"/>
        <v>155.1</v>
      </c>
    </row>
    <row r="8" spans="1:12" ht="30" customHeight="1">
      <c r="A8" s="37">
        <v>44625</v>
      </c>
      <c r="B8" s="31">
        <v>214</v>
      </c>
      <c r="C8" s="31">
        <v>0</v>
      </c>
      <c r="D8" s="36">
        <v>180372</v>
      </c>
      <c r="E8" s="30">
        <f t="shared" si="0"/>
        <v>110</v>
      </c>
      <c r="F8" s="43">
        <f t="shared" si="1"/>
        <v>2951.2999999999997</v>
      </c>
      <c r="G8" s="36">
        <v>50079</v>
      </c>
      <c r="H8" s="30">
        <f t="shared" si="2"/>
        <v>11</v>
      </c>
      <c r="I8" s="46">
        <f t="shared" si="3"/>
        <v>13200</v>
      </c>
      <c r="J8" s="18">
        <v>103860</v>
      </c>
      <c r="K8" s="30">
        <f t="shared" si="4"/>
        <v>18</v>
      </c>
      <c r="L8" s="51">
        <f t="shared" si="5"/>
        <v>84.600000000000009</v>
      </c>
    </row>
    <row r="9" spans="1:12" ht="30" customHeight="1">
      <c r="A9" s="37">
        <v>44626</v>
      </c>
      <c r="B9" s="31">
        <v>174</v>
      </c>
      <c r="C9" s="31">
        <v>0</v>
      </c>
      <c r="D9" s="36">
        <v>180476</v>
      </c>
      <c r="E9" s="30">
        <f t="shared" si="0"/>
        <v>104</v>
      </c>
      <c r="F9" s="43">
        <f t="shared" si="1"/>
        <v>2790.3199999999997</v>
      </c>
      <c r="G9" s="36">
        <v>50093</v>
      </c>
      <c r="H9" s="30">
        <f t="shared" si="2"/>
        <v>14</v>
      </c>
      <c r="I9" s="46">
        <f t="shared" si="3"/>
        <v>16800</v>
      </c>
      <c r="J9" s="18">
        <v>103884</v>
      </c>
      <c r="K9" s="30">
        <f t="shared" si="4"/>
        <v>24</v>
      </c>
      <c r="L9" s="51">
        <f t="shared" si="5"/>
        <v>112.80000000000001</v>
      </c>
    </row>
    <row r="10" spans="1:12" ht="30" customHeight="1">
      <c r="A10" s="37">
        <v>44627</v>
      </c>
      <c r="B10" s="31">
        <v>172</v>
      </c>
      <c r="C10" s="31">
        <v>0</v>
      </c>
      <c r="D10" s="36">
        <v>180575</v>
      </c>
      <c r="E10" s="30">
        <f t="shared" si="0"/>
        <v>99</v>
      </c>
      <c r="F10" s="43">
        <f t="shared" si="1"/>
        <v>2656.1699999999996</v>
      </c>
      <c r="G10" s="36">
        <v>50106</v>
      </c>
      <c r="H10" s="30">
        <f t="shared" si="2"/>
        <v>13</v>
      </c>
      <c r="I10" s="46">
        <f t="shared" si="3"/>
        <v>15600</v>
      </c>
      <c r="J10" s="18">
        <v>103884</v>
      </c>
      <c r="K10" s="30">
        <f t="shared" si="4"/>
        <v>0</v>
      </c>
      <c r="L10" s="51">
        <f t="shared" si="5"/>
        <v>0</v>
      </c>
    </row>
    <row r="11" spans="1:12" ht="30" customHeight="1">
      <c r="A11" s="37">
        <v>44628</v>
      </c>
      <c r="B11" s="31">
        <v>131</v>
      </c>
      <c r="C11" s="31">
        <v>0</v>
      </c>
      <c r="D11" s="36">
        <v>180662</v>
      </c>
      <c r="E11" s="30">
        <f t="shared" si="0"/>
        <v>87</v>
      </c>
      <c r="F11" s="43">
        <f t="shared" si="1"/>
        <v>2334.21</v>
      </c>
      <c r="G11" s="36">
        <v>50118</v>
      </c>
      <c r="H11" s="30">
        <f t="shared" si="2"/>
        <v>12</v>
      </c>
      <c r="I11" s="46">
        <f t="shared" si="3"/>
        <v>14400</v>
      </c>
      <c r="J11" s="18">
        <v>103900</v>
      </c>
      <c r="K11" s="30">
        <f t="shared" si="4"/>
        <v>16</v>
      </c>
      <c r="L11" s="51">
        <f t="shared" si="5"/>
        <v>75.2</v>
      </c>
    </row>
    <row r="12" spans="1:12" ht="30" customHeight="1">
      <c r="A12" s="37">
        <v>44629</v>
      </c>
      <c r="B12" s="31">
        <v>136</v>
      </c>
      <c r="C12" s="31">
        <v>0</v>
      </c>
      <c r="D12" s="36">
        <v>180766</v>
      </c>
      <c r="E12" s="30">
        <f t="shared" si="0"/>
        <v>104</v>
      </c>
      <c r="F12" s="43">
        <f t="shared" si="1"/>
        <v>2790.3199999999997</v>
      </c>
      <c r="G12" s="36">
        <v>50134</v>
      </c>
      <c r="H12" s="30">
        <f t="shared" si="2"/>
        <v>16</v>
      </c>
      <c r="I12" s="46">
        <f t="shared" si="3"/>
        <v>19200</v>
      </c>
      <c r="J12" s="18">
        <v>103916</v>
      </c>
      <c r="K12" s="30">
        <f t="shared" si="4"/>
        <v>16</v>
      </c>
      <c r="L12" s="51">
        <f t="shared" si="5"/>
        <v>75.2</v>
      </c>
    </row>
    <row r="13" spans="1:12" ht="30" customHeight="1">
      <c r="A13" s="37">
        <v>44630</v>
      </c>
      <c r="B13" s="31">
        <v>147</v>
      </c>
      <c r="C13" s="31">
        <v>0</v>
      </c>
      <c r="D13" s="36">
        <v>180894</v>
      </c>
      <c r="E13" s="30">
        <f t="shared" si="0"/>
        <v>128</v>
      </c>
      <c r="F13" s="43">
        <f t="shared" si="1"/>
        <v>3434.24</v>
      </c>
      <c r="G13" s="36">
        <v>50146</v>
      </c>
      <c r="H13" s="30">
        <f t="shared" si="2"/>
        <v>12</v>
      </c>
      <c r="I13" s="46">
        <f t="shared" si="3"/>
        <v>14400</v>
      </c>
      <c r="J13" s="18">
        <v>103931</v>
      </c>
      <c r="K13" s="30">
        <f t="shared" si="4"/>
        <v>15</v>
      </c>
      <c r="L13" s="51">
        <f t="shared" si="5"/>
        <v>70.5</v>
      </c>
    </row>
    <row r="14" spans="1:12" ht="30" customHeight="1">
      <c r="A14" s="37">
        <v>44631</v>
      </c>
      <c r="B14" s="31">
        <v>162</v>
      </c>
      <c r="C14" s="31">
        <v>0</v>
      </c>
      <c r="D14" s="36">
        <v>181029</v>
      </c>
      <c r="E14" s="30">
        <f t="shared" si="0"/>
        <v>135</v>
      </c>
      <c r="F14" s="43">
        <f t="shared" si="1"/>
        <v>3622.0499999999997</v>
      </c>
      <c r="G14" s="36">
        <v>50162</v>
      </c>
      <c r="H14" s="30">
        <f t="shared" si="2"/>
        <v>16</v>
      </c>
      <c r="I14" s="46">
        <f t="shared" si="3"/>
        <v>19200</v>
      </c>
      <c r="J14" s="18">
        <v>103951</v>
      </c>
      <c r="K14" s="30">
        <f t="shared" si="4"/>
        <v>20</v>
      </c>
      <c r="L14" s="51">
        <f t="shared" si="5"/>
        <v>94</v>
      </c>
    </row>
    <row r="15" spans="1:12" ht="30" customHeight="1">
      <c r="A15" s="37">
        <v>44632</v>
      </c>
      <c r="B15" s="31">
        <v>166</v>
      </c>
      <c r="C15" s="31">
        <v>0</v>
      </c>
      <c r="D15" s="36">
        <v>181147</v>
      </c>
      <c r="E15" s="30">
        <f t="shared" si="0"/>
        <v>118</v>
      </c>
      <c r="F15" s="43">
        <f t="shared" si="1"/>
        <v>3165.9399999999996</v>
      </c>
      <c r="G15" s="36">
        <v>50176</v>
      </c>
      <c r="H15" s="30">
        <f t="shared" si="2"/>
        <v>14</v>
      </c>
      <c r="I15" s="46">
        <f t="shared" si="3"/>
        <v>16800</v>
      </c>
      <c r="J15" s="18">
        <v>103973</v>
      </c>
      <c r="K15" s="30">
        <f t="shared" si="4"/>
        <v>22</v>
      </c>
      <c r="L15" s="51">
        <f t="shared" si="5"/>
        <v>103.4</v>
      </c>
    </row>
    <row r="16" spans="1:12" ht="30" customHeight="1">
      <c r="A16" s="37">
        <v>44633</v>
      </c>
      <c r="B16" s="31">
        <v>169</v>
      </c>
      <c r="C16" s="31">
        <v>0</v>
      </c>
      <c r="D16" s="36">
        <v>181257</v>
      </c>
      <c r="E16" s="30">
        <f t="shared" si="0"/>
        <v>110</v>
      </c>
      <c r="F16" s="43">
        <f t="shared" si="1"/>
        <v>2951.2999999999997</v>
      </c>
      <c r="G16" s="36">
        <v>50190</v>
      </c>
      <c r="H16" s="30">
        <f t="shared" si="2"/>
        <v>14</v>
      </c>
      <c r="I16" s="46">
        <f t="shared" si="3"/>
        <v>16800</v>
      </c>
      <c r="J16" s="18">
        <v>104000</v>
      </c>
      <c r="K16" s="30">
        <f t="shared" si="4"/>
        <v>27</v>
      </c>
      <c r="L16" s="51">
        <f t="shared" si="5"/>
        <v>126.9</v>
      </c>
    </row>
    <row r="17" spans="1:12" ht="30" customHeight="1">
      <c r="A17" s="37">
        <v>44634</v>
      </c>
      <c r="B17" s="31">
        <v>170</v>
      </c>
      <c r="C17" s="31">
        <v>0</v>
      </c>
      <c r="D17" s="36">
        <v>181356</v>
      </c>
      <c r="E17" s="30">
        <f t="shared" si="0"/>
        <v>99</v>
      </c>
      <c r="F17" s="43">
        <f t="shared" si="1"/>
        <v>2656.1699999999996</v>
      </c>
      <c r="G17" s="36">
        <v>50204</v>
      </c>
      <c r="H17" s="30">
        <f t="shared" si="2"/>
        <v>14</v>
      </c>
      <c r="I17" s="46">
        <f t="shared" si="3"/>
        <v>16800</v>
      </c>
      <c r="J17" s="18">
        <v>104019</v>
      </c>
      <c r="K17" s="30">
        <f t="shared" si="4"/>
        <v>19</v>
      </c>
      <c r="L17" s="51">
        <f t="shared" si="5"/>
        <v>89.3</v>
      </c>
    </row>
    <row r="18" spans="1:12" ht="30" customHeight="1">
      <c r="A18" s="37">
        <v>44635</v>
      </c>
      <c r="B18" s="31">
        <v>168</v>
      </c>
      <c r="C18" s="31">
        <v>0</v>
      </c>
      <c r="D18" s="36">
        <v>181455</v>
      </c>
      <c r="E18" s="30">
        <f t="shared" si="0"/>
        <v>99</v>
      </c>
      <c r="F18" s="43">
        <f t="shared" si="1"/>
        <v>2656.1699999999996</v>
      </c>
      <c r="G18" s="36">
        <v>50218</v>
      </c>
      <c r="H18" s="30">
        <f t="shared" si="2"/>
        <v>14</v>
      </c>
      <c r="I18" s="46">
        <f t="shared" si="3"/>
        <v>16800</v>
      </c>
      <c r="J18" s="18">
        <v>104035</v>
      </c>
      <c r="K18" s="30">
        <f t="shared" si="4"/>
        <v>16</v>
      </c>
      <c r="L18" s="51">
        <f t="shared" si="5"/>
        <v>75.2</v>
      </c>
    </row>
    <row r="19" spans="1:12" ht="30" customHeight="1">
      <c r="A19" s="37">
        <v>44636</v>
      </c>
      <c r="B19" s="31">
        <v>181</v>
      </c>
      <c r="C19" s="31">
        <v>0</v>
      </c>
      <c r="D19" s="36">
        <v>181599</v>
      </c>
      <c r="E19" s="30">
        <f t="shared" si="0"/>
        <v>144</v>
      </c>
      <c r="F19" s="43">
        <f t="shared" si="1"/>
        <v>3863.5199999999995</v>
      </c>
      <c r="G19" s="36">
        <v>50231</v>
      </c>
      <c r="H19" s="30">
        <f t="shared" si="2"/>
        <v>13</v>
      </c>
      <c r="I19" s="46">
        <f t="shared" si="3"/>
        <v>15600</v>
      </c>
      <c r="J19" s="18">
        <v>104056</v>
      </c>
      <c r="K19" s="30">
        <f t="shared" si="4"/>
        <v>21</v>
      </c>
      <c r="L19" s="51">
        <f t="shared" si="5"/>
        <v>98.7</v>
      </c>
    </row>
    <row r="20" spans="1:12" ht="30" customHeight="1">
      <c r="A20" s="37">
        <v>44637</v>
      </c>
      <c r="B20" s="31">
        <v>173</v>
      </c>
      <c r="C20" s="31">
        <v>0</v>
      </c>
      <c r="D20" s="36">
        <v>181669</v>
      </c>
      <c r="E20" s="30">
        <f t="shared" si="0"/>
        <v>70</v>
      </c>
      <c r="F20" s="43">
        <f t="shared" si="1"/>
        <v>1878.1</v>
      </c>
      <c r="G20" s="36">
        <v>50245</v>
      </c>
      <c r="H20" s="30">
        <f t="shared" si="2"/>
        <v>14</v>
      </c>
      <c r="I20" s="46">
        <f t="shared" si="3"/>
        <v>16800</v>
      </c>
      <c r="J20" s="18">
        <v>104078</v>
      </c>
      <c r="K20" s="30">
        <f t="shared" si="4"/>
        <v>22</v>
      </c>
      <c r="L20" s="51">
        <f t="shared" si="5"/>
        <v>103.4</v>
      </c>
    </row>
    <row r="21" spans="1:12" ht="30" customHeight="1">
      <c r="A21" s="37">
        <v>44638</v>
      </c>
      <c r="B21" s="31">
        <v>164</v>
      </c>
      <c r="C21" s="31">
        <v>0</v>
      </c>
      <c r="D21" s="36">
        <v>181790</v>
      </c>
      <c r="E21" s="30">
        <f t="shared" si="0"/>
        <v>121</v>
      </c>
      <c r="F21" s="43">
        <f t="shared" si="1"/>
        <v>3246.43</v>
      </c>
      <c r="G21" s="36">
        <v>50261</v>
      </c>
      <c r="H21" s="30">
        <f t="shared" si="2"/>
        <v>16</v>
      </c>
      <c r="I21" s="46">
        <f t="shared" si="3"/>
        <v>19200</v>
      </c>
      <c r="J21" s="18">
        <v>104104</v>
      </c>
      <c r="K21" s="30">
        <f t="shared" si="4"/>
        <v>26</v>
      </c>
      <c r="L21" s="51">
        <f t="shared" si="5"/>
        <v>122.2</v>
      </c>
    </row>
    <row r="22" spans="1:12" ht="30" customHeight="1">
      <c r="A22" s="37">
        <v>44639</v>
      </c>
      <c r="B22" s="31">
        <v>153</v>
      </c>
      <c r="C22" s="31">
        <v>0</v>
      </c>
      <c r="D22" s="36">
        <v>181893</v>
      </c>
      <c r="E22" s="30">
        <f t="shared" si="0"/>
        <v>103</v>
      </c>
      <c r="F22" s="43">
        <f t="shared" si="1"/>
        <v>2763.49</v>
      </c>
      <c r="G22" s="36">
        <v>50275</v>
      </c>
      <c r="H22" s="30">
        <f t="shared" si="2"/>
        <v>14</v>
      </c>
      <c r="I22" s="46">
        <f t="shared" si="3"/>
        <v>16800</v>
      </c>
      <c r="J22" s="18">
        <v>104130</v>
      </c>
      <c r="K22" s="30">
        <f t="shared" si="4"/>
        <v>26</v>
      </c>
      <c r="L22" s="51">
        <f t="shared" si="5"/>
        <v>122.2</v>
      </c>
    </row>
    <row r="23" spans="1:12" ht="30" customHeight="1">
      <c r="A23" s="37">
        <v>44640</v>
      </c>
      <c r="B23" s="31">
        <v>155</v>
      </c>
      <c r="C23" s="31">
        <v>0</v>
      </c>
      <c r="D23" s="36">
        <v>182002</v>
      </c>
      <c r="E23" s="30">
        <f t="shared" si="0"/>
        <v>109</v>
      </c>
      <c r="F23" s="43">
        <f t="shared" si="1"/>
        <v>2924.47</v>
      </c>
      <c r="G23" s="36">
        <v>50289</v>
      </c>
      <c r="H23" s="30">
        <f t="shared" si="2"/>
        <v>14</v>
      </c>
      <c r="I23" s="46">
        <f t="shared" si="3"/>
        <v>16800</v>
      </c>
      <c r="J23" s="18">
        <v>104148</v>
      </c>
      <c r="K23" s="30">
        <f t="shared" si="4"/>
        <v>18</v>
      </c>
      <c r="L23" s="51">
        <f t="shared" si="5"/>
        <v>84.600000000000009</v>
      </c>
    </row>
    <row r="24" spans="1:12" ht="30" customHeight="1">
      <c r="A24" s="37">
        <v>44641</v>
      </c>
      <c r="B24" s="31">
        <v>165</v>
      </c>
      <c r="C24" s="31">
        <v>0</v>
      </c>
      <c r="D24" s="36">
        <v>182113</v>
      </c>
      <c r="E24" s="30">
        <f t="shared" si="0"/>
        <v>111</v>
      </c>
      <c r="F24" s="43">
        <f t="shared" si="1"/>
        <v>2978.1299999999997</v>
      </c>
      <c r="G24" s="36">
        <v>50303</v>
      </c>
      <c r="H24" s="30">
        <f t="shared" si="2"/>
        <v>14</v>
      </c>
      <c r="I24" s="46">
        <f t="shared" si="3"/>
        <v>16800</v>
      </c>
      <c r="J24" s="18">
        <v>104169</v>
      </c>
      <c r="K24" s="30">
        <f t="shared" si="4"/>
        <v>21</v>
      </c>
      <c r="L24" s="51">
        <f t="shared" si="5"/>
        <v>98.7</v>
      </c>
    </row>
    <row r="25" spans="1:12" ht="30" customHeight="1">
      <c r="A25" s="37">
        <v>44642</v>
      </c>
      <c r="B25" s="31">
        <v>171</v>
      </c>
      <c r="C25" s="31">
        <v>0</v>
      </c>
      <c r="D25" s="36">
        <v>182203</v>
      </c>
      <c r="E25" s="30">
        <f t="shared" si="0"/>
        <v>90</v>
      </c>
      <c r="F25" s="43">
        <f t="shared" si="1"/>
        <v>2414.6999999999998</v>
      </c>
      <c r="G25" s="36">
        <v>50318</v>
      </c>
      <c r="H25" s="30">
        <f t="shared" si="2"/>
        <v>15</v>
      </c>
      <c r="I25" s="46">
        <f t="shared" si="3"/>
        <v>18000</v>
      </c>
      <c r="J25" s="18">
        <v>104189</v>
      </c>
      <c r="K25" s="30">
        <f t="shared" si="4"/>
        <v>20</v>
      </c>
      <c r="L25" s="51">
        <f t="shared" si="5"/>
        <v>94</v>
      </c>
    </row>
    <row r="26" spans="1:12" ht="30" customHeight="1">
      <c r="A26" s="37">
        <v>44643</v>
      </c>
      <c r="B26" s="31">
        <v>167</v>
      </c>
      <c r="C26" s="31">
        <v>0</v>
      </c>
      <c r="D26" s="18">
        <v>182285</v>
      </c>
      <c r="E26" s="30">
        <f t="shared" si="0"/>
        <v>82</v>
      </c>
      <c r="F26" s="43">
        <f t="shared" si="1"/>
        <v>2200.06</v>
      </c>
      <c r="G26" s="18">
        <v>50333</v>
      </c>
      <c r="H26" s="30">
        <f t="shared" si="2"/>
        <v>15</v>
      </c>
      <c r="I26" s="46">
        <f t="shared" si="3"/>
        <v>18000</v>
      </c>
      <c r="J26" s="18">
        <v>104204</v>
      </c>
      <c r="K26" s="30">
        <f t="shared" si="4"/>
        <v>15</v>
      </c>
      <c r="L26" s="51">
        <f t="shared" si="5"/>
        <v>70.5</v>
      </c>
    </row>
    <row r="27" spans="1:12" ht="30" customHeight="1">
      <c r="A27" s="37">
        <v>44644</v>
      </c>
      <c r="B27" s="31">
        <v>160</v>
      </c>
      <c r="C27" s="31">
        <v>0</v>
      </c>
      <c r="D27" s="18">
        <v>182327</v>
      </c>
      <c r="E27" s="30">
        <f t="shared" si="0"/>
        <v>42</v>
      </c>
      <c r="F27" s="43">
        <f t="shared" si="1"/>
        <v>1126.8599999999999</v>
      </c>
      <c r="G27" s="18">
        <v>50348</v>
      </c>
      <c r="H27" s="30">
        <f t="shared" si="2"/>
        <v>15</v>
      </c>
      <c r="I27" s="46">
        <f t="shared" si="3"/>
        <v>18000</v>
      </c>
      <c r="J27" s="18">
        <v>104224</v>
      </c>
      <c r="K27" s="30">
        <f t="shared" si="4"/>
        <v>20</v>
      </c>
      <c r="L27" s="51">
        <f t="shared" si="5"/>
        <v>94</v>
      </c>
    </row>
    <row r="28" spans="1:12" ht="30" customHeight="1">
      <c r="A28" s="37">
        <v>44645</v>
      </c>
      <c r="B28" s="31">
        <v>160</v>
      </c>
      <c r="C28" s="31">
        <v>0</v>
      </c>
      <c r="D28" s="18">
        <v>182447</v>
      </c>
      <c r="E28" s="30">
        <f t="shared" si="0"/>
        <v>120</v>
      </c>
      <c r="F28" s="43">
        <f t="shared" si="1"/>
        <v>3219.6</v>
      </c>
      <c r="G28" s="18">
        <v>50364</v>
      </c>
      <c r="H28" s="30">
        <f t="shared" si="2"/>
        <v>16</v>
      </c>
      <c r="I28" s="46">
        <f t="shared" si="3"/>
        <v>19200</v>
      </c>
      <c r="J28" s="18">
        <v>104244</v>
      </c>
      <c r="K28" s="30">
        <f t="shared" si="4"/>
        <v>20</v>
      </c>
      <c r="L28" s="51">
        <f t="shared" si="5"/>
        <v>94</v>
      </c>
    </row>
    <row r="29" spans="1:12" ht="30" customHeight="1">
      <c r="A29" s="37">
        <v>44646</v>
      </c>
      <c r="B29" s="31">
        <v>156</v>
      </c>
      <c r="C29" s="31">
        <v>0</v>
      </c>
      <c r="D29" s="18">
        <v>182566</v>
      </c>
      <c r="E29" s="30">
        <f t="shared" si="0"/>
        <v>119</v>
      </c>
      <c r="F29" s="43">
        <f t="shared" si="1"/>
        <v>3192.77</v>
      </c>
      <c r="G29" s="18">
        <v>50379</v>
      </c>
      <c r="H29" s="30">
        <f t="shared" si="2"/>
        <v>15</v>
      </c>
      <c r="I29" s="46">
        <f t="shared" si="3"/>
        <v>18000</v>
      </c>
      <c r="J29" s="18">
        <v>104264</v>
      </c>
      <c r="K29" s="30">
        <f t="shared" si="4"/>
        <v>20</v>
      </c>
      <c r="L29" s="51">
        <f t="shared" si="5"/>
        <v>94</v>
      </c>
    </row>
    <row r="30" spans="1:12" ht="30" customHeight="1">
      <c r="A30" s="37">
        <v>44647</v>
      </c>
      <c r="B30" s="31">
        <v>157</v>
      </c>
      <c r="C30" s="31">
        <v>0</v>
      </c>
      <c r="D30" s="18">
        <v>182646</v>
      </c>
      <c r="E30" s="30">
        <f t="shared" si="0"/>
        <v>80</v>
      </c>
      <c r="F30" s="43">
        <f t="shared" si="1"/>
        <v>2146.3999999999996</v>
      </c>
      <c r="G30" s="18">
        <v>50394</v>
      </c>
      <c r="H30" s="30">
        <f t="shared" si="2"/>
        <v>15</v>
      </c>
      <c r="I30" s="46">
        <f t="shared" si="3"/>
        <v>18000</v>
      </c>
      <c r="J30" s="18">
        <v>104280</v>
      </c>
      <c r="K30" s="30">
        <f t="shared" si="4"/>
        <v>16</v>
      </c>
      <c r="L30" s="51">
        <f t="shared" si="5"/>
        <v>75.2</v>
      </c>
    </row>
    <row r="31" spans="1:12" ht="30" customHeight="1">
      <c r="A31" s="37">
        <v>44648</v>
      </c>
      <c r="B31" s="31">
        <v>147</v>
      </c>
      <c r="C31" s="31">
        <v>0</v>
      </c>
      <c r="D31" s="18">
        <v>182736</v>
      </c>
      <c r="E31" s="30">
        <f t="shared" si="0"/>
        <v>90</v>
      </c>
      <c r="F31" s="43">
        <f t="shared" si="1"/>
        <v>2414.6999999999998</v>
      </c>
      <c r="G31" s="18">
        <v>50410</v>
      </c>
      <c r="H31" s="30">
        <f t="shared" si="2"/>
        <v>16</v>
      </c>
      <c r="I31" s="46">
        <f t="shared" si="3"/>
        <v>19200</v>
      </c>
      <c r="J31" s="18">
        <v>104290</v>
      </c>
      <c r="K31" s="30">
        <f t="shared" si="4"/>
        <v>10</v>
      </c>
      <c r="L31" s="51">
        <f t="shared" si="5"/>
        <v>47</v>
      </c>
    </row>
    <row r="32" spans="1:12" ht="30" customHeight="1">
      <c r="A32" s="37">
        <v>44649</v>
      </c>
      <c r="B32" s="31">
        <v>122</v>
      </c>
      <c r="C32" s="31">
        <v>0</v>
      </c>
      <c r="D32" s="18">
        <v>182785</v>
      </c>
      <c r="E32" s="30">
        <f t="shared" si="0"/>
        <v>49</v>
      </c>
      <c r="F32" s="43">
        <f t="shared" si="1"/>
        <v>1314.6699999999998</v>
      </c>
      <c r="G32" s="18">
        <v>50423</v>
      </c>
      <c r="H32" s="30">
        <f t="shared" si="2"/>
        <v>13</v>
      </c>
      <c r="I32" s="46">
        <f t="shared" si="3"/>
        <v>15600</v>
      </c>
      <c r="J32" s="18">
        <v>104311</v>
      </c>
      <c r="K32" s="30">
        <f t="shared" si="4"/>
        <v>21</v>
      </c>
      <c r="L32" s="51">
        <f t="shared" si="5"/>
        <v>98.7</v>
      </c>
    </row>
    <row r="33" spans="1:12" ht="30" customHeight="1">
      <c r="A33" s="37">
        <v>44650</v>
      </c>
      <c r="B33" s="31">
        <v>113</v>
      </c>
      <c r="C33" s="31">
        <v>0</v>
      </c>
      <c r="D33" s="18">
        <v>182878</v>
      </c>
      <c r="E33" s="30">
        <f t="shared" si="0"/>
        <v>93</v>
      </c>
      <c r="F33" s="43">
        <f t="shared" si="1"/>
        <v>2495.19</v>
      </c>
      <c r="G33" s="18">
        <v>50439</v>
      </c>
      <c r="H33" s="30">
        <f t="shared" si="2"/>
        <v>16</v>
      </c>
      <c r="I33" s="46">
        <f t="shared" si="3"/>
        <v>19200</v>
      </c>
      <c r="J33" s="18">
        <v>104323</v>
      </c>
      <c r="K33" s="30">
        <f t="shared" si="4"/>
        <v>12</v>
      </c>
      <c r="L33" s="51">
        <f t="shared" si="5"/>
        <v>56.400000000000006</v>
      </c>
    </row>
    <row r="34" spans="1:12" ht="30" customHeight="1">
      <c r="A34" s="37">
        <v>44651</v>
      </c>
      <c r="B34" s="31">
        <v>125</v>
      </c>
      <c r="C34" s="31">
        <v>0</v>
      </c>
      <c r="D34" s="18">
        <v>182944</v>
      </c>
      <c r="E34" s="30">
        <f t="shared" si="0"/>
        <v>66</v>
      </c>
      <c r="F34" s="43">
        <f t="shared" si="1"/>
        <v>1770.78</v>
      </c>
      <c r="G34" s="18">
        <v>50456</v>
      </c>
      <c r="H34" s="30">
        <f t="shared" si="2"/>
        <v>17</v>
      </c>
      <c r="I34" s="46">
        <f t="shared" si="3"/>
        <v>20400</v>
      </c>
      <c r="J34" s="18">
        <v>104336</v>
      </c>
      <c r="K34" s="30">
        <f t="shared" si="4"/>
        <v>13</v>
      </c>
      <c r="L34" s="51">
        <f t="shared" si="5"/>
        <v>61.1</v>
      </c>
    </row>
    <row r="35" spans="1:12">
      <c r="A35" s="20"/>
      <c r="B35" s="32"/>
      <c r="C35" s="32"/>
      <c r="F35" s="47">
        <f>SUM(F4:F34)</f>
        <v>82877.869999999981</v>
      </c>
      <c r="G35" s="16"/>
      <c r="H35" s="23"/>
      <c r="I35" s="48">
        <f>SUM(I4:I34)</f>
        <v>534000</v>
      </c>
      <c r="J35" s="24"/>
      <c r="K35" s="15">
        <f>SUM(K4:K34)</f>
        <v>566</v>
      </c>
      <c r="L35" s="15">
        <f>SUM(L4:L34)</f>
        <v>2660.2</v>
      </c>
    </row>
    <row r="36" spans="1:12">
      <c r="A36" s="25"/>
      <c r="B36" s="33"/>
      <c r="C36" s="33"/>
      <c r="D36" s="21"/>
      <c r="E36" s="26"/>
      <c r="F36" s="22"/>
      <c r="G36" s="21"/>
      <c r="H36" s="22"/>
      <c r="I36" s="22"/>
      <c r="J36" s="21"/>
      <c r="K36" s="22"/>
    </row>
    <row r="37" spans="1:12">
      <c r="A37" s="19"/>
      <c r="B37" s="32"/>
      <c r="C37" s="32"/>
      <c r="G37" s="16"/>
      <c r="J37" s="16"/>
    </row>
    <row r="38" spans="1:12">
      <c r="A38" s="25"/>
      <c r="B38" s="32"/>
      <c r="C38" s="32"/>
      <c r="G38" s="16"/>
      <c r="J38" s="16"/>
    </row>
    <row r="39" spans="1:12">
      <c r="A39" s="25"/>
      <c r="B39" s="32"/>
      <c r="C39" s="32"/>
      <c r="G39" s="16"/>
      <c r="J39" s="16"/>
    </row>
    <row r="40" spans="1:12">
      <c r="A40" s="27"/>
      <c r="B40" s="32"/>
      <c r="C40" s="32"/>
      <c r="J40" s="16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30af49-037b-4282-8442-0dba319ac195" xsi:nil="true"/>
    <lcf76f155ced4ddcb4097134ff3c332f xmlns="c91f5219-5b59-4d26-8caf-148d50c1e924">
      <Terms xmlns="http://schemas.microsoft.com/office/infopath/2007/PartnerControls"/>
    </lcf76f155ced4ddcb4097134ff3c332f>
    <Date_x0020_and_x0020_Time xmlns="c91f5219-5b59-4d26-8caf-148d50c1e9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F5C29850504469D2A007A5F1588E4" ma:contentTypeVersion="14" ma:contentTypeDescription="Create a new document." ma:contentTypeScope="" ma:versionID="ecb9a015fa8e06c3430c985200bc425f">
  <xsd:schema xmlns:xsd="http://www.w3.org/2001/XMLSchema" xmlns:xs="http://www.w3.org/2001/XMLSchema" xmlns:p="http://schemas.microsoft.com/office/2006/metadata/properties" xmlns:ns2="c91f5219-5b59-4d26-8caf-148d50c1e924" xmlns:ns3="9830af49-037b-4282-8442-0dba319ac195" targetNamespace="http://schemas.microsoft.com/office/2006/metadata/properties" ma:root="true" ma:fieldsID="75224325db6c30690849d6606b0e2366" ns2:_="" ns3:_="">
    <xsd:import namespace="c91f5219-5b59-4d26-8caf-148d50c1e924"/>
    <xsd:import namespace="9830af49-037b-4282-8442-0dba319ac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Date_x0020_and_x0020_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f5219-5b59-4d26-8caf-148d50c1e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_x0020_and_x0020_Time" ma:index="21" nillable="true" ma:displayName="Date and Time" ma:format="DateOnly" ma:internalName="Date_x0020_and_x0020_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0af49-037b-4282-8442-0dba319ac19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0acdef5-69c4-4a90-af67-614bb350e529}" ma:internalName="TaxCatchAll" ma:showField="CatchAllData" ma:web="9830af49-037b-4282-8442-0dba319ac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56D0F-8B1B-40A2-9CA7-ACA2A043A4C9}"/>
</file>

<file path=customXml/itemProps2.xml><?xml version="1.0" encoding="utf-8"?>
<ds:datastoreItem xmlns:ds="http://schemas.openxmlformats.org/officeDocument/2006/customXml" ds:itemID="{EB485B97-42CA-403E-9ACF-23CB76BE0348}"/>
</file>

<file path=customXml/itemProps3.xml><?xml version="1.0" encoding="utf-8"?>
<ds:datastoreItem xmlns:ds="http://schemas.openxmlformats.org/officeDocument/2006/customXml" ds:itemID="{8663BDDA-96CE-47CE-9439-853F36445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Hartwell</dc:creator>
  <cp:keywords/>
  <dc:description/>
  <cp:lastModifiedBy>Ben Hartwell</cp:lastModifiedBy>
  <cp:revision/>
  <dcterms:created xsi:type="dcterms:W3CDTF">2021-03-09T05:20:06Z</dcterms:created>
  <dcterms:modified xsi:type="dcterms:W3CDTF">2023-02-04T18:07:05Z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0x010100625F5C29850504469D2A007A5F1588E4</vt:lpwstr>
  </property>
  <property fmtid="{D5CDD505-2E9C-101B-9397-08002B2CF9AE}" pid="3" name="MediaServiceImageTags">
    <vt:lpwstr/>
  </property>
</Properties>
</file>