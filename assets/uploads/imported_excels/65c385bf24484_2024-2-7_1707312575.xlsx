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14" documentId="8_{5A9CD38F-6435-42F7-B247-CE2D98CD87B6}" xr6:coauthVersionLast="47" xr6:coauthVersionMax="47" xr10:uidLastSave="{D15CCD92-DF5B-4E9B-8277-D191040731C8}"/>
  <bookViews>
    <workbookView xWindow="-98" yWindow="-98" windowWidth="19396" windowHeight="10276" tabRatio="500" activeTab="1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D13" i="21"/>
  <c r="F10" i="21"/>
  <c r="F11" i="21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D22" i="20" s="1"/>
  <c r="E18" i="19"/>
  <c r="E17" i="19"/>
  <c r="D17" i="19"/>
  <c r="E16" i="19"/>
  <c r="D16" i="19"/>
  <c r="E15" i="19"/>
  <c r="E14" i="19"/>
  <c r="D14" i="20" s="1"/>
  <c r="E13" i="19"/>
  <c r="E10" i="19"/>
  <c r="D10" i="20" s="1"/>
  <c r="F10" i="20" s="1"/>
  <c r="F11" i="20" s="1"/>
  <c r="D10" i="19"/>
  <c r="E7" i="19"/>
  <c r="D7" i="20" s="1"/>
  <c r="E3" i="19"/>
  <c r="B3" i="19"/>
  <c r="E22" i="18"/>
  <c r="D22" i="19" s="1"/>
  <c r="E18" i="18"/>
  <c r="D18" i="19" s="1"/>
  <c r="D18" i="18"/>
  <c r="F18" i="18" s="1"/>
  <c r="F17" i="18"/>
  <c r="E17" i="18"/>
  <c r="E16" i="18"/>
  <c r="E15" i="18"/>
  <c r="D15" i="19" s="1"/>
  <c r="E14" i="18"/>
  <c r="D14" i="19" s="1"/>
  <c r="F13" i="18"/>
  <c r="E13" i="18"/>
  <c r="D13" i="19" s="1"/>
  <c r="E10" i="18"/>
  <c r="E7" i="18"/>
  <c r="E3" i="18"/>
  <c r="B3" i="18"/>
  <c r="E22" i="17"/>
  <c r="E18" i="17"/>
  <c r="E17" i="17"/>
  <c r="D17" i="18" s="1"/>
  <c r="E16" i="17"/>
  <c r="D16" i="18" s="1"/>
  <c r="F16" i="18" s="1"/>
  <c r="D16" i="17"/>
  <c r="F16" i="17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D17" i="16"/>
  <c r="E16" i="16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5"/>
  <c r="E16" i="15"/>
  <c r="D16" i="16" s="1"/>
  <c r="E15" i="15"/>
  <c r="D15" i="16" s="1"/>
  <c r="E14" i="15"/>
  <c r="E13" i="15"/>
  <c r="D13" i="16" s="1"/>
  <c r="F13" i="16" s="1"/>
  <c r="E10" i="15"/>
  <c r="E7" i="15"/>
  <c r="D7" i="16" s="1"/>
  <c r="D7" i="15"/>
  <c r="F7" i="15" s="1"/>
  <c r="F8" i="15" s="1"/>
  <c r="E3" i="15"/>
  <c r="B3" i="15"/>
  <c r="E22" i="14"/>
  <c r="D22" i="15" s="1"/>
  <c r="D22" i="14"/>
  <c r="E18" i="14"/>
  <c r="D18" i="15" s="1"/>
  <c r="E17" i="14"/>
  <c r="E16" i="14"/>
  <c r="E15" i="14"/>
  <c r="D15" i="15" s="1"/>
  <c r="E14" i="14"/>
  <c r="D14" i="15" s="1"/>
  <c r="E13" i="14"/>
  <c r="D13" i="15" s="1"/>
  <c r="E10" i="14"/>
  <c r="D10" i="15" s="1"/>
  <c r="E7" i="14"/>
  <c r="E3" i="14"/>
  <c r="B3" i="14"/>
  <c r="E22" i="13"/>
  <c r="D22" i="13"/>
  <c r="F22" i="13" s="1"/>
  <c r="F23" i="13" s="1"/>
  <c r="G23" i="13" s="1"/>
  <c r="G31" i="13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F13" i="14" s="1"/>
  <c r="E10" i="13"/>
  <c r="D10" i="14" s="1"/>
  <c r="E7" i="13"/>
  <c r="D7" i="14" s="1"/>
  <c r="E3" i="13"/>
  <c r="B3" i="13"/>
  <c r="E22" i="12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F15" i="12" s="1"/>
  <c r="D15" i="11"/>
  <c r="E14" i="11"/>
  <c r="D14" i="12" s="1"/>
  <c r="E13" i="11"/>
  <c r="D13" i="12" s="1"/>
  <c r="E10" i="11"/>
  <c r="D10" i="12" s="1"/>
  <c r="E7" i="11"/>
  <c r="D7" i="12" s="1"/>
  <c r="E3" i="11"/>
  <c r="B3" i="11"/>
  <c r="E22" i="10"/>
  <c r="F22" i="10" s="1"/>
  <c r="E18" i="10"/>
  <c r="E17" i="10"/>
  <c r="D17" i="11" s="1"/>
  <c r="E16" i="10"/>
  <c r="E15" i="10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G25" i="1"/>
  <c r="N24" i="2"/>
  <c r="N23" i="2"/>
  <c r="N22" i="2"/>
  <c r="N21" i="2"/>
  <c r="N20" i="2"/>
  <c r="N19" i="2"/>
  <c r="G19" i="1"/>
  <c r="N18" i="2"/>
  <c r="I18" i="1"/>
  <c r="N17" i="2"/>
  <c r="N16" i="2"/>
  <c r="G16" i="1"/>
  <c r="N15" i="2"/>
  <c r="N14" i="2"/>
  <c r="N13" i="2"/>
  <c r="N12" i="2"/>
  <c r="N11" i="2"/>
  <c r="N10" i="2"/>
  <c r="N9" i="2"/>
  <c r="N8" i="2"/>
  <c r="N7" i="2"/>
  <c r="I7" i="1"/>
  <c r="G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D47" i="35" l="1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7" i="9"/>
  <c r="F8" i="9" s="1"/>
  <c r="F10" i="19"/>
  <c r="F11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F19" i="9" s="1"/>
  <c r="D18" i="13"/>
  <c r="F18" i="13" s="1"/>
  <c r="D16" i="25"/>
  <c r="F16" i="25" s="1"/>
  <c r="F19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14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9" i="17"/>
  <c r="G11" i="17"/>
  <c r="G29" i="17" s="1"/>
  <c r="F28" i="9"/>
  <c r="G8" i="9"/>
  <c r="G28" i="9" s="1"/>
  <c r="G11" i="7"/>
  <c r="G29" i="7" s="1"/>
  <c r="F29" i="7"/>
  <c r="F14" i="12"/>
  <c r="G11" i="19"/>
  <c r="G29" i="19" s="1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22" i="1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F29" i="1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8" i="1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0" i="12"/>
  <c r="F11" i="12" s="1"/>
  <c r="F14" i="16"/>
  <c r="F19" i="16" s="1"/>
  <c r="F13" i="17"/>
  <c r="F19" i="17" s="1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19" i="34" l="1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12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G32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G32" i="25" l="1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19" i="11"/>
  <c r="G30" i="11" s="1"/>
  <c r="G32" i="11" s="1"/>
  <c r="F30" i="11"/>
  <c r="G32" i="10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<sst xmlns="http://schemas.openxmlformats.org/spreadsheetml/2006/main" count="2629" uniqueCount="181">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</sst>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34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E12" sqref="E12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7" width="11.59765625" style="2"/>
    <col min="8" max="8" width="11.59765625" style="4"/>
    <col min="9" max="9" width="11.59765625" style="2"/>
    <col min="10" max="10" width="11.59765625" style="5"/>
    <col min="11" max="11" width="11.59765625" style="275"/>
    <col min="12" max="12" width="11.59765625" style="5"/>
    <col min="13" max="13" width="11.59765625" style="6"/>
    <col min="14" max="16384" width="11.59765625" style="2"/>
  </cols>
  <sheetData>
    <row r="1" spans="1:15" s="7" customFormat="1" ht="57.4" thickBot="1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4.65" thickTop="1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41354.171999999999</v>
      </c>
      <c r="J2" s="5">
        <v>0.06</v>
      </c>
      <c r="K2" s="275">
        <f>Submetering!K2</f>
        <v>6625.1219999987579</v>
      </c>
      <c r="L2" s="5">
        <v>1.1399999999999999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0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Submetering!E7+Submetering!F7+Submetering!G7+Submetering!H7+Submetering!I7+Submetering!J7</f>
        <v>#VALUE!</v>
      </c>
      <c r="F7" s="5">
        <v>0.44</v>
      </c>
      <c r="G7" s="6" t="e">
        <f>Submetering!M7</f>
        <v>#VALUE!</v>
      </c>
      <c r="H7" s="12">
        <v>2.5</v>
      </c>
      <c r="I7" s="6" t="e">
        <f>Submetering!L7</f>
        <v>#VALUE!</v>
      </c>
      <c r="J7" s="5">
        <v>0.06</v>
      </c>
      <c r="K7" s="275" t="e">
        <f>Submetering!K7</f>
        <v>#VALUE!</v>
      </c>
      <c r="L7" s="5">
        <v>1.1399999999999999</v>
      </c>
      <c r="M7" s="6" t="e">
        <f>INT('Daily Meter'!O11*434/100)</f>
        <v>#VALUE!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Submetering!E8+Submetering!F8+Submetering!G8+Submetering!H8+Submetering!I8+Submetering!J8</f>
        <v>#VALUE!</v>
      </c>
      <c r="F8" s="5">
        <v>0.44</v>
      </c>
      <c r="G8" s="6" t="e">
        <f>Submetering!M8</f>
        <v>#VALUE!</v>
      </c>
      <c r="H8" s="12">
        <v>2.5</v>
      </c>
      <c r="I8" s="6" t="e">
        <f>Submetering!L8</f>
        <v>#VALUE!</v>
      </c>
      <c r="J8" s="5">
        <v>0.06</v>
      </c>
      <c r="K8" s="275" t="e">
        <f>Submetering!K8</f>
        <v>#VALUE!</v>
      </c>
      <c r="L8" s="5">
        <v>1.1399999999999999</v>
      </c>
      <c r="M8" s="6" t="e">
        <f>INT('Daily Meter'!O12*434/100)</f>
        <v>#VALUE!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Submetering!E9+Submetering!F9+Submetering!G9+Submetering!H9+Submetering!I9+Submetering!J9</f>
        <v>#VALUE!</v>
      </c>
      <c r="F9" s="5">
        <v>0.44</v>
      </c>
      <c r="G9" s="6" t="e">
        <f>Submetering!M9</f>
        <v>#VALUE!</v>
      </c>
      <c r="H9" s="12">
        <v>2.5</v>
      </c>
      <c r="I9" s="6" t="e">
        <f>Submetering!L9</f>
        <v>#VALUE!</v>
      </c>
      <c r="J9" s="5">
        <v>0.06</v>
      </c>
      <c r="K9" s="275" t="e">
        <f>Submetering!K9</f>
        <v>#VALUE!</v>
      </c>
      <c r="L9" s="5">
        <v>1.1399999999999999</v>
      </c>
      <c r="M9" s="6" t="e">
        <f>INT('Daily Meter'!O13*434/100)</f>
        <v>#VALUE!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Submetering!E10+Submetering!F10+Submetering!G10+Submetering!H10+Submetering!I10+Submetering!J10</f>
        <v>#VALUE!</v>
      </c>
      <c r="F10" s="5">
        <v>0.44</v>
      </c>
      <c r="G10" s="6" t="e">
        <f>Submetering!M10</f>
        <v>#VALUE!</v>
      </c>
      <c r="H10" s="12">
        <v>2.5</v>
      </c>
      <c r="I10" s="6" t="e">
        <f>Submetering!L10</f>
        <v>#VALUE!</v>
      </c>
      <c r="J10" s="5">
        <v>0.06</v>
      </c>
      <c r="K10" s="275" t="e">
        <f>Submetering!K10</f>
        <v>#VALUE!</v>
      </c>
      <c r="L10" s="5">
        <v>1.1399999999999999</v>
      </c>
      <c r="M10" s="6" t="e">
        <f>INT('Daily Meter'!O14*434/100)</f>
        <v>#VALUE!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Submetering!E11+Submetering!F11+Submetering!G11+Submetering!H11+Submetering!I11+Submetering!J11</f>
        <v>#VALUE!</v>
      </c>
      <c r="F11" s="5">
        <v>0.44</v>
      </c>
      <c r="G11" s="6" t="e">
        <f>Submetering!M11</f>
        <v>#VALUE!</v>
      </c>
      <c r="H11" s="12">
        <v>2.5</v>
      </c>
      <c r="I11" s="6" t="e">
        <f>Submetering!L11</f>
        <v>#VALUE!</v>
      </c>
      <c r="J11" s="5">
        <v>0.06</v>
      </c>
      <c r="K11" s="275" t="e">
        <f>Submetering!K11</f>
        <v>#VALUE!</v>
      </c>
      <c r="L11" s="5">
        <v>1.1399999999999999</v>
      </c>
      <c r="M11" s="6" t="e">
        <f>INT('Daily Meter'!O15*434/100)</f>
        <v>#VALUE!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Submetering!E12+Submetering!F12+Submetering!G12+Submetering!H12+Submetering!I12+Submetering!J12</f>
        <v>#VALUE!</v>
      </c>
      <c r="F12" s="5">
        <v>0.44</v>
      </c>
      <c r="G12" s="6" t="e">
        <f>Submetering!M12</f>
        <v>#VALUE!</v>
      </c>
      <c r="H12" s="12">
        <v>2.5</v>
      </c>
      <c r="I12" s="6" t="e">
        <f>Submetering!L12</f>
        <v>#VALUE!</v>
      </c>
      <c r="J12" s="5">
        <v>0.06</v>
      </c>
      <c r="K12" s="275" t="e">
        <f>Submetering!K12</f>
        <v>#VALUE!</v>
      </c>
      <c r="L12" s="5">
        <v>1.1399999999999999</v>
      </c>
      <c r="M12" s="6" t="e">
        <f>INT('Daily Meter'!O16*434/100)</f>
        <v>#VALUE!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Submetering!E13+Submetering!F13+Submetering!G13+Submetering!H13+Submetering!I13+Submetering!J13</f>
        <v>#VALUE!</v>
      </c>
      <c r="F13" s="5">
        <v>0.44</v>
      </c>
      <c r="G13" s="6" t="e">
        <f>Submetering!M13</f>
        <v>#VALUE!</v>
      </c>
      <c r="H13" s="12">
        <v>2.5</v>
      </c>
      <c r="I13" s="6" t="e">
        <f>Submetering!L13</f>
        <v>#VALUE!</v>
      </c>
      <c r="J13" s="5">
        <v>0.06</v>
      </c>
      <c r="K13" s="275" t="e">
        <f>Submetering!K13</f>
        <v>#VALUE!</v>
      </c>
      <c r="L13" s="5">
        <v>1.1399999999999999</v>
      </c>
      <c r="M13" s="6" t="e">
        <f>INT('Daily Meter'!O17*434/100)</f>
        <v>#VALUE!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Submetering!E14+Submetering!F14+Submetering!G14+Submetering!H14+Submetering!I14+Submetering!J14</f>
        <v>#VALUE!</v>
      </c>
      <c r="F14" s="5">
        <v>0.44</v>
      </c>
      <c r="G14" s="6" t="e">
        <f>Submetering!M14</f>
        <v>#VALUE!</v>
      </c>
      <c r="H14" s="12">
        <v>2.5</v>
      </c>
      <c r="I14" s="6" t="e">
        <f>Submetering!L14</f>
        <v>#VALUE!</v>
      </c>
      <c r="J14" s="5">
        <v>0.06</v>
      </c>
      <c r="K14" s="275" t="e">
        <f>Submetering!K14</f>
        <v>#VALUE!</v>
      </c>
      <c r="L14" s="5">
        <v>1.1399999999999999</v>
      </c>
      <c r="M14" s="6" t="e">
        <f>INT('Daily Meter'!O18*434/100)</f>
        <v>#VALUE!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Submetering!E15+Submetering!F15+Submetering!G15+Submetering!H15+Submetering!I15+Submetering!J15</f>
        <v>#VALUE!</v>
      </c>
      <c r="F15" s="5">
        <v>0.44</v>
      </c>
      <c r="G15" s="6" t="e">
        <f>Submetering!M15</f>
        <v>#VALUE!</v>
      </c>
      <c r="H15" s="12">
        <v>2.5</v>
      </c>
      <c r="I15" s="6" t="e">
        <f>Submetering!L15</f>
        <v>#VALUE!</v>
      </c>
      <c r="J15" s="5">
        <v>0.06</v>
      </c>
      <c r="K15" s="275" t="e">
        <f>Submetering!K15</f>
        <v>#VALUE!</v>
      </c>
      <c r="L15" s="5">
        <v>1.1399999999999999</v>
      </c>
      <c r="M15" s="6" t="e">
        <f>INT('Daily Meter'!O19*434/100)</f>
        <v>#VALUE!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Submetering!E16+Submetering!F16+Submetering!G16+Submetering!H16+Submetering!I16+Submetering!J16</f>
        <v>#VALUE!</v>
      </c>
      <c r="F16" s="5">
        <v>0.44</v>
      </c>
      <c r="G16" s="6" t="e">
        <f>Submetering!M16</f>
        <v>#VALUE!</v>
      </c>
      <c r="H16" s="12">
        <v>2.5</v>
      </c>
      <c r="I16" s="6" t="e">
        <f>Submetering!L16</f>
        <v>#VALUE!</v>
      </c>
      <c r="J16" s="5">
        <v>0.06</v>
      </c>
      <c r="K16" s="275" t="e">
        <f>Submetering!K16</f>
        <v>#VALUE!</v>
      </c>
      <c r="L16" s="5">
        <v>1.1399999999999999</v>
      </c>
      <c r="M16" s="6" t="e">
        <f>INT('Daily Meter'!O20*434/100)</f>
        <v>#VALUE!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Submetering!E17+Submetering!F17+Submetering!G17+Submetering!H17+Submetering!I17+Submetering!J17</f>
        <v>#VALUE!</v>
      </c>
      <c r="F17" s="5">
        <v>0.44</v>
      </c>
      <c r="G17" s="6" t="e">
        <f>Submetering!M17</f>
        <v>#VALUE!</v>
      </c>
      <c r="H17" s="12">
        <v>2.5</v>
      </c>
      <c r="I17" s="6" t="e">
        <f>Submetering!L17</f>
        <v>#VALUE!</v>
      </c>
      <c r="J17" s="5">
        <v>0.06</v>
      </c>
      <c r="K17" s="275" t="e">
        <f>Submetering!K17</f>
        <v>#VALUE!</v>
      </c>
      <c r="L17" s="5">
        <v>1.1399999999999999</v>
      </c>
      <c r="M17" s="6" t="e">
        <f>INT('Daily Meter'!O21*434/100)</f>
        <v>#VALUE!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Submetering!E18+Submetering!F18+Submetering!G18+Submetering!H18+Submetering!I18+Submetering!J18</f>
        <v>#VALUE!</v>
      </c>
      <c r="F18" s="5">
        <v>0.44</v>
      </c>
      <c r="G18" s="6" t="e">
        <f>Submetering!M18</f>
        <v>#VALUE!</v>
      </c>
      <c r="H18" s="12">
        <v>2.5</v>
      </c>
      <c r="I18" s="6" t="e">
        <f>Submetering!L18</f>
        <v>#VALUE!</v>
      </c>
      <c r="J18" s="5">
        <v>0.06</v>
      </c>
      <c r="K18" s="275" t="e">
        <f>Submetering!K18</f>
        <v>#VALUE!</v>
      </c>
      <c r="L18" s="5">
        <v>1.1399999999999999</v>
      </c>
      <c r="M18" s="6" t="e">
        <f>INT('Daily Meter'!O22*434/100)</f>
        <v>#VALUE!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Submetering!E19+Submetering!F19+Submetering!G19+Submetering!H19+Submetering!I19+Submetering!J19</f>
        <v>#VALUE!</v>
      </c>
      <c r="F19" s="5">
        <v>0.44</v>
      </c>
      <c r="G19" s="6" t="e">
        <f>Submetering!M19</f>
        <v>#VALUE!</v>
      </c>
      <c r="H19" s="12">
        <v>2.5</v>
      </c>
      <c r="I19" s="6" t="e">
        <f>Submetering!L19</f>
        <v>#VALUE!</v>
      </c>
      <c r="J19" s="5">
        <v>0.06</v>
      </c>
      <c r="K19" s="275" t="e">
        <f>Submetering!K19</f>
        <v>#VALUE!</v>
      </c>
      <c r="L19" s="5">
        <v>1.1399999999999999</v>
      </c>
      <c r="M19" s="6" t="e">
        <f>INT('Daily Meter'!O23*434/100)</f>
        <v>#VALUE!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Submetering!E20+Submetering!F20+Submetering!G20+Submetering!H20+Submetering!I20+Submetering!J20</f>
        <v>#VALUE!</v>
      </c>
      <c r="F20" s="5">
        <v>0.44</v>
      </c>
      <c r="G20" s="6" t="e">
        <f>Submetering!M20</f>
        <v>#VALUE!</v>
      </c>
      <c r="H20" s="12">
        <v>2.5</v>
      </c>
      <c r="I20" s="6" t="e">
        <f>Submetering!L20</f>
        <v>#VALUE!</v>
      </c>
      <c r="J20" s="5">
        <v>0.06</v>
      </c>
      <c r="K20" s="275" t="e">
        <f>Submetering!K20</f>
        <v>#VALUE!</v>
      </c>
      <c r="L20" s="5">
        <v>1.1399999999999999</v>
      </c>
      <c r="M20" s="6" t="e">
        <f>INT('Daily Meter'!O24*434/100)</f>
        <v>#VALUE!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2">
        <v>2.5</v>
      </c>
      <c r="I21" s="6" t="e">
        <f>Submetering!L21</f>
        <v>#VALUE!</v>
      </c>
      <c r="J21" s="5">
        <v>0.06</v>
      </c>
      <c r="K21" s="275" t="e">
        <f>Submetering!K21</f>
        <v>#VALUE!</v>
      </c>
      <c r="L21" s="5">
        <v>1.1399999999999999</v>
      </c>
      <c r="M21" s="6" t="e">
        <f>INT('Daily Meter'!O25*434/100)</f>
        <v>#VALUE!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2">
        <v>2.5</v>
      </c>
      <c r="I22" s="6" t="e">
        <f>Submetering!L22</f>
        <v>#VALUE!</v>
      </c>
      <c r="J22" s="5">
        <v>0.06</v>
      </c>
      <c r="K22" s="275" t="e">
        <f>Submetering!K22</f>
        <v>#VALUE!</v>
      </c>
      <c r="L22" s="5">
        <v>1.1399999999999999</v>
      </c>
      <c r="M22" s="6" t="e">
        <f>INT('Daily Meter'!O26*434/100)</f>
        <v>#VALUE!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2">
        <v>2.5</v>
      </c>
      <c r="I23" s="6" t="e">
        <f>Submetering!L23</f>
        <v>#VALUE!</v>
      </c>
      <c r="J23" s="5">
        <v>0.06</v>
      </c>
      <c r="K23" s="275" t="e">
        <f>Submetering!K23</f>
        <v>#VALUE!</v>
      </c>
      <c r="L23" s="5">
        <v>1.1399999999999999</v>
      </c>
      <c r="M23" s="6" t="e">
        <f>INT('Daily Meter'!O27*434/100)</f>
        <v>#VALUE!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2">
        <v>2.5</v>
      </c>
      <c r="I24" s="6" t="e">
        <f>Submetering!L24</f>
        <v>#VALUE!</v>
      </c>
      <c r="J24" s="5">
        <v>0.06</v>
      </c>
      <c r="K24" s="275" t="e">
        <f>Submetering!K24</f>
        <v>#VALUE!</v>
      </c>
      <c r="L24" s="5">
        <v>1.1399999999999999</v>
      </c>
      <c r="M24" s="6" t="e">
        <f>INT('Daily Meter'!O28*434/100)</f>
        <v>#VALUE!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v>1.1399999999999999</v>
      </c>
      <c r="M25" s="6" t="e">
        <f>INT('Daily Meter'!O29*434/100)</f>
        <v>#VALUE!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v>1.1399999999999999</v>
      </c>
      <c r="M26" s="6" t="e">
        <f>INT('Daily Meter'!O30*434/100)</f>
        <v>#VALUE!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v>1.1399999999999999</v>
      </c>
      <c r="M27" s="6" t="e">
        <f>INT('Daily Meter'!O31*434/100)</f>
        <v>#VALUE!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abSelected="1" topLeftCell="B1" zoomScaleNormal="100" workbookViewId="0">
      <selection activeCell="K3" sqref="K3"/>
    </sheetView>
  </sheetViews>
  <sheetFormatPr defaultColWidth="11.59765625" defaultRowHeight="14.25"/>
  <cols>
    <col min="1" max="1" width="23" style="2" customWidth="1"/>
    <col min="2" max="2" width="11.59765625" style="2"/>
    <col min="3" max="3" width="11.59765625" style="3"/>
    <col min="4" max="4" width="13.3984375" style="2" customWidth="1"/>
    <col min="5" max="5" width="12.59765625" style="2" customWidth="1"/>
    <col min="6" max="6" width="12.59765625" style="4" customWidth="1"/>
    <col min="7" max="8" width="11.59765625" style="2"/>
    <col min="9" max="9" width="11.59765625" style="4"/>
    <col min="10" max="13" width="11.59765625" style="2"/>
    <col min="14" max="14" width="11.59765625" style="6"/>
    <col min="15" max="15" width="11.59765625" style="2"/>
  </cols>
  <sheetData>
    <row r="1" spans="1:15" s="13" customFormat="1" ht="28.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6625.1219999987579</v>
      </c>
      <c r="L2" s="6">
        <f>IF(('Daily Meter'!C6-'1'!D10)&lt;0,"0",'Daily Meter'!C6-'1'!D10)*219.969</f>
        <v>41354.171999999999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0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IF(('Daily Meter'!H11-'Daily Meter'!H10)&lt;0,"0",'Daily Meter'!H11-'Daily Meter'!H10)*480</f>
        <v>#VALUE!</v>
      </c>
      <c r="F7" s="6" t="e">
        <f>IF(('Daily Meter'!I11-'Daily Meter'!I10)&lt;0,"0",'Daily Meter'!I11-'Daily Meter'!I10)*480</f>
        <v>#VALUE!</v>
      </c>
      <c r="G7" s="6" t="e">
        <f>IF(('Daily Meter'!J11-'Daily Meter'!J10)&lt;0,"0",'Daily Meter'!J11-'Daily Meter'!J10)*480</f>
        <v>#VALUE!</v>
      </c>
      <c r="H7" s="6" t="e">
        <f>IF(('Daily Meter'!K11-'Daily Meter'!K10)&lt;0,"0",'Daily Meter'!K11-'Daily Meter'!K10)*480</f>
        <v>#VALUE!</v>
      </c>
      <c r="I7" s="6" t="e">
        <f>IF(('Daily Meter'!L11-'Daily Meter'!L10)&lt;0,"0",'Daily Meter'!L11-'Daily Meter'!L10)*480</f>
        <v>#VALUE!</v>
      </c>
      <c r="J7" s="6" t="e">
        <f>IF(('Daily Meter'!M11-'Daily Meter'!M10)&lt;0,"0",'Daily Meter'!M11-'Daily Meter'!M10)*480</f>
        <v>#VALUE!</v>
      </c>
      <c r="K7" s="6" t="e">
        <f>IF(('Daily Meter'!B11-'Daily Meter'!B10)&lt;0,"0",'Daily Meter'!B11-'Daily Meter'!B10)*284.34</f>
        <v>#VALUE!</v>
      </c>
      <c r="L7" s="6" t="e">
        <f>IF(('Daily Meter'!C11-'Daily Meter'!C10)&lt;0,"0",'Daily Meter'!C11-'Daily Meter'!C10)*219.969</f>
        <v>#VALUE!</v>
      </c>
      <c r="M7" s="6" t="e">
        <f>IF(('Daily Meter'!N11-'Daily Meter'!N10)&lt;0,"0",'Daily Meter'!N11-'Daily Meter'!N10)*3.7</f>
        <v>#VALUE!</v>
      </c>
      <c r="N7" s="6" t="e">
        <f>Total!M7</f>
        <v>#VALUE!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IF(('Daily Meter'!H12-'Daily Meter'!H11)&lt;0,"0",'Daily Meter'!H12-'Daily Meter'!H11)*480</f>
        <v>#VALUE!</v>
      </c>
      <c r="F8" s="6" t="e">
        <f>IF(('Daily Meter'!I12-'Daily Meter'!I11)&lt;0,"0",'Daily Meter'!I12-'Daily Meter'!I11)*480</f>
        <v>#VALUE!</v>
      </c>
      <c r="G8" s="6" t="e">
        <f>IF(('Daily Meter'!J12-'Daily Meter'!J11)&lt;0,"0",'Daily Meter'!J12-'Daily Meter'!J11)*480</f>
        <v>#VALUE!</v>
      </c>
      <c r="H8" s="6" t="e">
        <f>IF(('Daily Meter'!K12-'Daily Meter'!K11)&lt;0,"0",'Daily Meter'!K12-'Daily Meter'!K11)*480</f>
        <v>#VALUE!</v>
      </c>
      <c r="I8" s="6" t="e">
        <f>IF(('Daily Meter'!L12-'Daily Meter'!L11)&lt;0,"0",'Daily Meter'!L12-'Daily Meter'!L11)*480</f>
        <v>#VALUE!</v>
      </c>
      <c r="J8" s="6" t="e">
        <f>IF(('Daily Meter'!M12-'Daily Meter'!M11)&lt;0,"0",'Daily Meter'!M12-'Daily Meter'!M11)*480</f>
        <v>#VALUE!</v>
      </c>
      <c r="K8" s="6" t="e">
        <f>IF(('Daily Meter'!B12-'Daily Meter'!B11)&lt;0,"0",'Daily Meter'!B12-'Daily Meter'!B11)*284.34</f>
        <v>#VALUE!</v>
      </c>
      <c r="L8" s="6" t="e">
        <f>IF(('Daily Meter'!C12-'Daily Meter'!C11)&lt;0,"0",'Daily Meter'!C12-'Daily Meter'!C11)*219.969</f>
        <v>#VALUE!</v>
      </c>
      <c r="M8" s="6" t="e">
        <f>IF(('Daily Meter'!N12-'Daily Meter'!N11)&lt;0,"0",'Daily Meter'!N12-'Daily Meter'!N11)*3.7</f>
        <v>#VALUE!</v>
      </c>
      <c r="N8" s="6" t="e">
        <f>Total!M8</f>
        <v>#VALUE!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IF(('Daily Meter'!H13-'Daily Meter'!H12)&lt;0,"0",'Daily Meter'!H13-'Daily Meter'!H12)*480</f>
        <v>#VALUE!</v>
      </c>
      <c r="F9" s="6" t="e">
        <f>IF(('Daily Meter'!I13-'Daily Meter'!I12)&lt;0,"0",'Daily Meter'!I13-'Daily Meter'!I12)*480</f>
        <v>#VALUE!</v>
      </c>
      <c r="G9" s="6" t="e">
        <f>IF(('Daily Meter'!J13-'Daily Meter'!J12)&lt;0,"0",'Daily Meter'!J13-'Daily Meter'!J12)*480</f>
        <v>#VALUE!</v>
      </c>
      <c r="H9" s="6" t="e">
        <f>IF(('Daily Meter'!K13-'Daily Meter'!K12)&lt;0,"0",'Daily Meter'!K13-'Daily Meter'!K12)*480</f>
        <v>#VALUE!</v>
      </c>
      <c r="I9" s="6" t="e">
        <f>IF(('Daily Meter'!L13-'Daily Meter'!L12)&lt;0,"0",'Daily Meter'!L13-'Daily Meter'!L12)*480</f>
        <v>#VALUE!</v>
      </c>
      <c r="J9" s="6" t="e">
        <f>IF(('Daily Meter'!M13-'Daily Meter'!M12)&lt;0,"0",'Daily Meter'!M13-'Daily Meter'!M12)*480</f>
        <v>#VALUE!</v>
      </c>
      <c r="K9" s="6" t="e">
        <f>IF(('Daily Meter'!B13-'Daily Meter'!B12)&lt;0,"0",'Daily Meter'!B13-'Daily Meter'!B12)*284.34</f>
        <v>#VALUE!</v>
      </c>
      <c r="L9" s="6" t="e">
        <f>IF(('Daily Meter'!C13-'Daily Meter'!C12)&lt;0,"0",'Daily Meter'!C13-'Daily Meter'!C12)*219.969</f>
        <v>#VALUE!</v>
      </c>
      <c r="M9" s="6" t="e">
        <f>IF(('Daily Meter'!N13-'Daily Meter'!N12)&lt;0,"0",'Daily Meter'!N13-'Daily Meter'!N12)*3.7</f>
        <v>#VALUE!</v>
      </c>
      <c r="N9" s="6" t="e">
        <f>Total!M9</f>
        <v>#VALUE!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IF(('Daily Meter'!H14-'Daily Meter'!H13)&lt;0,"0",'Daily Meter'!H14-'Daily Meter'!H13)*480</f>
        <v>#VALUE!</v>
      </c>
      <c r="F10" s="6" t="e">
        <f>IF(('Daily Meter'!I14-'Daily Meter'!I13)&lt;0,"0",'Daily Meter'!I14-'Daily Meter'!I13)*480</f>
        <v>#VALUE!</v>
      </c>
      <c r="G10" s="6" t="e">
        <f>IF(('Daily Meter'!J14-'Daily Meter'!J13)&lt;0,"0",'Daily Meter'!J14-'Daily Meter'!J13)*480</f>
        <v>#VALUE!</v>
      </c>
      <c r="H10" s="6" t="e">
        <f>IF(('Daily Meter'!K14-'Daily Meter'!K13)&lt;0,"0",'Daily Meter'!K14-'Daily Meter'!K13)*480</f>
        <v>#VALUE!</v>
      </c>
      <c r="I10" s="6" t="e">
        <f>IF(('Daily Meter'!L14-'Daily Meter'!L13)&lt;0,"0",'Daily Meter'!L14-'Daily Meter'!L13)*480</f>
        <v>#VALUE!</v>
      </c>
      <c r="J10" s="6" t="e">
        <f>IF(('Daily Meter'!M14-'Daily Meter'!M13)&lt;0,"0",'Daily Meter'!M14-'Daily Meter'!M13)*480</f>
        <v>#VALUE!</v>
      </c>
      <c r="K10" s="6" t="e">
        <f>IF(('Daily Meter'!B14-'Daily Meter'!B13)&lt;0,"0",'Daily Meter'!B14-'Daily Meter'!B13)*284.34</f>
        <v>#VALUE!</v>
      </c>
      <c r="L10" s="6" t="e">
        <f>IF(('Daily Meter'!C14-'Daily Meter'!C13)&lt;0,"0",'Daily Meter'!C14-'Daily Meter'!C13)*219.969</f>
        <v>#VALUE!</v>
      </c>
      <c r="M10" s="6" t="e">
        <f>IF(('Daily Meter'!N14-'Daily Meter'!N13)&lt;0,"0",'Daily Meter'!N14-'Daily Meter'!N13)*3.7</f>
        <v>#VALUE!</v>
      </c>
      <c r="N10" s="6" t="e">
        <f>Total!M10</f>
        <v>#VALUE!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IF(('Daily Meter'!H15-'Daily Meter'!H14)&lt;0,"0",'Daily Meter'!H15-'Daily Meter'!H14)*480</f>
        <v>#VALUE!</v>
      </c>
      <c r="F11" s="6" t="e">
        <f>IF(('Daily Meter'!I15-'Daily Meter'!I14)&lt;0,"0",'Daily Meter'!I15-'Daily Meter'!I14)*480</f>
        <v>#VALUE!</v>
      </c>
      <c r="G11" s="6" t="e">
        <f>IF(('Daily Meter'!J15-'Daily Meter'!J14)&lt;0,"0",'Daily Meter'!J15-'Daily Meter'!J14)*480</f>
        <v>#VALUE!</v>
      </c>
      <c r="H11" s="6" t="e">
        <f>IF(('Daily Meter'!K15-'Daily Meter'!K14)&lt;0,"0",'Daily Meter'!K15-'Daily Meter'!K14)*480</f>
        <v>#VALUE!</v>
      </c>
      <c r="I11" s="6" t="e">
        <f>IF(('Daily Meter'!L15-'Daily Meter'!L14)&lt;0,"0",'Daily Meter'!L15-'Daily Meter'!L14)*480</f>
        <v>#VALUE!</v>
      </c>
      <c r="J11" s="6" t="e">
        <f>IF(('Daily Meter'!M15-'Daily Meter'!M14)&lt;0,"0",'Daily Meter'!M15-'Daily Meter'!M14)*480</f>
        <v>#VALUE!</v>
      </c>
      <c r="K11" s="6" t="e">
        <f>IF(('Daily Meter'!B15-'Daily Meter'!B14)&lt;0,"0",'Daily Meter'!B15-'Daily Meter'!B14)*284.34</f>
        <v>#VALUE!</v>
      </c>
      <c r="L11" s="6" t="e">
        <f>IF(('Daily Meter'!C15-'Daily Meter'!C14)&lt;0,"0",'Daily Meter'!C15-'Daily Meter'!C14)*219.969</f>
        <v>#VALUE!</v>
      </c>
      <c r="M11" s="6" t="e">
        <f>IF(('Daily Meter'!N15-'Daily Meter'!N14)&lt;0,"0",'Daily Meter'!N15-'Daily Meter'!N14)*3.7</f>
        <v>#VALUE!</v>
      </c>
      <c r="N11" s="6" t="e">
        <f>Total!M11</f>
        <v>#VALUE!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IF(('Daily Meter'!H16-'Daily Meter'!H15)&lt;0,"0",'Daily Meter'!H16-'Daily Meter'!H15)*480</f>
        <v>#VALUE!</v>
      </c>
      <c r="F12" s="6" t="e">
        <f>IF(('Daily Meter'!I16-'Daily Meter'!I15)&lt;0,"0",'Daily Meter'!I16-'Daily Meter'!I15)*480</f>
        <v>#VALUE!</v>
      </c>
      <c r="G12" s="6" t="e">
        <f>IF(('Daily Meter'!J16-'Daily Meter'!J15)&lt;0,"0",'Daily Meter'!J16-'Daily Meter'!J15)*480</f>
        <v>#VALUE!</v>
      </c>
      <c r="H12" s="6" t="e">
        <f>IF(('Daily Meter'!K16-'Daily Meter'!K15)&lt;0,"0",'Daily Meter'!K16-'Daily Meter'!K15)*480</f>
        <v>#VALUE!</v>
      </c>
      <c r="I12" s="6" t="e">
        <f>IF(('Daily Meter'!L16-'Daily Meter'!L15)&lt;0,"0",'Daily Meter'!L16-'Daily Meter'!L15)*480</f>
        <v>#VALUE!</v>
      </c>
      <c r="J12" s="6" t="e">
        <f>IF(('Daily Meter'!M16-'Daily Meter'!M15)&lt;0,"0",'Daily Meter'!M16-'Daily Meter'!M15)*480</f>
        <v>#VALUE!</v>
      </c>
      <c r="K12" s="6" t="e">
        <f>IF(('Daily Meter'!B16-'Daily Meter'!B15)&lt;0,"0",'Daily Meter'!B16-'Daily Meter'!B15)*284.34</f>
        <v>#VALUE!</v>
      </c>
      <c r="L12" s="6" t="e">
        <f>IF(('Daily Meter'!C16-'Daily Meter'!C15)&lt;0,"0",'Daily Meter'!C16-'Daily Meter'!C15)*219.969</f>
        <v>#VALUE!</v>
      </c>
      <c r="M12" s="6" t="e">
        <f>IF(('Daily Meter'!N16-'Daily Meter'!N15)&lt;0,"0",'Daily Meter'!N16-'Daily Meter'!N15)*3.7</f>
        <v>#VALUE!</v>
      </c>
      <c r="N12" s="6" t="e">
        <f>Total!M12</f>
        <v>#VALUE!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IF(('Daily Meter'!H17-'Daily Meter'!H16)&lt;0,"0",'Daily Meter'!H17-'Daily Meter'!H16)*480</f>
        <v>#VALUE!</v>
      </c>
      <c r="F13" s="6" t="e">
        <f>IF(('Daily Meter'!I17-'Daily Meter'!I16)&lt;0,"0",'Daily Meter'!I17-'Daily Meter'!I16)*480</f>
        <v>#VALUE!</v>
      </c>
      <c r="G13" s="6" t="e">
        <f>IF(('Daily Meter'!J17-'Daily Meter'!J16)&lt;0,"0",'Daily Meter'!J17-'Daily Meter'!J16)*480</f>
        <v>#VALUE!</v>
      </c>
      <c r="H13" s="6" t="e">
        <f>IF(('Daily Meter'!K17-'Daily Meter'!K16)&lt;0,"0",'Daily Meter'!K17-'Daily Meter'!K16)*480</f>
        <v>#VALUE!</v>
      </c>
      <c r="I13" s="6" t="e">
        <f>IF(('Daily Meter'!L17-'Daily Meter'!L16)&lt;0,"0",'Daily Meter'!L17-'Daily Meter'!L16)*480</f>
        <v>#VALUE!</v>
      </c>
      <c r="J13" s="6" t="e">
        <f>IF(('Daily Meter'!M17-'Daily Meter'!M16)&lt;0,"0",'Daily Meter'!M17-'Daily Meter'!M16)*480</f>
        <v>#VALUE!</v>
      </c>
      <c r="K13" s="6" t="e">
        <f>IF(('Daily Meter'!B17-'Daily Meter'!B16)&lt;0,"0",'Daily Meter'!B17-'Daily Meter'!B16)*284.34</f>
        <v>#VALUE!</v>
      </c>
      <c r="L13" s="6" t="e">
        <f>IF(('Daily Meter'!C17-'Daily Meter'!C16)&lt;0,"0",'Daily Meter'!C17-'Daily Meter'!C16)*219.969</f>
        <v>#VALUE!</v>
      </c>
      <c r="M13" s="6" t="e">
        <f>IF(('Daily Meter'!N17-'Daily Meter'!N16)&lt;0,"0",'Daily Meter'!N17-'Daily Meter'!N16)*3.7</f>
        <v>#VALUE!</v>
      </c>
      <c r="N13" s="6" t="e">
        <f>Total!M13</f>
        <v>#VALUE!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IF(('Daily Meter'!H18-'Daily Meter'!H17)&lt;0,"0",'Daily Meter'!H18-'Daily Meter'!H17)*480</f>
        <v>#VALUE!</v>
      </c>
      <c r="F14" s="6" t="e">
        <f>IF(('Daily Meter'!I18-'Daily Meter'!I17)&lt;0,"0",'Daily Meter'!I18-'Daily Meter'!I17)*480</f>
        <v>#VALUE!</v>
      </c>
      <c r="G14" s="6" t="e">
        <f>IF(('Daily Meter'!J18-'Daily Meter'!J17)&lt;0,"0",'Daily Meter'!J18-'Daily Meter'!J17)*480</f>
        <v>#VALUE!</v>
      </c>
      <c r="H14" s="6" t="e">
        <f>IF(('Daily Meter'!K18-'Daily Meter'!K17)&lt;0,"0",'Daily Meter'!K18-'Daily Meter'!K17)*480</f>
        <v>#VALUE!</v>
      </c>
      <c r="I14" s="6" t="e">
        <f>IF(('Daily Meter'!L18-'Daily Meter'!L17)&lt;0,"0",'Daily Meter'!L18-'Daily Meter'!L17)*480</f>
        <v>#VALUE!</v>
      </c>
      <c r="J14" s="6" t="e">
        <f>IF(('Daily Meter'!M18-'Daily Meter'!M17)&lt;0,"0",'Daily Meter'!M18-'Daily Meter'!M17)*480</f>
        <v>#VALUE!</v>
      </c>
      <c r="K14" s="6" t="e">
        <f>IF(('Daily Meter'!B18-'Daily Meter'!B17)&lt;0,"0",'Daily Meter'!B18-'Daily Meter'!B17)*284.34</f>
        <v>#VALUE!</v>
      </c>
      <c r="L14" s="6" t="e">
        <f>IF(('Daily Meter'!C18-'Daily Meter'!C17)&lt;0,"0",'Daily Meter'!C18-'Daily Meter'!C17)*219.969</f>
        <v>#VALUE!</v>
      </c>
      <c r="M14" s="6" t="e">
        <f>IF(('Daily Meter'!N18-'Daily Meter'!N17)&lt;0,"0",'Daily Meter'!N18-'Daily Meter'!N17)*3.7</f>
        <v>#VALUE!</v>
      </c>
      <c r="N14" s="6" t="e">
        <f>Total!M14</f>
        <v>#VALUE!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IF(('Daily Meter'!H19-'Daily Meter'!H18)&lt;0,"0",'Daily Meter'!H19-'Daily Meter'!H18)*480</f>
        <v>#VALUE!</v>
      </c>
      <c r="F15" s="6" t="e">
        <f>IF(('Daily Meter'!I19-'Daily Meter'!I18)&lt;0,"0",'Daily Meter'!I19-'Daily Meter'!I18)*480</f>
        <v>#VALUE!</v>
      </c>
      <c r="G15" s="6" t="e">
        <f>IF(('Daily Meter'!J19-'Daily Meter'!J18)&lt;0,"0",'Daily Meter'!J19-'Daily Meter'!J18)*480</f>
        <v>#VALUE!</v>
      </c>
      <c r="H15" s="6" t="e">
        <f>IF(('Daily Meter'!K19-'Daily Meter'!K18)&lt;0,"0",'Daily Meter'!K19-'Daily Meter'!K18)*480</f>
        <v>#VALUE!</v>
      </c>
      <c r="I15" s="6" t="e">
        <f>IF(('Daily Meter'!L19-'Daily Meter'!L18)&lt;0,"0",'Daily Meter'!L19-'Daily Meter'!L18)*480</f>
        <v>#VALUE!</v>
      </c>
      <c r="J15" s="6" t="e">
        <f>IF(('Daily Meter'!M19-'Daily Meter'!M18)&lt;0,"0",'Daily Meter'!M19-'Daily Meter'!M18)*480</f>
        <v>#VALUE!</v>
      </c>
      <c r="K15" s="6" t="e">
        <f>IF(('Daily Meter'!B19-'Daily Meter'!B18)&lt;0,"0",'Daily Meter'!B19-'Daily Meter'!B18)*284.34</f>
        <v>#VALUE!</v>
      </c>
      <c r="L15" s="6" t="e">
        <f>IF(('Daily Meter'!C19-'Daily Meter'!C18)&lt;0,"0",'Daily Meter'!C19-'Daily Meter'!C18)*219.969</f>
        <v>#VALUE!</v>
      </c>
      <c r="M15" s="6" t="e">
        <f>IF(('Daily Meter'!N19-'Daily Meter'!N18)&lt;0,"0",'Daily Meter'!N19-'Daily Meter'!N18)*3.7</f>
        <v>#VALUE!</v>
      </c>
      <c r="N15" s="6" t="e">
        <f>Total!M15</f>
        <v>#VALUE!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IF(('Daily Meter'!H20-'Daily Meter'!H19)&lt;0,"0",'Daily Meter'!H20-'Daily Meter'!H19)*480</f>
        <v>#VALUE!</v>
      </c>
      <c r="F16" s="6" t="e">
        <f>IF(('Daily Meter'!I20-'Daily Meter'!I19)&lt;0,"0",'Daily Meter'!I20-'Daily Meter'!I19)*480</f>
        <v>#VALUE!</v>
      </c>
      <c r="G16" s="6" t="e">
        <f>IF(('Daily Meter'!J20-'Daily Meter'!J19)&lt;0,"0",'Daily Meter'!J20-'Daily Meter'!J19)*480</f>
        <v>#VALUE!</v>
      </c>
      <c r="H16" s="6" t="e">
        <f>IF(('Daily Meter'!K20-'Daily Meter'!K19)&lt;0,"0",'Daily Meter'!K20-'Daily Meter'!K19)*480</f>
        <v>#VALUE!</v>
      </c>
      <c r="I16" s="6" t="e">
        <f>IF(('Daily Meter'!L20-'Daily Meter'!L19)&lt;0,"0",'Daily Meter'!L20-'Daily Meter'!L19)*480</f>
        <v>#VALUE!</v>
      </c>
      <c r="J16" s="6" t="e">
        <f>IF(('Daily Meter'!M20-'Daily Meter'!M19)&lt;0,"0",'Daily Meter'!M20-'Daily Meter'!M19)*480</f>
        <v>#VALUE!</v>
      </c>
      <c r="K16" s="6" t="e">
        <f>IF(('Daily Meter'!B20-'Daily Meter'!B19)&lt;0,"0",'Daily Meter'!B20-'Daily Meter'!B19)*284.34</f>
        <v>#VALUE!</v>
      </c>
      <c r="L16" s="6" t="e">
        <f>IF(('Daily Meter'!C20-'Daily Meter'!C19)&lt;0,"0",'Daily Meter'!C20-'Daily Meter'!C19)*219.969</f>
        <v>#VALUE!</v>
      </c>
      <c r="M16" s="6" t="e">
        <f>IF(('Daily Meter'!N20-'Daily Meter'!N19)&lt;0,"0",'Daily Meter'!N20-'Daily Meter'!N19)*3.7</f>
        <v>#VALUE!</v>
      </c>
      <c r="N16" s="6" t="e">
        <f>Total!M16</f>
        <v>#VALUE!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IF(('Daily Meter'!H21-'Daily Meter'!H20)&lt;0,"0",'Daily Meter'!H21-'Daily Meter'!H20)*480</f>
        <v>#VALUE!</v>
      </c>
      <c r="F17" s="6" t="e">
        <f>IF(('Daily Meter'!I21-'Daily Meter'!I20)&lt;0,"0",'Daily Meter'!I21-'Daily Meter'!I20)*480</f>
        <v>#VALUE!</v>
      </c>
      <c r="G17" s="6" t="e">
        <f>IF(('Daily Meter'!J21-'Daily Meter'!J20)&lt;0,"0",'Daily Meter'!J21-'Daily Meter'!J20)*480</f>
        <v>#VALUE!</v>
      </c>
      <c r="H17" s="6" t="e">
        <f>IF(('Daily Meter'!K21-'Daily Meter'!K20)&lt;0,"0",'Daily Meter'!K21-'Daily Meter'!K20)*480</f>
        <v>#VALUE!</v>
      </c>
      <c r="I17" s="6" t="e">
        <f>IF(('Daily Meter'!L21-'Daily Meter'!L20)&lt;0,"0",'Daily Meter'!L21-'Daily Meter'!L20)*480</f>
        <v>#VALUE!</v>
      </c>
      <c r="J17" s="6" t="e">
        <f>IF(('Daily Meter'!M21-'Daily Meter'!M20)&lt;0,"0",'Daily Meter'!M21-'Daily Meter'!M20)*480</f>
        <v>#VALUE!</v>
      </c>
      <c r="K17" s="6" t="e">
        <f>IF(('Daily Meter'!B21-'Daily Meter'!B20)&lt;0,"0",'Daily Meter'!B21-'Daily Meter'!B20)*284.34</f>
        <v>#VALUE!</v>
      </c>
      <c r="L17" s="6" t="e">
        <f>IF(('Daily Meter'!C21-'Daily Meter'!C20)&lt;0,"0",'Daily Meter'!C21-'Daily Meter'!C20)*219.969</f>
        <v>#VALUE!</v>
      </c>
      <c r="M17" s="6" t="e">
        <f>IF(('Daily Meter'!N21-'Daily Meter'!N20)&lt;0,"0",'Daily Meter'!N21-'Daily Meter'!N20)*3.7</f>
        <v>#VALUE!</v>
      </c>
      <c r="N17" s="6" t="e">
        <f>Total!M17</f>
        <v>#VALUE!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IF(('Daily Meter'!H22-'Daily Meter'!H21)&lt;0,"0",'Daily Meter'!H22-'Daily Meter'!H21)*480</f>
        <v>#VALUE!</v>
      </c>
      <c r="F18" s="6" t="e">
        <f>IF(('Daily Meter'!I22-'Daily Meter'!I21)&lt;0,"0",'Daily Meter'!I22-'Daily Meter'!I21)*480</f>
        <v>#VALUE!</v>
      </c>
      <c r="G18" s="6" t="e">
        <f>IF(('Daily Meter'!J22-'Daily Meter'!J21)&lt;0,"0",'Daily Meter'!J22-'Daily Meter'!J21)*480</f>
        <v>#VALUE!</v>
      </c>
      <c r="H18" s="6" t="e">
        <f>IF(('Daily Meter'!K22-'Daily Meter'!K21)&lt;0,"0",'Daily Meter'!K22-'Daily Meter'!K21)*480</f>
        <v>#VALUE!</v>
      </c>
      <c r="I18" s="6" t="e">
        <f>IF(('Daily Meter'!L22-'Daily Meter'!L21)&lt;0,"0",'Daily Meter'!L22-'Daily Meter'!L21)*480</f>
        <v>#VALUE!</v>
      </c>
      <c r="J18" s="6" t="e">
        <f>IF(('Daily Meter'!M22-'Daily Meter'!M21)&lt;0,"0",'Daily Meter'!M22-'Daily Meter'!M21)*480</f>
        <v>#VALUE!</v>
      </c>
      <c r="K18" s="6" t="e">
        <f>IF(('Daily Meter'!B22-'Daily Meter'!B21)&lt;0,"0",'Daily Meter'!B22-'Daily Meter'!B21)*284.34</f>
        <v>#VALUE!</v>
      </c>
      <c r="L18" s="6" t="e">
        <f>IF(('Daily Meter'!C22-'Daily Meter'!C21)&lt;0,"0",'Daily Meter'!C22-'Daily Meter'!C21)*219.969</f>
        <v>#VALUE!</v>
      </c>
      <c r="M18" s="6" t="e">
        <f>IF(('Daily Meter'!N22-'Daily Meter'!N21)&lt;0,"0",'Daily Meter'!N22-'Daily Meter'!N21)*3.7</f>
        <v>#VALUE!</v>
      </c>
      <c r="N18" s="6" t="e">
        <f>Total!M18</f>
        <v>#VALUE!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IF(('Daily Meter'!H23-'Daily Meter'!H22)&lt;0,"0",'Daily Meter'!H23-'Daily Meter'!H22)*480</f>
        <v>#VALUE!</v>
      </c>
      <c r="F19" s="6" t="e">
        <f>IF(('Daily Meter'!I23-'Daily Meter'!I22)&lt;0,"0",'Daily Meter'!I23-'Daily Meter'!I22)*480</f>
        <v>#VALUE!</v>
      </c>
      <c r="G19" s="6" t="e">
        <f>IF(('Daily Meter'!J23-'Daily Meter'!J22)&lt;0,"0",'Daily Meter'!J23-'Daily Meter'!J22)*480</f>
        <v>#VALUE!</v>
      </c>
      <c r="H19" s="6" t="e">
        <f>IF(('Daily Meter'!K23-'Daily Meter'!K22)&lt;0,"0",'Daily Meter'!K23-'Daily Meter'!K22)*480</f>
        <v>#VALUE!</v>
      </c>
      <c r="I19" s="6" t="e">
        <f>IF(('Daily Meter'!L23-'Daily Meter'!L22)&lt;0,"0",'Daily Meter'!L23-'Daily Meter'!L22)*480</f>
        <v>#VALUE!</v>
      </c>
      <c r="J19" s="6" t="e">
        <f>IF(('Daily Meter'!M23-'Daily Meter'!M22)&lt;0,"0",'Daily Meter'!M23-'Daily Meter'!M22)*480</f>
        <v>#VALUE!</v>
      </c>
      <c r="K19" s="6" t="e">
        <f>IF(('Daily Meter'!B23-'Daily Meter'!B22)&lt;0,"0",'Daily Meter'!B23-'Daily Meter'!B22)*284.34</f>
        <v>#VALUE!</v>
      </c>
      <c r="L19" s="6" t="e">
        <f>IF(('Daily Meter'!C23-'Daily Meter'!C22)&lt;0,"0",'Daily Meter'!C23-'Daily Meter'!C22)*219.969</f>
        <v>#VALUE!</v>
      </c>
      <c r="M19" s="6" t="e">
        <f>IF(('Daily Meter'!N23-'Daily Meter'!N22)&lt;0,"0",'Daily Meter'!N23-'Daily Meter'!N22)*3.7</f>
        <v>#VALUE!</v>
      </c>
      <c r="N19" s="6" t="e">
        <f>Total!M19</f>
        <v>#VALUE!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IF(('Daily Meter'!H24-'Daily Meter'!H23)&lt;0,"0",'Daily Meter'!H24-'Daily Meter'!H23)*480</f>
        <v>#VALUE!</v>
      </c>
      <c r="F20" s="6" t="e">
        <f>IF(('Daily Meter'!I24-'Daily Meter'!I23)&lt;0,"0",'Daily Meter'!I24-'Daily Meter'!I23)*480</f>
        <v>#VALUE!</v>
      </c>
      <c r="G20" s="6" t="e">
        <f>IF(('Daily Meter'!J24-'Daily Meter'!J23)&lt;0,"0",'Daily Meter'!J24-'Daily Meter'!J23)*480</f>
        <v>#VALUE!</v>
      </c>
      <c r="H20" s="6" t="e">
        <f>IF(('Daily Meter'!K24-'Daily Meter'!K23)&lt;0,"0",'Daily Meter'!K24-'Daily Meter'!K23)*480</f>
        <v>#VALUE!</v>
      </c>
      <c r="I20" s="6" t="e">
        <f>IF(('Daily Meter'!L24-'Daily Meter'!L23)&lt;0,"0",'Daily Meter'!L24-'Daily Meter'!L23)*480</f>
        <v>#VALUE!</v>
      </c>
      <c r="J20" s="6" t="e">
        <f>IF(('Daily Meter'!M24-'Daily Meter'!M23)&lt;0,"0",'Daily Meter'!M24-'Daily Meter'!M23)*480</f>
        <v>#VALUE!</v>
      </c>
      <c r="K20" s="6" t="e">
        <f>IF(('Daily Meter'!B24-'Daily Meter'!B23)&lt;0,"0",'Daily Meter'!B24-'Daily Meter'!B23)*284.34</f>
        <v>#VALUE!</v>
      </c>
      <c r="L20" s="6" t="e">
        <f>IF(('Daily Meter'!C24-'Daily Meter'!C23)&lt;0,"0",'Daily Meter'!C24-'Daily Meter'!C23)*219.969</f>
        <v>#VALUE!</v>
      </c>
      <c r="M20" s="6" t="e">
        <f>IF(('Daily Meter'!N24-'Daily Meter'!N23)&lt;0,"0",'Daily Meter'!N24-'Daily Meter'!N23)*3.7</f>
        <v>#VALUE!</v>
      </c>
      <c r="N20" s="6" t="e">
        <f>Total!M20</f>
        <v>#VALUE!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20" sqref="I20"/>
    </sheetView>
  </sheetViews>
  <sheetFormatPr defaultColWidth="8.59765625" defaultRowHeight="14.25"/>
  <cols>
    <col min="1" max="1" width="9.1328125" style="14" customWidth="1"/>
    <col min="2" max="2" width="17.265625" style="14" customWidth="1"/>
    <col min="3" max="3" width="14.73046875" style="15" customWidth="1"/>
    <col min="4" max="4" width="8.73046875" style="14" hidden="1" customWidth="1"/>
    <col min="5" max="5" width="5.3984375" style="14" hidden="1" customWidth="1"/>
    <col min="6" max="6" width="6.59765625" style="14" hidden="1" customWidth="1"/>
    <col min="7" max="7" width="6.86328125" style="14" hidden="1" customWidth="1"/>
    <col min="8" max="13" width="12.73046875" customWidth="1"/>
    <col min="14" max="14" width="17.1328125" style="2" customWidth="1"/>
    <col min="15" max="15" width="10.86328125" style="2" customWidth="1"/>
  </cols>
  <sheetData>
    <row r="1" spans="1:17" ht="25.5" customHeight="1">
      <c r="A1" s="292" t="s">
        <v>180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Q1" s="16" t="s">
        <v>22</v>
      </c>
    </row>
    <row r="2" spans="1:17" s="13" customFormat="1">
      <c r="A2" s="17"/>
      <c r="B2" s="18" t="s">
        <v>23</v>
      </c>
      <c r="C2" s="293" t="s">
        <v>24</v>
      </c>
      <c r="D2" s="293"/>
      <c r="E2" s="293"/>
      <c r="F2" s="293"/>
      <c r="G2" s="293"/>
      <c r="H2" s="294" t="s">
        <v>25</v>
      </c>
      <c r="I2" s="294"/>
      <c r="J2" s="294"/>
      <c r="K2" s="294"/>
      <c r="L2" s="294"/>
      <c r="M2" s="294"/>
      <c r="N2" s="295" t="s">
        <v>26</v>
      </c>
      <c r="O2" s="296" t="s">
        <v>27</v>
      </c>
    </row>
    <row r="3" spans="1:17" s="13" customFormat="1">
      <c r="A3" s="297" t="s">
        <v>28</v>
      </c>
      <c r="B3" s="19" t="s">
        <v>29</v>
      </c>
      <c r="C3" s="20" t="s">
        <v>30</v>
      </c>
      <c r="D3" s="298" t="s">
        <v>31</v>
      </c>
      <c r="E3" s="298"/>
      <c r="F3" s="299" t="s">
        <v>32</v>
      </c>
      <c r="G3" s="299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95"/>
      <c r="O3" s="296"/>
    </row>
    <row r="4" spans="1:17" s="13" customFormat="1">
      <c r="A4" s="297"/>
      <c r="B4" s="19" t="s">
        <v>36</v>
      </c>
      <c r="C4" s="22" t="s">
        <v>37</v>
      </c>
      <c r="D4" s="300" t="s">
        <v>38</v>
      </c>
      <c r="E4" s="300"/>
      <c r="F4" s="301" t="s">
        <v>39</v>
      </c>
      <c r="G4" s="301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>
      <c r="A5" s="297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>
      <c r="A10" s="28">
        <v>5</v>
      </c>
      <c r="B10" s="27">
        <v>54213.8</v>
      </c>
      <c r="C10" s="281">
        <v>210134</v>
      </c>
      <c r="D10" s="282"/>
      <c r="E10" s="282"/>
      <c r="F10" s="282"/>
      <c r="G10" s="283"/>
      <c r="H10" s="27">
        <v>6807.8</v>
      </c>
      <c r="I10" s="27">
        <v>4108.1000000000004</v>
      </c>
      <c r="J10" s="27">
        <v>4392</v>
      </c>
      <c r="K10" s="27">
        <v>2460.5</v>
      </c>
      <c r="L10" s="27">
        <v>5730.8</v>
      </c>
      <c r="M10" s="27">
        <v>15415.7</v>
      </c>
      <c r="N10" s="27">
        <v>94807.9</v>
      </c>
      <c r="O10" s="284"/>
    </row>
    <row r="11" spans="1:17">
      <c r="A11" s="28">
        <v>6</v>
      </c>
      <c r="B11" s="27" t="s">
        <v>12</v>
      </c>
      <c r="C11" s="27" t="s">
        <v>12</v>
      </c>
      <c r="D11" s="27" t="s">
        <v>12</v>
      </c>
      <c r="E11" s="27" t="s">
        <v>12</v>
      </c>
      <c r="F11" s="27" t="s">
        <v>12</v>
      </c>
      <c r="G11" s="27" t="s">
        <v>12</v>
      </c>
      <c r="H11" s="27" t="s">
        <v>12</v>
      </c>
      <c r="I11" s="27" t="s">
        <v>12</v>
      </c>
      <c r="J11" s="27" t="s">
        <v>12</v>
      </c>
      <c r="K11" s="27" t="s">
        <v>12</v>
      </c>
      <c r="L11" s="27" t="s">
        <v>12</v>
      </c>
      <c r="M11" s="27" t="s">
        <v>12</v>
      </c>
      <c r="N11" s="27" t="s">
        <v>12</v>
      </c>
      <c r="O11" s="27" t="s">
        <v>12</v>
      </c>
    </row>
    <row r="12" spans="1:17">
      <c r="A12" s="28">
        <v>7</v>
      </c>
      <c r="B12" s="27" t="s">
        <v>12</v>
      </c>
      <c r="C12" s="27" t="s">
        <v>12</v>
      </c>
      <c r="D12" s="27" t="s">
        <v>12</v>
      </c>
      <c r="E12" s="27" t="s">
        <v>12</v>
      </c>
      <c r="F12" s="27" t="s">
        <v>12</v>
      </c>
      <c r="G12" s="27" t="s">
        <v>12</v>
      </c>
      <c r="H12" s="27" t="s">
        <v>12</v>
      </c>
      <c r="I12" s="27" t="s">
        <v>12</v>
      </c>
      <c r="J12" s="27" t="s">
        <v>12</v>
      </c>
      <c r="K12" s="27" t="s">
        <v>12</v>
      </c>
      <c r="L12" s="27" t="s">
        <v>12</v>
      </c>
      <c r="M12" s="27" t="s">
        <v>12</v>
      </c>
      <c r="N12" s="27" t="s">
        <v>12</v>
      </c>
      <c r="O12" s="27" t="s">
        <v>12</v>
      </c>
    </row>
    <row r="13" spans="1:17">
      <c r="A13" s="28">
        <v>8</v>
      </c>
      <c r="B13" s="27" t="s">
        <v>12</v>
      </c>
      <c r="C13" s="27" t="s">
        <v>12</v>
      </c>
      <c r="D13" s="27" t="s">
        <v>12</v>
      </c>
      <c r="E13" s="27" t="s">
        <v>12</v>
      </c>
      <c r="F13" s="27" t="s">
        <v>12</v>
      </c>
      <c r="G13" s="27" t="s">
        <v>12</v>
      </c>
      <c r="H13" s="27" t="s">
        <v>12</v>
      </c>
      <c r="I13" s="27" t="s">
        <v>12</v>
      </c>
      <c r="J13" s="27" t="s">
        <v>12</v>
      </c>
      <c r="K13" s="27" t="s">
        <v>12</v>
      </c>
      <c r="L13" s="27" t="s">
        <v>12</v>
      </c>
      <c r="M13" s="27" t="s">
        <v>12</v>
      </c>
      <c r="N13" s="27" t="s">
        <v>12</v>
      </c>
      <c r="O13" s="27" t="s">
        <v>12</v>
      </c>
    </row>
    <row r="14" spans="1:17">
      <c r="A14" s="28">
        <v>9</v>
      </c>
      <c r="B14" s="27" t="s">
        <v>12</v>
      </c>
      <c r="C14" s="27" t="s">
        <v>12</v>
      </c>
      <c r="D14" s="27" t="s">
        <v>12</v>
      </c>
      <c r="E14" s="27" t="s">
        <v>12</v>
      </c>
      <c r="F14" s="27" t="s">
        <v>12</v>
      </c>
      <c r="G14" s="27" t="s">
        <v>12</v>
      </c>
      <c r="H14" s="27" t="s">
        <v>12</v>
      </c>
      <c r="I14" s="27" t="s">
        <v>12</v>
      </c>
      <c r="J14" s="27" t="s">
        <v>12</v>
      </c>
      <c r="K14" s="27" t="s">
        <v>12</v>
      </c>
      <c r="L14" s="27" t="s">
        <v>12</v>
      </c>
      <c r="M14" s="27" t="s">
        <v>12</v>
      </c>
      <c r="N14" s="27" t="s">
        <v>12</v>
      </c>
      <c r="O14" s="27" t="s">
        <v>12</v>
      </c>
    </row>
    <row r="15" spans="1:17">
      <c r="A15" s="28">
        <v>10</v>
      </c>
      <c r="B15" s="27" t="s">
        <v>12</v>
      </c>
      <c r="C15" s="27" t="s">
        <v>12</v>
      </c>
      <c r="D15" s="27" t="s">
        <v>12</v>
      </c>
      <c r="E15" s="27" t="s">
        <v>12</v>
      </c>
      <c r="F15" s="27" t="s">
        <v>12</v>
      </c>
      <c r="G15" s="27" t="s">
        <v>12</v>
      </c>
      <c r="H15" s="27" t="s">
        <v>12</v>
      </c>
      <c r="I15" s="27" t="s">
        <v>12</v>
      </c>
      <c r="J15" s="27" t="s">
        <v>12</v>
      </c>
      <c r="K15" s="27" t="s">
        <v>12</v>
      </c>
      <c r="L15" s="27" t="s">
        <v>12</v>
      </c>
      <c r="M15" s="27" t="s">
        <v>12</v>
      </c>
      <c r="N15" s="27" t="s">
        <v>12</v>
      </c>
      <c r="O15" s="27" t="s">
        <v>12</v>
      </c>
    </row>
    <row r="16" spans="1:17">
      <c r="A16" s="28">
        <v>11</v>
      </c>
      <c r="B16" s="27" t="s">
        <v>12</v>
      </c>
      <c r="C16" s="27" t="s">
        <v>12</v>
      </c>
      <c r="D16" s="27" t="s">
        <v>12</v>
      </c>
      <c r="E16" s="27" t="s">
        <v>12</v>
      </c>
      <c r="F16" s="27" t="s">
        <v>12</v>
      </c>
      <c r="G16" s="27" t="s">
        <v>12</v>
      </c>
      <c r="H16" s="27" t="s">
        <v>12</v>
      </c>
      <c r="I16" s="27" t="s">
        <v>12</v>
      </c>
      <c r="J16" s="27" t="s">
        <v>12</v>
      </c>
      <c r="K16" s="27" t="s">
        <v>12</v>
      </c>
      <c r="L16" s="27" t="s">
        <v>12</v>
      </c>
      <c r="M16" s="27" t="s">
        <v>12</v>
      </c>
      <c r="N16" s="27" t="s">
        <v>12</v>
      </c>
      <c r="O16" s="27" t="s">
        <v>12</v>
      </c>
    </row>
    <row r="17" spans="1:17">
      <c r="A17" s="28">
        <v>12</v>
      </c>
      <c r="B17" s="27" t="s">
        <v>12</v>
      </c>
      <c r="C17" s="27" t="s">
        <v>12</v>
      </c>
      <c r="D17" s="27" t="s">
        <v>12</v>
      </c>
      <c r="E17" s="27" t="s">
        <v>12</v>
      </c>
      <c r="F17" s="27" t="s">
        <v>12</v>
      </c>
      <c r="G17" s="27" t="s">
        <v>12</v>
      </c>
      <c r="H17" s="27" t="s">
        <v>12</v>
      </c>
      <c r="I17" s="27" t="s">
        <v>12</v>
      </c>
      <c r="J17" s="27" t="s">
        <v>12</v>
      </c>
      <c r="K17" s="27" t="s">
        <v>12</v>
      </c>
      <c r="L17" s="27" t="s">
        <v>12</v>
      </c>
      <c r="M17" s="27" t="s">
        <v>12</v>
      </c>
      <c r="N17" s="27" t="s">
        <v>12</v>
      </c>
      <c r="O17" s="27" t="s">
        <v>12</v>
      </c>
    </row>
    <row r="18" spans="1:17">
      <c r="A18" s="28">
        <v>13</v>
      </c>
      <c r="B18" s="27" t="s">
        <v>12</v>
      </c>
      <c r="C18" s="27" t="s">
        <v>12</v>
      </c>
      <c r="D18" s="27" t="s">
        <v>12</v>
      </c>
      <c r="E18" s="27" t="s">
        <v>12</v>
      </c>
      <c r="F18" s="27" t="s">
        <v>12</v>
      </c>
      <c r="G18" s="27" t="s">
        <v>12</v>
      </c>
      <c r="H18" s="27" t="s">
        <v>12</v>
      </c>
      <c r="I18" s="27" t="s">
        <v>12</v>
      </c>
      <c r="J18" s="27" t="s">
        <v>12</v>
      </c>
      <c r="K18" s="27" t="s">
        <v>12</v>
      </c>
      <c r="L18" s="27" t="s">
        <v>12</v>
      </c>
      <c r="M18" s="27" t="s">
        <v>12</v>
      </c>
      <c r="N18" s="27" t="s">
        <v>12</v>
      </c>
      <c r="O18" s="27" t="s">
        <v>12</v>
      </c>
    </row>
    <row r="19" spans="1:17">
      <c r="A19" s="28">
        <v>14</v>
      </c>
      <c r="B19" s="27" t="s">
        <v>12</v>
      </c>
      <c r="C19" s="27" t="s">
        <v>12</v>
      </c>
      <c r="D19" s="27" t="s">
        <v>12</v>
      </c>
      <c r="E19" s="27" t="s">
        <v>12</v>
      </c>
      <c r="F19" s="27" t="s">
        <v>12</v>
      </c>
      <c r="G19" s="27" t="s">
        <v>12</v>
      </c>
      <c r="H19" s="27" t="s">
        <v>12</v>
      </c>
      <c r="I19" s="27" t="s">
        <v>12</v>
      </c>
      <c r="J19" s="27" t="s">
        <v>12</v>
      </c>
      <c r="K19" s="27" t="s">
        <v>12</v>
      </c>
      <c r="L19" s="27" t="s">
        <v>12</v>
      </c>
      <c r="M19" s="27" t="s">
        <v>12</v>
      </c>
      <c r="N19" s="27" t="s">
        <v>12</v>
      </c>
      <c r="O19" s="27" t="s">
        <v>12</v>
      </c>
    </row>
    <row r="20" spans="1:17">
      <c r="A20" s="28">
        <v>15</v>
      </c>
      <c r="B20" s="27" t="s">
        <v>12</v>
      </c>
      <c r="C20" s="27" t="s">
        <v>12</v>
      </c>
      <c r="D20" s="27" t="s">
        <v>12</v>
      </c>
      <c r="E20" s="27" t="s">
        <v>12</v>
      </c>
      <c r="F20" s="27" t="s">
        <v>12</v>
      </c>
      <c r="G20" s="27" t="s">
        <v>12</v>
      </c>
      <c r="H20" s="27" t="s">
        <v>12</v>
      </c>
      <c r="I20" s="27" t="s">
        <v>12</v>
      </c>
      <c r="J20" s="27" t="s">
        <v>12</v>
      </c>
      <c r="K20" s="27" t="s">
        <v>12</v>
      </c>
      <c r="L20" s="27" t="s">
        <v>12</v>
      </c>
      <c r="M20" s="27" t="s">
        <v>12</v>
      </c>
      <c r="N20" s="27" t="s">
        <v>12</v>
      </c>
      <c r="O20" s="27" t="s">
        <v>12</v>
      </c>
    </row>
    <row r="21" spans="1:17">
      <c r="A21" s="28">
        <v>16</v>
      </c>
      <c r="B21" s="27" t="s">
        <v>12</v>
      </c>
      <c r="C21" s="27" t="s">
        <v>12</v>
      </c>
      <c r="D21" s="27" t="s">
        <v>12</v>
      </c>
      <c r="E21" s="27" t="s">
        <v>12</v>
      </c>
      <c r="F21" s="27" t="s">
        <v>12</v>
      </c>
      <c r="G21" s="27" t="s">
        <v>12</v>
      </c>
      <c r="H21" s="27" t="s">
        <v>12</v>
      </c>
      <c r="I21" s="27" t="s">
        <v>12</v>
      </c>
      <c r="J21" s="27" t="s">
        <v>12</v>
      </c>
      <c r="K21" s="27" t="s">
        <v>12</v>
      </c>
      <c r="L21" s="27" t="s">
        <v>12</v>
      </c>
      <c r="M21" s="27" t="s">
        <v>12</v>
      </c>
      <c r="N21" s="27" t="s">
        <v>12</v>
      </c>
      <c r="O21" s="27" t="s">
        <v>12</v>
      </c>
    </row>
    <row r="22" spans="1:17">
      <c r="A22" s="28">
        <v>17</v>
      </c>
      <c r="B22" s="27" t="s">
        <v>12</v>
      </c>
      <c r="C22" s="27" t="s">
        <v>12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12</v>
      </c>
      <c r="J22" s="27" t="s">
        <v>12</v>
      </c>
      <c r="K22" s="27" t="s">
        <v>12</v>
      </c>
      <c r="L22" s="27" t="s">
        <v>12</v>
      </c>
      <c r="M22" s="27" t="s">
        <v>12</v>
      </c>
      <c r="N22" s="27" t="s">
        <v>12</v>
      </c>
      <c r="O22" s="27" t="s">
        <v>12</v>
      </c>
    </row>
    <row r="23" spans="1:17">
      <c r="A23" s="28">
        <v>18</v>
      </c>
      <c r="B23" s="27" t="s">
        <v>12</v>
      </c>
      <c r="C23" s="27" t="s">
        <v>12</v>
      </c>
      <c r="D23" s="27" t="s">
        <v>12</v>
      </c>
      <c r="E23" s="27" t="s">
        <v>12</v>
      </c>
      <c r="F23" s="27" t="s">
        <v>12</v>
      </c>
      <c r="G23" s="27" t="s">
        <v>12</v>
      </c>
      <c r="H23" s="27" t="s">
        <v>12</v>
      </c>
      <c r="I23" s="27" t="s">
        <v>12</v>
      </c>
      <c r="J23" s="27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7" t="s">
        <v>12</v>
      </c>
      <c r="P23" s="29"/>
      <c r="Q23" s="29"/>
    </row>
    <row r="24" spans="1:17">
      <c r="A24" s="28">
        <v>19</v>
      </c>
      <c r="B24" s="27" t="s">
        <v>12</v>
      </c>
      <c r="C24" s="27" t="s">
        <v>12</v>
      </c>
      <c r="D24" s="27" t="s">
        <v>12</v>
      </c>
      <c r="E24" s="27" t="s">
        <v>12</v>
      </c>
      <c r="F24" s="27" t="s">
        <v>12</v>
      </c>
      <c r="G24" s="27" t="s">
        <v>12</v>
      </c>
      <c r="H24" s="27" t="s">
        <v>12</v>
      </c>
      <c r="I24" s="27" t="s">
        <v>12</v>
      </c>
      <c r="J24" s="27" t="s">
        <v>12</v>
      </c>
      <c r="K24" s="27" t="s">
        <v>12</v>
      </c>
      <c r="L24" s="27" t="s">
        <v>12</v>
      </c>
      <c r="M24" s="27" t="s">
        <v>12</v>
      </c>
      <c r="N24" s="27" t="s">
        <v>12</v>
      </c>
      <c r="O24" s="27" t="s">
        <v>12</v>
      </c>
    </row>
    <row r="25" spans="1:17">
      <c r="A25" s="28">
        <v>20</v>
      </c>
      <c r="B25" s="27" t="s">
        <v>12</v>
      </c>
      <c r="C25" s="27" t="s">
        <v>12</v>
      </c>
      <c r="D25" s="27" t="s">
        <v>12</v>
      </c>
      <c r="E25" s="27" t="s">
        <v>12</v>
      </c>
      <c r="F25" s="27" t="s">
        <v>12</v>
      </c>
      <c r="G25" s="27" t="s">
        <v>12</v>
      </c>
      <c r="H25" s="27" t="s">
        <v>12</v>
      </c>
      <c r="I25" s="27" t="s">
        <v>12</v>
      </c>
      <c r="J25" s="27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7" t="s">
        <v>12</v>
      </c>
    </row>
    <row r="26" spans="1:17">
      <c r="A26" s="28">
        <v>21</v>
      </c>
      <c r="B26" s="27" t="s">
        <v>12</v>
      </c>
      <c r="C26" s="27" t="s">
        <v>12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27" t="s">
        <v>12</v>
      </c>
      <c r="J26" s="27" t="s">
        <v>12</v>
      </c>
      <c r="K26" s="27" t="s">
        <v>12</v>
      </c>
      <c r="L26" s="27" t="s">
        <v>12</v>
      </c>
      <c r="M26" s="27" t="s">
        <v>12</v>
      </c>
      <c r="N26" s="27" t="s">
        <v>12</v>
      </c>
      <c r="O26" s="27" t="s">
        <v>12</v>
      </c>
    </row>
    <row r="27" spans="1:17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7" t="s">
        <v>12</v>
      </c>
    </row>
    <row r="28" spans="1:17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7" t="s">
        <v>12</v>
      </c>
    </row>
    <row r="29" spans="1:17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7" t="s">
        <v>12</v>
      </c>
      <c r="P29" s="30"/>
    </row>
    <row r="30" spans="1:17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7" t="s">
        <v>12</v>
      </c>
      <c r="P30" s="31"/>
      <c r="Q30" s="31"/>
    </row>
    <row r="31" spans="1:17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7" t="s">
        <v>12</v>
      </c>
    </row>
    <row r="32" spans="1:17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</row>
    <row r="33" spans="1:17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7" t="s">
        <v>12</v>
      </c>
    </row>
    <row r="34" spans="1:17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</row>
    <row r="35" spans="1:17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</row>
    <row r="36" spans="1:17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62.272500000000008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7" zoomScaleNormal="100" workbookViewId="0">
      <selection activeCell="D10" sqref="D10:D18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 t="s">
        <v>178</v>
      </c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v>54109.9</v>
      </c>
      <c r="E7" s="61">
        <f>'Daily Meter'!B6</f>
        <v>54133.2</v>
      </c>
      <c r="F7" s="62">
        <f>E7-D7</f>
        <v>23.299999999995634</v>
      </c>
      <c r="G7" s="62"/>
    </row>
    <row r="8" spans="1:8" ht="15">
      <c r="A8" s="55"/>
      <c r="B8" s="57"/>
      <c r="C8" s="63" t="s">
        <v>58</v>
      </c>
      <c r="D8" s="65"/>
      <c r="E8" s="65"/>
      <c r="F8" s="62">
        <f>F7*284.34</f>
        <v>6625.1219999987579</v>
      </c>
      <c r="G8" s="66">
        <f>F8*0.63</f>
        <v>4173.826859999218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v>209263</v>
      </c>
      <c r="E10" s="61">
        <f>'Daily Meter'!C6</f>
        <v>209451</v>
      </c>
      <c r="F10" s="62">
        <f>E10-D10</f>
        <v>188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41354.171999999999</v>
      </c>
      <c r="G11" s="74">
        <f>F11*0.06</f>
        <v>2481.2503199999996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6625.1219999987579</v>
      </c>
      <c r="G28" s="99">
        <f>G8</f>
        <v>4173.826859999218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41354.171999999999</v>
      </c>
      <c r="G29" s="99">
        <f>G11</f>
        <v>2481.2503199999996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53496.247179998965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0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6</v>
      </c>
      <c r="D3" s="42" t="s">
        <v>48</v>
      </c>
      <c r="E3" s="43" t="str">
        <f>'Daily Meter'!O11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'5'!E7</f>
        <v>54213.8</v>
      </c>
      <c r="E7" s="61" t="str">
        <f>'Daily Meter'!B11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'5'!E10</f>
        <v>210134</v>
      </c>
      <c r="E10" s="61" t="str">
        <f>'Daily Meter'!C11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 t="str">
        <f>'Daily Meter'!H11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 t="str">
        <f>'Daily Meter'!I11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'5'!E15</f>
        <v>4392</v>
      </c>
      <c r="E15" s="61" t="str">
        <f>'Daily Meter'!J11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 t="str">
        <f>'Daily Meter'!K11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 t="str">
        <f>'Daily Meter'!L11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 t="str">
        <f>'Daily Meter'!M11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 t="str">
        <f>'Daily Meter'!N11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7</v>
      </c>
      <c r="D3" s="42" t="s">
        <v>48</v>
      </c>
      <c r="E3" s="43" t="str">
        <f>'Daily Meter'!O12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'6'!E7</f>
        <v xml:space="preserve"> </v>
      </c>
      <c r="E7" s="61" t="str">
        <f>'Daily Meter'!B12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'6'!E10</f>
        <v xml:space="preserve"> </v>
      </c>
      <c r="E10" s="61" t="str">
        <f>'Daily Meter'!C12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'6'!E13</f>
        <v xml:space="preserve"> </v>
      </c>
      <c r="E13" s="61" t="str">
        <f>'Daily Meter'!H12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'6'!E14</f>
        <v xml:space="preserve"> </v>
      </c>
      <c r="E14" s="61" t="str">
        <f>'Daily Meter'!I12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'6'!E15</f>
        <v xml:space="preserve"> </v>
      </c>
      <c r="E15" s="61" t="str">
        <f>'Daily Meter'!J12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'6'!E16</f>
        <v xml:space="preserve"> </v>
      </c>
      <c r="E16" s="61" t="str">
        <f>'Daily Meter'!K12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'6'!E17</f>
        <v xml:space="preserve"> </v>
      </c>
      <c r="E17" s="61" t="str">
        <f>'Daily Meter'!L12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'6'!E18</f>
        <v xml:space="preserve"> </v>
      </c>
      <c r="E18" s="61" t="str">
        <f>'Daily Meter'!M12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'6'!E22</f>
        <v xml:space="preserve"> </v>
      </c>
      <c r="E22" s="61" t="str">
        <f>'Daily Meter'!N12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8</v>
      </c>
      <c r="D3" s="42" t="s">
        <v>48</v>
      </c>
      <c r="E3" s="43" t="str">
        <f>'Daily Meter'!O13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'7'!E7</f>
        <v xml:space="preserve"> </v>
      </c>
      <c r="E7" s="61" t="str">
        <f>'Daily Meter'!B13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'7'!E10</f>
        <v xml:space="preserve"> </v>
      </c>
      <c r="E10" s="61" t="str">
        <f>'Daily Meter'!C13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'7'!E13</f>
        <v xml:space="preserve"> </v>
      </c>
      <c r="E13" s="61" t="str">
        <f>'Daily Meter'!H13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'7'!E14</f>
        <v xml:space="preserve"> </v>
      </c>
      <c r="E14" s="61" t="str">
        <f>'Daily Meter'!I13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'7'!E15</f>
        <v xml:space="preserve"> </v>
      </c>
      <c r="E15" s="61" t="str">
        <f>'Daily Meter'!J13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'7'!E16</f>
        <v xml:space="preserve"> </v>
      </c>
      <c r="E16" s="61" t="str">
        <f>'Daily Meter'!K13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'7'!E17</f>
        <v xml:space="preserve"> </v>
      </c>
      <c r="E17" s="61" t="str">
        <f>'Daily Meter'!L13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'7'!E18</f>
        <v xml:space="preserve"> </v>
      </c>
      <c r="E18" s="61" t="str">
        <f>'Daily Meter'!M13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'7'!E22</f>
        <v xml:space="preserve"> </v>
      </c>
      <c r="E22" s="61" t="str">
        <f>'Daily Meter'!N13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9</v>
      </c>
      <c r="D3" s="42" t="s">
        <v>48</v>
      </c>
      <c r="E3" s="43" t="str">
        <f>'Daily Meter'!O14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'8'!E7</f>
        <v xml:space="preserve"> </v>
      </c>
      <c r="E7" s="61" t="str">
        <f>'Daily Meter'!B14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'8'!E10</f>
        <v xml:space="preserve"> </v>
      </c>
      <c r="E10" s="61" t="str">
        <f>'Daily Meter'!C14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'8'!E13</f>
        <v xml:space="preserve"> </v>
      </c>
      <c r="E13" s="61" t="str">
        <f>'Daily Meter'!H14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'8'!E14</f>
        <v xml:space="preserve"> </v>
      </c>
      <c r="E14" s="61" t="str">
        <f>'Daily Meter'!I14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'8'!E15</f>
        <v xml:space="preserve"> </v>
      </c>
      <c r="E15" s="61" t="str">
        <f>'Daily Meter'!J14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'8'!E16</f>
        <v xml:space="preserve"> </v>
      </c>
      <c r="E16" s="61" t="str">
        <f>'Daily Meter'!K14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'8'!E17</f>
        <v xml:space="preserve"> </v>
      </c>
      <c r="E17" s="61" t="str">
        <f>'Daily Meter'!L14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'8'!E18</f>
        <v xml:space="preserve"> </v>
      </c>
      <c r="E18" s="61" t="str">
        <f>'Daily Meter'!M14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'8'!E22</f>
        <v xml:space="preserve"> </v>
      </c>
      <c r="E22" s="61" t="str">
        <f>'Daily Meter'!N14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10</v>
      </c>
      <c r="D3" s="42" t="s">
        <v>48</v>
      </c>
      <c r="E3" s="43" t="str">
        <f>'Daily Meter'!O15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'9'!E7</f>
        <v xml:space="preserve"> </v>
      </c>
      <c r="E7" s="61" t="str">
        <f>'Daily Meter'!B15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'9'!E10</f>
        <v xml:space="preserve"> </v>
      </c>
      <c r="E10" s="61" t="str">
        <f>'Daily Meter'!C15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'9'!E13</f>
        <v xml:space="preserve"> </v>
      </c>
      <c r="E13" s="61" t="str">
        <f>'Daily Meter'!H15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'9'!E14</f>
        <v xml:space="preserve"> </v>
      </c>
      <c r="E14" s="61" t="str">
        <f>'Daily Meter'!I15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'9'!E15</f>
        <v xml:space="preserve"> </v>
      </c>
      <c r="E15" s="61" t="str">
        <f>'Daily Meter'!J15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'9'!E16</f>
        <v xml:space="preserve"> </v>
      </c>
      <c r="E16" s="61" t="str">
        <f>'Daily Meter'!K15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'9'!E17</f>
        <v xml:space="preserve"> </v>
      </c>
      <c r="E17" s="61" t="str">
        <f>'Daily Meter'!L15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'9'!E18</f>
        <v xml:space="preserve"> </v>
      </c>
      <c r="E18" s="61" t="str">
        <f>'Daily Meter'!M15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'9'!E22</f>
        <v xml:space="preserve"> </v>
      </c>
      <c r="E22" s="61" t="str">
        <f>'Daily Meter'!N15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11</v>
      </c>
      <c r="D3" s="42" t="s">
        <v>48</v>
      </c>
      <c r="E3" s="43" t="str">
        <f>'Daily Meter'!O16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'10'!E7</f>
        <v xml:space="preserve"> </v>
      </c>
      <c r="E7" s="61" t="str">
        <f>'Daily Meter'!B16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'10'!E10</f>
        <v xml:space="preserve"> </v>
      </c>
      <c r="E10" s="61" t="str">
        <f>'Daily Meter'!C16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'10'!E13</f>
        <v xml:space="preserve"> </v>
      </c>
      <c r="E13" s="61" t="str">
        <f>'Daily Meter'!H16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'10'!E14</f>
        <v xml:space="preserve"> </v>
      </c>
      <c r="E14" s="61" t="str">
        <f>'Daily Meter'!I16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'10'!E15</f>
        <v xml:space="preserve"> </v>
      </c>
      <c r="E15" s="61" t="str">
        <f>'Daily Meter'!J16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'10'!E16</f>
        <v xml:space="preserve"> </v>
      </c>
      <c r="E16" s="61" t="str">
        <f>'Daily Meter'!K16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'10'!E17</f>
        <v xml:space="preserve"> </v>
      </c>
      <c r="E17" s="61" t="str">
        <f>'Daily Meter'!L16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'10'!E18</f>
        <v xml:space="preserve"> </v>
      </c>
      <c r="E18" s="61" t="str">
        <f>'Daily Meter'!M16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'10'!E22</f>
        <v xml:space="preserve"> </v>
      </c>
      <c r="E22" s="61" t="str">
        <f>'Daily Meter'!N16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12</v>
      </c>
      <c r="D3" s="42" t="s">
        <v>48</v>
      </c>
      <c r="E3" s="43" t="str">
        <f>'Daily Meter'!O17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'11'!E7</f>
        <v xml:space="preserve"> </v>
      </c>
      <c r="E7" s="61" t="str">
        <f>'Daily Meter'!B17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'11'!E10</f>
        <v xml:space="preserve"> </v>
      </c>
      <c r="E10" s="61" t="str">
        <f>'Daily Meter'!C17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'11'!E13</f>
        <v xml:space="preserve"> </v>
      </c>
      <c r="E13" s="61" t="str">
        <f>'Daily Meter'!H17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'11'!E14</f>
        <v xml:space="preserve"> </v>
      </c>
      <c r="E14" s="61" t="str">
        <f>'Daily Meter'!I17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'11'!E15</f>
        <v xml:space="preserve"> </v>
      </c>
      <c r="E15" s="61" t="str">
        <f>'Daily Meter'!J17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'11'!E16</f>
        <v xml:space="preserve"> </v>
      </c>
      <c r="E16" s="61" t="str">
        <f>'Daily Meter'!K17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'11'!E17</f>
        <v xml:space="preserve"> </v>
      </c>
      <c r="E17" s="61" t="str">
        <f>'Daily Meter'!L17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'11'!E18</f>
        <v xml:space="preserve"> </v>
      </c>
      <c r="E18" s="61" t="str">
        <f>'Daily Meter'!M17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'11'!E22</f>
        <v xml:space="preserve"> </v>
      </c>
      <c r="E22" s="61" t="str">
        <f>'Daily Meter'!N17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13</v>
      </c>
      <c r="D3" s="42" t="s">
        <v>48</v>
      </c>
      <c r="E3" s="43" t="str">
        <f>'Daily Meter'!O18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'12'!E7</f>
        <v xml:space="preserve"> </v>
      </c>
      <c r="E7" s="61" t="str">
        <f>'Daily Meter'!B18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'12'!E10</f>
        <v xml:space="preserve"> </v>
      </c>
      <c r="E10" s="61" t="str">
        <f>'Daily Meter'!C18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'12'!E13</f>
        <v xml:space="preserve"> </v>
      </c>
      <c r="E13" s="61" t="str">
        <f>'Daily Meter'!H18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'12'!E14</f>
        <v xml:space="preserve"> </v>
      </c>
      <c r="E14" s="61" t="str">
        <f>'Daily Meter'!I18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'12'!E15</f>
        <v xml:space="preserve"> </v>
      </c>
      <c r="E15" s="61" t="str">
        <f>'Daily Meter'!J18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'12'!E16</f>
        <v xml:space="preserve"> </v>
      </c>
      <c r="E16" s="61" t="str">
        <f>'Daily Meter'!K18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'12'!E17</f>
        <v xml:space="preserve"> </v>
      </c>
      <c r="E17" s="61" t="str">
        <f>'Daily Meter'!L18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'12'!E18</f>
        <v xml:space="preserve"> </v>
      </c>
      <c r="E18" s="61" t="str">
        <f>'Daily Meter'!M18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'12'!E22</f>
        <v xml:space="preserve"> </v>
      </c>
      <c r="E22" s="61" t="str">
        <f>'Daily Meter'!N18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14</v>
      </c>
      <c r="D3" s="42" t="s">
        <v>48</v>
      </c>
      <c r="E3" s="43" t="str">
        <f>'Daily Meter'!O19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'13'!E7</f>
        <v xml:space="preserve"> </v>
      </c>
      <c r="E7" s="61" t="str">
        <f>'Daily Meter'!B19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'13'!E10</f>
        <v xml:space="preserve"> </v>
      </c>
      <c r="E10" s="61" t="str">
        <f>'Daily Meter'!C19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'13'!E13</f>
        <v xml:space="preserve"> </v>
      </c>
      <c r="E13" s="61" t="str">
        <f>'Daily Meter'!H19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'13'!E14</f>
        <v xml:space="preserve"> </v>
      </c>
      <c r="E14" s="61" t="str">
        <f>'Daily Meter'!I19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'13'!E15</f>
        <v xml:space="preserve"> </v>
      </c>
      <c r="E15" s="61" t="str">
        <f>'Daily Meter'!J19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'13'!E16</f>
        <v xml:space="preserve"> </v>
      </c>
      <c r="E16" s="61" t="str">
        <f>'Daily Meter'!K19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'13'!E17</f>
        <v xml:space="preserve"> </v>
      </c>
      <c r="E17" s="61" t="str">
        <f>'Daily Meter'!L19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'13'!E18</f>
        <v xml:space="preserve"> </v>
      </c>
      <c r="E18" s="61" t="str">
        <f>'Daily Meter'!M19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'13'!E22</f>
        <v xml:space="preserve"> </v>
      </c>
      <c r="E22" s="61" t="str">
        <f>'Daily Meter'!N19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15</v>
      </c>
      <c r="D3" s="42" t="s">
        <v>48</v>
      </c>
      <c r="E3" s="43" t="str">
        <f>'Daily Meter'!O20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'14'!E7</f>
        <v xml:space="preserve"> </v>
      </c>
      <c r="E7" s="61" t="str">
        <f>'Daily Meter'!B20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'14'!E10</f>
        <v xml:space="preserve"> </v>
      </c>
      <c r="E10" s="61" t="str">
        <f>'Daily Meter'!C20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'14'!E13</f>
        <v xml:space="preserve"> </v>
      </c>
      <c r="E13" s="61" t="str">
        <f>'Daily Meter'!H20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'14'!E14</f>
        <v xml:space="preserve"> </v>
      </c>
      <c r="E14" s="61" t="str">
        <f>'Daily Meter'!I20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'14'!E15</f>
        <v xml:space="preserve"> </v>
      </c>
      <c r="E15" s="61" t="str">
        <f>'Daily Meter'!J20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'14'!E16</f>
        <v xml:space="preserve"> </v>
      </c>
      <c r="E16" s="61" t="str">
        <f>'Daily Meter'!K20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'14'!E17</f>
        <v xml:space="preserve"> </v>
      </c>
      <c r="E17" s="61" t="str">
        <f>'Daily Meter'!L20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'14'!E18</f>
        <v xml:space="preserve"> </v>
      </c>
      <c r="E18" s="61" t="str">
        <f>'Daily Meter'!M20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'14'!E22</f>
        <v xml:space="preserve"> </v>
      </c>
      <c r="E22" s="61" t="str">
        <f>'Daily Meter'!N20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16</v>
      </c>
      <c r="D3" s="42" t="s">
        <v>48</v>
      </c>
      <c r="E3" s="43" t="str">
        <f>'Daily Meter'!O21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'15'!E7</f>
        <v xml:space="preserve"> </v>
      </c>
      <c r="E7" s="61" t="str">
        <f>'Daily Meter'!B21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'15'!E10</f>
        <v xml:space="preserve"> </v>
      </c>
      <c r="E10" s="61" t="str">
        <f>'Daily Meter'!C21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'15'!E13</f>
        <v xml:space="preserve"> </v>
      </c>
      <c r="E13" s="61" t="str">
        <f>'Daily Meter'!H21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'15'!E14</f>
        <v xml:space="preserve"> </v>
      </c>
      <c r="E14" s="61" t="str">
        <f>'Daily Meter'!I21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'15'!E15</f>
        <v xml:space="preserve"> </v>
      </c>
      <c r="E15" s="61" t="str">
        <f>'Daily Meter'!J21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'15'!E16</f>
        <v xml:space="preserve"> </v>
      </c>
      <c r="E16" s="61" t="str">
        <f>'Daily Meter'!K21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'15'!E17</f>
        <v xml:space="preserve"> </v>
      </c>
      <c r="E17" s="61" t="str">
        <f>'Daily Meter'!L21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'15'!E18</f>
        <v xml:space="preserve"> </v>
      </c>
      <c r="E18" s="61" t="str">
        <f>'Daily Meter'!M21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'15'!E22</f>
        <v xml:space="preserve"> </v>
      </c>
      <c r="E22" s="61" t="str">
        <f>'Daily Meter'!N21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17</v>
      </c>
      <c r="D3" s="42" t="s">
        <v>48</v>
      </c>
      <c r="E3" s="43" t="str">
        <f>'Daily Meter'!O22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'16'!E7</f>
        <v xml:space="preserve"> </v>
      </c>
      <c r="E7" s="61" t="str">
        <f>'Daily Meter'!B22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'16'!E10</f>
        <v xml:space="preserve"> </v>
      </c>
      <c r="E10" s="61" t="str">
        <f>'Daily Meter'!C22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'16'!E13</f>
        <v xml:space="preserve"> </v>
      </c>
      <c r="E13" s="61" t="str">
        <f>'Daily Meter'!H22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'16'!E14</f>
        <v xml:space="preserve"> </v>
      </c>
      <c r="E14" s="61" t="str">
        <f>'Daily Meter'!I22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'16'!E15</f>
        <v xml:space="preserve"> </v>
      </c>
      <c r="E15" s="61" t="str">
        <f>'Daily Meter'!J22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'16'!E16</f>
        <v xml:space="preserve"> </v>
      </c>
      <c r="E16" s="61" t="str">
        <f>'Daily Meter'!K22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'16'!E17</f>
        <v xml:space="preserve"> </v>
      </c>
      <c r="E17" s="61" t="str">
        <f>'Daily Meter'!L22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'16'!E18</f>
        <v xml:space="preserve"> </v>
      </c>
      <c r="E18" s="61" t="str">
        <f>'Daily Meter'!M22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'16'!E22</f>
        <v xml:space="preserve"> </v>
      </c>
      <c r="E22" s="61" t="str">
        <f>'Daily Meter'!N22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18</v>
      </c>
      <c r="D3" s="42" t="s">
        <v>48</v>
      </c>
      <c r="E3" s="43" t="str">
        <f>'Daily Meter'!O23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'17'!E7</f>
        <v xml:space="preserve"> </v>
      </c>
      <c r="E7" s="61" t="str">
        <f>'Daily Meter'!B23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'17'!E10</f>
        <v xml:space="preserve"> </v>
      </c>
      <c r="E10" s="61" t="str">
        <f>'Daily Meter'!C23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'17'!E13</f>
        <v xml:space="preserve"> </v>
      </c>
      <c r="E13" s="61" t="str">
        <f>'Daily Meter'!H23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'17'!E14</f>
        <v xml:space="preserve"> </v>
      </c>
      <c r="E14" s="61" t="str">
        <f>'Daily Meter'!I23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'17'!E15</f>
        <v xml:space="preserve"> </v>
      </c>
      <c r="E15" s="61" t="str">
        <f>'Daily Meter'!J23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'17'!E16</f>
        <v xml:space="preserve"> </v>
      </c>
      <c r="E16" s="61" t="str">
        <f>'Daily Meter'!K23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'17'!E17</f>
        <v xml:space="preserve"> </v>
      </c>
      <c r="E17" s="61" t="str">
        <f>'Daily Meter'!L23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'17'!E18</f>
        <v xml:space="preserve"> </v>
      </c>
      <c r="E18" s="61" t="str">
        <f>'Daily Meter'!M23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'17'!E22</f>
        <v xml:space="preserve"> </v>
      </c>
      <c r="E22" s="61" t="str">
        <f>'Daily Meter'!N23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19</v>
      </c>
      <c r="D3" s="42" t="s">
        <v>48</v>
      </c>
      <c r="E3" s="43" t="str">
        <f>'Daily Meter'!O24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'18'!E7</f>
        <v xml:space="preserve"> </v>
      </c>
      <c r="E7" s="61" t="str">
        <f>'Daily Meter'!B24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'18'!E10</f>
        <v xml:space="preserve"> </v>
      </c>
      <c r="E10" s="61" t="str">
        <f>'Daily Meter'!C24</f>
        <v xml:space="preserve"> </v>
      </c>
      <c r="F10" s="62" t="e">
        <f>E10-D10</f>
        <v>#VALUE!</v>
      </c>
      <c r="G10" s="71"/>
      <c r="H10" s="30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'18'!E13</f>
        <v xml:space="preserve"> </v>
      </c>
      <c r="E13" s="61" t="str">
        <f>'Daily Meter'!H24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'18'!E14</f>
        <v xml:space="preserve"> </v>
      </c>
      <c r="E14" s="61" t="str">
        <f>'Daily Meter'!I24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'18'!E15</f>
        <v xml:space="preserve"> </v>
      </c>
      <c r="E15" s="61" t="str">
        <f>'Daily Meter'!J24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'18'!E16</f>
        <v xml:space="preserve"> </v>
      </c>
      <c r="E16" s="61" t="str">
        <f>'Daily Meter'!K24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'18'!E17</f>
        <v xml:space="preserve"> </v>
      </c>
      <c r="E17" s="61" t="str">
        <f>'Daily Meter'!L24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'18'!E18</f>
        <v xml:space="preserve"> </v>
      </c>
      <c r="E18" s="61" t="str">
        <f>'Daily Meter'!M24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'18'!E22</f>
        <v xml:space="preserve"> </v>
      </c>
      <c r="E22" s="61" t="str">
        <f>'Daily Meter'!N24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20</v>
      </c>
      <c r="D3" s="42" t="s">
        <v>48</v>
      </c>
      <c r="E3" s="43" t="str">
        <f>'Daily Meter'!O25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'19'!E7</f>
        <v xml:space="preserve"> </v>
      </c>
      <c r="E7" s="61" t="str">
        <f>'Daily Meter'!B25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'19'!E10</f>
        <v xml:space="preserve"> </v>
      </c>
      <c r="E10" s="61" t="str">
        <f>'Daily Meter'!C25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'19'!E13</f>
        <v xml:space="preserve"> </v>
      </c>
      <c r="E13" s="61" t="str">
        <f>'Daily Meter'!H25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'19'!E14</f>
        <v xml:space="preserve"> </v>
      </c>
      <c r="E14" s="61" t="str">
        <f>'Daily Meter'!I25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'19'!E15</f>
        <v xml:space="preserve"> </v>
      </c>
      <c r="E15" s="61" t="str">
        <f>'Daily Meter'!J25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'19'!E16</f>
        <v xml:space="preserve"> </v>
      </c>
      <c r="E16" s="61" t="str">
        <f>'Daily Meter'!K25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'19'!E17</f>
        <v xml:space="preserve"> </v>
      </c>
      <c r="E17" s="61" t="str">
        <f>'Daily Meter'!L25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'19'!E18</f>
        <v xml:space="preserve"> </v>
      </c>
      <c r="E18" s="61" t="str">
        <f>'Daily Meter'!M25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'19'!E22</f>
        <v xml:space="preserve"> </v>
      </c>
      <c r="E22" s="61" t="str">
        <f>'Daily Meter'!N25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21</v>
      </c>
      <c r="D3" s="42" t="s">
        <v>48</v>
      </c>
      <c r="E3" s="43" t="str">
        <f>'Daily Meter'!O26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'20'!E7</f>
        <v xml:space="preserve"> </v>
      </c>
      <c r="E7" s="61" t="str">
        <f>'Daily Meter'!B26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'20'!E10</f>
        <v xml:space="preserve"> </v>
      </c>
      <c r="E10" s="61" t="str">
        <f>'Daily Meter'!C26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'20'!E13</f>
        <v xml:space="preserve"> </v>
      </c>
      <c r="E13" s="61" t="str">
        <f>'Daily Meter'!H26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'20'!E14</f>
        <v xml:space="preserve"> </v>
      </c>
      <c r="E14" s="61" t="str">
        <f>'Daily Meter'!I26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'20'!E15</f>
        <v xml:space="preserve"> </v>
      </c>
      <c r="E15" s="61" t="str">
        <f>'Daily Meter'!J26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'20'!E16</f>
        <v xml:space="preserve"> </v>
      </c>
      <c r="E16" s="61" t="str">
        <f>'Daily Meter'!K26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'20'!E17</f>
        <v xml:space="preserve"> </v>
      </c>
      <c r="E17" s="61" t="str">
        <f>'Daily Meter'!L26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'20'!E18</f>
        <v xml:space="preserve"> </v>
      </c>
      <c r="E18" s="61" t="str">
        <f>'Daily Meter'!M26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'20'!E22</f>
        <v xml:space="preserve"> </v>
      </c>
      <c r="E22" s="61" t="str">
        <f>'Daily Meter'!N26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'21'!E7</f>
        <v xml:space="preserve"> </v>
      </c>
      <c r="E7" s="61" t="str">
        <f>'Daily Meter'!B27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'21'!E10</f>
        <v xml:space="preserve"> 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'21'!E13</f>
        <v xml:space="preserve"> 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'21'!E14</f>
        <v xml:space="preserve"> 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'21'!E15</f>
        <v xml:space="preserve"> 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'21'!E16</f>
        <v xml:space="preserve"> 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'21'!E17</f>
        <v xml:space="preserve"> 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'21'!E18</f>
        <v xml:space="preserve"> 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'21'!E22</f>
        <v xml:space="preserve"> 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1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51"/>
      <c r="G24" s="89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105"/>
      <c r="D26" s="304" t="s">
        <v>75</v>
      </c>
      <c r="E26" s="304"/>
      <c r="F26" s="304"/>
      <c r="G26" s="304"/>
      <c r="H26" s="96"/>
    </row>
    <row r="27" spans="1:11" ht="21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9765625" defaultRowHeight="14.25"/>
  <cols>
    <col min="1" max="1" width="5.59765625" customWidth="1"/>
    <col min="2" max="2" width="27.86328125" customWidth="1"/>
    <col min="3" max="3" width="11.73046875" customWidth="1"/>
    <col min="4" max="5" width="22.265625" customWidth="1"/>
    <col min="6" max="6" width="20.73046875" style="13" customWidth="1"/>
    <col min="7" max="7" width="20.73046875" customWidth="1"/>
    <col min="8" max="8" width="20.59765625" customWidth="1"/>
    <col min="9" max="9" width="16.3984375" customWidth="1"/>
    <col min="10" max="10" width="22.86328125" customWidth="1"/>
    <col min="11" max="11" width="22.26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7.649999999999999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7.649999999999999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62.272500000000008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328125" defaultRowHeight="14.25"/>
  <cols>
    <col min="1" max="1" width="5.59765625" style="44" customWidth="1"/>
    <col min="2" max="2" width="37.59765625" style="44" customWidth="1"/>
    <col min="3" max="3" width="21.59765625" style="44" customWidth="1"/>
    <col min="4" max="4" width="21.1328125" style="44" customWidth="1"/>
    <col min="5" max="5" width="21.59765625" style="44" customWidth="1"/>
    <col min="6" max="6" width="20.86328125" style="107" customWidth="1"/>
    <col min="7" max="8" width="20" style="107" customWidth="1"/>
    <col min="9" max="16384" width="9.1328125" style="44"/>
  </cols>
  <sheetData>
    <row r="1" spans="1:16" ht="15" customHeight="1">
      <c r="A1" s="315" t="s">
        <v>45</v>
      </c>
      <c r="B1" s="315"/>
      <c r="C1" s="315"/>
      <c r="D1" s="315"/>
      <c r="E1" s="315"/>
      <c r="F1" s="315"/>
      <c r="G1" s="315"/>
      <c r="H1" s="108"/>
      <c r="P1" s="16" t="s">
        <v>22</v>
      </c>
    </row>
    <row r="2" spans="1:16" ht="12" customHeight="1">
      <c r="A2" s="315"/>
      <c r="B2" s="315"/>
      <c r="C2" s="315"/>
      <c r="D2" s="315"/>
      <c r="E2" s="315"/>
      <c r="F2" s="315"/>
      <c r="G2" s="315"/>
      <c r="H2" s="108"/>
    </row>
    <row r="3" spans="1:16" ht="17.649999999999999">
      <c r="A3" s="316" t="s">
        <v>47</v>
      </c>
      <c r="B3" s="316"/>
      <c r="C3" s="316"/>
      <c r="D3" s="316"/>
      <c r="E3" s="316"/>
      <c r="F3" s="316"/>
      <c r="G3" s="316"/>
      <c r="H3" s="108"/>
      <c r="P3" s="16" t="s">
        <v>46</v>
      </c>
    </row>
    <row r="4" spans="1:16" ht="17.649999999999999">
      <c r="A4" s="317" t="s">
        <v>87</v>
      </c>
      <c r="B4" s="317"/>
      <c r="C4" s="317"/>
      <c r="D4" s="109" t="s">
        <v>88</v>
      </c>
      <c r="E4" s="110"/>
      <c r="F4" s="111" t="s">
        <v>89</v>
      </c>
      <c r="G4" s="318"/>
      <c r="H4" s="318"/>
    </row>
    <row r="5" spans="1:16" ht="27.75" customHeight="1">
      <c r="A5" s="319" t="s">
        <v>49</v>
      </c>
      <c r="B5" s="320" t="s">
        <v>50</v>
      </c>
      <c r="C5" s="113"/>
      <c r="D5" s="115" t="s">
        <v>90</v>
      </c>
      <c r="E5" s="115" t="s">
        <v>91</v>
      </c>
      <c r="F5" s="321" t="s">
        <v>92</v>
      </c>
      <c r="G5" s="321" t="s">
        <v>93</v>
      </c>
      <c r="H5" s="321" t="s">
        <v>94</v>
      </c>
    </row>
    <row r="6" spans="1:16" ht="24" customHeight="1">
      <c r="A6" s="319"/>
      <c r="B6" s="320"/>
      <c r="C6" s="116"/>
      <c r="D6" s="117" t="s">
        <v>95</v>
      </c>
      <c r="E6" s="117" t="s">
        <v>96</v>
      </c>
      <c r="F6" s="321"/>
      <c r="G6" s="321"/>
      <c r="H6" s="321"/>
    </row>
    <row r="7" spans="1:16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>
      <c r="A10" s="120"/>
      <c r="B10" s="126" t="s">
        <v>98</v>
      </c>
      <c r="C10" s="309"/>
      <c r="D10" s="309"/>
      <c r="E10" s="309"/>
      <c r="F10" s="128">
        <f>F9*0.568</f>
        <v>0</v>
      </c>
      <c r="G10" s="129"/>
      <c r="H10" s="129"/>
    </row>
    <row r="11" spans="1:16">
      <c r="A11" s="120"/>
      <c r="B11" s="126" t="s">
        <v>99</v>
      </c>
      <c r="C11" s="309"/>
      <c r="D11" s="309"/>
      <c r="E11" s="309"/>
      <c r="F11" s="128">
        <f>F9*0.075</f>
        <v>0</v>
      </c>
      <c r="G11" s="129"/>
      <c r="H11" s="129"/>
    </row>
    <row r="12" spans="1:16" ht="15.75" customHeight="1">
      <c r="A12" s="120"/>
      <c r="B12" s="130" t="s">
        <v>100</v>
      </c>
      <c r="C12" s="313"/>
      <c r="D12" s="313"/>
      <c r="E12" s="313"/>
      <c r="F12" s="132">
        <f>F10+F11</f>
        <v>0</v>
      </c>
      <c r="G12" s="133">
        <f>'dec. 1 to 31'!G12</f>
        <v>250000</v>
      </c>
      <c r="H12" s="134"/>
    </row>
    <row r="13" spans="1:16" ht="15.75" customHeight="1">
      <c r="A13" s="120"/>
      <c r="B13" s="130" t="s">
        <v>101</v>
      </c>
      <c r="C13" s="313"/>
      <c r="D13" s="313"/>
      <c r="E13" s="313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>
      <c r="A14" s="120"/>
      <c r="B14" s="314"/>
      <c r="C14" s="314"/>
      <c r="D14" s="314"/>
      <c r="E14" s="314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>
      <c r="A15" s="118" t="s">
        <v>59</v>
      </c>
      <c r="B15" s="119" t="s">
        <v>60</v>
      </c>
      <c r="C15" s="311"/>
      <c r="D15" s="311"/>
      <c r="E15" s="311"/>
      <c r="F15" s="137"/>
      <c r="G15" s="138" t="s">
        <v>102</v>
      </c>
      <c r="H15" s="139">
        <f>(F14-H14)</f>
        <v>0</v>
      </c>
    </row>
    <row r="16" spans="1:16" ht="14.25" customHeight="1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12" t="s">
        <v>103</v>
      </c>
      <c r="H16" s="312"/>
    </row>
    <row r="17" spans="1:8" ht="27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>
      <c r="A18" s="68"/>
      <c r="B18" s="126" t="s">
        <v>105</v>
      </c>
      <c r="C18" s="309"/>
      <c r="D18" s="309"/>
      <c r="E18" s="309"/>
      <c r="F18" s="142">
        <v>350</v>
      </c>
      <c r="G18" s="143"/>
      <c r="H18" s="137"/>
    </row>
    <row r="19" spans="1:8">
      <c r="A19" s="68"/>
      <c r="B19" s="126" t="s">
        <v>106</v>
      </c>
      <c r="C19" s="309"/>
      <c r="D19" s="309"/>
      <c r="E19" s="309"/>
      <c r="F19" s="142">
        <v>400</v>
      </c>
      <c r="G19" s="143"/>
      <c r="H19" s="137"/>
    </row>
    <row r="20" spans="1:8">
      <c r="A20" s="68"/>
      <c r="B20" s="126" t="s">
        <v>107</v>
      </c>
      <c r="C20" s="309"/>
      <c r="D20" s="309"/>
      <c r="E20" s="309"/>
      <c r="F20" s="142">
        <f>SUM(F17-20000)*0.046</f>
        <v>-920</v>
      </c>
      <c r="G20" s="143"/>
      <c r="H20" s="137"/>
    </row>
    <row r="21" spans="1:8">
      <c r="A21" s="68"/>
      <c r="B21" s="126" t="s">
        <v>108</v>
      </c>
      <c r="C21" s="309"/>
      <c r="D21" s="309"/>
      <c r="E21" s="309"/>
      <c r="F21" s="144">
        <f>F17*0.005</f>
        <v>0</v>
      </c>
      <c r="G21" s="143"/>
      <c r="H21" s="137"/>
    </row>
    <row r="22" spans="1:8">
      <c r="A22" s="68"/>
      <c r="B22" s="126" t="s">
        <v>109</v>
      </c>
      <c r="C22" s="309"/>
      <c r="D22" s="309"/>
      <c r="E22" s="309"/>
      <c r="F22" s="144">
        <f>F17*0.01</f>
        <v>0</v>
      </c>
      <c r="G22" s="143"/>
      <c r="H22" s="137"/>
    </row>
    <row r="23" spans="1:8">
      <c r="A23" s="68"/>
      <c r="B23" s="130" t="s">
        <v>100</v>
      </c>
      <c r="C23" s="310"/>
      <c r="D23" s="310"/>
      <c r="E23" s="310"/>
      <c r="F23" s="146">
        <f>SUM(F18:F22)</f>
        <v>-170</v>
      </c>
      <c r="G23" s="147">
        <f>'dec. 1 to 31'!G23</f>
        <v>59385</v>
      </c>
      <c r="H23" s="137"/>
    </row>
    <row r="24" spans="1:8">
      <c r="A24" s="118" t="s">
        <v>65</v>
      </c>
      <c r="B24" s="119" t="s">
        <v>66</v>
      </c>
      <c r="C24" s="311"/>
      <c r="D24" s="311"/>
      <c r="E24" s="311"/>
      <c r="F24" s="148"/>
      <c r="G24" s="149"/>
      <c r="H24" s="137"/>
    </row>
    <row r="25" spans="1:8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>
      <c r="A31" s="120"/>
      <c r="B31" s="150" t="s">
        <v>110</v>
      </c>
      <c r="C31" s="311"/>
      <c r="D31" s="311"/>
      <c r="E31" s="311"/>
      <c r="F31" s="151">
        <f>SUM(F25:F30)</f>
        <v>0</v>
      </c>
      <c r="G31" s="152"/>
      <c r="H31" s="137"/>
    </row>
    <row r="32" spans="1:8">
      <c r="A32" s="56"/>
      <c r="B32" s="126" t="s">
        <v>111</v>
      </c>
      <c r="C32" s="309"/>
      <c r="D32" s="309"/>
      <c r="E32" s="309"/>
      <c r="F32" s="128">
        <v>460</v>
      </c>
      <c r="G32" s="153"/>
      <c r="H32" s="137"/>
    </row>
    <row r="33" spans="1:8">
      <c r="A33" s="56"/>
      <c r="B33" s="126" t="s">
        <v>112</v>
      </c>
      <c r="C33" s="309"/>
      <c r="D33" s="309"/>
      <c r="E33" s="309"/>
      <c r="F33" s="128">
        <v>560</v>
      </c>
      <c r="G33" s="153"/>
      <c r="H33" s="137"/>
    </row>
    <row r="34" spans="1:8">
      <c r="A34" s="56"/>
      <c r="B34" s="126" t="s">
        <v>113</v>
      </c>
      <c r="C34" s="309"/>
      <c r="D34" s="309"/>
      <c r="E34" s="309"/>
      <c r="F34" s="128">
        <v>640</v>
      </c>
      <c r="G34" s="153"/>
      <c r="H34" s="137"/>
    </row>
    <row r="35" spans="1:8">
      <c r="A35" s="56"/>
      <c r="B35" s="126" t="s">
        <v>114</v>
      </c>
      <c r="C35" s="309"/>
      <c r="D35" s="309"/>
      <c r="E35" s="309"/>
      <c r="F35" s="128">
        <f>SUM(F31-6000)*0.38</f>
        <v>-2280</v>
      </c>
      <c r="G35" s="153"/>
      <c r="H35" s="137"/>
    </row>
    <row r="36" spans="1:8">
      <c r="A36" s="56"/>
      <c r="B36" s="126" t="s">
        <v>115</v>
      </c>
      <c r="C36" s="309"/>
      <c r="D36" s="309"/>
      <c r="E36" s="309"/>
      <c r="F36" s="128">
        <f>F31*0.065</f>
        <v>0</v>
      </c>
      <c r="G36" s="153"/>
      <c r="H36" s="137"/>
    </row>
    <row r="37" spans="1:8">
      <c r="A37" s="56"/>
      <c r="B37" s="130" t="s">
        <v>100</v>
      </c>
      <c r="C37" s="306"/>
      <c r="D37" s="306"/>
      <c r="E37" s="306"/>
      <c r="F37" s="132">
        <f>SUM(F32:F36)</f>
        <v>-620</v>
      </c>
      <c r="G37" s="155">
        <f>'dec. 1 to 31'!G37</f>
        <v>281577</v>
      </c>
      <c r="H37" s="137"/>
    </row>
    <row r="38" spans="1:8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>
      <c r="A39" s="120">
        <v>1</v>
      </c>
      <c r="B39" s="156" t="s">
        <v>71</v>
      </c>
      <c r="C39" s="307"/>
      <c r="D39" s="307"/>
      <c r="E39" s="307"/>
      <c r="F39" s="151"/>
      <c r="G39" s="152"/>
      <c r="H39" s="137"/>
    </row>
    <row r="40" spans="1:8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>
      <c r="A42" s="120"/>
      <c r="B42" s="130" t="s">
        <v>118</v>
      </c>
      <c r="C42" s="306"/>
      <c r="D42" s="306"/>
      <c r="E42" s="306"/>
      <c r="F42" s="132">
        <f>F41*2.5</f>
        <v>0</v>
      </c>
      <c r="G42" s="159">
        <f>'dec. 1 to 31'!G42</f>
        <v>13040</v>
      </c>
      <c r="H42" s="137"/>
    </row>
    <row r="43" spans="1:8">
      <c r="A43" s="160"/>
      <c r="B43" s="160"/>
      <c r="C43" s="161"/>
      <c r="D43" s="160"/>
      <c r="E43" s="160"/>
      <c r="F43" s="162"/>
      <c r="G43" s="162"/>
      <c r="H43" s="162"/>
    </row>
    <row r="44" spans="1:8" ht="21">
      <c r="A44" s="94"/>
      <c r="B44" s="308" t="s">
        <v>75</v>
      </c>
      <c r="C44" s="308"/>
      <c r="D44" s="308"/>
      <c r="E44" s="308"/>
      <c r="F44" s="105"/>
      <c r="G44" s="105"/>
      <c r="H44" s="105"/>
    </row>
    <row r="45" spans="1:8" ht="21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328125" defaultRowHeight="14.25"/>
  <cols>
    <col min="1" max="1" width="5.59765625" style="44" customWidth="1"/>
    <col min="2" max="2" width="38.265625" style="44" customWidth="1"/>
    <col min="3" max="3" width="21.59765625" style="44" customWidth="1"/>
    <col min="4" max="4" width="20.1328125" style="44" customWidth="1"/>
    <col min="5" max="5" width="20.265625" style="44" customWidth="1"/>
    <col min="6" max="6" width="21.265625" style="107" customWidth="1"/>
    <col min="7" max="7" width="20" style="107" customWidth="1"/>
    <col min="8" max="10" width="9.1328125" style="44"/>
    <col min="11" max="16" width="10.59765625" style="44" customWidth="1"/>
    <col min="17" max="16384" width="9.1328125" style="44"/>
  </cols>
  <sheetData>
    <row r="1" spans="1:14" ht="15" customHeight="1">
      <c r="A1" s="323" t="s">
        <v>45</v>
      </c>
      <c r="B1" s="323"/>
      <c r="C1" s="323"/>
      <c r="D1" s="323"/>
      <c r="E1" s="323"/>
      <c r="F1" s="323"/>
      <c r="G1" s="323"/>
    </row>
    <row r="2" spans="1:14" ht="10.5" customHeight="1">
      <c r="A2" s="323"/>
      <c r="B2" s="323"/>
      <c r="C2" s="323"/>
      <c r="D2" s="323"/>
      <c r="E2" s="323"/>
      <c r="F2" s="323"/>
      <c r="G2" s="323"/>
    </row>
    <row r="3" spans="1:14" ht="21.75" customHeight="1">
      <c r="A3" s="324" t="s">
        <v>47</v>
      </c>
      <c r="B3" s="324"/>
      <c r="C3" s="324"/>
      <c r="D3" s="324"/>
      <c r="E3" s="324"/>
      <c r="F3" s="324"/>
      <c r="G3" s="324"/>
    </row>
    <row r="4" spans="1:14" ht="35.25">
      <c r="A4" s="325" t="s">
        <v>123</v>
      </c>
      <c r="B4" s="325"/>
      <c r="C4" s="168" t="s">
        <v>124</v>
      </c>
      <c r="D4" s="112"/>
      <c r="E4" s="169" t="s">
        <v>88</v>
      </c>
      <c r="F4" s="326"/>
      <c r="G4" s="326"/>
    </row>
    <row r="5" spans="1:14" ht="27.75" customHeight="1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27" t="s">
        <v>125</v>
      </c>
      <c r="G5" s="328" t="s">
        <v>93</v>
      </c>
      <c r="N5" s="16"/>
    </row>
    <row r="6" spans="1:14" ht="21.75" customHeight="1">
      <c r="A6" s="171"/>
      <c r="B6" s="172"/>
      <c r="C6" s="116"/>
      <c r="D6" s="117" t="s">
        <v>126</v>
      </c>
      <c r="E6" s="117" t="s">
        <v>127</v>
      </c>
      <c r="F6" s="327"/>
      <c r="G6" s="328"/>
    </row>
    <row r="7" spans="1:14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7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>
      <c r="A43" s="160"/>
      <c r="B43" s="160"/>
      <c r="C43" s="161"/>
      <c r="D43" s="160"/>
      <c r="E43" s="160"/>
      <c r="F43" s="162"/>
      <c r="G43" s="162"/>
    </row>
    <row r="44" spans="1:7" ht="18.75" customHeight="1">
      <c r="A44" s="94"/>
      <c r="B44" s="322" t="s">
        <v>75</v>
      </c>
      <c r="C44" s="322"/>
      <c r="D44" s="322"/>
      <c r="E44" s="322"/>
      <c r="F44" s="105"/>
      <c r="G44" s="105"/>
    </row>
    <row r="45" spans="1:7" ht="18.75" customHeight="1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328125" defaultRowHeight="26.25"/>
  <cols>
    <col min="1" max="1" width="39.3984375" style="217" customWidth="1"/>
    <col min="2" max="32" width="16.73046875" style="218" customWidth="1"/>
    <col min="33" max="35" width="9.1328125" style="218"/>
    <col min="36" max="36" width="24.73046875" style="218" customWidth="1"/>
    <col min="37" max="16384" width="9.1328125" style="218"/>
  </cols>
  <sheetData>
    <row r="1" spans="1:43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>
      <c r="A4" s="329"/>
      <c r="B4" s="329"/>
      <c r="C4" s="329"/>
      <c r="D4" s="329"/>
      <c r="E4" s="329"/>
      <c r="F4" s="329"/>
      <c r="G4" s="329"/>
      <c r="H4" s="329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>
      <c r="A15" s="329"/>
      <c r="B15" s="329"/>
      <c r="C15" s="329"/>
      <c r="D15" s="329"/>
      <c r="E15" s="329"/>
      <c r="F15" s="329"/>
      <c r="G15" s="329"/>
      <c r="H15" s="329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2.5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>
      <c r="A18" s="329"/>
      <c r="B18" s="329"/>
      <c r="C18" s="329"/>
      <c r="D18" s="329"/>
      <c r="E18" s="329"/>
      <c r="F18" s="329"/>
      <c r="G18" s="329"/>
      <c r="H18" s="329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ht="52.5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3046875" defaultRowHeight="52.5"/>
  <cols>
    <col min="1" max="1" width="35.86328125" style="236" customWidth="1"/>
    <col min="2" max="16384" width="35.73046875" style="236"/>
  </cols>
  <sheetData>
    <row r="1" spans="1:14" ht="72" customHeight="1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>
      <c r="A2" s="242"/>
      <c r="B2" s="243"/>
      <c r="C2" s="239"/>
      <c r="D2" s="240"/>
      <c r="E2" s="244"/>
    </row>
    <row r="3" spans="1:14" ht="72" customHeight="1">
      <c r="A3" s="245"/>
      <c r="B3" s="246"/>
      <c r="C3" s="239"/>
      <c r="D3" s="240"/>
      <c r="E3" s="244"/>
    </row>
    <row r="4" spans="1:14" ht="72" customHeight="1">
      <c r="A4" s="245"/>
      <c r="B4" s="246"/>
      <c r="C4" s="239"/>
      <c r="D4" s="240"/>
      <c r="E4" s="244"/>
    </row>
    <row r="5" spans="1:14" ht="72" customHeight="1">
      <c r="A5" s="247"/>
      <c r="B5" s="248"/>
      <c r="C5" s="239"/>
      <c r="D5" s="240"/>
      <c r="E5" s="244"/>
    </row>
    <row r="6" spans="1:14" ht="6.75" customHeight="1">
      <c r="A6" s="249"/>
      <c r="B6" s="249"/>
      <c r="C6" s="250"/>
      <c r="D6" s="250"/>
      <c r="E6" s="244"/>
    </row>
    <row r="7" spans="1:14" ht="72" customHeight="1">
      <c r="A7" s="251"/>
      <c r="B7" s="252"/>
      <c r="C7" s="253"/>
      <c r="D7" s="254"/>
      <c r="E7" s="244"/>
    </row>
    <row r="8" spans="1:14" ht="72" customHeight="1">
      <c r="A8" s="255"/>
      <c r="B8" s="256"/>
      <c r="C8" s="253"/>
      <c r="D8" s="254"/>
      <c r="E8" s="244"/>
    </row>
    <row r="9" spans="1:14" ht="72" customHeight="1">
      <c r="A9" s="255"/>
      <c r="B9" s="256"/>
      <c r="C9" s="253"/>
      <c r="D9" s="254"/>
      <c r="E9" s="244"/>
    </row>
    <row r="10" spans="1:14" ht="72" customHeight="1">
      <c r="A10" s="255"/>
      <c r="B10" s="256"/>
      <c r="C10" s="253"/>
      <c r="D10" s="254"/>
      <c r="E10" s="244"/>
    </row>
    <row r="11" spans="1:14" ht="72" customHeight="1">
      <c r="A11" s="257"/>
      <c r="B11" s="258"/>
      <c r="C11" s="253"/>
      <c r="D11" s="254"/>
      <c r="E11" s="244"/>
    </row>
    <row r="12" spans="1:14" ht="60" customHeight="1">
      <c r="A12" s="246"/>
      <c r="B12" s="238"/>
      <c r="C12" s="250"/>
      <c r="D12" s="250"/>
      <c r="E12" s="244"/>
    </row>
    <row r="13" spans="1:14" ht="60" customHeight="1">
      <c r="A13" s="246"/>
      <c r="B13" s="246"/>
      <c r="C13" s="250"/>
      <c r="D13" s="250"/>
      <c r="E13" s="244"/>
    </row>
    <row r="14" spans="1:14" ht="60" customHeight="1">
      <c r="A14" s="248"/>
      <c r="B14" s="238"/>
    </row>
    <row r="15" spans="1:14" ht="64.5" customHeight="1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3046875" defaultRowHeight="52.5"/>
  <cols>
    <col min="1" max="4" width="35.73046875" style="236"/>
    <col min="5" max="5" width="32.86328125" style="236" customWidth="1"/>
    <col min="6" max="6" width="35.73046875" style="236"/>
    <col min="7" max="7" width="6.73046875" style="236" customWidth="1"/>
    <col min="8" max="16384" width="35.73046875" style="236"/>
  </cols>
  <sheetData>
    <row r="1" spans="1:12" ht="75" customHeight="1">
      <c r="A1" s="263"/>
      <c r="B1" s="249"/>
      <c r="C1" s="241"/>
      <c r="D1" s="241"/>
      <c r="E1" s="264" t="s">
        <v>156</v>
      </c>
      <c r="F1" s="331"/>
      <c r="G1" s="331"/>
      <c r="H1" s="241"/>
      <c r="I1" s="241"/>
      <c r="J1" s="241"/>
      <c r="K1" s="241"/>
      <c r="L1" s="241"/>
    </row>
    <row r="2" spans="1:12" ht="69.75" customHeight="1">
      <c r="A2" s="265"/>
      <c r="B2" s="249"/>
      <c r="C2" s="244"/>
      <c r="E2" s="264" t="s">
        <v>157</v>
      </c>
      <c r="F2" s="332" t="s">
        <v>158</v>
      </c>
      <c r="G2" s="332"/>
      <c r="H2" s="266"/>
    </row>
    <row r="3" spans="1:12" ht="69.75" customHeight="1">
      <c r="A3" s="265"/>
      <c r="B3" s="249"/>
      <c r="C3" s="244"/>
      <c r="E3" s="267" t="s">
        <v>159</v>
      </c>
      <c r="F3" s="333">
        <v>1292977.78</v>
      </c>
      <c r="G3" s="333"/>
      <c r="H3" s="268"/>
    </row>
    <row r="4" spans="1:12" ht="69.75" customHeight="1">
      <c r="A4" s="265"/>
      <c r="B4" s="269"/>
      <c r="C4" s="244"/>
      <c r="E4" s="270" t="s">
        <v>160</v>
      </c>
      <c r="F4" s="330">
        <v>553296</v>
      </c>
      <c r="G4" s="330"/>
      <c r="H4" s="268"/>
    </row>
    <row r="5" spans="1:12" ht="69.75" customHeight="1">
      <c r="A5" s="265"/>
      <c r="B5" s="271"/>
      <c r="C5" s="244"/>
      <c r="E5" s="270" t="s">
        <v>161</v>
      </c>
      <c r="F5" s="330">
        <v>528379</v>
      </c>
      <c r="G5" s="330"/>
      <c r="H5" s="268"/>
    </row>
    <row r="6" spans="1:12" ht="69.75" customHeight="1">
      <c r="A6" s="265"/>
      <c r="B6" s="271"/>
      <c r="C6" s="244"/>
      <c r="E6" s="270" t="s">
        <v>162</v>
      </c>
      <c r="F6" s="330">
        <v>13436.55</v>
      </c>
      <c r="G6" s="330"/>
      <c r="H6" s="272"/>
    </row>
    <row r="7" spans="1:12" ht="60" customHeight="1">
      <c r="A7" s="265"/>
      <c r="B7" s="273"/>
    </row>
    <row r="8" spans="1:12" ht="60" customHeight="1">
      <c r="A8" s="265"/>
      <c r="B8" s="273"/>
    </row>
    <row r="10" spans="1:12" ht="64.5" customHeight="1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9765625" defaultRowHeight="14.2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2024-02-07T13:30:47Z</dcterms:modified>
  <dc:language>en-IN</dc:language>
</cp:coreProperties>
</file>