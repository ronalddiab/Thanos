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2" i="3" l="1"/>
  <c r="K32" i="3"/>
  <c r="I32" i="3"/>
  <c r="G32" i="3"/>
  <c r="E32" i="3"/>
  <c r="L31" i="3"/>
  <c r="K31" i="3"/>
  <c r="I31" i="3"/>
  <c r="G31" i="3"/>
  <c r="E31" i="3"/>
  <c r="B31" i="3"/>
  <c r="B32" i="3" s="1"/>
  <c r="J32" i="2"/>
  <c r="I32" i="2"/>
  <c r="H32" i="2"/>
  <c r="F32" i="2"/>
  <c r="E32" i="2"/>
  <c r="J31" i="2"/>
  <c r="I31" i="2"/>
  <c r="H31" i="2"/>
  <c r="F31" i="2"/>
  <c r="E31" i="2"/>
  <c r="I40" i="1"/>
  <c r="H40" i="1"/>
  <c r="K39" i="1"/>
  <c r="J39" i="1"/>
  <c r="I39" i="1"/>
  <c r="H39" i="1"/>
  <c r="G39" i="1"/>
  <c r="F39" i="1"/>
  <c r="E39" i="1"/>
  <c r="C39" i="1"/>
  <c r="B39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M9" i="1"/>
  <c r="A9" i="1"/>
  <c r="M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E23" i="2"/>
  <c r="F23" i="2"/>
  <c r="H23" i="2"/>
  <c r="I23" i="2"/>
  <c r="J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<sst xmlns="http://schemas.openxmlformats.org/spreadsheetml/2006/main" count="106" uniqueCount="37">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</sst>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18" sqref="M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v>0</v>
      </c>
      <c r="F18" s="24">
        <v>0.11799999999999999</v>
      </c>
      <c r="G18" s="26">
        <v>0</v>
      </c>
      <c r="H18" s="24">
        <v>0.99</v>
      </c>
      <c r="I18" s="26">
        <v>0</v>
      </c>
      <c r="J18" s="24">
        <v>8.1000000000000003E-2</v>
      </c>
      <c r="K18" s="63">
        <v>0</v>
      </c>
      <c r="L18" s="26"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0</v>
      </c>
      <c r="F19" s="24">
        <v>0.11799999999999999</v>
      </c>
      <c r="G19" s="26">
        <f>(('03 - 2020'!E25-'03 - 2020'!E24)+('03 - 2020'!F25-'03 - 2020'!F24)+('03 - 2020'!G25-'03 - 2020'!G24))*1.81</f>
        <v>0</v>
      </c>
      <c r="H19" s="24">
        <v>0.99</v>
      </c>
      <c r="I19" s="26">
        <f>'03 - 2020'!J25-'03 - 2020'!J24</f>
        <v>0</v>
      </c>
      <c r="J19" s="24">
        <v>8.1000000000000003E-2</v>
      </c>
      <c r="K19" s="63">
        <f>'03 - 2020'!H25-'03 - 2020'!H24</f>
        <v>0</v>
      </c>
      <c r="L19" s="26">
        <f>'03 - 2020'!I25-'03 - 2020'!I24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0</v>
      </c>
      <c r="F20" s="24">
        <v>0.11799999999999999</v>
      </c>
      <c r="G20" s="26">
        <f>(('03 - 2020'!E26-'03 - 2020'!E25)+('03 - 2020'!F26-'03 - 2020'!F25)+('03 - 2020'!G26-'03 - 2020'!G25))*1.81</f>
        <v>0</v>
      </c>
      <c r="H20" s="24">
        <v>0.99</v>
      </c>
      <c r="I20" s="26">
        <f>'03 - 2020'!J26-'03 - 2020'!J25</f>
        <v>0</v>
      </c>
      <c r="J20" s="24">
        <v>8.1000000000000003E-2</v>
      </c>
      <c r="K20" s="63">
        <f>'03 - 2020'!H26-'03 - 2020'!H25</f>
        <v>0</v>
      </c>
      <c r="L20" s="26">
        <f>'03 - 2020'!I26-'03 - 2020'!I25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0</v>
      </c>
      <c r="F21" s="24">
        <v>0.11799999999999999</v>
      </c>
      <c r="G21" s="26">
        <f>(('03 - 2020'!E27-'03 - 2020'!E26)+('03 - 2020'!F27-'03 - 2020'!F26)+('03 - 2020'!G27-'03 - 2020'!G26))*1.81</f>
        <v>0</v>
      </c>
      <c r="H21" s="24">
        <v>0.99</v>
      </c>
      <c r="I21" s="26">
        <f>'03 - 2020'!J27-'03 - 2020'!J26</f>
        <v>0</v>
      </c>
      <c r="J21" s="24">
        <v>8.1000000000000003E-2</v>
      </c>
      <c r="K21" s="63">
        <f>'03 - 2020'!H27-'03 - 2020'!H26</f>
        <v>0</v>
      </c>
      <c r="L21" s="26">
        <f>'03 - 2020'!I27-'03 - 2020'!I26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0</v>
      </c>
      <c r="F22" s="24">
        <v>0.11799999999999999</v>
      </c>
      <c r="G22" s="26">
        <f>(('03 - 2020'!E28-'03 - 2020'!E27)+('03 - 2020'!F28-'03 - 2020'!F27)+('03 - 2020'!G28-'03 - 2020'!G27))*1.81</f>
        <v>0</v>
      </c>
      <c r="H22" s="24">
        <v>0.99</v>
      </c>
      <c r="I22" s="26">
        <f>'03 - 2020'!J28-'03 - 2020'!J27</f>
        <v>0</v>
      </c>
      <c r="J22" s="24">
        <v>8.1000000000000003E-2</v>
      </c>
      <c r="K22" s="63">
        <f>'03 - 2020'!H28-'03 - 2020'!H27</f>
        <v>0</v>
      </c>
      <c r="L22" s="26">
        <f>'03 - 2020'!I28-'03 - 2020'!I27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0</v>
      </c>
      <c r="F23" s="24">
        <v>0.11799999999999999</v>
      </c>
      <c r="G23" s="26">
        <f>(('03 - 2020'!E29-'03 - 2020'!E28)+('03 - 2020'!F29-'03 - 2020'!F28)+('03 - 2020'!G29-'03 - 2020'!G28))*1.81</f>
        <v>0</v>
      </c>
      <c r="H23" s="24">
        <v>0.99</v>
      </c>
      <c r="I23" s="26">
        <f>'03 - 2020'!J29-'03 - 2020'!J28</f>
        <v>0</v>
      </c>
      <c r="J23" s="24">
        <v>8.1000000000000003E-2</v>
      </c>
      <c r="K23" s="63">
        <f>'03 - 2020'!H29-'03 - 2020'!H28</f>
        <v>0</v>
      </c>
      <c r="L23" s="26">
        <f>'03 - 2020'!I29-'03 - 2020'!I28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0</v>
      </c>
      <c r="F24" s="24">
        <v>0.11799999999999999</v>
      </c>
      <c r="G24" s="26">
        <f>(('03 - 2020'!E30-'03 - 2020'!E29)+('03 - 2020'!F30-'03 - 2020'!F29)+('03 - 2020'!G30-'03 - 2020'!G29))*1.81</f>
        <v>0</v>
      </c>
      <c r="H24" s="24">
        <v>0.99</v>
      </c>
      <c r="I24" s="26">
        <f>'03 - 2020'!J30-'03 - 2020'!J29</f>
        <v>0</v>
      </c>
      <c r="J24" s="24">
        <v>8.1000000000000003E-2</v>
      </c>
      <c r="K24" s="63">
        <f>'03 - 2020'!H30-'03 - 2020'!H29</f>
        <v>0</v>
      </c>
      <c r="L24" s="26">
        <f>'03 - 2020'!I30-'03 - 2020'!I29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0</v>
      </c>
      <c r="F25" s="24">
        <v>0.11799999999999999</v>
      </c>
      <c r="G25" s="26">
        <f>(('03 - 2020'!E31-'03 - 2020'!E30)+('03 - 2020'!F31-'03 - 2020'!F30)+('03 - 2020'!G31-'03 - 2020'!G30))*1.81</f>
        <v>0</v>
      </c>
      <c r="H25" s="24">
        <v>0.99</v>
      </c>
      <c r="I25" s="26">
        <f>'03 - 2020'!J31-'03 - 2020'!J30</f>
        <v>0</v>
      </c>
      <c r="J25" s="24">
        <v>8.1000000000000003E-2</v>
      </c>
      <c r="K25" s="63">
        <f>'03 - 2020'!H31-'03 - 2020'!H30</f>
        <v>0</v>
      </c>
      <c r="L25" s="26">
        <f>'03 - 2020'!I31-'03 - 2020'!I30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0</v>
      </c>
      <c r="F26" s="24">
        <v>0.11799999999999999</v>
      </c>
      <c r="G26" s="26">
        <f>(('03 - 2020'!E32-'03 - 2020'!E31)+('03 - 2020'!F32-'03 - 2020'!F31)+('03 - 2020'!G32-'03 - 2020'!G31))*1.81</f>
        <v>0</v>
      </c>
      <c r="H26" s="24">
        <v>0.99</v>
      </c>
      <c r="I26" s="26">
        <f>'03 - 2020'!J32-'03 - 2020'!J31</f>
        <v>0</v>
      </c>
      <c r="J26" s="24">
        <v>8.1000000000000003E-2</v>
      </c>
      <c r="K26" s="63">
        <f>'03 - 2020'!H32-'03 - 2020'!H31</f>
        <v>0</v>
      </c>
      <c r="L26" s="26">
        <f>'03 - 2020'!I32-'03 - 2020'!I31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0</v>
      </c>
      <c r="F27" s="24">
        <v>0.11799999999999999</v>
      </c>
      <c r="G27" s="26">
        <f>(('03 - 2020'!E33-'03 - 2020'!E32)+('03 - 2020'!F33-'03 - 2020'!F32)+('03 - 2020'!G33-'03 - 2020'!G32))*1.81</f>
        <v>0</v>
      </c>
      <c r="H27" s="24">
        <v>0.99</v>
      </c>
      <c r="I27" s="26">
        <f>'03 - 2020'!J33-'03 - 2020'!J32</f>
        <v>0</v>
      </c>
      <c r="J27" s="24">
        <v>8.1000000000000003E-2</v>
      </c>
      <c r="K27" s="63">
        <f>'03 - 2020'!H33-'03 - 2020'!H32</f>
        <v>0</v>
      </c>
      <c r="L27" s="26">
        <f>'03 - 2020'!I33-'03 - 2020'!I32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0</v>
      </c>
      <c r="F28" s="24">
        <v>0.11799999999999999</v>
      </c>
      <c r="G28" s="26">
        <f>(('03 - 2020'!E34-'03 - 2020'!E33)+('03 - 2020'!F34-'03 - 2020'!F33)+('03 - 2020'!G34-'03 - 2020'!G33))*1.81</f>
        <v>0</v>
      </c>
      <c r="H28" s="24">
        <v>0.99</v>
      </c>
      <c r="I28" s="26">
        <f>'03 - 2020'!J34-'03 - 2020'!J33</f>
        <v>0</v>
      </c>
      <c r="J28" s="24">
        <v>8.1000000000000003E-2</v>
      </c>
      <c r="K28" s="63">
        <f>'03 - 2020'!H34-'03 - 2020'!H33</f>
        <v>0</v>
      </c>
      <c r="L28" s="26">
        <f>'03 - 2020'!I34-'03 - 2020'!I33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0</v>
      </c>
      <c r="F29" s="24">
        <v>0.11799999999999999</v>
      </c>
      <c r="G29" s="26">
        <f>(('03 - 2020'!E35-'03 - 2020'!E34)+('03 - 2020'!F35-'03 - 2020'!F34)+('03 - 2020'!G35-'03 - 2020'!G34))*1.81</f>
        <v>0</v>
      </c>
      <c r="H29" s="24">
        <v>0.99</v>
      </c>
      <c r="I29" s="26">
        <f>'03 - 2020'!J35-'03 - 2020'!J34</f>
        <v>0</v>
      </c>
      <c r="J29" s="24">
        <v>8.1000000000000003E-2</v>
      </c>
      <c r="K29" s="63">
        <f>'03 - 2020'!H35-'03 - 2020'!H34</f>
        <v>0</v>
      </c>
      <c r="L29" s="26">
        <f>'03 - 2020'!I35-'03 - 2020'!I34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0</v>
      </c>
      <c r="F30" s="24">
        <v>0.11799999999999999</v>
      </c>
      <c r="G30" s="26">
        <f>(('03 - 2020'!E36-'03 - 2020'!E35)+('03 - 2020'!F36-'03 - 2020'!F35)+('03 - 2020'!G36-'03 - 2020'!G35))*1.81</f>
        <v>0</v>
      </c>
      <c r="H30" s="24">
        <v>0.99</v>
      </c>
      <c r="I30" s="26">
        <f>'03 - 2020'!J36-'03 - 2020'!J35</f>
        <v>0</v>
      </c>
      <c r="J30" s="24">
        <v>8.1000000000000003E-2</v>
      </c>
      <c r="K30" s="63">
        <f>'03 - 2020'!H36-'03 - 2020'!H35</f>
        <v>0</v>
      </c>
      <c r="L30" s="26">
        <f>'03 - 2020'!I36-'03 - 2020'!I35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0</v>
      </c>
      <c r="F31" s="24">
        <v>0.11799999999999999</v>
      </c>
      <c r="G31" s="26">
        <f>(('03 - 2020'!E37-'03 - 2020'!E36)+('03 - 2020'!F37-'03 - 2020'!F36)+('03 - 2020'!G37-'03 - 2020'!G36))*1.81</f>
        <v>0</v>
      </c>
      <c r="H31" s="24">
        <v>0.99</v>
      </c>
      <c r="I31" s="26">
        <f>'03 - 2020'!J37-'03 - 2020'!J36</f>
        <v>0</v>
      </c>
      <c r="J31" s="24">
        <v>8.1000000000000003E-2</v>
      </c>
      <c r="K31" s="63">
        <f>'03 - 2020'!H37-'03 - 2020'!H36</f>
        <v>0</v>
      </c>
      <c r="L31" s="26">
        <f>'03 - 2020'!I37-'03 - 2020'!I36</f>
        <v>0</v>
      </c>
      <c r="M31" s="25">
        <v>4.393629424766913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0</v>
      </c>
      <c r="F32" s="24">
        <v>0.11799999999999999</v>
      </c>
      <c r="G32" s="26">
        <f>(('03 - 2020'!E38-'03 - 2020'!E37)+('03 - 2020'!F38-'03 - 2020'!F37)+('03 - 2020'!G38-'03 - 2020'!G37))*1.81</f>
        <v>0</v>
      </c>
      <c r="H32" s="24">
        <v>0.99</v>
      </c>
      <c r="I32" s="26">
        <f>'03 - 2020'!J38-'03 - 2020'!J37</f>
        <v>0</v>
      </c>
      <c r="J32" s="24">
        <v>8.1000000000000003E-2</v>
      </c>
      <c r="K32" s="63">
        <f>'03 - 2020'!H38-'03 - 2020'!H37</f>
        <v>0</v>
      </c>
      <c r="L32" s="26">
        <f>'03 - 2020'!I38-'03 - 2020'!I37</f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8" sqref="K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v>0</v>
      </c>
      <c r="F18" s="26">
        <v>0</v>
      </c>
      <c r="G18" s="24">
        <v>0.11799999999999999</v>
      </c>
      <c r="H18" s="26">
        <v>0</v>
      </c>
      <c r="I18" s="26">
        <v>0</v>
      </c>
      <c r="J18" s="26"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0</v>
      </c>
      <c r="F19" s="26">
        <f>'03 - 2020'!C25-'03 - 2020'!C24</f>
        <v>0</v>
      </c>
      <c r="G19" s="24">
        <v>0.11799999999999999</v>
      </c>
      <c r="H19" s="26">
        <f>'03 - 2020'!E25-'03 - 2020'!E24</f>
        <v>0</v>
      </c>
      <c r="I19" s="26">
        <f>'03 - 2020'!F25-'03 - 2020'!F24</f>
        <v>0</v>
      </c>
      <c r="J19" s="26">
        <f>'03 - 2020'!G25-'03 - 2020'!G24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0</v>
      </c>
      <c r="F20" s="26">
        <f>'03 - 2020'!C26-'03 - 2020'!C25</f>
        <v>0</v>
      </c>
      <c r="G20" s="24">
        <v>0.11799999999999999</v>
      </c>
      <c r="H20" s="26">
        <f>'03 - 2020'!E26-'03 - 2020'!E25</f>
        <v>0</v>
      </c>
      <c r="I20" s="26">
        <f>'03 - 2020'!F26-'03 - 2020'!F25</f>
        <v>0</v>
      </c>
      <c r="J20" s="26">
        <f>'03 - 2020'!G26-'03 - 2020'!G25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0</v>
      </c>
      <c r="F21" s="26">
        <f>'03 - 2020'!C27-'03 - 2020'!C26</f>
        <v>0</v>
      </c>
      <c r="G21" s="24">
        <v>0.11799999999999999</v>
      </c>
      <c r="H21" s="26">
        <f>'03 - 2020'!E27-'03 - 2020'!E26</f>
        <v>0</v>
      </c>
      <c r="I21" s="26">
        <f>'03 - 2020'!F27-'03 - 2020'!F26</f>
        <v>0</v>
      </c>
      <c r="J21" s="26">
        <f>'03 - 2020'!G27-'03 - 2020'!G26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0</v>
      </c>
      <c r="F22" s="26">
        <f>'03 - 2020'!C28-'03 - 2020'!C27</f>
        <v>0</v>
      </c>
      <c r="G22" s="24">
        <v>0.11799999999999999</v>
      </c>
      <c r="H22" s="26">
        <f>'03 - 2020'!E28-'03 - 2020'!E27</f>
        <v>0</v>
      </c>
      <c r="I22" s="26">
        <f>'03 - 2020'!F28-'03 - 2020'!F27</f>
        <v>0</v>
      </c>
      <c r="J22" s="26">
        <f>'03 - 2020'!G28-'03 - 2020'!G27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0</v>
      </c>
      <c r="F23" s="26">
        <f>'03 - 2020'!C29-'03 - 2020'!C28</f>
        <v>0</v>
      </c>
      <c r="G23" s="24">
        <v>0.11799999999999999</v>
      </c>
      <c r="H23" s="26">
        <f>'03 - 2020'!E29-'03 - 2020'!E28</f>
        <v>0</v>
      </c>
      <c r="I23" s="26">
        <f>'03 - 2020'!F29-'03 - 2020'!F28</f>
        <v>0</v>
      </c>
      <c r="J23" s="26">
        <f>'03 - 2020'!G29-'03 - 2020'!G28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0</v>
      </c>
      <c r="F24" s="26">
        <f>'03 - 2020'!C30-'03 - 2020'!C29</f>
        <v>0</v>
      </c>
      <c r="G24" s="24">
        <v>0.11799999999999999</v>
      </c>
      <c r="H24" s="26">
        <f>'03 - 2020'!E30-'03 - 2020'!E29</f>
        <v>0</v>
      </c>
      <c r="I24" s="26">
        <f>'03 - 2020'!F30-'03 - 2020'!F29</f>
        <v>0</v>
      </c>
      <c r="J24" s="26">
        <f>'03 - 2020'!G30-'03 - 2020'!G29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0</v>
      </c>
      <c r="F25" s="26">
        <f>'03 - 2020'!C31-'03 - 2020'!C30</f>
        <v>0</v>
      </c>
      <c r="G25" s="24">
        <v>0.11799999999999999</v>
      </c>
      <c r="H25" s="26">
        <f>'03 - 2020'!E31-'03 - 2020'!E30</f>
        <v>0</v>
      </c>
      <c r="I25" s="26">
        <f>'03 - 2020'!F31-'03 - 2020'!F30</f>
        <v>0</v>
      </c>
      <c r="J25" s="26">
        <f>'03 - 2020'!G31-'03 - 2020'!G30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0</v>
      </c>
      <c r="F26" s="26">
        <f>'03 - 2020'!C32-'03 - 2020'!C31</f>
        <v>0</v>
      </c>
      <c r="G26" s="24">
        <v>0.11799999999999999</v>
      </c>
      <c r="H26" s="26">
        <f>'03 - 2020'!E32-'03 - 2020'!E31</f>
        <v>0</v>
      </c>
      <c r="I26" s="26">
        <f>'03 - 2020'!F32-'03 - 2020'!F31</f>
        <v>0</v>
      </c>
      <c r="J26" s="26">
        <f>'03 - 2020'!G32-'03 - 2020'!G31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0</v>
      </c>
      <c r="F27" s="26">
        <f>'03 - 2020'!C33-'03 - 2020'!C32</f>
        <v>0</v>
      </c>
      <c r="G27" s="24">
        <v>0.11799999999999999</v>
      </c>
      <c r="H27" s="26">
        <f>'03 - 2020'!E33-'03 - 2020'!E32</f>
        <v>0</v>
      </c>
      <c r="I27" s="26">
        <f>'03 - 2020'!F33-'03 - 2020'!F32</f>
        <v>0</v>
      </c>
      <c r="J27" s="26">
        <f>'03 - 2020'!G33-'03 - 2020'!G32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0</v>
      </c>
      <c r="F28" s="26">
        <f>'03 - 2020'!C34-'03 - 2020'!C33</f>
        <v>0</v>
      </c>
      <c r="G28" s="24">
        <v>0.11799999999999999</v>
      </c>
      <c r="H28" s="26">
        <f>'03 - 2020'!E34-'03 - 2020'!E33</f>
        <v>0</v>
      </c>
      <c r="I28" s="26">
        <f>'03 - 2020'!F34-'03 - 2020'!F33</f>
        <v>0</v>
      </c>
      <c r="J28" s="26">
        <f>'03 - 2020'!G34-'03 - 2020'!G33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0</v>
      </c>
      <c r="F29" s="26">
        <f>'03 - 2020'!C35-'03 - 2020'!C34</f>
        <v>0</v>
      </c>
      <c r="G29" s="24">
        <v>0.11799999999999999</v>
      </c>
      <c r="H29" s="26">
        <f>'03 - 2020'!E35-'03 - 2020'!E34</f>
        <v>0</v>
      </c>
      <c r="I29" s="26">
        <f>'03 - 2020'!F35-'03 - 2020'!F34</f>
        <v>0</v>
      </c>
      <c r="J29" s="26">
        <f>'03 - 2020'!G35-'03 - 2020'!G34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0</v>
      </c>
      <c r="F30" s="26">
        <f>'03 - 2020'!C36-'03 - 2020'!C35</f>
        <v>0</v>
      </c>
      <c r="G30" s="24">
        <v>0.11799999999999999</v>
      </c>
      <c r="H30" s="26">
        <f>'03 - 2020'!E36-'03 - 2020'!E35</f>
        <v>0</v>
      </c>
      <c r="I30" s="26">
        <f>'03 - 2020'!F36-'03 - 2020'!F35</f>
        <v>0</v>
      </c>
      <c r="J30" s="26">
        <f>'03 - 2020'!G36-'03 - 2020'!G35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0</v>
      </c>
      <c r="F31" s="26">
        <f>'03 - 2020'!C37-'03 - 2020'!C36</f>
        <v>0</v>
      </c>
      <c r="G31" s="24">
        <v>0.11799999999999999</v>
      </c>
      <c r="H31" s="26">
        <f>'03 - 2020'!E37-'03 - 2020'!E36</f>
        <v>0</v>
      </c>
      <c r="I31" s="26">
        <f>'03 - 2020'!F37-'03 - 2020'!F36</f>
        <v>0</v>
      </c>
      <c r="J31" s="26">
        <f>'03 - 2020'!G37-'03 - 2020'!G36</f>
        <v>0</v>
      </c>
      <c r="K31" s="24">
        <v>0.74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0</v>
      </c>
      <c r="F32" s="26">
        <f>'03 - 2020'!C38-'03 - 2020'!C37</f>
        <v>0</v>
      </c>
      <c r="G32" s="24">
        <v>0.11799999999999999</v>
      </c>
      <c r="H32" s="26">
        <f>'03 - 2020'!E38-'03 - 2020'!E37</f>
        <v>0</v>
      </c>
      <c r="I32" s="26">
        <f>'03 - 2020'!F38-'03 - 2020'!F37</f>
        <v>0</v>
      </c>
      <c r="J32" s="26">
        <f>'03 - 2020'!G38-'03 - 2020'!G37</f>
        <v>0</v>
      </c>
      <c r="K32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C30" sqref="C30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26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/>
      <c r="C24" s="21"/>
      <c r="D24" s="16"/>
      <c r="E24" s="29"/>
      <c r="F24" s="29"/>
      <c r="G24" s="17"/>
      <c r="H24" s="15"/>
      <c r="I24" s="15"/>
      <c r="J24" s="15"/>
      <c r="K24" s="18"/>
      <c r="L24" s="34"/>
      <c r="M24" s="49">
        <f t="shared" si="0"/>
        <v>-38187315</v>
      </c>
    </row>
    <row r="25" spans="1:16" ht="12.75" customHeight="1" x14ac:dyDescent="0.25">
      <c r="A25" s="48">
        <f t="shared" si="1"/>
        <v>43908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  <c r="M25" s="49">
        <f t="shared" si="0"/>
        <v>0</v>
      </c>
    </row>
    <row r="26" spans="1:16" ht="12.75" customHeight="1" x14ac:dyDescent="0.25">
      <c r="A26" s="48">
        <f t="shared" si="1"/>
        <v>43909</v>
      </c>
      <c r="B26" s="17"/>
      <c r="C26" s="17"/>
      <c r="D26" s="28"/>
      <c r="E26" s="29"/>
      <c r="F26" s="29"/>
      <c r="G26" s="17"/>
      <c r="H26" s="15"/>
      <c r="I26" s="15"/>
      <c r="J26" s="15"/>
      <c r="K26" s="27"/>
      <c r="L26" s="34"/>
      <c r="M26" s="49">
        <f t="shared" si="0"/>
        <v>0</v>
      </c>
    </row>
    <row r="27" spans="1:16" ht="12.75" customHeight="1" x14ac:dyDescent="0.25">
      <c r="A27" s="48">
        <f t="shared" si="1"/>
        <v>43910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M27" s="49"/>
    </row>
    <row r="28" spans="1:16" ht="12.75" customHeight="1" x14ac:dyDescent="0.25">
      <c r="A28" s="48">
        <f t="shared" si="1"/>
        <v>43911</v>
      </c>
      <c r="B28" s="14"/>
      <c r="C28" s="15"/>
      <c r="D28" s="16"/>
      <c r="E28" s="29"/>
      <c r="F28" s="29"/>
      <c r="G28" s="17"/>
      <c r="H28" s="15"/>
      <c r="I28" s="15"/>
      <c r="J28" s="15"/>
      <c r="K28" s="18"/>
      <c r="L28" s="33"/>
      <c r="M28" s="49"/>
    </row>
    <row r="29" spans="1:16" ht="12.75" customHeight="1" x14ac:dyDescent="0.25">
      <c r="A29" s="48">
        <f t="shared" si="1"/>
        <v>43912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M29" s="14"/>
      <c r="P29" s="6"/>
    </row>
    <row r="30" spans="1:16" ht="12.75" customHeight="1" x14ac:dyDescent="0.25">
      <c r="A30" s="48">
        <f t="shared" si="1"/>
        <v>43913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M30" s="14"/>
      <c r="P30" s="6"/>
    </row>
    <row r="31" spans="1:16" ht="12.75" customHeight="1" x14ac:dyDescent="0.25">
      <c r="A31" s="48">
        <f t="shared" si="1"/>
        <v>43914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M31" s="14"/>
      <c r="P31" s="6"/>
    </row>
    <row r="32" spans="1:16" ht="12.75" customHeight="1" x14ac:dyDescent="0.25">
      <c r="A32" s="48">
        <f t="shared" si="1"/>
        <v>43915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14"/>
    </row>
    <row r="37" spans="1:16" s="24" customFormat="1" x14ac:dyDescent="0.25">
      <c r="A37" s="48">
        <f t="shared" si="1"/>
        <v>43920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-604675</v>
      </c>
      <c r="C39" s="36">
        <f>C36-C7</f>
        <v>-621646</v>
      </c>
      <c r="D39" s="36">
        <v>0</v>
      </c>
      <c r="E39" s="36">
        <f t="shared" ref="E39:J39" si="2">E36-E7</f>
        <v>-10249.07</v>
      </c>
      <c r="F39" s="36">
        <f t="shared" si="2"/>
        <v>-1977.24</v>
      </c>
      <c r="G39" s="36">
        <f t="shared" si="2"/>
        <v>-17755</v>
      </c>
      <c r="H39" s="36">
        <f t="shared" si="2"/>
        <v>-14528</v>
      </c>
      <c r="I39" s="36">
        <f t="shared" si="2"/>
        <v>-90695</v>
      </c>
      <c r="J39" s="36">
        <f t="shared" si="2"/>
        <v>-37991508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-3195709.6319999998</v>
      </c>
      <c r="I40" s="36">
        <f>I39*219.969</f>
        <v>-19950088.454999998</v>
      </c>
      <c r="J40" s="26"/>
      <c r="K40" s="24"/>
      <c r="L40" s="24"/>
      <c r="M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2020-03-16T03:55:27Z</dcterms:modified>
</cp:coreProperties>
</file>